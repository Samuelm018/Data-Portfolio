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Data Analytics\"/>
    </mc:Choice>
  </mc:AlternateContent>
  <xr:revisionPtr revIDLastSave="0" documentId="13_ncr:1_{43A96351-1AD0-431B-B98C-F513C7F9C622}" xr6:coauthVersionLast="47" xr6:coauthVersionMax="47" xr10:uidLastSave="{00000000-0000-0000-0000-000000000000}"/>
  <bookViews>
    <workbookView xWindow="-120" yWindow="-120" windowWidth="29040" windowHeight="15720" activeTab="7" xr2:uid="{9280B406-CC53-445D-97E6-338355BE480E}"/>
  </bookViews>
  <sheets>
    <sheet name="SalesByCategory" sheetId="2" r:id="rId1"/>
    <sheet name="Profit Gained" sheetId="3" r:id="rId2"/>
    <sheet name="Monthly Sales" sheetId="6" r:id="rId3"/>
    <sheet name="Top5 Customers" sheetId="7" r:id="rId4"/>
    <sheet name="SalesByState" sheetId="9" r:id="rId5"/>
    <sheet name="salesdata" sheetId="1" r:id="rId6"/>
    <sheet name="CustomerCount" sheetId="10" r:id="rId7"/>
    <sheet name="Dashboard" sheetId="11" r:id="rId8"/>
  </sheets>
  <definedNames>
    <definedName name="_xlnm._FilterDatabase" localSheetId="5" hidden="1">salesdata!$A$1:$K$5902</definedName>
    <definedName name="_xlchart.v2.0" hidden="1">SalesByCategory!$D$4:$D$20</definedName>
    <definedName name="_xlchart.v2.1" hidden="1">SalesByCategory!$E$4:$E$20</definedName>
    <definedName name="_xlchart.v2.6" hidden="1">SalesByCategory!$D$4:$D$20</definedName>
    <definedName name="_xlchart.v2.7"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191029"/>
  <pivotCaches>
    <pivotCache cacheId="26" r:id="rId9"/>
    <pivotCache cacheId="3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9" l="1"/>
  <c r="E5" i="9"/>
  <c r="D6" i="9"/>
  <c r="E6" i="9"/>
  <c r="D7" i="9"/>
  <c r="E7" i="9"/>
  <c r="D8" i="9"/>
  <c r="E8" i="9"/>
  <c r="D9" i="9"/>
  <c r="E9" i="9"/>
  <c r="D10" i="9"/>
  <c r="E10" i="9"/>
  <c r="D11" i="9"/>
  <c r="E11" i="9"/>
  <c r="D12" i="9"/>
  <c r="E12" i="9"/>
  <c r="D13" i="9"/>
  <c r="E13" i="9"/>
  <c r="D14" i="9"/>
  <c r="E14" i="9"/>
  <c r="D15" i="9"/>
  <c r="E15" i="9"/>
  <c r="D16" i="9"/>
  <c r="E16" i="9"/>
  <c r="D17" i="9"/>
  <c r="E17" i="9"/>
  <c r="D18" i="9"/>
  <c r="E18" i="9"/>
  <c r="D19" i="9"/>
  <c r="E19" i="9"/>
  <c r="D20" i="9"/>
  <c r="E20" i="9"/>
  <c r="D21" i="9"/>
  <c r="E21" i="9"/>
  <c r="D22" i="9"/>
  <c r="E22" i="9"/>
  <c r="D23" i="9"/>
  <c r="E23" i="9"/>
  <c r="D24" i="9"/>
  <c r="E24" i="9"/>
  <c r="D25" i="9"/>
  <c r="E25" i="9"/>
  <c r="D26" i="9"/>
  <c r="E26" i="9"/>
  <c r="D27" i="9"/>
  <c r="E27" i="9"/>
  <c r="D28" i="9"/>
  <c r="E28" i="9"/>
  <c r="D29" i="9"/>
  <c r="E29" i="9"/>
  <c r="D30" i="9"/>
  <c r="E30" i="9"/>
  <c r="D31" i="9"/>
  <c r="E31" i="9"/>
  <c r="D32" i="9"/>
  <c r="E32" i="9"/>
  <c r="D33" i="9"/>
  <c r="E33" i="9"/>
  <c r="D34" i="9"/>
  <c r="E34" i="9"/>
  <c r="D35" i="9"/>
  <c r="E35" i="9"/>
  <c r="D36" i="9"/>
  <c r="E36" i="9"/>
  <c r="D37" i="9"/>
  <c r="E37" i="9"/>
  <c r="D38" i="9"/>
  <c r="E38" i="9"/>
  <c r="D39" i="9"/>
  <c r="E39" i="9"/>
  <c r="D40" i="9"/>
  <c r="E40" i="9"/>
  <c r="D41" i="9"/>
  <c r="E41" i="9"/>
  <c r="D42" i="9"/>
  <c r="E42" i="9"/>
  <c r="D43" i="9"/>
  <c r="E43" i="9"/>
  <c r="D44" i="9"/>
  <c r="E44" i="9"/>
  <c r="D45" i="9"/>
  <c r="E45" i="9"/>
  <c r="D46" i="9"/>
  <c r="E46" i="9"/>
  <c r="D47" i="9"/>
  <c r="E47" i="9"/>
  <c r="D48" i="9"/>
  <c r="E48" i="9"/>
  <c r="D49" i="9"/>
  <c r="E49" i="9"/>
  <c r="D50" i="9"/>
  <c r="E50" i="9"/>
  <c r="D51" i="9"/>
  <c r="E51" i="9"/>
  <c r="D52" i="9"/>
  <c r="E52" i="9"/>
  <c r="E4" i="9"/>
  <c r="D4" i="9"/>
  <c r="E5" i="7"/>
  <c r="F5" i="7"/>
  <c r="E6" i="7"/>
  <c r="F6" i="7"/>
  <c r="E7" i="7"/>
  <c r="F7" i="7"/>
  <c r="E8" i="7"/>
  <c r="F8" i="7"/>
  <c r="F4" i="7"/>
  <c r="E4" i="7"/>
  <c r="B2" i="1"/>
  <c r="C2" i="1"/>
  <c r="B3" i="1"/>
  <c r="C3" i="1"/>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B231" i="1"/>
  <c r="C231" i="1"/>
  <c r="B232" i="1"/>
  <c r="C232" i="1"/>
  <c r="B233" i="1"/>
  <c r="C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B253" i="1"/>
  <c r="C253" i="1"/>
  <c r="B254" i="1"/>
  <c r="C254" i="1"/>
  <c r="B255" i="1"/>
  <c r="C255" i="1"/>
  <c r="B256" i="1"/>
  <c r="C256" i="1"/>
  <c r="B257" i="1"/>
  <c r="C257" i="1"/>
  <c r="B258" i="1"/>
  <c r="C258" i="1"/>
  <c r="B259" i="1"/>
  <c r="C259" i="1"/>
  <c r="B260" i="1"/>
  <c r="C260" i="1"/>
  <c r="B261" i="1"/>
  <c r="C261" i="1"/>
  <c r="B262" i="1"/>
  <c r="C262" i="1"/>
  <c r="B263" i="1"/>
  <c r="C263" i="1"/>
  <c r="B264" i="1"/>
  <c r="C264" i="1"/>
  <c r="B265" i="1"/>
  <c r="C265" i="1"/>
  <c r="B266" i="1"/>
  <c r="C266" i="1"/>
  <c r="B267" i="1"/>
  <c r="C267" i="1"/>
  <c r="B268" i="1"/>
  <c r="C268" i="1"/>
  <c r="B269" i="1"/>
  <c r="C269" i="1"/>
  <c r="B270" i="1"/>
  <c r="C270" i="1"/>
  <c r="B271" i="1"/>
  <c r="C271" i="1"/>
  <c r="B272" i="1"/>
  <c r="C272" i="1"/>
  <c r="B273" i="1"/>
  <c r="C273" i="1"/>
  <c r="B274" i="1"/>
  <c r="C274" i="1"/>
  <c r="B275" i="1"/>
  <c r="C275" i="1"/>
  <c r="B276" i="1"/>
  <c r="C276" i="1"/>
  <c r="B277" i="1"/>
  <c r="C277" i="1"/>
  <c r="B278" i="1"/>
  <c r="C278" i="1"/>
  <c r="B279" i="1"/>
  <c r="C279" i="1"/>
  <c r="B280" i="1"/>
  <c r="C280" i="1"/>
  <c r="B281" i="1"/>
  <c r="C281" i="1"/>
  <c r="B282" i="1"/>
  <c r="C282" i="1"/>
  <c r="B283" i="1"/>
  <c r="C283" i="1"/>
  <c r="B284" i="1"/>
  <c r="C284" i="1"/>
  <c r="B285" i="1"/>
  <c r="C285" i="1"/>
  <c r="B286" i="1"/>
  <c r="C286" i="1"/>
  <c r="B287" i="1"/>
  <c r="C287" i="1"/>
  <c r="B288" i="1"/>
  <c r="C288" i="1"/>
  <c r="B289" i="1"/>
  <c r="C289" i="1"/>
  <c r="B290" i="1"/>
  <c r="C290" i="1"/>
  <c r="B291" i="1"/>
  <c r="C291" i="1"/>
  <c r="B292" i="1"/>
  <c r="C292" i="1"/>
  <c r="B293" i="1"/>
  <c r="C293" i="1"/>
  <c r="B294" i="1"/>
  <c r="C294" i="1"/>
  <c r="B295" i="1"/>
  <c r="C295" i="1"/>
  <c r="B296" i="1"/>
  <c r="C296" i="1"/>
  <c r="B297" i="1"/>
  <c r="C297" i="1"/>
  <c r="B298" i="1"/>
  <c r="C298" i="1"/>
  <c r="B299" i="1"/>
  <c r="C299" i="1"/>
  <c r="B300" i="1"/>
  <c r="C300" i="1"/>
  <c r="B301" i="1"/>
  <c r="C301" i="1"/>
  <c r="B302" i="1"/>
  <c r="C302" i="1"/>
  <c r="B303" i="1"/>
  <c r="C303" i="1"/>
  <c r="B304" i="1"/>
  <c r="C304" i="1"/>
  <c r="B305" i="1"/>
  <c r="C305" i="1"/>
  <c r="B306" i="1"/>
  <c r="C306" i="1"/>
  <c r="B307" i="1"/>
  <c r="C307" i="1"/>
  <c r="B308" i="1"/>
  <c r="C308" i="1"/>
  <c r="B309" i="1"/>
  <c r="C309" i="1"/>
  <c r="B310" i="1"/>
  <c r="C310" i="1"/>
  <c r="B311" i="1"/>
  <c r="C311" i="1"/>
  <c r="B312" i="1"/>
  <c r="C312" i="1"/>
  <c r="B313" i="1"/>
  <c r="C313" i="1"/>
  <c r="B314" i="1"/>
  <c r="C314" i="1"/>
  <c r="B315" i="1"/>
  <c r="C315" i="1"/>
  <c r="B316" i="1"/>
  <c r="C316" i="1"/>
  <c r="B317" i="1"/>
  <c r="C317" i="1"/>
  <c r="B318" i="1"/>
  <c r="C318" i="1"/>
  <c r="B319" i="1"/>
  <c r="C319" i="1"/>
  <c r="B320" i="1"/>
  <c r="C320" i="1"/>
  <c r="B321" i="1"/>
  <c r="C321" i="1"/>
  <c r="B322" i="1"/>
  <c r="C322" i="1"/>
  <c r="B323" i="1"/>
  <c r="C323" i="1"/>
  <c r="B324" i="1"/>
  <c r="C324" i="1"/>
  <c r="B325" i="1"/>
  <c r="C325" i="1"/>
  <c r="B326" i="1"/>
  <c r="C326" i="1"/>
  <c r="B327" i="1"/>
  <c r="C327" i="1"/>
  <c r="B328" i="1"/>
  <c r="C328" i="1"/>
  <c r="B329" i="1"/>
  <c r="C329" i="1"/>
  <c r="B330" i="1"/>
  <c r="C330" i="1"/>
  <c r="B331" i="1"/>
  <c r="C331" i="1"/>
  <c r="B332" i="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3" i="1"/>
  <c r="C413" i="1"/>
  <c r="B414" i="1"/>
  <c r="C414" i="1"/>
  <c r="B415" i="1"/>
  <c r="C415" i="1"/>
  <c r="B416" i="1"/>
  <c r="C416" i="1"/>
  <c r="B417" i="1"/>
  <c r="C417" i="1"/>
  <c r="B418" i="1"/>
  <c r="C418" i="1"/>
  <c r="B419" i="1"/>
  <c r="C419" i="1"/>
  <c r="B420" i="1"/>
  <c r="C420" i="1"/>
  <c r="B421" i="1"/>
  <c r="C421" i="1"/>
  <c r="B422" i="1"/>
  <c r="C422" i="1"/>
  <c r="B423" i="1"/>
  <c r="C423" i="1"/>
  <c r="B424" i="1"/>
  <c r="C424" i="1"/>
  <c r="B425" i="1"/>
  <c r="C425" i="1"/>
  <c r="B426" i="1"/>
  <c r="C426" i="1"/>
  <c r="B427" i="1"/>
  <c r="C427" i="1"/>
  <c r="B428" i="1"/>
  <c r="C428" i="1"/>
  <c r="B429" i="1"/>
  <c r="C429" i="1"/>
  <c r="B430" i="1"/>
  <c r="C430" i="1"/>
  <c r="B431" i="1"/>
  <c r="C431" i="1"/>
  <c r="B432" i="1"/>
  <c r="C432" i="1"/>
  <c r="B433" i="1"/>
  <c r="C433" i="1"/>
  <c r="B434" i="1"/>
  <c r="C434" i="1"/>
  <c r="B435" i="1"/>
  <c r="C435" i="1"/>
  <c r="B436" i="1"/>
  <c r="C436" i="1"/>
  <c r="B437" i="1"/>
  <c r="C437" i="1"/>
  <c r="B438" i="1"/>
  <c r="C438" i="1"/>
  <c r="B439" i="1"/>
  <c r="C439" i="1"/>
  <c r="B440" i="1"/>
  <c r="C440" i="1"/>
  <c r="B441" i="1"/>
  <c r="C441" i="1"/>
  <c r="B442" i="1"/>
  <c r="C442" i="1"/>
  <c r="B443" i="1"/>
  <c r="C443" i="1"/>
  <c r="B444" i="1"/>
  <c r="C444" i="1"/>
  <c r="B445" i="1"/>
  <c r="C445" i="1"/>
  <c r="B446" i="1"/>
  <c r="C446" i="1"/>
  <c r="B447" i="1"/>
  <c r="C447" i="1"/>
  <c r="B448" i="1"/>
  <c r="C448" i="1"/>
  <c r="B449" i="1"/>
  <c r="C449" i="1"/>
  <c r="B450" i="1"/>
  <c r="C450" i="1"/>
  <c r="B451" i="1"/>
  <c r="C451" i="1"/>
  <c r="B452" i="1"/>
  <c r="C452" i="1"/>
  <c r="B453" i="1"/>
  <c r="C453" i="1"/>
  <c r="B454" i="1"/>
  <c r="C454" i="1"/>
  <c r="B455" i="1"/>
  <c r="C455" i="1"/>
  <c r="B456" i="1"/>
  <c r="C456" i="1"/>
  <c r="B457" i="1"/>
  <c r="C457" i="1"/>
  <c r="B458" i="1"/>
  <c r="C458" i="1"/>
  <c r="B459" i="1"/>
  <c r="C459" i="1"/>
  <c r="B460" i="1"/>
  <c r="C460" i="1"/>
  <c r="B461" i="1"/>
  <c r="C461" i="1"/>
  <c r="B462" i="1"/>
  <c r="C462" i="1"/>
  <c r="B463" i="1"/>
  <c r="C463" i="1"/>
  <c r="B464" i="1"/>
  <c r="C464" i="1"/>
  <c r="B465" i="1"/>
  <c r="C465" i="1"/>
  <c r="B466" i="1"/>
  <c r="C466" i="1"/>
  <c r="B467" i="1"/>
  <c r="C467" i="1"/>
  <c r="B468" i="1"/>
  <c r="C468" i="1"/>
  <c r="B469" i="1"/>
  <c r="C469" i="1"/>
  <c r="B470" i="1"/>
  <c r="C470" i="1"/>
  <c r="B471" i="1"/>
  <c r="C471" i="1"/>
  <c r="B472" i="1"/>
  <c r="C472" i="1"/>
  <c r="B473" i="1"/>
  <c r="C473" i="1"/>
  <c r="B474" i="1"/>
  <c r="C474" i="1"/>
  <c r="B475" i="1"/>
  <c r="C475" i="1"/>
  <c r="B476" i="1"/>
  <c r="C476" i="1"/>
  <c r="B477" i="1"/>
  <c r="C477" i="1"/>
  <c r="B478" i="1"/>
  <c r="C478" i="1"/>
  <c r="B479" i="1"/>
  <c r="C479" i="1"/>
  <c r="B480" i="1"/>
  <c r="C480" i="1"/>
  <c r="B481" i="1"/>
  <c r="C481" i="1"/>
  <c r="B482" i="1"/>
  <c r="C482" i="1"/>
  <c r="B483" i="1"/>
  <c r="C483" i="1"/>
  <c r="B484" i="1"/>
  <c r="C484" i="1"/>
  <c r="B485" i="1"/>
  <c r="C485" i="1"/>
  <c r="B486" i="1"/>
  <c r="C486" i="1"/>
  <c r="B487" i="1"/>
  <c r="C487" i="1"/>
  <c r="B488" i="1"/>
  <c r="C488" i="1"/>
  <c r="B489" i="1"/>
  <c r="C489" i="1"/>
  <c r="B490" i="1"/>
  <c r="C490" i="1"/>
  <c r="B491" i="1"/>
  <c r="C491" i="1"/>
  <c r="B492" i="1"/>
  <c r="C492" i="1"/>
  <c r="B493" i="1"/>
  <c r="C493" i="1"/>
  <c r="B494" i="1"/>
  <c r="C494" i="1"/>
  <c r="B495" i="1"/>
  <c r="C495" i="1"/>
  <c r="B496" i="1"/>
  <c r="C496" i="1"/>
  <c r="B497" i="1"/>
  <c r="C497" i="1"/>
  <c r="B498" i="1"/>
  <c r="C498" i="1"/>
  <c r="B499" i="1"/>
  <c r="C499" i="1"/>
  <c r="B500" i="1"/>
  <c r="C500" i="1"/>
  <c r="B501" i="1"/>
  <c r="C501" i="1"/>
  <c r="B502" i="1"/>
  <c r="C502" i="1"/>
  <c r="B503" i="1"/>
  <c r="C503" i="1"/>
  <c r="B504" i="1"/>
  <c r="C504" i="1"/>
  <c r="B505" i="1"/>
  <c r="C505" i="1"/>
  <c r="B506" i="1"/>
  <c r="C506" i="1"/>
  <c r="B507" i="1"/>
  <c r="C507" i="1"/>
  <c r="B508" i="1"/>
  <c r="C508" i="1"/>
  <c r="B509" i="1"/>
  <c r="C509" i="1"/>
  <c r="B510" i="1"/>
  <c r="C510" i="1"/>
  <c r="B511" i="1"/>
  <c r="C511" i="1"/>
  <c r="B512" i="1"/>
  <c r="C512" i="1"/>
  <c r="B513" i="1"/>
  <c r="C513" i="1"/>
  <c r="B514" i="1"/>
  <c r="C514" i="1"/>
  <c r="B515" i="1"/>
  <c r="C515" i="1"/>
  <c r="B516" i="1"/>
  <c r="C516" i="1"/>
  <c r="B517" i="1"/>
  <c r="C517" i="1"/>
  <c r="B518" i="1"/>
  <c r="C518" i="1"/>
  <c r="B519" i="1"/>
  <c r="C519" i="1"/>
  <c r="B520" i="1"/>
  <c r="C520" i="1"/>
  <c r="B521" i="1"/>
  <c r="C521" i="1"/>
  <c r="B522" i="1"/>
  <c r="C522" i="1"/>
  <c r="B523" i="1"/>
  <c r="C523" i="1"/>
  <c r="B524" i="1"/>
  <c r="C524" i="1"/>
  <c r="B525" i="1"/>
  <c r="C525" i="1"/>
  <c r="B526" i="1"/>
  <c r="C526" i="1"/>
  <c r="B527" i="1"/>
  <c r="C527" i="1"/>
  <c r="B528" i="1"/>
  <c r="C528" i="1"/>
  <c r="B529" i="1"/>
  <c r="C529" i="1"/>
  <c r="B530" i="1"/>
  <c r="C530" i="1"/>
  <c r="B531" i="1"/>
  <c r="C531" i="1"/>
  <c r="B532" i="1"/>
  <c r="C532" i="1"/>
  <c r="B533" i="1"/>
  <c r="C533" i="1"/>
  <c r="B534" i="1"/>
  <c r="C534" i="1"/>
  <c r="B535" i="1"/>
  <c r="C535" i="1"/>
  <c r="B536" i="1"/>
  <c r="C536" i="1"/>
  <c r="B537" i="1"/>
  <c r="C537" i="1"/>
  <c r="B538" i="1"/>
  <c r="C538" i="1"/>
  <c r="B539" i="1"/>
  <c r="C539" i="1"/>
  <c r="B540" i="1"/>
  <c r="C540" i="1"/>
  <c r="B541" i="1"/>
  <c r="C541" i="1"/>
  <c r="B542" i="1"/>
  <c r="C542" i="1"/>
  <c r="B543" i="1"/>
  <c r="C543" i="1"/>
  <c r="B544" i="1"/>
  <c r="C544" i="1"/>
  <c r="B545" i="1"/>
  <c r="C545" i="1"/>
  <c r="B546" i="1"/>
  <c r="C546" i="1"/>
  <c r="B547" i="1"/>
  <c r="C547" i="1"/>
  <c r="B548" i="1"/>
  <c r="C548" i="1"/>
  <c r="B549" i="1"/>
  <c r="C549" i="1"/>
  <c r="B550" i="1"/>
  <c r="C550" i="1"/>
  <c r="B551" i="1"/>
  <c r="C551" i="1"/>
  <c r="B552" i="1"/>
  <c r="C552" i="1"/>
  <c r="B553" i="1"/>
  <c r="C553" i="1"/>
  <c r="B554" i="1"/>
  <c r="C554" i="1"/>
  <c r="B555" i="1"/>
  <c r="C555" i="1"/>
  <c r="B556" i="1"/>
  <c r="C556" i="1"/>
  <c r="B557" i="1"/>
  <c r="C557" i="1"/>
  <c r="B558" i="1"/>
  <c r="C558" i="1"/>
  <c r="B559" i="1"/>
  <c r="C559" i="1"/>
  <c r="B560" i="1"/>
  <c r="C560" i="1"/>
  <c r="B561" i="1"/>
  <c r="C561" i="1"/>
  <c r="B562" i="1"/>
  <c r="C562" i="1"/>
  <c r="B563" i="1"/>
  <c r="C563" i="1"/>
  <c r="B564" i="1"/>
  <c r="C564" i="1"/>
  <c r="B565" i="1"/>
  <c r="C565" i="1"/>
  <c r="B566" i="1"/>
  <c r="C566" i="1"/>
  <c r="B567" i="1"/>
  <c r="C567" i="1"/>
  <c r="B568" i="1"/>
  <c r="C568" i="1"/>
  <c r="B569" i="1"/>
  <c r="C569" i="1"/>
  <c r="B570" i="1"/>
  <c r="C570" i="1"/>
  <c r="B571" i="1"/>
  <c r="C571" i="1"/>
  <c r="B572" i="1"/>
  <c r="C572" i="1"/>
  <c r="B573" i="1"/>
  <c r="C573" i="1"/>
  <c r="B574" i="1"/>
  <c r="C574" i="1"/>
  <c r="B575" i="1"/>
  <c r="C575" i="1"/>
  <c r="B576" i="1"/>
  <c r="C576" i="1"/>
  <c r="B577" i="1"/>
  <c r="C577" i="1"/>
  <c r="B578" i="1"/>
  <c r="C578" i="1"/>
  <c r="B579" i="1"/>
  <c r="C579" i="1"/>
  <c r="B580" i="1"/>
  <c r="C580" i="1"/>
  <c r="B581" i="1"/>
  <c r="C581" i="1"/>
  <c r="B582" i="1"/>
  <c r="C582" i="1"/>
  <c r="B583" i="1"/>
  <c r="C583" i="1"/>
  <c r="B584" i="1"/>
  <c r="C584" i="1"/>
  <c r="B585" i="1"/>
  <c r="C585" i="1"/>
  <c r="B586" i="1"/>
  <c r="C586" i="1"/>
  <c r="B587" i="1"/>
  <c r="C587" i="1"/>
  <c r="B588" i="1"/>
  <c r="C588" i="1"/>
  <c r="B589" i="1"/>
  <c r="C589" i="1"/>
  <c r="B590" i="1"/>
  <c r="C590" i="1"/>
  <c r="B591" i="1"/>
  <c r="C591" i="1"/>
  <c r="B592" i="1"/>
  <c r="C592" i="1"/>
  <c r="B593" i="1"/>
  <c r="C593" i="1"/>
  <c r="B594" i="1"/>
  <c r="C594" i="1"/>
  <c r="B595" i="1"/>
  <c r="C595" i="1"/>
  <c r="B596" i="1"/>
  <c r="C596" i="1"/>
  <c r="B597" i="1"/>
  <c r="C597" i="1"/>
  <c r="B598" i="1"/>
  <c r="C598" i="1"/>
  <c r="B599" i="1"/>
  <c r="C599" i="1"/>
  <c r="B600" i="1"/>
  <c r="C600" i="1"/>
  <c r="B601" i="1"/>
  <c r="C601" i="1"/>
  <c r="B602" i="1"/>
  <c r="C602" i="1"/>
  <c r="B603" i="1"/>
  <c r="C603" i="1"/>
  <c r="B604" i="1"/>
  <c r="C604" i="1"/>
  <c r="B605" i="1"/>
  <c r="C605" i="1"/>
  <c r="B606" i="1"/>
  <c r="C606" i="1"/>
  <c r="B607" i="1"/>
  <c r="C607" i="1"/>
  <c r="B608" i="1"/>
  <c r="C608" i="1"/>
  <c r="B609" i="1"/>
  <c r="C609" i="1"/>
  <c r="B610" i="1"/>
  <c r="C610" i="1"/>
  <c r="B611" i="1"/>
  <c r="C611" i="1"/>
  <c r="B612" i="1"/>
  <c r="C612" i="1"/>
  <c r="B613" i="1"/>
  <c r="C613" i="1"/>
  <c r="B614" i="1"/>
  <c r="C614" i="1"/>
  <c r="B615" i="1"/>
  <c r="C615" i="1"/>
  <c r="B616" i="1"/>
  <c r="C616" i="1"/>
  <c r="B617" i="1"/>
  <c r="C617" i="1"/>
  <c r="B618" i="1"/>
  <c r="C618" i="1"/>
  <c r="B619" i="1"/>
  <c r="C619" i="1"/>
  <c r="B620" i="1"/>
  <c r="C620" i="1"/>
  <c r="B621" i="1"/>
  <c r="C621" i="1"/>
  <c r="B622" i="1"/>
  <c r="C622" i="1"/>
  <c r="B623" i="1"/>
  <c r="C623" i="1"/>
  <c r="B624" i="1"/>
  <c r="C624" i="1"/>
  <c r="B625" i="1"/>
  <c r="C625" i="1"/>
  <c r="B626" i="1"/>
  <c r="C626" i="1"/>
  <c r="B627" i="1"/>
  <c r="C627" i="1"/>
  <c r="B628" i="1"/>
  <c r="C628" i="1"/>
  <c r="B629" i="1"/>
  <c r="C629" i="1"/>
  <c r="B630" i="1"/>
  <c r="C630" i="1"/>
  <c r="B631" i="1"/>
  <c r="C631" i="1"/>
  <c r="B632" i="1"/>
  <c r="C632" i="1"/>
  <c r="B633" i="1"/>
  <c r="C633" i="1"/>
  <c r="B634" i="1"/>
  <c r="C634" i="1"/>
  <c r="B635" i="1"/>
  <c r="C635" i="1"/>
  <c r="B636" i="1"/>
  <c r="C636" i="1"/>
  <c r="B637" i="1"/>
  <c r="C637" i="1"/>
  <c r="B638" i="1"/>
  <c r="C638" i="1"/>
  <c r="B639" i="1"/>
  <c r="C639" i="1"/>
  <c r="B640" i="1"/>
  <c r="C640" i="1"/>
  <c r="B641" i="1"/>
  <c r="C641" i="1"/>
  <c r="B642" i="1"/>
  <c r="C642" i="1"/>
  <c r="B643" i="1"/>
  <c r="C643" i="1"/>
  <c r="B644" i="1"/>
  <c r="C644" i="1"/>
  <c r="B645" i="1"/>
  <c r="C645" i="1"/>
  <c r="B646" i="1"/>
  <c r="C646" i="1"/>
  <c r="B647" i="1"/>
  <c r="C647" i="1"/>
  <c r="B648" i="1"/>
  <c r="C648" i="1"/>
  <c r="B649" i="1"/>
  <c r="C649" i="1"/>
  <c r="B650" i="1"/>
  <c r="C650" i="1"/>
  <c r="B651" i="1"/>
  <c r="C651" i="1"/>
  <c r="B652" i="1"/>
  <c r="C652" i="1"/>
  <c r="B653" i="1"/>
  <c r="C653" i="1"/>
  <c r="B654" i="1"/>
  <c r="C654" i="1"/>
  <c r="B655" i="1"/>
  <c r="C655" i="1"/>
  <c r="B656" i="1"/>
  <c r="C656" i="1"/>
  <c r="B657" i="1"/>
  <c r="C657" i="1"/>
  <c r="B658" i="1"/>
  <c r="C658" i="1"/>
  <c r="B659" i="1"/>
  <c r="C659" i="1"/>
  <c r="B660" i="1"/>
  <c r="C660" i="1"/>
  <c r="B661" i="1"/>
  <c r="C661" i="1"/>
  <c r="B662" i="1"/>
  <c r="C662" i="1"/>
  <c r="B663" i="1"/>
  <c r="C663" i="1"/>
  <c r="B664" i="1"/>
  <c r="C664" i="1"/>
  <c r="B665" i="1"/>
  <c r="C665" i="1"/>
  <c r="B666" i="1"/>
  <c r="C666" i="1"/>
  <c r="B667" i="1"/>
  <c r="C667" i="1"/>
  <c r="B668" i="1"/>
  <c r="C668" i="1"/>
  <c r="B669" i="1"/>
  <c r="C669" i="1"/>
  <c r="B670" i="1"/>
  <c r="C670" i="1"/>
  <c r="B671" i="1"/>
  <c r="C671" i="1"/>
  <c r="B672" i="1"/>
  <c r="C672" i="1"/>
  <c r="B673" i="1"/>
  <c r="C673" i="1"/>
  <c r="B674" i="1"/>
  <c r="C674" i="1"/>
  <c r="B675" i="1"/>
  <c r="C675" i="1"/>
  <c r="B676" i="1"/>
  <c r="C676" i="1"/>
  <c r="B677" i="1"/>
  <c r="C677" i="1"/>
  <c r="B678" i="1"/>
  <c r="C678" i="1"/>
  <c r="B679" i="1"/>
  <c r="C679" i="1"/>
  <c r="B680" i="1"/>
  <c r="C680" i="1"/>
  <c r="B681" i="1"/>
  <c r="C681" i="1"/>
  <c r="B682" i="1"/>
  <c r="C682" i="1"/>
  <c r="B683" i="1"/>
  <c r="C683" i="1"/>
  <c r="B684" i="1"/>
  <c r="C684" i="1"/>
  <c r="B685" i="1"/>
  <c r="C685" i="1"/>
  <c r="B686" i="1"/>
  <c r="C686" i="1"/>
  <c r="B687" i="1"/>
  <c r="C687" i="1"/>
  <c r="B688" i="1"/>
  <c r="C688" i="1"/>
  <c r="B689" i="1"/>
  <c r="C689" i="1"/>
  <c r="B690" i="1"/>
  <c r="C690" i="1"/>
  <c r="B691" i="1"/>
  <c r="C691" i="1"/>
  <c r="B692" i="1"/>
  <c r="C692" i="1"/>
  <c r="B693" i="1"/>
  <c r="C693" i="1"/>
  <c r="B694" i="1"/>
  <c r="C694" i="1"/>
  <c r="B695" i="1"/>
  <c r="C695" i="1"/>
  <c r="B696" i="1"/>
  <c r="C696" i="1"/>
  <c r="B697" i="1"/>
  <c r="C697" i="1"/>
  <c r="B698" i="1"/>
  <c r="C698" i="1"/>
  <c r="B699" i="1"/>
  <c r="C699" i="1"/>
  <c r="B700" i="1"/>
  <c r="C700" i="1"/>
  <c r="B701" i="1"/>
  <c r="C701" i="1"/>
  <c r="B702" i="1"/>
  <c r="C702" i="1"/>
  <c r="B703" i="1"/>
  <c r="C703" i="1"/>
  <c r="B704" i="1"/>
  <c r="C704" i="1"/>
  <c r="B705" i="1"/>
  <c r="C705" i="1"/>
  <c r="B706" i="1"/>
  <c r="C706" i="1"/>
  <c r="B707" i="1"/>
  <c r="C707" i="1"/>
  <c r="B708" i="1"/>
  <c r="C708" i="1"/>
  <c r="B709" i="1"/>
  <c r="C709" i="1"/>
  <c r="B710" i="1"/>
  <c r="C710" i="1"/>
  <c r="B711" i="1"/>
  <c r="C711" i="1"/>
  <c r="B712" i="1"/>
  <c r="C712" i="1"/>
  <c r="B713" i="1"/>
  <c r="C713" i="1"/>
  <c r="B714" i="1"/>
  <c r="C714" i="1"/>
  <c r="B715" i="1"/>
  <c r="C715" i="1"/>
  <c r="B716" i="1"/>
  <c r="C716" i="1"/>
  <c r="B717" i="1"/>
  <c r="C717" i="1"/>
  <c r="B718" i="1"/>
  <c r="C718" i="1"/>
  <c r="B719" i="1"/>
  <c r="C719" i="1"/>
  <c r="B720" i="1"/>
  <c r="C720" i="1"/>
  <c r="B721" i="1"/>
  <c r="C721" i="1"/>
  <c r="B722" i="1"/>
  <c r="C722" i="1"/>
  <c r="B723" i="1"/>
  <c r="C723" i="1"/>
  <c r="B724" i="1"/>
  <c r="C724" i="1"/>
  <c r="B725" i="1"/>
  <c r="C725" i="1"/>
  <c r="B726" i="1"/>
  <c r="C726" i="1"/>
  <c r="B727" i="1"/>
  <c r="C727" i="1"/>
  <c r="B728" i="1"/>
  <c r="C728" i="1"/>
  <c r="B729" i="1"/>
  <c r="C729" i="1"/>
  <c r="B730" i="1"/>
  <c r="C730" i="1"/>
  <c r="B731" i="1"/>
  <c r="C731" i="1"/>
  <c r="B732" i="1"/>
  <c r="C732" i="1"/>
  <c r="B733" i="1"/>
  <c r="C733" i="1"/>
  <c r="B734" i="1"/>
  <c r="C734" i="1"/>
  <c r="B735" i="1"/>
  <c r="C735" i="1"/>
  <c r="B736" i="1"/>
  <c r="C736" i="1"/>
  <c r="B737" i="1"/>
  <c r="C737" i="1"/>
  <c r="B738" i="1"/>
  <c r="C738" i="1"/>
  <c r="B739" i="1"/>
  <c r="C739" i="1"/>
  <c r="B740" i="1"/>
  <c r="C740" i="1"/>
  <c r="B741" i="1"/>
  <c r="C741" i="1"/>
  <c r="B742" i="1"/>
  <c r="C742" i="1"/>
  <c r="B743" i="1"/>
  <c r="C743" i="1"/>
  <c r="B744" i="1"/>
  <c r="C744" i="1"/>
  <c r="B745" i="1"/>
  <c r="C745" i="1"/>
  <c r="B746" i="1"/>
  <c r="C746" i="1"/>
  <c r="B747" i="1"/>
  <c r="C747" i="1"/>
  <c r="B748" i="1"/>
  <c r="C748" i="1"/>
  <c r="B749" i="1"/>
  <c r="C749" i="1"/>
  <c r="B750" i="1"/>
  <c r="C750" i="1"/>
  <c r="B751" i="1"/>
  <c r="C751" i="1"/>
  <c r="B752" i="1"/>
  <c r="C752" i="1"/>
  <c r="B753" i="1"/>
  <c r="C753" i="1"/>
  <c r="B754" i="1"/>
  <c r="C754" i="1"/>
  <c r="B755" i="1"/>
  <c r="C755" i="1"/>
  <c r="B756" i="1"/>
  <c r="C756" i="1"/>
  <c r="B757" i="1"/>
  <c r="C757" i="1"/>
  <c r="B758" i="1"/>
  <c r="C758" i="1"/>
  <c r="B759" i="1"/>
  <c r="C759" i="1"/>
  <c r="B760" i="1"/>
  <c r="C760" i="1"/>
  <c r="B761" i="1"/>
  <c r="C761" i="1"/>
  <c r="B762" i="1"/>
  <c r="C762" i="1"/>
  <c r="B763" i="1"/>
  <c r="C763" i="1"/>
  <c r="B764" i="1"/>
  <c r="C764" i="1"/>
  <c r="B765" i="1"/>
  <c r="C765" i="1"/>
  <c r="B766" i="1"/>
  <c r="C766" i="1"/>
  <c r="B767" i="1"/>
  <c r="C767" i="1"/>
  <c r="B768" i="1"/>
  <c r="C768" i="1"/>
  <c r="B769" i="1"/>
  <c r="C769" i="1"/>
  <c r="B770" i="1"/>
  <c r="C770" i="1"/>
  <c r="B771" i="1"/>
  <c r="C771" i="1"/>
  <c r="B772" i="1"/>
  <c r="C772" i="1"/>
  <c r="B773" i="1"/>
  <c r="C773" i="1"/>
  <c r="B774" i="1"/>
  <c r="C774" i="1"/>
  <c r="B775" i="1"/>
  <c r="C775" i="1"/>
  <c r="B776" i="1"/>
  <c r="C776" i="1"/>
  <c r="B777" i="1"/>
  <c r="C777" i="1"/>
  <c r="B778" i="1"/>
  <c r="C778" i="1"/>
  <c r="B779" i="1"/>
  <c r="C779" i="1"/>
  <c r="B780" i="1"/>
  <c r="C780" i="1"/>
  <c r="B781" i="1"/>
  <c r="C781" i="1"/>
  <c r="B782" i="1"/>
  <c r="C782" i="1"/>
  <c r="B783" i="1"/>
  <c r="C783" i="1"/>
  <c r="B784" i="1"/>
  <c r="C784" i="1"/>
  <c r="B785" i="1"/>
  <c r="C785" i="1"/>
  <c r="B786" i="1"/>
  <c r="C786" i="1"/>
  <c r="B787" i="1"/>
  <c r="C787" i="1"/>
  <c r="B788" i="1"/>
  <c r="C788" i="1"/>
  <c r="B789" i="1"/>
  <c r="C789" i="1"/>
  <c r="B790" i="1"/>
  <c r="C790" i="1"/>
  <c r="B791" i="1"/>
  <c r="C791" i="1"/>
  <c r="B792" i="1"/>
  <c r="C792" i="1"/>
  <c r="B793" i="1"/>
  <c r="C793" i="1"/>
  <c r="B794" i="1"/>
  <c r="C794" i="1"/>
  <c r="B795" i="1"/>
  <c r="C795" i="1"/>
  <c r="B796" i="1"/>
  <c r="C796" i="1"/>
  <c r="B797" i="1"/>
  <c r="C797" i="1"/>
  <c r="B798" i="1"/>
  <c r="C798" i="1"/>
  <c r="B799" i="1"/>
  <c r="C799" i="1"/>
  <c r="B800" i="1"/>
  <c r="C800" i="1"/>
  <c r="B801" i="1"/>
  <c r="C801" i="1"/>
  <c r="B802" i="1"/>
  <c r="C802" i="1"/>
  <c r="B803" i="1"/>
  <c r="C803" i="1"/>
  <c r="B804" i="1"/>
  <c r="C804" i="1"/>
  <c r="B805" i="1"/>
  <c r="C805" i="1"/>
  <c r="B806" i="1"/>
  <c r="C806" i="1"/>
  <c r="B807" i="1"/>
  <c r="C807" i="1"/>
  <c r="B808" i="1"/>
  <c r="C808" i="1"/>
  <c r="B809" i="1"/>
  <c r="C809" i="1"/>
  <c r="B810" i="1"/>
  <c r="C810" i="1"/>
  <c r="B811" i="1"/>
  <c r="C811" i="1"/>
  <c r="B812" i="1"/>
  <c r="C812" i="1"/>
  <c r="B813" i="1"/>
  <c r="C813" i="1"/>
  <c r="B814" i="1"/>
  <c r="C814" i="1"/>
  <c r="B815" i="1"/>
  <c r="C815" i="1"/>
  <c r="B816" i="1"/>
  <c r="C816" i="1"/>
  <c r="B817" i="1"/>
  <c r="C817" i="1"/>
  <c r="B818" i="1"/>
  <c r="C818" i="1"/>
  <c r="B819" i="1"/>
  <c r="C819" i="1"/>
  <c r="B820" i="1"/>
  <c r="C820" i="1"/>
  <c r="B821" i="1"/>
  <c r="C821" i="1"/>
  <c r="B822" i="1"/>
  <c r="C822" i="1"/>
  <c r="B823" i="1"/>
  <c r="C823" i="1"/>
  <c r="B824" i="1"/>
  <c r="C824" i="1"/>
  <c r="B825" i="1"/>
  <c r="C825" i="1"/>
  <c r="B826" i="1"/>
  <c r="C826" i="1"/>
  <c r="B827" i="1"/>
  <c r="C827" i="1"/>
  <c r="B828" i="1"/>
  <c r="C828" i="1"/>
  <c r="B829" i="1"/>
  <c r="C829" i="1"/>
  <c r="B830" i="1"/>
  <c r="C830" i="1"/>
  <c r="B831" i="1"/>
  <c r="C831" i="1"/>
  <c r="B832" i="1"/>
  <c r="C832" i="1"/>
  <c r="B833" i="1"/>
  <c r="C833" i="1"/>
  <c r="B834" i="1"/>
  <c r="C834" i="1"/>
  <c r="B835" i="1"/>
  <c r="C835" i="1"/>
  <c r="B836" i="1"/>
  <c r="C836" i="1"/>
  <c r="B837" i="1"/>
  <c r="C837" i="1"/>
  <c r="B838" i="1"/>
  <c r="C838" i="1"/>
  <c r="B839" i="1"/>
  <c r="C839" i="1"/>
  <c r="B840" i="1"/>
  <c r="C840" i="1"/>
  <c r="B841" i="1"/>
  <c r="C841" i="1"/>
  <c r="B842" i="1"/>
  <c r="C842" i="1"/>
  <c r="B843" i="1"/>
  <c r="C843" i="1"/>
  <c r="B844" i="1"/>
  <c r="C844" i="1"/>
  <c r="B845" i="1"/>
  <c r="C845" i="1"/>
  <c r="B846" i="1"/>
  <c r="C846" i="1"/>
  <c r="B847" i="1"/>
  <c r="C847" i="1"/>
  <c r="B848" i="1"/>
  <c r="C848" i="1"/>
  <c r="B849" i="1"/>
  <c r="C849" i="1"/>
  <c r="B850" i="1"/>
  <c r="C850" i="1"/>
  <c r="B851" i="1"/>
  <c r="C851" i="1"/>
  <c r="B852" i="1"/>
  <c r="C852" i="1"/>
  <c r="B853" i="1"/>
  <c r="C853" i="1"/>
  <c r="B854" i="1"/>
  <c r="C854" i="1"/>
  <c r="B855" i="1"/>
  <c r="C855" i="1"/>
  <c r="B856" i="1"/>
  <c r="C856" i="1"/>
  <c r="B857" i="1"/>
  <c r="C857" i="1"/>
  <c r="B858" i="1"/>
  <c r="C858" i="1"/>
  <c r="B859" i="1"/>
  <c r="C859" i="1"/>
  <c r="B860" i="1"/>
  <c r="C860" i="1"/>
  <c r="B861" i="1"/>
  <c r="C861" i="1"/>
  <c r="B862" i="1"/>
  <c r="C862" i="1"/>
  <c r="B863" i="1"/>
  <c r="C863" i="1"/>
  <c r="B864" i="1"/>
  <c r="C864" i="1"/>
  <c r="B865" i="1"/>
  <c r="C865" i="1"/>
  <c r="B866" i="1"/>
  <c r="C866" i="1"/>
  <c r="B867" i="1"/>
  <c r="C867" i="1"/>
  <c r="B868" i="1"/>
  <c r="C868" i="1"/>
  <c r="B869" i="1"/>
  <c r="C869" i="1"/>
  <c r="B870" i="1"/>
  <c r="C870" i="1"/>
  <c r="B871" i="1"/>
  <c r="C871" i="1"/>
  <c r="B872" i="1"/>
  <c r="C872" i="1"/>
  <c r="B873" i="1"/>
  <c r="C873" i="1"/>
  <c r="B874" i="1"/>
  <c r="C874" i="1"/>
  <c r="B875" i="1"/>
  <c r="C875" i="1"/>
  <c r="B876" i="1"/>
  <c r="C876" i="1"/>
  <c r="B877" i="1"/>
  <c r="C877" i="1"/>
  <c r="B878" i="1"/>
  <c r="C878" i="1"/>
  <c r="B879" i="1"/>
  <c r="C879" i="1"/>
  <c r="B880" i="1"/>
  <c r="C880" i="1"/>
  <c r="B881" i="1"/>
  <c r="C881" i="1"/>
  <c r="B882" i="1"/>
  <c r="C882" i="1"/>
  <c r="B883" i="1"/>
  <c r="C883" i="1"/>
  <c r="B884" i="1"/>
  <c r="C884" i="1"/>
  <c r="B885" i="1"/>
  <c r="C885" i="1"/>
  <c r="B886" i="1"/>
  <c r="C886" i="1"/>
  <c r="B887" i="1"/>
  <c r="C887" i="1"/>
  <c r="B888" i="1"/>
  <c r="C888" i="1"/>
  <c r="B889" i="1"/>
  <c r="C889" i="1"/>
  <c r="B890" i="1"/>
  <c r="C890" i="1"/>
  <c r="B891" i="1"/>
  <c r="C891" i="1"/>
  <c r="B892" i="1"/>
  <c r="C892" i="1"/>
  <c r="B893" i="1"/>
  <c r="C893" i="1"/>
  <c r="B894" i="1"/>
  <c r="C894" i="1"/>
  <c r="B895" i="1"/>
  <c r="C895" i="1"/>
  <c r="B896" i="1"/>
  <c r="C896" i="1"/>
  <c r="B897" i="1"/>
  <c r="C897" i="1"/>
  <c r="B898" i="1"/>
  <c r="C898" i="1"/>
  <c r="B899" i="1"/>
  <c r="C899" i="1"/>
  <c r="B900" i="1"/>
  <c r="C900" i="1"/>
  <c r="B901" i="1"/>
  <c r="C901" i="1"/>
  <c r="B902" i="1"/>
  <c r="C902" i="1"/>
  <c r="B903" i="1"/>
  <c r="C903" i="1"/>
  <c r="B904" i="1"/>
  <c r="C904" i="1"/>
  <c r="B905" i="1"/>
  <c r="C905" i="1"/>
  <c r="B906" i="1"/>
  <c r="C906" i="1"/>
  <c r="B907" i="1"/>
  <c r="C907" i="1"/>
  <c r="B908" i="1"/>
  <c r="C908" i="1"/>
  <c r="B909" i="1"/>
  <c r="C909" i="1"/>
  <c r="B910" i="1"/>
  <c r="C910" i="1"/>
  <c r="B911" i="1"/>
  <c r="C911" i="1"/>
  <c r="B912" i="1"/>
  <c r="C912" i="1"/>
  <c r="B913" i="1"/>
  <c r="C913" i="1"/>
  <c r="B914" i="1"/>
  <c r="C914" i="1"/>
  <c r="B915" i="1"/>
  <c r="C915" i="1"/>
  <c r="B916" i="1"/>
  <c r="C916" i="1"/>
  <c r="B917" i="1"/>
  <c r="C917" i="1"/>
  <c r="B918" i="1"/>
  <c r="C918" i="1"/>
  <c r="B919" i="1"/>
  <c r="C919" i="1"/>
  <c r="B920" i="1"/>
  <c r="C920" i="1"/>
  <c r="B921" i="1"/>
  <c r="C921" i="1"/>
  <c r="B922" i="1"/>
  <c r="C922" i="1"/>
  <c r="B923" i="1"/>
  <c r="C923" i="1"/>
  <c r="B924" i="1"/>
  <c r="C924" i="1"/>
  <c r="B925" i="1"/>
  <c r="C925" i="1"/>
  <c r="B926" i="1"/>
  <c r="C926" i="1"/>
  <c r="B927" i="1"/>
  <c r="C927" i="1"/>
  <c r="B928" i="1"/>
  <c r="C928" i="1"/>
  <c r="B929" i="1"/>
  <c r="C929" i="1"/>
  <c r="B930" i="1"/>
  <c r="C930" i="1"/>
  <c r="B931" i="1"/>
  <c r="C931" i="1"/>
  <c r="B932" i="1"/>
  <c r="C932" i="1"/>
  <c r="B933" i="1"/>
  <c r="C933" i="1"/>
  <c r="B934" i="1"/>
  <c r="C934" i="1"/>
  <c r="B935" i="1"/>
  <c r="C935" i="1"/>
  <c r="B936" i="1"/>
  <c r="C936" i="1"/>
  <c r="B937" i="1"/>
  <c r="C937" i="1"/>
  <c r="B938" i="1"/>
  <c r="C938" i="1"/>
  <c r="B939" i="1"/>
  <c r="C939" i="1"/>
  <c r="B940" i="1"/>
  <c r="C940" i="1"/>
  <c r="B941" i="1"/>
  <c r="C941" i="1"/>
  <c r="B942" i="1"/>
  <c r="C942" i="1"/>
  <c r="B943" i="1"/>
  <c r="C943" i="1"/>
  <c r="B944" i="1"/>
  <c r="C944" i="1"/>
  <c r="B945" i="1"/>
  <c r="C945" i="1"/>
  <c r="B946" i="1"/>
  <c r="C946" i="1"/>
  <c r="B947" i="1"/>
  <c r="C947" i="1"/>
  <c r="B948" i="1"/>
  <c r="C948" i="1"/>
  <c r="B949" i="1"/>
  <c r="C949" i="1"/>
  <c r="B950" i="1"/>
  <c r="C950" i="1"/>
  <c r="B951" i="1"/>
  <c r="C951" i="1"/>
  <c r="B952" i="1"/>
  <c r="C952" i="1"/>
  <c r="B953" i="1"/>
  <c r="C953" i="1"/>
  <c r="B954" i="1"/>
  <c r="C954" i="1"/>
  <c r="B955" i="1"/>
  <c r="C955" i="1"/>
  <c r="B956" i="1"/>
  <c r="C956" i="1"/>
  <c r="B957" i="1"/>
  <c r="C957" i="1"/>
  <c r="B958" i="1"/>
  <c r="C958" i="1"/>
  <c r="B959" i="1"/>
  <c r="C959" i="1"/>
  <c r="B960" i="1"/>
  <c r="C960" i="1"/>
  <c r="B961" i="1"/>
  <c r="C961" i="1"/>
  <c r="B962" i="1"/>
  <c r="C962" i="1"/>
  <c r="B963" i="1"/>
  <c r="C963" i="1"/>
  <c r="B964" i="1"/>
  <c r="C964" i="1"/>
  <c r="B965" i="1"/>
  <c r="C965" i="1"/>
  <c r="B966" i="1"/>
  <c r="C966" i="1"/>
  <c r="B967" i="1"/>
  <c r="C967" i="1"/>
  <c r="B968" i="1"/>
  <c r="C968" i="1"/>
  <c r="B969" i="1"/>
  <c r="C969" i="1"/>
  <c r="B970" i="1"/>
  <c r="C970" i="1"/>
  <c r="B971" i="1"/>
  <c r="C971" i="1"/>
  <c r="B972" i="1"/>
  <c r="C972" i="1"/>
  <c r="B973" i="1"/>
  <c r="C973" i="1"/>
  <c r="B974" i="1"/>
  <c r="C974" i="1"/>
  <c r="B975" i="1"/>
  <c r="C975" i="1"/>
  <c r="B976" i="1"/>
  <c r="C976" i="1"/>
  <c r="B977" i="1"/>
  <c r="C977" i="1"/>
  <c r="B978" i="1"/>
  <c r="C978" i="1"/>
  <c r="B979" i="1"/>
  <c r="C979" i="1"/>
  <c r="B980" i="1"/>
  <c r="C980" i="1"/>
  <c r="B981" i="1"/>
  <c r="C981" i="1"/>
  <c r="B982" i="1"/>
  <c r="C982" i="1"/>
  <c r="B983" i="1"/>
  <c r="C983" i="1"/>
  <c r="B984" i="1"/>
  <c r="C984" i="1"/>
  <c r="B985" i="1"/>
  <c r="C985" i="1"/>
  <c r="B986" i="1"/>
  <c r="C986" i="1"/>
  <c r="B987" i="1"/>
  <c r="C987" i="1"/>
  <c r="B988" i="1"/>
  <c r="C988" i="1"/>
  <c r="B989" i="1"/>
  <c r="C989" i="1"/>
  <c r="B990" i="1"/>
  <c r="C990" i="1"/>
  <c r="B991" i="1"/>
  <c r="C991" i="1"/>
  <c r="B992" i="1"/>
  <c r="C992" i="1"/>
  <c r="B993" i="1"/>
  <c r="C993" i="1"/>
  <c r="B994" i="1"/>
  <c r="C994" i="1"/>
  <c r="B995" i="1"/>
  <c r="C995" i="1"/>
  <c r="B996" i="1"/>
  <c r="C996" i="1"/>
  <c r="B997" i="1"/>
  <c r="C997" i="1"/>
  <c r="B998" i="1"/>
  <c r="C998" i="1"/>
  <c r="B999" i="1"/>
  <c r="C999" i="1"/>
  <c r="B1000" i="1"/>
  <c r="C1000" i="1"/>
  <c r="B1001" i="1"/>
  <c r="C1001" i="1"/>
  <c r="B1002" i="1"/>
  <c r="C1002" i="1"/>
  <c r="B1003" i="1"/>
  <c r="C1003" i="1"/>
  <c r="B1004" i="1"/>
  <c r="C1004" i="1"/>
  <c r="B1005" i="1"/>
  <c r="C1005" i="1"/>
  <c r="B1006" i="1"/>
  <c r="C1006" i="1"/>
  <c r="B1007" i="1"/>
  <c r="C1007" i="1"/>
  <c r="B1008" i="1"/>
  <c r="C1008" i="1"/>
  <c r="B1009" i="1"/>
  <c r="C1009" i="1"/>
  <c r="B1010" i="1"/>
  <c r="C1010" i="1"/>
  <c r="B1011" i="1"/>
  <c r="C1011" i="1"/>
  <c r="B1012" i="1"/>
  <c r="C1012" i="1"/>
  <c r="B1013" i="1"/>
  <c r="C1013" i="1"/>
  <c r="B1014" i="1"/>
  <c r="C1014" i="1"/>
  <c r="B1015" i="1"/>
  <c r="C1015" i="1"/>
  <c r="B1016" i="1"/>
  <c r="C1016" i="1"/>
  <c r="B1017" i="1"/>
  <c r="C1017" i="1"/>
  <c r="B1018" i="1"/>
  <c r="C1018" i="1"/>
  <c r="B1019" i="1"/>
  <c r="C1019" i="1"/>
  <c r="B1020" i="1"/>
  <c r="C1020" i="1"/>
  <c r="B1021" i="1"/>
  <c r="C1021" i="1"/>
  <c r="B1022" i="1"/>
  <c r="C1022" i="1"/>
  <c r="B1023" i="1"/>
  <c r="C1023" i="1"/>
  <c r="B1024" i="1"/>
  <c r="C1024" i="1"/>
  <c r="B1025" i="1"/>
  <c r="C1025" i="1"/>
  <c r="B1026" i="1"/>
  <c r="C1026" i="1"/>
  <c r="B1027" i="1"/>
  <c r="C1027" i="1"/>
  <c r="B1028" i="1"/>
  <c r="C1028" i="1"/>
  <c r="B1029" i="1"/>
  <c r="C1029" i="1"/>
  <c r="B1030" i="1"/>
  <c r="C1030" i="1"/>
  <c r="B1031" i="1"/>
  <c r="C1031" i="1"/>
  <c r="B1032" i="1"/>
  <c r="C1032" i="1"/>
  <c r="B1033" i="1"/>
  <c r="C1033" i="1"/>
  <c r="B1034" i="1"/>
  <c r="C1034" i="1"/>
  <c r="B1035" i="1"/>
  <c r="C1035" i="1"/>
  <c r="B1036" i="1"/>
  <c r="C1036" i="1"/>
  <c r="B1037" i="1"/>
  <c r="C1037" i="1"/>
  <c r="B1038" i="1"/>
  <c r="C1038" i="1"/>
  <c r="B1039" i="1"/>
  <c r="C1039" i="1"/>
  <c r="B1040" i="1"/>
  <c r="C1040" i="1"/>
  <c r="B1041" i="1"/>
  <c r="C1041" i="1"/>
  <c r="B1042" i="1"/>
  <c r="C1042" i="1"/>
  <c r="B1043" i="1"/>
  <c r="C1043" i="1"/>
  <c r="B1044" i="1"/>
  <c r="C1044" i="1"/>
  <c r="B1045" i="1"/>
  <c r="C1045" i="1"/>
  <c r="B1046" i="1"/>
  <c r="C1046" i="1"/>
  <c r="B1047" i="1"/>
  <c r="C1047" i="1"/>
  <c r="B1048" i="1"/>
  <c r="C1048" i="1"/>
  <c r="B1049" i="1"/>
  <c r="C1049" i="1"/>
  <c r="B1050" i="1"/>
  <c r="C1050" i="1"/>
  <c r="B1051" i="1"/>
  <c r="C1051" i="1"/>
  <c r="B1052" i="1"/>
  <c r="C1052" i="1"/>
  <c r="B1053" i="1"/>
  <c r="C1053" i="1"/>
  <c r="B1054" i="1"/>
  <c r="C1054" i="1"/>
  <c r="B1055" i="1"/>
  <c r="C1055" i="1"/>
  <c r="B1056" i="1"/>
  <c r="C1056" i="1"/>
  <c r="B1057" i="1"/>
  <c r="C1057" i="1"/>
  <c r="B1058" i="1"/>
  <c r="C1058" i="1"/>
  <c r="B1059" i="1"/>
  <c r="C1059" i="1"/>
  <c r="B1060" i="1"/>
  <c r="C1060" i="1"/>
  <c r="B1061" i="1"/>
  <c r="C1061" i="1"/>
  <c r="B1062" i="1"/>
  <c r="C1062" i="1"/>
  <c r="B1063" i="1"/>
  <c r="C1063" i="1"/>
  <c r="B1064" i="1"/>
  <c r="C1064" i="1"/>
  <c r="B1065" i="1"/>
  <c r="C1065" i="1"/>
  <c r="B1066" i="1"/>
  <c r="C1066" i="1"/>
  <c r="B1067" i="1"/>
  <c r="C1067" i="1"/>
  <c r="B1068" i="1"/>
  <c r="C1068" i="1"/>
  <c r="B1069" i="1"/>
  <c r="C1069" i="1"/>
  <c r="B1070" i="1"/>
  <c r="C1070" i="1"/>
  <c r="B1071" i="1"/>
  <c r="C1071" i="1"/>
  <c r="B1072" i="1"/>
  <c r="C1072" i="1"/>
  <c r="B1073" i="1"/>
  <c r="C1073" i="1"/>
  <c r="B1074" i="1"/>
  <c r="C1074" i="1"/>
  <c r="B1075" i="1"/>
  <c r="C1075" i="1"/>
  <c r="B1076" i="1"/>
  <c r="C1076" i="1"/>
  <c r="B1077" i="1"/>
  <c r="C1077" i="1"/>
  <c r="B1078" i="1"/>
  <c r="C1078" i="1"/>
  <c r="B1079" i="1"/>
  <c r="C1079" i="1"/>
  <c r="B1080" i="1"/>
  <c r="C1080" i="1"/>
  <c r="B1081" i="1"/>
  <c r="C1081" i="1"/>
  <c r="B1082" i="1"/>
  <c r="C1082" i="1"/>
  <c r="B1083" i="1"/>
  <c r="C1083" i="1"/>
  <c r="B1084" i="1"/>
  <c r="C1084" i="1"/>
  <c r="B1085" i="1"/>
  <c r="C1085" i="1"/>
  <c r="B1086" i="1"/>
  <c r="C1086" i="1"/>
  <c r="B1087" i="1"/>
  <c r="C1087" i="1"/>
  <c r="B1088" i="1"/>
  <c r="C1088" i="1"/>
  <c r="B1089" i="1"/>
  <c r="C1089" i="1"/>
  <c r="B1090" i="1"/>
  <c r="C1090" i="1"/>
  <c r="B1091" i="1"/>
  <c r="C1091" i="1"/>
  <c r="B1092" i="1"/>
  <c r="C1092" i="1"/>
  <c r="B1093" i="1"/>
  <c r="C1093" i="1"/>
  <c r="B1094" i="1"/>
  <c r="C1094" i="1"/>
  <c r="B1095" i="1"/>
  <c r="C1095" i="1"/>
  <c r="B1096" i="1"/>
  <c r="C1096" i="1"/>
  <c r="B1097" i="1"/>
  <c r="C1097" i="1"/>
  <c r="B1098" i="1"/>
  <c r="C1098" i="1"/>
  <c r="B1099" i="1"/>
  <c r="C1099" i="1"/>
  <c r="B1100" i="1"/>
  <c r="C1100" i="1"/>
  <c r="B1101" i="1"/>
  <c r="C1101" i="1"/>
  <c r="B1102" i="1"/>
  <c r="C1102" i="1"/>
  <c r="B1103" i="1"/>
  <c r="C1103" i="1"/>
  <c r="B1104" i="1"/>
  <c r="C1104" i="1"/>
  <c r="B1105" i="1"/>
  <c r="C1105" i="1"/>
  <c r="B1106" i="1"/>
  <c r="C1106" i="1"/>
  <c r="B1107" i="1"/>
  <c r="C1107" i="1"/>
  <c r="B1108" i="1"/>
  <c r="C1108" i="1"/>
  <c r="B1109" i="1"/>
  <c r="C1109" i="1"/>
  <c r="B1110" i="1"/>
  <c r="C1110" i="1"/>
  <c r="B1111" i="1"/>
  <c r="C1111" i="1"/>
  <c r="B1112" i="1"/>
  <c r="C1112" i="1"/>
  <c r="B1113" i="1"/>
  <c r="C1113" i="1"/>
  <c r="B1114" i="1"/>
  <c r="C1114" i="1"/>
  <c r="B1115" i="1"/>
  <c r="C1115" i="1"/>
  <c r="B1116" i="1"/>
  <c r="C1116" i="1"/>
  <c r="B1117" i="1"/>
  <c r="C1117" i="1"/>
  <c r="B1118" i="1"/>
  <c r="C1118" i="1"/>
  <c r="B1119" i="1"/>
  <c r="C1119" i="1"/>
  <c r="B1120" i="1"/>
  <c r="C1120" i="1"/>
  <c r="B1121" i="1"/>
  <c r="C1121" i="1"/>
  <c r="B1122" i="1"/>
  <c r="C1122" i="1"/>
  <c r="B1123" i="1"/>
  <c r="C1123" i="1"/>
  <c r="B1124" i="1"/>
  <c r="C1124" i="1"/>
  <c r="B1125" i="1"/>
  <c r="C1125" i="1"/>
  <c r="B1126" i="1"/>
  <c r="C1126" i="1"/>
  <c r="B1127" i="1"/>
  <c r="C1127" i="1"/>
  <c r="B1128" i="1"/>
  <c r="C1128" i="1"/>
  <c r="B1129" i="1"/>
  <c r="C1129" i="1"/>
  <c r="B1130" i="1"/>
  <c r="C1130" i="1"/>
  <c r="B1131" i="1"/>
  <c r="C1131" i="1"/>
  <c r="B1132" i="1"/>
  <c r="C1132" i="1"/>
  <c r="B1133" i="1"/>
  <c r="C1133" i="1"/>
  <c r="B1134" i="1"/>
  <c r="C1134" i="1"/>
  <c r="B1135" i="1"/>
  <c r="C1135" i="1"/>
  <c r="B1136" i="1"/>
  <c r="C1136" i="1"/>
  <c r="B1137" i="1"/>
  <c r="C1137" i="1"/>
  <c r="B1138" i="1"/>
  <c r="C1138" i="1"/>
  <c r="B1139" i="1"/>
  <c r="C1139" i="1"/>
  <c r="B1140" i="1"/>
  <c r="C1140" i="1"/>
  <c r="B1141" i="1"/>
  <c r="C1141" i="1"/>
  <c r="B1142" i="1"/>
  <c r="C1142" i="1"/>
  <c r="B1143" i="1"/>
  <c r="C1143" i="1"/>
  <c r="B1144" i="1"/>
  <c r="C1144" i="1"/>
  <c r="B1145" i="1"/>
  <c r="C1145" i="1"/>
  <c r="B1146" i="1"/>
  <c r="C1146" i="1"/>
  <c r="B1147" i="1"/>
  <c r="C1147" i="1"/>
  <c r="B1148" i="1"/>
  <c r="C1148" i="1"/>
  <c r="B1149" i="1"/>
  <c r="C1149" i="1"/>
  <c r="B1150" i="1"/>
  <c r="C1150" i="1"/>
  <c r="B1151" i="1"/>
  <c r="C1151" i="1"/>
  <c r="B1152" i="1"/>
  <c r="C1152" i="1"/>
  <c r="B1153" i="1"/>
  <c r="C1153" i="1"/>
  <c r="B1154" i="1"/>
  <c r="C1154" i="1"/>
  <c r="B1155" i="1"/>
  <c r="C1155" i="1"/>
  <c r="B1156" i="1"/>
  <c r="C1156" i="1"/>
  <c r="B1157" i="1"/>
  <c r="C1157" i="1"/>
  <c r="B1158" i="1"/>
  <c r="C1158" i="1"/>
  <c r="B1159" i="1"/>
  <c r="C1159" i="1"/>
  <c r="B1160" i="1"/>
  <c r="C1160" i="1"/>
  <c r="B1161" i="1"/>
  <c r="C1161" i="1"/>
  <c r="B1162" i="1"/>
  <c r="C1162" i="1"/>
  <c r="B1163" i="1"/>
  <c r="C1163" i="1"/>
  <c r="B1164" i="1"/>
  <c r="C1164" i="1"/>
  <c r="B1165" i="1"/>
  <c r="C1165" i="1"/>
  <c r="B1166" i="1"/>
  <c r="C1166" i="1"/>
  <c r="B1167" i="1"/>
  <c r="C1167" i="1"/>
  <c r="B1168" i="1"/>
  <c r="C1168" i="1"/>
  <c r="B1169" i="1"/>
  <c r="C1169" i="1"/>
  <c r="B1170" i="1"/>
  <c r="C1170" i="1"/>
  <c r="B1171" i="1"/>
  <c r="C1171" i="1"/>
  <c r="B1172" i="1"/>
  <c r="C1172" i="1"/>
  <c r="B1173" i="1"/>
  <c r="C1173" i="1"/>
  <c r="B1174" i="1"/>
  <c r="C1174" i="1"/>
  <c r="B1175" i="1"/>
  <c r="C1175" i="1"/>
  <c r="B1176" i="1"/>
  <c r="C1176" i="1"/>
  <c r="B1177" i="1"/>
  <c r="C1177" i="1"/>
  <c r="B1178" i="1"/>
  <c r="C1178" i="1"/>
  <c r="B1179" i="1"/>
  <c r="C1179" i="1"/>
  <c r="B1180" i="1"/>
  <c r="C1180" i="1"/>
  <c r="B1181" i="1"/>
  <c r="C1181" i="1"/>
  <c r="B1182" i="1"/>
  <c r="C1182" i="1"/>
  <c r="B1183" i="1"/>
  <c r="C1183" i="1"/>
  <c r="B1184" i="1"/>
  <c r="C1184" i="1"/>
  <c r="B1185" i="1"/>
  <c r="C1185" i="1"/>
  <c r="B1186" i="1"/>
  <c r="C1186" i="1"/>
  <c r="B1187" i="1"/>
  <c r="C1187" i="1"/>
  <c r="B1188" i="1"/>
  <c r="C1188" i="1"/>
  <c r="B1189" i="1"/>
  <c r="C1189" i="1"/>
  <c r="B1190" i="1"/>
  <c r="C1190" i="1"/>
  <c r="B1191" i="1"/>
  <c r="C1191" i="1"/>
  <c r="B1192" i="1"/>
  <c r="C1192" i="1"/>
  <c r="B1193" i="1"/>
  <c r="C1193" i="1"/>
  <c r="B1194" i="1"/>
  <c r="C1194" i="1"/>
  <c r="B1195" i="1"/>
  <c r="C1195" i="1"/>
  <c r="B1196" i="1"/>
  <c r="C1196" i="1"/>
  <c r="B1197" i="1"/>
  <c r="C1197" i="1"/>
  <c r="B1198" i="1"/>
  <c r="C1198" i="1"/>
  <c r="B1199" i="1"/>
  <c r="C1199" i="1"/>
  <c r="B1200" i="1"/>
  <c r="C1200" i="1"/>
  <c r="B1201" i="1"/>
  <c r="C1201" i="1"/>
  <c r="B1202" i="1"/>
  <c r="C1202" i="1"/>
  <c r="B1203" i="1"/>
  <c r="C1203" i="1"/>
  <c r="B1204" i="1"/>
  <c r="C1204" i="1"/>
  <c r="B1205" i="1"/>
  <c r="C1205" i="1"/>
  <c r="B1206" i="1"/>
  <c r="C1206" i="1"/>
  <c r="B1207" i="1"/>
  <c r="C1207" i="1"/>
  <c r="B1208" i="1"/>
  <c r="C1208" i="1"/>
  <c r="B1209" i="1"/>
  <c r="C1209" i="1"/>
  <c r="B1210" i="1"/>
  <c r="C1210" i="1"/>
  <c r="B1211" i="1"/>
  <c r="C1211" i="1"/>
  <c r="B1212" i="1"/>
  <c r="C1212" i="1"/>
  <c r="B1213" i="1"/>
  <c r="C1213" i="1"/>
  <c r="B1214" i="1"/>
  <c r="C1214" i="1"/>
  <c r="B1215" i="1"/>
  <c r="C1215" i="1"/>
  <c r="B1216" i="1"/>
  <c r="C1216" i="1"/>
  <c r="B1217" i="1"/>
  <c r="C1217" i="1"/>
  <c r="B1218" i="1"/>
  <c r="C1218" i="1"/>
  <c r="B1219" i="1"/>
  <c r="C1219" i="1"/>
  <c r="B1220" i="1"/>
  <c r="C1220" i="1"/>
  <c r="B1221" i="1"/>
  <c r="C1221" i="1"/>
  <c r="B1222" i="1"/>
  <c r="C1222" i="1"/>
  <c r="B1223" i="1"/>
  <c r="C1223" i="1"/>
  <c r="B1224" i="1"/>
  <c r="C1224" i="1"/>
  <c r="B1225" i="1"/>
  <c r="C1225" i="1"/>
  <c r="B1226" i="1"/>
  <c r="C1226" i="1"/>
  <c r="B1227" i="1"/>
  <c r="C1227" i="1"/>
  <c r="B1228" i="1"/>
  <c r="C1228" i="1"/>
  <c r="B1229" i="1"/>
  <c r="C1229" i="1"/>
  <c r="B1230" i="1"/>
  <c r="C1230" i="1"/>
  <c r="B1231" i="1"/>
  <c r="C1231" i="1"/>
  <c r="B1232" i="1"/>
  <c r="C1232" i="1"/>
  <c r="B1233" i="1"/>
  <c r="C1233" i="1"/>
  <c r="B1234" i="1"/>
  <c r="C1234" i="1"/>
  <c r="B1235" i="1"/>
  <c r="C1235" i="1"/>
  <c r="B1236" i="1"/>
  <c r="C1236" i="1"/>
  <c r="B1237" i="1"/>
  <c r="C1237" i="1"/>
  <c r="B1238" i="1"/>
  <c r="C1238" i="1"/>
  <c r="B1239" i="1"/>
  <c r="C1239" i="1"/>
  <c r="B1240" i="1"/>
  <c r="C1240" i="1"/>
  <c r="B1241" i="1"/>
  <c r="C1241" i="1"/>
  <c r="B1242" i="1"/>
  <c r="C1242" i="1"/>
  <c r="B1243" i="1"/>
  <c r="C1243" i="1"/>
  <c r="B1244" i="1"/>
  <c r="C1244" i="1"/>
  <c r="B1245" i="1"/>
  <c r="C1245" i="1"/>
  <c r="B1246" i="1"/>
  <c r="C1246" i="1"/>
  <c r="B1247" i="1"/>
  <c r="C1247" i="1"/>
  <c r="B1248" i="1"/>
  <c r="C1248" i="1"/>
  <c r="B1249" i="1"/>
  <c r="C1249" i="1"/>
  <c r="B1250" i="1"/>
  <c r="C1250" i="1"/>
  <c r="B1251" i="1"/>
  <c r="C1251" i="1"/>
  <c r="B1252" i="1"/>
  <c r="C1252" i="1"/>
  <c r="B1253" i="1"/>
  <c r="C1253" i="1"/>
  <c r="B1254" i="1"/>
  <c r="C1254" i="1"/>
  <c r="B1255" i="1"/>
  <c r="C1255" i="1"/>
  <c r="B1256" i="1"/>
  <c r="C1256" i="1"/>
  <c r="B1257" i="1"/>
  <c r="C1257" i="1"/>
  <c r="B1258" i="1"/>
  <c r="C1258" i="1"/>
  <c r="B1259" i="1"/>
  <c r="C1259" i="1"/>
  <c r="B1260" i="1"/>
  <c r="C1260" i="1"/>
  <c r="B1261" i="1"/>
  <c r="C1261" i="1"/>
  <c r="B1262" i="1"/>
  <c r="C1262" i="1"/>
  <c r="B1263" i="1"/>
  <c r="C1263" i="1"/>
  <c r="B1264" i="1"/>
  <c r="C1264" i="1"/>
  <c r="B1265" i="1"/>
  <c r="C1265" i="1"/>
  <c r="B1266" i="1"/>
  <c r="C1266" i="1"/>
  <c r="B1267" i="1"/>
  <c r="C1267" i="1"/>
  <c r="B1268" i="1"/>
  <c r="C1268" i="1"/>
  <c r="B1269" i="1"/>
  <c r="C1269" i="1"/>
  <c r="B1270" i="1"/>
  <c r="C1270" i="1"/>
  <c r="B1271" i="1"/>
  <c r="C1271" i="1"/>
  <c r="B1272" i="1"/>
  <c r="C1272" i="1"/>
  <c r="B1273" i="1"/>
  <c r="C1273" i="1"/>
  <c r="B1274" i="1"/>
  <c r="C1274" i="1"/>
  <c r="B1275" i="1"/>
  <c r="C1275" i="1"/>
  <c r="B1276" i="1"/>
  <c r="C1276" i="1"/>
  <c r="B1277" i="1"/>
  <c r="C1277" i="1"/>
  <c r="B1278" i="1"/>
  <c r="C1278" i="1"/>
  <c r="B1279" i="1"/>
  <c r="C1279" i="1"/>
  <c r="B1280" i="1"/>
  <c r="C1280" i="1"/>
  <c r="B1281" i="1"/>
  <c r="C1281" i="1"/>
  <c r="B1282" i="1"/>
  <c r="C1282" i="1"/>
  <c r="B1283" i="1"/>
  <c r="C1283" i="1"/>
  <c r="B1284" i="1"/>
  <c r="C1284" i="1"/>
  <c r="B1285" i="1"/>
  <c r="C1285" i="1"/>
  <c r="B1286" i="1"/>
  <c r="C1286" i="1"/>
  <c r="B1287" i="1"/>
  <c r="C1287" i="1"/>
  <c r="B1288" i="1"/>
  <c r="C1288" i="1"/>
  <c r="B1289" i="1"/>
  <c r="C1289" i="1"/>
  <c r="B1290" i="1"/>
  <c r="C1290" i="1"/>
  <c r="B1291" i="1"/>
  <c r="C1291" i="1"/>
  <c r="B1292" i="1"/>
  <c r="C1292" i="1"/>
  <c r="B1293" i="1"/>
  <c r="C1293" i="1"/>
  <c r="B1294" i="1"/>
  <c r="C1294" i="1"/>
  <c r="B1295" i="1"/>
  <c r="C1295" i="1"/>
  <c r="B1296" i="1"/>
  <c r="C1296" i="1"/>
  <c r="B1297" i="1"/>
  <c r="C1297" i="1"/>
  <c r="B1298" i="1"/>
  <c r="C1298" i="1"/>
  <c r="B1299" i="1"/>
  <c r="C1299" i="1"/>
  <c r="B1300" i="1"/>
  <c r="C1300" i="1"/>
  <c r="B1301" i="1"/>
  <c r="C1301" i="1"/>
  <c r="B1302" i="1"/>
  <c r="C1302" i="1"/>
  <c r="B1303" i="1"/>
  <c r="C1303" i="1"/>
  <c r="B1304" i="1"/>
  <c r="C1304" i="1"/>
  <c r="B1305" i="1"/>
  <c r="C1305" i="1"/>
  <c r="B1306" i="1"/>
  <c r="C1306" i="1"/>
  <c r="B1307" i="1"/>
  <c r="C1307" i="1"/>
  <c r="B1308" i="1"/>
  <c r="C1308" i="1"/>
  <c r="B1309" i="1"/>
  <c r="C1309" i="1"/>
  <c r="B1310" i="1"/>
  <c r="C1310" i="1"/>
  <c r="B1311" i="1"/>
  <c r="C1311" i="1"/>
  <c r="B1312" i="1"/>
  <c r="C1312" i="1"/>
  <c r="B1313" i="1"/>
  <c r="C1313" i="1"/>
  <c r="B1314" i="1"/>
  <c r="C1314" i="1"/>
  <c r="B1315" i="1"/>
  <c r="C1315" i="1"/>
  <c r="B1316" i="1"/>
  <c r="C1316" i="1"/>
  <c r="B1317" i="1"/>
  <c r="C1317" i="1"/>
  <c r="B1318" i="1"/>
  <c r="C1318" i="1"/>
  <c r="B1319" i="1"/>
  <c r="C1319" i="1"/>
  <c r="B1320" i="1"/>
  <c r="C1320" i="1"/>
  <c r="B1321" i="1"/>
  <c r="C1321" i="1"/>
  <c r="B1322" i="1"/>
  <c r="C1322" i="1"/>
  <c r="B1323" i="1"/>
  <c r="C1323" i="1"/>
  <c r="B1324" i="1"/>
  <c r="C1324" i="1"/>
  <c r="B1325" i="1"/>
  <c r="C1325" i="1"/>
  <c r="B1326" i="1"/>
  <c r="C1326" i="1"/>
  <c r="B1327" i="1"/>
  <c r="C1327" i="1"/>
  <c r="B1328" i="1"/>
  <c r="C1328" i="1"/>
  <c r="B1329" i="1"/>
  <c r="C1329" i="1"/>
  <c r="B1330" i="1"/>
  <c r="C1330" i="1"/>
  <c r="B1331" i="1"/>
  <c r="C1331" i="1"/>
  <c r="B1332" i="1"/>
  <c r="C1332" i="1"/>
  <c r="B1333" i="1"/>
  <c r="C1333" i="1"/>
  <c r="B1334" i="1"/>
  <c r="C1334" i="1"/>
  <c r="B1335" i="1"/>
  <c r="C1335" i="1"/>
  <c r="B1336" i="1"/>
  <c r="C1336" i="1"/>
  <c r="B1337" i="1"/>
  <c r="C1337" i="1"/>
  <c r="B1338" i="1"/>
  <c r="C1338" i="1"/>
  <c r="B1339" i="1"/>
  <c r="C1339" i="1"/>
  <c r="B1340" i="1"/>
  <c r="C1340" i="1"/>
  <c r="B1341" i="1"/>
  <c r="C1341" i="1"/>
  <c r="B1342" i="1"/>
  <c r="C1342" i="1"/>
  <c r="B1343" i="1"/>
  <c r="C1343" i="1"/>
  <c r="B1344" i="1"/>
  <c r="C1344" i="1"/>
  <c r="B1345" i="1"/>
  <c r="C1345" i="1"/>
  <c r="B1346" i="1"/>
  <c r="C1346" i="1"/>
  <c r="B1347" i="1"/>
  <c r="C1347" i="1"/>
  <c r="B1348" i="1"/>
  <c r="C1348" i="1"/>
  <c r="B1349" i="1"/>
  <c r="C1349" i="1"/>
  <c r="B1350" i="1"/>
  <c r="C1350" i="1"/>
  <c r="B1351" i="1"/>
  <c r="C1351" i="1"/>
  <c r="B1352" i="1"/>
  <c r="C1352" i="1"/>
  <c r="B1353" i="1"/>
  <c r="C1353" i="1"/>
  <c r="B1354" i="1"/>
  <c r="C1354" i="1"/>
  <c r="B1355" i="1"/>
  <c r="C1355" i="1"/>
  <c r="B1356" i="1"/>
  <c r="C1356" i="1"/>
  <c r="B1357" i="1"/>
  <c r="C1357" i="1"/>
  <c r="B1358" i="1"/>
  <c r="C1358" i="1"/>
  <c r="B1359" i="1"/>
  <c r="C1359" i="1"/>
  <c r="B1360" i="1"/>
  <c r="C1360" i="1"/>
  <c r="B1361" i="1"/>
  <c r="C1361" i="1"/>
  <c r="B1362" i="1"/>
  <c r="C1362" i="1"/>
  <c r="B1363" i="1"/>
  <c r="C1363" i="1"/>
  <c r="B1364" i="1"/>
  <c r="C1364" i="1"/>
  <c r="B1365" i="1"/>
  <c r="C1365" i="1"/>
  <c r="B1366" i="1"/>
  <c r="C1366" i="1"/>
  <c r="B1367" i="1"/>
  <c r="C1367" i="1"/>
  <c r="B1368" i="1"/>
  <c r="C1368" i="1"/>
  <c r="B1369" i="1"/>
  <c r="C1369" i="1"/>
  <c r="B1370" i="1"/>
  <c r="C1370" i="1"/>
  <c r="B1371" i="1"/>
  <c r="C1371" i="1"/>
  <c r="B1372" i="1"/>
  <c r="C1372" i="1"/>
  <c r="B1373" i="1"/>
  <c r="C1373" i="1"/>
  <c r="B1374" i="1"/>
  <c r="C1374" i="1"/>
  <c r="B1375" i="1"/>
  <c r="C1375" i="1"/>
  <c r="B1376" i="1"/>
  <c r="C1376" i="1"/>
  <c r="B1377" i="1"/>
  <c r="C1377" i="1"/>
  <c r="B1378" i="1"/>
  <c r="C1378" i="1"/>
  <c r="B1379" i="1"/>
  <c r="C1379" i="1"/>
  <c r="B1380" i="1"/>
  <c r="C1380" i="1"/>
  <c r="B1381" i="1"/>
  <c r="C1381" i="1"/>
  <c r="B1382" i="1"/>
  <c r="C1382" i="1"/>
  <c r="B1383" i="1"/>
  <c r="C1383" i="1"/>
  <c r="B1384" i="1"/>
  <c r="C1384" i="1"/>
  <c r="B1385" i="1"/>
  <c r="C1385" i="1"/>
  <c r="B1386" i="1"/>
  <c r="C1386" i="1"/>
  <c r="B1387" i="1"/>
  <c r="C1387" i="1"/>
  <c r="B1388" i="1"/>
  <c r="C1388" i="1"/>
  <c r="B1389" i="1"/>
  <c r="C1389" i="1"/>
  <c r="B1390" i="1"/>
  <c r="C1390" i="1"/>
  <c r="B1391" i="1"/>
  <c r="C1391" i="1"/>
  <c r="B1392" i="1"/>
  <c r="C1392" i="1"/>
  <c r="B1393" i="1"/>
  <c r="C1393" i="1"/>
  <c r="B1394" i="1"/>
  <c r="C1394" i="1"/>
  <c r="B1395" i="1"/>
  <c r="C1395" i="1"/>
  <c r="B1396" i="1"/>
  <c r="C1396" i="1"/>
  <c r="B1397" i="1"/>
  <c r="C1397" i="1"/>
  <c r="B1398" i="1"/>
  <c r="C1398" i="1"/>
  <c r="B1399" i="1"/>
  <c r="C1399" i="1"/>
  <c r="B1400" i="1"/>
  <c r="C1400" i="1"/>
  <c r="B1401" i="1"/>
  <c r="C1401" i="1"/>
  <c r="B1402" i="1"/>
  <c r="C1402" i="1"/>
  <c r="B1403" i="1"/>
  <c r="C1403" i="1"/>
  <c r="B1404" i="1"/>
  <c r="C1404" i="1"/>
  <c r="B1405" i="1"/>
  <c r="C1405" i="1"/>
  <c r="B1406" i="1"/>
  <c r="C1406" i="1"/>
  <c r="B1407" i="1"/>
  <c r="C1407" i="1"/>
  <c r="B1408" i="1"/>
  <c r="C1408" i="1"/>
  <c r="B1409" i="1"/>
  <c r="C1409" i="1"/>
  <c r="B1410" i="1"/>
  <c r="C1410" i="1"/>
  <c r="B1411" i="1"/>
  <c r="C1411" i="1"/>
  <c r="B1412" i="1"/>
  <c r="C1412" i="1"/>
  <c r="B1413" i="1"/>
  <c r="C1413" i="1"/>
  <c r="B1414" i="1"/>
  <c r="C1414" i="1"/>
  <c r="B1415" i="1"/>
  <c r="C1415" i="1"/>
  <c r="B1416" i="1"/>
  <c r="C1416" i="1"/>
  <c r="B1417" i="1"/>
  <c r="C1417" i="1"/>
  <c r="B1418" i="1"/>
  <c r="C1418" i="1"/>
  <c r="B1419" i="1"/>
  <c r="C1419" i="1"/>
  <c r="B1420" i="1"/>
  <c r="C1420" i="1"/>
  <c r="B1421" i="1"/>
  <c r="C1421" i="1"/>
  <c r="B1422" i="1"/>
  <c r="C1422" i="1"/>
  <c r="B1423" i="1"/>
  <c r="C1423" i="1"/>
  <c r="B1424" i="1"/>
  <c r="C1424" i="1"/>
  <c r="B1425" i="1"/>
  <c r="C1425" i="1"/>
  <c r="B1426" i="1"/>
  <c r="C1426" i="1"/>
  <c r="B1427" i="1"/>
  <c r="C1427" i="1"/>
  <c r="B1428" i="1"/>
  <c r="C1428" i="1"/>
  <c r="B1429" i="1"/>
  <c r="C1429" i="1"/>
  <c r="B1430" i="1"/>
  <c r="C1430" i="1"/>
  <c r="B1431" i="1"/>
  <c r="C1431" i="1"/>
  <c r="B1432" i="1"/>
  <c r="C1432" i="1"/>
  <c r="B1433" i="1"/>
  <c r="C1433" i="1"/>
  <c r="B1434" i="1"/>
  <c r="C1434" i="1"/>
  <c r="B1435" i="1"/>
  <c r="C1435" i="1"/>
  <c r="B1436" i="1"/>
  <c r="C1436" i="1"/>
  <c r="B1437" i="1"/>
  <c r="C1437" i="1"/>
  <c r="B1438" i="1"/>
  <c r="C1438" i="1"/>
  <c r="B1439" i="1"/>
  <c r="C1439" i="1"/>
  <c r="B1440" i="1"/>
  <c r="C1440" i="1"/>
  <c r="B1441" i="1"/>
  <c r="C1441" i="1"/>
  <c r="B1442" i="1"/>
  <c r="C1442" i="1"/>
  <c r="B1443" i="1"/>
  <c r="C1443" i="1"/>
  <c r="B1444" i="1"/>
  <c r="C1444" i="1"/>
  <c r="B1445" i="1"/>
  <c r="C1445" i="1"/>
  <c r="B1446" i="1"/>
  <c r="C1446" i="1"/>
  <c r="B1447" i="1"/>
  <c r="C1447" i="1"/>
  <c r="B1448" i="1"/>
  <c r="C1448" i="1"/>
  <c r="B1449" i="1"/>
  <c r="C1449" i="1"/>
  <c r="B1450" i="1"/>
  <c r="C1450" i="1"/>
  <c r="B1451" i="1"/>
  <c r="C1451" i="1"/>
  <c r="B1452" i="1"/>
  <c r="C1452" i="1"/>
  <c r="B1453" i="1"/>
  <c r="C1453" i="1"/>
  <c r="B1454" i="1"/>
  <c r="C1454" i="1"/>
  <c r="B1455" i="1"/>
  <c r="C1455" i="1"/>
  <c r="B1456" i="1"/>
  <c r="C1456" i="1"/>
  <c r="B1457" i="1"/>
  <c r="C1457" i="1"/>
  <c r="B1458" i="1"/>
  <c r="C1458" i="1"/>
  <c r="B1459" i="1"/>
  <c r="C1459" i="1"/>
  <c r="B1460" i="1"/>
  <c r="C1460" i="1"/>
  <c r="B1461" i="1"/>
  <c r="C1461" i="1"/>
  <c r="B1462" i="1"/>
  <c r="C1462" i="1"/>
  <c r="B1463" i="1"/>
  <c r="C1463" i="1"/>
  <c r="B1464" i="1"/>
  <c r="C1464" i="1"/>
  <c r="B1465" i="1"/>
  <c r="C1465" i="1"/>
  <c r="B1466" i="1"/>
  <c r="C1466" i="1"/>
  <c r="B1467" i="1"/>
  <c r="C1467" i="1"/>
  <c r="B1468" i="1"/>
  <c r="C1468" i="1"/>
  <c r="B1469" i="1"/>
  <c r="C1469" i="1"/>
  <c r="B1470" i="1"/>
  <c r="C1470" i="1"/>
  <c r="B1471" i="1"/>
  <c r="C1471" i="1"/>
  <c r="B1472" i="1"/>
  <c r="C1472" i="1"/>
  <c r="B1473" i="1"/>
  <c r="C1473" i="1"/>
  <c r="B1474" i="1"/>
  <c r="C1474" i="1"/>
  <c r="B1475" i="1"/>
  <c r="C1475" i="1"/>
  <c r="B1476" i="1"/>
  <c r="C1476" i="1"/>
  <c r="B1477" i="1"/>
  <c r="C1477" i="1"/>
  <c r="B1478" i="1"/>
  <c r="C1478" i="1"/>
  <c r="B1479" i="1"/>
  <c r="C1479" i="1"/>
  <c r="B1480" i="1"/>
  <c r="C1480" i="1"/>
  <c r="B1481" i="1"/>
  <c r="C1481" i="1"/>
  <c r="B1482" i="1"/>
  <c r="C1482" i="1"/>
  <c r="B1483" i="1"/>
  <c r="C1483" i="1"/>
  <c r="B1484" i="1"/>
  <c r="C1484" i="1"/>
  <c r="B1485" i="1"/>
  <c r="C1485" i="1"/>
  <c r="B1486" i="1"/>
  <c r="C1486" i="1"/>
  <c r="B1487" i="1"/>
  <c r="C1487" i="1"/>
  <c r="B1488" i="1"/>
  <c r="C1488" i="1"/>
  <c r="B1489" i="1"/>
  <c r="C1489" i="1"/>
  <c r="B1490" i="1"/>
  <c r="C1490" i="1"/>
  <c r="B1491" i="1"/>
  <c r="C1491" i="1"/>
  <c r="B1492" i="1"/>
  <c r="C1492" i="1"/>
  <c r="B1493" i="1"/>
  <c r="C1493" i="1"/>
  <c r="B1494" i="1"/>
  <c r="C1494" i="1"/>
  <c r="B1495" i="1"/>
  <c r="C1495" i="1"/>
  <c r="B1496" i="1"/>
  <c r="C1496" i="1"/>
  <c r="B1497" i="1"/>
  <c r="C1497" i="1"/>
  <c r="B1498" i="1"/>
  <c r="C1498" i="1"/>
  <c r="B1499" i="1"/>
  <c r="C1499" i="1"/>
  <c r="B1500" i="1"/>
  <c r="C1500" i="1"/>
  <c r="B1501" i="1"/>
  <c r="C1501" i="1"/>
  <c r="B1502" i="1"/>
  <c r="C1502" i="1"/>
  <c r="B1503" i="1"/>
  <c r="C1503" i="1"/>
  <c r="B1504" i="1"/>
  <c r="C1504" i="1"/>
  <c r="B1505" i="1"/>
  <c r="C1505" i="1"/>
  <c r="B1506" i="1"/>
  <c r="C1506" i="1"/>
  <c r="B1507" i="1"/>
  <c r="C1507" i="1"/>
  <c r="B1508" i="1"/>
  <c r="C1508" i="1"/>
  <c r="B1509" i="1"/>
  <c r="C1509" i="1"/>
  <c r="B1510" i="1"/>
  <c r="C1510" i="1"/>
  <c r="B1511" i="1"/>
  <c r="C1511" i="1"/>
  <c r="B1512" i="1"/>
  <c r="C1512" i="1"/>
  <c r="B1513" i="1"/>
  <c r="C1513" i="1"/>
  <c r="B1514" i="1"/>
  <c r="C1514" i="1"/>
  <c r="B1515" i="1"/>
  <c r="C1515" i="1"/>
  <c r="B1516" i="1"/>
  <c r="C1516" i="1"/>
  <c r="B1517" i="1"/>
  <c r="C1517" i="1"/>
  <c r="B1518" i="1"/>
  <c r="C1518" i="1"/>
  <c r="B1519" i="1"/>
  <c r="C1519" i="1"/>
  <c r="B1520" i="1"/>
  <c r="C1520" i="1"/>
  <c r="B1521" i="1"/>
  <c r="C1521" i="1"/>
  <c r="B1522" i="1"/>
  <c r="C1522" i="1"/>
  <c r="B1523" i="1"/>
  <c r="C1523" i="1"/>
  <c r="B1524" i="1"/>
  <c r="C1524" i="1"/>
  <c r="B1525" i="1"/>
  <c r="C1525" i="1"/>
  <c r="B1526" i="1"/>
  <c r="C1526" i="1"/>
  <c r="B1527" i="1"/>
  <c r="C1527" i="1"/>
  <c r="B1528" i="1"/>
  <c r="C1528" i="1"/>
  <c r="B1529" i="1"/>
  <c r="C1529" i="1"/>
  <c r="B1530" i="1"/>
  <c r="C1530" i="1"/>
  <c r="B1531" i="1"/>
  <c r="C1531" i="1"/>
  <c r="B1532" i="1"/>
  <c r="C1532" i="1"/>
  <c r="B1533" i="1"/>
  <c r="C1533" i="1"/>
  <c r="B1534" i="1"/>
  <c r="C1534" i="1"/>
  <c r="B1535" i="1"/>
  <c r="C1535" i="1"/>
  <c r="B1536" i="1"/>
  <c r="C1536" i="1"/>
  <c r="B1537" i="1"/>
  <c r="C1537" i="1"/>
  <c r="B1538" i="1"/>
  <c r="C1538" i="1"/>
  <c r="B1539" i="1"/>
  <c r="C1539" i="1"/>
  <c r="B1540" i="1"/>
  <c r="C1540" i="1"/>
  <c r="B1541" i="1"/>
  <c r="C1541" i="1"/>
  <c r="B1542" i="1"/>
  <c r="C1542" i="1"/>
  <c r="B1543" i="1"/>
  <c r="C1543" i="1"/>
  <c r="B1544" i="1"/>
  <c r="C1544" i="1"/>
  <c r="B1545" i="1"/>
  <c r="C1545" i="1"/>
  <c r="B1546" i="1"/>
  <c r="C1546" i="1"/>
  <c r="B1547" i="1"/>
  <c r="C1547" i="1"/>
  <c r="B1548" i="1"/>
  <c r="C1548" i="1"/>
  <c r="B1549" i="1"/>
  <c r="C1549" i="1"/>
  <c r="B1550" i="1"/>
  <c r="C1550" i="1"/>
  <c r="B1551" i="1"/>
  <c r="C1551" i="1"/>
  <c r="B1552" i="1"/>
  <c r="C1552" i="1"/>
  <c r="B1553" i="1"/>
  <c r="C1553" i="1"/>
  <c r="B1554" i="1"/>
  <c r="C1554" i="1"/>
  <c r="B1555" i="1"/>
  <c r="C1555" i="1"/>
  <c r="B1556" i="1"/>
  <c r="C1556" i="1"/>
  <c r="B1557" i="1"/>
  <c r="C1557" i="1"/>
  <c r="B1558" i="1"/>
  <c r="C1558" i="1"/>
  <c r="B1559" i="1"/>
  <c r="C1559" i="1"/>
  <c r="B1560" i="1"/>
  <c r="C1560" i="1"/>
  <c r="B1561" i="1"/>
  <c r="C1561" i="1"/>
  <c r="B1562" i="1"/>
  <c r="C1562" i="1"/>
  <c r="B1563" i="1"/>
  <c r="C1563" i="1"/>
  <c r="B1564" i="1"/>
  <c r="C1564" i="1"/>
  <c r="B1565" i="1"/>
  <c r="C1565" i="1"/>
  <c r="B1566" i="1"/>
  <c r="C1566" i="1"/>
  <c r="B1567" i="1"/>
  <c r="C1567" i="1"/>
  <c r="B1568" i="1"/>
  <c r="C1568" i="1"/>
  <c r="B1569" i="1"/>
  <c r="C1569" i="1"/>
  <c r="B1570" i="1"/>
  <c r="C1570" i="1"/>
  <c r="B1571" i="1"/>
  <c r="C1571" i="1"/>
  <c r="B1572" i="1"/>
  <c r="C1572" i="1"/>
  <c r="B1573" i="1"/>
  <c r="C1573" i="1"/>
  <c r="B1574" i="1"/>
  <c r="C1574" i="1"/>
  <c r="B1575" i="1"/>
  <c r="C1575" i="1"/>
  <c r="B1576" i="1"/>
  <c r="C1576" i="1"/>
  <c r="B1577" i="1"/>
  <c r="C1577" i="1"/>
  <c r="B1578" i="1"/>
  <c r="C1578" i="1"/>
  <c r="B1579" i="1"/>
  <c r="C1579" i="1"/>
  <c r="B1580" i="1"/>
  <c r="C1580" i="1"/>
  <c r="B1581" i="1"/>
  <c r="C1581" i="1"/>
  <c r="B1582" i="1"/>
  <c r="C1582" i="1"/>
  <c r="B1583" i="1"/>
  <c r="C1583" i="1"/>
  <c r="B1584" i="1"/>
  <c r="C1584" i="1"/>
  <c r="B1585" i="1"/>
  <c r="C1585" i="1"/>
  <c r="B1586" i="1"/>
  <c r="C1586" i="1"/>
  <c r="B1587" i="1"/>
  <c r="C1587" i="1"/>
  <c r="B1588" i="1"/>
  <c r="C1588" i="1"/>
  <c r="B1589" i="1"/>
  <c r="C1589" i="1"/>
  <c r="B1590" i="1"/>
  <c r="C1590" i="1"/>
  <c r="B1591" i="1"/>
  <c r="C1591" i="1"/>
  <c r="B1592" i="1"/>
  <c r="C1592" i="1"/>
  <c r="B1593" i="1"/>
  <c r="C1593" i="1"/>
  <c r="B1594" i="1"/>
  <c r="C1594" i="1"/>
  <c r="B1595" i="1"/>
  <c r="C1595" i="1"/>
  <c r="B1596" i="1"/>
  <c r="C1596" i="1"/>
  <c r="B1597" i="1"/>
  <c r="C1597" i="1"/>
  <c r="B1598" i="1"/>
  <c r="C1598" i="1"/>
  <c r="B1599" i="1"/>
  <c r="C1599" i="1"/>
  <c r="B1600" i="1"/>
  <c r="C1600" i="1"/>
  <c r="B1601" i="1"/>
  <c r="C1601" i="1"/>
  <c r="B1602" i="1"/>
  <c r="C1602" i="1"/>
  <c r="B1603" i="1"/>
  <c r="C1603" i="1"/>
  <c r="B1604" i="1"/>
  <c r="C1604" i="1"/>
  <c r="B1605" i="1"/>
  <c r="C1605" i="1"/>
  <c r="B1606" i="1"/>
  <c r="C1606" i="1"/>
  <c r="B1607" i="1"/>
  <c r="C1607" i="1"/>
  <c r="B1608" i="1"/>
  <c r="C1608" i="1"/>
  <c r="B1609" i="1"/>
  <c r="C1609" i="1"/>
  <c r="B1610" i="1"/>
  <c r="C1610" i="1"/>
  <c r="B1611" i="1"/>
  <c r="C1611" i="1"/>
  <c r="B1612" i="1"/>
  <c r="C1612" i="1"/>
  <c r="B1613" i="1"/>
  <c r="C1613" i="1"/>
  <c r="B1614" i="1"/>
  <c r="C1614" i="1"/>
  <c r="B1615" i="1"/>
  <c r="C1615" i="1"/>
  <c r="B1616" i="1"/>
  <c r="C1616" i="1"/>
  <c r="B1617" i="1"/>
  <c r="C1617" i="1"/>
  <c r="B1618" i="1"/>
  <c r="C1618" i="1"/>
  <c r="B1619" i="1"/>
  <c r="C1619" i="1"/>
  <c r="B1620" i="1"/>
  <c r="C1620" i="1"/>
  <c r="B1621" i="1"/>
  <c r="C1621" i="1"/>
  <c r="B1622" i="1"/>
  <c r="C1622" i="1"/>
  <c r="B1623" i="1"/>
  <c r="C1623" i="1"/>
  <c r="B1624" i="1"/>
  <c r="C1624" i="1"/>
  <c r="B1625" i="1"/>
  <c r="C1625" i="1"/>
  <c r="B1626" i="1"/>
  <c r="C1626" i="1"/>
  <c r="B1627" i="1"/>
  <c r="C1627" i="1"/>
  <c r="B1628" i="1"/>
  <c r="C1628" i="1"/>
  <c r="B1629" i="1"/>
  <c r="C1629" i="1"/>
  <c r="B1630" i="1"/>
  <c r="C1630" i="1"/>
  <c r="B1631" i="1"/>
  <c r="C1631" i="1"/>
  <c r="B1632" i="1"/>
  <c r="C1632" i="1"/>
  <c r="B1633" i="1"/>
  <c r="C1633" i="1"/>
  <c r="B1634" i="1"/>
  <c r="C1634" i="1"/>
  <c r="B1635" i="1"/>
  <c r="C1635" i="1"/>
  <c r="B1636" i="1"/>
  <c r="C1636" i="1"/>
  <c r="B1637" i="1"/>
  <c r="C1637" i="1"/>
  <c r="B1638" i="1"/>
  <c r="C1638" i="1"/>
  <c r="B1639" i="1"/>
  <c r="C1639" i="1"/>
  <c r="B1640" i="1"/>
  <c r="C1640" i="1"/>
  <c r="B1641" i="1"/>
  <c r="C1641" i="1"/>
  <c r="B1642" i="1"/>
  <c r="C1642" i="1"/>
  <c r="B1643" i="1"/>
  <c r="C1643" i="1"/>
  <c r="B1644" i="1"/>
  <c r="C1644" i="1"/>
  <c r="B1645" i="1"/>
  <c r="C1645" i="1"/>
  <c r="B1646" i="1"/>
  <c r="C1646" i="1"/>
  <c r="B1647" i="1"/>
  <c r="C1647" i="1"/>
  <c r="B1648" i="1"/>
  <c r="C1648" i="1"/>
  <c r="B1649" i="1"/>
  <c r="C1649" i="1"/>
  <c r="B1650" i="1"/>
  <c r="C1650" i="1"/>
  <c r="B1651" i="1"/>
  <c r="C1651" i="1"/>
  <c r="B1652" i="1"/>
  <c r="C1652" i="1"/>
  <c r="B1653" i="1"/>
  <c r="C1653" i="1"/>
  <c r="B1654" i="1"/>
  <c r="C1654" i="1"/>
  <c r="B1655" i="1"/>
  <c r="C1655" i="1"/>
  <c r="B1656" i="1"/>
  <c r="C1656" i="1"/>
  <c r="B1657" i="1"/>
  <c r="C1657" i="1"/>
  <c r="B1658" i="1"/>
  <c r="C1658" i="1"/>
  <c r="B1659" i="1"/>
  <c r="C1659" i="1"/>
  <c r="B1660" i="1"/>
  <c r="C1660" i="1"/>
  <c r="B1661" i="1"/>
  <c r="C1661" i="1"/>
  <c r="B1662" i="1"/>
  <c r="C1662" i="1"/>
  <c r="B1663" i="1"/>
  <c r="C1663" i="1"/>
  <c r="B1664" i="1"/>
  <c r="C1664" i="1"/>
  <c r="B1665" i="1"/>
  <c r="C1665" i="1"/>
  <c r="B1666" i="1"/>
  <c r="C1666" i="1"/>
  <c r="B1667" i="1"/>
  <c r="C1667" i="1"/>
  <c r="B1668" i="1"/>
  <c r="C1668" i="1"/>
  <c r="B1669" i="1"/>
  <c r="C1669" i="1"/>
  <c r="B1670" i="1"/>
  <c r="C1670" i="1"/>
  <c r="B1671" i="1"/>
  <c r="C1671" i="1"/>
  <c r="B1672" i="1"/>
  <c r="C1672" i="1"/>
  <c r="B1673" i="1"/>
  <c r="C1673" i="1"/>
  <c r="B1674" i="1"/>
  <c r="C1674" i="1"/>
  <c r="B1675" i="1"/>
  <c r="C1675" i="1"/>
  <c r="B1676" i="1"/>
  <c r="C1676" i="1"/>
  <c r="B1677" i="1"/>
  <c r="C1677" i="1"/>
  <c r="B1678" i="1"/>
  <c r="C1678" i="1"/>
  <c r="B1679" i="1"/>
  <c r="C1679" i="1"/>
  <c r="B1680" i="1"/>
  <c r="C1680" i="1"/>
  <c r="B1681" i="1"/>
  <c r="C1681" i="1"/>
  <c r="B1682" i="1"/>
  <c r="C1682" i="1"/>
  <c r="B1683" i="1"/>
  <c r="C1683" i="1"/>
  <c r="B1684" i="1"/>
  <c r="C1684" i="1"/>
  <c r="B1685" i="1"/>
  <c r="C1685" i="1"/>
  <c r="B1686" i="1"/>
  <c r="C1686" i="1"/>
  <c r="B1687" i="1"/>
  <c r="C1687" i="1"/>
  <c r="B1688" i="1"/>
  <c r="C1688" i="1"/>
  <c r="B1689" i="1"/>
  <c r="C1689" i="1"/>
  <c r="B1690" i="1"/>
  <c r="C1690" i="1"/>
  <c r="B1691" i="1"/>
  <c r="C1691" i="1"/>
  <c r="B1692" i="1"/>
  <c r="C1692" i="1"/>
  <c r="B1693" i="1"/>
  <c r="C1693" i="1"/>
  <c r="B1694" i="1"/>
  <c r="C1694" i="1"/>
  <c r="B1695" i="1"/>
  <c r="C1695" i="1"/>
  <c r="B1696" i="1"/>
  <c r="C1696" i="1"/>
  <c r="B1697" i="1"/>
  <c r="C1697" i="1"/>
  <c r="B1698" i="1"/>
  <c r="C1698" i="1"/>
  <c r="B1699" i="1"/>
  <c r="C1699" i="1"/>
  <c r="B1700" i="1"/>
  <c r="C1700" i="1"/>
  <c r="B1701" i="1"/>
  <c r="C1701" i="1"/>
  <c r="B1702" i="1"/>
  <c r="C1702" i="1"/>
  <c r="B1703" i="1"/>
  <c r="C1703" i="1"/>
  <c r="B1704" i="1"/>
  <c r="C1704" i="1"/>
  <c r="B1705" i="1"/>
  <c r="C1705" i="1"/>
  <c r="B1706" i="1"/>
  <c r="C1706" i="1"/>
  <c r="B1707" i="1"/>
  <c r="C1707" i="1"/>
  <c r="B1708" i="1"/>
  <c r="C1708" i="1"/>
  <c r="B1709" i="1"/>
  <c r="C1709" i="1"/>
  <c r="B1710" i="1"/>
  <c r="C1710" i="1"/>
  <c r="B1711" i="1"/>
  <c r="C1711" i="1"/>
  <c r="B1712" i="1"/>
  <c r="C1712" i="1"/>
  <c r="B1713" i="1"/>
  <c r="C1713" i="1"/>
  <c r="B1714" i="1"/>
  <c r="C1714" i="1"/>
  <c r="B1715" i="1"/>
  <c r="C1715" i="1"/>
  <c r="B1716" i="1"/>
  <c r="C1716" i="1"/>
  <c r="B1717" i="1"/>
  <c r="C1717" i="1"/>
  <c r="B1718" i="1"/>
  <c r="C1718" i="1"/>
  <c r="B1719" i="1"/>
  <c r="C1719" i="1"/>
  <c r="B1720" i="1"/>
  <c r="C1720" i="1"/>
  <c r="B1721" i="1"/>
  <c r="C1721" i="1"/>
  <c r="B1722" i="1"/>
  <c r="C1722" i="1"/>
  <c r="B1723" i="1"/>
  <c r="C1723" i="1"/>
  <c r="B1724" i="1"/>
  <c r="C1724" i="1"/>
  <c r="B1725" i="1"/>
  <c r="C1725" i="1"/>
  <c r="B1726" i="1"/>
  <c r="C1726" i="1"/>
  <c r="B1727" i="1"/>
  <c r="C1727" i="1"/>
  <c r="B1728" i="1"/>
  <c r="C1728" i="1"/>
  <c r="B1729" i="1"/>
  <c r="C1729" i="1"/>
  <c r="B1730" i="1"/>
  <c r="C1730" i="1"/>
  <c r="B1731" i="1"/>
  <c r="C1731" i="1"/>
  <c r="B1732" i="1"/>
  <c r="C1732" i="1"/>
  <c r="B1733" i="1"/>
  <c r="C1733" i="1"/>
  <c r="B1734" i="1"/>
  <c r="C1734" i="1"/>
  <c r="B1735" i="1"/>
  <c r="C1735" i="1"/>
  <c r="B1736" i="1"/>
  <c r="C1736" i="1"/>
  <c r="B1737" i="1"/>
  <c r="C1737" i="1"/>
  <c r="B1738" i="1"/>
  <c r="C1738" i="1"/>
  <c r="B1739" i="1"/>
  <c r="C1739" i="1"/>
  <c r="B1740" i="1"/>
  <c r="C1740" i="1"/>
  <c r="B1741" i="1"/>
  <c r="C1741" i="1"/>
  <c r="B1742" i="1"/>
  <c r="C1742" i="1"/>
  <c r="B1743" i="1"/>
  <c r="C1743" i="1"/>
  <c r="B1744" i="1"/>
  <c r="C1744" i="1"/>
  <c r="B1745" i="1"/>
  <c r="C1745" i="1"/>
  <c r="B1746" i="1"/>
  <c r="C1746" i="1"/>
  <c r="B1747" i="1"/>
  <c r="C1747" i="1"/>
  <c r="B1748" i="1"/>
  <c r="C1748" i="1"/>
  <c r="B1749" i="1"/>
  <c r="C1749" i="1"/>
  <c r="B1750" i="1"/>
  <c r="C1750" i="1"/>
  <c r="B1751" i="1"/>
  <c r="C1751" i="1"/>
  <c r="B1752" i="1"/>
  <c r="C1752" i="1"/>
  <c r="B1753" i="1"/>
  <c r="C1753" i="1"/>
  <c r="B1754" i="1"/>
  <c r="C1754" i="1"/>
  <c r="B1755" i="1"/>
  <c r="C1755" i="1"/>
  <c r="B1756" i="1"/>
  <c r="C1756" i="1"/>
  <c r="B1757" i="1"/>
  <c r="C1757" i="1"/>
  <c r="B1758" i="1"/>
  <c r="C1758" i="1"/>
  <c r="B1759" i="1"/>
  <c r="C1759" i="1"/>
  <c r="B1760" i="1"/>
  <c r="C1760" i="1"/>
  <c r="B1761" i="1"/>
  <c r="C1761" i="1"/>
  <c r="B1762" i="1"/>
  <c r="C1762" i="1"/>
  <c r="B1763" i="1"/>
  <c r="C1763" i="1"/>
  <c r="B1764" i="1"/>
  <c r="C1764" i="1"/>
  <c r="B1765" i="1"/>
  <c r="C1765" i="1"/>
  <c r="B1766" i="1"/>
  <c r="C1766" i="1"/>
  <c r="B1767" i="1"/>
  <c r="C1767" i="1"/>
  <c r="B1768" i="1"/>
  <c r="C1768" i="1"/>
  <c r="B1769" i="1"/>
  <c r="C1769" i="1"/>
  <c r="B1770" i="1"/>
  <c r="C1770" i="1"/>
  <c r="B1771" i="1"/>
  <c r="C1771" i="1"/>
  <c r="B1772" i="1"/>
  <c r="C1772" i="1"/>
  <c r="B1773" i="1"/>
  <c r="C1773" i="1"/>
  <c r="B1774" i="1"/>
  <c r="C1774" i="1"/>
  <c r="B1775" i="1"/>
  <c r="C1775" i="1"/>
  <c r="B1776" i="1"/>
  <c r="C1776" i="1"/>
  <c r="B1777" i="1"/>
  <c r="C1777" i="1"/>
  <c r="B1778" i="1"/>
  <c r="C1778" i="1"/>
  <c r="B1779" i="1"/>
  <c r="C1779" i="1"/>
  <c r="B1780" i="1"/>
  <c r="C1780" i="1"/>
  <c r="B1781" i="1"/>
  <c r="C1781" i="1"/>
  <c r="B1782" i="1"/>
  <c r="C1782" i="1"/>
  <c r="B1783" i="1"/>
  <c r="C1783" i="1"/>
  <c r="B1784" i="1"/>
  <c r="C1784" i="1"/>
  <c r="B1785" i="1"/>
  <c r="C1785" i="1"/>
  <c r="B1786" i="1"/>
  <c r="C1786" i="1"/>
  <c r="B1787" i="1"/>
  <c r="C1787" i="1"/>
  <c r="B1788" i="1"/>
  <c r="C1788" i="1"/>
  <c r="B1789" i="1"/>
  <c r="C1789" i="1"/>
  <c r="B1790" i="1"/>
  <c r="C1790" i="1"/>
  <c r="B1791" i="1"/>
  <c r="C1791" i="1"/>
  <c r="B1792" i="1"/>
  <c r="C1792" i="1"/>
  <c r="B1793" i="1"/>
  <c r="C1793" i="1"/>
  <c r="B1794" i="1"/>
  <c r="C1794" i="1"/>
  <c r="B1795" i="1"/>
  <c r="C1795" i="1"/>
  <c r="B1796" i="1"/>
  <c r="C1796" i="1"/>
  <c r="B1797" i="1"/>
  <c r="C1797" i="1"/>
  <c r="B1798" i="1"/>
  <c r="C1798" i="1"/>
  <c r="B1799" i="1"/>
  <c r="C1799" i="1"/>
  <c r="B1800" i="1"/>
  <c r="C1800" i="1"/>
  <c r="B1801" i="1"/>
  <c r="C1801" i="1"/>
  <c r="B1802" i="1"/>
  <c r="C1802" i="1"/>
  <c r="B1803" i="1"/>
  <c r="C1803" i="1"/>
  <c r="B1804" i="1"/>
  <c r="C1804" i="1"/>
  <c r="B1805" i="1"/>
  <c r="C1805" i="1"/>
  <c r="B1806" i="1"/>
  <c r="C1806" i="1"/>
  <c r="B1807" i="1"/>
  <c r="C1807" i="1"/>
  <c r="B1808" i="1"/>
  <c r="C1808" i="1"/>
  <c r="B1809" i="1"/>
  <c r="C1809" i="1"/>
  <c r="B1810" i="1"/>
  <c r="C1810" i="1"/>
  <c r="B1811" i="1"/>
  <c r="C1811" i="1"/>
  <c r="B1812" i="1"/>
  <c r="C1812" i="1"/>
  <c r="B1813" i="1"/>
  <c r="C1813" i="1"/>
  <c r="B1814" i="1"/>
  <c r="C1814" i="1"/>
  <c r="B1815" i="1"/>
  <c r="C1815" i="1"/>
  <c r="B1816" i="1"/>
  <c r="C1816" i="1"/>
  <c r="B1817" i="1"/>
  <c r="C1817" i="1"/>
  <c r="B1818" i="1"/>
  <c r="C1818" i="1"/>
  <c r="B1819" i="1"/>
  <c r="C1819" i="1"/>
  <c r="B1820" i="1"/>
  <c r="C1820" i="1"/>
  <c r="B1821" i="1"/>
  <c r="C1821" i="1"/>
  <c r="B1822" i="1"/>
  <c r="C1822" i="1"/>
  <c r="B1823" i="1"/>
  <c r="C1823" i="1"/>
  <c r="B1824" i="1"/>
  <c r="C1824" i="1"/>
  <c r="B1825" i="1"/>
  <c r="C1825" i="1"/>
  <c r="B1826" i="1"/>
  <c r="C1826" i="1"/>
  <c r="B1827" i="1"/>
  <c r="C1827" i="1"/>
  <c r="B1828" i="1"/>
  <c r="C1828" i="1"/>
  <c r="B1829" i="1"/>
  <c r="C1829" i="1"/>
  <c r="B1830" i="1"/>
  <c r="C1830" i="1"/>
  <c r="B1831" i="1"/>
  <c r="C1831" i="1"/>
  <c r="B1832" i="1"/>
  <c r="C1832" i="1"/>
  <c r="B1833" i="1"/>
  <c r="C1833" i="1"/>
  <c r="B1834" i="1"/>
  <c r="C1834" i="1"/>
  <c r="B1835" i="1"/>
  <c r="C1835" i="1"/>
  <c r="B1836" i="1"/>
  <c r="C1836" i="1"/>
  <c r="B1837" i="1"/>
  <c r="C1837" i="1"/>
  <c r="B1838" i="1"/>
  <c r="C1838" i="1"/>
  <c r="B1839" i="1"/>
  <c r="C1839" i="1"/>
  <c r="B1840" i="1"/>
  <c r="C1840" i="1"/>
  <c r="B1841" i="1"/>
  <c r="C1841" i="1"/>
  <c r="B1842" i="1"/>
  <c r="C1842" i="1"/>
  <c r="B1843" i="1"/>
  <c r="C1843" i="1"/>
  <c r="B1844" i="1"/>
  <c r="C1844" i="1"/>
  <c r="B1845" i="1"/>
  <c r="C1845" i="1"/>
  <c r="B1846" i="1"/>
  <c r="C1846" i="1"/>
  <c r="B1847" i="1"/>
  <c r="C1847" i="1"/>
  <c r="B1848" i="1"/>
  <c r="C1848" i="1"/>
  <c r="B1849" i="1"/>
  <c r="C1849" i="1"/>
  <c r="B1850" i="1"/>
  <c r="C1850" i="1"/>
  <c r="B1851" i="1"/>
  <c r="C1851" i="1"/>
  <c r="B1852" i="1"/>
  <c r="C1852" i="1"/>
  <c r="B1853" i="1"/>
  <c r="C1853" i="1"/>
  <c r="B1854" i="1"/>
  <c r="C1854" i="1"/>
  <c r="B1855" i="1"/>
  <c r="C1855" i="1"/>
  <c r="B1856" i="1"/>
  <c r="C1856" i="1"/>
  <c r="B1857" i="1"/>
  <c r="C1857" i="1"/>
  <c r="B1858" i="1"/>
  <c r="C1858" i="1"/>
  <c r="B1859" i="1"/>
  <c r="C1859" i="1"/>
  <c r="B1860" i="1"/>
  <c r="C1860" i="1"/>
  <c r="B1861" i="1"/>
  <c r="C1861" i="1"/>
  <c r="B1862" i="1"/>
  <c r="C1862" i="1"/>
  <c r="B1863" i="1"/>
  <c r="C1863" i="1"/>
  <c r="B1864" i="1"/>
  <c r="C1864" i="1"/>
  <c r="B1865" i="1"/>
  <c r="C1865" i="1"/>
  <c r="B1866" i="1"/>
  <c r="C1866" i="1"/>
  <c r="B1867" i="1"/>
  <c r="C1867" i="1"/>
  <c r="B1868" i="1"/>
  <c r="C1868" i="1"/>
  <c r="B1869" i="1"/>
  <c r="C1869" i="1"/>
  <c r="B1870" i="1"/>
  <c r="C1870" i="1"/>
  <c r="B1871" i="1"/>
  <c r="C1871" i="1"/>
  <c r="B1872" i="1"/>
  <c r="C1872" i="1"/>
  <c r="B1873" i="1"/>
  <c r="C1873" i="1"/>
  <c r="B1874" i="1"/>
  <c r="C1874" i="1"/>
  <c r="B1875" i="1"/>
  <c r="C1875" i="1"/>
  <c r="B1876" i="1"/>
  <c r="C1876" i="1"/>
  <c r="B1877" i="1"/>
  <c r="C1877" i="1"/>
  <c r="B1878" i="1"/>
  <c r="C1878" i="1"/>
  <c r="B1879" i="1"/>
  <c r="C1879" i="1"/>
  <c r="B1880" i="1"/>
  <c r="C1880" i="1"/>
  <c r="B1881" i="1"/>
  <c r="C1881" i="1"/>
  <c r="B1882" i="1"/>
  <c r="C1882" i="1"/>
  <c r="B1883" i="1"/>
  <c r="C1883" i="1"/>
  <c r="B1884" i="1"/>
  <c r="C1884" i="1"/>
  <c r="B1885" i="1"/>
  <c r="C1885" i="1"/>
  <c r="B1886" i="1"/>
  <c r="C1886" i="1"/>
  <c r="B1887" i="1"/>
  <c r="C1887" i="1"/>
  <c r="B1888" i="1"/>
  <c r="C1888" i="1"/>
  <c r="B1889" i="1"/>
  <c r="C1889" i="1"/>
  <c r="B1890" i="1"/>
  <c r="C1890" i="1"/>
  <c r="B1891" i="1"/>
  <c r="C1891" i="1"/>
  <c r="B1892" i="1"/>
  <c r="C1892" i="1"/>
  <c r="B1893" i="1"/>
  <c r="C1893" i="1"/>
  <c r="B1894" i="1"/>
  <c r="C1894" i="1"/>
  <c r="B1895" i="1"/>
  <c r="C1895" i="1"/>
  <c r="B1896" i="1"/>
  <c r="C1896" i="1"/>
  <c r="B1897" i="1"/>
  <c r="C1897" i="1"/>
  <c r="B1898" i="1"/>
  <c r="C1898" i="1"/>
  <c r="B1899" i="1"/>
  <c r="C1899" i="1"/>
  <c r="B1900" i="1"/>
  <c r="C1900" i="1"/>
  <c r="B1901" i="1"/>
  <c r="C1901" i="1"/>
  <c r="B1902" i="1"/>
  <c r="C1902" i="1"/>
  <c r="B1903" i="1"/>
  <c r="C1903" i="1"/>
  <c r="B1904" i="1"/>
  <c r="C1904" i="1"/>
  <c r="B1905" i="1"/>
  <c r="C1905" i="1"/>
  <c r="B1906" i="1"/>
  <c r="C1906" i="1"/>
  <c r="B1907" i="1"/>
  <c r="C1907" i="1"/>
  <c r="B1908" i="1"/>
  <c r="C1908" i="1"/>
  <c r="B1909" i="1"/>
  <c r="C1909" i="1"/>
  <c r="B1910" i="1"/>
  <c r="C1910" i="1"/>
  <c r="B1911" i="1"/>
  <c r="C1911" i="1"/>
  <c r="B1912" i="1"/>
  <c r="C1912" i="1"/>
  <c r="B1913" i="1"/>
  <c r="C1913" i="1"/>
  <c r="B1914" i="1"/>
  <c r="C1914" i="1"/>
  <c r="B1915" i="1"/>
  <c r="C1915" i="1"/>
  <c r="B1916" i="1"/>
  <c r="C1916" i="1"/>
  <c r="B1917" i="1"/>
  <c r="C1917" i="1"/>
  <c r="B1918" i="1"/>
  <c r="C1918" i="1"/>
  <c r="B1919" i="1"/>
  <c r="C1919" i="1"/>
  <c r="B1920" i="1"/>
  <c r="C1920" i="1"/>
  <c r="B1921" i="1"/>
  <c r="C1921" i="1"/>
  <c r="B1922" i="1"/>
  <c r="C1922" i="1"/>
  <c r="B1923" i="1"/>
  <c r="C1923" i="1"/>
  <c r="B1924" i="1"/>
  <c r="C1924" i="1"/>
  <c r="B1925" i="1"/>
  <c r="C1925" i="1"/>
  <c r="B1926" i="1"/>
  <c r="C1926" i="1"/>
  <c r="B1927" i="1"/>
  <c r="C1927" i="1"/>
  <c r="B1928" i="1"/>
  <c r="C1928" i="1"/>
  <c r="B1929" i="1"/>
  <c r="C1929" i="1"/>
  <c r="B1930" i="1"/>
  <c r="C1930" i="1"/>
  <c r="B1931" i="1"/>
  <c r="C1931" i="1"/>
  <c r="B1932" i="1"/>
  <c r="C1932" i="1"/>
  <c r="B1933" i="1"/>
  <c r="C1933" i="1"/>
  <c r="B1934" i="1"/>
  <c r="C1934" i="1"/>
  <c r="B1935" i="1"/>
  <c r="C1935" i="1"/>
  <c r="B1936" i="1"/>
  <c r="C1936" i="1"/>
  <c r="B1937" i="1"/>
  <c r="C1937" i="1"/>
  <c r="B1938" i="1"/>
  <c r="C1938" i="1"/>
  <c r="B1939" i="1"/>
  <c r="C1939" i="1"/>
  <c r="B1940" i="1"/>
  <c r="C1940" i="1"/>
  <c r="B1941" i="1"/>
  <c r="C1941" i="1"/>
  <c r="B1942" i="1"/>
  <c r="C1942" i="1"/>
  <c r="B1943" i="1"/>
  <c r="C1943" i="1"/>
  <c r="B1944" i="1"/>
  <c r="C1944" i="1"/>
  <c r="B1945" i="1"/>
  <c r="C1945" i="1"/>
  <c r="B1946" i="1"/>
  <c r="C1946" i="1"/>
  <c r="B1947" i="1"/>
  <c r="C1947" i="1"/>
  <c r="B1948" i="1"/>
  <c r="C1948" i="1"/>
  <c r="B1949" i="1"/>
  <c r="C1949" i="1"/>
  <c r="B1950" i="1"/>
  <c r="C1950" i="1"/>
  <c r="B1951" i="1"/>
  <c r="C1951" i="1"/>
  <c r="B1952" i="1"/>
  <c r="C1952" i="1"/>
  <c r="B1953" i="1"/>
  <c r="C1953" i="1"/>
  <c r="B1954" i="1"/>
  <c r="C1954" i="1"/>
  <c r="B1955" i="1"/>
  <c r="C1955" i="1"/>
  <c r="B1956" i="1"/>
  <c r="C1956" i="1"/>
  <c r="B1957" i="1"/>
  <c r="C1957" i="1"/>
  <c r="B1958" i="1"/>
  <c r="C1958" i="1"/>
  <c r="B1959" i="1"/>
  <c r="C1959" i="1"/>
  <c r="B1960" i="1"/>
  <c r="C1960" i="1"/>
  <c r="B1961" i="1"/>
  <c r="C1961" i="1"/>
  <c r="B1962" i="1"/>
  <c r="C1962" i="1"/>
  <c r="B1963" i="1"/>
  <c r="C1963" i="1"/>
  <c r="B1964" i="1"/>
  <c r="C1964" i="1"/>
  <c r="B1965" i="1"/>
  <c r="C1965" i="1"/>
  <c r="B1966" i="1"/>
  <c r="C1966" i="1"/>
  <c r="B1967" i="1"/>
  <c r="C1967" i="1"/>
  <c r="B1968" i="1"/>
  <c r="C1968" i="1"/>
  <c r="B1969" i="1"/>
  <c r="C1969" i="1"/>
  <c r="B1970" i="1"/>
  <c r="C1970" i="1"/>
  <c r="B1971" i="1"/>
  <c r="C1971" i="1"/>
  <c r="B1972" i="1"/>
  <c r="C1972" i="1"/>
  <c r="B1973" i="1"/>
  <c r="C1973" i="1"/>
  <c r="B1974" i="1"/>
  <c r="C1974" i="1"/>
  <c r="B1975" i="1"/>
  <c r="C1975" i="1"/>
  <c r="B1976" i="1"/>
  <c r="C1976" i="1"/>
  <c r="B1977" i="1"/>
  <c r="C1977" i="1"/>
  <c r="B1978" i="1"/>
  <c r="C1978" i="1"/>
  <c r="B1979" i="1"/>
  <c r="C1979" i="1"/>
  <c r="B1980" i="1"/>
  <c r="C1980" i="1"/>
  <c r="B1981" i="1"/>
  <c r="C1981" i="1"/>
  <c r="B1982" i="1"/>
  <c r="C1982" i="1"/>
  <c r="B1983" i="1"/>
  <c r="C1983" i="1"/>
  <c r="B1984" i="1"/>
  <c r="C1984" i="1"/>
  <c r="B1985" i="1"/>
  <c r="C1985" i="1"/>
  <c r="B1986" i="1"/>
  <c r="C1986" i="1"/>
  <c r="B1987" i="1"/>
  <c r="C1987" i="1"/>
  <c r="B1988" i="1"/>
  <c r="C1988" i="1"/>
  <c r="B1989" i="1"/>
  <c r="C1989" i="1"/>
  <c r="B1990" i="1"/>
  <c r="C1990" i="1"/>
  <c r="B1991" i="1"/>
  <c r="C1991" i="1"/>
  <c r="B1992" i="1"/>
  <c r="C1992" i="1"/>
  <c r="B1993" i="1"/>
  <c r="C1993" i="1"/>
  <c r="B1994" i="1"/>
  <c r="C1994" i="1"/>
  <c r="B1995" i="1"/>
  <c r="C1995" i="1"/>
  <c r="B1996" i="1"/>
  <c r="C1996" i="1"/>
  <c r="B1997" i="1"/>
  <c r="C1997" i="1"/>
  <c r="B1998" i="1"/>
  <c r="C1998" i="1"/>
  <c r="B1999" i="1"/>
  <c r="C1999" i="1"/>
  <c r="B2000" i="1"/>
  <c r="C2000" i="1"/>
  <c r="B2001" i="1"/>
  <c r="C2001" i="1"/>
  <c r="B2002" i="1"/>
  <c r="C2002" i="1"/>
  <c r="B2003" i="1"/>
  <c r="C2003" i="1"/>
  <c r="B2004" i="1"/>
  <c r="C2004" i="1"/>
  <c r="B2005" i="1"/>
  <c r="C2005" i="1"/>
  <c r="B2006" i="1"/>
  <c r="C2006" i="1"/>
  <c r="B2007" i="1"/>
  <c r="C2007" i="1"/>
  <c r="B2008" i="1"/>
  <c r="C2008" i="1"/>
  <c r="B2009" i="1"/>
  <c r="C2009" i="1"/>
  <c r="B2010" i="1"/>
  <c r="C2010" i="1"/>
  <c r="B2011" i="1"/>
  <c r="C2011" i="1"/>
  <c r="B2012" i="1"/>
  <c r="C2012" i="1"/>
  <c r="B2013" i="1"/>
  <c r="C2013" i="1"/>
  <c r="B2014" i="1"/>
  <c r="C2014" i="1"/>
  <c r="B2015" i="1"/>
  <c r="C2015" i="1"/>
  <c r="B2016" i="1"/>
  <c r="C2016" i="1"/>
  <c r="B2017" i="1"/>
  <c r="C2017" i="1"/>
  <c r="B2018" i="1"/>
  <c r="C2018" i="1"/>
  <c r="B2019" i="1"/>
  <c r="C2019" i="1"/>
  <c r="B2020" i="1"/>
  <c r="C2020" i="1"/>
  <c r="B2021" i="1"/>
  <c r="C2021" i="1"/>
  <c r="B2022" i="1"/>
  <c r="C2022" i="1"/>
  <c r="B2023" i="1"/>
  <c r="C2023" i="1"/>
  <c r="B2024" i="1"/>
  <c r="C2024" i="1"/>
  <c r="B2025" i="1"/>
  <c r="C2025" i="1"/>
  <c r="B2026" i="1"/>
  <c r="C2026" i="1"/>
  <c r="B2027" i="1"/>
  <c r="C2027" i="1"/>
  <c r="B2028" i="1"/>
  <c r="C2028" i="1"/>
  <c r="B2029" i="1"/>
  <c r="C2029" i="1"/>
  <c r="B2030" i="1"/>
  <c r="C2030" i="1"/>
  <c r="B2031" i="1"/>
  <c r="C2031" i="1"/>
  <c r="B2032" i="1"/>
  <c r="C2032" i="1"/>
  <c r="B2033" i="1"/>
  <c r="C2033" i="1"/>
  <c r="B2034" i="1"/>
  <c r="C2034" i="1"/>
  <c r="B2035" i="1"/>
  <c r="C2035" i="1"/>
  <c r="B2036" i="1"/>
  <c r="C2036" i="1"/>
  <c r="B2037" i="1"/>
  <c r="C2037" i="1"/>
  <c r="B2038" i="1"/>
  <c r="C2038" i="1"/>
  <c r="B2039" i="1"/>
  <c r="C2039" i="1"/>
  <c r="B2040" i="1"/>
  <c r="C2040" i="1"/>
  <c r="B2041" i="1"/>
  <c r="C2041" i="1"/>
  <c r="B2042" i="1"/>
  <c r="C2042" i="1"/>
  <c r="B2043" i="1"/>
  <c r="C2043" i="1"/>
  <c r="B2044" i="1"/>
  <c r="C2044" i="1"/>
  <c r="B2045" i="1"/>
  <c r="C2045" i="1"/>
  <c r="B2046" i="1"/>
  <c r="C2046" i="1"/>
  <c r="B2047" i="1"/>
  <c r="C2047" i="1"/>
  <c r="B2048" i="1"/>
  <c r="C2048" i="1"/>
  <c r="B2049" i="1"/>
  <c r="C2049" i="1"/>
  <c r="B2050" i="1"/>
  <c r="C2050" i="1"/>
  <c r="B2051" i="1"/>
  <c r="C2051" i="1"/>
  <c r="B2052" i="1"/>
  <c r="C2052" i="1"/>
  <c r="B2053" i="1"/>
  <c r="C2053" i="1"/>
  <c r="B2054" i="1"/>
  <c r="C2054" i="1"/>
  <c r="B2055" i="1"/>
  <c r="C2055" i="1"/>
  <c r="B2056" i="1"/>
  <c r="C2056" i="1"/>
  <c r="B2057" i="1"/>
  <c r="C2057" i="1"/>
  <c r="B2058" i="1"/>
  <c r="C2058" i="1"/>
  <c r="B2059" i="1"/>
  <c r="C2059" i="1"/>
  <c r="B2060" i="1"/>
  <c r="C2060" i="1"/>
  <c r="B2061" i="1"/>
  <c r="C2061" i="1"/>
  <c r="B2062" i="1"/>
  <c r="C2062" i="1"/>
  <c r="B2063" i="1"/>
  <c r="C2063" i="1"/>
  <c r="B2064" i="1"/>
  <c r="C2064" i="1"/>
  <c r="B2065" i="1"/>
  <c r="C2065" i="1"/>
  <c r="B2066" i="1"/>
  <c r="C2066" i="1"/>
  <c r="B2067" i="1"/>
  <c r="C2067" i="1"/>
  <c r="B2068" i="1"/>
  <c r="C2068" i="1"/>
  <c r="B2069" i="1"/>
  <c r="C2069" i="1"/>
  <c r="B2070" i="1"/>
  <c r="C2070" i="1"/>
  <c r="B2071" i="1"/>
  <c r="C2071" i="1"/>
  <c r="B2072" i="1"/>
  <c r="C2072" i="1"/>
  <c r="B2073" i="1"/>
  <c r="C2073" i="1"/>
  <c r="B2074" i="1"/>
  <c r="C2074" i="1"/>
  <c r="B2075" i="1"/>
  <c r="C2075" i="1"/>
  <c r="B2076" i="1"/>
  <c r="C2076" i="1"/>
  <c r="B2077" i="1"/>
  <c r="C2077" i="1"/>
  <c r="B2078" i="1"/>
  <c r="C2078" i="1"/>
  <c r="B2079" i="1"/>
  <c r="C2079" i="1"/>
  <c r="B2080" i="1"/>
  <c r="C2080" i="1"/>
  <c r="B2081" i="1"/>
  <c r="C2081" i="1"/>
  <c r="B2082" i="1"/>
  <c r="C2082" i="1"/>
  <c r="B2083" i="1"/>
  <c r="C2083" i="1"/>
  <c r="B2084" i="1"/>
  <c r="C2084" i="1"/>
  <c r="B2085" i="1"/>
  <c r="C2085" i="1"/>
  <c r="B2086" i="1"/>
  <c r="C2086" i="1"/>
  <c r="B2087" i="1"/>
  <c r="C2087" i="1"/>
  <c r="B2088" i="1"/>
  <c r="C2088" i="1"/>
  <c r="B2089" i="1"/>
  <c r="C2089" i="1"/>
  <c r="B2090" i="1"/>
  <c r="C2090" i="1"/>
  <c r="B2091" i="1"/>
  <c r="C2091" i="1"/>
  <c r="B2092" i="1"/>
  <c r="C2092" i="1"/>
  <c r="B2093" i="1"/>
  <c r="C2093" i="1"/>
  <c r="B2094" i="1"/>
  <c r="C2094" i="1"/>
  <c r="B2095" i="1"/>
  <c r="C2095" i="1"/>
  <c r="B2096" i="1"/>
  <c r="C2096" i="1"/>
  <c r="B2097" i="1"/>
  <c r="C2097" i="1"/>
  <c r="B2098" i="1"/>
  <c r="C2098" i="1"/>
  <c r="B2099" i="1"/>
  <c r="C2099" i="1"/>
  <c r="B2100" i="1"/>
  <c r="C2100" i="1"/>
  <c r="B2101" i="1"/>
  <c r="C2101" i="1"/>
  <c r="B2102" i="1"/>
  <c r="C2102" i="1"/>
  <c r="B2103" i="1"/>
  <c r="C2103" i="1"/>
  <c r="B2104" i="1"/>
  <c r="C2104" i="1"/>
  <c r="B2105" i="1"/>
  <c r="C2105" i="1"/>
  <c r="B2106" i="1"/>
  <c r="C2106" i="1"/>
  <c r="B2107" i="1"/>
  <c r="C2107" i="1"/>
  <c r="B2108" i="1"/>
  <c r="C2108" i="1"/>
  <c r="B2109" i="1"/>
  <c r="C2109" i="1"/>
  <c r="B2110" i="1"/>
  <c r="C2110" i="1"/>
  <c r="B2111" i="1"/>
  <c r="C2111" i="1"/>
  <c r="B2112" i="1"/>
  <c r="C2112" i="1"/>
  <c r="B2113" i="1"/>
  <c r="C2113" i="1"/>
  <c r="B2114" i="1"/>
  <c r="C2114" i="1"/>
  <c r="B2115" i="1"/>
  <c r="C2115" i="1"/>
  <c r="B2116" i="1"/>
  <c r="C2116" i="1"/>
  <c r="B2117" i="1"/>
  <c r="C2117" i="1"/>
  <c r="B2118" i="1"/>
  <c r="C2118" i="1"/>
  <c r="B2119" i="1"/>
  <c r="C2119" i="1"/>
  <c r="B2120" i="1"/>
  <c r="C2120" i="1"/>
  <c r="B2121" i="1"/>
  <c r="C2121" i="1"/>
  <c r="B2122" i="1"/>
  <c r="C2122" i="1"/>
  <c r="B2123" i="1"/>
  <c r="C2123" i="1"/>
  <c r="B2124" i="1"/>
  <c r="C2124" i="1"/>
  <c r="B2125" i="1"/>
  <c r="C2125" i="1"/>
  <c r="B2126" i="1"/>
  <c r="C2126" i="1"/>
  <c r="B2127" i="1"/>
  <c r="C2127" i="1"/>
  <c r="B2128" i="1"/>
  <c r="C2128" i="1"/>
  <c r="B2129" i="1"/>
  <c r="C2129" i="1"/>
  <c r="B2130" i="1"/>
  <c r="C2130" i="1"/>
  <c r="B2131" i="1"/>
  <c r="C2131" i="1"/>
  <c r="B2132" i="1"/>
  <c r="C2132" i="1"/>
  <c r="B2133" i="1"/>
  <c r="C2133" i="1"/>
  <c r="B2134" i="1"/>
  <c r="C2134" i="1"/>
  <c r="B2135" i="1"/>
  <c r="C2135" i="1"/>
  <c r="B2136" i="1"/>
  <c r="C2136" i="1"/>
  <c r="B2137" i="1"/>
  <c r="C2137" i="1"/>
  <c r="B2138" i="1"/>
  <c r="C2138" i="1"/>
  <c r="B2139" i="1"/>
  <c r="C2139" i="1"/>
  <c r="B2140" i="1"/>
  <c r="C2140" i="1"/>
  <c r="B2141" i="1"/>
  <c r="C2141" i="1"/>
  <c r="B2142" i="1"/>
  <c r="C2142" i="1"/>
  <c r="B2143" i="1"/>
  <c r="C2143" i="1"/>
  <c r="B2144" i="1"/>
  <c r="C2144" i="1"/>
  <c r="B2145" i="1"/>
  <c r="C2145" i="1"/>
  <c r="B2146" i="1"/>
  <c r="C2146" i="1"/>
  <c r="B2147" i="1"/>
  <c r="C2147" i="1"/>
  <c r="B2148" i="1"/>
  <c r="C2148" i="1"/>
  <c r="B2149" i="1"/>
  <c r="C2149" i="1"/>
  <c r="B2150" i="1"/>
  <c r="C2150" i="1"/>
  <c r="B2151" i="1"/>
  <c r="C2151" i="1"/>
  <c r="B2152" i="1"/>
  <c r="C2152" i="1"/>
  <c r="B2153" i="1"/>
  <c r="C2153" i="1"/>
  <c r="B2154" i="1"/>
  <c r="C2154" i="1"/>
  <c r="B2155" i="1"/>
  <c r="C2155" i="1"/>
  <c r="B2156" i="1"/>
  <c r="C2156" i="1"/>
  <c r="B2157" i="1"/>
  <c r="C2157" i="1"/>
  <c r="B2158" i="1"/>
  <c r="C2158" i="1"/>
  <c r="B2159" i="1"/>
  <c r="C2159" i="1"/>
  <c r="B2160" i="1"/>
  <c r="C2160" i="1"/>
  <c r="B2161" i="1"/>
  <c r="C2161" i="1"/>
  <c r="B2162" i="1"/>
  <c r="C2162" i="1"/>
  <c r="B2163" i="1"/>
  <c r="C2163" i="1"/>
  <c r="B2164" i="1"/>
  <c r="C2164" i="1"/>
  <c r="B2165" i="1"/>
  <c r="C2165" i="1"/>
  <c r="B2166" i="1"/>
  <c r="C2166" i="1"/>
  <c r="B2167" i="1"/>
  <c r="C2167" i="1"/>
  <c r="B2168" i="1"/>
  <c r="C2168" i="1"/>
  <c r="B2169" i="1"/>
  <c r="C2169" i="1"/>
  <c r="B2170" i="1"/>
  <c r="C2170" i="1"/>
  <c r="B2171" i="1"/>
  <c r="C2171" i="1"/>
  <c r="B2172" i="1"/>
  <c r="C2172" i="1"/>
  <c r="B2173" i="1"/>
  <c r="C2173" i="1"/>
  <c r="B2174" i="1"/>
  <c r="C2174" i="1"/>
  <c r="B2175" i="1"/>
  <c r="C2175" i="1"/>
  <c r="B2176" i="1"/>
  <c r="C2176" i="1"/>
  <c r="B2177" i="1"/>
  <c r="C2177" i="1"/>
  <c r="B2178" i="1"/>
  <c r="C2178" i="1"/>
  <c r="B2179" i="1"/>
  <c r="C2179" i="1"/>
  <c r="B2180" i="1"/>
  <c r="C2180" i="1"/>
  <c r="B2181" i="1"/>
  <c r="C2181" i="1"/>
  <c r="B2182" i="1"/>
  <c r="C2182" i="1"/>
  <c r="B2183" i="1"/>
  <c r="C2183" i="1"/>
  <c r="B2184" i="1"/>
  <c r="C2184" i="1"/>
  <c r="B2185" i="1"/>
  <c r="C2185" i="1"/>
  <c r="B2186" i="1"/>
  <c r="C2186" i="1"/>
  <c r="B2187" i="1"/>
  <c r="C2187" i="1"/>
  <c r="B2188" i="1"/>
  <c r="C2188" i="1"/>
  <c r="B2189" i="1"/>
  <c r="C2189" i="1"/>
  <c r="B2190" i="1"/>
  <c r="C2190" i="1"/>
  <c r="B2191" i="1"/>
  <c r="C2191" i="1"/>
  <c r="B2192" i="1"/>
  <c r="C2192" i="1"/>
  <c r="B2193" i="1"/>
  <c r="C2193" i="1"/>
  <c r="B2194" i="1"/>
  <c r="C2194" i="1"/>
  <c r="B2195" i="1"/>
  <c r="C2195" i="1"/>
  <c r="B2196" i="1"/>
  <c r="C2196" i="1"/>
  <c r="B2197" i="1"/>
  <c r="C2197" i="1"/>
  <c r="B2198" i="1"/>
  <c r="C2198" i="1"/>
  <c r="B2199" i="1"/>
  <c r="C2199" i="1"/>
  <c r="B2200" i="1"/>
  <c r="C2200" i="1"/>
  <c r="B2201" i="1"/>
  <c r="C2201" i="1"/>
  <c r="B2202" i="1"/>
  <c r="C2202" i="1"/>
  <c r="B2203" i="1"/>
  <c r="C2203" i="1"/>
  <c r="B2204" i="1"/>
  <c r="C2204" i="1"/>
  <c r="B2205" i="1"/>
  <c r="C2205" i="1"/>
  <c r="B2206" i="1"/>
  <c r="C2206" i="1"/>
  <c r="B2207" i="1"/>
  <c r="C2207" i="1"/>
  <c r="B2208" i="1"/>
  <c r="C2208" i="1"/>
  <c r="B2209" i="1"/>
  <c r="C2209" i="1"/>
  <c r="B2210" i="1"/>
  <c r="C2210" i="1"/>
  <c r="B2211" i="1"/>
  <c r="C2211" i="1"/>
  <c r="B2212" i="1"/>
  <c r="C2212" i="1"/>
  <c r="B2213" i="1"/>
  <c r="C2213" i="1"/>
  <c r="B2214" i="1"/>
  <c r="C2214" i="1"/>
  <c r="B2215" i="1"/>
  <c r="C2215" i="1"/>
  <c r="B2216" i="1"/>
  <c r="C2216" i="1"/>
  <c r="B2217" i="1"/>
  <c r="C2217" i="1"/>
  <c r="B2218" i="1"/>
  <c r="C2218" i="1"/>
  <c r="B2219" i="1"/>
  <c r="C2219" i="1"/>
  <c r="B2220" i="1"/>
  <c r="C2220" i="1"/>
  <c r="B2221" i="1"/>
  <c r="C2221" i="1"/>
  <c r="B2222" i="1"/>
  <c r="C2222" i="1"/>
  <c r="B2223" i="1"/>
  <c r="C2223" i="1"/>
  <c r="B2224" i="1"/>
  <c r="C2224" i="1"/>
  <c r="B2225" i="1"/>
  <c r="C2225" i="1"/>
  <c r="B2226" i="1"/>
  <c r="C2226" i="1"/>
  <c r="B2227" i="1"/>
  <c r="C2227" i="1"/>
  <c r="B2228" i="1"/>
  <c r="C2228" i="1"/>
  <c r="B2229" i="1"/>
  <c r="C2229" i="1"/>
  <c r="B2230" i="1"/>
  <c r="C2230" i="1"/>
  <c r="B2231" i="1"/>
  <c r="C2231" i="1"/>
  <c r="B2232" i="1"/>
  <c r="C2232" i="1"/>
  <c r="B2233" i="1"/>
  <c r="C2233" i="1"/>
  <c r="B2234" i="1"/>
  <c r="C2234" i="1"/>
  <c r="B2235" i="1"/>
  <c r="C2235" i="1"/>
  <c r="B2236" i="1"/>
  <c r="C2236" i="1"/>
  <c r="B2237" i="1"/>
  <c r="C2237" i="1"/>
  <c r="B2238" i="1"/>
  <c r="C2238" i="1"/>
  <c r="B2239" i="1"/>
  <c r="C2239" i="1"/>
  <c r="B2240" i="1"/>
  <c r="C2240" i="1"/>
  <c r="B2241" i="1"/>
  <c r="C2241" i="1"/>
  <c r="B2242" i="1"/>
  <c r="C2242" i="1"/>
  <c r="B2243" i="1"/>
  <c r="C2243" i="1"/>
  <c r="B2244" i="1"/>
  <c r="C2244" i="1"/>
  <c r="B2245" i="1"/>
  <c r="C2245" i="1"/>
  <c r="B2246" i="1"/>
  <c r="C2246" i="1"/>
  <c r="B2247" i="1"/>
  <c r="C2247" i="1"/>
  <c r="B2248" i="1"/>
  <c r="C2248" i="1"/>
  <c r="B2249" i="1"/>
  <c r="C2249" i="1"/>
  <c r="B2250" i="1"/>
  <c r="C2250" i="1"/>
  <c r="B2251" i="1"/>
  <c r="C2251" i="1"/>
  <c r="B2252" i="1"/>
  <c r="C2252" i="1"/>
  <c r="B2253" i="1"/>
  <c r="C2253" i="1"/>
  <c r="B2254" i="1"/>
  <c r="C2254" i="1"/>
  <c r="B2255" i="1"/>
  <c r="C2255" i="1"/>
  <c r="B2256" i="1"/>
  <c r="C2256" i="1"/>
  <c r="B2257" i="1"/>
  <c r="C2257" i="1"/>
  <c r="B2258" i="1"/>
  <c r="C2258" i="1"/>
  <c r="B2259" i="1"/>
  <c r="C2259" i="1"/>
  <c r="B2260" i="1"/>
  <c r="C2260" i="1"/>
  <c r="B2261" i="1"/>
  <c r="C2261" i="1"/>
  <c r="B2262" i="1"/>
  <c r="C2262" i="1"/>
  <c r="B2263" i="1"/>
  <c r="C2263" i="1"/>
  <c r="B2264" i="1"/>
  <c r="C2264" i="1"/>
  <c r="B2265" i="1"/>
  <c r="C2265" i="1"/>
  <c r="B2266" i="1"/>
  <c r="C2266" i="1"/>
  <c r="B2267" i="1"/>
  <c r="C2267" i="1"/>
  <c r="B2268" i="1"/>
  <c r="C2268" i="1"/>
  <c r="B2269" i="1"/>
  <c r="C2269" i="1"/>
  <c r="B2270" i="1"/>
  <c r="C2270" i="1"/>
  <c r="B2271" i="1"/>
  <c r="C2271" i="1"/>
  <c r="B2272" i="1"/>
  <c r="C2272" i="1"/>
  <c r="B2273" i="1"/>
  <c r="C2273" i="1"/>
  <c r="B2274" i="1"/>
  <c r="C2274" i="1"/>
  <c r="B2275" i="1"/>
  <c r="C2275" i="1"/>
  <c r="B2276" i="1"/>
  <c r="C2276" i="1"/>
  <c r="B2277" i="1"/>
  <c r="C2277" i="1"/>
  <c r="B2278" i="1"/>
  <c r="C2278" i="1"/>
  <c r="B2279" i="1"/>
  <c r="C2279" i="1"/>
  <c r="B2280" i="1"/>
  <c r="C2280" i="1"/>
  <c r="B2281" i="1"/>
  <c r="C2281" i="1"/>
  <c r="B2282" i="1"/>
  <c r="C2282" i="1"/>
  <c r="B2283" i="1"/>
  <c r="C2283" i="1"/>
  <c r="B2284" i="1"/>
  <c r="C2284" i="1"/>
  <c r="B2285" i="1"/>
  <c r="C2285" i="1"/>
  <c r="B2286" i="1"/>
  <c r="C2286" i="1"/>
  <c r="B2287" i="1"/>
  <c r="C2287" i="1"/>
  <c r="B2288" i="1"/>
  <c r="C2288" i="1"/>
  <c r="B2289" i="1"/>
  <c r="C2289" i="1"/>
  <c r="B2290" i="1"/>
  <c r="C2290" i="1"/>
  <c r="B2291" i="1"/>
  <c r="C2291" i="1"/>
  <c r="B2292" i="1"/>
  <c r="C2292" i="1"/>
  <c r="B2293" i="1"/>
  <c r="C2293" i="1"/>
  <c r="B2294" i="1"/>
  <c r="C2294" i="1"/>
  <c r="B2295" i="1"/>
  <c r="C2295" i="1"/>
  <c r="B2296" i="1"/>
  <c r="C2296" i="1"/>
  <c r="B2297" i="1"/>
  <c r="C2297" i="1"/>
  <c r="B2298" i="1"/>
  <c r="C2298" i="1"/>
  <c r="B2299" i="1"/>
  <c r="C2299" i="1"/>
  <c r="B2300" i="1"/>
  <c r="C2300" i="1"/>
  <c r="B2301" i="1"/>
  <c r="C2301" i="1"/>
  <c r="B2302" i="1"/>
  <c r="C2302" i="1"/>
  <c r="B2303" i="1"/>
  <c r="C2303" i="1"/>
  <c r="B2304" i="1"/>
  <c r="C2304" i="1"/>
  <c r="B2305" i="1"/>
  <c r="C2305" i="1"/>
  <c r="B2306" i="1"/>
  <c r="C2306" i="1"/>
  <c r="B2307" i="1"/>
  <c r="C2307" i="1"/>
  <c r="B2308" i="1"/>
  <c r="C2308" i="1"/>
  <c r="B2309" i="1"/>
  <c r="C2309" i="1"/>
  <c r="B2310" i="1"/>
  <c r="C2310" i="1"/>
  <c r="B2311" i="1"/>
  <c r="C2311" i="1"/>
  <c r="B2312" i="1"/>
  <c r="C2312" i="1"/>
  <c r="B2313" i="1"/>
  <c r="C2313" i="1"/>
  <c r="B2314" i="1"/>
  <c r="C2314" i="1"/>
  <c r="B2315" i="1"/>
  <c r="C2315" i="1"/>
  <c r="B2316" i="1"/>
  <c r="C2316" i="1"/>
  <c r="B2317" i="1"/>
  <c r="C2317" i="1"/>
  <c r="B2318" i="1"/>
  <c r="C2318" i="1"/>
  <c r="B2319" i="1"/>
  <c r="C2319" i="1"/>
  <c r="B2320" i="1"/>
  <c r="C2320" i="1"/>
  <c r="B2321" i="1"/>
  <c r="C2321" i="1"/>
  <c r="B2322" i="1"/>
  <c r="C2322" i="1"/>
  <c r="B2323" i="1"/>
  <c r="C2323" i="1"/>
  <c r="B2324" i="1"/>
  <c r="C2324" i="1"/>
  <c r="B2325" i="1"/>
  <c r="C2325" i="1"/>
  <c r="B2326" i="1"/>
  <c r="C2326" i="1"/>
  <c r="B2327" i="1"/>
  <c r="C2327" i="1"/>
  <c r="B2328" i="1"/>
  <c r="C2328" i="1"/>
  <c r="B2329" i="1"/>
  <c r="C2329" i="1"/>
  <c r="B2330" i="1"/>
  <c r="C2330" i="1"/>
  <c r="B2331" i="1"/>
  <c r="C2331" i="1"/>
  <c r="B2332" i="1"/>
  <c r="C2332" i="1"/>
  <c r="B2333" i="1"/>
  <c r="C2333" i="1"/>
  <c r="B2334" i="1"/>
  <c r="C2334" i="1"/>
  <c r="B2335" i="1"/>
  <c r="C2335" i="1"/>
  <c r="B2336" i="1"/>
  <c r="C2336" i="1"/>
  <c r="B2337" i="1"/>
  <c r="C2337" i="1"/>
  <c r="B2338" i="1"/>
  <c r="C2338" i="1"/>
  <c r="B2339" i="1"/>
  <c r="C2339" i="1"/>
  <c r="B2340" i="1"/>
  <c r="C2340" i="1"/>
  <c r="B2341" i="1"/>
  <c r="C2341" i="1"/>
  <c r="B2342" i="1"/>
  <c r="C2342" i="1"/>
  <c r="B2343" i="1"/>
  <c r="C2343" i="1"/>
  <c r="B2344" i="1"/>
  <c r="C2344" i="1"/>
  <c r="B2345" i="1"/>
  <c r="C2345" i="1"/>
  <c r="B2346" i="1"/>
  <c r="C2346" i="1"/>
  <c r="B2347" i="1"/>
  <c r="C2347" i="1"/>
  <c r="B2348" i="1"/>
  <c r="C2348" i="1"/>
  <c r="B2349" i="1"/>
  <c r="C2349" i="1"/>
  <c r="B2350" i="1"/>
  <c r="C2350" i="1"/>
  <c r="B2351" i="1"/>
  <c r="C2351" i="1"/>
  <c r="B2352" i="1"/>
  <c r="C2352" i="1"/>
  <c r="B2353" i="1"/>
  <c r="C2353" i="1"/>
  <c r="B2354" i="1"/>
  <c r="C2354" i="1"/>
  <c r="B2355" i="1"/>
  <c r="C2355" i="1"/>
  <c r="B2356" i="1"/>
  <c r="C2356" i="1"/>
  <c r="B2357" i="1"/>
  <c r="C2357" i="1"/>
  <c r="B2358" i="1"/>
  <c r="C2358" i="1"/>
  <c r="B2359" i="1"/>
  <c r="C2359" i="1"/>
  <c r="B2360" i="1"/>
  <c r="C2360" i="1"/>
  <c r="B2361" i="1"/>
  <c r="C2361" i="1"/>
  <c r="B2362" i="1"/>
  <c r="C2362" i="1"/>
  <c r="B2363" i="1"/>
  <c r="C2363" i="1"/>
  <c r="B2364" i="1"/>
  <c r="C2364" i="1"/>
  <c r="B2365" i="1"/>
  <c r="C2365" i="1"/>
  <c r="B2366" i="1"/>
  <c r="C2366" i="1"/>
  <c r="B2367" i="1"/>
  <c r="C2367" i="1"/>
  <c r="B2368" i="1"/>
  <c r="C2368" i="1"/>
  <c r="B2369" i="1"/>
  <c r="C2369" i="1"/>
  <c r="B2370" i="1"/>
  <c r="C2370" i="1"/>
  <c r="B2371" i="1"/>
  <c r="C2371" i="1"/>
  <c r="B2372" i="1"/>
  <c r="C2372" i="1"/>
  <c r="B2373" i="1"/>
  <c r="C2373" i="1"/>
  <c r="B2374" i="1"/>
  <c r="C2374" i="1"/>
  <c r="B2375" i="1"/>
  <c r="C2375" i="1"/>
  <c r="B2376" i="1"/>
  <c r="C2376" i="1"/>
  <c r="B2377" i="1"/>
  <c r="C2377" i="1"/>
  <c r="B2378" i="1"/>
  <c r="C2378" i="1"/>
  <c r="B2379" i="1"/>
  <c r="C2379" i="1"/>
  <c r="B2380" i="1"/>
  <c r="C2380" i="1"/>
  <c r="B2381" i="1"/>
  <c r="C2381" i="1"/>
  <c r="B2382" i="1"/>
  <c r="C2382" i="1"/>
  <c r="B2383" i="1"/>
  <c r="C2383" i="1"/>
  <c r="B2384" i="1"/>
  <c r="C2384" i="1"/>
  <c r="B2385" i="1"/>
  <c r="C2385" i="1"/>
  <c r="B2386" i="1"/>
  <c r="C2386" i="1"/>
  <c r="B2387" i="1"/>
  <c r="C2387" i="1"/>
  <c r="B2388" i="1"/>
  <c r="C2388" i="1"/>
  <c r="B2389" i="1"/>
  <c r="C2389" i="1"/>
  <c r="B2390" i="1"/>
  <c r="C2390" i="1"/>
  <c r="B2391" i="1"/>
  <c r="C2391" i="1"/>
  <c r="B2392" i="1"/>
  <c r="C2392" i="1"/>
  <c r="B2393" i="1"/>
  <c r="C2393" i="1"/>
  <c r="B2394" i="1"/>
  <c r="C2394" i="1"/>
  <c r="B2395" i="1"/>
  <c r="C2395" i="1"/>
  <c r="B2396" i="1"/>
  <c r="C2396" i="1"/>
  <c r="B2397" i="1"/>
  <c r="C2397" i="1"/>
  <c r="B2398" i="1"/>
  <c r="C2398" i="1"/>
  <c r="B2399" i="1"/>
  <c r="C2399" i="1"/>
  <c r="B2400" i="1"/>
  <c r="C2400" i="1"/>
  <c r="B2401" i="1"/>
  <c r="C2401" i="1"/>
  <c r="B2402" i="1"/>
  <c r="C2402" i="1"/>
  <c r="B2403" i="1"/>
  <c r="C2403" i="1"/>
  <c r="B2404" i="1"/>
  <c r="C2404" i="1"/>
  <c r="B2405" i="1"/>
  <c r="C2405" i="1"/>
  <c r="B2406" i="1"/>
  <c r="C2406" i="1"/>
  <c r="B2407" i="1"/>
  <c r="C2407" i="1"/>
  <c r="B2408" i="1"/>
  <c r="C2408" i="1"/>
  <c r="B2409" i="1"/>
  <c r="C2409" i="1"/>
  <c r="B2410" i="1"/>
  <c r="C2410" i="1"/>
  <c r="B2411" i="1"/>
  <c r="C2411" i="1"/>
  <c r="B2412" i="1"/>
  <c r="C2412" i="1"/>
  <c r="B2413" i="1"/>
  <c r="C2413" i="1"/>
  <c r="B2414" i="1"/>
  <c r="C2414" i="1"/>
  <c r="B2415" i="1"/>
  <c r="C2415" i="1"/>
  <c r="B2416" i="1"/>
  <c r="C2416" i="1"/>
  <c r="B2417" i="1"/>
  <c r="C2417" i="1"/>
  <c r="B2418" i="1"/>
  <c r="C2418" i="1"/>
  <c r="B2419" i="1"/>
  <c r="C2419" i="1"/>
  <c r="B2420" i="1"/>
  <c r="C2420" i="1"/>
  <c r="B2421" i="1"/>
  <c r="C2421" i="1"/>
  <c r="B2422" i="1"/>
  <c r="C2422" i="1"/>
  <c r="B2423" i="1"/>
  <c r="C2423" i="1"/>
  <c r="B2424" i="1"/>
  <c r="C2424" i="1"/>
  <c r="B2425" i="1"/>
  <c r="C2425" i="1"/>
  <c r="B2426" i="1"/>
  <c r="C2426" i="1"/>
  <c r="B2427" i="1"/>
  <c r="C2427" i="1"/>
  <c r="B2428" i="1"/>
  <c r="C2428" i="1"/>
  <c r="B2429" i="1"/>
  <c r="C2429" i="1"/>
  <c r="B2430" i="1"/>
  <c r="C2430" i="1"/>
  <c r="B2431" i="1"/>
  <c r="C2431" i="1"/>
  <c r="B2432" i="1"/>
  <c r="C2432" i="1"/>
  <c r="B2433" i="1"/>
  <c r="C2433" i="1"/>
  <c r="B2434" i="1"/>
  <c r="C2434" i="1"/>
  <c r="B2435" i="1"/>
  <c r="C2435" i="1"/>
  <c r="B2436" i="1"/>
  <c r="C2436" i="1"/>
  <c r="B2437" i="1"/>
  <c r="C2437" i="1"/>
  <c r="B2438" i="1"/>
  <c r="C2438" i="1"/>
  <c r="B2439" i="1"/>
  <c r="C2439" i="1"/>
  <c r="B2440" i="1"/>
  <c r="C2440" i="1"/>
  <c r="B2441" i="1"/>
  <c r="C2441" i="1"/>
  <c r="B2442" i="1"/>
  <c r="C2442" i="1"/>
  <c r="B2443" i="1"/>
  <c r="C2443" i="1"/>
  <c r="B2444" i="1"/>
  <c r="C2444" i="1"/>
  <c r="B2445" i="1"/>
  <c r="C2445" i="1"/>
  <c r="B2446" i="1"/>
  <c r="C2446" i="1"/>
  <c r="B2447" i="1"/>
  <c r="C2447" i="1"/>
  <c r="B2448" i="1"/>
  <c r="C2448" i="1"/>
  <c r="B2449" i="1"/>
  <c r="C2449" i="1"/>
  <c r="B2450" i="1"/>
  <c r="C2450" i="1"/>
  <c r="B2451" i="1"/>
  <c r="C2451" i="1"/>
  <c r="B2452" i="1"/>
  <c r="C2452" i="1"/>
  <c r="B2453" i="1"/>
  <c r="C2453" i="1"/>
  <c r="B2454" i="1"/>
  <c r="C2454" i="1"/>
  <c r="B2455" i="1"/>
  <c r="C2455" i="1"/>
  <c r="B2456" i="1"/>
  <c r="C2456" i="1"/>
  <c r="B2457" i="1"/>
  <c r="C2457" i="1"/>
  <c r="B2458" i="1"/>
  <c r="C2458" i="1"/>
  <c r="B2459" i="1"/>
  <c r="C2459" i="1"/>
  <c r="B2460" i="1"/>
  <c r="C2460" i="1"/>
  <c r="B2461" i="1"/>
  <c r="C2461" i="1"/>
  <c r="B2462" i="1"/>
  <c r="C2462" i="1"/>
  <c r="B2463" i="1"/>
  <c r="C2463" i="1"/>
  <c r="B2464" i="1"/>
  <c r="C2464" i="1"/>
  <c r="B2465" i="1"/>
  <c r="C2465" i="1"/>
  <c r="B2466" i="1"/>
  <c r="C2466" i="1"/>
  <c r="B2467" i="1"/>
  <c r="C2467" i="1"/>
  <c r="B2468" i="1"/>
  <c r="C2468" i="1"/>
  <c r="B2469" i="1"/>
  <c r="C2469" i="1"/>
  <c r="B2470" i="1"/>
  <c r="C2470" i="1"/>
  <c r="B2471" i="1"/>
  <c r="C2471" i="1"/>
  <c r="B2472" i="1"/>
  <c r="C2472" i="1"/>
  <c r="B2473" i="1"/>
  <c r="C2473" i="1"/>
  <c r="B2474" i="1"/>
  <c r="C2474" i="1"/>
  <c r="B2475" i="1"/>
  <c r="C2475" i="1"/>
  <c r="B2476" i="1"/>
  <c r="C2476" i="1"/>
  <c r="B2477" i="1"/>
  <c r="C2477" i="1"/>
  <c r="B2478" i="1"/>
  <c r="C2478" i="1"/>
  <c r="B2479" i="1"/>
  <c r="C2479" i="1"/>
  <c r="B2480" i="1"/>
  <c r="C2480" i="1"/>
  <c r="B2481" i="1"/>
  <c r="C2481" i="1"/>
  <c r="B2482" i="1"/>
  <c r="C2482" i="1"/>
  <c r="B2483" i="1"/>
  <c r="C2483" i="1"/>
  <c r="B2484" i="1"/>
  <c r="C2484" i="1"/>
  <c r="B2485" i="1"/>
  <c r="C2485" i="1"/>
  <c r="B2486" i="1"/>
  <c r="C2486" i="1"/>
  <c r="B2487" i="1"/>
  <c r="C2487" i="1"/>
  <c r="B2488" i="1"/>
  <c r="C2488" i="1"/>
  <c r="B2489" i="1"/>
  <c r="C2489" i="1"/>
  <c r="B2490" i="1"/>
  <c r="C2490" i="1"/>
  <c r="B2491" i="1"/>
  <c r="C2491" i="1"/>
  <c r="B2492" i="1"/>
  <c r="C2492" i="1"/>
  <c r="B2493" i="1"/>
  <c r="C2493" i="1"/>
  <c r="B2494" i="1"/>
  <c r="C2494" i="1"/>
  <c r="B2495" i="1"/>
  <c r="C2495" i="1"/>
  <c r="B2496" i="1"/>
  <c r="C2496" i="1"/>
  <c r="B2497" i="1"/>
  <c r="C2497" i="1"/>
  <c r="B2498" i="1"/>
  <c r="C2498" i="1"/>
  <c r="B2499" i="1"/>
  <c r="C2499" i="1"/>
  <c r="B2500" i="1"/>
  <c r="C2500" i="1"/>
  <c r="B2501" i="1"/>
  <c r="C2501" i="1"/>
  <c r="B2502" i="1"/>
  <c r="C2502" i="1"/>
  <c r="B2503" i="1"/>
  <c r="C2503" i="1"/>
  <c r="B2504" i="1"/>
  <c r="C2504" i="1"/>
  <c r="B2505" i="1"/>
  <c r="C2505" i="1"/>
  <c r="B2506" i="1"/>
  <c r="C2506" i="1"/>
  <c r="B2507" i="1"/>
  <c r="C2507" i="1"/>
  <c r="B2508" i="1"/>
  <c r="C2508" i="1"/>
  <c r="B2509" i="1"/>
  <c r="C2509" i="1"/>
  <c r="B2510" i="1"/>
  <c r="C2510" i="1"/>
  <c r="B2511" i="1"/>
  <c r="C2511" i="1"/>
  <c r="B2512" i="1"/>
  <c r="C2512" i="1"/>
  <c r="B2513" i="1"/>
  <c r="C2513" i="1"/>
  <c r="B2514" i="1"/>
  <c r="C2514" i="1"/>
  <c r="B2515" i="1"/>
  <c r="C2515" i="1"/>
  <c r="B2516" i="1"/>
  <c r="C2516" i="1"/>
  <c r="B2517" i="1"/>
  <c r="C2517" i="1"/>
  <c r="B2518" i="1"/>
  <c r="C2518" i="1"/>
  <c r="B2519" i="1"/>
  <c r="C2519" i="1"/>
  <c r="B2520" i="1"/>
  <c r="C2520" i="1"/>
  <c r="B2521" i="1"/>
  <c r="C2521" i="1"/>
  <c r="B2522" i="1"/>
  <c r="C2522" i="1"/>
  <c r="B2523" i="1"/>
  <c r="C2523" i="1"/>
  <c r="B2524" i="1"/>
  <c r="C2524" i="1"/>
  <c r="B2525" i="1"/>
  <c r="C2525" i="1"/>
  <c r="B2526" i="1"/>
  <c r="C2526" i="1"/>
  <c r="B2527" i="1"/>
  <c r="C2527" i="1"/>
  <c r="B2528" i="1"/>
  <c r="C2528" i="1"/>
  <c r="B2529" i="1"/>
  <c r="C2529" i="1"/>
  <c r="B2530" i="1"/>
  <c r="C2530" i="1"/>
  <c r="B2531" i="1"/>
  <c r="C2531" i="1"/>
  <c r="B2532" i="1"/>
  <c r="C2532" i="1"/>
  <c r="B2533" i="1"/>
  <c r="C2533" i="1"/>
  <c r="B2534" i="1"/>
  <c r="C2534" i="1"/>
  <c r="B2535" i="1"/>
  <c r="C2535" i="1"/>
  <c r="B2536" i="1"/>
  <c r="C2536" i="1"/>
  <c r="B2537" i="1"/>
  <c r="C2537" i="1"/>
  <c r="B2538" i="1"/>
  <c r="C2538" i="1"/>
  <c r="B2539" i="1"/>
  <c r="C2539" i="1"/>
  <c r="B2540" i="1"/>
  <c r="C2540" i="1"/>
  <c r="B2541" i="1"/>
  <c r="C2541" i="1"/>
  <c r="B2542" i="1"/>
  <c r="C2542" i="1"/>
  <c r="B2543" i="1"/>
  <c r="C2543" i="1"/>
  <c r="B2544" i="1"/>
  <c r="C2544" i="1"/>
  <c r="B2545" i="1"/>
  <c r="C2545" i="1"/>
  <c r="B2546" i="1"/>
  <c r="C2546" i="1"/>
  <c r="B2547" i="1"/>
  <c r="C2547" i="1"/>
  <c r="B2548" i="1"/>
  <c r="C2548" i="1"/>
  <c r="B2549" i="1"/>
  <c r="C2549" i="1"/>
  <c r="B2550" i="1"/>
  <c r="C2550" i="1"/>
  <c r="B2551" i="1"/>
  <c r="C2551" i="1"/>
  <c r="B2552" i="1"/>
  <c r="C2552" i="1"/>
  <c r="B2553" i="1"/>
  <c r="C2553" i="1"/>
  <c r="B2554" i="1"/>
  <c r="C2554" i="1"/>
  <c r="B2555" i="1"/>
  <c r="C2555" i="1"/>
  <c r="B2556" i="1"/>
  <c r="C2556" i="1"/>
  <c r="B2557" i="1"/>
  <c r="C2557" i="1"/>
  <c r="B2558" i="1"/>
  <c r="C2558" i="1"/>
  <c r="B2559" i="1"/>
  <c r="C2559" i="1"/>
  <c r="B2560" i="1"/>
  <c r="C2560" i="1"/>
  <c r="B2561" i="1"/>
  <c r="C2561" i="1"/>
  <c r="B2562" i="1"/>
  <c r="C2562" i="1"/>
  <c r="B2563" i="1"/>
  <c r="C2563" i="1"/>
  <c r="B2564" i="1"/>
  <c r="C2564" i="1"/>
  <c r="B2565" i="1"/>
  <c r="C2565" i="1"/>
  <c r="B2566" i="1"/>
  <c r="C2566" i="1"/>
  <c r="B2567" i="1"/>
  <c r="C2567" i="1"/>
  <c r="B2568" i="1"/>
  <c r="C2568" i="1"/>
  <c r="B2569" i="1"/>
  <c r="C2569" i="1"/>
  <c r="B2570" i="1"/>
  <c r="C2570" i="1"/>
  <c r="B2571" i="1"/>
  <c r="C2571" i="1"/>
  <c r="B2572" i="1"/>
  <c r="C2572" i="1"/>
  <c r="B2573" i="1"/>
  <c r="C2573" i="1"/>
  <c r="B2574" i="1"/>
  <c r="C2574" i="1"/>
  <c r="B2575" i="1"/>
  <c r="C2575" i="1"/>
  <c r="B2576" i="1"/>
  <c r="C2576" i="1"/>
  <c r="B2577" i="1"/>
  <c r="C2577" i="1"/>
  <c r="B2578" i="1"/>
  <c r="C2578" i="1"/>
  <c r="B2579" i="1"/>
  <c r="C2579" i="1"/>
  <c r="B2580" i="1"/>
  <c r="C2580" i="1"/>
  <c r="B2581" i="1"/>
  <c r="C2581" i="1"/>
  <c r="B2582" i="1"/>
  <c r="C2582" i="1"/>
  <c r="B2583" i="1"/>
  <c r="C2583" i="1"/>
  <c r="B2584" i="1"/>
  <c r="C2584" i="1"/>
  <c r="B2585" i="1"/>
  <c r="C2585" i="1"/>
  <c r="B2586" i="1"/>
  <c r="C2586" i="1"/>
  <c r="B2587" i="1"/>
  <c r="C2587" i="1"/>
  <c r="B2588" i="1"/>
  <c r="C2588" i="1"/>
  <c r="B2589" i="1"/>
  <c r="C2589" i="1"/>
  <c r="B2590" i="1"/>
  <c r="C2590" i="1"/>
  <c r="B2591" i="1"/>
  <c r="C2591" i="1"/>
  <c r="B2592" i="1"/>
  <c r="C2592" i="1"/>
  <c r="B2593" i="1"/>
  <c r="C2593" i="1"/>
  <c r="B2594" i="1"/>
  <c r="C2594" i="1"/>
  <c r="B2595" i="1"/>
  <c r="C2595" i="1"/>
  <c r="B2596" i="1"/>
  <c r="C2596" i="1"/>
  <c r="B2597" i="1"/>
  <c r="C2597" i="1"/>
  <c r="B2598" i="1"/>
  <c r="C2598" i="1"/>
  <c r="B2599" i="1"/>
  <c r="C2599" i="1"/>
  <c r="B2600" i="1"/>
  <c r="C2600" i="1"/>
  <c r="B2601" i="1"/>
  <c r="C2601" i="1"/>
  <c r="B2602" i="1"/>
  <c r="C2602" i="1"/>
  <c r="B2603" i="1"/>
  <c r="C2603" i="1"/>
  <c r="B2604" i="1"/>
  <c r="C2604" i="1"/>
  <c r="B2605" i="1"/>
  <c r="C2605" i="1"/>
  <c r="B2606" i="1"/>
  <c r="C2606" i="1"/>
  <c r="B2607" i="1"/>
  <c r="C2607" i="1"/>
  <c r="B2608" i="1"/>
  <c r="C2608" i="1"/>
  <c r="B2609" i="1"/>
  <c r="C2609" i="1"/>
  <c r="B2610" i="1"/>
  <c r="C2610" i="1"/>
  <c r="B2611" i="1"/>
  <c r="C2611" i="1"/>
  <c r="B2612" i="1"/>
  <c r="C2612" i="1"/>
  <c r="B2613" i="1"/>
  <c r="C2613" i="1"/>
  <c r="B2614" i="1"/>
  <c r="C2614" i="1"/>
  <c r="B2615" i="1"/>
  <c r="C2615" i="1"/>
  <c r="B2616" i="1"/>
  <c r="C2616" i="1"/>
  <c r="B2617" i="1"/>
  <c r="C2617" i="1"/>
  <c r="B2618" i="1"/>
  <c r="C2618" i="1"/>
  <c r="B2619" i="1"/>
  <c r="C2619" i="1"/>
  <c r="B2620" i="1"/>
  <c r="C2620" i="1"/>
  <c r="B2621" i="1"/>
  <c r="C2621" i="1"/>
  <c r="B2622" i="1"/>
  <c r="C2622" i="1"/>
  <c r="B2623" i="1"/>
  <c r="C2623" i="1"/>
  <c r="B2624" i="1"/>
  <c r="C2624" i="1"/>
  <c r="B2625" i="1"/>
  <c r="C2625" i="1"/>
  <c r="B2626" i="1"/>
  <c r="C2626" i="1"/>
  <c r="B2627" i="1"/>
  <c r="C2627" i="1"/>
  <c r="B2628" i="1"/>
  <c r="C2628" i="1"/>
  <c r="B2629" i="1"/>
  <c r="C2629" i="1"/>
  <c r="B2630" i="1"/>
  <c r="C2630" i="1"/>
  <c r="B2631" i="1"/>
  <c r="C2631" i="1"/>
  <c r="B2632" i="1"/>
  <c r="C2632" i="1"/>
  <c r="B2633" i="1"/>
  <c r="C2633" i="1"/>
  <c r="B2634" i="1"/>
  <c r="C2634" i="1"/>
  <c r="B2635" i="1"/>
  <c r="C2635" i="1"/>
  <c r="B2636" i="1"/>
  <c r="C2636" i="1"/>
  <c r="B2637" i="1"/>
  <c r="C2637" i="1"/>
  <c r="B2638" i="1"/>
  <c r="C2638" i="1"/>
  <c r="B2639" i="1"/>
  <c r="C2639" i="1"/>
  <c r="B2640" i="1"/>
  <c r="C2640" i="1"/>
  <c r="B2641" i="1"/>
  <c r="C2641" i="1"/>
  <c r="B2642" i="1"/>
  <c r="C2642" i="1"/>
  <c r="B2643" i="1"/>
  <c r="C2643" i="1"/>
  <c r="B2644" i="1"/>
  <c r="C2644" i="1"/>
  <c r="B2645" i="1"/>
  <c r="C2645" i="1"/>
  <c r="B2646" i="1"/>
  <c r="C2646" i="1"/>
  <c r="B2647" i="1"/>
  <c r="C2647" i="1"/>
  <c r="B2648" i="1"/>
  <c r="C2648" i="1"/>
  <c r="B2649" i="1"/>
  <c r="C2649" i="1"/>
  <c r="B2650" i="1"/>
  <c r="C2650" i="1"/>
  <c r="B2651" i="1"/>
  <c r="C2651" i="1"/>
  <c r="B2652" i="1"/>
  <c r="C2652" i="1"/>
  <c r="B2653" i="1"/>
  <c r="C2653" i="1"/>
  <c r="B2654" i="1"/>
  <c r="C2654" i="1"/>
  <c r="B2655" i="1"/>
  <c r="C2655" i="1"/>
  <c r="B2656" i="1"/>
  <c r="C2656" i="1"/>
  <c r="B2657" i="1"/>
  <c r="C2657" i="1"/>
  <c r="B2658" i="1"/>
  <c r="C2658" i="1"/>
  <c r="B2659" i="1"/>
  <c r="C2659" i="1"/>
  <c r="B2660" i="1"/>
  <c r="C2660" i="1"/>
  <c r="B2661" i="1"/>
  <c r="C2661" i="1"/>
  <c r="B2662" i="1"/>
  <c r="C2662" i="1"/>
  <c r="B2663" i="1"/>
  <c r="C2663" i="1"/>
  <c r="B2664" i="1"/>
  <c r="C2664" i="1"/>
  <c r="B2665" i="1"/>
  <c r="C2665" i="1"/>
  <c r="B2666" i="1"/>
  <c r="C2666" i="1"/>
  <c r="B2667" i="1"/>
  <c r="C2667" i="1"/>
  <c r="B2668" i="1"/>
  <c r="C2668" i="1"/>
  <c r="B2669" i="1"/>
  <c r="C2669" i="1"/>
  <c r="B2670" i="1"/>
  <c r="C2670" i="1"/>
  <c r="B2671" i="1"/>
  <c r="C2671" i="1"/>
  <c r="B2672" i="1"/>
  <c r="C2672" i="1"/>
  <c r="B2673" i="1"/>
  <c r="C2673" i="1"/>
  <c r="B2674" i="1"/>
  <c r="C2674" i="1"/>
  <c r="B2675" i="1"/>
  <c r="C2675" i="1"/>
  <c r="B2676" i="1"/>
  <c r="C2676" i="1"/>
  <c r="B2677" i="1"/>
  <c r="C2677" i="1"/>
  <c r="B2678" i="1"/>
  <c r="C2678" i="1"/>
  <c r="B2679" i="1"/>
  <c r="C2679" i="1"/>
  <c r="B2680" i="1"/>
  <c r="C2680" i="1"/>
  <c r="B2681" i="1"/>
  <c r="C2681" i="1"/>
  <c r="B2682" i="1"/>
  <c r="C2682" i="1"/>
  <c r="B2683" i="1"/>
  <c r="C2683" i="1"/>
  <c r="B2684" i="1"/>
  <c r="C2684" i="1"/>
  <c r="B2685" i="1"/>
  <c r="C2685" i="1"/>
  <c r="B2686" i="1"/>
  <c r="C2686" i="1"/>
  <c r="B2687" i="1"/>
  <c r="C2687" i="1"/>
  <c r="B2688" i="1"/>
  <c r="C2688" i="1"/>
  <c r="B2689" i="1"/>
  <c r="C2689" i="1"/>
  <c r="B2690" i="1"/>
  <c r="C2690" i="1"/>
  <c r="B2691" i="1"/>
  <c r="C2691" i="1"/>
  <c r="B2692" i="1"/>
  <c r="C2692" i="1"/>
  <c r="B2693" i="1"/>
  <c r="C2693" i="1"/>
  <c r="B2694" i="1"/>
  <c r="C2694" i="1"/>
  <c r="B2695" i="1"/>
  <c r="C2695" i="1"/>
  <c r="B2696" i="1"/>
  <c r="C2696" i="1"/>
  <c r="B2697" i="1"/>
  <c r="C2697" i="1"/>
  <c r="B2698" i="1"/>
  <c r="C2698" i="1"/>
  <c r="B2699" i="1"/>
  <c r="C2699" i="1"/>
  <c r="B2700" i="1"/>
  <c r="C2700" i="1"/>
  <c r="B2701" i="1"/>
  <c r="C2701" i="1"/>
  <c r="B2702" i="1"/>
  <c r="C2702" i="1"/>
  <c r="B2703" i="1"/>
  <c r="C2703" i="1"/>
  <c r="B2704" i="1"/>
  <c r="C2704" i="1"/>
  <c r="B2705" i="1"/>
  <c r="C2705" i="1"/>
  <c r="B2706" i="1"/>
  <c r="C2706" i="1"/>
  <c r="B2707" i="1"/>
  <c r="C2707" i="1"/>
  <c r="B2708" i="1"/>
  <c r="C2708" i="1"/>
  <c r="B2709" i="1"/>
  <c r="C2709" i="1"/>
  <c r="B2710" i="1"/>
  <c r="C2710" i="1"/>
  <c r="B2711" i="1"/>
  <c r="C2711" i="1"/>
  <c r="B2712" i="1"/>
  <c r="C2712" i="1"/>
  <c r="B2713" i="1"/>
  <c r="C2713" i="1"/>
  <c r="B2714" i="1"/>
  <c r="C2714" i="1"/>
  <c r="B2715" i="1"/>
  <c r="C2715" i="1"/>
  <c r="B2716" i="1"/>
  <c r="C2716" i="1"/>
  <c r="B2717" i="1"/>
  <c r="C2717" i="1"/>
  <c r="B2718" i="1"/>
  <c r="C2718" i="1"/>
  <c r="B2719" i="1"/>
  <c r="C2719" i="1"/>
  <c r="B2720" i="1"/>
  <c r="C2720" i="1"/>
  <c r="B2721" i="1"/>
  <c r="C2721" i="1"/>
  <c r="B2722" i="1"/>
  <c r="C2722" i="1"/>
  <c r="B2723" i="1"/>
  <c r="C2723" i="1"/>
  <c r="B2724" i="1"/>
  <c r="C2724" i="1"/>
  <c r="B2725" i="1"/>
  <c r="C2725" i="1"/>
  <c r="B2726" i="1"/>
  <c r="C2726" i="1"/>
  <c r="B2727" i="1"/>
  <c r="C2727" i="1"/>
  <c r="B2728" i="1"/>
  <c r="C2728" i="1"/>
  <c r="B2729" i="1"/>
  <c r="C2729" i="1"/>
  <c r="B2730" i="1"/>
  <c r="C2730" i="1"/>
  <c r="B2731" i="1"/>
  <c r="C2731" i="1"/>
  <c r="B2732" i="1"/>
  <c r="C2732" i="1"/>
  <c r="B2733" i="1"/>
  <c r="C2733" i="1"/>
  <c r="B2734" i="1"/>
  <c r="C2734" i="1"/>
  <c r="B2735" i="1"/>
  <c r="C2735" i="1"/>
  <c r="B2736" i="1"/>
  <c r="C2736" i="1"/>
  <c r="B2737" i="1"/>
  <c r="C2737" i="1"/>
  <c r="B2738" i="1"/>
  <c r="C2738" i="1"/>
  <c r="B2739" i="1"/>
  <c r="C2739" i="1"/>
  <c r="B2740" i="1"/>
  <c r="C2740" i="1"/>
  <c r="B2741" i="1"/>
  <c r="C2741" i="1"/>
  <c r="B2742" i="1"/>
  <c r="C2742" i="1"/>
  <c r="B2743" i="1"/>
  <c r="C2743" i="1"/>
  <c r="B2744" i="1"/>
  <c r="C2744" i="1"/>
  <c r="B2745" i="1"/>
  <c r="C2745" i="1"/>
  <c r="B2746" i="1"/>
  <c r="C2746" i="1"/>
  <c r="B2747" i="1"/>
  <c r="C2747" i="1"/>
  <c r="B2748" i="1"/>
  <c r="C2748" i="1"/>
  <c r="B2749" i="1"/>
  <c r="C2749" i="1"/>
  <c r="B2750" i="1"/>
  <c r="C2750" i="1"/>
  <c r="B2751" i="1"/>
  <c r="C2751" i="1"/>
  <c r="B2752" i="1"/>
  <c r="C2752" i="1"/>
  <c r="B2753" i="1"/>
  <c r="C2753" i="1"/>
  <c r="B2754" i="1"/>
  <c r="C2754" i="1"/>
  <c r="B2755" i="1"/>
  <c r="C2755" i="1"/>
  <c r="B2756" i="1"/>
  <c r="C2756" i="1"/>
  <c r="B2757" i="1"/>
  <c r="C2757" i="1"/>
  <c r="B2758" i="1"/>
  <c r="C2758" i="1"/>
  <c r="B2759" i="1"/>
  <c r="C2759" i="1"/>
  <c r="B2760" i="1"/>
  <c r="C2760" i="1"/>
  <c r="B2761" i="1"/>
  <c r="C2761" i="1"/>
  <c r="B2762" i="1"/>
  <c r="C2762" i="1"/>
  <c r="B2763" i="1"/>
  <c r="C2763" i="1"/>
  <c r="B2764" i="1"/>
  <c r="C2764" i="1"/>
  <c r="B2765" i="1"/>
  <c r="C2765" i="1"/>
  <c r="B2766" i="1"/>
  <c r="C2766" i="1"/>
  <c r="B2767" i="1"/>
  <c r="C2767" i="1"/>
  <c r="B2768" i="1"/>
  <c r="C2768" i="1"/>
  <c r="B2769" i="1"/>
  <c r="C2769" i="1"/>
  <c r="B2770" i="1"/>
  <c r="C2770" i="1"/>
  <c r="B2771" i="1"/>
  <c r="C2771" i="1"/>
  <c r="B2772" i="1"/>
  <c r="C2772" i="1"/>
  <c r="B2773" i="1"/>
  <c r="C2773" i="1"/>
  <c r="B2774" i="1"/>
  <c r="C2774" i="1"/>
  <c r="B2775" i="1"/>
  <c r="C2775" i="1"/>
  <c r="B2776" i="1"/>
  <c r="C2776" i="1"/>
  <c r="B2777" i="1"/>
  <c r="C2777" i="1"/>
  <c r="B2778" i="1"/>
  <c r="C2778" i="1"/>
  <c r="B2779" i="1"/>
  <c r="C2779" i="1"/>
  <c r="B2780" i="1"/>
  <c r="C2780" i="1"/>
  <c r="B2781" i="1"/>
  <c r="C2781" i="1"/>
  <c r="B2782" i="1"/>
  <c r="C2782" i="1"/>
  <c r="B2783" i="1"/>
  <c r="C2783" i="1"/>
  <c r="B2784" i="1"/>
  <c r="C2784" i="1"/>
  <c r="B2785" i="1"/>
  <c r="C2785" i="1"/>
  <c r="B2786" i="1"/>
  <c r="C2786" i="1"/>
  <c r="B2787" i="1"/>
  <c r="C2787" i="1"/>
  <c r="B2788" i="1"/>
  <c r="C2788" i="1"/>
  <c r="B2789" i="1"/>
  <c r="C2789" i="1"/>
  <c r="B2790" i="1"/>
  <c r="C2790" i="1"/>
  <c r="B2791" i="1"/>
  <c r="C2791" i="1"/>
  <c r="B2792" i="1"/>
  <c r="C2792" i="1"/>
  <c r="B2793" i="1"/>
  <c r="C2793" i="1"/>
  <c r="B2794" i="1"/>
  <c r="C2794" i="1"/>
  <c r="B2795" i="1"/>
  <c r="C2795" i="1"/>
  <c r="B2796" i="1"/>
  <c r="C2796" i="1"/>
  <c r="B2797" i="1"/>
  <c r="C2797" i="1"/>
  <c r="B2798" i="1"/>
  <c r="C2798" i="1"/>
  <c r="B2799" i="1"/>
  <c r="C2799" i="1"/>
  <c r="B2800" i="1"/>
  <c r="C2800" i="1"/>
  <c r="B2801" i="1"/>
  <c r="C2801" i="1"/>
  <c r="B2802" i="1"/>
  <c r="C2802" i="1"/>
  <c r="B2803" i="1"/>
  <c r="C2803" i="1"/>
  <c r="B2804" i="1"/>
  <c r="C2804" i="1"/>
  <c r="B2805" i="1"/>
  <c r="C2805" i="1"/>
  <c r="B2806" i="1"/>
  <c r="C2806" i="1"/>
  <c r="B2807" i="1"/>
  <c r="C2807" i="1"/>
  <c r="B2808" i="1"/>
  <c r="C2808" i="1"/>
  <c r="B2809" i="1"/>
  <c r="C2809" i="1"/>
  <c r="B2810" i="1"/>
  <c r="C2810" i="1"/>
  <c r="B2811" i="1"/>
  <c r="C2811" i="1"/>
  <c r="B2812" i="1"/>
  <c r="C2812" i="1"/>
  <c r="B2813" i="1"/>
  <c r="C2813" i="1"/>
  <c r="B2814" i="1"/>
  <c r="C2814" i="1"/>
  <c r="B2815" i="1"/>
  <c r="C2815" i="1"/>
  <c r="B2816" i="1"/>
  <c r="C2816" i="1"/>
  <c r="B2817" i="1"/>
  <c r="C2817" i="1"/>
  <c r="B2818" i="1"/>
  <c r="C2818" i="1"/>
  <c r="B2819" i="1"/>
  <c r="C2819" i="1"/>
  <c r="B2820" i="1"/>
  <c r="C2820" i="1"/>
  <c r="B2821" i="1"/>
  <c r="C2821" i="1"/>
  <c r="B2822" i="1"/>
  <c r="C2822" i="1"/>
  <c r="B2823" i="1"/>
  <c r="C2823" i="1"/>
  <c r="B2824" i="1"/>
  <c r="C2824" i="1"/>
  <c r="B2825" i="1"/>
  <c r="C2825" i="1"/>
  <c r="B2826" i="1"/>
  <c r="C2826" i="1"/>
  <c r="B2827" i="1"/>
  <c r="C2827" i="1"/>
  <c r="B2828" i="1"/>
  <c r="C2828" i="1"/>
  <c r="B2829" i="1"/>
  <c r="C2829" i="1"/>
  <c r="B2830" i="1"/>
  <c r="C2830" i="1"/>
  <c r="B2831" i="1"/>
  <c r="C2831" i="1"/>
  <c r="B2832" i="1"/>
  <c r="C2832" i="1"/>
  <c r="B2833" i="1"/>
  <c r="C2833" i="1"/>
  <c r="B2834" i="1"/>
  <c r="C2834" i="1"/>
  <c r="B2835" i="1"/>
  <c r="C2835" i="1"/>
  <c r="B2836" i="1"/>
  <c r="C2836" i="1"/>
  <c r="B2837" i="1"/>
  <c r="C2837" i="1"/>
  <c r="B2838" i="1"/>
  <c r="C2838" i="1"/>
  <c r="B2839" i="1"/>
  <c r="C2839" i="1"/>
  <c r="B2840" i="1"/>
  <c r="C2840" i="1"/>
  <c r="B2841" i="1"/>
  <c r="C2841" i="1"/>
  <c r="B2842" i="1"/>
  <c r="C2842" i="1"/>
  <c r="B2843" i="1"/>
  <c r="C2843" i="1"/>
  <c r="B2844" i="1"/>
  <c r="C2844" i="1"/>
  <c r="B2845" i="1"/>
  <c r="C2845" i="1"/>
  <c r="B2846" i="1"/>
  <c r="C2846" i="1"/>
  <c r="B2847" i="1"/>
  <c r="C2847" i="1"/>
  <c r="B2848" i="1"/>
  <c r="C2848" i="1"/>
  <c r="B2849" i="1"/>
  <c r="C2849" i="1"/>
  <c r="B2850" i="1"/>
  <c r="C2850" i="1"/>
  <c r="B2851" i="1"/>
  <c r="C2851" i="1"/>
  <c r="B2852" i="1"/>
  <c r="C2852" i="1"/>
  <c r="B2853" i="1"/>
  <c r="C2853" i="1"/>
  <c r="B2854" i="1"/>
  <c r="C2854" i="1"/>
  <c r="B2855" i="1"/>
  <c r="C2855" i="1"/>
  <c r="B2856" i="1"/>
  <c r="C2856" i="1"/>
  <c r="B2857" i="1"/>
  <c r="C2857" i="1"/>
  <c r="B2858" i="1"/>
  <c r="C2858" i="1"/>
  <c r="B2859" i="1"/>
  <c r="C2859" i="1"/>
  <c r="B2860" i="1"/>
  <c r="C2860" i="1"/>
  <c r="B2861" i="1"/>
  <c r="C2861" i="1"/>
  <c r="B2862" i="1"/>
  <c r="C2862" i="1"/>
  <c r="B2863" i="1"/>
  <c r="C2863" i="1"/>
  <c r="B2864" i="1"/>
  <c r="C2864" i="1"/>
  <c r="B2865" i="1"/>
  <c r="C2865" i="1"/>
  <c r="B2866" i="1"/>
  <c r="C2866" i="1"/>
  <c r="B2867" i="1"/>
  <c r="C2867" i="1"/>
  <c r="B2868" i="1"/>
  <c r="C2868" i="1"/>
  <c r="B2869" i="1"/>
  <c r="C2869" i="1"/>
  <c r="B2870" i="1"/>
  <c r="C2870" i="1"/>
  <c r="B2871" i="1"/>
  <c r="C2871" i="1"/>
  <c r="B2872" i="1"/>
  <c r="C2872" i="1"/>
  <c r="B2873" i="1"/>
  <c r="C2873" i="1"/>
  <c r="B2874" i="1"/>
  <c r="C2874" i="1"/>
  <c r="B2875" i="1"/>
  <c r="C2875" i="1"/>
  <c r="B2876" i="1"/>
  <c r="C2876" i="1"/>
  <c r="B2877" i="1"/>
  <c r="C2877" i="1"/>
  <c r="B2878" i="1"/>
  <c r="C2878" i="1"/>
  <c r="B2879" i="1"/>
  <c r="C2879" i="1"/>
  <c r="B2880" i="1"/>
  <c r="C2880" i="1"/>
  <c r="B2881" i="1"/>
  <c r="C2881" i="1"/>
  <c r="B2882" i="1"/>
  <c r="C2882" i="1"/>
  <c r="B2883" i="1"/>
  <c r="C2883" i="1"/>
  <c r="B2884" i="1"/>
  <c r="C2884" i="1"/>
  <c r="B2885" i="1"/>
  <c r="C2885" i="1"/>
  <c r="B2886" i="1"/>
  <c r="C2886" i="1"/>
  <c r="B2887" i="1"/>
  <c r="C2887" i="1"/>
  <c r="B2888" i="1"/>
  <c r="C2888" i="1"/>
  <c r="B2889" i="1"/>
  <c r="C2889" i="1"/>
  <c r="B2890" i="1"/>
  <c r="C2890" i="1"/>
  <c r="B2891" i="1"/>
  <c r="C2891" i="1"/>
  <c r="B2892" i="1"/>
  <c r="C2892" i="1"/>
  <c r="B2893" i="1"/>
  <c r="C2893" i="1"/>
  <c r="B2894" i="1"/>
  <c r="C2894" i="1"/>
  <c r="B2895" i="1"/>
  <c r="C2895" i="1"/>
  <c r="B2896" i="1"/>
  <c r="C2896" i="1"/>
  <c r="B2897" i="1"/>
  <c r="C2897" i="1"/>
  <c r="B2898" i="1"/>
  <c r="C2898" i="1"/>
  <c r="B2899" i="1"/>
  <c r="C2899" i="1"/>
  <c r="B2900" i="1"/>
  <c r="C2900" i="1"/>
  <c r="B2901" i="1"/>
  <c r="C2901" i="1"/>
  <c r="B2902" i="1"/>
  <c r="C2902" i="1"/>
  <c r="B2903" i="1"/>
  <c r="C2903" i="1"/>
  <c r="B2904" i="1"/>
  <c r="C2904" i="1"/>
  <c r="B2905" i="1"/>
  <c r="C2905" i="1"/>
  <c r="B2906" i="1"/>
  <c r="C2906" i="1"/>
  <c r="B2907" i="1"/>
  <c r="C2907" i="1"/>
  <c r="B2908" i="1"/>
  <c r="C2908" i="1"/>
  <c r="B2909" i="1"/>
  <c r="C2909" i="1"/>
  <c r="B2910" i="1"/>
  <c r="C2910" i="1"/>
  <c r="B2911" i="1"/>
  <c r="C2911" i="1"/>
  <c r="B2912" i="1"/>
  <c r="C2912" i="1"/>
  <c r="B2913" i="1"/>
  <c r="C2913" i="1"/>
  <c r="B2914" i="1"/>
  <c r="C2914" i="1"/>
  <c r="B2915" i="1"/>
  <c r="C2915" i="1"/>
  <c r="B2916" i="1"/>
  <c r="C2916" i="1"/>
  <c r="B2917" i="1"/>
  <c r="C2917" i="1"/>
  <c r="B2918" i="1"/>
  <c r="C2918" i="1"/>
  <c r="B2919" i="1"/>
  <c r="C2919" i="1"/>
  <c r="B2920" i="1"/>
  <c r="C2920" i="1"/>
  <c r="B2921" i="1"/>
  <c r="C2921" i="1"/>
  <c r="B2922" i="1"/>
  <c r="C2922" i="1"/>
  <c r="B2923" i="1"/>
  <c r="C2923" i="1"/>
  <c r="B2924" i="1"/>
  <c r="C2924" i="1"/>
  <c r="B2925" i="1"/>
  <c r="C2925" i="1"/>
  <c r="B2926" i="1"/>
  <c r="C2926" i="1"/>
  <c r="B2927" i="1"/>
  <c r="C2927" i="1"/>
  <c r="B2928" i="1"/>
  <c r="C2928" i="1"/>
  <c r="B2929" i="1"/>
  <c r="C2929" i="1"/>
  <c r="B2930" i="1"/>
  <c r="C2930" i="1"/>
  <c r="B2931" i="1"/>
  <c r="C2931" i="1"/>
  <c r="B2932" i="1"/>
  <c r="C2932" i="1"/>
  <c r="B2933" i="1"/>
  <c r="C2933" i="1"/>
  <c r="B2934" i="1"/>
  <c r="C2934" i="1"/>
  <c r="B2935" i="1"/>
  <c r="C2935" i="1"/>
  <c r="B2936" i="1"/>
  <c r="C2936" i="1"/>
  <c r="B2937" i="1"/>
  <c r="C2937" i="1"/>
  <c r="B2938" i="1"/>
  <c r="C2938" i="1"/>
  <c r="B2939" i="1"/>
  <c r="C2939" i="1"/>
  <c r="B2940" i="1"/>
  <c r="C2940" i="1"/>
  <c r="B2941" i="1"/>
  <c r="C2941" i="1"/>
  <c r="B2942" i="1"/>
  <c r="C2942" i="1"/>
  <c r="B2943" i="1"/>
  <c r="C2943" i="1"/>
  <c r="B2944" i="1"/>
  <c r="C2944" i="1"/>
  <c r="B2945" i="1"/>
  <c r="C2945" i="1"/>
  <c r="B2946" i="1"/>
  <c r="C2946" i="1"/>
  <c r="B2947" i="1"/>
  <c r="C2947" i="1"/>
  <c r="B2948" i="1"/>
  <c r="C2948" i="1"/>
  <c r="B2949" i="1"/>
  <c r="C2949" i="1"/>
  <c r="B2950" i="1"/>
  <c r="C2950" i="1"/>
  <c r="B2951" i="1"/>
  <c r="C2951" i="1"/>
  <c r="B2952" i="1"/>
  <c r="C2952" i="1"/>
  <c r="B2953" i="1"/>
  <c r="C2953" i="1"/>
  <c r="B2954" i="1"/>
  <c r="C2954" i="1"/>
  <c r="B2955" i="1"/>
  <c r="C2955" i="1"/>
  <c r="B2956" i="1"/>
  <c r="C2956" i="1"/>
  <c r="B2957" i="1"/>
  <c r="C2957" i="1"/>
  <c r="B2958" i="1"/>
  <c r="C2958" i="1"/>
  <c r="B2959" i="1"/>
  <c r="C2959" i="1"/>
  <c r="B2960" i="1"/>
  <c r="C2960" i="1"/>
  <c r="B2961" i="1"/>
  <c r="C2961" i="1"/>
  <c r="B2962" i="1"/>
  <c r="C2962" i="1"/>
  <c r="B2963" i="1"/>
  <c r="C2963" i="1"/>
  <c r="B2964" i="1"/>
  <c r="C2964" i="1"/>
  <c r="B2965" i="1"/>
  <c r="C2965" i="1"/>
  <c r="B2966" i="1"/>
  <c r="C2966" i="1"/>
  <c r="B2967" i="1"/>
  <c r="C2967" i="1"/>
  <c r="B2968" i="1"/>
  <c r="C2968" i="1"/>
  <c r="B2969" i="1"/>
  <c r="C2969" i="1"/>
  <c r="B2970" i="1"/>
  <c r="C2970" i="1"/>
  <c r="B2971" i="1"/>
  <c r="C2971" i="1"/>
  <c r="B2972" i="1"/>
  <c r="C2972" i="1"/>
  <c r="B2973" i="1"/>
  <c r="C2973" i="1"/>
  <c r="B2974" i="1"/>
  <c r="C2974" i="1"/>
  <c r="B2975" i="1"/>
  <c r="C2975" i="1"/>
  <c r="B2976" i="1"/>
  <c r="C2976" i="1"/>
  <c r="B2977" i="1"/>
  <c r="C2977" i="1"/>
  <c r="B2978" i="1"/>
  <c r="C2978" i="1"/>
  <c r="B2979" i="1"/>
  <c r="C2979" i="1"/>
  <c r="B2980" i="1"/>
  <c r="C2980" i="1"/>
  <c r="B2981" i="1"/>
  <c r="C2981" i="1"/>
  <c r="B2982" i="1"/>
  <c r="C2982" i="1"/>
  <c r="B2983" i="1"/>
  <c r="C2983" i="1"/>
  <c r="B2984" i="1"/>
  <c r="C2984" i="1"/>
  <c r="B2985" i="1"/>
  <c r="C2985" i="1"/>
  <c r="B2986" i="1"/>
  <c r="C2986" i="1"/>
  <c r="B2987" i="1"/>
  <c r="C2987" i="1"/>
  <c r="B2988" i="1"/>
  <c r="C2988" i="1"/>
  <c r="B2989" i="1"/>
  <c r="C2989" i="1"/>
  <c r="B2990" i="1"/>
  <c r="C2990" i="1"/>
  <c r="B2991" i="1"/>
  <c r="C2991" i="1"/>
  <c r="B2992" i="1"/>
  <c r="C2992" i="1"/>
  <c r="B2993" i="1"/>
  <c r="C2993" i="1"/>
  <c r="B2994" i="1"/>
  <c r="C2994" i="1"/>
  <c r="B2995" i="1"/>
  <c r="C2995" i="1"/>
  <c r="B2996" i="1"/>
  <c r="C2996" i="1"/>
  <c r="B2997" i="1"/>
  <c r="C2997" i="1"/>
  <c r="B2998" i="1"/>
  <c r="C2998" i="1"/>
  <c r="B2999" i="1"/>
  <c r="C2999" i="1"/>
  <c r="B3000" i="1"/>
  <c r="C3000" i="1"/>
  <c r="B3001" i="1"/>
  <c r="C3001" i="1"/>
  <c r="B3002" i="1"/>
  <c r="C3002" i="1"/>
  <c r="B3003" i="1"/>
  <c r="C3003" i="1"/>
  <c r="B3004" i="1"/>
  <c r="C3004" i="1"/>
  <c r="B3005" i="1"/>
  <c r="C3005" i="1"/>
  <c r="B3006" i="1"/>
  <c r="C3006" i="1"/>
  <c r="B3007" i="1"/>
  <c r="C3007" i="1"/>
  <c r="B3008" i="1"/>
  <c r="C3008" i="1"/>
  <c r="B3009" i="1"/>
  <c r="C3009" i="1"/>
  <c r="B3010" i="1"/>
  <c r="C3010" i="1"/>
  <c r="B3011" i="1"/>
  <c r="C3011" i="1"/>
  <c r="B3012" i="1"/>
  <c r="C3012" i="1"/>
  <c r="B3013" i="1"/>
  <c r="C3013" i="1"/>
  <c r="B3014" i="1"/>
  <c r="C3014" i="1"/>
  <c r="B3015" i="1"/>
  <c r="C3015" i="1"/>
  <c r="B3016" i="1"/>
  <c r="C3016" i="1"/>
  <c r="B3017" i="1"/>
  <c r="C3017" i="1"/>
  <c r="B3018" i="1"/>
  <c r="C3018" i="1"/>
  <c r="B3019" i="1"/>
  <c r="C3019" i="1"/>
  <c r="B3020" i="1"/>
  <c r="C3020" i="1"/>
  <c r="B3021" i="1"/>
  <c r="C3021" i="1"/>
  <c r="B3022" i="1"/>
  <c r="C3022" i="1"/>
  <c r="B3023" i="1"/>
  <c r="C3023" i="1"/>
  <c r="B3024" i="1"/>
  <c r="C3024" i="1"/>
  <c r="B3025" i="1"/>
  <c r="C3025" i="1"/>
  <c r="B3026" i="1"/>
  <c r="C3026" i="1"/>
  <c r="B3027" i="1"/>
  <c r="C3027" i="1"/>
  <c r="B3028" i="1"/>
  <c r="C3028" i="1"/>
  <c r="B3029" i="1"/>
  <c r="C3029" i="1"/>
  <c r="B3030" i="1"/>
  <c r="C3030" i="1"/>
  <c r="B3031" i="1"/>
  <c r="C3031" i="1"/>
  <c r="B3032" i="1"/>
  <c r="C3032" i="1"/>
  <c r="B3033" i="1"/>
  <c r="C3033" i="1"/>
  <c r="B3034" i="1"/>
  <c r="C3034" i="1"/>
  <c r="B3035" i="1"/>
  <c r="C3035" i="1"/>
  <c r="B3036" i="1"/>
  <c r="C3036" i="1"/>
  <c r="B3037" i="1"/>
  <c r="C3037" i="1"/>
  <c r="B3038" i="1"/>
  <c r="C3038" i="1"/>
  <c r="B3039" i="1"/>
  <c r="C3039" i="1"/>
  <c r="B3040" i="1"/>
  <c r="C3040" i="1"/>
  <c r="B3041" i="1"/>
  <c r="C3041" i="1"/>
  <c r="B3042" i="1"/>
  <c r="C3042" i="1"/>
  <c r="B3043" i="1"/>
  <c r="C3043" i="1"/>
  <c r="B3044" i="1"/>
  <c r="C3044" i="1"/>
  <c r="B3045" i="1"/>
  <c r="C3045" i="1"/>
  <c r="B3046" i="1"/>
  <c r="C3046" i="1"/>
  <c r="B3047" i="1"/>
  <c r="C3047" i="1"/>
  <c r="B3048" i="1"/>
  <c r="C3048" i="1"/>
  <c r="B3049" i="1"/>
  <c r="C3049" i="1"/>
  <c r="B3050" i="1"/>
  <c r="C3050" i="1"/>
  <c r="B3051" i="1"/>
  <c r="C3051" i="1"/>
  <c r="B3052" i="1"/>
  <c r="C3052" i="1"/>
  <c r="B3053" i="1"/>
  <c r="C3053" i="1"/>
  <c r="B3054" i="1"/>
  <c r="C3054" i="1"/>
  <c r="B3055" i="1"/>
  <c r="C3055" i="1"/>
  <c r="B3056" i="1"/>
  <c r="C3056" i="1"/>
  <c r="B3057" i="1"/>
  <c r="C3057" i="1"/>
  <c r="B3058" i="1"/>
  <c r="C3058" i="1"/>
  <c r="B3059" i="1"/>
  <c r="C3059" i="1"/>
  <c r="B3060" i="1"/>
  <c r="C3060" i="1"/>
  <c r="B3061" i="1"/>
  <c r="C3061" i="1"/>
  <c r="B3062" i="1"/>
  <c r="C3062" i="1"/>
  <c r="B3063" i="1"/>
  <c r="C3063" i="1"/>
  <c r="B3064" i="1"/>
  <c r="C3064" i="1"/>
  <c r="B3065" i="1"/>
  <c r="C3065" i="1"/>
  <c r="B3066" i="1"/>
  <c r="C3066" i="1"/>
  <c r="B3067" i="1"/>
  <c r="C3067" i="1"/>
  <c r="B3068" i="1"/>
  <c r="C3068" i="1"/>
  <c r="B3069" i="1"/>
  <c r="C3069" i="1"/>
  <c r="B3070" i="1"/>
  <c r="C3070" i="1"/>
  <c r="B3071" i="1"/>
  <c r="C3071" i="1"/>
  <c r="B3072" i="1"/>
  <c r="C3072" i="1"/>
  <c r="B3073" i="1"/>
  <c r="C3073" i="1"/>
  <c r="B3074" i="1"/>
  <c r="C3074" i="1"/>
  <c r="B3075" i="1"/>
  <c r="C3075" i="1"/>
  <c r="B3076" i="1"/>
  <c r="C3076" i="1"/>
  <c r="B3077" i="1"/>
  <c r="C3077" i="1"/>
  <c r="B3078" i="1"/>
  <c r="C3078" i="1"/>
  <c r="B3079" i="1"/>
  <c r="C3079" i="1"/>
  <c r="B3080" i="1"/>
  <c r="C3080" i="1"/>
  <c r="B3081" i="1"/>
  <c r="C3081" i="1"/>
  <c r="B3082" i="1"/>
  <c r="C3082" i="1"/>
  <c r="B3083" i="1"/>
  <c r="C3083" i="1"/>
  <c r="B3084" i="1"/>
  <c r="C3084" i="1"/>
  <c r="B3085" i="1"/>
  <c r="C3085" i="1"/>
  <c r="B3086" i="1"/>
  <c r="C3086" i="1"/>
  <c r="B3087" i="1"/>
  <c r="C3087" i="1"/>
  <c r="B3088" i="1"/>
  <c r="C3088" i="1"/>
  <c r="B3089" i="1"/>
  <c r="C3089" i="1"/>
  <c r="B3090" i="1"/>
  <c r="C3090" i="1"/>
  <c r="B3091" i="1"/>
  <c r="C3091" i="1"/>
  <c r="B3092" i="1"/>
  <c r="C3092" i="1"/>
  <c r="B3093" i="1"/>
  <c r="C3093" i="1"/>
  <c r="B3094" i="1"/>
  <c r="C3094" i="1"/>
  <c r="B3095" i="1"/>
  <c r="C3095" i="1"/>
  <c r="B3096" i="1"/>
  <c r="C3096" i="1"/>
  <c r="B3097" i="1"/>
  <c r="C3097" i="1"/>
  <c r="B3098" i="1"/>
  <c r="C3098" i="1"/>
  <c r="B3099" i="1"/>
  <c r="C3099" i="1"/>
  <c r="B3100" i="1"/>
  <c r="C3100" i="1"/>
  <c r="B3101" i="1"/>
  <c r="C3101" i="1"/>
  <c r="B3102" i="1"/>
  <c r="C3102" i="1"/>
  <c r="B3103" i="1"/>
  <c r="C3103" i="1"/>
  <c r="B3104" i="1"/>
  <c r="C3104" i="1"/>
  <c r="B3105" i="1"/>
  <c r="C3105" i="1"/>
  <c r="B3106" i="1"/>
  <c r="C3106" i="1"/>
  <c r="B3107" i="1"/>
  <c r="C3107" i="1"/>
  <c r="B3108" i="1"/>
  <c r="C3108" i="1"/>
  <c r="B3109" i="1"/>
  <c r="C3109" i="1"/>
  <c r="B3110" i="1"/>
  <c r="C3110" i="1"/>
  <c r="B3111" i="1"/>
  <c r="C3111" i="1"/>
  <c r="B3112" i="1"/>
  <c r="C3112" i="1"/>
  <c r="B3113" i="1"/>
  <c r="C3113" i="1"/>
  <c r="B3114" i="1"/>
  <c r="C3114" i="1"/>
  <c r="B3115" i="1"/>
  <c r="C3115" i="1"/>
  <c r="B3116" i="1"/>
  <c r="C3116" i="1"/>
  <c r="B3117" i="1"/>
  <c r="C3117" i="1"/>
  <c r="B3118" i="1"/>
  <c r="C3118" i="1"/>
  <c r="B3119" i="1"/>
  <c r="C3119" i="1"/>
  <c r="B3120" i="1"/>
  <c r="C3120" i="1"/>
  <c r="B3121" i="1"/>
  <c r="C3121" i="1"/>
  <c r="B3122" i="1"/>
  <c r="C3122" i="1"/>
  <c r="B3123" i="1"/>
  <c r="C3123" i="1"/>
  <c r="B3124" i="1"/>
  <c r="C3124" i="1"/>
  <c r="B3125" i="1"/>
  <c r="C3125" i="1"/>
  <c r="B3126" i="1"/>
  <c r="C3126" i="1"/>
  <c r="B3127" i="1"/>
  <c r="C3127" i="1"/>
  <c r="B3128" i="1"/>
  <c r="C3128" i="1"/>
  <c r="B3129" i="1"/>
  <c r="C3129" i="1"/>
  <c r="B3130" i="1"/>
  <c r="C3130" i="1"/>
  <c r="B3131" i="1"/>
  <c r="C3131" i="1"/>
  <c r="B3132" i="1"/>
  <c r="C3132" i="1"/>
  <c r="B3133" i="1"/>
  <c r="C3133" i="1"/>
  <c r="B3134" i="1"/>
  <c r="C3134" i="1"/>
  <c r="B3135" i="1"/>
  <c r="C3135" i="1"/>
  <c r="B3136" i="1"/>
  <c r="C3136" i="1"/>
  <c r="B3137" i="1"/>
  <c r="C3137" i="1"/>
  <c r="B3138" i="1"/>
  <c r="C3138" i="1"/>
  <c r="B3139" i="1"/>
  <c r="C3139" i="1"/>
  <c r="B3140" i="1"/>
  <c r="C3140" i="1"/>
  <c r="B3141" i="1"/>
  <c r="C3141" i="1"/>
  <c r="B3142" i="1"/>
  <c r="C3142" i="1"/>
  <c r="B3143" i="1"/>
  <c r="C3143" i="1"/>
  <c r="B3144" i="1"/>
  <c r="C3144" i="1"/>
  <c r="B3145" i="1"/>
  <c r="C3145" i="1"/>
  <c r="B3146" i="1"/>
  <c r="C3146" i="1"/>
  <c r="B3147" i="1"/>
  <c r="C3147" i="1"/>
  <c r="B3148" i="1"/>
  <c r="C3148" i="1"/>
  <c r="B3149" i="1"/>
  <c r="C3149" i="1"/>
  <c r="B3150" i="1"/>
  <c r="C3150" i="1"/>
  <c r="B3151" i="1"/>
  <c r="C3151" i="1"/>
  <c r="B3152" i="1"/>
  <c r="C3152" i="1"/>
  <c r="B3153" i="1"/>
  <c r="C3153" i="1"/>
  <c r="B3154" i="1"/>
  <c r="C3154" i="1"/>
  <c r="B3155" i="1"/>
  <c r="C3155" i="1"/>
  <c r="B3156" i="1"/>
  <c r="C3156" i="1"/>
  <c r="B3157" i="1"/>
  <c r="C3157" i="1"/>
  <c r="B3158" i="1"/>
  <c r="C3158" i="1"/>
  <c r="B3159" i="1"/>
  <c r="C3159" i="1"/>
  <c r="B3160" i="1"/>
  <c r="C3160" i="1"/>
  <c r="B3161" i="1"/>
  <c r="C3161" i="1"/>
  <c r="B3162" i="1"/>
  <c r="C3162" i="1"/>
  <c r="B3163" i="1"/>
  <c r="C3163" i="1"/>
  <c r="B3164" i="1"/>
  <c r="C3164" i="1"/>
  <c r="B3165" i="1"/>
  <c r="C3165" i="1"/>
  <c r="B3166" i="1"/>
  <c r="C3166" i="1"/>
  <c r="B3167" i="1"/>
  <c r="C3167" i="1"/>
  <c r="B3168" i="1"/>
  <c r="C3168" i="1"/>
  <c r="B3169" i="1"/>
  <c r="C3169" i="1"/>
  <c r="B3170" i="1"/>
  <c r="C3170" i="1"/>
  <c r="B3171" i="1"/>
  <c r="C3171" i="1"/>
  <c r="B3172" i="1"/>
  <c r="C3172" i="1"/>
  <c r="B3173" i="1"/>
  <c r="C3173" i="1"/>
  <c r="B3174" i="1"/>
  <c r="C3174" i="1"/>
  <c r="B3175" i="1"/>
  <c r="C3175" i="1"/>
  <c r="B3176" i="1"/>
  <c r="C3176" i="1"/>
  <c r="B3177" i="1"/>
  <c r="C3177" i="1"/>
  <c r="B3178" i="1"/>
  <c r="C3178" i="1"/>
  <c r="B3179" i="1"/>
  <c r="C3179" i="1"/>
  <c r="B3180" i="1"/>
  <c r="C3180" i="1"/>
  <c r="B3181" i="1"/>
  <c r="C3181" i="1"/>
  <c r="B3182" i="1"/>
  <c r="C3182" i="1"/>
  <c r="B3183" i="1"/>
  <c r="C3183" i="1"/>
  <c r="B3184" i="1"/>
  <c r="C3184" i="1"/>
  <c r="B3185" i="1"/>
  <c r="C3185" i="1"/>
  <c r="B3186" i="1"/>
  <c r="C3186" i="1"/>
  <c r="B3187" i="1"/>
  <c r="C3187" i="1"/>
  <c r="B3188" i="1"/>
  <c r="C3188" i="1"/>
  <c r="B3189" i="1"/>
  <c r="C3189" i="1"/>
  <c r="B3190" i="1"/>
  <c r="C3190" i="1"/>
  <c r="B3191" i="1"/>
  <c r="C3191" i="1"/>
  <c r="B3192" i="1"/>
  <c r="C3192" i="1"/>
  <c r="B3193" i="1"/>
  <c r="C3193" i="1"/>
  <c r="B3194" i="1"/>
  <c r="C3194" i="1"/>
  <c r="B3195" i="1"/>
  <c r="C3195" i="1"/>
  <c r="B3196" i="1"/>
  <c r="C3196" i="1"/>
  <c r="B3197" i="1"/>
  <c r="C3197" i="1"/>
  <c r="B3198" i="1"/>
  <c r="C3198" i="1"/>
  <c r="B3199" i="1"/>
  <c r="C3199" i="1"/>
  <c r="B3200" i="1"/>
  <c r="C3200" i="1"/>
  <c r="B3201" i="1"/>
  <c r="C3201" i="1"/>
  <c r="B3202" i="1"/>
  <c r="C3202" i="1"/>
  <c r="B3203" i="1"/>
  <c r="C3203" i="1"/>
  <c r="B3204" i="1"/>
  <c r="C3204" i="1"/>
  <c r="B3205" i="1"/>
  <c r="C3205" i="1"/>
  <c r="B3206" i="1"/>
  <c r="C3206" i="1"/>
  <c r="B3207" i="1"/>
  <c r="C3207" i="1"/>
  <c r="B3208" i="1"/>
  <c r="C3208" i="1"/>
  <c r="B3209" i="1"/>
  <c r="C3209" i="1"/>
  <c r="B3210" i="1"/>
  <c r="C3210" i="1"/>
  <c r="B3211" i="1"/>
  <c r="C3211" i="1"/>
  <c r="B3212" i="1"/>
  <c r="C3212" i="1"/>
  <c r="B3213" i="1"/>
  <c r="C3213" i="1"/>
  <c r="B3214" i="1"/>
  <c r="C3214" i="1"/>
  <c r="B3215" i="1"/>
  <c r="C3215" i="1"/>
  <c r="B3216" i="1"/>
  <c r="C3216" i="1"/>
  <c r="B3217" i="1"/>
  <c r="C3217" i="1"/>
  <c r="B3218" i="1"/>
  <c r="C3218" i="1"/>
  <c r="B3219" i="1"/>
  <c r="C3219" i="1"/>
  <c r="B3220" i="1"/>
  <c r="C3220" i="1"/>
  <c r="B3221" i="1"/>
  <c r="C3221" i="1"/>
  <c r="B3222" i="1"/>
  <c r="C3222" i="1"/>
  <c r="B3223" i="1"/>
  <c r="C3223" i="1"/>
  <c r="B3224" i="1"/>
  <c r="C3224" i="1"/>
  <c r="B3225" i="1"/>
  <c r="C3225" i="1"/>
  <c r="B3226" i="1"/>
  <c r="C3226" i="1"/>
  <c r="B3227" i="1"/>
  <c r="C3227" i="1"/>
  <c r="B3228" i="1"/>
  <c r="C3228" i="1"/>
  <c r="B3229" i="1"/>
  <c r="C3229" i="1"/>
  <c r="B3230" i="1"/>
  <c r="C3230" i="1"/>
  <c r="B3231" i="1"/>
  <c r="C3231" i="1"/>
  <c r="B3232" i="1"/>
  <c r="C3232" i="1"/>
  <c r="B3233" i="1"/>
  <c r="C3233" i="1"/>
  <c r="B3234" i="1"/>
  <c r="C3234" i="1"/>
  <c r="B3235" i="1"/>
  <c r="C3235" i="1"/>
  <c r="B3236" i="1"/>
  <c r="C3236" i="1"/>
  <c r="B3237" i="1"/>
  <c r="C3237" i="1"/>
  <c r="B3238" i="1"/>
  <c r="C3238" i="1"/>
  <c r="B3239" i="1"/>
  <c r="C3239" i="1"/>
  <c r="B3240" i="1"/>
  <c r="C3240" i="1"/>
  <c r="B3241" i="1"/>
  <c r="C3241" i="1"/>
  <c r="B3242" i="1"/>
  <c r="C3242" i="1"/>
  <c r="B3243" i="1"/>
  <c r="C3243" i="1"/>
  <c r="B3244" i="1"/>
  <c r="C3244" i="1"/>
  <c r="B3245" i="1"/>
  <c r="C3245" i="1"/>
  <c r="B3246" i="1"/>
  <c r="C3246" i="1"/>
  <c r="B3247" i="1"/>
  <c r="C3247" i="1"/>
  <c r="B3248" i="1"/>
  <c r="C3248" i="1"/>
  <c r="B3249" i="1"/>
  <c r="C3249" i="1"/>
  <c r="B3250" i="1"/>
  <c r="C3250" i="1"/>
  <c r="B3251" i="1"/>
  <c r="C3251" i="1"/>
  <c r="B3252" i="1"/>
  <c r="C3252" i="1"/>
  <c r="B3253" i="1"/>
  <c r="C3253" i="1"/>
  <c r="B3254" i="1"/>
  <c r="C3254" i="1"/>
  <c r="B3255" i="1"/>
  <c r="C3255" i="1"/>
  <c r="B3256" i="1"/>
  <c r="C3256" i="1"/>
  <c r="B3257" i="1"/>
  <c r="C3257" i="1"/>
  <c r="B3258" i="1"/>
  <c r="C3258" i="1"/>
  <c r="B3259" i="1"/>
  <c r="C3259" i="1"/>
  <c r="B3260" i="1"/>
  <c r="C3260" i="1"/>
  <c r="B3261" i="1"/>
  <c r="C3261" i="1"/>
  <c r="B3262" i="1"/>
  <c r="C3262" i="1"/>
  <c r="B3263" i="1"/>
  <c r="C3263" i="1"/>
  <c r="B3264" i="1"/>
  <c r="C3264" i="1"/>
  <c r="B3265" i="1"/>
  <c r="C3265" i="1"/>
  <c r="B3266" i="1"/>
  <c r="C3266" i="1"/>
  <c r="B3267" i="1"/>
  <c r="C3267" i="1"/>
  <c r="B3268" i="1"/>
  <c r="C3268" i="1"/>
  <c r="B3269" i="1"/>
  <c r="C3269" i="1"/>
  <c r="B3270" i="1"/>
  <c r="C3270" i="1"/>
  <c r="B3271" i="1"/>
  <c r="C3271" i="1"/>
  <c r="B3272" i="1"/>
  <c r="C3272" i="1"/>
  <c r="B3273" i="1"/>
  <c r="C3273" i="1"/>
  <c r="B3274" i="1"/>
  <c r="C3274" i="1"/>
  <c r="B3275" i="1"/>
  <c r="C3275" i="1"/>
  <c r="B3276" i="1"/>
  <c r="C3276" i="1"/>
  <c r="B3277" i="1"/>
  <c r="C3277" i="1"/>
  <c r="B3278" i="1"/>
  <c r="C3278" i="1"/>
  <c r="B3279" i="1"/>
  <c r="C3279" i="1"/>
  <c r="B3280" i="1"/>
  <c r="C3280" i="1"/>
  <c r="B3281" i="1"/>
  <c r="C3281" i="1"/>
  <c r="B3282" i="1"/>
  <c r="C3282" i="1"/>
  <c r="B3283" i="1"/>
  <c r="C3283" i="1"/>
  <c r="B3284" i="1"/>
  <c r="C3284" i="1"/>
  <c r="B3285" i="1"/>
  <c r="C3285" i="1"/>
  <c r="B3286" i="1"/>
  <c r="C3286" i="1"/>
  <c r="B3287" i="1"/>
  <c r="C3287" i="1"/>
  <c r="B3288" i="1"/>
  <c r="C3288" i="1"/>
  <c r="B3289" i="1"/>
  <c r="C3289" i="1"/>
  <c r="B3290" i="1"/>
  <c r="C3290" i="1"/>
  <c r="B3291" i="1"/>
  <c r="C3291" i="1"/>
  <c r="B3292" i="1"/>
  <c r="C3292" i="1"/>
  <c r="B3293" i="1"/>
  <c r="C3293" i="1"/>
  <c r="B3294" i="1"/>
  <c r="C3294" i="1"/>
  <c r="B3295" i="1"/>
  <c r="C3295" i="1"/>
  <c r="B3296" i="1"/>
  <c r="C3296" i="1"/>
  <c r="B3297" i="1"/>
  <c r="C3297" i="1"/>
  <c r="B3298" i="1"/>
  <c r="C3298" i="1"/>
  <c r="B3299" i="1"/>
  <c r="C3299" i="1"/>
  <c r="B3300" i="1"/>
  <c r="C3300" i="1"/>
  <c r="B3301" i="1"/>
  <c r="C3301" i="1"/>
  <c r="B3302" i="1"/>
  <c r="C3302" i="1"/>
  <c r="B3303" i="1"/>
  <c r="C3303" i="1"/>
  <c r="B3304" i="1"/>
  <c r="C3304" i="1"/>
  <c r="B3305" i="1"/>
  <c r="C3305" i="1"/>
  <c r="B3306" i="1"/>
  <c r="C3306" i="1"/>
  <c r="B3307" i="1"/>
  <c r="C3307" i="1"/>
  <c r="B3308" i="1"/>
  <c r="C3308" i="1"/>
  <c r="B3309" i="1"/>
  <c r="C3309" i="1"/>
  <c r="B3310" i="1"/>
  <c r="C3310" i="1"/>
  <c r="B3311" i="1"/>
  <c r="C3311" i="1"/>
  <c r="B3312" i="1"/>
  <c r="C3312" i="1"/>
  <c r="B3313" i="1"/>
  <c r="C3313" i="1"/>
  <c r="B3314" i="1"/>
  <c r="C3314" i="1"/>
  <c r="B3315" i="1"/>
  <c r="C3315" i="1"/>
  <c r="B3316" i="1"/>
  <c r="C3316" i="1"/>
  <c r="B3317" i="1"/>
  <c r="C3317" i="1"/>
  <c r="B3318" i="1"/>
  <c r="C3318" i="1"/>
  <c r="B3319" i="1"/>
  <c r="C3319" i="1"/>
  <c r="B3320" i="1"/>
  <c r="C3320" i="1"/>
  <c r="B3321" i="1"/>
  <c r="C3321" i="1"/>
  <c r="B3322" i="1"/>
  <c r="C3322" i="1"/>
  <c r="B3323" i="1"/>
  <c r="C3323" i="1"/>
  <c r="B3324" i="1"/>
  <c r="C3324" i="1"/>
  <c r="B3325" i="1"/>
  <c r="C3325" i="1"/>
  <c r="B3326" i="1"/>
  <c r="C3326" i="1"/>
  <c r="B3327" i="1"/>
  <c r="C3327" i="1"/>
  <c r="B3328" i="1"/>
  <c r="C3328" i="1"/>
  <c r="B3329" i="1"/>
  <c r="C3329" i="1"/>
  <c r="B3330" i="1"/>
  <c r="C3330" i="1"/>
  <c r="B3331" i="1"/>
  <c r="C3331" i="1"/>
  <c r="B3332" i="1"/>
  <c r="C3332" i="1"/>
  <c r="B3333" i="1"/>
  <c r="C3333" i="1"/>
  <c r="B3334" i="1"/>
  <c r="C3334" i="1"/>
  <c r="B3335" i="1"/>
  <c r="C3335" i="1"/>
  <c r="B3336" i="1"/>
  <c r="C3336" i="1"/>
  <c r="B3337" i="1"/>
  <c r="C3337" i="1"/>
  <c r="B3338" i="1"/>
  <c r="C3338" i="1"/>
  <c r="B3339" i="1"/>
  <c r="C3339" i="1"/>
  <c r="B3340" i="1"/>
  <c r="C3340" i="1"/>
  <c r="B3341" i="1"/>
  <c r="C3341" i="1"/>
  <c r="B3342" i="1"/>
  <c r="C3342" i="1"/>
  <c r="B3343" i="1"/>
  <c r="C3343" i="1"/>
  <c r="B3344" i="1"/>
  <c r="C3344" i="1"/>
  <c r="B3345" i="1"/>
  <c r="C3345" i="1"/>
  <c r="B3346" i="1"/>
  <c r="C3346" i="1"/>
  <c r="B3347" i="1"/>
  <c r="C3347" i="1"/>
  <c r="B3348" i="1"/>
  <c r="C3348" i="1"/>
  <c r="B3349" i="1"/>
  <c r="C3349" i="1"/>
  <c r="B3350" i="1"/>
  <c r="C3350" i="1"/>
  <c r="B3351" i="1"/>
  <c r="C3351" i="1"/>
  <c r="B3352" i="1"/>
  <c r="C3352" i="1"/>
  <c r="B3353" i="1"/>
  <c r="C3353" i="1"/>
  <c r="B3354" i="1"/>
  <c r="C3354" i="1"/>
  <c r="B3355" i="1"/>
  <c r="C3355" i="1"/>
  <c r="B3356" i="1"/>
  <c r="C3356" i="1"/>
  <c r="B3357" i="1"/>
  <c r="C3357" i="1"/>
  <c r="B3358" i="1"/>
  <c r="C3358" i="1"/>
  <c r="B3359" i="1"/>
  <c r="C3359" i="1"/>
  <c r="B3360" i="1"/>
  <c r="C3360" i="1"/>
  <c r="B3361" i="1"/>
  <c r="C3361" i="1"/>
  <c r="B3362" i="1"/>
  <c r="C3362" i="1"/>
  <c r="B3363" i="1"/>
  <c r="C3363" i="1"/>
  <c r="B3364" i="1"/>
  <c r="C3364" i="1"/>
  <c r="B3365" i="1"/>
  <c r="C3365" i="1"/>
  <c r="B3366" i="1"/>
  <c r="C3366" i="1"/>
  <c r="B3367" i="1"/>
  <c r="C3367" i="1"/>
  <c r="B3368" i="1"/>
  <c r="C3368" i="1"/>
  <c r="B3369" i="1"/>
  <c r="C3369" i="1"/>
  <c r="B3370" i="1"/>
  <c r="C3370" i="1"/>
  <c r="B3371" i="1"/>
  <c r="C3371" i="1"/>
  <c r="B3372" i="1"/>
  <c r="C3372" i="1"/>
  <c r="B3373" i="1"/>
  <c r="C3373" i="1"/>
  <c r="B3374" i="1"/>
  <c r="C3374" i="1"/>
  <c r="B3375" i="1"/>
  <c r="C3375" i="1"/>
  <c r="B3376" i="1"/>
  <c r="C3376" i="1"/>
  <c r="B3377" i="1"/>
  <c r="C3377" i="1"/>
  <c r="B3378" i="1"/>
  <c r="C3378" i="1"/>
  <c r="B3379" i="1"/>
  <c r="C3379" i="1"/>
  <c r="B3380" i="1"/>
  <c r="C3380" i="1"/>
  <c r="B3381" i="1"/>
  <c r="C3381" i="1"/>
  <c r="B3382" i="1"/>
  <c r="C3382" i="1"/>
  <c r="B3383" i="1"/>
  <c r="C3383" i="1"/>
  <c r="B3384" i="1"/>
  <c r="C3384" i="1"/>
  <c r="B3385" i="1"/>
  <c r="C3385" i="1"/>
  <c r="B3386" i="1"/>
  <c r="C3386" i="1"/>
  <c r="B3387" i="1"/>
  <c r="C3387" i="1"/>
  <c r="B3388" i="1"/>
  <c r="C3388" i="1"/>
  <c r="B3389" i="1"/>
  <c r="C3389" i="1"/>
  <c r="B3390" i="1"/>
  <c r="C3390" i="1"/>
  <c r="B3391" i="1"/>
  <c r="C3391" i="1"/>
  <c r="B3392" i="1"/>
  <c r="C3392" i="1"/>
  <c r="B3393" i="1"/>
  <c r="C3393" i="1"/>
  <c r="B3394" i="1"/>
  <c r="C3394" i="1"/>
  <c r="B3395" i="1"/>
  <c r="C3395" i="1"/>
  <c r="B3396" i="1"/>
  <c r="C3396" i="1"/>
  <c r="B3397" i="1"/>
  <c r="C3397" i="1"/>
  <c r="B3398" i="1"/>
  <c r="C3398" i="1"/>
  <c r="B3399" i="1"/>
  <c r="C3399" i="1"/>
  <c r="B3400" i="1"/>
  <c r="C3400" i="1"/>
  <c r="B3401" i="1"/>
  <c r="C3401" i="1"/>
  <c r="B3402" i="1"/>
  <c r="C3402" i="1"/>
  <c r="B3403" i="1"/>
  <c r="C3403" i="1"/>
  <c r="B3404" i="1"/>
  <c r="C3404" i="1"/>
  <c r="B3405" i="1"/>
  <c r="C3405" i="1"/>
  <c r="B3406" i="1"/>
  <c r="C3406" i="1"/>
  <c r="B3407" i="1"/>
  <c r="C3407" i="1"/>
  <c r="B3408" i="1"/>
  <c r="C3408" i="1"/>
  <c r="B3409" i="1"/>
  <c r="C3409" i="1"/>
  <c r="B3410" i="1"/>
  <c r="C3410" i="1"/>
  <c r="B3411" i="1"/>
  <c r="C3411" i="1"/>
  <c r="B3412" i="1"/>
  <c r="C3412" i="1"/>
  <c r="B3413" i="1"/>
  <c r="C3413" i="1"/>
  <c r="B3414" i="1"/>
  <c r="C3414" i="1"/>
  <c r="B3415" i="1"/>
  <c r="C3415" i="1"/>
  <c r="B3416" i="1"/>
  <c r="C3416" i="1"/>
  <c r="B3417" i="1"/>
  <c r="C3417" i="1"/>
  <c r="B3418" i="1"/>
  <c r="C3418" i="1"/>
  <c r="B3419" i="1"/>
  <c r="C3419" i="1"/>
  <c r="B3420" i="1"/>
  <c r="C3420" i="1"/>
  <c r="B3421" i="1"/>
  <c r="C3421" i="1"/>
  <c r="B3422" i="1"/>
  <c r="C3422" i="1"/>
  <c r="B3423" i="1"/>
  <c r="C3423" i="1"/>
  <c r="B3424" i="1"/>
  <c r="C3424" i="1"/>
  <c r="B3425" i="1"/>
  <c r="C3425" i="1"/>
  <c r="B3426" i="1"/>
  <c r="C3426" i="1"/>
  <c r="B3427" i="1"/>
  <c r="C3427" i="1"/>
  <c r="B3428" i="1"/>
  <c r="C3428" i="1"/>
  <c r="B3429" i="1"/>
  <c r="C3429" i="1"/>
  <c r="B3430" i="1"/>
  <c r="C3430" i="1"/>
  <c r="B3431" i="1"/>
  <c r="C3431" i="1"/>
  <c r="B3432" i="1"/>
  <c r="C3432" i="1"/>
  <c r="B3433" i="1"/>
  <c r="C3433" i="1"/>
  <c r="B3434" i="1"/>
  <c r="C3434" i="1"/>
  <c r="B3435" i="1"/>
  <c r="C3435" i="1"/>
  <c r="B3436" i="1"/>
  <c r="C3436" i="1"/>
  <c r="B3437" i="1"/>
  <c r="C3437" i="1"/>
  <c r="B3438" i="1"/>
  <c r="C3438" i="1"/>
  <c r="B3439" i="1"/>
  <c r="C3439" i="1"/>
  <c r="B3440" i="1"/>
  <c r="C3440" i="1"/>
  <c r="B3441" i="1"/>
  <c r="C3441" i="1"/>
  <c r="B3442" i="1"/>
  <c r="C3442" i="1"/>
  <c r="B3443" i="1"/>
  <c r="C3443" i="1"/>
  <c r="B3444" i="1"/>
  <c r="C3444" i="1"/>
  <c r="B3445" i="1"/>
  <c r="C3445" i="1"/>
  <c r="B3446" i="1"/>
  <c r="C3446" i="1"/>
  <c r="B3447" i="1"/>
  <c r="C3447" i="1"/>
  <c r="B3448" i="1"/>
  <c r="C3448" i="1"/>
  <c r="B3449" i="1"/>
  <c r="C3449" i="1"/>
  <c r="B3450" i="1"/>
  <c r="C3450" i="1"/>
  <c r="B3451" i="1"/>
  <c r="C3451" i="1"/>
  <c r="B3452" i="1"/>
  <c r="C3452" i="1"/>
  <c r="B3453" i="1"/>
  <c r="C3453" i="1"/>
  <c r="B3454" i="1"/>
  <c r="C3454" i="1"/>
  <c r="B3455" i="1"/>
  <c r="C3455" i="1"/>
  <c r="B3456" i="1"/>
  <c r="C3456" i="1"/>
  <c r="B3457" i="1"/>
  <c r="C3457" i="1"/>
  <c r="B3458" i="1"/>
  <c r="C3458" i="1"/>
  <c r="B3459" i="1"/>
  <c r="C3459" i="1"/>
  <c r="B3460" i="1"/>
  <c r="C3460" i="1"/>
  <c r="B3461" i="1"/>
  <c r="C3461" i="1"/>
  <c r="B3462" i="1"/>
  <c r="C3462" i="1"/>
  <c r="B3463" i="1"/>
  <c r="C3463" i="1"/>
  <c r="B3464" i="1"/>
  <c r="C3464" i="1"/>
  <c r="B3465" i="1"/>
  <c r="C3465" i="1"/>
  <c r="B3466" i="1"/>
  <c r="C3466" i="1"/>
  <c r="B3467" i="1"/>
  <c r="C3467" i="1"/>
  <c r="B3468" i="1"/>
  <c r="C3468" i="1"/>
  <c r="B3469" i="1"/>
  <c r="C3469" i="1"/>
  <c r="B3470" i="1"/>
  <c r="C3470" i="1"/>
  <c r="B3471" i="1"/>
  <c r="C3471" i="1"/>
  <c r="B3472" i="1"/>
  <c r="C3472" i="1"/>
  <c r="B3473" i="1"/>
  <c r="C3473" i="1"/>
  <c r="B3474" i="1"/>
  <c r="C3474" i="1"/>
  <c r="B3475" i="1"/>
  <c r="C3475" i="1"/>
  <c r="B3476" i="1"/>
  <c r="C3476" i="1"/>
  <c r="B3477" i="1"/>
  <c r="C3477" i="1"/>
  <c r="B3478" i="1"/>
  <c r="C3478" i="1"/>
  <c r="B3479" i="1"/>
  <c r="C3479" i="1"/>
  <c r="B3480" i="1"/>
  <c r="C3480" i="1"/>
  <c r="B3481" i="1"/>
  <c r="C3481" i="1"/>
  <c r="B3482" i="1"/>
  <c r="C3482" i="1"/>
  <c r="B3483" i="1"/>
  <c r="C3483" i="1"/>
  <c r="B3484" i="1"/>
  <c r="C3484" i="1"/>
  <c r="B3485" i="1"/>
  <c r="C3485" i="1"/>
  <c r="B3486" i="1"/>
  <c r="C3486" i="1"/>
  <c r="B3487" i="1"/>
  <c r="C3487" i="1"/>
  <c r="B3488" i="1"/>
  <c r="C3488" i="1"/>
  <c r="B3489" i="1"/>
  <c r="C3489" i="1"/>
  <c r="B3490" i="1"/>
  <c r="C3490" i="1"/>
  <c r="B3491" i="1"/>
  <c r="C3491" i="1"/>
  <c r="B3492" i="1"/>
  <c r="C3492" i="1"/>
  <c r="B3493" i="1"/>
  <c r="C3493" i="1"/>
  <c r="B3494" i="1"/>
  <c r="C3494" i="1"/>
  <c r="B3495" i="1"/>
  <c r="C3495" i="1"/>
  <c r="B3496" i="1"/>
  <c r="C3496" i="1"/>
  <c r="B3497" i="1"/>
  <c r="C3497" i="1"/>
  <c r="B3498" i="1"/>
  <c r="C3498" i="1"/>
  <c r="B3499" i="1"/>
  <c r="C3499" i="1"/>
  <c r="B3500" i="1"/>
  <c r="C3500" i="1"/>
  <c r="B3501" i="1"/>
  <c r="C3501" i="1"/>
  <c r="B3502" i="1"/>
  <c r="C3502" i="1"/>
  <c r="B3503" i="1"/>
  <c r="C3503" i="1"/>
  <c r="B3504" i="1"/>
  <c r="C3504" i="1"/>
  <c r="B3505" i="1"/>
  <c r="C3505" i="1"/>
  <c r="B3506" i="1"/>
  <c r="C3506" i="1"/>
  <c r="B3507" i="1"/>
  <c r="C3507" i="1"/>
  <c r="B3508" i="1"/>
  <c r="C3508" i="1"/>
  <c r="B3509" i="1"/>
  <c r="C3509" i="1"/>
  <c r="B3510" i="1"/>
  <c r="C3510" i="1"/>
  <c r="B3511" i="1"/>
  <c r="C3511" i="1"/>
  <c r="B3512" i="1"/>
  <c r="C3512" i="1"/>
  <c r="B3513" i="1"/>
  <c r="C3513" i="1"/>
  <c r="B3514" i="1"/>
  <c r="C3514" i="1"/>
  <c r="B3515" i="1"/>
  <c r="C3515" i="1"/>
  <c r="B3516" i="1"/>
  <c r="C3516" i="1"/>
  <c r="B3517" i="1"/>
  <c r="C3517" i="1"/>
  <c r="B3518" i="1"/>
  <c r="C3518" i="1"/>
  <c r="B3519" i="1"/>
  <c r="C3519" i="1"/>
  <c r="B3520" i="1"/>
  <c r="C3520" i="1"/>
  <c r="B3521" i="1"/>
  <c r="C3521" i="1"/>
  <c r="B3522" i="1"/>
  <c r="C3522" i="1"/>
  <c r="B3523" i="1"/>
  <c r="C3523" i="1"/>
  <c r="B3524" i="1"/>
  <c r="C3524" i="1"/>
  <c r="B3525" i="1"/>
  <c r="C3525" i="1"/>
  <c r="B3526" i="1"/>
  <c r="C3526" i="1"/>
  <c r="B3527" i="1"/>
  <c r="C3527" i="1"/>
  <c r="B3528" i="1"/>
  <c r="C3528" i="1"/>
  <c r="B3529" i="1"/>
  <c r="C3529" i="1"/>
  <c r="B3530" i="1"/>
  <c r="C3530" i="1"/>
  <c r="B3531" i="1"/>
  <c r="C3531" i="1"/>
  <c r="B3532" i="1"/>
  <c r="C3532" i="1"/>
  <c r="B3533" i="1"/>
  <c r="C3533" i="1"/>
  <c r="B3534" i="1"/>
  <c r="C3534" i="1"/>
  <c r="B3535" i="1"/>
  <c r="C3535" i="1"/>
  <c r="B3536" i="1"/>
  <c r="C3536" i="1"/>
  <c r="B3537" i="1"/>
  <c r="C3537" i="1"/>
  <c r="B3538" i="1"/>
  <c r="C3538" i="1"/>
  <c r="B3539" i="1"/>
  <c r="C3539" i="1"/>
  <c r="B3540" i="1"/>
  <c r="C3540" i="1"/>
  <c r="B3541" i="1"/>
  <c r="C3541" i="1"/>
  <c r="B3542" i="1"/>
  <c r="C3542" i="1"/>
  <c r="B3543" i="1"/>
  <c r="C3543" i="1"/>
  <c r="B3544" i="1"/>
  <c r="C3544" i="1"/>
  <c r="B3545" i="1"/>
  <c r="C3545" i="1"/>
  <c r="B3546" i="1"/>
  <c r="C3546" i="1"/>
  <c r="B3547" i="1"/>
  <c r="C3547" i="1"/>
  <c r="B3548" i="1"/>
  <c r="C3548" i="1"/>
  <c r="B3549" i="1"/>
  <c r="C3549" i="1"/>
  <c r="B3550" i="1"/>
  <c r="C3550" i="1"/>
  <c r="B3551" i="1"/>
  <c r="C3551" i="1"/>
  <c r="B3552" i="1"/>
  <c r="C3552" i="1"/>
  <c r="B3553" i="1"/>
  <c r="C3553" i="1"/>
  <c r="B3554" i="1"/>
  <c r="C3554" i="1"/>
  <c r="B3555" i="1"/>
  <c r="C3555" i="1"/>
  <c r="B3556" i="1"/>
  <c r="C3556" i="1"/>
  <c r="B3557" i="1"/>
  <c r="C3557" i="1"/>
  <c r="B3558" i="1"/>
  <c r="C3558" i="1"/>
  <c r="B3559" i="1"/>
  <c r="C3559" i="1"/>
  <c r="B3560" i="1"/>
  <c r="C3560" i="1"/>
  <c r="B3561" i="1"/>
  <c r="C3561" i="1"/>
  <c r="B3562" i="1"/>
  <c r="C3562" i="1"/>
  <c r="B3563" i="1"/>
  <c r="C3563" i="1"/>
  <c r="B3564" i="1"/>
  <c r="C3564" i="1"/>
  <c r="B3565" i="1"/>
  <c r="C3565" i="1"/>
  <c r="B3566" i="1"/>
  <c r="C3566" i="1"/>
  <c r="B3567" i="1"/>
  <c r="C3567" i="1"/>
  <c r="B3568" i="1"/>
  <c r="C3568" i="1"/>
  <c r="B3569" i="1"/>
  <c r="C3569" i="1"/>
  <c r="B3570" i="1"/>
  <c r="C3570" i="1"/>
  <c r="B3571" i="1"/>
  <c r="C3571" i="1"/>
  <c r="B3572" i="1"/>
  <c r="C3572" i="1"/>
  <c r="B3573" i="1"/>
  <c r="C3573" i="1"/>
  <c r="B3574" i="1"/>
  <c r="C3574" i="1"/>
  <c r="B3575" i="1"/>
  <c r="C3575" i="1"/>
  <c r="B3576" i="1"/>
  <c r="C3576" i="1"/>
  <c r="B3577" i="1"/>
  <c r="C3577" i="1"/>
  <c r="B3578" i="1"/>
  <c r="C3578" i="1"/>
  <c r="B3579" i="1"/>
  <c r="C3579" i="1"/>
  <c r="B3580" i="1"/>
  <c r="C3580" i="1"/>
  <c r="B3581" i="1"/>
  <c r="C3581" i="1"/>
  <c r="B3582" i="1"/>
  <c r="C3582" i="1"/>
  <c r="B3583" i="1"/>
  <c r="C3583" i="1"/>
  <c r="B3584" i="1"/>
  <c r="C3584" i="1"/>
  <c r="B3585" i="1"/>
  <c r="C3585" i="1"/>
  <c r="B3586" i="1"/>
  <c r="C3586" i="1"/>
  <c r="B3587" i="1"/>
  <c r="C3587" i="1"/>
  <c r="B3588" i="1"/>
  <c r="C3588" i="1"/>
  <c r="B3589" i="1"/>
  <c r="C3589" i="1"/>
  <c r="B3590" i="1"/>
  <c r="C3590" i="1"/>
  <c r="B3591" i="1"/>
  <c r="C3591" i="1"/>
  <c r="B3592" i="1"/>
  <c r="C3592" i="1"/>
  <c r="B3593" i="1"/>
  <c r="C3593" i="1"/>
  <c r="B3594" i="1"/>
  <c r="C3594" i="1"/>
  <c r="B3595" i="1"/>
  <c r="C3595" i="1"/>
  <c r="B3596" i="1"/>
  <c r="C3596" i="1"/>
  <c r="B3597" i="1"/>
  <c r="C3597" i="1"/>
  <c r="B3598" i="1"/>
  <c r="C3598" i="1"/>
  <c r="B3599" i="1"/>
  <c r="C3599" i="1"/>
  <c r="B3600" i="1"/>
  <c r="C3600" i="1"/>
  <c r="B3601" i="1"/>
  <c r="C3601" i="1"/>
  <c r="B3602" i="1"/>
  <c r="C3602" i="1"/>
  <c r="B3603" i="1"/>
  <c r="C3603" i="1"/>
  <c r="B3604" i="1"/>
  <c r="C3604" i="1"/>
  <c r="B3605" i="1"/>
  <c r="C3605" i="1"/>
  <c r="B3606" i="1"/>
  <c r="C3606" i="1"/>
  <c r="B3607" i="1"/>
  <c r="C3607" i="1"/>
  <c r="B3608" i="1"/>
  <c r="C3608" i="1"/>
  <c r="B3609" i="1"/>
  <c r="C3609" i="1"/>
  <c r="B3610" i="1"/>
  <c r="C3610" i="1"/>
  <c r="B3611" i="1"/>
  <c r="C3611" i="1"/>
  <c r="B3612" i="1"/>
  <c r="C3612" i="1"/>
  <c r="B3613" i="1"/>
  <c r="C3613" i="1"/>
  <c r="B3614" i="1"/>
  <c r="C3614" i="1"/>
  <c r="B3615" i="1"/>
  <c r="C3615" i="1"/>
  <c r="B3616" i="1"/>
  <c r="C3616" i="1"/>
  <c r="B3617" i="1"/>
  <c r="C3617" i="1"/>
  <c r="B3618" i="1"/>
  <c r="C3618" i="1"/>
  <c r="B3619" i="1"/>
  <c r="C3619" i="1"/>
  <c r="B3620" i="1"/>
  <c r="C3620" i="1"/>
  <c r="B3621" i="1"/>
  <c r="C3621" i="1"/>
  <c r="B3622" i="1"/>
  <c r="C3622" i="1"/>
  <c r="B3623" i="1"/>
  <c r="C3623" i="1"/>
  <c r="B3624" i="1"/>
  <c r="C3624" i="1"/>
  <c r="B3625" i="1"/>
  <c r="C3625" i="1"/>
  <c r="B3626" i="1"/>
  <c r="C3626" i="1"/>
  <c r="B3627" i="1"/>
  <c r="C3627" i="1"/>
  <c r="B3628" i="1"/>
  <c r="C3628" i="1"/>
  <c r="B3629" i="1"/>
  <c r="C3629" i="1"/>
  <c r="B3630" i="1"/>
  <c r="C3630" i="1"/>
  <c r="B3631" i="1"/>
  <c r="C3631" i="1"/>
  <c r="B3632" i="1"/>
  <c r="C3632" i="1"/>
  <c r="B3633" i="1"/>
  <c r="C3633" i="1"/>
  <c r="B3634" i="1"/>
  <c r="C3634" i="1"/>
  <c r="B3635" i="1"/>
  <c r="C3635" i="1"/>
  <c r="B3636" i="1"/>
  <c r="C3636" i="1"/>
  <c r="B3637" i="1"/>
  <c r="C3637" i="1"/>
  <c r="B3638" i="1"/>
  <c r="C3638" i="1"/>
  <c r="B3639" i="1"/>
  <c r="C3639" i="1"/>
  <c r="B3640" i="1"/>
  <c r="C3640" i="1"/>
  <c r="B3641" i="1"/>
  <c r="C3641" i="1"/>
  <c r="B3642" i="1"/>
  <c r="C3642" i="1"/>
  <c r="B3643" i="1"/>
  <c r="C3643" i="1"/>
  <c r="B3644" i="1"/>
  <c r="C3644" i="1"/>
  <c r="B3645" i="1"/>
  <c r="C3645" i="1"/>
  <c r="B3646" i="1"/>
  <c r="C3646" i="1"/>
  <c r="B3647" i="1"/>
  <c r="C3647" i="1"/>
  <c r="B3648" i="1"/>
  <c r="C3648" i="1"/>
  <c r="B3649" i="1"/>
  <c r="C3649" i="1"/>
  <c r="B3650" i="1"/>
  <c r="C3650" i="1"/>
  <c r="B3651" i="1"/>
  <c r="C3651" i="1"/>
  <c r="B3652" i="1"/>
  <c r="C3652" i="1"/>
  <c r="B3653" i="1"/>
  <c r="C3653" i="1"/>
  <c r="B3654" i="1"/>
  <c r="C3654" i="1"/>
  <c r="B3655" i="1"/>
  <c r="C3655" i="1"/>
  <c r="B3656" i="1"/>
  <c r="C3656" i="1"/>
  <c r="B3657" i="1"/>
  <c r="C3657" i="1"/>
  <c r="B3658" i="1"/>
  <c r="C3658" i="1"/>
  <c r="B3659" i="1"/>
  <c r="C3659" i="1"/>
  <c r="B3660" i="1"/>
  <c r="C3660" i="1"/>
  <c r="B3661" i="1"/>
  <c r="C3661" i="1"/>
  <c r="B3662" i="1"/>
  <c r="C3662" i="1"/>
  <c r="B3663" i="1"/>
  <c r="C3663" i="1"/>
  <c r="B3664" i="1"/>
  <c r="C3664" i="1"/>
  <c r="B3665" i="1"/>
  <c r="C3665" i="1"/>
  <c r="B3666" i="1"/>
  <c r="C3666" i="1"/>
  <c r="B3667" i="1"/>
  <c r="C3667" i="1"/>
  <c r="B3668" i="1"/>
  <c r="C3668" i="1"/>
  <c r="B3669" i="1"/>
  <c r="C3669" i="1"/>
  <c r="B3670" i="1"/>
  <c r="C3670" i="1"/>
  <c r="B3671" i="1"/>
  <c r="C3671" i="1"/>
  <c r="B3672" i="1"/>
  <c r="C3672" i="1"/>
  <c r="B3673" i="1"/>
  <c r="C3673" i="1"/>
  <c r="B3674" i="1"/>
  <c r="C3674" i="1"/>
  <c r="B3675" i="1"/>
  <c r="C3675" i="1"/>
  <c r="B3676" i="1"/>
  <c r="C3676" i="1"/>
  <c r="B3677" i="1"/>
  <c r="C3677" i="1"/>
  <c r="B3678" i="1"/>
  <c r="C3678" i="1"/>
  <c r="B3679" i="1"/>
  <c r="C3679" i="1"/>
  <c r="B3680" i="1"/>
  <c r="C3680" i="1"/>
  <c r="B3681" i="1"/>
  <c r="C3681" i="1"/>
  <c r="B3682" i="1"/>
  <c r="C3682" i="1"/>
  <c r="B3683" i="1"/>
  <c r="C3683" i="1"/>
  <c r="B3684" i="1"/>
  <c r="C3684" i="1"/>
  <c r="B3685" i="1"/>
  <c r="C3685" i="1"/>
  <c r="B3686" i="1"/>
  <c r="C3686" i="1"/>
  <c r="B3687" i="1"/>
  <c r="C3687" i="1"/>
  <c r="B3688" i="1"/>
  <c r="C3688" i="1"/>
  <c r="B3689" i="1"/>
  <c r="C3689" i="1"/>
  <c r="B3690" i="1"/>
  <c r="C3690" i="1"/>
  <c r="B3691" i="1"/>
  <c r="C3691" i="1"/>
  <c r="B3692" i="1"/>
  <c r="C3692" i="1"/>
  <c r="B3693" i="1"/>
  <c r="C3693" i="1"/>
  <c r="B3694" i="1"/>
  <c r="C3694" i="1"/>
  <c r="B3695" i="1"/>
  <c r="C3695" i="1"/>
  <c r="B3696" i="1"/>
  <c r="C3696" i="1"/>
  <c r="B3697" i="1"/>
  <c r="C3697" i="1"/>
  <c r="B3698" i="1"/>
  <c r="C3698" i="1"/>
  <c r="B3699" i="1"/>
  <c r="C3699" i="1"/>
  <c r="B3700" i="1"/>
  <c r="C3700" i="1"/>
  <c r="B3701" i="1"/>
  <c r="C3701" i="1"/>
  <c r="B3702" i="1"/>
  <c r="C3702" i="1"/>
  <c r="B3703" i="1"/>
  <c r="C3703" i="1"/>
  <c r="B3704" i="1"/>
  <c r="C3704" i="1"/>
  <c r="B3705" i="1"/>
  <c r="C3705" i="1"/>
  <c r="B3706" i="1"/>
  <c r="C3706" i="1"/>
  <c r="B3707" i="1"/>
  <c r="C3707" i="1"/>
  <c r="B3708" i="1"/>
  <c r="C3708" i="1"/>
  <c r="B3709" i="1"/>
  <c r="C3709" i="1"/>
  <c r="B3710" i="1"/>
  <c r="C3710" i="1"/>
  <c r="B3711" i="1"/>
  <c r="C3711" i="1"/>
  <c r="B3712" i="1"/>
  <c r="C3712" i="1"/>
  <c r="B3713" i="1"/>
  <c r="C3713" i="1"/>
  <c r="B3714" i="1"/>
  <c r="C3714" i="1"/>
  <c r="B3715" i="1"/>
  <c r="C3715" i="1"/>
  <c r="B3716" i="1"/>
  <c r="C3716" i="1"/>
  <c r="B3717" i="1"/>
  <c r="C3717" i="1"/>
  <c r="B3718" i="1"/>
  <c r="C3718" i="1"/>
  <c r="B3719" i="1"/>
  <c r="C3719" i="1"/>
  <c r="B3720" i="1"/>
  <c r="C3720" i="1"/>
  <c r="B3721" i="1"/>
  <c r="C3721" i="1"/>
  <c r="B3722" i="1"/>
  <c r="C3722" i="1"/>
  <c r="B3723" i="1"/>
  <c r="C3723" i="1"/>
  <c r="B3724" i="1"/>
  <c r="C3724" i="1"/>
  <c r="B3725" i="1"/>
  <c r="C3725" i="1"/>
  <c r="B3726" i="1"/>
  <c r="C3726" i="1"/>
  <c r="B3727" i="1"/>
  <c r="C3727" i="1"/>
  <c r="B3728" i="1"/>
  <c r="C3728" i="1"/>
  <c r="B3729" i="1"/>
  <c r="C3729" i="1"/>
  <c r="B3730" i="1"/>
  <c r="C3730" i="1"/>
  <c r="B3731" i="1"/>
  <c r="C3731" i="1"/>
  <c r="B3732" i="1"/>
  <c r="C3732" i="1"/>
  <c r="B3733" i="1"/>
  <c r="C3733" i="1"/>
  <c r="B3734" i="1"/>
  <c r="C3734" i="1"/>
  <c r="B3735" i="1"/>
  <c r="C3735" i="1"/>
  <c r="B3736" i="1"/>
  <c r="C3736" i="1"/>
  <c r="B3737" i="1"/>
  <c r="C3737" i="1"/>
  <c r="B3738" i="1"/>
  <c r="C3738" i="1"/>
  <c r="B3739" i="1"/>
  <c r="C3739" i="1"/>
  <c r="B3740" i="1"/>
  <c r="C3740" i="1"/>
  <c r="B3741" i="1"/>
  <c r="C3741" i="1"/>
  <c r="B3742" i="1"/>
  <c r="C3742" i="1"/>
  <c r="B3743" i="1"/>
  <c r="C3743" i="1"/>
  <c r="B3744" i="1"/>
  <c r="C3744" i="1"/>
  <c r="B3745" i="1"/>
  <c r="C3745" i="1"/>
  <c r="B3746" i="1"/>
  <c r="C3746" i="1"/>
  <c r="B3747" i="1"/>
  <c r="C3747" i="1"/>
  <c r="B3748" i="1"/>
  <c r="C3748" i="1"/>
  <c r="B3749" i="1"/>
  <c r="C3749" i="1"/>
  <c r="B3750" i="1"/>
  <c r="C3750" i="1"/>
  <c r="B3751" i="1"/>
  <c r="C3751" i="1"/>
  <c r="B3752" i="1"/>
  <c r="C3752" i="1"/>
  <c r="B3753" i="1"/>
  <c r="C3753" i="1"/>
  <c r="B3754" i="1"/>
  <c r="C3754" i="1"/>
  <c r="B3755" i="1"/>
  <c r="C3755" i="1"/>
  <c r="B3756" i="1"/>
  <c r="C3756" i="1"/>
  <c r="B3757" i="1"/>
  <c r="C3757" i="1"/>
  <c r="B3758" i="1"/>
  <c r="C3758" i="1"/>
  <c r="B3759" i="1"/>
  <c r="C3759" i="1"/>
  <c r="B3760" i="1"/>
  <c r="C3760" i="1"/>
  <c r="B3761" i="1"/>
  <c r="C3761" i="1"/>
  <c r="B3762" i="1"/>
  <c r="C3762" i="1"/>
  <c r="B3763" i="1"/>
  <c r="C3763" i="1"/>
  <c r="B3764" i="1"/>
  <c r="C3764" i="1"/>
  <c r="B3765" i="1"/>
  <c r="C3765" i="1"/>
  <c r="B3766" i="1"/>
  <c r="C3766" i="1"/>
  <c r="B3767" i="1"/>
  <c r="C3767" i="1"/>
  <c r="B3768" i="1"/>
  <c r="C3768" i="1"/>
  <c r="B3769" i="1"/>
  <c r="C3769" i="1"/>
  <c r="B3770" i="1"/>
  <c r="C3770" i="1"/>
  <c r="B3771" i="1"/>
  <c r="C3771" i="1"/>
  <c r="B3772" i="1"/>
  <c r="C3772" i="1"/>
  <c r="B3773" i="1"/>
  <c r="C3773" i="1"/>
  <c r="B3774" i="1"/>
  <c r="C3774" i="1"/>
  <c r="B3775" i="1"/>
  <c r="C3775" i="1"/>
  <c r="B3776" i="1"/>
  <c r="C3776" i="1"/>
  <c r="B3777" i="1"/>
  <c r="C3777" i="1"/>
  <c r="B3778" i="1"/>
  <c r="C3778" i="1"/>
  <c r="B3779" i="1"/>
  <c r="C3779" i="1"/>
  <c r="B3780" i="1"/>
  <c r="C3780" i="1"/>
  <c r="B3781" i="1"/>
  <c r="C3781" i="1"/>
  <c r="B3782" i="1"/>
  <c r="C3782" i="1"/>
  <c r="B3783" i="1"/>
  <c r="C3783" i="1"/>
  <c r="B3784" i="1"/>
  <c r="C3784" i="1"/>
  <c r="B3785" i="1"/>
  <c r="C3785" i="1"/>
  <c r="B3786" i="1"/>
  <c r="C3786" i="1"/>
  <c r="B3787" i="1"/>
  <c r="C3787" i="1"/>
  <c r="B3788" i="1"/>
  <c r="C3788" i="1"/>
  <c r="B3789" i="1"/>
  <c r="C3789" i="1"/>
  <c r="B3790" i="1"/>
  <c r="C3790" i="1"/>
  <c r="B3791" i="1"/>
  <c r="C3791" i="1"/>
  <c r="B3792" i="1"/>
  <c r="C3792" i="1"/>
  <c r="B3793" i="1"/>
  <c r="C3793" i="1"/>
  <c r="B3794" i="1"/>
  <c r="C3794" i="1"/>
  <c r="B3795" i="1"/>
  <c r="C3795" i="1"/>
  <c r="B3796" i="1"/>
  <c r="C3796" i="1"/>
  <c r="B3797" i="1"/>
  <c r="C3797" i="1"/>
  <c r="B3798" i="1"/>
  <c r="C3798" i="1"/>
  <c r="B3799" i="1"/>
  <c r="C3799" i="1"/>
  <c r="B3800" i="1"/>
  <c r="C3800" i="1"/>
  <c r="B3801" i="1"/>
  <c r="C3801" i="1"/>
  <c r="B3802" i="1"/>
  <c r="C3802" i="1"/>
  <c r="B3803" i="1"/>
  <c r="C3803" i="1"/>
  <c r="B3804" i="1"/>
  <c r="C3804" i="1"/>
  <c r="B3805" i="1"/>
  <c r="C3805" i="1"/>
  <c r="B3806" i="1"/>
  <c r="C3806" i="1"/>
  <c r="B3807" i="1"/>
  <c r="C3807" i="1"/>
  <c r="B3808" i="1"/>
  <c r="C3808" i="1"/>
  <c r="B3809" i="1"/>
  <c r="C3809" i="1"/>
  <c r="B3810" i="1"/>
  <c r="C3810" i="1"/>
  <c r="B3811" i="1"/>
  <c r="C3811" i="1"/>
  <c r="B3812" i="1"/>
  <c r="C3812" i="1"/>
  <c r="B3813" i="1"/>
  <c r="C3813" i="1"/>
  <c r="B3814" i="1"/>
  <c r="C3814" i="1"/>
  <c r="B3815" i="1"/>
  <c r="C3815" i="1"/>
  <c r="B3816" i="1"/>
  <c r="C3816" i="1"/>
  <c r="B3817" i="1"/>
  <c r="C3817" i="1"/>
  <c r="B3818" i="1"/>
  <c r="C3818" i="1"/>
  <c r="B3819" i="1"/>
  <c r="C3819" i="1"/>
  <c r="B3820" i="1"/>
  <c r="C3820" i="1"/>
  <c r="B3821" i="1"/>
  <c r="C3821" i="1"/>
  <c r="B3822" i="1"/>
  <c r="C3822" i="1"/>
  <c r="B3823" i="1"/>
  <c r="C3823" i="1"/>
  <c r="B3824" i="1"/>
  <c r="C3824" i="1"/>
  <c r="B3825" i="1"/>
  <c r="C3825" i="1"/>
  <c r="B3826" i="1"/>
  <c r="C3826" i="1"/>
  <c r="B3827" i="1"/>
  <c r="C3827" i="1"/>
  <c r="B3828" i="1"/>
  <c r="C3828" i="1"/>
  <c r="B3829" i="1"/>
  <c r="C3829" i="1"/>
  <c r="B3830" i="1"/>
  <c r="C3830" i="1"/>
  <c r="B3831" i="1"/>
  <c r="C3831" i="1"/>
  <c r="B3832" i="1"/>
  <c r="C3832" i="1"/>
  <c r="B3833" i="1"/>
  <c r="C3833" i="1"/>
  <c r="B3834" i="1"/>
  <c r="C3834" i="1"/>
  <c r="B3835" i="1"/>
  <c r="C3835" i="1"/>
  <c r="B3836" i="1"/>
  <c r="C3836" i="1"/>
  <c r="B3837" i="1"/>
  <c r="C3837" i="1"/>
  <c r="B3838" i="1"/>
  <c r="C3838" i="1"/>
  <c r="B3839" i="1"/>
  <c r="C3839" i="1"/>
  <c r="B3840" i="1"/>
  <c r="C3840" i="1"/>
  <c r="B3841" i="1"/>
  <c r="C3841" i="1"/>
  <c r="B3842" i="1"/>
  <c r="C3842" i="1"/>
  <c r="B3843" i="1"/>
  <c r="C3843" i="1"/>
  <c r="B3844" i="1"/>
  <c r="C3844" i="1"/>
  <c r="B3845" i="1"/>
  <c r="C3845" i="1"/>
  <c r="B3846" i="1"/>
  <c r="C3846" i="1"/>
  <c r="B3847" i="1"/>
  <c r="C3847" i="1"/>
  <c r="B3848" i="1"/>
  <c r="C3848" i="1"/>
  <c r="B3849" i="1"/>
  <c r="C3849" i="1"/>
  <c r="B3850" i="1"/>
  <c r="C3850" i="1"/>
  <c r="B3851" i="1"/>
  <c r="C3851" i="1"/>
  <c r="B3852" i="1"/>
  <c r="C3852" i="1"/>
  <c r="B3853" i="1"/>
  <c r="C3853" i="1"/>
  <c r="B3854" i="1"/>
  <c r="C3854" i="1"/>
  <c r="B3855" i="1"/>
  <c r="C3855" i="1"/>
  <c r="B3856" i="1"/>
  <c r="C3856" i="1"/>
  <c r="B3857" i="1"/>
  <c r="C3857" i="1"/>
  <c r="B3858" i="1"/>
  <c r="C3858" i="1"/>
  <c r="B3859" i="1"/>
  <c r="C3859" i="1"/>
  <c r="B3860" i="1"/>
  <c r="C3860" i="1"/>
  <c r="B3861" i="1"/>
  <c r="C3861" i="1"/>
  <c r="B3862" i="1"/>
  <c r="C3862" i="1"/>
  <c r="B3863" i="1"/>
  <c r="C3863" i="1"/>
  <c r="B3864" i="1"/>
  <c r="C3864" i="1"/>
  <c r="B3865" i="1"/>
  <c r="C3865" i="1"/>
  <c r="B3866" i="1"/>
  <c r="C3866" i="1"/>
  <c r="B3867" i="1"/>
  <c r="C3867" i="1"/>
  <c r="B3868" i="1"/>
  <c r="C3868" i="1"/>
  <c r="B3869" i="1"/>
  <c r="C3869" i="1"/>
  <c r="B3870" i="1"/>
  <c r="C3870" i="1"/>
  <c r="B3871" i="1"/>
  <c r="C3871" i="1"/>
  <c r="B3872" i="1"/>
  <c r="C3872" i="1"/>
  <c r="B3873" i="1"/>
  <c r="C3873" i="1"/>
  <c r="B3874" i="1"/>
  <c r="C3874" i="1"/>
  <c r="B3875" i="1"/>
  <c r="C3875" i="1"/>
  <c r="B3876" i="1"/>
  <c r="C3876" i="1"/>
  <c r="B3877" i="1"/>
  <c r="C3877" i="1"/>
  <c r="B3878" i="1"/>
  <c r="C3878" i="1"/>
  <c r="B3879" i="1"/>
  <c r="C3879" i="1"/>
  <c r="B3880" i="1"/>
  <c r="C3880" i="1"/>
  <c r="B3881" i="1"/>
  <c r="C3881" i="1"/>
  <c r="B3882" i="1"/>
  <c r="C3882" i="1"/>
  <c r="B3883" i="1"/>
  <c r="C3883" i="1"/>
  <c r="B3884" i="1"/>
  <c r="C3884" i="1"/>
  <c r="B3885" i="1"/>
  <c r="C3885" i="1"/>
  <c r="B3886" i="1"/>
  <c r="C3886" i="1"/>
  <c r="B3887" i="1"/>
  <c r="C3887" i="1"/>
  <c r="B3888" i="1"/>
  <c r="C3888" i="1"/>
  <c r="B3889" i="1"/>
  <c r="C3889" i="1"/>
  <c r="B3890" i="1"/>
  <c r="C3890" i="1"/>
  <c r="B3891" i="1"/>
  <c r="C3891" i="1"/>
  <c r="B3892" i="1"/>
  <c r="C3892" i="1"/>
  <c r="B3893" i="1"/>
  <c r="C3893" i="1"/>
  <c r="B3894" i="1"/>
  <c r="C3894" i="1"/>
  <c r="B3895" i="1"/>
  <c r="C3895" i="1"/>
  <c r="B3896" i="1"/>
  <c r="C3896" i="1"/>
  <c r="B3897" i="1"/>
  <c r="C3897" i="1"/>
  <c r="B3898" i="1"/>
  <c r="C3898" i="1"/>
  <c r="B3899" i="1"/>
  <c r="C3899" i="1"/>
  <c r="B3900" i="1"/>
  <c r="C3900" i="1"/>
  <c r="B3901" i="1"/>
  <c r="C3901" i="1"/>
  <c r="B3902" i="1"/>
  <c r="C3902" i="1"/>
  <c r="B3903" i="1"/>
  <c r="C3903" i="1"/>
  <c r="B3904" i="1"/>
  <c r="C3904" i="1"/>
  <c r="B3905" i="1"/>
  <c r="C3905" i="1"/>
  <c r="B3906" i="1"/>
  <c r="C3906" i="1"/>
  <c r="B3907" i="1"/>
  <c r="C3907" i="1"/>
  <c r="B3908" i="1"/>
  <c r="C3908" i="1"/>
  <c r="B3909" i="1"/>
  <c r="C3909" i="1"/>
  <c r="B3910" i="1"/>
  <c r="C3910" i="1"/>
  <c r="B3911" i="1"/>
  <c r="C3911" i="1"/>
  <c r="B3912" i="1"/>
  <c r="C3912" i="1"/>
  <c r="B3913" i="1"/>
  <c r="C3913" i="1"/>
  <c r="B3914" i="1"/>
  <c r="C3914" i="1"/>
  <c r="B3915" i="1"/>
  <c r="C3915" i="1"/>
  <c r="B3916" i="1"/>
  <c r="C3916" i="1"/>
  <c r="B3917" i="1"/>
  <c r="C3917" i="1"/>
  <c r="B3918" i="1"/>
  <c r="C3918" i="1"/>
  <c r="B3919" i="1"/>
  <c r="C3919" i="1"/>
  <c r="B3920" i="1"/>
  <c r="C3920" i="1"/>
  <c r="B3921" i="1"/>
  <c r="C3921" i="1"/>
  <c r="B3922" i="1"/>
  <c r="C3922" i="1"/>
  <c r="B3923" i="1"/>
  <c r="C3923" i="1"/>
  <c r="B3924" i="1"/>
  <c r="C3924" i="1"/>
  <c r="B3925" i="1"/>
  <c r="C3925" i="1"/>
  <c r="B3926" i="1"/>
  <c r="C3926" i="1"/>
  <c r="B3927" i="1"/>
  <c r="C3927" i="1"/>
  <c r="B3928" i="1"/>
  <c r="C3928" i="1"/>
  <c r="B3929" i="1"/>
  <c r="C3929" i="1"/>
  <c r="B3930" i="1"/>
  <c r="C3930" i="1"/>
  <c r="B3931" i="1"/>
  <c r="C3931" i="1"/>
  <c r="B3932" i="1"/>
  <c r="C3932" i="1"/>
  <c r="B3933" i="1"/>
  <c r="C3933" i="1"/>
  <c r="B3934" i="1"/>
  <c r="C3934" i="1"/>
  <c r="B3935" i="1"/>
  <c r="C3935" i="1"/>
  <c r="B3936" i="1"/>
  <c r="C3936" i="1"/>
  <c r="B3937" i="1"/>
  <c r="C3937" i="1"/>
  <c r="B3938" i="1"/>
  <c r="C3938" i="1"/>
  <c r="B3939" i="1"/>
  <c r="C3939" i="1"/>
  <c r="B3940" i="1"/>
  <c r="C3940" i="1"/>
  <c r="B3941" i="1"/>
  <c r="C3941" i="1"/>
  <c r="B3942" i="1"/>
  <c r="C3942" i="1"/>
  <c r="B3943" i="1"/>
  <c r="C3943" i="1"/>
  <c r="B3944" i="1"/>
  <c r="C3944" i="1"/>
  <c r="B3945" i="1"/>
  <c r="C3945" i="1"/>
  <c r="B3946" i="1"/>
  <c r="C3946" i="1"/>
  <c r="B3947" i="1"/>
  <c r="C3947" i="1"/>
  <c r="B3948" i="1"/>
  <c r="C3948" i="1"/>
  <c r="B3949" i="1"/>
  <c r="C3949" i="1"/>
  <c r="B3950" i="1"/>
  <c r="C3950" i="1"/>
  <c r="B3951" i="1"/>
  <c r="C3951" i="1"/>
  <c r="B3952" i="1"/>
  <c r="C3952" i="1"/>
  <c r="B3953" i="1"/>
  <c r="C3953" i="1"/>
  <c r="B3954" i="1"/>
  <c r="C3954" i="1"/>
  <c r="B3955" i="1"/>
  <c r="C3955" i="1"/>
  <c r="B3956" i="1"/>
  <c r="C3956" i="1"/>
  <c r="B3957" i="1"/>
  <c r="C3957" i="1"/>
  <c r="B3958" i="1"/>
  <c r="C3958" i="1"/>
  <c r="B3959" i="1"/>
  <c r="C3959" i="1"/>
  <c r="B3960" i="1"/>
  <c r="C3960" i="1"/>
  <c r="B3961" i="1"/>
  <c r="C3961" i="1"/>
  <c r="B3962" i="1"/>
  <c r="C3962" i="1"/>
  <c r="B3963" i="1"/>
  <c r="C3963" i="1"/>
  <c r="B3964" i="1"/>
  <c r="C3964" i="1"/>
  <c r="B3965" i="1"/>
  <c r="C3965" i="1"/>
  <c r="B3966" i="1"/>
  <c r="C3966" i="1"/>
  <c r="B3967" i="1"/>
  <c r="C3967" i="1"/>
  <c r="B3968" i="1"/>
  <c r="C3968" i="1"/>
  <c r="B3969" i="1"/>
  <c r="C3969" i="1"/>
  <c r="B3970" i="1"/>
  <c r="C3970" i="1"/>
  <c r="B3971" i="1"/>
  <c r="C3971" i="1"/>
  <c r="B3972" i="1"/>
  <c r="C3972" i="1"/>
  <c r="B3973" i="1"/>
  <c r="C3973" i="1"/>
  <c r="B3974" i="1"/>
  <c r="C3974" i="1"/>
  <c r="B3975" i="1"/>
  <c r="C3975" i="1"/>
  <c r="B3976" i="1"/>
  <c r="C3976" i="1"/>
  <c r="B3977" i="1"/>
  <c r="C3977" i="1"/>
  <c r="B3978" i="1"/>
  <c r="C3978" i="1"/>
  <c r="B3979" i="1"/>
  <c r="C3979" i="1"/>
  <c r="B3980" i="1"/>
  <c r="C3980" i="1"/>
  <c r="B3981" i="1"/>
  <c r="C3981" i="1"/>
  <c r="B3982" i="1"/>
  <c r="C3982" i="1"/>
  <c r="B3983" i="1"/>
  <c r="C3983" i="1"/>
  <c r="B3984" i="1"/>
  <c r="C3984" i="1"/>
  <c r="B3985" i="1"/>
  <c r="C3985" i="1"/>
  <c r="B3986" i="1"/>
  <c r="C3986" i="1"/>
  <c r="B3987" i="1"/>
  <c r="C3987" i="1"/>
  <c r="B3988" i="1"/>
  <c r="C3988" i="1"/>
  <c r="B3989" i="1"/>
  <c r="C3989" i="1"/>
  <c r="B3990" i="1"/>
  <c r="C3990" i="1"/>
  <c r="B3991" i="1"/>
  <c r="C3991" i="1"/>
  <c r="B3992" i="1"/>
  <c r="C3992" i="1"/>
  <c r="B3993" i="1"/>
  <c r="C3993" i="1"/>
  <c r="B3994" i="1"/>
  <c r="C3994" i="1"/>
  <c r="B3995" i="1"/>
  <c r="C3995" i="1"/>
  <c r="B3996" i="1"/>
  <c r="C3996" i="1"/>
  <c r="B3997" i="1"/>
  <c r="C3997" i="1"/>
  <c r="B3998" i="1"/>
  <c r="C3998" i="1"/>
  <c r="B3999" i="1"/>
  <c r="C3999" i="1"/>
  <c r="B4000" i="1"/>
  <c r="C4000" i="1"/>
  <c r="B4001" i="1"/>
  <c r="C4001" i="1"/>
  <c r="B4002" i="1"/>
  <c r="C4002" i="1"/>
  <c r="B4003" i="1"/>
  <c r="C4003" i="1"/>
  <c r="B4004" i="1"/>
  <c r="C4004" i="1"/>
  <c r="B4005" i="1"/>
  <c r="C4005" i="1"/>
  <c r="B4006" i="1"/>
  <c r="C4006" i="1"/>
  <c r="B4007" i="1"/>
  <c r="C4007" i="1"/>
  <c r="B4008" i="1"/>
  <c r="C4008" i="1"/>
  <c r="B4009" i="1"/>
  <c r="C4009" i="1"/>
  <c r="B4010" i="1"/>
  <c r="C4010" i="1"/>
  <c r="B4011" i="1"/>
  <c r="C4011" i="1"/>
  <c r="B4012" i="1"/>
  <c r="C4012" i="1"/>
  <c r="B4013" i="1"/>
  <c r="C4013" i="1"/>
  <c r="B4014" i="1"/>
  <c r="C4014" i="1"/>
  <c r="B4015" i="1"/>
  <c r="C4015" i="1"/>
  <c r="B4016" i="1"/>
  <c r="C4016" i="1"/>
  <c r="B4017" i="1"/>
  <c r="C4017" i="1"/>
  <c r="B4018" i="1"/>
  <c r="C4018" i="1"/>
  <c r="B4019" i="1"/>
  <c r="C4019" i="1"/>
  <c r="B4020" i="1"/>
  <c r="C4020" i="1"/>
  <c r="B4021" i="1"/>
  <c r="C4021" i="1"/>
  <c r="B4022" i="1"/>
  <c r="C4022" i="1"/>
  <c r="B4023" i="1"/>
  <c r="C4023" i="1"/>
  <c r="B4024" i="1"/>
  <c r="C4024" i="1"/>
  <c r="B4025" i="1"/>
  <c r="C4025" i="1"/>
  <c r="B4026" i="1"/>
  <c r="C4026" i="1"/>
  <c r="B4027" i="1"/>
  <c r="C4027" i="1"/>
  <c r="B4028" i="1"/>
  <c r="C4028" i="1"/>
  <c r="B4029" i="1"/>
  <c r="C4029" i="1"/>
  <c r="B4030" i="1"/>
  <c r="C4030" i="1"/>
  <c r="B4031" i="1"/>
  <c r="C4031" i="1"/>
  <c r="B4032" i="1"/>
  <c r="C4032" i="1"/>
  <c r="B4033" i="1"/>
  <c r="C4033" i="1"/>
  <c r="B4034" i="1"/>
  <c r="C4034" i="1"/>
  <c r="B4035" i="1"/>
  <c r="C4035" i="1"/>
  <c r="B4036" i="1"/>
  <c r="C4036" i="1"/>
  <c r="B4037" i="1"/>
  <c r="C4037" i="1"/>
  <c r="B4038" i="1"/>
  <c r="C4038" i="1"/>
  <c r="B4039" i="1"/>
  <c r="C4039" i="1"/>
  <c r="B4040" i="1"/>
  <c r="C4040" i="1"/>
  <c r="B4041" i="1"/>
  <c r="C4041" i="1"/>
  <c r="B4042" i="1"/>
  <c r="C4042" i="1"/>
  <c r="B4043" i="1"/>
  <c r="C4043" i="1"/>
  <c r="B4044" i="1"/>
  <c r="C4044" i="1"/>
  <c r="B4045" i="1"/>
  <c r="C4045" i="1"/>
  <c r="B4046" i="1"/>
  <c r="C4046" i="1"/>
  <c r="B4047" i="1"/>
  <c r="C4047" i="1"/>
  <c r="B4048" i="1"/>
  <c r="C4048" i="1"/>
  <c r="B4049" i="1"/>
  <c r="C4049" i="1"/>
  <c r="B4050" i="1"/>
  <c r="C4050" i="1"/>
  <c r="B4051" i="1"/>
  <c r="C4051" i="1"/>
  <c r="B4052" i="1"/>
  <c r="C4052" i="1"/>
  <c r="B4053" i="1"/>
  <c r="C4053" i="1"/>
  <c r="B4054" i="1"/>
  <c r="C4054" i="1"/>
  <c r="B4055" i="1"/>
  <c r="C4055" i="1"/>
  <c r="B4056" i="1"/>
  <c r="C4056" i="1"/>
  <c r="B4057" i="1"/>
  <c r="C4057" i="1"/>
  <c r="B4058" i="1"/>
  <c r="C4058" i="1"/>
  <c r="B4059" i="1"/>
  <c r="C4059" i="1"/>
  <c r="B4060" i="1"/>
  <c r="C4060" i="1"/>
  <c r="B4061" i="1"/>
  <c r="C4061" i="1"/>
  <c r="B4062" i="1"/>
  <c r="C4062" i="1"/>
  <c r="B4063" i="1"/>
  <c r="C4063" i="1"/>
  <c r="B4064" i="1"/>
  <c r="C4064" i="1"/>
  <c r="B4065" i="1"/>
  <c r="C4065" i="1"/>
  <c r="B4066" i="1"/>
  <c r="C4066" i="1"/>
  <c r="B4067" i="1"/>
  <c r="C4067" i="1"/>
  <c r="B4068" i="1"/>
  <c r="C4068" i="1"/>
  <c r="B4069" i="1"/>
  <c r="C4069" i="1"/>
  <c r="B4070" i="1"/>
  <c r="C4070" i="1"/>
  <c r="B4071" i="1"/>
  <c r="C4071" i="1"/>
  <c r="B4072" i="1"/>
  <c r="C4072" i="1"/>
  <c r="B4073" i="1"/>
  <c r="C4073" i="1"/>
  <c r="B4074" i="1"/>
  <c r="C4074" i="1"/>
  <c r="B4075" i="1"/>
  <c r="C4075" i="1"/>
  <c r="B4076" i="1"/>
  <c r="C4076" i="1"/>
  <c r="B4077" i="1"/>
  <c r="C4077" i="1"/>
  <c r="B4078" i="1"/>
  <c r="C4078" i="1"/>
  <c r="B4079" i="1"/>
  <c r="C4079" i="1"/>
  <c r="B4080" i="1"/>
  <c r="C4080" i="1"/>
  <c r="B4081" i="1"/>
  <c r="C4081" i="1"/>
  <c r="B4082" i="1"/>
  <c r="C4082" i="1"/>
  <c r="B4083" i="1"/>
  <c r="C4083" i="1"/>
  <c r="B4084" i="1"/>
  <c r="C4084" i="1"/>
  <c r="B4085" i="1"/>
  <c r="C4085" i="1"/>
  <c r="B4086" i="1"/>
  <c r="C4086" i="1"/>
  <c r="B4087" i="1"/>
  <c r="C4087" i="1"/>
  <c r="B4088" i="1"/>
  <c r="C4088" i="1"/>
  <c r="B4089" i="1"/>
  <c r="C4089" i="1"/>
  <c r="B4090" i="1"/>
  <c r="C4090" i="1"/>
  <c r="B4091" i="1"/>
  <c r="C4091" i="1"/>
  <c r="B4092" i="1"/>
  <c r="C4092" i="1"/>
  <c r="B4093" i="1"/>
  <c r="C4093" i="1"/>
  <c r="B4094" i="1"/>
  <c r="C4094" i="1"/>
  <c r="B4095" i="1"/>
  <c r="C4095" i="1"/>
  <c r="B4096" i="1"/>
  <c r="C4096" i="1"/>
  <c r="B4097" i="1"/>
  <c r="C4097" i="1"/>
  <c r="B4098" i="1"/>
  <c r="C4098" i="1"/>
  <c r="B4099" i="1"/>
  <c r="C4099" i="1"/>
  <c r="B4100" i="1"/>
  <c r="C4100" i="1"/>
  <c r="B4101" i="1"/>
  <c r="C4101" i="1"/>
  <c r="B4102" i="1"/>
  <c r="C4102" i="1"/>
  <c r="B4103" i="1"/>
  <c r="C4103" i="1"/>
  <c r="B4104" i="1"/>
  <c r="C4104" i="1"/>
  <c r="B4105" i="1"/>
  <c r="C4105" i="1"/>
  <c r="B4106" i="1"/>
  <c r="C4106" i="1"/>
  <c r="B4107" i="1"/>
  <c r="C4107" i="1"/>
  <c r="B4108" i="1"/>
  <c r="C4108" i="1"/>
  <c r="B4109" i="1"/>
  <c r="C4109" i="1"/>
  <c r="B4110" i="1"/>
  <c r="C4110" i="1"/>
  <c r="B4111" i="1"/>
  <c r="C4111" i="1"/>
  <c r="B4112" i="1"/>
  <c r="C4112" i="1"/>
  <c r="B4113" i="1"/>
  <c r="C4113" i="1"/>
  <c r="B4114" i="1"/>
  <c r="C4114" i="1"/>
  <c r="B4115" i="1"/>
  <c r="C4115" i="1"/>
  <c r="B4116" i="1"/>
  <c r="C4116" i="1"/>
  <c r="B4117" i="1"/>
  <c r="C4117" i="1"/>
  <c r="B4118" i="1"/>
  <c r="C4118" i="1"/>
  <c r="B4119" i="1"/>
  <c r="C4119" i="1"/>
  <c r="B4120" i="1"/>
  <c r="C4120" i="1"/>
  <c r="B4121" i="1"/>
  <c r="C4121" i="1"/>
  <c r="B4122" i="1"/>
  <c r="C4122" i="1"/>
  <c r="B4123" i="1"/>
  <c r="C4123" i="1"/>
  <c r="B4124" i="1"/>
  <c r="C4124" i="1"/>
  <c r="B4125" i="1"/>
  <c r="C4125" i="1"/>
  <c r="B4126" i="1"/>
  <c r="C4126" i="1"/>
  <c r="B4127" i="1"/>
  <c r="C4127" i="1"/>
  <c r="B4128" i="1"/>
  <c r="C4128" i="1"/>
  <c r="B4129" i="1"/>
  <c r="C4129" i="1"/>
  <c r="B4130" i="1"/>
  <c r="C4130" i="1"/>
  <c r="B4131" i="1"/>
  <c r="C4131" i="1"/>
  <c r="B4132" i="1"/>
  <c r="C4132" i="1"/>
  <c r="B4133" i="1"/>
  <c r="C4133" i="1"/>
  <c r="B4134" i="1"/>
  <c r="C4134" i="1"/>
  <c r="B4135" i="1"/>
  <c r="C4135" i="1"/>
  <c r="B4136" i="1"/>
  <c r="C4136" i="1"/>
  <c r="B4137" i="1"/>
  <c r="C4137" i="1"/>
  <c r="B4138" i="1"/>
  <c r="C4138" i="1"/>
  <c r="B4139" i="1"/>
  <c r="C4139" i="1"/>
  <c r="B4140" i="1"/>
  <c r="C4140" i="1"/>
  <c r="B4141" i="1"/>
  <c r="C4141" i="1"/>
  <c r="B4142" i="1"/>
  <c r="C4142" i="1"/>
  <c r="B4143" i="1"/>
  <c r="C4143" i="1"/>
  <c r="B4144" i="1"/>
  <c r="C4144" i="1"/>
  <c r="B4145" i="1"/>
  <c r="C4145" i="1"/>
  <c r="B4146" i="1"/>
  <c r="C4146" i="1"/>
  <c r="B4147" i="1"/>
  <c r="C4147" i="1"/>
  <c r="B4148" i="1"/>
  <c r="C4148" i="1"/>
  <c r="B4149" i="1"/>
  <c r="C4149" i="1"/>
  <c r="B4150" i="1"/>
  <c r="C4150" i="1"/>
  <c r="B4151" i="1"/>
  <c r="C4151" i="1"/>
  <c r="B4152" i="1"/>
  <c r="C4152" i="1"/>
  <c r="B4153" i="1"/>
  <c r="C4153" i="1"/>
  <c r="B4154" i="1"/>
  <c r="C4154" i="1"/>
  <c r="B4155" i="1"/>
  <c r="C4155" i="1"/>
  <c r="B4156" i="1"/>
  <c r="C4156" i="1"/>
  <c r="B4157" i="1"/>
  <c r="C4157" i="1"/>
  <c r="B4158" i="1"/>
  <c r="C4158" i="1"/>
  <c r="B4159" i="1"/>
  <c r="C4159" i="1"/>
  <c r="B4160" i="1"/>
  <c r="C4160" i="1"/>
  <c r="B4161" i="1"/>
  <c r="C4161" i="1"/>
  <c r="B4162" i="1"/>
  <c r="C4162" i="1"/>
  <c r="B4163" i="1"/>
  <c r="C4163" i="1"/>
  <c r="B4164" i="1"/>
  <c r="C4164" i="1"/>
  <c r="B4165" i="1"/>
  <c r="C4165" i="1"/>
  <c r="B4166" i="1"/>
  <c r="C4166" i="1"/>
  <c r="B4167" i="1"/>
  <c r="C4167" i="1"/>
  <c r="B4168" i="1"/>
  <c r="C4168" i="1"/>
  <c r="B4169" i="1"/>
  <c r="C4169" i="1"/>
  <c r="B4170" i="1"/>
  <c r="C4170" i="1"/>
  <c r="B4171" i="1"/>
  <c r="C4171" i="1"/>
  <c r="B4172" i="1"/>
  <c r="C4172" i="1"/>
  <c r="B4173" i="1"/>
  <c r="C4173" i="1"/>
  <c r="B4174" i="1"/>
  <c r="C4174" i="1"/>
  <c r="B4175" i="1"/>
  <c r="C4175" i="1"/>
  <c r="B4176" i="1"/>
  <c r="C4176" i="1"/>
  <c r="B4177" i="1"/>
  <c r="C4177" i="1"/>
  <c r="B4178" i="1"/>
  <c r="C4178" i="1"/>
  <c r="B4179" i="1"/>
  <c r="C4179" i="1"/>
  <c r="B4180" i="1"/>
  <c r="C4180" i="1"/>
  <c r="B4181" i="1"/>
  <c r="C4181" i="1"/>
  <c r="B4182" i="1"/>
  <c r="C4182" i="1"/>
  <c r="B4183" i="1"/>
  <c r="C4183" i="1"/>
  <c r="B4184" i="1"/>
  <c r="C4184" i="1"/>
  <c r="B4185" i="1"/>
  <c r="C4185" i="1"/>
  <c r="B4186" i="1"/>
  <c r="C4186" i="1"/>
  <c r="B4187" i="1"/>
  <c r="C4187" i="1"/>
  <c r="B4188" i="1"/>
  <c r="C4188" i="1"/>
  <c r="B4189" i="1"/>
  <c r="C4189" i="1"/>
  <c r="B4190" i="1"/>
  <c r="C4190" i="1"/>
  <c r="B4191" i="1"/>
  <c r="C4191" i="1"/>
  <c r="B4192" i="1"/>
  <c r="C4192" i="1"/>
  <c r="B4193" i="1"/>
  <c r="C4193" i="1"/>
  <c r="B4194" i="1"/>
  <c r="C4194" i="1"/>
  <c r="B4195" i="1"/>
  <c r="C4195" i="1"/>
  <c r="B4196" i="1"/>
  <c r="C4196" i="1"/>
  <c r="B4197" i="1"/>
  <c r="C4197" i="1"/>
  <c r="B4198" i="1"/>
  <c r="C4198" i="1"/>
  <c r="B4199" i="1"/>
  <c r="C4199" i="1"/>
  <c r="B4200" i="1"/>
  <c r="C4200" i="1"/>
  <c r="B4201" i="1"/>
  <c r="C4201" i="1"/>
  <c r="B4202" i="1"/>
  <c r="C4202" i="1"/>
  <c r="B4203" i="1"/>
  <c r="C4203" i="1"/>
  <c r="B4204" i="1"/>
  <c r="C4204" i="1"/>
  <c r="B4205" i="1"/>
  <c r="C4205" i="1"/>
  <c r="B4206" i="1"/>
  <c r="C4206" i="1"/>
  <c r="B4207" i="1"/>
  <c r="C4207" i="1"/>
  <c r="B4208" i="1"/>
  <c r="C4208" i="1"/>
  <c r="B4209" i="1"/>
  <c r="C4209" i="1"/>
  <c r="B4210" i="1"/>
  <c r="C4210" i="1"/>
  <c r="B4211" i="1"/>
  <c r="C4211" i="1"/>
  <c r="B4212" i="1"/>
  <c r="C4212" i="1"/>
  <c r="B4213" i="1"/>
  <c r="C4213" i="1"/>
  <c r="B4214" i="1"/>
  <c r="C4214" i="1"/>
  <c r="B4215" i="1"/>
  <c r="C4215" i="1"/>
  <c r="B4216" i="1"/>
  <c r="C4216" i="1"/>
  <c r="B4217" i="1"/>
  <c r="C4217" i="1"/>
  <c r="B4218" i="1"/>
  <c r="C4218" i="1"/>
  <c r="B4219" i="1"/>
  <c r="C4219" i="1"/>
  <c r="B4220" i="1"/>
  <c r="C4220" i="1"/>
  <c r="B4221" i="1"/>
  <c r="C4221" i="1"/>
  <c r="B4222" i="1"/>
  <c r="C4222" i="1"/>
  <c r="B4223" i="1"/>
  <c r="C4223" i="1"/>
  <c r="B4224" i="1"/>
  <c r="C4224" i="1"/>
  <c r="B4225" i="1"/>
  <c r="C4225" i="1"/>
  <c r="B4226" i="1"/>
  <c r="C4226" i="1"/>
  <c r="B4227" i="1"/>
  <c r="C4227" i="1"/>
  <c r="B4228" i="1"/>
  <c r="C4228" i="1"/>
  <c r="B4229" i="1"/>
  <c r="C4229" i="1"/>
  <c r="B4230" i="1"/>
  <c r="C4230" i="1"/>
  <c r="B4231" i="1"/>
  <c r="C4231" i="1"/>
  <c r="B4232" i="1"/>
  <c r="C4232" i="1"/>
  <c r="B4233" i="1"/>
  <c r="C4233" i="1"/>
  <c r="B4234" i="1"/>
  <c r="C4234" i="1"/>
  <c r="B4235" i="1"/>
  <c r="C4235" i="1"/>
  <c r="B4236" i="1"/>
  <c r="C4236" i="1"/>
  <c r="B4237" i="1"/>
  <c r="C4237" i="1"/>
  <c r="B4238" i="1"/>
  <c r="C4238" i="1"/>
  <c r="B4239" i="1"/>
  <c r="C4239" i="1"/>
  <c r="B4240" i="1"/>
  <c r="C4240" i="1"/>
  <c r="B4241" i="1"/>
  <c r="C4241" i="1"/>
  <c r="B4242" i="1"/>
  <c r="C4242" i="1"/>
  <c r="B4243" i="1"/>
  <c r="C4243" i="1"/>
  <c r="B4244" i="1"/>
  <c r="C4244" i="1"/>
  <c r="B4245" i="1"/>
  <c r="C4245" i="1"/>
  <c r="B4246" i="1"/>
  <c r="C4246" i="1"/>
  <c r="B4247" i="1"/>
  <c r="C4247" i="1"/>
  <c r="B4248" i="1"/>
  <c r="C4248" i="1"/>
  <c r="B4249" i="1"/>
  <c r="C4249" i="1"/>
  <c r="B4250" i="1"/>
  <c r="C4250" i="1"/>
  <c r="B4251" i="1"/>
  <c r="C4251" i="1"/>
  <c r="B4252" i="1"/>
  <c r="C4252" i="1"/>
  <c r="B4253" i="1"/>
  <c r="C4253" i="1"/>
  <c r="B4254" i="1"/>
  <c r="C4254" i="1"/>
  <c r="B4255" i="1"/>
  <c r="C4255" i="1"/>
  <c r="B4256" i="1"/>
  <c r="C4256" i="1"/>
  <c r="B4257" i="1"/>
  <c r="C4257" i="1"/>
  <c r="B4258" i="1"/>
  <c r="C4258" i="1"/>
  <c r="B4259" i="1"/>
  <c r="C4259" i="1"/>
  <c r="B4260" i="1"/>
  <c r="C4260" i="1"/>
  <c r="B4261" i="1"/>
  <c r="C4261" i="1"/>
  <c r="B4262" i="1"/>
  <c r="C4262" i="1"/>
  <c r="B4263" i="1"/>
  <c r="C4263" i="1"/>
  <c r="B4264" i="1"/>
  <c r="C4264" i="1"/>
  <c r="B4265" i="1"/>
  <c r="C4265" i="1"/>
  <c r="B4266" i="1"/>
  <c r="C4266" i="1"/>
  <c r="B4267" i="1"/>
  <c r="C4267" i="1"/>
  <c r="B4268" i="1"/>
  <c r="C4268" i="1"/>
  <c r="B4269" i="1"/>
  <c r="C4269" i="1"/>
  <c r="B4270" i="1"/>
  <c r="C4270" i="1"/>
  <c r="B4271" i="1"/>
  <c r="C4271" i="1"/>
  <c r="B4272" i="1"/>
  <c r="C4272" i="1"/>
  <c r="B4273" i="1"/>
  <c r="C4273" i="1"/>
  <c r="B4274" i="1"/>
  <c r="C4274" i="1"/>
  <c r="B4275" i="1"/>
  <c r="C4275" i="1"/>
  <c r="B4276" i="1"/>
  <c r="C4276" i="1"/>
  <c r="B4277" i="1"/>
  <c r="C4277" i="1"/>
  <c r="B4278" i="1"/>
  <c r="C4278" i="1"/>
  <c r="B4279" i="1"/>
  <c r="C4279" i="1"/>
  <c r="B4280" i="1"/>
  <c r="C4280" i="1"/>
  <c r="B4281" i="1"/>
  <c r="C4281" i="1"/>
  <c r="B4282" i="1"/>
  <c r="C4282" i="1"/>
  <c r="B4283" i="1"/>
  <c r="C4283" i="1"/>
  <c r="B4284" i="1"/>
  <c r="C4284" i="1"/>
  <c r="B4285" i="1"/>
  <c r="C4285" i="1"/>
  <c r="B4286" i="1"/>
  <c r="C4286" i="1"/>
  <c r="B4287" i="1"/>
  <c r="C4287" i="1"/>
  <c r="B4288" i="1"/>
  <c r="C4288" i="1"/>
  <c r="B4289" i="1"/>
  <c r="C4289" i="1"/>
  <c r="B4290" i="1"/>
  <c r="C4290" i="1"/>
  <c r="B4291" i="1"/>
  <c r="C4291" i="1"/>
  <c r="B4292" i="1"/>
  <c r="C4292" i="1"/>
  <c r="B4293" i="1"/>
  <c r="C4293" i="1"/>
  <c r="B4294" i="1"/>
  <c r="C4294" i="1"/>
  <c r="B4295" i="1"/>
  <c r="C4295" i="1"/>
  <c r="B4296" i="1"/>
  <c r="C4296" i="1"/>
  <c r="B4297" i="1"/>
  <c r="C4297" i="1"/>
  <c r="B4298" i="1"/>
  <c r="C4298" i="1"/>
  <c r="B4299" i="1"/>
  <c r="C4299" i="1"/>
  <c r="B4300" i="1"/>
  <c r="C4300" i="1"/>
  <c r="B4301" i="1"/>
  <c r="C4301" i="1"/>
  <c r="B4302" i="1"/>
  <c r="C4302" i="1"/>
  <c r="B4303" i="1"/>
  <c r="C4303" i="1"/>
  <c r="B4304" i="1"/>
  <c r="C4304" i="1"/>
  <c r="B4305" i="1"/>
  <c r="C4305" i="1"/>
  <c r="B4306" i="1"/>
  <c r="C4306" i="1"/>
  <c r="B4307" i="1"/>
  <c r="C4307" i="1"/>
  <c r="B4308" i="1"/>
  <c r="C4308" i="1"/>
  <c r="B4309" i="1"/>
  <c r="C4309" i="1"/>
  <c r="B4310" i="1"/>
  <c r="C4310" i="1"/>
  <c r="B4311" i="1"/>
  <c r="C4311" i="1"/>
  <c r="B4312" i="1"/>
  <c r="C4312" i="1"/>
  <c r="B4313" i="1"/>
  <c r="C4313" i="1"/>
  <c r="B4314" i="1"/>
  <c r="C4314" i="1"/>
  <c r="B4315" i="1"/>
  <c r="C4315" i="1"/>
  <c r="B4316" i="1"/>
  <c r="C4316" i="1"/>
  <c r="B4317" i="1"/>
  <c r="C4317" i="1"/>
  <c r="B4318" i="1"/>
  <c r="C4318" i="1"/>
  <c r="B4319" i="1"/>
  <c r="C4319" i="1"/>
  <c r="B4320" i="1"/>
  <c r="C4320" i="1"/>
  <c r="B4321" i="1"/>
  <c r="C4321" i="1"/>
  <c r="B4322" i="1"/>
  <c r="C4322" i="1"/>
  <c r="B4323" i="1"/>
  <c r="C4323" i="1"/>
  <c r="B4324" i="1"/>
  <c r="C4324" i="1"/>
  <c r="B4325" i="1"/>
  <c r="C4325" i="1"/>
  <c r="B4326" i="1"/>
  <c r="C4326" i="1"/>
  <c r="B4327" i="1"/>
  <c r="C4327" i="1"/>
  <c r="B4328" i="1"/>
  <c r="C4328" i="1"/>
  <c r="B4329" i="1"/>
  <c r="C4329" i="1"/>
  <c r="B4330" i="1"/>
  <c r="C4330" i="1"/>
  <c r="B4331" i="1"/>
  <c r="C4331" i="1"/>
  <c r="B4332" i="1"/>
  <c r="C4332" i="1"/>
  <c r="B4333" i="1"/>
  <c r="C4333" i="1"/>
  <c r="B4334" i="1"/>
  <c r="C4334" i="1"/>
  <c r="B4335" i="1"/>
  <c r="C4335" i="1"/>
  <c r="B4336" i="1"/>
  <c r="C4336" i="1"/>
  <c r="B4337" i="1"/>
  <c r="C4337" i="1"/>
  <c r="B4338" i="1"/>
  <c r="C4338" i="1"/>
  <c r="B4339" i="1"/>
  <c r="C4339" i="1"/>
  <c r="B4340" i="1"/>
  <c r="C4340" i="1"/>
  <c r="B4341" i="1"/>
  <c r="C4341" i="1"/>
  <c r="B4342" i="1"/>
  <c r="C4342" i="1"/>
  <c r="B4343" i="1"/>
  <c r="C4343" i="1"/>
  <c r="B4344" i="1"/>
  <c r="C4344" i="1"/>
  <c r="B4345" i="1"/>
  <c r="C4345" i="1"/>
  <c r="B4346" i="1"/>
  <c r="C4346" i="1"/>
  <c r="B4347" i="1"/>
  <c r="C4347" i="1"/>
  <c r="B4348" i="1"/>
  <c r="C4348" i="1"/>
  <c r="B4349" i="1"/>
  <c r="C4349" i="1"/>
  <c r="B4350" i="1"/>
  <c r="C4350" i="1"/>
  <c r="B4351" i="1"/>
  <c r="C4351" i="1"/>
  <c r="B4352" i="1"/>
  <c r="C4352" i="1"/>
  <c r="B4353" i="1"/>
  <c r="C4353" i="1"/>
  <c r="B4354" i="1"/>
  <c r="C4354" i="1"/>
  <c r="B4355" i="1"/>
  <c r="C4355" i="1"/>
  <c r="B4356" i="1"/>
  <c r="C4356" i="1"/>
  <c r="B4357" i="1"/>
  <c r="C4357" i="1"/>
  <c r="B4358" i="1"/>
  <c r="C4358" i="1"/>
  <c r="B4359" i="1"/>
  <c r="C4359" i="1"/>
  <c r="B4360" i="1"/>
  <c r="C4360" i="1"/>
  <c r="B4361" i="1"/>
  <c r="C4361" i="1"/>
  <c r="B4362" i="1"/>
  <c r="C4362" i="1"/>
  <c r="B4363" i="1"/>
  <c r="C4363" i="1"/>
  <c r="B4364" i="1"/>
  <c r="C4364" i="1"/>
  <c r="B4365" i="1"/>
  <c r="C4365" i="1"/>
  <c r="B4366" i="1"/>
  <c r="C4366" i="1"/>
  <c r="B4367" i="1"/>
  <c r="C4367" i="1"/>
  <c r="B4368" i="1"/>
  <c r="C4368" i="1"/>
  <c r="B4369" i="1"/>
  <c r="C4369" i="1"/>
  <c r="B4370" i="1"/>
  <c r="C4370" i="1"/>
  <c r="B4371" i="1"/>
  <c r="C4371" i="1"/>
  <c r="B4372" i="1"/>
  <c r="C4372" i="1"/>
  <c r="B4373" i="1"/>
  <c r="C4373" i="1"/>
  <c r="B4374" i="1"/>
  <c r="C4374" i="1"/>
  <c r="B4375" i="1"/>
  <c r="C4375" i="1"/>
  <c r="B4376" i="1"/>
  <c r="C4376" i="1"/>
  <c r="B4377" i="1"/>
  <c r="C4377" i="1"/>
  <c r="B4378" i="1"/>
  <c r="C4378" i="1"/>
  <c r="B4379" i="1"/>
  <c r="C4379" i="1"/>
  <c r="B4380" i="1"/>
  <c r="C4380" i="1"/>
  <c r="B4381" i="1"/>
  <c r="C4381" i="1"/>
  <c r="B4382" i="1"/>
  <c r="C4382" i="1"/>
  <c r="B4383" i="1"/>
  <c r="C4383" i="1"/>
  <c r="B4384" i="1"/>
  <c r="C4384" i="1"/>
  <c r="B4385" i="1"/>
  <c r="C4385" i="1"/>
  <c r="B4386" i="1"/>
  <c r="C4386" i="1"/>
  <c r="B4387" i="1"/>
  <c r="C4387" i="1"/>
  <c r="B4388" i="1"/>
  <c r="C4388" i="1"/>
  <c r="B4389" i="1"/>
  <c r="C4389" i="1"/>
  <c r="B4390" i="1"/>
  <c r="C4390" i="1"/>
  <c r="B4391" i="1"/>
  <c r="C4391" i="1"/>
  <c r="B4392" i="1"/>
  <c r="C4392" i="1"/>
  <c r="B4393" i="1"/>
  <c r="C4393" i="1"/>
  <c r="B4394" i="1"/>
  <c r="C4394" i="1"/>
  <c r="B4395" i="1"/>
  <c r="C4395" i="1"/>
  <c r="B4396" i="1"/>
  <c r="C4396" i="1"/>
  <c r="B4397" i="1"/>
  <c r="C4397" i="1"/>
  <c r="B4398" i="1"/>
  <c r="C4398" i="1"/>
  <c r="B4399" i="1"/>
  <c r="C4399" i="1"/>
  <c r="B4400" i="1"/>
  <c r="C4400" i="1"/>
  <c r="B4401" i="1"/>
  <c r="C4401" i="1"/>
  <c r="B4402" i="1"/>
  <c r="C4402" i="1"/>
  <c r="B4403" i="1"/>
  <c r="C4403" i="1"/>
  <c r="B4404" i="1"/>
  <c r="C4404" i="1"/>
  <c r="B4405" i="1"/>
  <c r="C4405" i="1"/>
  <c r="B4406" i="1"/>
  <c r="C4406" i="1"/>
  <c r="B4407" i="1"/>
  <c r="C4407" i="1"/>
  <c r="B4408" i="1"/>
  <c r="C4408" i="1"/>
  <c r="B4409" i="1"/>
  <c r="C4409" i="1"/>
  <c r="B4410" i="1"/>
  <c r="C4410" i="1"/>
  <c r="B4411" i="1"/>
  <c r="C4411" i="1"/>
  <c r="B4412" i="1"/>
  <c r="C4412" i="1"/>
  <c r="B4413" i="1"/>
  <c r="C4413" i="1"/>
  <c r="B4414" i="1"/>
  <c r="C4414" i="1"/>
  <c r="B4415" i="1"/>
  <c r="C4415" i="1"/>
  <c r="B4416" i="1"/>
  <c r="C4416" i="1"/>
  <c r="B4417" i="1"/>
  <c r="C4417" i="1"/>
  <c r="B4418" i="1"/>
  <c r="C4418" i="1"/>
  <c r="B4419" i="1"/>
  <c r="C4419" i="1"/>
  <c r="B4420" i="1"/>
  <c r="C4420" i="1"/>
  <c r="B4421" i="1"/>
  <c r="C4421" i="1"/>
  <c r="B4422" i="1"/>
  <c r="C4422" i="1"/>
  <c r="B4423" i="1"/>
  <c r="C4423" i="1"/>
  <c r="B4424" i="1"/>
  <c r="C4424" i="1"/>
  <c r="B4425" i="1"/>
  <c r="C4425" i="1"/>
  <c r="B4426" i="1"/>
  <c r="C4426" i="1"/>
  <c r="B4427" i="1"/>
  <c r="C4427" i="1"/>
  <c r="B4428" i="1"/>
  <c r="C4428" i="1"/>
  <c r="B4429" i="1"/>
  <c r="C4429" i="1"/>
  <c r="B4430" i="1"/>
  <c r="C4430" i="1"/>
  <c r="B4431" i="1"/>
  <c r="C4431" i="1"/>
  <c r="B4432" i="1"/>
  <c r="C4432" i="1"/>
  <c r="B4433" i="1"/>
  <c r="C4433" i="1"/>
  <c r="B4434" i="1"/>
  <c r="C4434" i="1"/>
  <c r="B4435" i="1"/>
  <c r="C4435" i="1"/>
  <c r="B4436" i="1"/>
  <c r="C4436" i="1"/>
  <c r="B4437" i="1"/>
  <c r="C4437" i="1"/>
  <c r="B4438" i="1"/>
  <c r="C4438" i="1"/>
  <c r="B4439" i="1"/>
  <c r="C4439" i="1"/>
  <c r="B4440" i="1"/>
  <c r="C4440" i="1"/>
  <c r="B4441" i="1"/>
  <c r="C4441" i="1"/>
  <c r="B4442" i="1"/>
  <c r="C4442" i="1"/>
  <c r="B4443" i="1"/>
  <c r="C4443" i="1"/>
  <c r="B4444" i="1"/>
  <c r="C4444" i="1"/>
  <c r="B4445" i="1"/>
  <c r="C4445" i="1"/>
  <c r="B4446" i="1"/>
  <c r="C4446" i="1"/>
  <c r="B4447" i="1"/>
  <c r="C4447" i="1"/>
  <c r="B4448" i="1"/>
  <c r="C4448" i="1"/>
  <c r="B4449" i="1"/>
  <c r="C4449" i="1"/>
  <c r="B4450" i="1"/>
  <c r="C4450" i="1"/>
  <c r="B4451" i="1"/>
  <c r="C4451" i="1"/>
  <c r="B4452" i="1"/>
  <c r="C4452" i="1"/>
  <c r="B4453" i="1"/>
  <c r="C4453" i="1"/>
  <c r="B4454" i="1"/>
  <c r="C4454" i="1"/>
  <c r="B4455" i="1"/>
  <c r="C4455" i="1"/>
  <c r="B4456" i="1"/>
  <c r="C4456" i="1"/>
  <c r="B4457" i="1"/>
  <c r="C4457" i="1"/>
  <c r="B4458" i="1"/>
  <c r="C4458" i="1"/>
  <c r="B4459" i="1"/>
  <c r="C4459" i="1"/>
  <c r="B4460" i="1"/>
  <c r="C4460" i="1"/>
  <c r="B4461" i="1"/>
  <c r="C4461" i="1"/>
  <c r="B4462" i="1"/>
  <c r="C4462" i="1"/>
  <c r="B4463" i="1"/>
  <c r="C4463" i="1"/>
  <c r="B4464" i="1"/>
  <c r="C4464" i="1"/>
  <c r="B4465" i="1"/>
  <c r="C4465" i="1"/>
  <c r="B4466" i="1"/>
  <c r="C4466" i="1"/>
  <c r="B4467" i="1"/>
  <c r="C4467" i="1"/>
  <c r="B4468" i="1"/>
  <c r="C4468" i="1"/>
  <c r="B4469" i="1"/>
  <c r="C4469" i="1"/>
  <c r="B4470" i="1"/>
  <c r="C4470" i="1"/>
  <c r="B4471" i="1"/>
  <c r="C4471" i="1"/>
  <c r="B4472" i="1"/>
  <c r="C4472" i="1"/>
  <c r="B4473" i="1"/>
  <c r="C4473" i="1"/>
  <c r="B4474" i="1"/>
  <c r="C4474" i="1"/>
  <c r="B4475" i="1"/>
  <c r="C4475" i="1"/>
  <c r="B4476" i="1"/>
  <c r="C4476" i="1"/>
  <c r="B4477" i="1"/>
  <c r="C4477" i="1"/>
  <c r="B4478" i="1"/>
  <c r="C4478" i="1"/>
  <c r="B4479" i="1"/>
  <c r="C4479" i="1"/>
  <c r="B4480" i="1"/>
  <c r="C4480" i="1"/>
  <c r="B4481" i="1"/>
  <c r="C4481" i="1"/>
  <c r="B4482" i="1"/>
  <c r="C4482" i="1"/>
  <c r="B4483" i="1"/>
  <c r="C4483" i="1"/>
  <c r="B4484" i="1"/>
  <c r="C4484" i="1"/>
  <c r="B4485" i="1"/>
  <c r="C4485" i="1"/>
  <c r="B4486" i="1"/>
  <c r="C4486" i="1"/>
  <c r="B4487" i="1"/>
  <c r="C4487" i="1"/>
  <c r="B4488" i="1"/>
  <c r="C4488" i="1"/>
  <c r="B4489" i="1"/>
  <c r="C4489" i="1"/>
  <c r="B4490" i="1"/>
  <c r="C4490" i="1"/>
  <c r="B4491" i="1"/>
  <c r="C4491" i="1"/>
  <c r="B4492" i="1"/>
  <c r="C4492" i="1"/>
  <c r="B4493" i="1"/>
  <c r="C4493" i="1"/>
  <c r="B4494" i="1"/>
  <c r="C4494" i="1"/>
  <c r="B4495" i="1"/>
  <c r="C4495" i="1"/>
  <c r="B4496" i="1"/>
  <c r="C4496" i="1"/>
  <c r="B4497" i="1"/>
  <c r="C4497" i="1"/>
  <c r="B4498" i="1"/>
  <c r="C4498" i="1"/>
  <c r="B4499" i="1"/>
  <c r="C4499" i="1"/>
  <c r="B4500" i="1"/>
  <c r="C4500" i="1"/>
  <c r="B4501" i="1"/>
  <c r="C4501" i="1"/>
  <c r="B4502" i="1"/>
  <c r="C4502" i="1"/>
  <c r="B4503" i="1"/>
  <c r="C4503" i="1"/>
  <c r="B4504" i="1"/>
  <c r="C4504" i="1"/>
  <c r="B4505" i="1"/>
  <c r="C4505" i="1"/>
  <c r="B4506" i="1"/>
  <c r="C4506" i="1"/>
  <c r="B4507" i="1"/>
  <c r="C4507" i="1"/>
  <c r="B4508" i="1"/>
  <c r="C4508" i="1"/>
  <c r="B4509" i="1"/>
  <c r="C4509" i="1"/>
  <c r="B4510" i="1"/>
  <c r="C4510" i="1"/>
  <c r="B4511" i="1"/>
  <c r="C4511" i="1"/>
  <c r="B4512" i="1"/>
  <c r="C4512" i="1"/>
  <c r="B4513" i="1"/>
  <c r="C4513" i="1"/>
  <c r="B4514" i="1"/>
  <c r="C4514" i="1"/>
  <c r="B4515" i="1"/>
  <c r="C4515" i="1"/>
  <c r="B4516" i="1"/>
  <c r="C4516" i="1"/>
  <c r="B4517" i="1"/>
  <c r="C4517" i="1"/>
  <c r="B4518" i="1"/>
  <c r="C4518" i="1"/>
  <c r="B4519" i="1"/>
  <c r="C4519" i="1"/>
  <c r="B4520" i="1"/>
  <c r="C4520" i="1"/>
  <c r="B4521" i="1"/>
  <c r="C4521" i="1"/>
  <c r="B4522" i="1"/>
  <c r="C4522" i="1"/>
  <c r="B4523" i="1"/>
  <c r="C4523" i="1"/>
  <c r="B4524" i="1"/>
  <c r="C4524" i="1"/>
  <c r="B4525" i="1"/>
  <c r="C4525" i="1"/>
  <c r="B4526" i="1"/>
  <c r="C4526" i="1"/>
  <c r="B4527" i="1"/>
  <c r="C4527" i="1"/>
  <c r="B4528" i="1"/>
  <c r="C4528" i="1"/>
  <c r="B4529" i="1"/>
  <c r="C4529" i="1"/>
  <c r="B4530" i="1"/>
  <c r="C4530" i="1"/>
  <c r="B4531" i="1"/>
  <c r="C4531" i="1"/>
  <c r="B4532" i="1"/>
  <c r="C4532" i="1"/>
  <c r="B4533" i="1"/>
  <c r="C4533" i="1"/>
  <c r="B4534" i="1"/>
  <c r="C4534" i="1"/>
  <c r="B4535" i="1"/>
  <c r="C4535" i="1"/>
  <c r="B4536" i="1"/>
  <c r="C4536" i="1"/>
  <c r="B4537" i="1"/>
  <c r="C4537" i="1"/>
  <c r="B4538" i="1"/>
  <c r="C4538" i="1"/>
  <c r="B4539" i="1"/>
  <c r="C4539" i="1"/>
  <c r="B4540" i="1"/>
  <c r="C4540" i="1"/>
  <c r="B4541" i="1"/>
  <c r="C4541" i="1"/>
  <c r="B4542" i="1"/>
  <c r="C4542" i="1"/>
  <c r="B4543" i="1"/>
  <c r="C4543" i="1"/>
  <c r="B4544" i="1"/>
  <c r="C4544" i="1"/>
  <c r="B4545" i="1"/>
  <c r="C4545" i="1"/>
  <c r="B4546" i="1"/>
  <c r="C4546" i="1"/>
  <c r="B4547" i="1"/>
  <c r="C4547" i="1"/>
  <c r="B4548" i="1"/>
  <c r="C4548" i="1"/>
  <c r="B4549" i="1"/>
  <c r="C4549" i="1"/>
  <c r="B4550" i="1"/>
  <c r="C4550" i="1"/>
  <c r="B4551" i="1"/>
  <c r="C4551" i="1"/>
  <c r="B4552" i="1"/>
  <c r="C4552" i="1"/>
  <c r="B4553" i="1"/>
  <c r="C4553" i="1"/>
  <c r="B4554" i="1"/>
  <c r="C4554" i="1"/>
  <c r="B4555" i="1"/>
  <c r="C4555" i="1"/>
  <c r="B4556" i="1"/>
  <c r="C4556" i="1"/>
  <c r="B4557" i="1"/>
  <c r="C4557" i="1"/>
  <c r="B4558" i="1"/>
  <c r="C4558" i="1"/>
  <c r="B4559" i="1"/>
  <c r="C4559" i="1"/>
  <c r="B4560" i="1"/>
  <c r="C4560" i="1"/>
  <c r="B4561" i="1"/>
  <c r="C4561" i="1"/>
  <c r="B4562" i="1"/>
  <c r="C4562" i="1"/>
  <c r="B4563" i="1"/>
  <c r="C4563" i="1"/>
  <c r="B4564" i="1"/>
  <c r="C4564" i="1"/>
  <c r="B4565" i="1"/>
  <c r="C4565" i="1"/>
  <c r="B4566" i="1"/>
  <c r="C4566" i="1"/>
  <c r="B4567" i="1"/>
  <c r="C4567" i="1"/>
  <c r="B4568" i="1"/>
  <c r="C4568" i="1"/>
  <c r="B4569" i="1"/>
  <c r="C4569" i="1"/>
  <c r="B4570" i="1"/>
  <c r="C4570" i="1"/>
  <c r="B4571" i="1"/>
  <c r="C4571" i="1"/>
  <c r="B4572" i="1"/>
  <c r="C4572" i="1"/>
  <c r="B4573" i="1"/>
  <c r="C4573" i="1"/>
  <c r="B4574" i="1"/>
  <c r="C4574" i="1"/>
  <c r="B4575" i="1"/>
  <c r="C4575" i="1"/>
  <c r="B4576" i="1"/>
  <c r="C4576" i="1"/>
  <c r="B4577" i="1"/>
  <c r="C4577" i="1"/>
  <c r="B4578" i="1"/>
  <c r="C4578" i="1"/>
  <c r="B4579" i="1"/>
  <c r="C4579" i="1"/>
  <c r="B4580" i="1"/>
  <c r="C4580" i="1"/>
  <c r="B4581" i="1"/>
  <c r="C4581" i="1"/>
  <c r="B4582" i="1"/>
  <c r="C4582" i="1"/>
  <c r="B4583" i="1"/>
  <c r="C4583" i="1"/>
  <c r="B4584" i="1"/>
  <c r="C4584" i="1"/>
  <c r="B4585" i="1"/>
  <c r="C4585" i="1"/>
  <c r="B4586" i="1"/>
  <c r="C4586" i="1"/>
  <c r="B4587" i="1"/>
  <c r="C4587" i="1"/>
  <c r="B4588" i="1"/>
  <c r="C4588" i="1"/>
  <c r="B4589" i="1"/>
  <c r="C4589" i="1"/>
  <c r="B4590" i="1"/>
  <c r="C4590" i="1"/>
  <c r="B4591" i="1"/>
  <c r="C4591" i="1"/>
  <c r="B4592" i="1"/>
  <c r="C4592" i="1"/>
  <c r="B4593" i="1"/>
  <c r="C4593" i="1"/>
  <c r="B4594" i="1"/>
  <c r="C4594" i="1"/>
  <c r="B4595" i="1"/>
  <c r="C4595" i="1"/>
  <c r="B4596" i="1"/>
  <c r="C4596" i="1"/>
  <c r="B4597" i="1"/>
  <c r="C4597" i="1"/>
  <c r="B4598" i="1"/>
  <c r="C4598" i="1"/>
  <c r="B4599" i="1"/>
  <c r="C4599" i="1"/>
  <c r="B4600" i="1"/>
  <c r="C4600" i="1"/>
  <c r="B4601" i="1"/>
  <c r="C4601" i="1"/>
  <c r="B4602" i="1"/>
  <c r="C4602" i="1"/>
  <c r="B4603" i="1"/>
  <c r="C4603" i="1"/>
  <c r="B4604" i="1"/>
  <c r="C4604" i="1"/>
  <c r="B4605" i="1"/>
  <c r="C4605" i="1"/>
  <c r="B4606" i="1"/>
  <c r="C4606" i="1"/>
  <c r="B4607" i="1"/>
  <c r="C4607" i="1"/>
  <c r="B4608" i="1"/>
  <c r="C4608" i="1"/>
  <c r="B4609" i="1"/>
  <c r="C4609" i="1"/>
  <c r="B4610" i="1"/>
  <c r="C4610" i="1"/>
  <c r="B4611" i="1"/>
  <c r="C4611" i="1"/>
  <c r="B4612" i="1"/>
  <c r="C4612" i="1"/>
  <c r="B4613" i="1"/>
  <c r="C4613" i="1"/>
  <c r="B4614" i="1"/>
  <c r="C4614" i="1"/>
  <c r="B4615" i="1"/>
  <c r="C4615" i="1"/>
  <c r="B4616" i="1"/>
  <c r="C4616" i="1"/>
  <c r="B4617" i="1"/>
  <c r="C4617" i="1"/>
  <c r="B4618" i="1"/>
  <c r="C4618" i="1"/>
  <c r="B4619" i="1"/>
  <c r="C4619" i="1"/>
  <c r="B4620" i="1"/>
  <c r="C4620" i="1"/>
  <c r="B4621" i="1"/>
  <c r="C4621" i="1"/>
  <c r="B4622" i="1"/>
  <c r="C4622" i="1"/>
  <c r="B4623" i="1"/>
  <c r="C4623" i="1"/>
  <c r="B4624" i="1"/>
  <c r="C4624" i="1"/>
  <c r="B4625" i="1"/>
  <c r="C4625" i="1"/>
  <c r="B4626" i="1"/>
  <c r="C4626" i="1"/>
  <c r="B4627" i="1"/>
  <c r="C4627" i="1"/>
  <c r="B4628" i="1"/>
  <c r="C4628" i="1"/>
  <c r="B4629" i="1"/>
  <c r="C4629" i="1"/>
  <c r="B4630" i="1"/>
  <c r="C4630" i="1"/>
  <c r="B4631" i="1"/>
  <c r="C4631" i="1"/>
  <c r="B4632" i="1"/>
  <c r="C4632" i="1"/>
  <c r="B4633" i="1"/>
  <c r="C4633" i="1"/>
  <c r="B4634" i="1"/>
  <c r="C4634" i="1"/>
  <c r="B4635" i="1"/>
  <c r="C4635" i="1"/>
  <c r="B4636" i="1"/>
  <c r="C4636" i="1"/>
  <c r="B4637" i="1"/>
  <c r="C4637" i="1"/>
  <c r="B4638" i="1"/>
  <c r="C4638" i="1"/>
  <c r="B4639" i="1"/>
  <c r="C4639" i="1"/>
  <c r="B4640" i="1"/>
  <c r="C4640" i="1"/>
  <c r="B4641" i="1"/>
  <c r="C4641" i="1"/>
  <c r="B4642" i="1"/>
  <c r="C4642" i="1"/>
  <c r="B4643" i="1"/>
  <c r="C4643" i="1"/>
  <c r="B4644" i="1"/>
  <c r="C4644" i="1"/>
  <c r="B4645" i="1"/>
  <c r="C4645" i="1"/>
  <c r="B4646" i="1"/>
  <c r="C4646" i="1"/>
  <c r="B4647" i="1"/>
  <c r="C4647" i="1"/>
  <c r="B4648" i="1"/>
  <c r="C4648" i="1"/>
  <c r="B4649" i="1"/>
  <c r="C4649" i="1"/>
  <c r="B4650" i="1"/>
  <c r="C4650" i="1"/>
  <c r="B4651" i="1"/>
  <c r="C4651" i="1"/>
  <c r="B4652" i="1"/>
  <c r="C4652" i="1"/>
  <c r="B4653" i="1"/>
  <c r="C4653" i="1"/>
  <c r="B4654" i="1"/>
  <c r="C4654" i="1"/>
  <c r="B4655" i="1"/>
  <c r="C4655" i="1"/>
  <c r="B4656" i="1"/>
  <c r="C4656" i="1"/>
  <c r="B4657" i="1"/>
  <c r="C4657" i="1"/>
  <c r="B4658" i="1"/>
  <c r="C4658" i="1"/>
  <c r="B4659" i="1"/>
  <c r="C4659" i="1"/>
  <c r="B4660" i="1"/>
  <c r="C4660" i="1"/>
  <c r="B4661" i="1"/>
  <c r="C4661" i="1"/>
  <c r="B4662" i="1"/>
  <c r="C4662" i="1"/>
  <c r="B4663" i="1"/>
  <c r="C4663" i="1"/>
  <c r="B4664" i="1"/>
  <c r="C4664" i="1"/>
  <c r="B4665" i="1"/>
  <c r="C4665" i="1"/>
  <c r="B4666" i="1"/>
  <c r="C4666" i="1"/>
  <c r="B4667" i="1"/>
  <c r="C4667" i="1"/>
  <c r="B4668" i="1"/>
  <c r="C4668" i="1"/>
  <c r="B4669" i="1"/>
  <c r="C4669" i="1"/>
  <c r="B4670" i="1"/>
  <c r="C4670" i="1"/>
  <c r="B4671" i="1"/>
  <c r="C4671" i="1"/>
  <c r="B4672" i="1"/>
  <c r="C4672" i="1"/>
  <c r="B4673" i="1"/>
  <c r="C4673" i="1"/>
  <c r="B4674" i="1"/>
  <c r="C4674" i="1"/>
  <c r="B4675" i="1"/>
  <c r="C4675" i="1"/>
  <c r="B4676" i="1"/>
  <c r="C4676" i="1"/>
  <c r="B4677" i="1"/>
  <c r="C4677" i="1"/>
  <c r="B4678" i="1"/>
  <c r="C4678" i="1"/>
  <c r="B4679" i="1"/>
  <c r="C4679" i="1"/>
  <c r="B4680" i="1"/>
  <c r="C4680" i="1"/>
  <c r="B4681" i="1"/>
  <c r="C4681" i="1"/>
  <c r="B4682" i="1"/>
  <c r="C4682" i="1"/>
  <c r="B4683" i="1"/>
  <c r="C4683" i="1"/>
  <c r="B4684" i="1"/>
  <c r="C4684" i="1"/>
  <c r="B4685" i="1"/>
  <c r="C4685" i="1"/>
  <c r="B4686" i="1"/>
  <c r="C4686" i="1"/>
  <c r="B4687" i="1"/>
  <c r="C4687" i="1"/>
  <c r="B4688" i="1"/>
  <c r="C4688" i="1"/>
  <c r="B4689" i="1"/>
  <c r="C4689" i="1"/>
  <c r="B4690" i="1"/>
  <c r="C4690" i="1"/>
  <c r="B4691" i="1"/>
  <c r="C4691" i="1"/>
  <c r="B4692" i="1"/>
  <c r="C4692" i="1"/>
  <c r="B4693" i="1"/>
  <c r="C4693" i="1"/>
  <c r="B4694" i="1"/>
  <c r="C4694" i="1"/>
  <c r="B4695" i="1"/>
  <c r="C4695" i="1"/>
  <c r="B4696" i="1"/>
  <c r="C4696" i="1"/>
  <c r="B4697" i="1"/>
  <c r="C4697" i="1"/>
  <c r="B4698" i="1"/>
  <c r="C4698" i="1"/>
  <c r="B4699" i="1"/>
  <c r="C4699" i="1"/>
  <c r="B4700" i="1"/>
  <c r="C4700" i="1"/>
  <c r="B4701" i="1"/>
  <c r="C4701" i="1"/>
  <c r="B4702" i="1"/>
  <c r="C4702" i="1"/>
  <c r="B4703" i="1"/>
  <c r="C4703" i="1"/>
  <c r="B4704" i="1"/>
  <c r="C4704" i="1"/>
  <c r="B4705" i="1"/>
  <c r="C4705" i="1"/>
  <c r="B4706" i="1"/>
  <c r="C4706" i="1"/>
  <c r="B4707" i="1"/>
  <c r="C4707" i="1"/>
  <c r="B4708" i="1"/>
  <c r="C4708" i="1"/>
  <c r="B4709" i="1"/>
  <c r="C4709" i="1"/>
  <c r="B4710" i="1"/>
  <c r="C4710" i="1"/>
  <c r="B4711" i="1"/>
  <c r="C4711" i="1"/>
  <c r="B4712" i="1"/>
  <c r="C4712" i="1"/>
  <c r="B4713" i="1"/>
  <c r="C4713" i="1"/>
  <c r="B4714" i="1"/>
  <c r="C4714" i="1"/>
  <c r="B4715" i="1"/>
  <c r="C4715" i="1"/>
  <c r="B4716" i="1"/>
  <c r="C4716" i="1"/>
  <c r="B4717" i="1"/>
  <c r="C4717" i="1"/>
  <c r="B4718" i="1"/>
  <c r="C4718" i="1"/>
  <c r="B4719" i="1"/>
  <c r="C4719" i="1"/>
  <c r="B4720" i="1"/>
  <c r="C4720" i="1"/>
  <c r="B4721" i="1"/>
  <c r="C4721" i="1"/>
  <c r="B4722" i="1"/>
  <c r="C4722" i="1"/>
  <c r="B4723" i="1"/>
  <c r="C4723" i="1"/>
  <c r="B4724" i="1"/>
  <c r="C4724" i="1"/>
  <c r="B4725" i="1"/>
  <c r="C4725" i="1"/>
  <c r="B4726" i="1"/>
  <c r="C4726" i="1"/>
  <c r="B4727" i="1"/>
  <c r="C4727" i="1"/>
  <c r="B4728" i="1"/>
  <c r="C4728" i="1"/>
  <c r="B4729" i="1"/>
  <c r="C4729" i="1"/>
  <c r="B4730" i="1"/>
  <c r="C4730" i="1"/>
  <c r="B4731" i="1"/>
  <c r="C4731" i="1"/>
  <c r="B4732" i="1"/>
  <c r="C4732" i="1"/>
  <c r="B4733" i="1"/>
  <c r="C4733" i="1"/>
  <c r="B4734" i="1"/>
  <c r="C4734" i="1"/>
  <c r="B4735" i="1"/>
  <c r="C4735" i="1"/>
  <c r="B4736" i="1"/>
  <c r="C4736" i="1"/>
  <c r="B4737" i="1"/>
  <c r="C4737" i="1"/>
  <c r="B4738" i="1"/>
  <c r="C4738" i="1"/>
  <c r="B4739" i="1"/>
  <c r="C4739" i="1"/>
  <c r="B4740" i="1"/>
  <c r="C4740" i="1"/>
  <c r="B4741" i="1"/>
  <c r="C4741" i="1"/>
  <c r="B4742" i="1"/>
  <c r="C4742" i="1"/>
  <c r="B4743" i="1"/>
  <c r="C4743" i="1"/>
  <c r="B4744" i="1"/>
  <c r="C4744" i="1"/>
  <c r="B4745" i="1"/>
  <c r="C4745" i="1"/>
  <c r="B4746" i="1"/>
  <c r="C4746" i="1"/>
  <c r="B4747" i="1"/>
  <c r="C4747" i="1"/>
  <c r="B4748" i="1"/>
  <c r="C4748" i="1"/>
  <c r="B4749" i="1"/>
  <c r="C4749" i="1"/>
  <c r="B4750" i="1"/>
  <c r="C4750" i="1"/>
  <c r="B4751" i="1"/>
  <c r="C4751" i="1"/>
  <c r="B4752" i="1"/>
  <c r="C4752" i="1"/>
  <c r="B4753" i="1"/>
  <c r="C4753" i="1"/>
  <c r="B4754" i="1"/>
  <c r="C4754" i="1"/>
  <c r="B4755" i="1"/>
  <c r="C4755" i="1"/>
  <c r="B4756" i="1"/>
  <c r="C4756" i="1"/>
  <c r="B4757" i="1"/>
  <c r="C4757" i="1"/>
  <c r="B4758" i="1"/>
  <c r="C4758" i="1"/>
  <c r="B4759" i="1"/>
  <c r="C4759" i="1"/>
  <c r="B4760" i="1"/>
  <c r="C4760" i="1"/>
  <c r="B4761" i="1"/>
  <c r="C4761" i="1"/>
  <c r="B4762" i="1"/>
  <c r="C4762" i="1"/>
  <c r="B4763" i="1"/>
  <c r="C4763" i="1"/>
  <c r="B4764" i="1"/>
  <c r="C4764" i="1"/>
  <c r="B4765" i="1"/>
  <c r="C4765" i="1"/>
  <c r="B4766" i="1"/>
  <c r="C4766" i="1"/>
  <c r="B4767" i="1"/>
  <c r="C4767" i="1"/>
  <c r="B4768" i="1"/>
  <c r="C4768" i="1"/>
  <c r="B4769" i="1"/>
  <c r="C4769" i="1"/>
  <c r="B4770" i="1"/>
  <c r="C4770" i="1"/>
  <c r="B4771" i="1"/>
  <c r="C4771" i="1"/>
  <c r="B4772" i="1"/>
  <c r="C4772" i="1"/>
  <c r="B4773" i="1"/>
  <c r="C4773" i="1"/>
  <c r="B4774" i="1"/>
  <c r="C4774" i="1"/>
  <c r="B4775" i="1"/>
  <c r="C4775" i="1"/>
  <c r="B4776" i="1"/>
  <c r="C4776" i="1"/>
  <c r="B4777" i="1"/>
  <c r="C4777" i="1"/>
  <c r="B4778" i="1"/>
  <c r="C4778" i="1"/>
  <c r="B4779" i="1"/>
  <c r="C4779" i="1"/>
  <c r="B4780" i="1"/>
  <c r="C4780" i="1"/>
  <c r="B4781" i="1"/>
  <c r="C4781" i="1"/>
  <c r="B4782" i="1"/>
  <c r="C4782" i="1"/>
  <c r="B4783" i="1"/>
  <c r="C4783" i="1"/>
  <c r="B4784" i="1"/>
  <c r="C4784" i="1"/>
  <c r="B4785" i="1"/>
  <c r="C4785" i="1"/>
  <c r="B4786" i="1"/>
  <c r="C4786" i="1"/>
  <c r="B4787" i="1"/>
  <c r="C4787" i="1"/>
  <c r="B4788" i="1"/>
  <c r="C4788" i="1"/>
  <c r="B4789" i="1"/>
  <c r="C4789" i="1"/>
  <c r="B4790" i="1"/>
  <c r="C4790" i="1"/>
  <c r="B4791" i="1"/>
  <c r="C4791" i="1"/>
  <c r="B4792" i="1"/>
  <c r="C4792" i="1"/>
  <c r="B4793" i="1"/>
  <c r="C4793" i="1"/>
  <c r="B4794" i="1"/>
  <c r="C4794" i="1"/>
  <c r="B4795" i="1"/>
  <c r="C4795" i="1"/>
  <c r="B4796" i="1"/>
  <c r="C4796" i="1"/>
  <c r="B4797" i="1"/>
  <c r="C4797" i="1"/>
  <c r="B4798" i="1"/>
  <c r="C4798" i="1"/>
  <c r="B4799" i="1"/>
  <c r="C4799" i="1"/>
  <c r="B4800" i="1"/>
  <c r="C4800" i="1"/>
  <c r="B4801" i="1"/>
  <c r="C4801" i="1"/>
  <c r="B4802" i="1"/>
  <c r="C4802" i="1"/>
  <c r="B4803" i="1"/>
  <c r="C4803" i="1"/>
  <c r="B4804" i="1"/>
  <c r="C4804" i="1"/>
  <c r="B4805" i="1"/>
  <c r="C4805" i="1"/>
  <c r="B4806" i="1"/>
  <c r="C4806" i="1"/>
  <c r="B4807" i="1"/>
  <c r="C4807" i="1"/>
  <c r="B4808" i="1"/>
  <c r="C4808" i="1"/>
  <c r="B4809" i="1"/>
  <c r="C4809" i="1"/>
  <c r="B4810" i="1"/>
  <c r="C4810" i="1"/>
  <c r="B4811" i="1"/>
  <c r="C4811" i="1"/>
  <c r="B4812" i="1"/>
  <c r="C4812" i="1"/>
  <c r="B4813" i="1"/>
  <c r="C4813" i="1"/>
  <c r="B4814" i="1"/>
  <c r="C4814" i="1"/>
  <c r="B4815" i="1"/>
  <c r="C4815" i="1"/>
  <c r="B4816" i="1"/>
  <c r="C4816" i="1"/>
  <c r="B4817" i="1"/>
  <c r="C4817" i="1"/>
  <c r="B4818" i="1"/>
  <c r="C4818" i="1"/>
  <c r="B4819" i="1"/>
  <c r="C4819" i="1"/>
  <c r="B4820" i="1"/>
  <c r="C4820" i="1"/>
  <c r="B4821" i="1"/>
  <c r="C4821" i="1"/>
  <c r="B4822" i="1"/>
  <c r="C4822" i="1"/>
  <c r="B4823" i="1"/>
  <c r="C4823" i="1"/>
  <c r="B4824" i="1"/>
  <c r="C4824" i="1"/>
  <c r="B4825" i="1"/>
  <c r="C4825" i="1"/>
  <c r="B4826" i="1"/>
  <c r="C4826" i="1"/>
  <c r="B4827" i="1"/>
  <c r="C4827" i="1"/>
  <c r="B4828" i="1"/>
  <c r="C4828" i="1"/>
  <c r="B4829" i="1"/>
  <c r="C4829" i="1"/>
  <c r="B4830" i="1"/>
  <c r="C4830" i="1"/>
  <c r="B4831" i="1"/>
  <c r="C4831" i="1"/>
  <c r="B4832" i="1"/>
  <c r="C4832" i="1"/>
  <c r="B4833" i="1"/>
  <c r="C4833" i="1"/>
  <c r="B4834" i="1"/>
  <c r="C4834" i="1"/>
  <c r="B4835" i="1"/>
  <c r="C4835" i="1"/>
  <c r="B4836" i="1"/>
  <c r="C4836" i="1"/>
  <c r="B4837" i="1"/>
  <c r="C4837" i="1"/>
  <c r="B4838" i="1"/>
  <c r="C4838" i="1"/>
  <c r="B4839" i="1"/>
  <c r="C4839" i="1"/>
  <c r="B4840" i="1"/>
  <c r="C4840" i="1"/>
  <c r="B4841" i="1"/>
  <c r="C4841" i="1"/>
  <c r="B4842" i="1"/>
  <c r="C4842" i="1"/>
  <c r="B4843" i="1"/>
  <c r="C4843" i="1"/>
  <c r="B4844" i="1"/>
  <c r="C4844" i="1"/>
  <c r="B4845" i="1"/>
  <c r="C4845" i="1"/>
  <c r="B4846" i="1"/>
  <c r="C4846" i="1"/>
  <c r="B4847" i="1"/>
  <c r="C4847" i="1"/>
  <c r="B4848" i="1"/>
  <c r="C4848" i="1"/>
  <c r="B4849" i="1"/>
  <c r="C4849" i="1"/>
  <c r="B4850" i="1"/>
  <c r="C4850" i="1"/>
  <c r="B4851" i="1"/>
  <c r="C4851" i="1"/>
  <c r="B4852" i="1"/>
  <c r="C4852" i="1"/>
  <c r="B4853" i="1"/>
  <c r="C4853" i="1"/>
  <c r="B4854" i="1"/>
  <c r="C4854" i="1"/>
  <c r="B4855" i="1"/>
  <c r="C4855" i="1"/>
  <c r="B4856" i="1"/>
  <c r="C4856" i="1"/>
  <c r="B4857" i="1"/>
  <c r="C4857" i="1"/>
  <c r="B4858" i="1"/>
  <c r="C4858" i="1"/>
  <c r="B4859" i="1"/>
  <c r="C4859" i="1"/>
  <c r="B4860" i="1"/>
  <c r="C4860" i="1"/>
  <c r="B4861" i="1"/>
  <c r="C4861" i="1"/>
  <c r="B4862" i="1"/>
  <c r="C4862" i="1"/>
  <c r="B4863" i="1"/>
  <c r="C4863" i="1"/>
  <c r="B4864" i="1"/>
  <c r="C4864" i="1"/>
  <c r="B4865" i="1"/>
  <c r="C4865" i="1"/>
  <c r="B4866" i="1"/>
  <c r="C4866" i="1"/>
  <c r="B4867" i="1"/>
  <c r="C4867" i="1"/>
  <c r="B4868" i="1"/>
  <c r="C4868" i="1"/>
  <c r="B4869" i="1"/>
  <c r="C4869" i="1"/>
  <c r="B4870" i="1"/>
  <c r="C4870" i="1"/>
  <c r="B4871" i="1"/>
  <c r="C4871" i="1"/>
  <c r="B4872" i="1"/>
  <c r="C4872" i="1"/>
  <c r="B4873" i="1"/>
  <c r="C4873" i="1"/>
  <c r="B4874" i="1"/>
  <c r="C4874" i="1"/>
  <c r="B4875" i="1"/>
  <c r="C4875" i="1"/>
  <c r="B4876" i="1"/>
  <c r="C4876" i="1"/>
  <c r="B4877" i="1"/>
  <c r="C4877" i="1"/>
  <c r="B4878" i="1"/>
  <c r="C4878" i="1"/>
  <c r="B4879" i="1"/>
  <c r="C4879" i="1"/>
  <c r="B4880" i="1"/>
  <c r="C4880" i="1"/>
  <c r="B4881" i="1"/>
  <c r="C4881" i="1"/>
  <c r="B4882" i="1"/>
  <c r="C4882" i="1"/>
  <c r="B4883" i="1"/>
  <c r="C4883" i="1"/>
  <c r="B4884" i="1"/>
  <c r="C4884" i="1"/>
  <c r="B4885" i="1"/>
  <c r="C4885" i="1"/>
  <c r="B4886" i="1"/>
  <c r="C4886" i="1"/>
  <c r="B4887" i="1"/>
  <c r="C4887" i="1"/>
  <c r="B4888" i="1"/>
  <c r="C4888" i="1"/>
  <c r="B4889" i="1"/>
  <c r="C4889" i="1"/>
  <c r="B4890" i="1"/>
  <c r="C4890" i="1"/>
  <c r="B4891" i="1"/>
  <c r="C4891" i="1"/>
  <c r="B4892" i="1"/>
  <c r="C4892" i="1"/>
  <c r="B4893" i="1"/>
  <c r="C4893" i="1"/>
  <c r="B4894" i="1"/>
  <c r="C4894" i="1"/>
  <c r="B4895" i="1"/>
  <c r="C4895" i="1"/>
  <c r="B4896" i="1"/>
  <c r="C4896" i="1"/>
  <c r="B4897" i="1"/>
  <c r="C4897" i="1"/>
  <c r="B4898" i="1"/>
  <c r="C4898" i="1"/>
  <c r="B4899" i="1"/>
  <c r="C4899" i="1"/>
  <c r="B4900" i="1"/>
  <c r="C4900" i="1"/>
  <c r="B4901" i="1"/>
  <c r="C4901" i="1"/>
  <c r="B4902" i="1"/>
  <c r="C4902" i="1"/>
  <c r="B4903" i="1"/>
  <c r="C4903" i="1"/>
  <c r="B4904" i="1"/>
  <c r="C4904" i="1"/>
  <c r="B4905" i="1"/>
  <c r="C4905" i="1"/>
  <c r="B4906" i="1"/>
  <c r="C4906" i="1"/>
  <c r="B4907" i="1"/>
  <c r="C4907" i="1"/>
  <c r="B4908" i="1"/>
  <c r="C4908" i="1"/>
  <c r="B4909" i="1"/>
  <c r="C4909" i="1"/>
  <c r="B4910" i="1"/>
  <c r="C4910" i="1"/>
  <c r="B4911" i="1"/>
  <c r="C4911" i="1"/>
  <c r="B4912" i="1"/>
  <c r="C4912" i="1"/>
  <c r="B4913" i="1"/>
  <c r="C4913" i="1"/>
  <c r="B4914" i="1"/>
  <c r="C4914" i="1"/>
  <c r="B4915" i="1"/>
  <c r="C4915" i="1"/>
  <c r="B4916" i="1"/>
  <c r="C4916" i="1"/>
  <c r="B4917" i="1"/>
  <c r="C4917" i="1"/>
  <c r="B4918" i="1"/>
  <c r="C4918" i="1"/>
  <c r="B4919" i="1"/>
  <c r="C4919" i="1"/>
  <c r="B4920" i="1"/>
  <c r="C4920" i="1"/>
  <c r="B4921" i="1"/>
  <c r="C4921" i="1"/>
  <c r="B4922" i="1"/>
  <c r="C4922" i="1"/>
  <c r="B4923" i="1"/>
  <c r="C4923" i="1"/>
  <c r="B4924" i="1"/>
  <c r="C4924" i="1"/>
  <c r="B4925" i="1"/>
  <c r="C4925" i="1"/>
  <c r="B4926" i="1"/>
  <c r="C4926" i="1"/>
  <c r="B4927" i="1"/>
  <c r="C4927" i="1"/>
  <c r="B4928" i="1"/>
  <c r="C4928" i="1"/>
  <c r="B4929" i="1"/>
  <c r="C4929" i="1"/>
  <c r="B4930" i="1"/>
  <c r="C4930" i="1"/>
  <c r="B4931" i="1"/>
  <c r="C4931" i="1"/>
  <c r="B4932" i="1"/>
  <c r="C4932" i="1"/>
  <c r="B4933" i="1"/>
  <c r="C4933" i="1"/>
  <c r="B4934" i="1"/>
  <c r="C4934" i="1"/>
  <c r="B4935" i="1"/>
  <c r="C4935" i="1"/>
  <c r="B4936" i="1"/>
  <c r="C4936" i="1"/>
  <c r="B4937" i="1"/>
  <c r="C4937" i="1"/>
  <c r="B4938" i="1"/>
  <c r="C4938" i="1"/>
  <c r="B4939" i="1"/>
  <c r="C4939" i="1"/>
  <c r="B4940" i="1"/>
  <c r="C4940" i="1"/>
  <c r="B4941" i="1"/>
  <c r="C4941" i="1"/>
  <c r="B4942" i="1"/>
  <c r="C4942" i="1"/>
  <c r="B4943" i="1"/>
  <c r="C4943" i="1"/>
  <c r="B4944" i="1"/>
  <c r="C4944" i="1"/>
  <c r="B4945" i="1"/>
  <c r="C4945" i="1"/>
  <c r="B4946" i="1"/>
  <c r="C4946" i="1"/>
  <c r="B4947" i="1"/>
  <c r="C4947" i="1"/>
  <c r="B4948" i="1"/>
  <c r="C4948" i="1"/>
  <c r="B4949" i="1"/>
  <c r="C4949" i="1"/>
  <c r="B4950" i="1"/>
  <c r="C4950" i="1"/>
  <c r="B4951" i="1"/>
  <c r="C4951" i="1"/>
  <c r="B4952" i="1"/>
  <c r="C4952" i="1"/>
  <c r="B4953" i="1"/>
  <c r="C4953" i="1"/>
  <c r="B4954" i="1"/>
  <c r="C4954" i="1"/>
  <c r="B4955" i="1"/>
  <c r="C4955" i="1"/>
  <c r="B4956" i="1"/>
  <c r="C4956" i="1"/>
  <c r="B4957" i="1"/>
  <c r="C4957" i="1"/>
  <c r="B4958" i="1"/>
  <c r="C4958" i="1"/>
  <c r="B4959" i="1"/>
  <c r="C4959" i="1"/>
  <c r="B4960" i="1"/>
  <c r="C4960" i="1"/>
  <c r="B4961" i="1"/>
  <c r="C4961" i="1"/>
  <c r="B4962" i="1"/>
  <c r="C4962" i="1"/>
  <c r="B4963" i="1"/>
  <c r="C4963" i="1"/>
  <c r="B4964" i="1"/>
  <c r="C4964" i="1"/>
  <c r="B4965" i="1"/>
  <c r="C4965" i="1"/>
  <c r="B4966" i="1"/>
  <c r="C4966" i="1"/>
  <c r="B4967" i="1"/>
  <c r="C4967" i="1"/>
  <c r="B4968" i="1"/>
  <c r="C4968" i="1"/>
  <c r="B4969" i="1"/>
  <c r="C4969" i="1"/>
  <c r="B4970" i="1"/>
  <c r="C4970" i="1"/>
  <c r="B4971" i="1"/>
  <c r="C4971" i="1"/>
  <c r="B4972" i="1"/>
  <c r="C4972" i="1"/>
  <c r="B4973" i="1"/>
  <c r="C4973" i="1"/>
  <c r="B4974" i="1"/>
  <c r="C4974" i="1"/>
  <c r="B4975" i="1"/>
  <c r="C4975" i="1"/>
  <c r="B4976" i="1"/>
  <c r="C4976" i="1"/>
  <c r="B4977" i="1"/>
  <c r="C4977" i="1"/>
  <c r="B4978" i="1"/>
  <c r="C4978" i="1"/>
  <c r="B4979" i="1"/>
  <c r="C4979" i="1"/>
  <c r="B4980" i="1"/>
  <c r="C4980" i="1"/>
  <c r="B4981" i="1"/>
  <c r="C4981" i="1"/>
  <c r="B4982" i="1"/>
  <c r="C4982" i="1"/>
  <c r="B4983" i="1"/>
  <c r="C4983" i="1"/>
  <c r="B4984" i="1"/>
  <c r="C4984" i="1"/>
  <c r="B4985" i="1"/>
  <c r="C4985" i="1"/>
  <c r="B4986" i="1"/>
  <c r="C4986" i="1"/>
  <c r="B4987" i="1"/>
  <c r="C4987" i="1"/>
  <c r="B4988" i="1"/>
  <c r="C4988" i="1"/>
  <c r="B4989" i="1"/>
  <c r="C4989" i="1"/>
  <c r="B4990" i="1"/>
  <c r="C4990" i="1"/>
  <c r="B4991" i="1"/>
  <c r="C4991" i="1"/>
  <c r="B4992" i="1"/>
  <c r="C4992" i="1"/>
  <c r="B4993" i="1"/>
  <c r="C4993" i="1"/>
  <c r="B4994" i="1"/>
  <c r="C4994" i="1"/>
  <c r="B4995" i="1"/>
  <c r="C4995" i="1"/>
  <c r="B4996" i="1"/>
  <c r="C4996" i="1"/>
  <c r="B4997" i="1"/>
  <c r="C4997" i="1"/>
  <c r="B4998" i="1"/>
  <c r="C4998" i="1"/>
  <c r="B4999" i="1"/>
  <c r="C4999" i="1"/>
  <c r="B5000" i="1"/>
  <c r="C5000" i="1"/>
  <c r="B5001" i="1"/>
  <c r="C5001" i="1"/>
  <c r="B5002" i="1"/>
  <c r="C5002" i="1"/>
  <c r="B5003" i="1"/>
  <c r="C5003" i="1"/>
  <c r="B5004" i="1"/>
  <c r="C5004" i="1"/>
  <c r="B5005" i="1"/>
  <c r="C5005" i="1"/>
  <c r="B5006" i="1"/>
  <c r="C5006" i="1"/>
  <c r="B5007" i="1"/>
  <c r="C5007" i="1"/>
  <c r="B5008" i="1"/>
  <c r="C5008" i="1"/>
  <c r="B5009" i="1"/>
  <c r="C5009" i="1"/>
  <c r="B5010" i="1"/>
  <c r="C5010" i="1"/>
  <c r="B5011" i="1"/>
  <c r="C5011" i="1"/>
  <c r="B5012" i="1"/>
  <c r="C5012" i="1"/>
  <c r="B5013" i="1"/>
  <c r="C5013" i="1"/>
  <c r="B5014" i="1"/>
  <c r="C5014" i="1"/>
  <c r="B5015" i="1"/>
  <c r="C5015" i="1"/>
  <c r="B5016" i="1"/>
  <c r="C5016" i="1"/>
  <c r="B5017" i="1"/>
  <c r="C5017" i="1"/>
  <c r="B5018" i="1"/>
  <c r="C5018" i="1"/>
  <c r="B5019" i="1"/>
  <c r="C5019" i="1"/>
  <c r="B5020" i="1"/>
  <c r="C5020" i="1"/>
  <c r="B5021" i="1"/>
  <c r="C5021" i="1"/>
  <c r="B5022" i="1"/>
  <c r="C5022" i="1"/>
  <c r="B5023" i="1"/>
  <c r="C5023" i="1"/>
  <c r="B5024" i="1"/>
  <c r="C5024" i="1"/>
  <c r="B5025" i="1"/>
  <c r="C5025" i="1"/>
  <c r="B5026" i="1"/>
  <c r="C5026" i="1"/>
  <c r="B5027" i="1"/>
  <c r="C5027" i="1"/>
  <c r="B5028" i="1"/>
  <c r="C5028" i="1"/>
  <c r="B5029" i="1"/>
  <c r="C5029" i="1"/>
  <c r="B5030" i="1"/>
  <c r="C5030" i="1"/>
  <c r="B5031" i="1"/>
  <c r="C5031" i="1"/>
  <c r="B5032" i="1"/>
  <c r="C5032" i="1"/>
  <c r="B5033" i="1"/>
  <c r="C5033" i="1"/>
  <c r="B5034" i="1"/>
  <c r="C5034" i="1"/>
  <c r="B5035" i="1"/>
  <c r="C5035" i="1"/>
  <c r="B5036" i="1"/>
  <c r="C5036" i="1"/>
  <c r="B5037" i="1"/>
  <c r="C5037" i="1"/>
  <c r="B5038" i="1"/>
  <c r="C5038" i="1"/>
  <c r="B5039" i="1"/>
  <c r="C5039" i="1"/>
  <c r="B5040" i="1"/>
  <c r="C5040" i="1"/>
  <c r="B5041" i="1"/>
  <c r="C5041" i="1"/>
  <c r="B5042" i="1"/>
  <c r="C5042" i="1"/>
  <c r="B5043" i="1"/>
  <c r="C5043" i="1"/>
  <c r="B5044" i="1"/>
  <c r="C5044" i="1"/>
  <c r="B5045" i="1"/>
  <c r="C5045" i="1"/>
  <c r="B5046" i="1"/>
  <c r="C5046" i="1"/>
  <c r="B5047" i="1"/>
  <c r="C5047" i="1"/>
  <c r="B5048" i="1"/>
  <c r="C5048" i="1"/>
  <c r="B5049" i="1"/>
  <c r="C5049" i="1"/>
  <c r="B5050" i="1"/>
  <c r="C5050" i="1"/>
  <c r="B5051" i="1"/>
  <c r="C5051" i="1"/>
  <c r="B5052" i="1"/>
  <c r="C5052" i="1"/>
  <c r="B5053" i="1"/>
  <c r="C5053" i="1"/>
  <c r="B5054" i="1"/>
  <c r="C5054" i="1"/>
  <c r="B5055" i="1"/>
  <c r="C5055" i="1"/>
  <c r="B5056" i="1"/>
  <c r="C5056" i="1"/>
  <c r="B5057" i="1"/>
  <c r="C5057" i="1"/>
  <c r="B5058" i="1"/>
  <c r="C5058" i="1"/>
  <c r="B5059" i="1"/>
  <c r="C5059" i="1"/>
  <c r="B5060" i="1"/>
  <c r="C5060" i="1"/>
  <c r="B5061" i="1"/>
  <c r="C5061" i="1"/>
  <c r="B5062" i="1"/>
  <c r="C5062" i="1"/>
  <c r="B5063" i="1"/>
  <c r="C5063" i="1"/>
  <c r="B5064" i="1"/>
  <c r="C5064" i="1"/>
  <c r="B5065" i="1"/>
  <c r="C5065" i="1"/>
  <c r="B5066" i="1"/>
  <c r="C5066" i="1"/>
  <c r="B5067" i="1"/>
  <c r="C5067" i="1"/>
  <c r="B5068" i="1"/>
  <c r="C5068" i="1"/>
  <c r="B5069" i="1"/>
  <c r="C5069" i="1"/>
  <c r="B5070" i="1"/>
  <c r="C5070" i="1"/>
  <c r="B5071" i="1"/>
  <c r="C5071" i="1"/>
  <c r="B5072" i="1"/>
  <c r="C5072" i="1"/>
  <c r="B5073" i="1"/>
  <c r="C5073" i="1"/>
  <c r="B5074" i="1"/>
  <c r="C5074" i="1"/>
  <c r="B5075" i="1"/>
  <c r="C5075" i="1"/>
  <c r="B5076" i="1"/>
  <c r="C5076" i="1"/>
  <c r="B5077" i="1"/>
  <c r="C5077" i="1"/>
  <c r="B5078" i="1"/>
  <c r="C5078" i="1"/>
  <c r="B5079" i="1"/>
  <c r="C5079" i="1"/>
  <c r="B5080" i="1"/>
  <c r="C5080" i="1"/>
  <c r="B5081" i="1"/>
  <c r="C5081" i="1"/>
  <c r="B5082" i="1"/>
  <c r="C5082" i="1"/>
  <c r="B5083" i="1"/>
  <c r="C5083" i="1"/>
  <c r="B5084" i="1"/>
  <c r="C5084" i="1"/>
  <c r="B5085" i="1"/>
  <c r="C5085" i="1"/>
  <c r="B5086" i="1"/>
  <c r="C5086" i="1"/>
  <c r="B5087" i="1"/>
  <c r="C5087" i="1"/>
  <c r="B5088" i="1"/>
  <c r="C5088" i="1"/>
  <c r="B5089" i="1"/>
  <c r="C5089" i="1"/>
  <c r="B5090" i="1"/>
  <c r="C5090" i="1"/>
  <c r="B5091" i="1"/>
  <c r="C5091" i="1"/>
  <c r="B5092" i="1"/>
  <c r="C5092" i="1"/>
  <c r="B5093" i="1"/>
  <c r="C5093" i="1"/>
  <c r="B5094" i="1"/>
  <c r="C5094" i="1"/>
  <c r="B5095" i="1"/>
  <c r="C5095" i="1"/>
  <c r="B5096" i="1"/>
  <c r="C5096" i="1"/>
  <c r="B5097" i="1"/>
  <c r="C5097" i="1"/>
  <c r="B5098" i="1"/>
  <c r="C5098" i="1"/>
  <c r="B5099" i="1"/>
  <c r="C5099" i="1"/>
  <c r="B5100" i="1"/>
  <c r="C5100" i="1"/>
  <c r="B5101" i="1"/>
  <c r="C5101" i="1"/>
  <c r="B5102" i="1"/>
  <c r="C5102" i="1"/>
  <c r="B5103" i="1"/>
  <c r="C5103" i="1"/>
  <c r="B5104" i="1"/>
  <c r="C5104" i="1"/>
  <c r="B5105" i="1"/>
  <c r="C5105" i="1"/>
  <c r="B5106" i="1"/>
  <c r="C5106" i="1"/>
  <c r="B5107" i="1"/>
  <c r="C5107" i="1"/>
  <c r="B5108" i="1"/>
  <c r="C5108" i="1"/>
  <c r="B5109" i="1"/>
  <c r="C5109" i="1"/>
  <c r="B5110" i="1"/>
  <c r="C5110" i="1"/>
  <c r="B5111" i="1"/>
  <c r="C5111" i="1"/>
  <c r="B5112" i="1"/>
  <c r="C5112" i="1"/>
  <c r="B5113" i="1"/>
  <c r="C5113" i="1"/>
  <c r="B5114" i="1"/>
  <c r="C5114" i="1"/>
  <c r="B5115" i="1"/>
  <c r="C5115" i="1"/>
  <c r="B5116" i="1"/>
  <c r="C5116" i="1"/>
  <c r="B5117" i="1"/>
  <c r="C5117" i="1"/>
  <c r="B5118" i="1"/>
  <c r="C5118" i="1"/>
  <c r="B5119" i="1"/>
  <c r="C5119" i="1"/>
  <c r="B5120" i="1"/>
  <c r="C5120" i="1"/>
  <c r="B5121" i="1"/>
  <c r="C5121" i="1"/>
  <c r="B5122" i="1"/>
  <c r="C5122" i="1"/>
  <c r="B5123" i="1"/>
  <c r="C5123" i="1"/>
  <c r="B5124" i="1"/>
  <c r="C5124" i="1"/>
  <c r="B5125" i="1"/>
  <c r="C5125" i="1"/>
  <c r="B5126" i="1"/>
  <c r="C5126" i="1"/>
  <c r="B5127" i="1"/>
  <c r="C5127" i="1"/>
  <c r="B5128" i="1"/>
  <c r="C5128" i="1"/>
  <c r="B5129" i="1"/>
  <c r="C5129" i="1"/>
  <c r="B5130" i="1"/>
  <c r="C5130" i="1"/>
  <c r="B5131" i="1"/>
  <c r="C5131" i="1"/>
  <c r="B5132" i="1"/>
  <c r="C5132" i="1"/>
  <c r="B5133" i="1"/>
  <c r="C5133" i="1"/>
  <c r="B5134" i="1"/>
  <c r="C5134" i="1"/>
  <c r="B5135" i="1"/>
  <c r="C5135" i="1"/>
  <c r="B5136" i="1"/>
  <c r="C5136" i="1"/>
  <c r="B5137" i="1"/>
  <c r="C5137" i="1"/>
  <c r="B5138" i="1"/>
  <c r="C5138" i="1"/>
  <c r="B5139" i="1"/>
  <c r="C5139" i="1"/>
  <c r="B5140" i="1"/>
  <c r="C5140" i="1"/>
  <c r="B5141" i="1"/>
  <c r="C5141" i="1"/>
  <c r="B5142" i="1"/>
  <c r="C5142" i="1"/>
  <c r="B5143" i="1"/>
  <c r="C5143" i="1"/>
  <c r="B5144" i="1"/>
  <c r="C5144" i="1"/>
  <c r="B5145" i="1"/>
  <c r="C5145" i="1"/>
  <c r="B5146" i="1"/>
  <c r="C5146" i="1"/>
  <c r="B5147" i="1"/>
  <c r="C5147" i="1"/>
  <c r="B5148" i="1"/>
  <c r="C5148" i="1"/>
  <c r="B5149" i="1"/>
  <c r="C5149" i="1"/>
  <c r="B5150" i="1"/>
  <c r="C5150" i="1"/>
  <c r="B5151" i="1"/>
  <c r="C5151" i="1"/>
  <c r="B5152" i="1"/>
  <c r="C5152" i="1"/>
  <c r="B5153" i="1"/>
  <c r="C5153" i="1"/>
  <c r="B5154" i="1"/>
  <c r="C5154" i="1"/>
  <c r="B5155" i="1"/>
  <c r="C5155" i="1"/>
  <c r="B5156" i="1"/>
  <c r="C5156" i="1"/>
  <c r="B5157" i="1"/>
  <c r="C5157" i="1"/>
  <c r="B5158" i="1"/>
  <c r="C5158" i="1"/>
  <c r="B5159" i="1"/>
  <c r="C5159" i="1"/>
  <c r="B5160" i="1"/>
  <c r="C5160" i="1"/>
  <c r="B5161" i="1"/>
  <c r="C5161" i="1"/>
  <c r="B5162" i="1"/>
  <c r="C5162" i="1"/>
  <c r="B5163" i="1"/>
  <c r="C5163" i="1"/>
  <c r="B5164" i="1"/>
  <c r="C5164" i="1"/>
  <c r="B5165" i="1"/>
  <c r="C5165" i="1"/>
  <c r="B5166" i="1"/>
  <c r="C5166" i="1"/>
  <c r="B5167" i="1"/>
  <c r="C5167" i="1"/>
  <c r="B5168" i="1"/>
  <c r="C5168" i="1"/>
  <c r="B5169" i="1"/>
  <c r="C5169" i="1"/>
  <c r="B5170" i="1"/>
  <c r="C5170" i="1"/>
  <c r="B5171" i="1"/>
  <c r="C5171" i="1"/>
  <c r="B5172" i="1"/>
  <c r="C5172" i="1"/>
  <c r="B5173" i="1"/>
  <c r="C5173" i="1"/>
  <c r="B5174" i="1"/>
  <c r="C5174" i="1"/>
  <c r="B5175" i="1"/>
  <c r="C5175" i="1"/>
  <c r="B5176" i="1"/>
  <c r="C5176" i="1"/>
  <c r="B5177" i="1"/>
  <c r="C5177" i="1"/>
  <c r="B5178" i="1"/>
  <c r="C5178" i="1"/>
  <c r="B5179" i="1"/>
  <c r="C5179" i="1"/>
  <c r="B5180" i="1"/>
  <c r="C5180" i="1"/>
  <c r="B5181" i="1"/>
  <c r="C5181" i="1"/>
  <c r="B5182" i="1"/>
  <c r="C5182" i="1"/>
  <c r="B5183" i="1"/>
  <c r="C5183" i="1"/>
  <c r="B5184" i="1"/>
  <c r="C5184" i="1"/>
  <c r="B5185" i="1"/>
  <c r="C5185" i="1"/>
  <c r="B5186" i="1"/>
  <c r="C5186" i="1"/>
  <c r="B5187" i="1"/>
  <c r="C5187" i="1"/>
  <c r="B5188" i="1"/>
  <c r="C5188" i="1"/>
  <c r="B5189" i="1"/>
  <c r="C5189" i="1"/>
  <c r="B5190" i="1"/>
  <c r="C5190" i="1"/>
  <c r="B5191" i="1"/>
  <c r="C5191" i="1"/>
  <c r="B5192" i="1"/>
  <c r="C5192" i="1"/>
  <c r="B5193" i="1"/>
  <c r="C5193" i="1"/>
  <c r="B5194" i="1"/>
  <c r="C5194" i="1"/>
  <c r="B5195" i="1"/>
  <c r="C5195" i="1"/>
  <c r="B5196" i="1"/>
  <c r="C5196" i="1"/>
  <c r="B5197" i="1"/>
  <c r="C5197" i="1"/>
  <c r="B5198" i="1"/>
  <c r="C5198" i="1"/>
  <c r="B5199" i="1"/>
  <c r="C5199" i="1"/>
  <c r="B5200" i="1"/>
  <c r="C5200" i="1"/>
  <c r="B5201" i="1"/>
  <c r="C5201" i="1"/>
  <c r="B5202" i="1"/>
  <c r="C5202" i="1"/>
  <c r="B5203" i="1"/>
  <c r="C5203" i="1"/>
  <c r="B5204" i="1"/>
  <c r="C5204" i="1"/>
  <c r="B5205" i="1"/>
  <c r="C5205" i="1"/>
  <c r="B5206" i="1"/>
  <c r="C5206" i="1"/>
  <c r="B5207" i="1"/>
  <c r="C5207" i="1"/>
  <c r="B5208" i="1"/>
  <c r="C5208" i="1"/>
  <c r="B5209" i="1"/>
  <c r="C5209" i="1"/>
  <c r="B5210" i="1"/>
  <c r="C5210" i="1"/>
  <c r="B5211" i="1"/>
  <c r="C5211" i="1"/>
  <c r="B5212" i="1"/>
  <c r="C5212" i="1"/>
  <c r="B5213" i="1"/>
  <c r="C5213" i="1"/>
  <c r="B5214" i="1"/>
  <c r="C5214" i="1"/>
  <c r="B5215" i="1"/>
  <c r="C5215" i="1"/>
  <c r="B5216" i="1"/>
  <c r="C5216" i="1"/>
  <c r="B5217" i="1"/>
  <c r="C5217" i="1"/>
  <c r="B5218" i="1"/>
  <c r="C5218" i="1"/>
  <c r="B5219" i="1"/>
  <c r="C5219" i="1"/>
  <c r="B5220" i="1"/>
  <c r="C5220" i="1"/>
  <c r="B5221" i="1"/>
  <c r="C5221" i="1"/>
  <c r="B5222" i="1"/>
  <c r="C5222" i="1"/>
  <c r="B5223" i="1"/>
  <c r="C5223" i="1"/>
  <c r="B5224" i="1"/>
  <c r="C5224" i="1"/>
  <c r="B5225" i="1"/>
  <c r="C5225" i="1"/>
  <c r="B5226" i="1"/>
  <c r="C5226" i="1"/>
  <c r="B5227" i="1"/>
  <c r="C5227" i="1"/>
  <c r="B5228" i="1"/>
  <c r="C5228" i="1"/>
  <c r="B5229" i="1"/>
  <c r="C5229" i="1"/>
  <c r="B5230" i="1"/>
  <c r="C5230" i="1"/>
  <c r="B5231" i="1"/>
  <c r="C5231" i="1"/>
  <c r="B5232" i="1"/>
  <c r="C5232" i="1"/>
  <c r="B5233" i="1"/>
  <c r="C5233" i="1"/>
  <c r="B5234" i="1"/>
  <c r="C5234" i="1"/>
  <c r="B5235" i="1"/>
  <c r="C5235" i="1"/>
  <c r="B5236" i="1"/>
  <c r="C5236" i="1"/>
  <c r="B5237" i="1"/>
  <c r="C5237" i="1"/>
  <c r="B5238" i="1"/>
  <c r="C5238" i="1"/>
  <c r="B5239" i="1"/>
  <c r="C5239" i="1"/>
  <c r="B5240" i="1"/>
  <c r="C5240" i="1"/>
  <c r="B5241" i="1"/>
  <c r="C5241" i="1"/>
  <c r="B5242" i="1"/>
  <c r="C5242" i="1"/>
  <c r="B5243" i="1"/>
  <c r="C5243" i="1"/>
  <c r="B5244" i="1"/>
  <c r="C5244" i="1"/>
  <c r="B5245" i="1"/>
  <c r="C5245" i="1"/>
  <c r="B5246" i="1"/>
  <c r="C5246" i="1"/>
  <c r="B5247" i="1"/>
  <c r="C5247" i="1"/>
  <c r="B5248" i="1"/>
  <c r="C5248" i="1"/>
  <c r="B5249" i="1"/>
  <c r="C5249" i="1"/>
  <c r="B5250" i="1"/>
  <c r="C5250" i="1"/>
  <c r="B5251" i="1"/>
  <c r="C5251" i="1"/>
  <c r="B5252" i="1"/>
  <c r="C5252" i="1"/>
  <c r="B5253" i="1"/>
  <c r="C5253" i="1"/>
  <c r="B5254" i="1"/>
  <c r="C5254" i="1"/>
  <c r="B5255" i="1"/>
  <c r="C5255" i="1"/>
  <c r="B5256" i="1"/>
  <c r="C5256" i="1"/>
  <c r="B5257" i="1"/>
  <c r="C5257" i="1"/>
  <c r="B5258" i="1"/>
  <c r="C5258" i="1"/>
  <c r="B5259" i="1"/>
  <c r="C5259" i="1"/>
  <c r="B5260" i="1"/>
  <c r="C5260" i="1"/>
  <c r="B5261" i="1"/>
  <c r="C5261" i="1"/>
  <c r="B5262" i="1"/>
  <c r="C5262" i="1"/>
  <c r="B5263" i="1"/>
  <c r="C5263" i="1"/>
  <c r="B5264" i="1"/>
  <c r="C5264" i="1"/>
  <c r="B5265" i="1"/>
  <c r="C5265" i="1"/>
  <c r="B5266" i="1"/>
  <c r="C5266" i="1"/>
  <c r="B5267" i="1"/>
  <c r="C5267" i="1"/>
  <c r="B5268" i="1"/>
  <c r="C5268" i="1"/>
  <c r="B5269" i="1"/>
  <c r="C5269" i="1"/>
  <c r="B5270" i="1"/>
  <c r="C5270" i="1"/>
  <c r="B5271" i="1"/>
  <c r="C5271" i="1"/>
  <c r="B5272" i="1"/>
  <c r="C5272" i="1"/>
  <c r="B5273" i="1"/>
  <c r="C5273" i="1"/>
  <c r="B5274" i="1"/>
  <c r="C5274" i="1"/>
  <c r="B5275" i="1"/>
  <c r="C5275" i="1"/>
  <c r="B5276" i="1"/>
  <c r="C5276" i="1"/>
  <c r="B5277" i="1"/>
  <c r="C5277" i="1"/>
  <c r="B5278" i="1"/>
  <c r="C5278" i="1"/>
  <c r="B5279" i="1"/>
  <c r="C5279" i="1"/>
  <c r="B5280" i="1"/>
  <c r="C5280" i="1"/>
  <c r="B5281" i="1"/>
  <c r="C5281" i="1"/>
  <c r="B5282" i="1"/>
  <c r="C5282" i="1"/>
  <c r="B5283" i="1"/>
  <c r="C5283" i="1"/>
  <c r="B5284" i="1"/>
  <c r="C5284" i="1"/>
  <c r="B5285" i="1"/>
  <c r="C5285" i="1"/>
  <c r="B5286" i="1"/>
  <c r="C5286" i="1"/>
  <c r="B5287" i="1"/>
  <c r="C5287" i="1"/>
  <c r="B5288" i="1"/>
  <c r="C5288" i="1"/>
  <c r="B5289" i="1"/>
  <c r="C5289" i="1"/>
  <c r="B5290" i="1"/>
  <c r="C5290" i="1"/>
  <c r="B5291" i="1"/>
  <c r="C5291" i="1"/>
  <c r="B5292" i="1"/>
  <c r="C5292" i="1"/>
  <c r="B5293" i="1"/>
  <c r="C5293" i="1"/>
  <c r="B5294" i="1"/>
  <c r="C5294" i="1"/>
  <c r="B5295" i="1"/>
  <c r="C5295" i="1"/>
  <c r="B5296" i="1"/>
  <c r="C5296" i="1"/>
  <c r="B5297" i="1"/>
  <c r="C5297" i="1"/>
  <c r="B5298" i="1"/>
  <c r="C5298" i="1"/>
  <c r="B5299" i="1"/>
  <c r="C5299" i="1"/>
  <c r="B5300" i="1"/>
  <c r="C5300" i="1"/>
  <c r="B5301" i="1"/>
  <c r="C5301" i="1"/>
  <c r="B5302" i="1"/>
  <c r="C5302" i="1"/>
  <c r="B5303" i="1"/>
  <c r="C5303" i="1"/>
  <c r="B5304" i="1"/>
  <c r="C5304" i="1"/>
  <c r="B5305" i="1"/>
  <c r="C5305" i="1"/>
  <c r="B5306" i="1"/>
  <c r="C5306" i="1"/>
  <c r="B5307" i="1"/>
  <c r="C5307" i="1"/>
  <c r="B5308" i="1"/>
  <c r="C5308" i="1"/>
  <c r="B5309" i="1"/>
  <c r="C5309" i="1"/>
  <c r="B5310" i="1"/>
  <c r="C5310" i="1"/>
  <c r="B5311" i="1"/>
  <c r="C5311" i="1"/>
  <c r="B5312" i="1"/>
  <c r="C5312" i="1"/>
  <c r="B5313" i="1"/>
  <c r="C5313" i="1"/>
  <c r="B5314" i="1"/>
  <c r="C5314" i="1"/>
  <c r="B5315" i="1"/>
  <c r="C5315" i="1"/>
  <c r="B5316" i="1"/>
  <c r="C5316" i="1"/>
  <c r="B5317" i="1"/>
  <c r="C5317" i="1"/>
  <c r="B5318" i="1"/>
  <c r="C5318" i="1"/>
  <c r="B5319" i="1"/>
  <c r="C5319" i="1"/>
  <c r="B5320" i="1"/>
  <c r="C5320" i="1"/>
  <c r="B5321" i="1"/>
  <c r="C5321" i="1"/>
  <c r="B5322" i="1"/>
  <c r="C5322" i="1"/>
  <c r="B5323" i="1"/>
  <c r="C5323" i="1"/>
  <c r="B5324" i="1"/>
  <c r="C5324" i="1"/>
  <c r="B5325" i="1"/>
  <c r="C5325" i="1"/>
  <c r="B5326" i="1"/>
  <c r="C5326" i="1"/>
  <c r="B5327" i="1"/>
  <c r="C5327" i="1"/>
  <c r="B5328" i="1"/>
  <c r="C5328" i="1"/>
  <c r="B5329" i="1"/>
  <c r="C5329" i="1"/>
  <c r="B5330" i="1"/>
  <c r="C5330" i="1"/>
  <c r="B5331" i="1"/>
  <c r="C5331" i="1"/>
  <c r="B5332" i="1"/>
  <c r="C5332" i="1"/>
  <c r="B5333" i="1"/>
  <c r="C5333" i="1"/>
  <c r="B5334" i="1"/>
  <c r="C5334" i="1"/>
  <c r="B5335" i="1"/>
  <c r="C5335" i="1"/>
  <c r="B5336" i="1"/>
  <c r="C5336" i="1"/>
  <c r="B5337" i="1"/>
  <c r="C5337" i="1"/>
  <c r="B5338" i="1"/>
  <c r="C5338" i="1"/>
  <c r="B5339" i="1"/>
  <c r="C5339" i="1"/>
  <c r="B5340" i="1"/>
  <c r="C5340" i="1"/>
  <c r="B5341" i="1"/>
  <c r="C5341" i="1"/>
  <c r="B5342" i="1"/>
  <c r="C5342" i="1"/>
  <c r="B5343" i="1"/>
  <c r="C5343" i="1"/>
  <c r="B5344" i="1"/>
  <c r="C5344" i="1"/>
  <c r="B5345" i="1"/>
  <c r="C5345" i="1"/>
  <c r="B5346" i="1"/>
  <c r="C5346" i="1"/>
  <c r="B5347" i="1"/>
  <c r="C5347" i="1"/>
  <c r="B5348" i="1"/>
  <c r="C5348" i="1"/>
  <c r="B5349" i="1"/>
  <c r="C5349" i="1"/>
  <c r="B5350" i="1"/>
  <c r="C5350" i="1"/>
  <c r="B5351" i="1"/>
  <c r="C5351" i="1"/>
  <c r="B5352" i="1"/>
  <c r="C5352" i="1"/>
  <c r="B5353" i="1"/>
  <c r="C5353" i="1"/>
  <c r="B5354" i="1"/>
  <c r="C5354" i="1"/>
  <c r="B5355" i="1"/>
  <c r="C5355" i="1"/>
  <c r="B5356" i="1"/>
  <c r="C5356" i="1"/>
  <c r="B5357" i="1"/>
  <c r="C5357" i="1"/>
  <c r="B5358" i="1"/>
  <c r="C5358" i="1"/>
  <c r="B5359" i="1"/>
  <c r="C5359" i="1"/>
  <c r="B5360" i="1"/>
  <c r="C5360" i="1"/>
  <c r="B5361" i="1"/>
  <c r="C5361" i="1"/>
  <c r="B5362" i="1"/>
  <c r="C5362" i="1"/>
  <c r="B5363" i="1"/>
  <c r="C5363" i="1"/>
  <c r="B5364" i="1"/>
  <c r="C5364" i="1"/>
  <c r="B5365" i="1"/>
  <c r="C5365" i="1"/>
  <c r="B5366" i="1"/>
  <c r="C5366" i="1"/>
  <c r="B5367" i="1"/>
  <c r="C5367" i="1"/>
  <c r="B5368" i="1"/>
  <c r="C5368" i="1"/>
  <c r="B5369" i="1"/>
  <c r="C5369" i="1"/>
  <c r="B5370" i="1"/>
  <c r="C5370" i="1"/>
  <c r="B5371" i="1"/>
  <c r="C5371" i="1"/>
  <c r="B5372" i="1"/>
  <c r="C5372" i="1"/>
  <c r="B5373" i="1"/>
  <c r="C5373" i="1"/>
  <c r="B5374" i="1"/>
  <c r="C5374" i="1"/>
  <c r="B5375" i="1"/>
  <c r="C5375" i="1"/>
  <c r="B5376" i="1"/>
  <c r="C5376" i="1"/>
  <c r="B5377" i="1"/>
  <c r="C5377" i="1"/>
  <c r="B5378" i="1"/>
  <c r="C5378" i="1"/>
  <c r="B5379" i="1"/>
  <c r="C5379" i="1"/>
  <c r="B5380" i="1"/>
  <c r="C5380" i="1"/>
  <c r="B5381" i="1"/>
  <c r="C5381" i="1"/>
  <c r="B5382" i="1"/>
  <c r="C5382" i="1"/>
  <c r="B5383" i="1"/>
  <c r="C5383" i="1"/>
  <c r="B5384" i="1"/>
  <c r="C5384" i="1"/>
  <c r="B5385" i="1"/>
  <c r="C5385" i="1"/>
  <c r="B5386" i="1"/>
  <c r="C5386" i="1"/>
  <c r="B5387" i="1"/>
  <c r="C5387" i="1"/>
  <c r="B5388" i="1"/>
  <c r="C5388" i="1"/>
  <c r="B5389" i="1"/>
  <c r="C5389" i="1"/>
  <c r="B5390" i="1"/>
  <c r="C5390" i="1"/>
  <c r="B5391" i="1"/>
  <c r="C5391" i="1"/>
  <c r="B5392" i="1"/>
  <c r="C5392" i="1"/>
  <c r="B5393" i="1"/>
  <c r="C5393" i="1"/>
  <c r="B5394" i="1"/>
  <c r="C5394" i="1"/>
  <c r="B5395" i="1"/>
  <c r="C5395" i="1"/>
  <c r="B5396" i="1"/>
  <c r="C5396" i="1"/>
  <c r="B5397" i="1"/>
  <c r="C5397" i="1"/>
  <c r="B5398" i="1"/>
  <c r="C5398" i="1"/>
  <c r="B5399" i="1"/>
  <c r="C5399" i="1"/>
  <c r="B5400" i="1"/>
  <c r="C5400" i="1"/>
  <c r="B5401" i="1"/>
  <c r="C5401" i="1"/>
  <c r="B5402" i="1"/>
  <c r="C5402" i="1"/>
  <c r="B5403" i="1"/>
  <c r="C5403" i="1"/>
  <c r="B5404" i="1"/>
  <c r="C5404" i="1"/>
  <c r="B5405" i="1"/>
  <c r="C5405" i="1"/>
  <c r="B5406" i="1"/>
  <c r="C5406" i="1"/>
  <c r="B5407" i="1"/>
  <c r="C5407" i="1"/>
  <c r="B5408" i="1"/>
  <c r="C5408" i="1"/>
  <c r="B5409" i="1"/>
  <c r="C5409" i="1"/>
  <c r="B5410" i="1"/>
  <c r="C5410" i="1"/>
  <c r="B5411" i="1"/>
  <c r="C5411" i="1"/>
  <c r="B5412" i="1"/>
  <c r="C5412" i="1"/>
  <c r="B5413" i="1"/>
  <c r="C5413" i="1"/>
  <c r="B5414" i="1"/>
  <c r="C5414" i="1"/>
  <c r="B5415" i="1"/>
  <c r="C5415" i="1"/>
  <c r="B5416" i="1"/>
  <c r="C5416" i="1"/>
  <c r="B5417" i="1"/>
  <c r="C5417" i="1"/>
  <c r="B5418" i="1"/>
  <c r="C5418" i="1"/>
  <c r="B5419" i="1"/>
  <c r="C5419" i="1"/>
  <c r="B5420" i="1"/>
  <c r="C5420" i="1"/>
  <c r="B5421" i="1"/>
  <c r="C5421" i="1"/>
  <c r="B5422" i="1"/>
  <c r="C5422" i="1"/>
  <c r="B5423" i="1"/>
  <c r="C5423" i="1"/>
  <c r="B5424" i="1"/>
  <c r="C5424" i="1"/>
  <c r="B5425" i="1"/>
  <c r="C5425" i="1"/>
  <c r="B5426" i="1"/>
  <c r="C5426" i="1"/>
  <c r="B5427" i="1"/>
  <c r="C5427" i="1"/>
  <c r="B5428" i="1"/>
  <c r="C5428" i="1"/>
  <c r="B5429" i="1"/>
  <c r="C5429" i="1"/>
  <c r="B5430" i="1"/>
  <c r="C5430" i="1"/>
  <c r="B5431" i="1"/>
  <c r="C5431" i="1"/>
  <c r="B5432" i="1"/>
  <c r="C5432" i="1"/>
  <c r="B5433" i="1"/>
  <c r="C5433" i="1"/>
  <c r="B5434" i="1"/>
  <c r="C5434" i="1"/>
  <c r="B5435" i="1"/>
  <c r="C5435" i="1"/>
  <c r="B5436" i="1"/>
  <c r="C5436" i="1"/>
  <c r="B5437" i="1"/>
  <c r="C5437" i="1"/>
  <c r="B5438" i="1"/>
  <c r="C5438" i="1"/>
  <c r="B5439" i="1"/>
  <c r="C5439" i="1"/>
  <c r="B5440" i="1"/>
  <c r="C5440" i="1"/>
  <c r="B5441" i="1"/>
  <c r="C5441" i="1"/>
  <c r="B5442" i="1"/>
  <c r="C5442" i="1"/>
  <c r="B5443" i="1"/>
  <c r="C5443" i="1"/>
  <c r="B5444" i="1"/>
  <c r="C5444" i="1"/>
  <c r="B5445" i="1"/>
  <c r="C5445" i="1"/>
  <c r="B5446" i="1"/>
  <c r="C5446" i="1"/>
  <c r="B5447" i="1"/>
  <c r="C5447" i="1"/>
  <c r="B5448" i="1"/>
  <c r="C5448" i="1"/>
  <c r="B5449" i="1"/>
  <c r="C5449" i="1"/>
  <c r="B5450" i="1"/>
  <c r="C5450" i="1"/>
  <c r="B5451" i="1"/>
  <c r="C5451" i="1"/>
  <c r="B5452" i="1"/>
  <c r="C5452" i="1"/>
  <c r="B5453" i="1"/>
  <c r="C5453" i="1"/>
  <c r="B5454" i="1"/>
  <c r="C5454" i="1"/>
  <c r="B5455" i="1"/>
  <c r="C5455" i="1"/>
  <c r="B5456" i="1"/>
  <c r="C5456" i="1"/>
  <c r="B5457" i="1"/>
  <c r="C5457" i="1"/>
  <c r="B5458" i="1"/>
  <c r="C5458" i="1"/>
  <c r="B5459" i="1"/>
  <c r="C5459" i="1"/>
  <c r="B5460" i="1"/>
  <c r="C5460" i="1"/>
  <c r="B5461" i="1"/>
  <c r="C5461" i="1"/>
  <c r="B5462" i="1"/>
  <c r="C5462" i="1"/>
  <c r="B5463" i="1"/>
  <c r="C5463" i="1"/>
  <c r="B5464" i="1"/>
  <c r="C5464" i="1"/>
  <c r="B5465" i="1"/>
  <c r="C5465" i="1"/>
  <c r="B5466" i="1"/>
  <c r="C5466" i="1"/>
  <c r="B5467" i="1"/>
  <c r="C5467" i="1"/>
  <c r="B5468" i="1"/>
  <c r="C5468" i="1"/>
  <c r="B5469" i="1"/>
  <c r="C5469" i="1"/>
  <c r="B5470" i="1"/>
  <c r="C5470" i="1"/>
  <c r="B5471" i="1"/>
  <c r="C5471" i="1"/>
  <c r="B5472" i="1"/>
  <c r="C5472" i="1"/>
  <c r="B5473" i="1"/>
  <c r="C5473" i="1"/>
  <c r="B5474" i="1"/>
  <c r="C5474" i="1"/>
  <c r="B5475" i="1"/>
  <c r="C5475" i="1"/>
  <c r="B5476" i="1"/>
  <c r="C5476" i="1"/>
  <c r="B5477" i="1"/>
  <c r="C5477" i="1"/>
  <c r="B5478" i="1"/>
  <c r="C5478" i="1"/>
  <c r="B5479" i="1"/>
  <c r="C5479" i="1"/>
  <c r="B5480" i="1"/>
  <c r="C5480" i="1"/>
  <c r="B5481" i="1"/>
  <c r="C5481" i="1"/>
  <c r="B5482" i="1"/>
  <c r="C5482" i="1"/>
  <c r="B5483" i="1"/>
  <c r="C5483" i="1"/>
  <c r="B5484" i="1"/>
  <c r="C5484" i="1"/>
  <c r="B5485" i="1"/>
  <c r="C5485" i="1"/>
  <c r="B5486" i="1"/>
  <c r="C5486" i="1"/>
  <c r="B5487" i="1"/>
  <c r="C5487" i="1"/>
  <c r="B5488" i="1"/>
  <c r="C5488" i="1"/>
  <c r="B5489" i="1"/>
  <c r="C5489" i="1"/>
  <c r="B5490" i="1"/>
  <c r="C5490" i="1"/>
  <c r="B5491" i="1"/>
  <c r="C5491" i="1"/>
  <c r="B5492" i="1"/>
  <c r="C5492" i="1"/>
  <c r="B5493" i="1"/>
  <c r="C5493" i="1"/>
  <c r="B5494" i="1"/>
  <c r="C5494" i="1"/>
  <c r="B5495" i="1"/>
  <c r="C5495" i="1"/>
  <c r="B5496" i="1"/>
  <c r="C5496" i="1"/>
  <c r="B5497" i="1"/>
  <c r="C5497" i="1"/>
  <c r="B5498" i="1"/>
  <c r="C5498" i="1"/>
  <c r="B5499" i="1"/>
  <c r="C5499" i="1"/>
  <c r="B5500" i="1"/>
  <c r="C5500" i="1"/>
  <c r="B5501" i="1"/>
  <c r="C5501" i="1"/>
  <c r="B5502" i="1"/>
  <c r="C5502" i="1"/>
  <c r="B5503" i="1"/>
  <c r="C5503" i="1"/>
  <c r="B5504" i="1"/>
  <c r="C5504" i="1"/>
  <c r="B5505" i="1"/>
  <c r="C5505" i="1"/>
  <c r="B5506" i="1"/>
  <c r="C5506" i="1"/>
  <c r="B5507" i="1"/>
  <c r="C5507" i="1"/>
  <c r="B5508" i="1"/>
  <c r="C5508" i="1"/>
  <c r="B5509" i="1"/>
  <c r="C5509" i="1"/>
  <c r="B5510" i="1"/>
  <c r="C5510" i="1"/>
  <c r="B5511" i="1"/>
  <c r="C5511" i="1"/>
  <c r="B5512" i="1"/>
  <c r="C5512" i="1"/>
  <c r="B5513" i="1"/>
  <c r="C5513" i="1"/>
  <c r="B5514" i="1"/>
  <c r="C5514" i="1"/>
  <c r="B5515" i="1"/>
  <c r="C5515" i="1"/>
  <c r="B5516" i="1"/>
  <c r="C5516" i="1"/>
  <c r="B5517" i="1"/>
  <c r="C5517" i="1"/>
  <c r="B5518" i="1"/>
  <c r="C5518" i="1"/>
  <c r="B5519" i="1"/>
  <c r="C5519" i="1"/>
  <c r="B5520" i="1"/>
  <c r="C5520" i="1"/>
  <c r="B5521" i="1"/>
  <c r="C5521" i="1"/>
  <c r="B5522" i="1"/>
  <c r="C5522" i="1"/>
  <c r="B5523" i="1"/>
  <c r="C5523" i="1"/>
  <c r="B5524" i="1"/>
  <c r="C5524" i="1"/>
  <c r="B5525" i="1"/>
  <c r="C5525" i="1"/>
  <c r="B5526" i="1"/>
  <c r="C5526" i="1"/>
  <c r="B5527" i="1"/>
  <c r="C5527" i="1"/>
  <c r="B5528" i="1"/>
  <c r="C5528" i="1"/>
  <c r="B5529" i="1"/>
  <c r="C5529" i="1"/>
  <c r="B5530" i="1"/>
  <c r="C5530" i="1"/>
  <c r="B5531" i="1"/>
  <c r="C5531" i="1"/>
  <c r="B5532" i="1"/>
  <c r="C5532" i="1"/>
  <c r="B5533" i="1"/>
  <c r="C5533" i="1"/>
  <c r="B5534" i="1"/>
  <c r="C5534" i="1"/>
  <c r="B5535" i="1"/>
  <c r="C5535" i="1"/>
  <c r="B5536" i="1"/>
  <c r="C5536" i="1"/>
  <c r="B5537" i="1"/>
  <c r="C5537" i="1"/>
  <c r="B5538" i="1"/>
  <c r="C5538" i="1"/>
  <c r="B5539" i="1"/>
  <c r="C5539" i="1"/>
  <c r="B5540" i="1"/>
  <c r="C5540" i="1"/>
  <c r="B5541" i="1"/>
  <c r="C5541" i="1"/>
  <c r="B5542" i="1"/>
  <c r="C5542" i="1"/>
  <c r="B5543" i="1"/>
  <c r="C5543" i="1"/>
  <c r="B5544" i="1"/>
  <c r="C5544" i="1"/>
  <c r="B5545" i="1"/>
  <c r="C5545" i="1"/>
  <c r="B5546" i="1"/>
  <c r="C5546" i="1"/>
  <c r="B5547" i="1"/>
  <c r="C5547" i="1"/>
  <c r="B5548" i="1"/>
  <c r="C5548" i="1"/>
  <c r="B5549" i="1"/>
  <c r="C5549" i="1"/>
  <c r="B5550" i="1"/>
  <c r="C5550" i="1"/>
  <c r="B5551" i="1"/>
  <c r="C5551" i="1"/>
  <c r="B5552" i="1"/>
  <c r="C5552" i="1"/>
  <c r="B5553" i="1"/>
  <c r="C5553" i="1"/>
  <c r="B5554" i="1"/>
  <c r="C5554" i="1"/>
  <c r="B5555" i="1"/>
  <c r="C5555" i="1"/>
  <c r="B5556" i="1"/>
  <c r="C5556" i="1"/>
  <c r="B5557" i="1"/>
  <c r="C5557" i="1"/>
  <c r="B5558" i="1"/>
  <c r="C5558" i="1"/>
  <c r="B5559" i="1"/>
  <c r="C5559" i="1"/>
  <c r="B5560" i="1"/>
  <c r="C5560" i="1"/>
  <c r="B5561" i="1"/>
  <c r="C5561" i="1"/>
  <c r="B5562" i="1"/>
  <c r="C5562" i="1"/>
  <c r="B5563" i="1"/>
  <c r="C5563" i="1"/>
  <c r="B5564" i="1"/>
  <c r="C5564" i="1"/>
  <c r="B5565" i="1"/>
  <c r="C5565" i="1"/>
  <c r="B5566" i="1"/>
  <c r="C5566" i="1"/>
  <c r="B5567" i="1"/>
  <c r="C5567" i="1"/>
  <c r="B5568" i="1"/>
  <c r="C5568" i="1"/>
  <c r="B5569" i="1"/>
  <c r="C5569" i="1"/>
  <c r="B5570" i="1"/>
  <c r="C5570" i="1"/>
  <c r="B5571" i="1"/>
  <c r="C5571" i="1"/>
  <c r="B5572" i="1"/>
  <c r="C5572" i="1"/>
  <c r="B5573" i="1"/>
  <c r="C5573" i="1"/>
  <c r="B5574" i="1"/>
  <c r="C5574" i="1"/>
  <c r="B5575" i="1"/>
  <c r="C5575" i="1"/>
  <c r="B5576" i="1"/>
  <c r="C5576" i="1"/>
  <c r="B5577" i="1"/>
  <c r="C5577" i="1"/>
  <c r="B5578" i="1"/>
  <c r="C5578" i="1"/>
  <c r="B5579" i="1"/>
  <c r="C5579" i="1"/>
  <c r="B5580" i="1"/>
  <c r="C5580" i="1"/>
  <c r="B5581" i="1"/>
  <c r="C5581" i="1"/>
  <c r="B5582" i="1"/>
  <c r="C5582" i="1"/>
  <c r="B5583" i="1"/>
  <c r="C5583" i="1"/>
  <c r="B5584" i="1"/>
  <c r="C5584" i="1"/>
  <c r="B5585" i="1"/>
  <c r="C5585" i="1"/>
  <c r="B5586" i="1"/>
  <c r="C5586" i="1"/>
  <c r="B5587" i="1"/>
  <c r="C5587" i="1"/>
  <c r="B5588" i="1"/>
  <c r="C5588" i="1"/>
  <c r="B5589" i="1"/>
  <c r="C5589" i="1"/>
  <c r="B5590" i="1"/>
  <c r="C5590" i="1"/>
  <c r="B5591" i="1"/>
  <c r="C5591" i="1"/>
  <c r="B5592" i="1"/>
  <c r="C5592" i="1"/>
  <c r="B5593" i="1"/>
  <c r="C5593" i="1"/>
  <c r="B5594" i="1"/>
  <c r="C5594" i="1"/>
  <c r="B5595" i="1"/>
  <c r="C5595" i="1"/>
  <c r="B5596" i="1"/>
  <c r="C5596" i="1"/>
  <c r="B5597" i="1"/>
  <c r="C5597" i="1"/>
  <c r="B5598" i="1"/>
  <c r="C5598" i="1"/>
  <c r="B5599" i="1"/>
  <c r="C5599" i="1"/>
  <c r="B5600" i="1"/>
  <c r="C5600" i="1"/>
  <c r="B5601" i="1"/>
  <c r="C5601" i="1"/>
  <c r="B5602" i="1"/>
  <c r="C5602" i="1"/>
  <c r="B5603" i="1"/>
  <c r="C5603" i="1"/>
  <c r="B5604" i="1"/>
  <c r="C5604" i="1"/>
  <c r="B5605" i="1"/>
  <c r="C5605" i="1"/>
  <c r="B5606" i="1"/>
  <c r="C5606" i="1"/>
  <c r="B5607" i="1"/>
  <c r="C5607" i="1"/>
  <c r="B5608" i="1"/>
  <c r="C5608" i="1"/>
  <c r="B5609" i="1"/>
  <c r="C5609" i="1"/>
  <c r="B5610" i="1"/>
  <c r="C5610" i="1"/>
  <c r="B5611" i="1"/>
  <c r="C5611" i="1"/>
  <c r="B5612" i="1"/>
  <c r="C5612" i="1"/>
  <c r="B5613" i="1"/>
  <c r="C5613" i="1"/>
  <c r="B5614" i="1"/>
  <c r="C5614" i="1"/>
  <c r="B5615" i="1"/>
  <c r="C5615" i="1"/>
  <c r="B5616" i="1"/>
  <c r="C5616" i="1"/>
  <c r="B5617" i="1"/>
  <c r="C5617" i="1"/>
  <c r="B5618" i="1"/>
  <c r="C5618" i="1"/>
  <c r="B5619" i="1"/>
  <c r="C5619" i="1"/>
  <c r="B5620" i="1"/>
  <c r="C5620" i="1"/>
  <c r="B5621" i="1"/>
  <c r="C5621" i="1"/>
  <c r="B5622" i="1"/>
  <c r="C5622" i="1"/>
  <c r="B5623" i="1"/>
  <c r="C5623" i="1"/>
  <c r="B5624" i="1"/>
  <c r="C5624" i="1"/>
  <c r="B5625" i="1"/>
  <c r="C5625" i="1"/>
  <c r="B5626" i="1"/>
  <c r="C5626" i="1"/>
  <c r="B5627" i="1"/>
  <c r="C5627" i="1"/>
  <c r="B5628" i="1"/>
  <c r="C5628" i="1"/>
  <c r="B5629" i="1"/>
  <c r="C5629" i="1"/>
  <c r="B5630" i="1"/>
  <c r="C5630" i="1"/>
  <c r="B5631" i="1"/>
  <c r="C5631" i="1"/>
  <c r="B5632" i="1"/>
  <c r="C5632" i="1"/>
  <c r="B5633" i="1"/>
  <c r="C5633" i="1"/>
  <c r="B5634" i="1"/>
  <c r="C5634" i="1"/>
  <c r="B5635" i="1"/>
  <c r="C5635" i="1"/>
  <c r="B5636" i="1"/>
  <c r="C5636" i="1"/>
  <c r="B5637" i="1"/>
  <c r="C5637" i="1"/>
  <c r="B5638" i="1"/>
  <c r="C5638" i="1"/>
  <c r="B5639" i="1"/>
  <c r="C5639" i="1"/>
  <c r="B5640" i="1"/>
  <c r="C5640" i="1"/>
  <c r="B5641" i="1"/>
  <c r="C5641" i="1"/>
  <c r="B5642" i="1"/>
  <c r="C5642" i="1"/>
  <c r="B5643" i="1"/>
  <c r="C5643" i="1"/>
  <c r="B5644" i="1"/>
  <c r="C5644" i="1"/>
  <c r="B5645" i="1"/>
  <c r="C5645" i="1"/>
  <c r="B5646" i="1"/>
  <c r="C5646" i="1"/>
  <c r="B5647" i="1"/>
  <c r="C5647" i="1"/>
  <c r="B5648" i="1"/>
  <c r="C5648" i="1"/>
  <c r="B5649" i="1"/>
  <c r="C5649" i="1"/>
  <c r="B5650" i="1"/>
  <c r="C5650" i="1"/>
  <c r="B5651" i="1"/>
  <c r="C5651" i="1"/>
  <c r="B5652" i="1"/>
  <c r="C5652" i="1"/>
  <c r="B5653" i="1"/>
  <c r="C5653" i="1"/>
  <c r="B5654" i="1"/>
  <c r="C5654" i="1"/>
  <c r="B5655" i="1"/>
  <c r="C5655" i="1"/>
  <c r="B5656" i="1"/>
  <c r="C5656" i="1"/>
  <c r="B5657" i="1"/>
  <c r="C5657" i="1"/>
  <c r="B5658" i="1"/>
  <c r="C5658" i="1"/>
  <c r="B5659" i="1"/>
  <c r="C5659" i="1"/>
  <c r="B5660" i="1"/>
  <c r="C5660" i="1"/>
  <c r="B5661" i="1"/>
  <c r="C5661" i="1"/>
  <c r="B5662" i="1"/>
  <c r="C5662" i="1"/>
  <c r="B5663" i="1"/>
  <c r="C5663" i="1"/>
  <c r="B5664" i="1"/>
  <c r="C5664" i="1"/>
  <c r="B5665" i="1"/>
  <c r="C5665" i="1"/>
  <c r="B5666" i="1"/>
  <c r="C5666" i="1"/>
  <c r="B5667" i="1"/>
  <c r="C5667" i="1"/>
  <c r="B5668" i="1"/>
  <c r="C5668" i="1"/>
  <c r="B5669" i="1"/>
  <c r="C5669" i="1"/>
  <c r="B5670" i="1"/>
  <c r="C5670" i="1"/>
  <c r="B5671" i="1"/>
  <c r="C5671" i="1"/>
  <c r="B5672" i="1"/>
  <c r="C5672" i="1"/>
  <c r="B5673" i="1"/>
  <c r="C5673" i="1"/>
  <c r="B5674" i="1"/>
  <c r="C5674" i="1"/>
  <c r="B5675" i="1"/>
  <c r="C5675" i="1"/>
  <c r="B5676" i="1"/>
  <c r="C5676" i="1"/>
  <c r="B5677" i="1"/>
  <c r="C5677" i="1"/>
  <c r="B5678" i="1"/>
  <c r="C5678" i="1"/>
  <c r="B5679" i="1"/>
  <c r="C5679" i="1"/>
  <c r="B5680" i="1"/>
  <c r="C5680" i="1"/>
  <c r="B5681" i="1"/>
  <c r="C5681" i="1"/>
  <c r="B5682" i="1"/>
  <c r="C5682" i="1"/>
  <c r="B5683" i="1"/>
  <c r="C5683" i="1"/>
  <c r="B5684" i="1"/>
  <c r="C5684" i="1"/>
  <c r="B5685" i="1"/>
  <c r="C5685" i="1"/>
  <c r="B5686" i="1"/>
  <c r="C5686" i="1"/>
  <c r="B5687" i="1"/>
  <c r="C5687" i="1"/>
  <c r="B5688" i="1"/>
  <c r="C5688" i="1"/>
  <c r="B5689" i="1"/>
  <c r="C5689" i="1"/>
  <c r="B5690" i="1"/>
  <c r="C5690" i="1"/>
  <c r="B5691" i="1"/>
  <c r="C5691" i="1"/>
  <c r="B5692" i="1"/>
  <c r="C5692" i="1"/>
  <c r="B5693" i="1"/>
  <c r="C5693" i="1"/>
  <c r="B5694" i="1"/>
  <c r="C5694" i="1"/>
  <c r="B5695" i="1"/>
  <c r="C5695" i="1"/>
  <c r="B5696" i="1"/>
  <c r="C5696" i="1"/>
  <c r="B5697" i="1"/>
  <c r="C5697" i="1"/>
  <c r="B5698" i="1"/>
  <c r="C5698" i="1"/>
  <c r="B5699" i="1"/>
  <c r="C5699" i="1"/>
  <c r="B5700" i="1"/>
  <c r="C5700" i="1"/>
  <c r="B5701" i="1"/>
  <c r="C5701" i="1"/>
  <c r="B5702" i="1"/>
  <c r="C5702" i="1"/>
  <c r="B5703" i="1"/>
  <c r="C5703" i="1"/>
  <c r="B5704" i="1"/>
  <c r="C5704" i="1"/>
  <c r="B5705" i="1"/>
  <c r="C5705" i="1"/>
  <c r="B5706" i="1"/>
  <c r="C5706" i="1"/>
  <c r="B5707" i="1"/>
  <c r="C5707" i="1"/>
  <c r="B5708" i="1"/>
  <c r="C5708" i="1"/>
  <c r="B5709" i="1"/>
  <c r="C5709" i="1"/>
  <c r="B5710" i="1"/>
  <c r="C5710" i="1"/>
  <c r="B5711" i="1"/>
  <c r="C5711" i="1"/>
  <c r="B5712" i="1"/>
  <c r="C5712" i="1"/>
  <c r="B5713" i="1"/>
  <c r="C5713" i="1"/>
  <c r="B5714" i="1"/>
  <c r="C5714" i="1"/>
  <c r="B5715" i="1"/>
  <c r="C5715" i="1"/>
  <c r="B5716" i="1"/>
  <c r="C5716" i="1"/>
  <c r="B5717" i="1"/>
  <c r="C5717" i="1"/>
  <c r="B5718" i="1"/>
  <c r="C5718" i="1"/>
  <c r="B5719" i="1"/>
  <c r="C5719" i="1"/>
  <c r="B5720" i="1"/>
  <c r="C5720" i="1"/>
  <c r="B5721" i="1"/>
  <c r="C5721" i="1"/>
  <c r="B5722" i="1"/>
  <c r="C5722" i="1"/>
  <c r="B5723" i="1"/>
  <c r="C5723" i="1"/>
  <c r="B5724" i="1"/>
  <c r="C5724" i="1"/>
  <c r="B5725" i="1"/>
  <c r="C5725" i="1"/>
  <c r="B5726" i="1"/>
  <c r="C5726" i="1"/>
  <c r="B5727" i="1"/>
  <c r="C5727" i="1"/>
  <c r="B5728" i="1"/>
  <c r="C5728" i="1"/>
  <c r="B5729" i="1"/>
  <c r="C5729" i="1"/>
  <c r="B5730" i="1"/>
  <c r="C5730" i="1"/>
  <c r="B5731" i="1"/>
  <c r="C5731" i="1"/>
  <c r="B5732" i="1"/>
  <c r="C5732" i="1"/>
  <c r="B5733" i="1"/>
  <c r="C5733" i="1"/>
  <c r="B5734" i="1"/>
  <c r="C5734" i="1"/>
  <c r="B5735" i="1"/>
  <c r="C5735" i="1"/>
  <c r="B5736" i="1"/>
  <c r="C5736" i="1"/>
  <c r="B5737" i="1"/>
  <c r="C5737" i="1"/>
  <c r="B5738" i="1"/>
  <c r="C5738" i="1"/>
  <c r="B5739" i="1"/>
  <c r="C5739" i="1"/>
  <c r="B5740" i="1"/>
  <c r="C5740" i="1"/>
  <c r="B5741" i="1"/>
  <c r="C5741" i="1"/>
  <c r="B5742" i="1"/>
  <c r="C5742" i="1"/>
  <c r="B5743" i="1"/>
  <c r="C5743" i="1"/>
  <c r="B5744" i="1"/>
  <c r="C5744" i="1"/>
  <c r="B5745" i="1"/>
  <c r="C5745" i="1"/>
  <c r="B5746" i="1"/>
  <c r="C5746" i="1"/>
  <c r="B5747" i="1"/>
  <c r="C5747" i="1"/>
  <c r="B5748" i="1"/>
  <c r="C5748" i="1"/>
  <c r="B5749" i="1"/>
  <c r="C5749" i="1"/>
  <c r="B5750" i="1"/>
  <c r="C5750" i="1"/>
  <c r="B5751" i="1"/>
  <c r="C5751" i="1"/>
  <c r="B5752" i="1"/>
  <c r="C5752" i="1"/>
  <c r="B5753" i="1"/>
  <c r="C5753" i="1"/>
  <c r="B5754" i="1"/>
  <c r="C5754" i="1"/>
  <c r="B5755" i="1"/>
  <c r="C5755" i="1"/>
  <c r="B5756" i="1"/>
  <c r="C5756" i="1"/>
  <c r="B5757" i="1"/>
  <c r="C5757" i="1"/>
  <c r="B5758" i="1"/>
  <c r="C5758" i="1"/>
  <c r="B5759" i="1"/>
  <c r="C5759" i="1"/>
  <c r="B5760" i="1"/>
  <c r="C5760" i="1"/>
  <c r="B5761" i="1"/>
  <c r="C5761" i="1"/>
  <c r="B5762" i="1"/>
  <c r="C5762" i="1"/>
  <c r="B5763" i="1"/>
  <c r="C5763" i="1"/>
  <c r="B5764" i="1"/>
  <c r="C5764" i="1"/>
  <c r="B5765" i="1"/>
  <c r="C5765" i="1"/>
  <c r="B5766" i="1"/>
  <c r="C5766" i="1"/>
  <c r="B5767" i="1"/>
  <c r="C5767" i="1"/>
  <c r="B5768" i="1"/>
  <c r="C5768" i="1"/>
  <c r="B5769" i="1"/>
  <c r="C5769" i="1"/>
  <c r="B5770" i="1"/>
  <c r="C5770" i="1"/>
  <c r="B5771" i="1"/>
  <c r="C5771" i="1"/>
  <c r="B5772" i="1"/>
  <c r="C5772" i="1"/>
  <c r="B5773" i="1"/>
  <c r="C5773" i="1"/>
  <c r="B5774" i="1"/>
  <c r="C5774" i="1"/>
  <c r="B5775" i="1"/>
  <c r="C5775" i="1"/>
  <c r="B5776" i="1"/>
  <c r="C5776" i="1"/>
  <c r="B5777" i="1"/>
  <c r="C5777" i="1"/>
  <c r="B5778" i="1"/>
  <c r="C5778" i="1"/>
  <c r="B5779" i="1"/>
  <c r="C5779" i="1"/>
  <c r="B5780" i="1"/>
  <c r="C5780" i="1"/>
  <c r="B5781" i="1"/>
  <c r="C5781" i="1"/>
  <c r="B5782" i="1"/>
  <c r="C5782" i="1"/>
  <c r="B5783" i="1"/>
  <c r="C5783" i="1"/>
  <c r="B5784" i="1"/>
  <c r="C5784" i="1"/>
  <c r="B5785" i="1"/>
  <c r="C5785" i="1"/>
  <c r="B5786" i="1"/>
  <c r="C5786" i="1"/>
  <c r="B5787" i="1"/>
  <c r="C5787" i="1"/>
  <c r="B5788" i="1"/>
  <c r="C5788" i="1"/>
  <c r="B5789" i="1"/>
  <c r="C5789" i="1"/>
  <c r="B5790" i="1"/>
  <c r="C5790" i="1"/>
  <c r="B5791" i="1"/>
  <c r="C5791" i="1"/>
  <c r="B5792" i="1"/>
  <c r="C5792" i="1"/>
  <c r="B5793" i="1"/>
  <c r="C5793" i="1"/>
  <c r="B5794" i="1"/>
  <c r="C5794" i="1"/>
  <c r="B5795" i="1"/>
  <c r="C5795" i="1"/>
  <c r="B5796" i="1"/>
  <c r="C5796" i="1"/>
  <c r="B5797" i="1"/>
  <c r="C5797" i="1"/>
  <c r="B5798" i="1"/>
  <c r="C5798" i="1"/>
  <c r="B5799" i="1"/>
  <c r="C5799" i="1"/>
  <c r="B5800" i="1"/>
  <c r="C5800" i="1"/>
  <c r="B5801" i="1"/>
  <c r="C5801" i="1"/>
  <c r="B5802" i="1"/>
  <c r="C5802" i="1"/>
  <c r="B5803" i="1"/>
  <c r="C5803" i="1"/>
  <c r="B5804" i="1"/>
  <c r="C5804" i="1"/>
  <c r="B5805" i="1"/>
  <c r="C5805" i="1"/>
  <c r="B5806" i="1"/>
  <c r="C5806" i="1"/>
  <c r="B5807" i="1"/>
  <c r="C5807" i="1"/>
  <c r="B5808" i="1"/>
  <c r="C5808" i="1"/>
  <c r="B5809" i="1"/>
  <c r="C5809" i="1"/>
  <c r="B5810" i="1"/>
  <c r="C5810" i="1"/>
  <c r="B5811" i="1"/>
  <c r="C5811" i="1"/>
  <c r="B5812" i="1"/>
  <c r="C5812" i="1"/>
  <c r="B5813" i="1"/>
  <c r="C5813" i="1"/>
  <c r="B5814" i="1"/>
  <c r="C5814" i="1"/>
  <c r="B5815" i="1"/>
  <c r="C5815" i="1"/>
  <c r="B5816" i="1"/>
  <c r="C5816" i="1"/>
  <c r="B5817" i="1"/>
  <c r="C5817" i="1"/>
  <c r="B5818" i="1"/>
  <c r="C5818" i="1"/>
  <c r="B5819" i="1"/>
  <c r="C5819" i="1"/>
  <c r="B5820" i="1"/>
  <c r="C5820" i="1"/>
  <c r="B5821" i="1"/>
  <c r="C5821" i="1"/>
  <c r="B5822" i="1"/>
  <c r="C5822" i="1"/>
  <c r="B5823" i="1"/>
  <c r="C5823" i="1"/>
  <c r="B5824" i="1"/>
  <c r="C5824" i="1"/>
  <c r="B5825" i="1"/>
  <c r="C5825" i="1"/>
  <c r="B5826" i="1"/>
  <c r="C5826" i="1"/>
  <c r="B5827" i="1"/>
  <c r="C5827" i="1"/>
  <c r="B5828" i="1"/>
  <c r="C5828" i="1"/>
  <c r="B5829" i="1"/>
  <c r="C5829" i="1"/>
  <c r="B5830" i="1"/>
  <c r="C5830" i="1"/>
  <c r="B5831" i="1"/>
  <c r="C5831" i="1"/>
  <c r="B5832" i="1"/>
  <c r="C5832" i="1"/>
  <c r="B5833" i="1"/>
  <c r="C5833" i="1"/>
  <c r="B5834" i="1"/>
  <c r="C5834" i="1"/>
  <c r="B5835" i="1"/>
  <c r="C5835" i="1"/>
  <c r="B5836" i="1"/>
  <c r="C5836" i="1"/>
  <c r="B5837" i="1"/>
  <c r="C5837" i="1"/>
  <c r="B5838" i="1"/>
  <c r="C5838" i="1"/>
  <c r="B5839" i="1"/>
  <c r="C5839" i="1"/>
  <c r="B5840" i="1"/>
  <c r="C5840" i="1"/>
  <c r="B5841" i="1"/>
  <c r="C5841" i="1"/>
  <c r="B5842" i="1"/>
  <c r="C5842" i="1"/>
  <c r="B5843" i="1"/>
  <c r="C5843" i="1"/>
  <c r="B5844" i="1"/>
  <c r="C5844" i="1"/>
  <c r="B5845" i="1"/>
  <c r="C5845" i="1"/>
  <c r="B5846" i="1"/>
  <c r="C5846" i="1"/>
  <c r="B5847" i="1"/>
  <c r="C5847" i="1"/>
  <c r="B5848" i="1"/>
  <c r="C5848" i="1"/>
  <c r="B5849" i="1"/>
  <c r="C5849" i="1"/>
  <c r="B5850" i="1"/>
  <c r="C5850" i="1"/>
  <c r="B5851" i="1"/>
  <c r="C5851" i="1"/>
  <c r="B5852" i="1"/>
  <c r="C5852" i="1"/>
  <c r="B5853" i="1"/>
  <c r="C5853" i="1"/>
  <c r="B5854" i="1"/>
  <c r="C5854" i="1"/>
  <c r="B5855" i="1"/>
  <c r="C5855" i="1"/>
  <c r="B5856" i="1"/>
  <c r="C5856" i="1"/>
  <c r="B5857" i="1"/>
  <c r="C5857" i="1"/>
  <c r="B5858" i="1"/>
  <c r="C5858" i="1"/>
  <c r="B5859" i="1"/>
  <c r="C5859" i="1"/>
  <c r="B5860" i="1"/>
  <c r="C5860" i="1"/>
  <c r="B5861" i="1"/>
  <c r="C5861" i="1"/>
  <c r="B5862" i="1"/>
  <c r="C5862" i="1"/>
  <c r="B5863" i="1"/>
  <c r="C5863" i="1"/>
  <c r="B5864" i="1"/>
  <c r="C5864" i="1"/>
  <c r="B5865" i="1"/>
  <c r="C5865" i="1"/>
  <c r="B5866" i="1"/>
  <c r="C5866" i="1"/>
  <c r="B5867" i="1"/>
  <c r="C5867" i="1"/>
  <c r="B5868" i="1"/>
  <c r="C5868" i="1"/>
  <c r="B5869" i="1"/>
  <c r="C5869" i="1"/>
  <c r="B5870" i="1"/>
  <c r="C5870" i="1"/>
  <c r="B5871" i="1"/>
  <c r="C5871" i="1"/>
  <c r="B5872" i="1"/>
  <c r="C5872" i="1"/>
  <c r="B5873" i="1"/>
  <c r="C5873" i="1"/>
  <c r="B5874" i="1"/>
  <c r="C5874" i="1"/>
  <c r="B5875" i="1"/>
  <c r="C5875" i="1"/>
  <c r="B5876" i="1"/>
  <c r="C5876" i="1"/>
  <c r="B5877" i="1"/>
  <c r="C5877" i="1"/>
  <c r="B5878" i="1"/>
  <c r="C5878" i="1"/>
  <c r="B5879" i="1"/>
  <c r="C5879" i="1"/>
  <c r="B5880" i="1"/>
  <c r="C5880" i="1"/>
  <c r="B5881" i="1"/>
  <c r="C5881" i="1"/>
  <c r="B5882" i="1"/>
  <c r="C5882" i="1"/>
  <c r="B5883" i="1"/>
  <c r="C5883" i="1"/>
  <c r="B5884" i="1"/>
  <c r="C5884" i="1"/>
  <c r="B5885" i="1"/>
  <c r="C5885" i="1"/>
  <c r="B5886" i="1"/>
  <c r="C5886" i="1"/>
  <c r="B5887" i="1"/>
  <c r="C5887" i="1"/>
  <c r="B5888" i="1"/>
  <c r="C5888" i="1"/>
  <c r="B5889" i="1"/>
  <c r="C5889" i="1"/>
  <c r="B5890" i="1"/>
  <c r="C5890" i="1"/>
  <c r="B5891" i="1"/>
  <c r="C5891" i="1"/>
  <c r="B5892" i="1"/>
  <c r="C5892" i="1"/>
  <c r="B5893" i="1"/>
  <c r="C5893" i="1"/>
  <c r="B5894" i="1"/>
  <c r="C5894" i="1"/>
  <c r="B5895" i="1"/>
  <c r="C5895" i="1"/>
  <c r="B5896" i="1"/>
  <c r="C5896" i="1"/>
  <c r="B5897" i="1"/>
  <c r="C5897" i="1"/>
  <c r="B5898" i="1"/>
  <c r="C5898" i="1"/>
  <c r="B5899" i="1"/>
  <c r="C5899" i="1"/>
  <c r="B5900" i="1"/>
  <c r="C5900" i="1"/>
  <c r="B5901" i="1"/>
  <c r="C5901" i="1"/>
  <c r="B5902" i="1"/>
  <c r="C5902" i="1"/>
  <c r="D20" i="2"/>
  <c r="E20" i="2"/>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E4" i="2"/>
  <c r="D4" i="2"/>
</calcChain>
</file>

<file path=xl/sharedStrings.xml><?xml version="1.0" encoding="utf-8"?>
<sst xmlns="http://schemas.openxmlformats.org/spreadsheetml/2006/main" count="31705" uniqueCount="2601">
  <si>
    <t>Order Date</t>
  </si>
  <si>
    <t>Customer Name</t>
  </si>
  <si>
    <t>State</t>
  </si>
  <si>
    <t>Category</t>
  </si>
  <si>
    <t>Sub-Category</t>
  </si>
  <si>
    <t>Product Name</t>
  </si>
  <si>
    <t>Sales</t>
  </si>
  <si>
    <t>Quantity</t>
  </si>
  <si>
    <t>Profit</t>
  </si>
  <si>
    <t>Brendan Murry</t>
  </si>
  <si>
    <t>Maryland</t>
  </si>
  <si>
    <t>Furniture</t>
  </si>
  <si>
    <t>Bookcases</t>
  </si>
  <si>
    <t>Bush Westfield Collection Bookcases, Medium Cherry Finish</t>
  </si>
  <si>
    <t>Technology</t>
  </si>
  <si>
    <t>Phones</t>
  </si>
  <si>
    <t>GE 30522EE2</t>
  </si>
  <si>
    <t>Lena Radford</t>
  </si>
  <si>
    <t>California</t>
  </si>
  <si>
    <t>Office Supplies</t>
  </si>
  <si>
    <t>Storage</t>
  </si>
  <si>
    <t>Recycled Steel Personal File for Hanging File Folders</t>
  </si>
  <si>
    <t>Christine Abelman</t>
  </si>
  <si>
    <t>Texas</t>
  </si>
  <si>
    <t>Accessories</t>
  </si>
  <si>
    <t>Imation Clip USB flash drive - 8 GB</t>
  </si>
  <si>
    <t>WD My Passport Ultra 1TB Portable External Hard Drive</t>
  </si>
  <si>
    <t>AT&amp;T 17929 Lendline Telephone</t>
  </si>
  <si>
    <t>Bill Overfelt</t>
  </si>
  <si>
    <t>Oklahoma</t>
  </si>
  <si>
    <t>Tables</t>
  </si>
  <si>
    <t>Hon Practical Foundations 30 x 60 Training Table, Light Gray/Charcoal</t>
  </si>
  <si>
    <t>Binders</t>
  </si>
  <si>
    <t>Storex Dura Pro Binders</t>
  </si>
  <si>
    <t>Erica Bern</t>
  </si>
  <si>
    <t>North Carolina</t>
  </si>
  <si>
    <t>Copiers</t>
  </si>
  <si>
    <t>Hewlett Packard 310 Color Digital Copier</t>
  </si>
  <si>
    <t>Ben Peterman</t>
  </si>
  <si>
    <t>Pennsylvania</t>
  </si>
  <si>
    <t>Art</t>
  </si>
  <si>
    <t>Newell 312</t>
  </si>
  <si>
    <t>Avery Arch Ring Binders</t>
  </si>
  <si>
    <t>Anthony Johnson</t>
  </si>
  <si>
    <t>Florida</t>
  </si>
  <si>
    <t>Logitech MX Performance Wireless Mouse</t>
  </si>
  <si>
    <t>Newell 337</t>
  </si>
  <si>
    <t>Logitech B530 USB Headset - headset - Full size, Binaural</t>
  </si>
  <si>
    <t>Dianna Wilson</t>
  </si>
  <si>
    <t>Panasonic KP-350BK Electric Pencil Sharpener with Auto Stop</t>
  </si>
  <si>
    <t>Neoma Murray</t>
  </si>
  <si>
    <t>Furnishings</t>
  </si>
  <si>
    <t>Executive Impressions 13" Clairmont Wall Clock</t>
  </si>
  <si>
    <t>Paper</t>
  </si>
  <si>
    <t>Xerox 212</t>
  </si>
  <si>
    <t>Jack O'Briant</t>
  </si>
  <si>
    <t>Wisconsin</t>
  </si>
  <si>
    <t>Atlantic Metals Mobile 3-Shelf Bookcases, Custom Colors</t>
  </si>
  <si>
    <t>Plastic Binding Combs</t>
  </si>
  <si>
    <t>Vivek Sundaresam</t>
  </si>
  <si>
    <t>XtraLife ClearVue Slant-D Ring Binder, White, 3"</t>
  </si>
  <si>
    <t>Newell 319</t>
  </si>
  <si>
    <t>Avaya 5410 Digital phone</t>
  </si>
  <si>
    <t>Laura Armstrong</t>
  </si>
  <si>
    <t>Logitech G500s Laser Gaming Mouse with Adjustable Weight Tuning</t>
  </si>
  <si>
    <t>netTALK DUO VoIP Telephone Service</t>
  </si>
  <si>
    <t>Maureen Fritzler</t>
  </si>
  <si>
    <t>Ohio</t>
  </si>
  <si>
    <t>DAX Two-Tone Rosewood/Black Document Frame, Desktop, 5 x 7</t>
  </si>
  <si>
    <t>Ken Black</t>
  </si>
  <si>
    <t>Washington</t>
  </si>
  <si>
    <t>24-Hour Round Wall Clock</t>
  </si>
  <si>
    <t>Logitech Media Keyboard K200</t>
  </si>
  <si>
    <t>Joy Bell-</t>
  </si>
  <si>
    <t>DAX Value U-Channel Document Frames, Easel Back</t>
  </si>
  <si>
    <t>Deanra Eno</t>
  </si>
  <si>
    <t>Xerox 2</t>
  </si>
  <si>
    <t>Xerox 1935</t>
  </si>
  <si>
    <t>Cyber Acoustics AC-202b Speech Recognition Stereo Headset</t>
  </si>
  <si>
    <t>Mark Packer</t>
  </si>
  <si>
    <t>Ultra Door Push Plate</t>
  </si>
  <si>
    <t>Anna Gayman</t>
  </si>
  <si>
    <t>Xerox 1882</t>
  </si>
  <si>
    <t>Electrix Fluorescent Magnifier Lamps &amp; Weighted Base</t>
  </si>
  <si>
    <t>Dean percer</t>
  </si>
  <si>
    <t>New Jersey</t>
  </si>
  <si>
    <t>Envelopes</t>
  </si>
  <si>
    <t>Quality Park Security Envelopes</t>
  </si>
  <si>
    <t>American Pencil</t>
  </si>
  <si>
    <t>Logitech Gaming G510s - Keyboard</t>
  </si>
  <si>
    <t>Roy Collins</t>
  </si>
  <si>
    <t>Connecticut</t>
  </si>
  <si>
    <t>Bevis Round Bullnose 29" High Table Top</t>
  </si>
  <si>
    <t>William Brown</t>
  </si>
  <si>
    <t>New York</t>
  </si>
  <si>
    <t>#10 Gummed Flap White Envelopes, 100/Box</t>
  </si>
  <si>
    <t>Xerox 1959</t>
  </si>
  <si>
    <t>Square Ring Data Binders, Rigid 75 Pt. Covers, 11" x 14-7/8"</t>
  </si>
  <si>
    <t>Bill Eplett</t>
  </si>
  <si>
    <t>Xerox 1893</t>
  </si>
  <si>
    <t>Eric Hoffmann</t>
  </si>
  <si>
    <t>Wilson Jones Active Use Binders</t>
  </si>
  <si>
    <t>Imation 8GB Mini TravelDrive USB 2.0 Flash Drive</t>
  </si>
  <si>
    <t>Chuck Clark</t>
  </si>
  <si>
    <t>New Hampshire</t>
  </si>
  <si>
    <t>Tenex Contemporary Contur Chairmats for Low and Medium Pile Carpet, Computer, 39" x 49"</t>
  </si>
  <si>
    <t>Logitech 910-002974 M325 Wireless Mouse for Web Scrolling</t>
  </si>
  <si>
    <t>Logitech G19 Programmable Gaming Keyboard</t>
  </si>
  <si>
    <t>Dionis Lloyd</t>
  </si>
  <si>
    <t>Georgia</t>
  </si>
  <si>
    <t>First Data FD10 PIN Pad</t>
  </si>
  <si>
    <t>Tamara Dahlen</t>
  </si>
  <si>
    <t>Chairs</t>
  </si>
  <si>
    <t>Global Super Steno Chair</t>
  </si>
  <si>
    <t>Global Ergonomic Managers Chair</t>
  </si>
  <si>
    <t>Paul Gonzalez</t>
  </si>
  <si>
    <t>Fasteners</t>
  </si>
  <si>
    <t>Bagged Rubber Bands</t>
  </si>
  <si>
    <t>Carlos Meador</t>
  </si>
  <si>
    <t>Eldon Pizzaz Desk Accessories</t>
  </si>
  <si>
    <t>Sauder Forest Hills Library, Woodland Oak Finish</t>
  </si>
  <si>
    <t>Appliances</t>
  </si>
  <si>
    <t>Fellowes Mighty 8 Compact Surge Protector</t>
  </si>
  <si>
    <t>Contract Clock, 14", Brown</t>
  </si>
  <si>
    <t>Marc Crier</t>
  </si>
  <si>
    <t>Xerox 218</t>
  </si>
  <si>
    <t>Frank Preis</t>
  </si>
  <si>
    <t>Labels</t>
  </si>
  <si>
    <t>Avery 475</t>
  </si>
  <si>
    <t>Avery 476</t>
  </si>
  <si>
    <t>Bradley Talbott</t>
  </si>
  <si>
    <t>Panasonic Kx-TS550</t>
  </si>
  <si>
    <t>Verbatim 25 GB 6x Blu-ray Single Layer Recordable Disc, 25/Pack</t>
  </si>
  <si>
    <t>Toby Braunhardt</t>
  </si>
  <si>
    <t>Wilson Jones data.warehouse D-Ring Binders with DublLock</t>
  </si>
  <si>
    <t>Christy Brittain</t>
  </si>
  <si>
    <t>DAX Cubicle Frames, 8-1/2 x 11</t>
  </si>
  <si>
    <t>Claudia Bergmann</t>
  </si>
  <si>
    <t>Vermont</t>
  </si>
  <si>
    <t>Logitech Wireless Marathon Mouse M705</t>
  </si>
  <si>
    <t>4009 Highlighters</t>
  </si>
  <si>
    <t>Iceberg Mobile Mega Data/Printer Cart</t>
  </si>
  <si>
    <t>Henry Goldwyn</t>
  </si>
  <si>
    <t>Mississippi</t>
  </si>
  <si>
    <t>XtraLife ClearVue Slant-D Ring Binders by Cardinal</t>
  </si>
  <si>
    <t>Todd Boyes</t>
  </si>
  <si>
    <t>Dixon Ticonderoga Maple Cedar Pencil, #2</t>
  </si>
  <si>
    <t>Telephone Message Books with Fax/Mobile Section, 4 1/4" x 6"</t>
  </si>
  <si>
    <t>Jonathan Doherty</t>
  </si>
  <si>
    <t>GBC Standard Recycled Report Covers, Clear Plastic Sheets</t>
  </si>
  <si>
    <t>Chromcraft Round Conference Tables</t>
  </si>
  <si>
    <t>Tenex B1-RE Series Chair Mats for Low Pile Carpets</t>
  </si>
  <si>
    <t>SAFCO Commercial Wire Shelving, 72h</t>
  </si>
  <si>
    <t>Newell 345</t>
  </si>
  <si>
    <t>Jeremy Farry</t>
  </si>
  <si>
    <t>Heavy-Duty E-Z-D Binders</t>
  </si>
  <si>
    <t>Steven Cartwright</t>
  </si>
  <si>
    <t>File Shuttle II and Handi-File, Black</t>
  </si>
  <si>
    <t>GBC Wire Binding Strips</t>
  </si>
  <si>
    <t>Avery 512</t>
  </si>
  <si>
    <t>Tim Brockman</t>
  </si>
  <si>
    <t>Global Deluxe High-Back Office Chair in Storm</t>
  </si>
  <si>
    <t>O'Sullivan 2-Shelf Heavy-Duty Bookcases</t>
  </si>
  <si>
    <t>Harold Engle</t>
  </si>
  <si>
    <t>Illinois</t>
  </si>
  <si>
    <t>Xerox 1943</t>
  </si>
  <si>
    <t>David Flashing</t>
  </si>
  <si>
    <t>Nokia Lumia 1020</t>
  </si>
  <si>
    <t>Avery Durable Binders</t>
  </si>
  <si>
    <t>Bretford “Just In Time” Height-Adjustable Multi-Task Work Tables</t>
  </si>
  <si>
    <t>Sample Company A</t>
  </si>
  <si>
    <t>AT&amp;T 1080 Phone</t>
  </si>
  <si>
    <t>Easy-staple paper</t>
  </si>
  <si>
    <t>Aimee Bixby</t>
  </si>
  <si>
    <t>Xerox 1994</t>
  </si>
  <si>
    <t>Jason Klamczynski</t>
  </si>
  <si>
    <t>Staple envelope</t>
  </si>
  <si>
    <t>Ben Ferrer</t>
  </si>
  <si>
    <t>Fellowes PB500 Electric Punch Plastic Comb Binding Machine with Manual Bind</t>
  </si>
  <si>
    <t>#10 White Business Envelopes,4 1/8 x 9 1/2</t>
  </si>
  <si>
    <t>Cyma Kinney</t>
  </si>
  <si>
    <t>Virginia</t>
  </si>
  <si>
    <t>X-Rack File for Hanging Folders</t>
  </si>
  <si>
    <t>Suzanne McNair</t>
  </si>
  <si>
    <t>Xerox 1883</t>
  </si>
  <si>
    <t>Adrian Barton</t>
  </si>
  <si>
    <t>Belkin 19" Center-Weighted Shelf, Gray</t>
  </si>
  <si>
    <t>Sanjit Engle</t>
  </si>
  <si>
    <t>Machines</t>
  </si>
  <si>
    <t>HP Designjet T520 Inkjet Large Format Printer - 24" Color</t>
  </si>
  <si>
    <t>Presstex Flexible Ring Binders</t>
  </si>
  <si>
    <t>Acrylic Self-Standing Desk Frames</t>
  </si>
  <si>
    <t>Noel Staavos</t>
  </si>
  <si>
    <t>Deflect-o RollaMat Studded, Beveled Mat for Medium Pile Carpeting</t>
  </si>
  <si>
    <t>Liz Carlisle</t>
  </si>
  <si>
    <t>Kentucky</t>
  </si>
  <si>
    <t>Hon Multipurpose Stacking Arm Chairs</t>
  </si>
  <si>
    <t>Tracy Blumstein</t>
  </si>
  <si>
    <t>Arizona</t>
  </si>
  <si>
    <t>Nu-Dell Float Frame 11 x 14 1/2</t>
  </si>
  <si>
    <t>Maribeth Schnelling</t>
  </si>
  <si>
    <t>Jennifer Braxton</t>
  </si>
  <si>
    <t>Safco Commercial Shelving</t>
  </si>
  <si>
    <t>Paul Prost</t>
  </si>
  <si>
    <t>Carina 42"Hx23 3/4"W Media Storage Unit</t>
  </si>
  <si>
    <t>White Computer Printout Paper by Universal</t>
  </si>
  <si>
    <t>Revere Boxed Rubber Bands by Revere</t>
  </si>
  <si>
    <t>Eldon 200 Class Desk Accessories, Black</t>
  </si>
  <si>
    <t>Bush Andora Bookcase, Maple/Graphite Gray Finish</t>
  </si>
  <si>
    <t>Ames Color-File Green Diamond Border X-ray Mailers</t>
  </si>
  <si>
    <t>Plantronics Cordless Phone Headset with In-line Volume - M214C</t>
  </si>
  <si>
    <t>Aastra 57i VoIP phone</t>
  </si>
  <si>
    <t>White Dual Perf Computer Printout Paper, 2700 Sheets, 1 Part, Heavyweight, 20 lbs., 14 7/8 x 11</t>
  </si>
  <si>
    <t>Belkin 19" Vented Equipment Shelf, Black</t>
  </si>
  <si>
    <t>Annie Zypern</t>
  </si>
  <si>
    <t>Avery 508</t>
  </si>
  <si>
    <t>Fellowes Mobile File Cart, Black</t>
  </si>
  <si>
    <t>Anker Astro 15000mAh USB Portable Charger</t>
  </si>
  <si>
    <t>Karen Bern</t>
  </si>
  <si>
    <t>Tennessee</t>
  </si>
  <si>
    <t>Deflect-o EconoMat Studded, No Bevel Mat for Low Pile Carpeting</t>
  </si>
  <si>
    <t>Christina Anderson</t>
  </si>
  <si>
    <t>Micro Innovations USB RF Wireless Keyboard with Mouse</t>
  </si>
  <si>
    <t>Permanent Self-Adhesive File Folder Labels for Typewriters by Universal</t>
  </si>
  <si>
    <t>Bobby Elias</t>
  </si>
  <si>
    <t>Xerox 1912</t>
  </si>
  <si>
    <t>Motorola L703CM</t>
  </si>
  <si>
    <t>Cathy Hwang</t>
  </si>
  <si>
    <t>Samsung Galaxy S4 Mini</t>
  </si>
  <si>
    <t>Mark Haberlin</t>
  </si>
  <si>
    <t>Harbour Creations Steel Folding Chair</t>
  </si>
  <si>
    <t>Justin Ritter</t>
  </si>
  <si>
    <t>Maxell 4.7GB DVD+RW 3/Pack</t>
  </si>
  <si>
    <t>Phillip Breyer</t>
  </si>
  <si>
    <t>Mediabridge Sport Armband iPhone 5s</t>
  </si>
  <si>
    <t>John Stevenson</t>
  </si>
  <si>
    <t>Tennsco Double-Tier Lockers</t>
  </si>
  <si>
    <t>Avery Durable Slant Ring Binders, No Labels</t>
  </si>
  <si>
    <t>Ross DeVincentis</t>
  </si>
  <si>
    <t>Tops Green Bar Computer Printout Paper</t>
  </si>
  <si>
    <t>Dave Kipp</t>
  </si>
  <si>
    <t>Wirebound Message Books, Four 2 3/4 x 5 Forms per Page, 200 Sets per Book</t>
  </si>
  <si>
    <t>Economy #2 Pencils</t>
  </si>
  <si>
    <t>Bevis Boat-Shaped Conference Table</t>
  </si>
  <si>
    <t>Regeneration Desk Collection</t>
  </si>
  <si>
    <t>Fred McMath</t>
  </si>
  <si>
    <t>Panasonic KP-150 Electric Pencil Sharpener</t>
  </si>
  <si>
    <t>Patrick Gardner</t>
  </si>
  <si>
    <t>GBC DocuBind P100 Manual Binding Machine</t>
  </si>
  <si>
    <t>Advantus Push Pins</t>
  </si>
  <si>
    <t>Erin Ashbrook</t>
  </si>
  <si>
    <t>Honeywell Enviracaire Portable Air Cleaner for up to 8 x 10 Room</t>
  </si>
  <si>
    <t>Global Stack Chair with Arms, Black</t>
  </si>
  <si>
    <t>Xerox 206</t>
  </si>
  <si>
    <t>John Dryer</t>
  </si>
  <si>
    <t>Hon Comfortask Task/Swivel Chairs</t>
  </si>
  <si>
    <t>Giulietta Weimer</t>
  </si>
  <si>
    <t>Eldon Cleatmat Plus Chair Mats for High Pile Carpets</t>
  </si>
  <si>
    <t>Wilson Jones “Snap” Scratch Pad Binder Tool for Ring Binders</t>
  </si>
  <si>
    <t>Jill Fjeld</t>
  </si>
  <si>
    <t>Hon Every-Day Chair Series Swivel Task Chairs</t>
  </si>
  <si>
    <t>Greg Tran</t>
  </si>
  <si>
    <t>Executive Impressions 14" Contract Wall Clock</t>
  </si>
  <si>
    <t>Carina Double Wide Media Storage Towers in Natural &amp; Black</t>
  </si>
  <si>
    <t>Staple-on labels</t>
  </si>
  <si>
    <t>Supplies</t>
  </si>
  <si>
    <t>Acme Office Executive Series Stainless Steel Trimmers</t>
  </si>
  <si>
    <t>Xerox 1880</t>
  </si>
  <si>
    <t>Alan Hwang</t>
  </si>
  <si>
    <t>Speediset Carbonless Redi-Letter 7" x 8 1/2"</t>
  </si>
  <si>
    <t>Matthew Clasen</t>
  </si>
  <si>
    <t>SanDisk Ultra 16 GB MicroSDHC Class 10 Memory Card</t>
  </si>
  <si>
    <t>Wilson Jones Clip &amp; Carry Folder Binder Tool for Ring Binders, Clear</t>
  </si>
  <si>
    <t>Fellowes Officeware Wire Shelving</t>
  </si>
  <si>
    <t>Avery Heavy-Duty EZD  Binder With Locking Rings</t>
  </si>
  <si>
    <t>Benjamin Venier</t>
  </si>
  <si>
    <t>9-3/4 Diameter Round Wall Clock</t>
  </si>
  <si>
    <t>Recycled Data-Pak for Archival Bound Computer Printouts, 12-1/2 x 12-1/2 x 16</t>
  </si>
  <si>
    <t>iOttie HLCRIO102 Car Mount</t>
  </si>
  <si>
    <t>Lindsay Castell</t>
  </si>
  <si>
    <t>Avery Durable Slant Ring Binders With Label Holder</t>
  </si>
  <si>
    <t>Standard Rollaway File with Lock</t>
  </si>
  <si>
    <t>Floodlight Indoor Halogen Bulbs, 1 Bulb per Pack, 60 Watts</t>
  </si>
  <si>
    <t>Paul Van Hugh</t>
  </si>
  <si>
    <t>Belkin 5 Outlet SurgeMaster Power Centers</t>
  </si>
  <si>
    <t>Tracy Zic</t>
  </si>
  <si>
    <t>AT&amp;T 1070 Corded Phone</t>
  </si>
  <si>
    <t>Memorex Mini Travel Drive 64 GB USB 2.0 Flash Drive</t>
  </si>
  <si>
    <t>Acco Clips to Go Binder Clips, 24 Clips in Two Sizes</t>
  </si>
  <si>
    <t>Alyssa Crouse</t>
  </si>
  <si>
    <t>Recycled Interoffice Envelopes with String and Button Closure, 10 x 13</t>
  </si>
  <si>
    <t>Bruce Degenhardt</t>
  </si>
  <si>
    <t>Dan Lawera</t>
  </si>
  <si>
    <t>Conquest 14 Commercial Heavy-Duty Upright Vacuum, Collection System, Accessory Kit</t>
  </si>
  <si>
    <t>Eric Barreto</t>
  </si>
  <si>
    <t>Flexible Leather- Look Classic Collection Ring Binder</t>
  </si>
  <si>
    <t>Don Weiss</t>
  </si>
  <si>
    <t>DAX Two-Tone Silver Metal Document Frame</t>
  </si>
  <si>
    <t>Lena Cacioppo</t>
  </si>
  <si>
    <t>Newell 34</t>
  </si>
  <si>
    <t>Rick Reed</t>
  </si>
  <si>
    <t>Staples</t>
  </si>
  <si>
    <t>Karen Daniels</t>
  </si>
  <si>
    <t>Adjustable Depth Letter/Legal Cart</t>
  </si>
  <si>
    <t>Ativa V4110MDD Micro-Cut Shredder</t>
  </si>
  <si>
    <t>Odella Nelson</t>
  </si>
  <si>
    <t>Colorado</t>
  </si>
  <si>
    <t>RCA ViSYS 25423RE1 Corded phone</t>
  </si>
  <si>
    <t>Brosina Hoffman</t>
  </si>
  <si>
    <t>Delaware</t>
  </si>
  <si>
    <t>GBC ProClick Punch Binding System</t>
  </si>
  <si>
    <t>Pyle PMP37LED</t>
  </si>
  <si>
    <t>Xerox 194</t>
  </si>
  <si>
    <t>Jason Gross</t>
  </si>
  <si>
    <t>Rediform Wirebound "Phone Memo" Message Book, 11 x 5-3/4</t>
  </si>
  <si>
    <t>Office Star - Mid Back Dual function Ergonomic High Back Chair with 2-Way Adjustable Arms</t>
  </si>
  <si>
    <t>Craig Carreira</t>
  </si>
  <si>
    <t>Indiana</t>
  </si>
  <si>
    <t>Plantronics Encore H101 Dual Earpieces Headset</t>
  </si>
  <si>
    <t>Chris Cortes</t>
  </si>
  <si>
    <t>Office Impressions End Table, 20-1/2"H x 24"W x 20"D</t>
  </si>
  <si>
    <t>Canon PC170 Desktop Personal Copier</t>
  </si>
  <si>
    <t>White Envelopes, White Envelopes with Clear Poly Window</t>
  </si>
  <si>
    <t>Theresa Swint</t>
  </si>
  <si>
    <t>Elite 5" Scissors</t>
  </si>
  <si>
    <t>Executive Impressions 10" Spectator Wall Clock</t>
  </si>
  <si>
    <t>Alex Avila</t>
  </si>
  <si>
    <t>High Speed Automatic Electric Letter Opener</t>
  </si>
  <si>
    <t>Acco Banker's Clasps, 5 3/4"-Long</t>
  </si>
  <si>
    <t>Polycom VVX 310 VoIP phone</t>
  </si>
  <si>
    <t>Verbatim 25 GB 6x Blu-ray Single Layer Recordable Disc, 1/Pack</t>
  </si>
  <si>
    <t>Michael Granlund</t>
  </si>
  <si>
    <t>Berol Giant Pencil Sharpener</t>
  </si>
  <si>
    <t>Randy Ferguson</t>
  </si>
  <si>
    <t>Avery 518</t>
  </si>
  <si>
    <t>Rick Duston</t>
  </si>
  <si>
    <t>Green Canvas Binder for 8-1/2" x 14" Sheets</t>
  </si>
  <si>
    <t>Eleni McCrary</t>
  </si>
  <si>
    <t>Logitech G602 Wireless Gaming Mouse</t>
  </si>
  <si>
    <t>Rob Williams</t>
  </si>
  <si>
    <t>Cameo Buff Policy Envelopes</t>
  </si>
  <si>
    <t>Acco Perma 4000 Stacking Storage Drawers</t>
  </si>
  <si>
    <t>Julia Barnett</t>
  </si>
  <si>
    <t>Wilson SignalBoost 841262 DB PRO Amplifier Kit</t>
  </si>
  <si>
    <t>Avery Self-Adhesive Photo Pockets for Polaroid Photos</t>
  </si>
  <si>
    <t>Grandstream GXP1160 VoIP phone</t>
  </si>
  <si>
    <t>Commercial WindTunnel Clean Air Upright Vacuum, Replacement Belts, Filtration Bags</t>
  </si>
  <si>
    <t>Peel &amp; Stick Add-On Corner Pockets</t>
  </si>
  <si>
    <t>Bevis Rectangular Conference Tables</t>
  </si>
  <si>
    <t>Ed Braxton</t>
  </si>
  <si>
    <t>Belkin Grip Candy Sheer Case / Cover for iPhone 5 and 5S</t>
  </si>
  <si>
    <t>Zuschuss Carroll</t>
  </si>
  <si>
    <t>Cisco Unified IP Phone 7945G VoIP phone</t>
  </si>
  <si>
    <t>Deflect-o DuraMat Lighweight, Studded, Beveled Mat for Low Pile Carpeting</t>
  </si>
  <si>
    <t>Brian DeCherney</t>
  </si>
  <si>
    <t>Rubber Band Ball</t>
  </si>
  <si>
    <t>Giulietta Baptist</t>
  </si>
  <si>
    <t>Coloredge Poster Frame</t>
  </si>
  <si>
    <t>Xerox 1993</t>
  </si>
  <si>
    <t>Satellite Sectional Post Binders</t>
  </si>
  <si>
    <t>Sanjit Jacobs</t>
  </si>
  <si>
    <t>Pressboard Hanging Data Binders for Unburst Sheets</t>
  </si>
  <si>
    <t>Verbatim 25 GB 6x Blu-ray Single Layer Recordable Disc, 3/Pack</t>
  </si>
  <si>
    <t>Tyvek Interoffice Envelopes, 9 1/2" x 12 1/2", 100/Box</t>
  </si>
  <si>
    <t>Stephanie Phelps</t>
  </si>
  <si>
    <t>Michigan</t>
  </si>
  <si>
    <t>Prang Drawing Pencil Set</t>
  </si>
  <si>
    <t>Rick Bensley</t>
  </si>
  <si>
    <t>Microsoft Sculpt Comfort Mouse</t>
  </si>
  <si>
    <t>Pamela Stobb</t>
  </si>
  <si>
    <t>Massachusetts</t>
  </si>
  <si>
    <t>Personal Folder Holder, Ebony</t>
  </si>
  <si>
    <t>Situations Contoured Folding Chairs, 4/Set</t>
  </si>
  <si>
    <t>Xerox 193</t>
  </si>
  <si>
    <t>GBC Binding covers</t>
  </si>
  <si>
    <t>Caroline Jumper</t>
  </si>
  <si>
    <t>O'Sullivan Living Dimensions 5-Shelf Bookcases</t>
  </si>
  <si>
    <t>Bryan Davis</t>
  </si>
  <si>
    <t>Plantronics Audio 478 Stereo USB Headset</t>
  </si>
  <si>
    <t>Karen Ferguson</t>
  </si>
  <si>
    <t>Rediform Voice Mail Log Books</t>
  </si>
  <si>
    <t>Apple iPhone 5</t>
  </si>
  <si>
    <t>Rick Huthwaite</t>
  </si>
  <si>
    <t>Kingston Digital DataTraveler 16GB USB 2.0</t>
  </si>
  <si>
    <t>Okidata MB760 Printer</t>
  </si>
  <si>
    <t>Maya Herman</t>
  </si>
  <si>
    <t>Mini 13-1/2 Capacity Data Binder Rack, Pearl</t>
  </si>
  <si>
    <t>Minnesota</t>
  </si>
  <si>
    <t>Wilson Jones Leather-Like Binders with DublLock Round Rings</t>
  </si>
  <si>
    <t>Mick Brown</t>
  </si>
  <si>
    <t>Julie Prescott</t>
  </si>
  <si>
    <t>Brad Thomas</t>
  </si>
  <si>
    <t>DAX Charcoal/Nickel-Tone Document Frame, 5 x 7</t>
  </si>
  <si>
    <t>Mike Caudle</t>
  </si>
  <si>
    <t>Louisiana</t>
  </si>
  <si>
    <t>Clytie Kelty</t>
  </si>
  <si>
    <t>Dean Katz</t>
  </si>
  <si>
    <t>Tennsco Stur-D-Stor Boltless Shelving, 5 Shelves, 24" Deep, Sand</t>
  </si>
  <si>
    <t>Euro-Pro Shark Turbo Vacuum</t>
  </si>
  <si>
    <t>Security-Tint Envelopes</t>
  </si>
  <si>
    <t>Hon 4070 Series Pagoda Round Back Stacking Chairs</t>
  </si>
  <si>
    <t>Scot Wooten</t>
  </si>
  <si>
    <t>Hammermill Color Copier Paper (28Lb. and 96 Bright)</t>
  </si>
  <si>
    <t>Tamara Willingham</t>
  </si>
  <si>
    <t>Belkin 7 Outlet SurgeMaster Surge Protector with Phone Protection</t>
  </si>
  <si>
    <t>Jabra BIZ 2300 Duo QD Duo Corded Headset</t>
  </si>
  <si>
    <t>Liz Thompson</t>
  </si>
  <si>
    <t>TOPS Carbonless Receipt Book, Four 2-3/4 x 7-1/4 Money Receipts per Page</t>
  </si>
  <si>
    <t>Insertable Tab Indexes For Data Binders</t>
  </si>
  <si>
    <t>Hon Non-Folding Utility Tables</t>
  </si>
  <si>
    <t>Adam Bellavance</t>
  </si>
  <si>
    <t>Howard Miller 14-1/2" Diameter Chrome Round Wall Clock</t>
  </si>
  <si>
    <t>Eureka The Boss Lite 10-Amp Upright Vacuum, Blue</t>
  </si>
  <si>
    <t>Ibico Covers for Plastic or Wire Binding Elements</t>
  </si>
  <si>
    <t>Edward Hooks</t>
  </si>
  <si>
    <t>Westinghouse Mesh Shade Clip-On Gooseneck Lamp, Black</t>
  </si>
  <si>
    <t>Stewart Carmichael</t>
  </si>
  <si>
    <t>SAFCO Arco Folding Chair</t>
  </si>
  <si>
    <t>Kensington Expert Mouse Optical USB Trackball for PC or Mac</t>
  </si>
  <si>
    <t>Polycom CX600 IP Phone VoIP phone</t>
  </si>
  <si>
    <t>Ibico EB-19 Dual Function Manual Binding System</t>
  </si>
  <si>
    <t>SAFCO Commercial Wire Shelving, Black</t>
  </si>
  <si>
    <t>GBC VeloBind Cover Sets</t>
  </si>
  <si>
    <t>Space Solutions Industrial Galvanized Steel Shelving.</t>
  </si>
  <si>
    <t>Okidata MB491 Multifunction Printer</t>
  </si>
  <si>
    <t>Dennis Bolton</t>
  </si>
  <si>
    <t>Cardinal EasyOpen D-Ring Binders</t>
  </si>
  <si>
    <t>Henia Zydlo</t>
  </si>
  <si>
    <t>Advantus Panel Wall Acrylic Frame</t>
  </si>
  <si>
    <t>Safco Value Mate Series Steel Bookcases, Baked Enamel Finish on Steel, Gray</t>
  </si>
  <si>
    <t>BOSTON Ranger #55 Pencil Sharpener, Black</t>
  </si>
  <si>
    <t>Muhammed MacIntyre</t>
  </si>
  <si>
    <t>Global High-Back Leather Tilter, Burgundy</t>
  </si>
  <si>
    <t>Sibella Parks</t>
  </si>
  <si>
    <t>Westinghouse Clip-On Gooseneck Lamps</t>
  </si>
  <si>
    <t>Paul Lucas</t>
  </si>
  <si>
    <t>V7 USB Numeric Keypad</t>
  </si>
  <si>
    <t>Fred Chung</t>
  </si>
  <si>
    <t>Avery Round Ring Poly Binders</t>
  </si>
  <si>
    <t>Global Comet Stacking Arm Chair</t>
  </si>
  <si>
    <t>Xerox 1964</t>
  </si>
  <si>
    <t>Muhammed Yedwab</t>
  </si>
  <si>
    <t>Novimex Swivel Fabric Task Chair</t>
  </si>
  <si>
    <t>GBC Pre-Punched Binding Paper, Plastic, White, 8-1/2" x 11"</t>
  </si>
  <si>
    <t>Christine Sundaresam</t>
  </si>
  <si>
    <t>Vivian Mathis</t>
  </si>
  <si>
    <t>Plantronics Voyager Pro HD - Bluetooth Headset</t>
  </si>
  <si>
    <t>Acco Flexible ACCOHIDE Square Ring Data Binder, Dark Blue, 11 1/2" X 14" 7/8"</t>
  </si>
  <si>
    <t>Gary Zandusky</t>
  </si>
  <si>
    <t>Blue String-Tie &amp; Button Interoffice Envelopes, 10 x 13</t>
  </si>
  <si>
    <t>Honeywell Enviracaire Portable HEPA Air Cleaner for 17' x 22' Room</t>
  </si>
  <si>
    <t>Electrix Halogen Magnifier Lamp</t>
  </si>
  <si>
    <t>Anna Chung</t>
  </si>
  <si>
    <t>i.Sound Portable Power - 8000 mAh</t>
  </si>
  <si>
    <t>Rose O'Brian</t>
  </si>
  <si>
    <t>Balt Solid Wood Rectangular Table</t>
  </si>
  <si>
    <t>Dave Brooks</t>
  </si>
  <si>
    <t>Hoover WindTunnel Plus Canister Vacuum</t>
  </si>
  <si>
    <t>Bobby Trafton</t>
  </si>
  <si>
    <t>Atlantic Metals Mobile 2-Shelf Bookcases, Custom Colors</t>
  </si>
  <si>
    <t>Susan Vittorini</t>
  </si>
  <si>
    <t>GE 4 Foot Flourescent Tube, 40 Watt</t>
  </si>
  <si>
    <t>Master Caster Door Stop, Brown</t>
  </si>
  <si>
    <t>Corey Catlett</t>
  </si>
  <si>
    <t>Ibico Recycled Grain-Textured Covers</t>
  </si>
  <si>
    <t>Oregon</t>
  </si>
  <si>
    <t>Xerox 225</t>
  </si>
  <si>
    <t>Clear Mylar Reinforcing Strips</t>
  </si>
  <si>
    <t>Xerox 1894</t>
  </si>
  <si>
    <t>Peter Bühler</t>
  </si>
  <si>
    <t>Belkin iPhone and iPad Lightning Cable</t>
  </si>
  <si>
    <t>Robert Dilbeck</t>
  </si>
  <si>
    <t>Missouri</t>
  </si>
  <si>
    <t>Aaron Hawkins</t>
  </si>
  <si>
    <t>Eldon Image Series Desk Accessories, Ebony</t>
  </si>
  <si>
    <t>Kean Takahito</t>
  </si>
  <si>
    <t>Avery Durable Slant Ring Binders</t>
  </si>
  <si>
    <t>Global Airflow Leather Mesh Back Chair, Black</t>
  </si>
  <si>
    <t>Newell 33</t>
  </si>
  <si>
    <t>Dario Medina</t>
  </si>
  <si>
    <t>Safco Drafting Table</t>
  </si>
  <si>
    <t>Prang Dustless Chalk Sticks</t>
  </si>
  <si>
    <t>Robert Barroso</t>
  </si>
  <si>
    <t>Nevada</t>
  </si>
  <si>
    <t>Logitech ClearChat Comfort/USB Headset H390</t>
  </si>
  <si>
    <t>Dan Reichenbach</t>
  </si>
  <si>
    <t>BlackBerry Q10</t>
  </si>
  <si>
    <t>Vivek Grady</t>
  </si>
  <si>
    <t>Ink Jet Note and Greeting Cards, 8-1/2" x 5-1/2" Card Size</t>
  </si>
  <si>
    <t>Dan Campbell</t>
  </si>
  <si>
    <t>O'Sullivan Living Dimensions 3-Shelf Bookcases</t>
  </si>
  <si>
    <t>Hunt BOSTON Vista Battery-Operated Pencil Sharpener, Black</t>
  </si>
  <si>
    <t>Logitech P710e Mobile Speakerphone</t>
  </si>
  <si>
    <t>Damala Kotsonis</t>
  </si>
  <si>
    <t>Gould Plastics 18-Pocket Panel Bin, 34w x 5-1/4d x 20-1/2h</t>
  </si>
  <si>
    <t>Dean Braden</t>
  </si>
  <si>
    <t>Tenex Personal Self-Stacking Standard File Box, Black/Gray</t>
  </si>
  <si>
    <t>Case Logic 2.4GHz Wireless Keyboard</t>
  </si>
  <si>
    <t>Mark Van Huff</t>
  </si>
  <si>
    <t>Idaho</t>
  </si>
  <si>
    <t>Adams Telephone Message Book W/Dividers/Space For Phone Numbers, 5 1/4"X8 1/2", 300/Messages</t>
  </si>
  <si>
    <t>Wilson Jones Hanging View Binder, White, 1"</t>
  </si>
  <si>
    <t>David Smith</t>
  </si>
  <si>
    <t>Eldon Expressions Wood and Plastic Desk Accessories, Oak</t>
  </si>
  <si>
    <t>Aaron Smayling</t>
  </si>
  <si>
    <t>Hanging Personal Folder File</t>
  </si>
  <si>
    <t>Rogers Deluxe File Chest</t>
  </si>
  <si>
    <t>Xerox 1983</t>
  </si>
  <si>
    <t>Maria Etezadi</t>
  </si>
  <si>
    <t>Computer Printout Paper with Letter-Trim Perforations</t>
  </si>
  <si>
    <t>Global Leather Highback Executive Chair with Pneumatic Height Adjustment, Black</t>
  </si>
  <si>
    <t>Janet Martin</t>
  </si>
  <si>
    <t>Memo Book, 100 Message Capacity, 5 3/8” x 11”</t>
  </si>
  <si>
    <t>Acco Four Pocket Poly Ring Binder with Label Holder, Smoke, 1"</t>
  </si>
  <si>
    <t>Howard Miller 13-3/4" Diameter Brushed Chrome Round Wall Clock</t>
  </si>
  <si>
    <t>GBC Plastic Binding Combs</t>
  </si>
  <si>
    <t>Troy Blackwell</t>
  </si>
  <si>
    <t>Clearsounds A400</t>
  </si>
  <si>
    <t>Cathy Prescott</t>
  </si>
  <si>
    <t>Xerox 188</t>
  </si>
  <si>
    <t>Carlos Soltero</t>
  </si>
  <si>
    <t>LG Exalt</t>
  </si>
  <si>
    <t>Anker Ultra-Slim Mini Bluetooth 3.0 Wireless Keyboard</t>
  </si>
  <si>
    <t>Erica Hackney</t>
  </si>
  <si>
    <t>Global Value Steno Chair, Gray</t>
  </si>
  <si>
    <t>Raymond Buch</t>
  </si>
  <si>
    <t>Fellowes Bankers Box Recycled Super Stor/Drawer</t>
  </si>
  <si>
    <t>Boston 1645 Deluxe Heavier-Duty Electric Pencil Sharpener</t>
  </si>
  <si>
    <t>50 Colored Long Pencils</t>
  </si>
  <si>
    <t>Newell 342</t>
  </si>
  <si>
    <t>Barry Blumstein</t>
  </si>
  <si>
    <t>Belkin F9H710-06 7 Outlet SurgeMaster Surge Protector</t>
  </si>
  <si>
    <t>Boston 16801 Nautilus Battery Pencil Sharpener</t>
  </si>
  <si>
    <t>Thomas Boland</t>
  </si>
  <si>
    <t>Avery 473</t>
  </si>
  <si>
    <t>Acme Value Line Scissors</t>
  </si>
  <si>
    <t>Avery Hanging File Binders</t>
  </si>
  <si>
    <t>Hon Deluxe Fabric Upholstered Stacking Chairs, Rounded Back</t>
  </si>
  <si>
    <t>Staple remover</t>
  </si>
  <si>
    <t>Avery Non-Stick Binders</t>
  </si>
  <si>
    <t>Daniel Byrd</t>
  </si>
  <si>
    <t>Denny Joy</t>
  </si>
  <si>
    <t>Global Executive Mid-Back Manager's Chair</t>
  </si>
  <si>
    <t>GBC Velobind Prepunched Cover Sets, Regency Series</t>
  </si>
  <si>
    <t>Zuschuss Donatelli</t>
  </si>
  <si>
    <t>Seth Thomas 13 1/2" Wall Clock</t>
  </si>
  <si>
    <t>Steven Roelle</t>
  </si>
  <si>
    <t>Xerox 1962</t>
  </si>
  <si>
    <t>Wirebound Message Books, Four 2 3/4" x 5" Forms per Page, 600 Sets per Book</t>
  </si>
  <si>
    <t>Evan Henry</t>
  </si>
  <si>
    <t>Ibico Ibimaster 300 Manual Binding System</t>
  </si>
  <si>
    <t>Becky Castell</t>
  </si>
  <si>
    <t>Tenex File Box, Personal Filing Tote with Lid, Black</t>
  </si>
  <si>
    <t>Logitech Trackman Marble Mouse</t>
  </si>
  <si>
    <t>Gary Mitchum</t>
  </si>
  <si>
    <t>Eldon Portable Mobile Manager</t>
  </si>
  <si>
    <t>Justin Hirsh</t>
  </si>
  <si>
    <t>Premier Automatic Letter Opener</t>
  </si>
  <si>
    <t>Valerie Mitchum</t>
  </si>
  <si>
    <t>Nortel Meridian M5316 Digital phone</t>
  </si>
  <si>
    <t>Yoseph Carroll</t>
  </si>
  <si>
    <t>Hewlett Packard 610 Color Digital Copier / Printer</t>
  </si>
  <si>
    <t>Dorris liebe</t>
  </si>
  <si>
    <t>Sarah Foster</t>
  </si>
  <si>
    <t>Newell 322</t>
  </si>
  <si>
    <t>Erin Smith</t>
  </si>
  <si>
    <t>Xerox 1939</t>
  </si>
  <si>
    <t>Alan Shonely</t>
  </si>
  <si>
    <t>Belkin 7-Outlet SurgeMaster Home Series</t>
  </si>
  <si>
    <t>Eldon Jumbo ProFile Portable File Boxes Graphite/Black</t>
  </si>
  <si>
    <t>Jeremy Lonsdale</t>
  </si>
  <si>
    <t>Sauder Barrister Bookcases</t>
  </si>
  <si>
    <t>Dixon Prang Watercolor Pencils, 10-Color Set with Brush</t>
  </si>
  <si>
    <t>Adams Phone Message Book, 200 Message Capacity, 8 1/16” x 11”</t>
  </si>
  <si>
    <t>Logan Currie</t>
  </si>
  <si>
    <t>Xerox 1923</t>
  </si>
  <si>
    <t>Fellowes Neat Ideas Storage Cubes</t>
  </si>
  <si>
    <t>Xerox 1931</t>
  </si>
  <si>
    <t>Kensington Orbit Wireless Mobile Trackball for PC and Mac</t>
  </si>
  <si>
    <t>Global Chrome Stack Chair</t>
  </si>
  <si>
    <t>GBC DocuBind P400 Electric Binding System</t>
  </si>
  <si>
    <t>Eugene Hildebrand</t>
  </si>
  <si>
    <t>#10 Self-Seal White Envelopes</t>
  </si>
  <si>
    <t>Catalog Binders with Expanding Posts</t>
  </si>
  <si>
    <t>C-Line Magnetic Cubicle Keepers, Clear Polypropylene</t>
  </si>
  <si>
    <t>Ampad #10 Peel &amp; Seel Holiday Envelopes</t>
  </si>
  <si>
    <t>Raymond Messe</t>
  </si>
  <si>
    <t>Hon Metal Bookcases, Black</t>
  </si>
  <si>
    <t>Christine Kargatis</t>
  </si>
  <si>
    <t>Arkansas</t>
  </si>
  <si>
    <t>Advantus Plastic Paper Clips</t>
  </si>
  <si>
    <t>Eldon Radial Chair Mat for Low to Medium Pile Carpets</t>
  </si>
  <si>
    <t>Edward Becker</t>
  </si>
  <si>
    <t>Acco Pressboard Covers with Storage Hooks, 14 7/8" x 11", Light Blue</t>
  </si>
  <si>
    <t>Sean Wendt</t>
  </si>
  <si>
    <t>Storex Flexible Poly Binders with Double Pockets</t>
  </si>
  <si>
    <t>Herbert Flentye</t>
  </si>
  <si>
    <t>Bush Somerset Collection Bookcase</t>
  </si>
  <si>
    <t>Wilson Jones Hanging Recycled Pressboard Data Binders</t>
  </si>
  <si>
    <t>Filia McAdams</t>
  </si>
  <si>
    <t>Xerox 227</t>
  </si>
  <si>
    <t>Brian Thompson</t>
  </si>
  <si>
    <t>3M Replacement Filter for Office Air Cleaner for 20' x 33' Room</t>
  </si>
  <si>
    <t>Fellowes Staxonsteel Drawer Files</t>
  </si>
  <si>
    <t>Rogers Profile Extra Capacity Storage Tub</t>
  </si>
  <si>
    <t>GBC Prepunched Paper, 19-Hole, for Binding Systems, 24-lb</t>
  </si>
  <si>
    <t>Quincy Jones</t>
  </si>
  <si>
    <t>BIC Brite Liner Grip Highlighters, Assorted, 5/Pack</t>
  </si>
  <si>
    <t>Brian Dahlen</t>
  </si>
  <si>
    <t>KI Adjustable-Height Table</t>
  </si>
  <si>
    <t>Xerox 1945</t>
  </si>
  <si>
    <t>Globe Weis Peel &amp; Seel First Class Envelopes</t>
  </si>
  <si>
    <t>Beth Paige</t>
  </si>
  <si>
    <t>JM Magazine Binder</t>
  </si>
  <si>
    <t>Jason Fortune-</t>
  </si>
  <si>
    <t>Global Geo Office Task Chair, Gray</t>
  </si>
  <si>
    <t>Aluminum Screw Posts</t>
  </si>
  <si>
    <t>Fellowes Bankers Box Staxonsteel Drawer File/Stacking System</t>
  </si>
  <si>
    <t>TOPS "Important Message" Pads, Canary, 4-1/4 x 5-1/2, 50 Sheets per Pad</t>
  </si>
  <si>
    <t>Susan Pistek</t>
  </si>
  <si>
    <t>Poly String Tie Envelopes</t>
  </si>
  <si>
    <t>Philip Brown</t>
  </si>
  <si>
    <t>Bevis Steel Folding Chairs</t>
  </si>
  <si>
    <t>Hon 4070 Series Pagoda Armless Upholstered Stacking Chairs</t>
  </si>
  <si>
    <t>Fellowes Personal Hanging Folder Files, Navy</t>
  </si>
  <si>
    <t>Tom Boeckenhauer</t>
  </si>
  <si>
    <t>Jill Matthias</t>
  </si>
  <si>
    <t>GBC ProClick Spines for 32-Hole Punch</t>
  </si>
  <si>
    <t>Ross Baird</t>
  </si>
  <si>
    <t>GBC ProClick 150 Presentation Binding System</t>
  </si>
  <si>
    <t>Imation Secure+ Hardware Encrypted USB 2.0 Flash Drive; 16GB</t>
  </si>
  <si>
    <t>Woodgrain Magazine Files by Perma</t>
  </si>
  <si>
    <t>Bill Donatelli</t>
  </si>
  <si>
    <t>HON 5400 Series Task Chairs for Big and Tall</t>
  </si>
  <si>
    <t>Dixon Ticonderoga Erasable Colored Pencil Set, 12-Color</t>
  </si>
  <si>
    <t>Ideal Clamps</t>
  </si>
  <si>
    <t>Julie Kriz</t>
  </si>
  <si>
    <t>Xerox 1911</t>
  </si>
  <si>
    <t>Arthur Prichep</t>
  </si>
  <si>
    <t>Newell 341</t>
  </si>
  <si>
    <t>Bill Shonely</t>
  </si>
  <si>
    <t>3D Systems Cube Printer, 2nd Generation, Magenta</t>
  </si>
  <si>
    <t>Stacking Trays by OIC</t>
  </si>
  <si>
    <t>Wilson Jones Standard D-Ring Binders</t>
  </si>
  <si>
    <t>Bryan Mills</t>
  </si>
  <si>
    <t>Stiletto Hand Letter Openers</t>
  </si>
  <si>
    <t>Pete Kriz</t>
  </si>
  <si>
    <t>Memorex Froggy Flash Drive 4 GB</t>
  </si>
  <si>
    <t>Standard Line “While You Were Out” Hardbound Telephone Message Book</t>
  </si>
  <si>
    <t>Motorola L804</t>
  </si>
  <si>
    <t>GE General Purpose, Extra Long Life, Showcase &amp; Floodlight Incandescent Bulbs</t>
  </si>
  <si>
    <t>Nebraska</t>
  </si>
  <si>
    <t>Advantus Push Pins, Aluminum Head</t>
  </si>
  <si>
    <t>Jessica Myrick</t>
  </si>
  <si>
    <t>Bush Westfield Collection Bookcases, Fully Assembled</t>
  </si>
  <si>
    <t>Charles Sheldon</t>
  </si>
  <si>
    <t>Ultra Door Kickplate, 8"H x 34"W</t>
  </si>
  <si>
    <t>Clay Rozendal</t>
  </si>
  <si>
    <t>Safco Industrial Wire Shelving</t>
  </si>
  <si>
    <t>Adams Telephone Message Books, 5 1/4” x 11”</t>
  </si>
  <si>
    <t>Roy Französisch</t>
  </si>
  <si>
    <t>Eureka The Boss Cordless Rechargeable Stick Vac</t>
  </si>
  <si>
    <t>SKILCRAFT Telephone Shoulder Rest, 2" x 6.5" x 2.5", Black</t>
  </si>
  <si>
    <t>Thea Hudgings</t>
  </si>
  <si>
    <t>Tennsco 16-Compartment Lockers with Coat Rack</t>
  </si>
  <si>
    <t>Howard Miller 16" Diameter Gallery Wall Clock</t>
  </si>
  <si>
    <t>Cindy Schnelling</t>
  </si>
  <si>
    <t>Acme Design Line 8" Stainless Steel Bent Scissors w/Champagne Handles, 3-1/8" Cut</t>
  </si>
  <si>
    <t>Bush Andora Conference Table, Maple/Graphite Gray Finish</t>
  </si>
  <si>
    <t>Xerox 189</t>
  </si>
  <si>
    <t>Jas O'Carroll</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</si>
  <si>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</si>
  <si>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</si>
  <si>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</si>
  <si>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</si>
  <si>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</si>
  <si>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</si>
  <si>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Kunst Miller</t>
  </si>
  <si>
    <t>Gear Head AU3700S Headset</t>
  </si>
  <si>
    <t>BIC Brite Liner Grip Highlighters</t>
  </si>
  <si>
    <t>Space Solutions HD Industrial Steel Shelving.</t>
  </si>
  <si>
    <t>Acme Kleen Earth Office Shears</t>
  </si>
  <si>
    <t>Panasonic KP-380BK Classic Electric Pencil Sharpener</t>
  </si>
  <si>
    <t>Fiskars Softgrip Scissors</t>
  </si>
  <si>
    <t>Fellowes Bankers Box Stor/Drawer Steel Plus</t>
  </si>
  <si>
    <t>Kensington 4 Outlet MasterPiece Compact Power Control Center</t>
  </si>
  <si>
    <t>Performers Binder/Pad Holder, Black</t>
  </si>
  <si>
    <t>Duane Noonan</t>
  </si>
  <si>
    <t>Round Ring Binders</t>
  </si>
  <si>
    <t>Colorific Watercolor Pencils</t>
  </si>
  <si>
    <t>Xerox 209</t>
  </si>
  <si>
    <t>Tanja Norvell</t>
  </si>
  <si>
    <t>Eldon Wave Desk Accessories</t>
  </si>
  <si>
    <t>Bush Advantage Collection Racetrack Conference Table</t>
  </si>
  <si>
    <t>Poly Designer Cover &amp; Back</t>
  </si>
  <si>
    <t>Premier Electric Letter Opener</t>
  </si>
  <si>
    <t>Fellowes Premier Superior Surge Suppressor, 10-Outlet, With Phone and Remote</t>
  </si>
  <si>
    <t>Ed Ludwig</t>
  </si>
  <si>
    <t>Eldon Advantage Chair Mats for Low to Medium Pile Carpets</t>
  </si>
  <si>
    <t>Tonja Turnell</t>
  </si>
  <si>
    <t>Pizazz Global Quick File</t>
  </si>
  <si>
    <t>Ultra Door Pull Handle</t>
  </si>
  <si>
    <t>Michael Moore</t>
  </si>
  <si>
    <t>Barrel Sharpener</t>
  </si>
  <si>
    <t>Newell 32</t>
  </si>
  <si>
    <t>Grace Kelly</t>
  </si>
  <si>
    <t>Ibico Laser Imprintable Binding System Covers</t>
  </si>
  <si>
    <t>Logitech Wireless Headset h800</t>
  </si>
  <si>
    <t>Heather Kirkland</t>
  </si>
  <si>
    <t>Southworth 25% Cotton Linen-Finish Paper &amp; Envelopes</t>
  </si>
  <si>
    <t>Max Jones</t>
  </si>
  <si>
    <t>Embossed Ink Jet Note Cards</t>
  </si>
  <si>
    <t>Eldon Fold 'N Roll Cart System</t>
  </si>
  <si>
    <t>Xerox 1942</t>
  </si>
  <si>
    <t>Art Ferguson</t>
  </si>
  <si>
    <t>Recycled Pressboard Report Cover with Reinforced Top Hinge</t>
  </si>
  <si>
    <t>Cathy Armstrong</t>
  </si>
  <si>
    <t>Plantronics S12 Corded Telephone Headset System</t>
  </si>
  <si>
    <t>Jack Lebron</t>
  </si>
  <si>
    <t>Cardinal Holdit Business Card Pockets</t>
  </si>
  <si>
    <t>Craig Leslie</t>
  </si>
  <si>
    <t>Xerox 226</t>
  </si>
  <si>
    <t>Wilson Jones Impact Binders</t>
  </si>
  <si>
    <t>John Lucas</t>
  </si>
  <si>
    <t>AT&amp;T 841000 Phone</t>
  </si>
  <si>
    <t>Wilson Jones Custom Binder Spines &amp; Labels</t>
  </si>
  <si>
    <t>Nona Balk</t>
  </si>
  <si>
    <t>Nortel Meridian M3904 Professional Digital phone</t>
  </si>
  <si>
    <t>Avery 493</t>
  </si>
  <si>
    <t>Erica Hernandez</t>
  </si>
  <si>
    <t>Xerox 1881</t>
  </si>
  <si>
    <t>Global Stack Chair without Arms, Black</t>
  </si>
  <si>
    <t>Rob Beeghly</t>
  </si>
  <si>
    <t>Eldon Delta Triangular Chair Mat, 52" x 58", Clear</t>
  </si>
  <si>
    <t>John Lee</t>
  </si>
  <si>
    <t>Tuff Stuff Recycled Round Ring Binders</t>
  </si>
  <si>
    <t>Flat Face Poster Frame</t>
  </si>
  <si>
    <t>Ken Dana</t>
  </si>
  <si>
    <t>12-1/2 Diameter Round Wall Clock</t>
  </si>
  <si>
    <t>Avery 499</t>
  </si>
  <si>
    <t>Bevis 44 x 96 Conference Tables</t>
  </si>
  <si>
    <t>Newell 3-Hole Punched Plastic Slotted Magazine Holders for Binders</t>
  </si>
  <si>
    <t>Chris McAfee</t>
  </si>
  <si>
    <t>Xerox 1914</t>
  </si>
  <si>
    <t>DIXON Ticonderoga Erasable Checking Pencils</t>
  </si>
  <si>
    <t>Cindy Chapman</t>
  </si>
  <si>
    <t>Super Decoflex Portable Personal File</t>
  </si>
  <si>
    <t>Adam Shillingsburg</t>
  </si>
  <si>
    <t>Akro Stacking Bins</t>
  </si>
  <si>
    <t>Sterilite Show Offs Storage Containers</t>
  </si>
  <si>
    <t>Avery 502</t>
  </si>
  <si>
    <t>Nick Radford</t>
  </si>
  <si>
    <t>Office Star - Contemporary Task Swivel chair with Loop Arms, Charcoal</t>
  </si>
  <si>
    <t>Eldon 200 Class Desk Accessories</t>
  </si>
  <si>
    <t>Vinyl Sectional Post Binders</t>
  </si>
  <si>
    <t>Southworth Parchment Paper &amp; Envelopes</t>
  </si>
  <si>
    <t>Howard Miller 13" Diameter Pewter Finish Round Wall Clock</t>
  </si>
  <si>
    <t>Newell 316</t>
  </si>
  <si>
    <t>Acco Smartsocket Color-Coded Six-Outlet AC Adapter Model Surge Protectors</t>
  </si>
  <si>
    <t>Susan MacKendrick</t>
  </si>
  <si>
    <t>Imation 16GB Mini TravelDrive USB 2.0 Flash Drive</t>
  </si>
  <si>
    <t>Tennsco Industrial Shelving</t>
  </si>
  <si>
    <t>Computer Room Manger, 14"</t>
  </si>
  <si>
    <t>Logitech VX Revolution Cordless Laser Mouse for Notebooks (Black)</t>
  </si>
  <si>
    <t>Cisco 8961 IP Phone Charcoal</t>
  </si>
  <si>
    <t>Avery 496</t>
  </si>
  <si>
    <t>Natalie DeCherney</t>
  </si>
  <si>
    <t>Xerox 1909</t>
  </si>
  <si>
    <t>Patrick Jones</t>
  </si>
  <si>
    <t>Xerox 1965</t>
  </si>
  <si>
    <t>Barry Franz</t>
  </si>
  <si>
    <t>Perma STOR-ALL Hanging File Box, 13 1/8"W x 12 1/4"D x 10 1/2"H</t>
  </si>
  <si>
    <t>Cisco Small Business SPA 502G VoIP phone</t>
  </si>
  <si>
    <t>Darrin Martin</t>
  </si>
  <si>
    <t>Computer Printout Index Tabs</t>
  </si>
  <si>
    <t>Bevis 36 x 72 Conference Tables</t>
  </si>
  <si>
    <t>Eldon Image Series Desk Accessories, Burgundy</t>
  </si>
  <si>
    <t>Amy Hunt</t>
  </si>
  <si>
    <t>Hon 61000 Series Interactive Training Tables</t>
  </si>
  <si>
    <t>Lindsay Williams</t>
  </si>
  <si>
    <t>Global Adaptabilities Conference Tables</t>
  </si>
  <si>
    <t>Avery Poly Binder Pockets</t>
  </si>
  <si>
    <t>Snap-A-Way Black Print Carbonless Speed Message, No Reply Area, Duplicate</t>
  </si>
  <si>
    <t>Avaya 4621SW VoIP phone</t>
  </si>
  <si>
    <t>Brad Eason</t>
  </si>
  <si>
    <t>Advantus T-Pin Paper Clips</t>
  </si>
  <si>
    <t>Xerox 1951</t>
  </si>
  <si>
    <t>DAX Solid Wood Frames</t>
  </si>
  <si>
    <t>Insertable Tab Post Binder Dividers</t>
  </si>
  <si>
    <t>Logitech Desktop MK120 Mouse and keyboard Combo</t>
  </si>
  <si>
    <t>Gene McClure</t>
  </si>
  <si>
    <t>Executive Impressions 8-1/2" Career Panel/Partition Cubicle Clock</t>
  </si>
  <si>
    <t>GBC Twin Loop Wire Binding Elements, 9/16" Spine, Black</t>
  </si>
  <si>
    <t>Alphabetical Labels for Top Tab Filing</t>
  </si>
  <si>
    <t>Hon Mobius Operator's Chair</t>
  </si>
  <si>
    <t>Bady BDG101FRU Card Printer</t>
  </si>
  <si>
    <t>SanDisk Ultra 64 GB MicroSDHC Class 10 Memory Card</t>
  </si>
  <si>
    <t>Staple-based wall hangings</t>
  </si>
  <si>
    <t>George Bell</t>
  </si>
  <si>
    <t>Tenex 46" x 60" Computer Anti-Static Chairmat, Rectangular Shaped</t>
  </si>
  <si>
    <t>Clay Ludtke</t>
  </si>
  <si>
    <t>Smead Adjustable Mobile File Trolley with Lockable Top</t>
  </si>
  <si>
    <t>Xerox 1898</t>
  </si>
  <si>
    <t>Xerox 222</t>
  </si>
  <si>
    <t>SanDisk Cruzer 64 GB USB Flash Drive</t>
  </si>
  <si>
    <t>Trudy Brown</t>
  </si>
  <si>
    <t>Xerox 1920</t>
  </si>
  <si>
    <t>Sonia Sunley</t>
  </si>
  <si>
    <t>Sony Micro Vault Click 8 GB USB 2.0 Flash Drive</t>
  </si>
  <si>
    <t>Julia West</t>
  </si>
  <si>
    <t>Paul Stevenson</t>
  </si>
  <si>
    <t>Sanford Pocket Accent Highlighters</t>
  </si>
  <si>
    <t>Ricardo Sperren</t>
  </si>
  <si>
    <t>TOPS Money Receipt Book, Consecutively Numbered in Red,</t>
  </si>
  <si>
    <t>I Need's 3d Hello Kitty Hybrid Silicone Case Cover for HTC One X 4g with 3d Hello Kitty Stylus Pen Green/pink</t>
  </si>
  <si>
    <t>Thea Hendricks</t>
  </si>
  <si>
    <t>4009 Highlighters by Sanford</t>
  </si>
  <si>
    <t>Cynthia Voltz</t>
  </si>
  <si>
    <t>Hot File 7-Pocket, Floor Stand</t>
  </si>
  <si>
    <t>Ibico Standard Transparent Covers</t>
  </si>
  <si>
    <t>Euro Pro Shark Stick Mini Vacuum</t>
  </si>
  <si>
    <t>Roger Demir</t>
  </si>
  <si>
    <t>Christopher Schild</t>
  </si>
  <si>
    <t>ClearOne CHATAttach 160 - speaker phone</t>
  </si>
  <si>
    <t>Grip Seal Envelopes</t>
  </si>
  <si>
    <t>Ted Trevino</t>
  </si>
  <si>
    <t>Rogers Handheld Barrel Pencil Sharpener</t>
  </si>
  <si>
    <t>Manila Recycled Extra-Heavyweight Clasp Envelopes, 6" x 9"</t>
  </si>
  <si>
    <t>Harry Marie</t>
  </si>
  <si>
    <t>OIC Stacking Trays</t>
  </si>
  <si>
    <t>Jawbone JAMBOX Wireless Bluetooth Speaker</t>
  </si>
  <si>
    <t>Memorex Mini Travel Drive 32 GB USB 2.0 Flash Drive</t>
  </si>
  <si>
    <t>Staple holder</t>
  </si>
  <si>
    <t>Logan Haushalter</t>
  </si>
  <si>
    <t>GE 48" Fluorescent Tube, Cool White Energy Saver, 34 Watts, 30/Box</t>
  </si>
  <si>
    <t>Michael Kennedy</t>
  </si>
  <si>
    <t>GBC DocuBind P50 Personal Binding Machine</t>
  </si>
  <si>
    <t>Xerox 23</t>
  </si>
  <si>
    <t>DAX Copper Panel Document Frame, 5 x 7 Size</t>
  </si>
  <si>
    <t>LF Elite 3D Dazzle Designer Hard Case Cover, Lf Stylus Pen and Wiper For Apple Iphone 5c Mini Lite</t>
  </si>
  <si>
    <t>Dixon Ticonderoga Pencils</t>
  </si>
  <si>
    <t>Wilson Jones International Size A4 Ring Binders</t>
  </si>
  <si>
    <t>Tiffany House</t>
  </si>
  <si>
    <t>Steve Nguyen</t>
  </si>
  <si>
    <t>Boston KS Multi-Size Manual Pencil Sharpener</t>
  </si>
  <si>
    <t>Newell 344</t>
  </si>
  <si>
    <t>Thomas Thornton</t>
  </si>
  <si>
    <t>Binder Posts</t>
  </si>
  <si>
    <t>Darren Powers</t>
  </si>
  <si>
    <t>GBC Instant Report Kit</t>
  </si>
  <si>
    <t>Michael Nguyen</t>
  </si>
  <si>
    <t>TOPS Voice Message Log Book, Flash Format</t>
  </si>
  <si>
    <t>Jim Radford</t>
  </si>
  <si>
    <t>Denny Ordway</t>
  </si>
  <si>
    <t>Xerox 196</t>
  </si>
  <si>
    <t>Sanjit Chand</t>
  </si>
  <si>
    <t>Tenex Carpeted, Granite-Look or Clear Contemporary Contour Shape Chair Mats</t>
  </si>
  <si>
    <t>Avery 481</t>
  </si>
  <si>
    <t>Roy Phan</t>
  </si>
  <si>
    <t>Arthur Gainer</t>
  </si>
  <si>
    <t>Acme Forged Steel Scissors with Black Enamel Handles</t>
  </si>
  <si>
    <t>Avery 519</t>
  </si>
  <si>
    <t>Luke Weiss</t>
  </si>
  <si>
    <t>Acco Recycled 2" Capacity Laser Printer Hanging Data Binders</t>
  </si>
  <si>
    <t>Acco Hot Clips Clips to Go</t>
  </si>
  <si>
    <t>Home/Office Personal File Carts</t>
  </si>
  <si>
    <t>Universal Premium White Copier/Laser Paper (20Lb. and 87 Bright)</t>
  </si>
  <si>
    <t>Laurel Elliston</t>
  </si>
  <si>
    <t>Bradley Nguyen</t>
  </si>
  <si>
    <t>Belkin Premiere Surge Master II 8-outlet surge protector</t>
  </si>
  <si>
    <t>Safco Industrial Wire Shelving System</t>
  </si>
  <si>
    <t>Recycled Easel Ring Binders</t>
  </si>
  <si>
    <t>Bill Tyler</t>
  </si>
  <si>
    <t>GBC Personal VeloBind Strips</t>
  </si>
  <si>
    <t>Anna Häberlin</t>
  </si>
  <si>
    <t>Luxo Professional Fluorescent Magnifier Lamp with Clamp-Mount Base</t>
  </si>
  <si>
    <t>Wilson Jones Turn Tabs Binder Tool for Ring Binders</t>
  </si>
  <si>
    <t>Joe Kamberova</t>
  </si>
  <si>
    <t>GBC Durable Plastic Covers</t>
  </si>
  <si>
    <t>Motorola HK250 Universal Bluetooth Headset</t>
  </si>
  <si>
    <t>Linda Cazamias</t>
  </si>
  <si>
    <t>Panasonic KX MB2061 Multifunction Printer</t>
  </si>
  <si>
    <t>Christine Phan</t>
  </si>
  <si>
    <t>Rhode Island</t>
  </si>
  <si>
    <t>Alejandro Savely</t>
  </si>
  <si>
    <t>Pressboard Covers with Storage Hooks, 9 1/2" x 11", Light Blue</t>
  </si>
  <si>
    <t>Southworth 100% Cotton The Best Paper</t>
  </si>
  <si>
    <t>Sally Hughsby</t>
  </si>
  <si>
    <t>Cardinal HOLDit! Binder Insert Strips,Extra Strips</t>
  </si>
  <si>
    <t>Eureka Sanitaire  Commercial Upright</t>
  </si>
  <si>
    <t>SanDisk Cruzer 32 GB USB Flash Drive</t>
  </si>
  <si>
    <t>Digium D40 VoIP phone</t>
  </si>
  <si>
    <t>Jim Epp</t>
  </si>
  <si>
    <t>Nortel Business Series Terminal T7208 Digital phone</t>
  </si>
  <si>
    <t>Lisa DeCherney</t>
  </si>
  <si>
    <t>Ken Lonsdale</t>
  </si>
  <si>
    <t>Mitel MiVoice 5330e IP Phone</t>
  </si>
  <si>
    <t>Anne Pryor</t>
  </si>
  <si>
    <t>Alabama</t>
  </si>
  <si>
    <t>Xerox 1949</t>
  </si>
  <si>
    <t>Christopher Conant</t>
  </si>
  <si>
    <t>Canon imageCLASS 2200 Advanced Copier</t>
  </si>
  <si>
    <t>Avery Legal 4-Ring Binder</t>
  </si>
  <si>
    <t>Xerox 224</t>
  </si>
  <si>
    <t>Acme Hot Forged Carbon Steel Scissors with Nickel-Plated Handles, 3 7/8" Cut, 8"L</t>
  </si>
  <si>
    <t>Dennis Pardue</t>
  </si>
  <si>
    <t>BIC Liqua Brite Liner</t>
  </si>
  <si>
    <t>Eldon Expressions Mahogany Wood Desk Collection</t>
  </si>
  <si>
    <t>Wirebound Service Call Books, 5 1/2" x 4"</t>
  </si>
  <si>
    <t>Fellowes Strictly Business Drawer File, Letter/Legal Size</t>
  </si>
  <si>
    <t>Maurice Satty</t>
  </si>
  <si>
    <t>Office Star Flex Back Scooter Chair with White Frame</t>
  </si>
  <si>
    <t>Logitech G13 Programmable Gameboard with LCD Display</t>
  </si>
  <si>
    <t>District of Columbia</t>
  </si>
  <si>
    <t>Weyerhaeuser First Choice Laser/Copy Paper (20Lb. and 88 Bright)</t>
  </si>
  <si>
    <t>Telephone Message Books with Fax/Mobile Section, 5 1/2" x 3 3/16"</t>
  </si>
  <si>
    <t>OIC #2 Pencils, Medium Soft</t>
  </si>
  <si>
    <t>Holmes HEPA Air Purifier</t>
  </si>
  <si>
    <t>Stewart Visinsky</t>
  </si>
  <si>
    <t>Alliance Big Bands Rubber Bands, 12/Pack</t>
  </si>
  <si>
    <t>Xerox 1946</t>
  </si>
  <si>
    <t>Cisco SPA508G</t>
  </si>
  <si>
    <t>Global Low Back Tilter Chair</t>
  </si>
  <si>
    <t>Fellowes Powershred HS-440 4-Sheet High Security Shredder</t>
  </si>
  <si>
    <t>Advantus Rolling Drawer Organizers</t>
  </si>
  <si>
    <t>Imation 32GB Pocket Pro USB 3.0 Flash Drive - 32 GB - Black - 1 P ...</t>
  </si>
  <si>
    <t>Xerox 1910</t>
  </si>
  <si>
    <t>Xerox 1915</t>
  </si>
  <si>
    <t>Brian Stugart</t>
  </si>
  <si>
    <t>36X48 HARDFLOOR CHAIRMAT</t>
  </si>
  <si>
    <t>G.E. Halogen Desk Lamp Bulbs</t>
  </si>
  <si>
    <t>Lynn Smith</t>
  </si>
  <si>
    <t>Wirebound Message Books, Four 2 3/4 x 5 White Forms per Page</t>
  </si>
  <si>
    <t>Valerie Dominguez</t>
  </si>
  <si>
    <t>Boston School Pro Electric Pencil Sharpener, 1670</t>
  </si>
  <si>
    <t>Kimberly Carter</t>
  </si>
  <si>
    <t>Novimex Fabric Task Chair</t>
  </si>
  <si>
    <t>Great White Multi-Use Recycled Paper (20Lb. and 84 Bright)</t>
  </si>
  <si>
    <t>Kensington 7 Outlet MasterPiece HOMEOFFICE Power Control Center</t>
  </si>
  <si>
    <t>Xerox 1991</t>
  </si>
  <si>
    <t>Okidata C331dn Printer</t>
  </si>
  <si>
    <t>Wilson Electronics DB Pro Signal Booster</t>
  </si>
  <si>
    <t>Rob Lucas</t>
  </si>
  <si>
    <t>Panasonic KX-TG9471B</t>
  </si>
  <si>
    <t>Newell 333</t>
  </si>
  <si>
    <t>3M Polarizing Light Filter Sleeves</t>
  </si>
  <si>
    <t>Maribeth Yedwab</t>
  </si>
  <si>
    <t>GBC Standard Therm-A-Bind Covers</t>
  </si>
  <si>
    <t>Global Troy Executive Leather Low-Back Tilter</t>
  </si>
  <si>
    <t>Robert Waldorf</t>
  </si>
  <si>
    <t>Angle-D Ring Binders</t>
  </si>
  <si>
    <t>Brooke Gillingham</t>
  </si>
  <si>
    <t>Canon Imageclass D680 Copier / Fax</t>
  </si>
  <si>
    <t>Hon Rectangular Conference Tables</t>
  </si>
  <si>
    <t>Plantronics CS510 - Over-the-Head monaural Wireless Headset System</t>
  </si>
  <si>
    <t>Justin MacKendrick</t>
  </si>
  <si>
    <t>Nancy Lomonaco</t>
  </si>
  <si>
    <t>Xerox 228</t>
  </si>
  <si>
    <t>Eugene Moren</t>
  </si>
  <si>
    <t>Acco 7-Outlet Masterpiece Power Center, Wihtout Fax/Phone Line Protection</t>
  </si>
  <si>
    <t>Eldon Simplefile Box Office</t>
  </si>
  <si>
    <t>Newell 343</t>
  </si>
  <si>
    <t>Xerox 217</t>
  </si>
  <si>
    <t>VTech DS6151</t>
  </si>
  <si>
    <t>Redi-Strip #10 Envelopes, 4 1/8 x 9 1/2</t>
  </si>
  <si>
    <t>Sony Micro Vault Click 16 GB USB 2.0 Flash Drive</t>
  </si>
  <si>
    <t>Annie Thurman</t>
  </si>
  <si>
    <t>Anker 36W 4-Port USB Wall Charger Travel Power Adapter for iPhone 5s 5c 5</t>
  </si>
  <si>
    <t>Executive Impressions 16-1/2" Circular Wall Clock</t>
  </si>
  <si>
    <t>Xerox 1899</t>
  </si>
  <si>
    <t>Global Highback Leather Tilter in Burgundy</t>
  </si>
  <si>
    <t>Avery Hidden Tab Dividers for Binding Systems</t>
  </si>
  <si>
    <t>Jackery Bar Premium Fast-charging Portable Charger</t>
  </si>
  <si>
    <t>Karen Carlisle</t>
  </si>
  <si>
    <t>Riverleaf Stik-Withit Designer Note Cubes</t>
  </si>
  <si>
    <t>Acco PRESSTEX Data Binder with Storage Hooks, Dark Blue, 14 7/8" X 11"</t>
  </si>
  <si>
    <t>Acco Translucent Poly Ring Binders</t>
  </si>
  <si>
    <t>Snap-A-Way Black Print Carbonless Ruled Speed Letter, Triplicate</t>
  </si>
  <si>
    <t>Xerox 1957</t>
  </si>
  <si>
    <t>PureGear Roll-On Screen Protector</t>
  </si>
  <si>
    <t>KI Conference Tables</t>
  </si>
  <si>
    <t>Eldon 100 Class Desk Accessories</t>
  </si>
  <si>
    <t>Binney &amp; Smith Crayola Metallic Colored Pencils, 8-Color Set</t>
  </si>
  <si>
    <t>Edward Nazzal</t>
  </si>
  <si>
    <t>Panasonic KX MC6040 Color Laser Multifunction Printer</t>
  </si>
  <si>
    <t>Sauder Inglewood Library Bookcases</t>
  </si>
  <si>
    <t>Linden 10" Round Wall Clock, Black</t>
  </si>
  <si>
    <t>Joni Sundaresam</t>
  </si>
  <si>
    <t>Eldon Base for stackable storage shelf, platinum</t>
  </si>
  <si>
    <t>Janet Lee</t>
  </si>
  <si>
    <t>Newell 314</t>
  </si>
  <si>
    <t>Avery White Multi-Purpose Labels</t>
  </si>
  <si>
    <t>Chloris Kastensmidt</t>
  </si>
  <si>
    <t>Acco 6 Outlet Guardian Premium Surge Suppressor</t>
  </si>
  <si>
    <t>Ken Brennan</t>
  </si>
  <si>
    <t>Acme Box Cutter Scissors</t>
  </si>
  <si>
    <t>Letter Size Cart</t>
  </si>
  <si>
    <t>Scot Coram</t>
  </si>
  <si>
    <t>Xerox 191</t>
  </si>
  <si>
    <t>Trimflex Flexible Post Binders</t>
  </si>
  <si>
    <t>Xerox 230</t>
  </si>
  <si>
    <t>Avery 488</t>
  </si>
  <si>
    <t>Xerox Blank Computer Paper</t>
  </si>
  <si>
    <t>Samsung Galaxy Mega 6.3</t>
  </si>
  <si>
    <t>Rosewill 107 Normal Keys USB Wired Standard Keyboard</t>
  </si>
  <si>
    <t>Bose SoundLink Bluetooth Speaker</t>
  </si>
  <si>
    <t>Liz Preis</t>
  </si>
  <si>
    <t>Deflect-o EconoMat Nonstudded, No Bevel Mat</t>
  </si>
  <si>
    <t>Frank Merwin</t>
  </si>
  <si>
    <t>While You Were Out Pads, 50 per Pad, 4 x 5 1/4, Green Cycle</t>
  </si>
  <si>
    <t>Roy Skaria</t>
  </si>
  <si>
    <t>Greg Matthias</t>
  </si>
  <si>
    <t>Toby Carlisle</t>
  </si>
  <si>
    <t>Cisco CP-7937G Unified IP Conference Station Phone</t>
  </si>
  <si>
    <t>Global Deluxe Stacking Chair, Gray</t>
  </si>
  <si>
    <t>Benjamin Farhat</t>
  </si>
  <si>
    <t>Bush Cubix Conference Tables, Fully Assembled</t>
  </si>
  <si>
    <t>Olvera Toch</t>
  </si>
  <si>
    <t>Avery 487</t>
  </si>
  <si>
    <t>Mary Zewe</t>
  </si>
  <si>
    <t>GBC Wire Binding Combs</t>
  </si>
  <si>
    <t>Stacking Tray, Side-Loading, Legal, Smoke</t>
  </si>
  <si>
    <t>Erica Smith</t>
  </si>
  <si>
    <t>Razer Kraken PRO Over Ear PC and Music Headset</t>
  </si>
  <si>
    <t>Avery 486</t>
  </si>
  <si>
    <t>Logitech G35 7.1-Channel Surround Sound Headset</t>
  </si>
  <si>
    <t>Seth Vernon</t>
  </si>
  <si>
    <t>Bretford Rectangular Conference Table Tops</t>
  </si>
  <si>
    <t>Darrin Van Huff</t>
  </si>
  <si>
    <t>Self-Adhesive Address Labels for Typewriters by Universal</t>
  </si>
  <si>
    <t>1.7 Cubic Foot Compact "Cube" Office Refrigerators</t>
  </si>
  <si>
    <t>Artistic Insta-Plaque</t>
  </si>
  <si>
    <t>DXL Angle-View Binders with Locking Rings by Samsill</t>
  </si>
  <si>
    <t>Companion Letter/Legal File, Black</t>
  </si>
  <si>
    <t>KLD Oscar II Style Snap-on Ultra Thin Side Flip Synthetic Leather Cover Case for HTC One HTC M7</t>
  </si>
  <si>
    <t>Philisse Overcash</t>
  </si>
  <si>
    <t>Canon Color ImageCLASS MF8580Cdw Wireless Laser All-In-One Printer, Copier, Scanner</t>
  </si>
  <si>
    <t>Xerox 1908</t>
  </si>
  <si>
    <t>Craig Reiter</t>
  </si>
  <si>
    <t>Xerox 1978</t>
  </si>
  <si>
    <t>IBM Multi-Purpose Copy Paper, 8 1/2 x 11", Case</t>
  </si>
  <si>
    <t>Bionaire 99.97% HEPA Air Cleaner</t>
  </si>
  <si>
    <t>Arthur Wiediger</t>
  </si>
  <si>
    <t>APC 7 Outlet Network SurgeArrest Surge Protector</t>
  </si>
  <si>
    <t>Dax Clear Box Frame</t>
  </si>
  <si>
    <t>Nontoxic Chalk</t>
  </si>
  <si>
    <t>Xerox 1975</t>
  </si>
  <si>
    <t>Global Enterprise Series Seating High-Back Swivel/Tilt Chairs</t>
  </si>
  <si>
    <t>Staple magnet</t>
  </si>
  <si>
    <t>Acco Pressboard Covers with Storage Hooks, 14 7/8" x 11", Executive Red</t>
  </si>
  <si>
    <t>Ooma Telo VoIP Home Phone System</t>
  </si>
  <si>
    <t>Kansas</t>
  </si>
  <si>
    <t>Avery 51</t>
  </si>
  <si>
    <t>Premium Transparent Presentation Covers by GBC</t>
  </si>
  <si>
    <t>Newell 326</t>
  </si>
  <si>
    <t>Newell 346</t>
  </si>
  <si>
    <t>Marc Harrigan</t>
  </si>
  <si>
    <t>Bush Heritage Pine Collection 5-Shelf Bookcase, Albany Pine Finish, *Special Order</t>
  </si>
  <si>
    <t>Jim Sink</t>
  </si>
  <si>
    <t>GBC Twin Loop Wire Binding Elements</t>
  </si>
  <si>
    <t>Verbatim Slim CD and DVD Storage Cases, 50/Pack</t>
  </si>
  <si>
    <t>Anthony Rawles</t>
  </si>
  <si>
    <t>Xerox 19</t>
  </si>
  <si>
    <t>James Lanier</t>
  </si>
  <si>
    <t>Penpower WorldCard Pro Card Scanner</t>
  </si>
  <si>
    <t>Jennifer Jackson</t>
  </si>
  <si>
    <t>Ted Butterfield</t>
  </si>
  <si>
    <t>Xerox 232</t>
  </si>
  <si>
    <t>Novimex Turbo Task Chair</t>
  </si>
  <si>
    <t>Array Parchment Paper, Assorted Colors</t>
  </si>
  <si>
    <t>Imation 8gb Micro Traveldrive Usb 2.0 Flash Drive</t>
  </si>
  <si>
    <t>Ivan Gibson</t>
  </si>
  <si>
    <t>Xerox 1934</t>
  </si>
  <si>
    <t>Rogers Jumbo File, Granite</t>
  </si>
  <si>
    <t>Mike Vittorini</t>
  </si>
  <si>
    <t>Lena Creighton</t>
  </si>
  <si>
    <t>Rubbermaid ClusterMat Chairmats, Mat Size- 66" x 60", Lip 20" x 11" -90 Degree Angle</t>
  </si>
  <si>
    <t>Global Manager's Adjustable Task Chair, Storm</t>
  </si>
  <si>
    <t>Ibico Presentation Index for Binding Systems</t>
  </si>
  <si>
    <t>Wireless Extenders zBoost YX545 SOHO Signal Booster</t>
  </si>
  <si>
    <t>Newell 35</t>
  </si>
  <si>
    <t>Denise Monton</t>
  </si>
  <si>
    <t>Hon 2111 Invitation Series Corner Table</t>
  </si>
  <si>
    <t>Xerox 1937</t>
  </si>
  <si>
    <t>Xerox 1900</t>
  </si>
  <si>
    <t>Harmony Air Purifier</t>
  </si>
  <si>
    <t>Message Book, Standard Line "While You Were Out", 5 1/2" X 4", 200 Sets/Book</t>
  </si>
  <si>
    <t>Lena Hernandez</t>
  </si>
  <si>
    <t>Dave Poirier</t>
  </si>
  <si>
    <t>DIXON Oriole Pencils</t>
  </si>
  <si>
    <t>Xerox 202</t>
  </si>
  <si>
    <t>Catherine Glotzbach</t>
  </si>
  <si>
    <t>Wirebound Message Books, 2 7/8" x 5", 3 Forms per Page</t>
  </si>
  <si>
    <t>Sanyo 2.5 Cubic Foot Mid-Size Office Refrigerators</t>
  </si>
  <si>
    <t>Belkin 6 Outlet Metallic Surge Strip</t>
  </si>
  <si>
    <t>Hon Valutask Swivel Chairs</t>
  </si>
  <si>
    <t>Imation 30456 USB Flash Drive 8GB</t>
  </si>
  <si>
    <t>SpineVue Locking Slant-D Ring Binders by Cardinal</t>
  </si>
  <si>
    <t>Premium Transparent Presentation Covers, No Pattern/Clear, 8 1/2" x 11"</t>
  </si>
  <si>
    <t>Irene Maddox</t>
  </si>
  <si>
    <t>Avery 4027 File Folder Labels for Dot Matrix Printers, 5000 Labels per Box, White</t>
  </si>
  <si>
    <t>Avery 52</t>
  </si>
  <si>
    <t>Tops White Computer Printout Paper</t>
  </si>
  <si>
    <t>Translucent Push Pins by OIC</t>
  </si>
  <si>
    <t>Maureen Gnade</t>
  </si>
  <si>
    <t>Compact Automatic Electric Letter Opener</t>
  </si>
  <si>
    <t>Ruben Dartt</t>
  </si>
  <si>
    <t>Mobile Personal File Cube</t>
  </si>
  <si>
    <t>Avery 516</t>
  </si>
  <si>
    <t>Xerox 1884</t>
  </si>
  <si>
    <t>Sally Matthias</t>
  </si>
  <si>
    <t>Macally Suction Cup Mount</t>
  </si>
  <si>
    <t>Hunter Lopez</t>
  </si>
  <si>
    <t>Panasonic KX TS208W Corded phone</t>
  </si>
  <si>
    <t>Dave Hallsten</t>
  </si>
  <si>
    <t>Gould Plastics 9-Pocket Panel Bin, 18-3/8w x 5-1/4d x 20-1/2h, Black</t>
  </si>
  <si>
    <t>Global Value Mid-Back Manager's Chair, Gray</t>
  </si>
  <si>
    <t>Eldon Executive Woodline II Cherry Finish Desk Accessories</t>
  </si>
  <si>
    <t>John Grady</t>
  </si>
  <si>
    <t>Prang Colored Pencils</t>
  </si>
  <si>
    <t>Alejandro Ballentine</t>
  </si>
  <si>
    <t>Memorex Mini Travel Drive 4 GB USB 2.0 Flash Drive</t>
  </si>
  <si>
    <t>Eldon Expressions Wood Desk Accessories, Oak</t>
  </si>
  <si>
    <t>Lela Donovan</t>
  </si>
  <si>
    <t>Newell 311</t>
  </si>
  <si>
    <t>Skye Norling</t>
  </si>
  <si>
    <t>SAFCO Mobile Desk Side File, Wire Frame</t>
  </si>
  <si>
    <t>Adam Hart</t>
  </si>
  <si>
    <t>OIC Binder Clips</t>
  </si>
  <si>
    <t>Ampad Phone Message Book, Recycled, 400 Message Capacity, 5 ¾” x 11”</t>
  </si>
  <si>
    <t>Victoria Pisteka</t>
  </si>
  <si>
    <t>AmazonBasics 3-Button USB Wired Mouse</t>
  </si>
  <si>
    <t>Perixx PERIBOARD-512B, Ergonomic Split Keyboard</t>
  </si>
  <si>
    <t>DAX Executive Solid Wood Document Frame, Desktop or Hang, Mahogany, 5 x 7</t>
  </si>
  <si>
    <t>Phillip Flathmann</t>
  </si>
  <si>
    <t>Cisco IP Phone 7961G VoIP phone - Dark gray</t>
  </si>
  <si>
    <t>Katharine Harms</t>
  </si>
  <si>
    <t>Global Commerce Series Low-Back Swivel/Tilt Chairs</t>
  </si>
  <si>
    <t>Roland Fjeld</t>
  </si>
  <si>
    <t>Polycom CX300 Desktop Phone USB VoIP phone</t>
  </si>
  <si>
    <t>Chris Selesnick</t>
  </si>
  <si>
    <t>GBC Premium Transparent Covers with Diagonal Lined Pattern</t>
  </si>
  <si>
    <t>Becky Pak</t>
  </si>
  <si>
    <t>Global Armless Task Chair, Royal Blue</t>
  </si>
  <si>
    <t>Disposable Triple-Filter Dust Bags</t>
  </si>
  <si>
    <t>Xerox 1960</t>
  </si>
  <si>
    <t>Holmes Replacement Filter for HEPA Air Cleaner, Very Large Room, HEPA Filter</t>
  </si>
  <si>
    <t>Corey-Lock</t>
  </si>
  <si>
    <t>South Carolina</t>
  </si>
  <si>
    <t>Philip Fox</t>
  </si>
  <si>
    <t>Bulldog Vacuum Base Pencil Sharpener</t>
  </si>
  <si>
    <t>O'Sullivan 2-Door Barrister Bookcase in Odessa Pine</t>
  </si>
  <si>
    <t>Adrian Hane</t>
  </si>
  <si>
    <t>Jay Fein</t>
  </si>
  <si>
    <t>Xerox 210</t>
  </si>
  <si>
    <t>Binding Machine Supplies</t>
  </si>
  <si>
    <t>Utah</t>
  </si>
  <si>
    <t>Stephanie Ulpright</t>
  </si>
  <si>
    <t>Avery 477</t>
  </si>
  <si>
    <t>KeyTronic KT400U2 - Keyboard - Black</t>
  </si>
  <si>
    <t>Southworth 25% Cotton Antique Laid Paper &amp; Envelopes</t>
  </si>
  <si>
    <t>Nick Zandusky</t>
  </si>
  <si>
    <t>Zipper Ring Binder Pockets</t>
  </si>
  <si>
    <t>Hon Deluxe Fabric Upholstered Stacking Chairs</t>
  </si>
  <si>
    <t>Katherine Hughes</t>
  </si>
  <si>
    <t>Avery Hi-Liter Pen Style Six-Color Fluorescent Set</t>
  </si>
  <si>
    <t>Xerox 201</t>
  </si>
  <si>
    <t>Guy Thornton</t>
  </si>
  <si>
    <t>Xerox 200</t>
  </si>
  <si>
    <t>Brites Rubber Bands, 1 1/2 oz. Box</t>
  </si>
  <si>
    <t>Avanti 1.7 Cu. Ft. Refrigerator</t>
  </si>
  <si>
    <t>Xerox 1925</t>
  </si>
  <si>
    <t>Anna Andreadi</t>
  </si>
  <si>
    <t>Inter-Office Recycled Envelopes, Brown Kraft, Button-String,10" x 13" , 100/Box</t>
  </si>
  <si>
    <t>Atlantic Metals Mobile 5-Shelf Bookcases, Custom Colors</t>
  </si>
  <si>
    <t>Eldon Shelf Savers Cubes and Bins</t>
  </si>
  <si>
    <t>OtterBox Defender Series Case - Samsung Galaxy S4</t>
  </si>
  <si>
    <t>Steve Chapman</t>
  </si>
  <si>
    <t>Acme Softgrip Scissors</t>
  </si>
  <si>
    <t>Howard Miller 11-1/2" Diameter Grantwood Wall Clock</t>
  </si>
  <si>
    <t>Barry Französisch</t>
  </si>
  <si>
    <t>Tops Wirebound Message Log Books</t>
  </si>
  <si>
    <t>Global Leather Task Chair, Black</t>
  </si>
  <si>
    <t>Canon PC1060 Personal Laser Copier</t>
  </si>
  <si>
    <t>Chad Cunningham</t>
  </si>
  <si>
    <t>Permanent Self-Adhesive File Folder Labels for Typewriters, 1 1/8 x 3 1/2, White</t>
  </si>
  <si>
    <t>Panasonic KX T7731-B Digital phone</t>
  </si>
  <si>
    <t>GBC Standard Plastic Binding Systems' Combs</t>
  </si>
  <si>
    <t>Cisco SPA 502G IP Phone</t>
  </si>
  <si>
    <t>Joe Elijah</t>
  </si>
  <si>
    <t>Logitech Mobile Speakerphone P710e - speaker phone</t>
  </si>
  <si>
    <t>Fellowes Twister Kit, Gray/Clear, 3/pkg</t>
  </si>
  <si>
    <t>Jabra SPEAK 410 Multidevice Speakerphone</t>
  </si>
  <si>
    <t>Xerox 1921</t>
  </si>
  <si>
    <t>Xerox 213</t>
  </si>
  <si>
    <t>Hon GuestStacker Chair</t>
  </si>
  <si>
    <t>Allen Armold</t>
  </si>
  <si>
    <t>Sterilite Officeware Hinged File Box</t>
  </si>
  <si>
    <t>Boston Heavy-Duty Trimline Electric Pencil Sharpeners</t>
  </si>
  <si>
    <t>Brother MFC-9340CDW LED All-In-One Printer, Copier Scanner</t>
  </si>
  <si>
    <t>Kristen Hastings</t>
  </si>
  <si>
    <t>Cisco SPA525G2 IP Phone - Wireless</t>
  </si>
  <si>
    <t>LG Electronics Tone+ HBS-730 Bluetooth Headset</t>
  </si>
  <si>
    <t>Theone Pippenger</t>
  </si>
  <si>
    <t>Acme Stainless Steel Office Snips</t>
  </si>
  <si>
    <t>Steven Ward</t>
  </si>
  <si>
    <t>Acco Hanging Data Binders</t>
  </si>
  <si>
    <t>Newell 315</t>
  </si>
  <si>
    <t>Pressboard Data Binders by Wilson Jones</t>
  </si>
  <si>
    <t>Blue Parrot B250XT Professional Grade Wireless Bluetooth Headset with</t>
  </si>
  <si>
    <t>GBC Standard Plastic Binding Systems Combs</t>
  </si>
  <si>
    <t>Rob Haberlin</t>
  </si>
  <si>
    <t>HP Standard 104 key PS/2 Keyboard</t>
  </si>
  <si>
    <t>Richard Eichhorn</t>
  </si>
  <si>
    <t>Anemone Ratner</t>
  </si>
  <si>
    <t>Cardinal Holdit Data Disk Pockets</t>
  </si>
  <si>
    <t>Holmes 99% HEPA Air Purifier</t>
  </si>
  <si>
    <t>Deflect-O Glasstique Clear Desk Accessories</t>
  </si>
  <si>
    <t>Fiskars Home &amp; Office Scissors</t>
  </si>
  <si>
    <t>Mark Cousins</t>
  </si>
  <si>
    <t>Alice McCarthy</t>
  </si>
  <si>
    <t>Personal Filing Tote with Lid, Black/Gray</t>
  </si>
  <si>
    <t>Mophie Juice Pack Helium for iPhone</t>
  </si>
  <si>
    <t>GE 2-Jack Phone Line Splitter</t>
  </si>
  <si>
    <t>Eberhard Faber 3 1/2" Golf Pencils</t>
  </si>
  <si>
    <t>Imation Secure Drive + Hardware Encrypted USB flash drive - 16 GB</t>
  </si>
  <si>
    <t>HP Office Paper (20Lb. and 87 Bright)</t>
  </si>
  <si>
    <t>Ruben Ausman</t>
  </si>
  <si>
    <t>Matt Collister</t>
  </si>
  <si>
    <t>Eaton Premium Continuous-Feed Paper, 25% Cotton, Letter Size, White, 1000 Shts/Box</t>
  </si>
  <si>
    <t>Andrew Allen</t>
  </si>
  <si>
    <t>Strathmore Photo Frame Cards</t>
  </si>
  <si>
    <t>Tennsco 6- and 18-Compartment Lockers</t>
  </si>
  <si>
    <t>Dennis Kane</t>
  </si>
  <si>
    <t>Eldon Image Series Black Desk Accessories</t>
  </si>
  <si>
    <t>First Data TMFD35 PIN Pad</t>
  </si>
  <si>
    <t>Eldon 300 Class Desk Accessories, Black</t>
  </si>
  <si>
    <t>Round Specialty Laser Printer Labels</t>
  </si>
  <si>
    <t>Pressboard Data Binder, Crimson, 12" X 8 1/2"</t>
  </si>
  <si>
    <t>Belkin F5C206VTEL 6 Outlet Surge</t>
  </si>
  <si>
    <t>Linda Southworth</t>
  </si>
  <si>
    <t>Hon 4700 Series Mobuis Mid-Back Task Chairs with Adjustable Arms</t>
  </si>
  <si>
    <t>Sauder Facets Collection Locker/File Cabinet, Sky Alder Finish</t>
  </si>
  <si>
    <t>Hon Olson Stacker Stools</t>
  </si>
  <si>
    <t>Jennifer Patt</t>
  </si>
  <si>
    <t>SanDisk Cruzer 4 GB USB Flash Drive</t>
  </si>
  <si>
    <t>Nora Paige</t>
  </si>
  <si>
    <t>iHome FM Clock Radio with Lightning Dock</t>
  </si>
  <si>
    <t>Neil Knudson</t>
  </si>
  <si>
    <t>Steel Personal Filing/Posting Tote</t>
  </si>
  <si>
    <t>Joy Smith</t>
  </si>
  <si>
    <t>Advantus Employee of the Month Certificate Frame, 11 x 13-1/2</t>
  </si>
  <si>
    <t>Avery Printable Repositionable Plastic Tabs</t>
  </si>
  <si>
    <t>Hon 4-Shelf Metal Bookcases</t>
  </si>
  <si>
    <t>Tracy Collins</t>
  </si>
  <si>
    <t>Griffin GC36547 PowerJolt SE Lightning Charger</t>
  </si>
  <si>
    <t>Pauline Johnson</t>
  </si>
  <si>
    <t>invisibleSHIELD by ZAGG Smudge-Free Screen Protector</t>
  </si>
  <si>
    <t>Boston 16765 Mini Stand Up Battery Pencil Sharpener</t>
  </si>
  <si>
    <t>Wilson Jones 1" Hanging DublLock Ring Binders</t>
  </si>
  <si>
    <t>Safco Steel Mobile File Cart</t>
  </si>
  <si>
    <t>Avery 494</t>
  </si>
  <si>
    <t>Leather Task Chair, Black</t>
  </si>
  <si>
    <t>Self-Adhesive Removable Labels</t>
  </si>
  <si>
    <t>12 Colored Short Pencils</t>
  </si>
  <si>
    <t>Master Caster Door Stop, Large Neon Orange</t>
  </si>
  <si>
    <t>Plantronics Audio 995 Wireless Stereo Headset</t>
  </si>
  <si>
    <t>Avery Hi-Liter Smear-Safe Highlighters</t>
  </si>
  <si>
    <t>Xerox 192</t>
  </si>
  <si>
    <t>Kristina Nunn</t>
  </si>
  <si>
    <t>Fiskars 8" Scissors, 2/Pack</t>
  </si>
  <si>
    <t>Xerox 216</t>
  </si>
  <si>
    <t>Eldon Stackable Tray, Side-Load, Legal, Smoke</t>
  </si>
  <si>
    <t>Wilson Jones Easy Flow II Sheet Lifters</t>
  </si>
  <si>
    <t>Holmes Replacement Filter for HEPA Air Cleaner, Large Room</t>
  </si>
  <si>
    <t>Zebra GX420t Direct Thermal/Thermal Transfer Printer</t>
  </si>
  <si>
    <t>Neil Französisch</t>
  </si>
  <si>
    <t>GBC Laser Imprintable Binding System Covers, Desert Sand</t>
  </si>
  <si>
    <t>Newell 339</t>
  </si>
  <si>
    <t>Xerox 231</t>
  </si>
  <si>
    <t>Acme Elite Stainless Steel Scissors</t>
  </si>
  <si>
    <t>Ivan Liston</t>
  </si>
  <si>
    <t>Griffin GC17055 Auxiliary Audio Cable</t>
  </si>
  <si>
    <t>Darren Budd</t>
  </si>
  <si>
    <t>Office Star - Contemporary Swivel Chair with Padded Adjustable Arms and Flex Back</t>
  </si>
  <si>
    <t>James Galang</t>
  </si>
  <si>
    <t>DMI Arturo Collection Mission-style Design Wood Chair</t>
  </si>
  <si>
    <t>Hewlett Packard LaserJet 3310 Copier</t>
  </si>
  <si>
    <t>Larry Blacks</t>
  </si>
  <si>
    <t>Tripp Lite Isotel 6 Outlet Surge Protector with Fax/Modem Protection</t>
  </si>
  <si>
    <t>Ken Heidel</t>
  </si>
  <si>
    <t>Meg Tillman</t>
  </si>
  <si>
    <t>Advantus Motivational Note Cards</t>
  </si>
  <si>
    <t>Katherine Murray</t>
  </si>
  <si>
    <t>Avery 3 1/2" Diskette Storage Pages, 10/Pack</t>
  </si>
  <si>
    <t>Newell 325</t>
  </si>
  <si>
    <t>Memorex Froggy Flash Drive 8 GB</t>
  </si>
  <si>
    <t>Office Star Flex Back Scooter Chair with Aluminum Finish Frame</t>
  </si>
  <si>
    <t>Eldon Expressions Desk Accessory, Wood Photo Frame, Mahogany</t>
  </si>
  <si>
    <t>Steve Carroll</t>
  </si>
  <si>
    <t>Xerox 1889</t>
  </si>
  <si>
    <t>Khloe Miller</t>
  </si>
  <si>
    <t>Avery 495</t>
  </si>
  <si>
    <t>GBC Ibimaster 500 Manual ProClick Binding System</t>
  </si>
  <si>
    <t>Hoover Replacement Belts For Soft Guard &amp; Commercial Ltweight Upright Vacs, 2/Pk</t>
  </si>
  <si>
    <t>Tenex Chairmat w/ Average Lip, 45" x 53"</t>
  </si>
  <si>
    <t>Pierre Wener</t>
  </si>
  <si>
    <t>Avery Triangle Shaped Sheet Lifters, Black, 2/Pack</t>
  </si>
  <si>
    <t>Ritsa Hightower</t>
  </si>
  <si>
    <t>Fellowes High-Stak Drawer Files</t>
  </si>
  <si>
    <t>Premier Elliptical Ring Binder, Black</t>
  </si>
  <si>
    <t>Lindsay Shagiari</t>
  </si>
  <si>
    <t>Avery 498</t>
  </si>
  <si>
    <t>Hoover Shoulder Vac Commercial Portable Vacuum</t>
  </si>
  <si>
    <t>Honeywell Quietcare HEPA Air Cleaner</t>
  </si>
  <si>
    <t>ClearOne Communications CHAT 70 OC Speaker Phone</t>
  </si>
  <si>
    <t>Polycom SoundPoint Pro SE-225 Corded phone</t>
  </si>
  <si>
    <t>Eldon ClusterMat Chair Mat with Cordless Antistatic Protection</t>
  </si>
  <si>
    <t>Laminate Occasional Tables</t>
  </si>
  <si>
    <t>Susan Gilcrest</t>
  </si>
  <si>
    <t>Thomas Seio</t>
  </si>
  <si>
    <t>Eldon 500 Class Desk Accessories</t>
  </si>
  <si>
    <t>Barricks Non-Folding Utility Table with Steel Legs, Laminate Tops</t>
  </si>
  <si>
    <t>Alex Grayson</t>
  </si>
  <si>
    <t>Tyvek  Top-Opening Peel &amp; Seel Envelopes, Plain White</t>
  </si>
  <si>
    <t>Sony Micro Vault Click 4 GB USB 2.0 Flash Drive</t>
  </si>
  <si>
    <t>Max Ludwig</t>
  </si>
  <si>
    <t>Acme 10" Easy Grip Assistive Scissors</t>
  </si>
  <si>
    <t>Advantus Panel Wall Certificate Holder - 8.5x11</t>
  </si>
  <si>
    <t>Avery 478</t>
  </si>
  <si>
    <t>Ralph Arnett</t>
  </si>
  <si>
    <t>Mitel 5320 IP Phone VoIP phone</t>
  </si>
  <si>
    <t>Boston Model 1800 Electric Pencil Sharpener, Gray</t>
  </si>
  <si>
    <t>Vivek Gonzalez</t>
  </si>
  <si>
    <t>Panasonic KX-TG6844B Expandable Digital Cordless Telephone</t>
  </si>
  <si>
    <t>Liz MacKendrick</t>
  </si>
  <si>
    <t>Dorothy Wardle</t>
  </si>
  <si>
    <t>Logitech Illuminated - Keyboard</t>
  </si>
  <si>
    <t>OIC Bulk Pack Metal Binder Clips</t>
  </si>
  <si>
    <t>Corinna Mitchell</t>
  </si>
  <si>
    <t>Alliance Super-Size Bands, Assorted Sizes</t>
  </si>
  <si>
    <t>Chromcraft 48" x 96" Racetrack Double Pedestal Table</t>
  </si>
  <si>
    <t>Charles Crestani</t>
  </si>
  <si>
    <t>Xerox 1954</t>
  </si>
  <si>
    <t>Helen Andreada</t>
  </si>
  <si>
    <t>Xerox 199</t>
  </si>
  <si>
    <t>Apple EarPods with Remote and Mic</t>
  </si>
  <si>
    <t>Kensington 7 Outlet MasterPiece Power Center</t>
  </si>
  <si>
    <t>Gary Hansen</t>
  </si>
  <si>
    <t>Michelle Tran</t>
  </si>
  <si>
    <t>Iowa</t>
  </si>
  <si>
    <t>Logitech diNovo Edge Keyboard</t>
  </si>
  <si>
    <t>BPI Conference Tables</t>
  </si>
  <si>
    <t>Nora Preis</t>
  </si>
  <si>
    <t>Deborah Brumfield</t>
  </si>
  <si>
    <t>Erin Mull</t>
  </si>
  <si>
    <t>O'Sullivan Living Dimensions 2-Shelf Bookcases</t>
  </si>
  <si>
    <t>Hunter Glantz</t>
  </si>
  <si>
    <t>Sony 64GB Class 10 Micro SDHC R40 Memory Card</t>
  </si>
  <si>
    <t>Carol Triggs</t>
  </si>
  <si>
    <t>3.6 Cubic Foot Counter Height Office Refrigerator</t>
  </si>
  <si>
    <t>Array Memo Cubes</t>
  </si>
  <si>
    <t>Texas Instruments TI-34 Scientific Calculator</t>
  </si>
  <si>
    <t>Toby Ritter</t>
  </si>
  <si>
    <t>Cisco IP Phone 7961G-GE VoIP phone</t>
  </si>
  <si>
    <t>Plantronics Voyager Pro Legend</t>
  </si>
  <si>
    <t>Max Engle</t>
  </si>
  <si>
    <t>Tripp Lite TLP810NET Broadband Surge for Modem/Fax</t>
  </si>
  <si>
    <t>Craig Yedwab</t>
  </si>
  <si>
    <t>Nokia Lumia 521 (T-Mobile)</t>
  </si>
  <si>
    <t>John Castell</t>
  </si>
  <si>
    <t>HTC One Mini</t>
  </si>
  <si>
    <t>Luxo Professional Magnifying Clamp-On Fluorescent Lamps</t>
  </si>
  <si>
    <t>Rediform S.O.S. 1-Up Phone Message Bk, 4-1/4x3-1/16 Bk, 1 Form/Pg, 40 Messages/Bk, 3/Pk</t>
  </si>
  <si>
    <t>Convenience Packs of Business Envelopes</t>
  </si>
  <si>
    <t>Anthony O'Donnell</t>
  </si>
  <si>
    <t>Barricks 18" x 48" Non-Folding Utility Table with Bottom Storage Shelf</t>
  </si>
  <si>
    <t>Jeremy Pistek</t>
  </si>
  <si>
    <t>Helen Wasserman</t>
  </si>
  <si>
    <t>Belkin 7 Outlet SurgeMaster II</t>
  </si>
  <si>
    <t>Greg Guthrie</t>
  </si>
  <si>
    <t>GE DSL Phone Line Filter</t>
  </si>
  <si>
    <t>Natalie Fritzler</t>
  </si>
  <si>
    <t>Matt Abelman</t>
  </si>
  <si>
    <t>Resi Pölking</t>
  </si>
  <si>
    <t>Surelock Post Binders</t>
  </si>
  <si>
    <t>Avery 49</t>
  </si>
  <si>
    <t>Iceberg OfficeWorks 42" Round Tables</t>
  </si>
  <si>
    <t>Anker Astro Mini 3000mAh Ultra-Compact Portable Charger</t>
  </si>
  <si>
    <t>Bretford CR8500 Series Meeting Room Furniture</t>
  </si>
  <si>
    <t>Xerox 1997</t>
  </si>
  <si>
    <t>Xerox 1928</t>
  </si>
  <si>
    <t>Rachel Payne</t>
  </si>
  <si>
    <t>Jay Kimmel</t>
  </si>
  <si>
    <t>Tripp Lite Isotel 8 Ultra 8 Outlet Metal Surge</t>
  </si>
  <si>
    <t>Avery Durable Poly Binders</t>
  </si>
  <si>
    <t>Airmail Envelopes</t>
  </si>
  <si>
    <t>Dorothy Dickinson</t>
  </si>
  <si>
    <t>Sheri Gordon</t>
  </si>
  <si>
    <t>GBC Imprintable Covers</t>
  </si>
  <si>
    <t>Deirdre Greer</t>
  </si>
  <si>
    <t>Tony Chapman</t>
  </si>
  <si>
    <t>Dana Halogen Swing-Arm Architect Lamp</t>
  </si>
  <si>
    <t>Pauline Webber</t>
  </si>
  <si>
    <t>Mick Hernandez</t>
  </si>
  <si>
    <t>SAFCO Boltless Steel Shelving</t>
  </si>
  <si>
    <t>WD My Passport Ultra 2TB Portable External Hard Drive</t>
  </si>
  <si>
    <t>Maxwell Schwartz</t>
  </si>
  <si>
    <t>Acco Six-Outlet Power Strip, 4' Cord Length</t>
  </si>
  <si>
    <t>Acme Rosewood Handle Letter Opener</t>
  </si>
  <si>
    <t>Newell 331</t>
  </si>
  <si>
    <t>Avery 515</t>
  </si>
  <si>
    <t>Maxell 4.7GB DVD+R 5/Pack</t>
  </si>
  <si>
    <t>Advantus SlideClip Paper Clips</t>
  </si>
  <si>
    <t>Xerox 1979</t>
  </si>
  <si>
    <t>Logitech G700s Rechargeable Gaming Mouse</t>
  </si>
  <si>
    <t>Don Jones</t>
  </si>
  <si>
    <t>Binney &amp; Smith inkTank Erasable Pocket Highlighter, Chisel Tip, Yellow</t>
  </si>
  <si>
    <t>Tom Stivers</t>
  </si>
  <si>
    <t>Newell Chalk Holder</t>
  </si>
  <si>
    <t>Samsung Replacement EH64AVFWE Premium Headset</t>
  </si>
  <si>
    <t>Shirley Schmidt</t>
  </si>
  <si>
    <t>Memorex Micro Travel Drive 16 GB</t>
  </si>
  <si>
    <t>Xerox 1950</t>
  </si>
  <si>
    <t>ClearSounds CSC500 Amplified Spirit Phone Corded phone</t>
  </si>
  <si>
    <t>Hon 4060 Series Tables</t>
  </si>
  <si>
    <t>NETGEAR AC1750 Dual Band Gigabit Smart WiFi Router</t>
  </si>
  <si>
    <t>Newell 335</t>
  </si>
  <si>
    <t>Xylona Preis</t>
  </si>
  <si>
    <t>Deflect-o Glass Clear Studded Chair Mats</t>
  </si>
  <si>
    <t>Deluxe Heavy-Duty Vinyl Round Ring Binder</t>
  </si>
  <si>
    <t>Stuart Van</t>
  </si>
  <si>
    <t>Xerox 1944</t>
  </si>
  <si>
    <t>Sung Shariari</t>
  </si>
  <si>
    <t>Martin-Yale Premier Letter Opener</t>
  </si>
  <si>
    <t>Ampad Gold Fibre Wirebound Steno Books, 6" x 9", Gregg Ruled</t>
  </si>
  <si>
    <t>Xerox 1919</t>
  </si>
  <si>
    <t>SAFCO PlanMaster Heigh-Adjustable Drafting Table Base, 43w x 30d x 30-37h, Black</t>
  </si>
  <si>
    <t>Portfile Personal File Boxes</t>
  </si>
  <si>
    <t>Southworth 25% Cotton Premium Laser Paper and Envelopes</t>
  </si>
  <si>
    <t>Elizabeth Moffitt</t>
  </si>
  <si>
    <t>Avery 484</t>
  </si>
  <si>
    <t>Chad Sievert</t>
  </si>
  <si>
    <t>Wirebound Four 2-3/4 x 5 Forms per Page, 400 Sets per Book</t>
  </si>
  <si>
    <t>Tom Prescott</t>
  </si>
  <si>
    <t>Sauder Camden County Collection Libraries, Planked Cherry Finish</t>
  </si>
  <si>
    <t>GBC VeloBinder Strips</t>
  </si>
  <si>
    <t>Avery Personal Creations Heavyweight Cards</t>
  </si>
  <si>
    <t>Meg O'Connel</t>
  </si>
  <si>
    <t>O'Sullivan 5-Shelf Heavy-Duty Bookcases</t>
  </si>
  <si>
    <t>Fellowes Black Plastic Comb Bindings</t>
  </si>
  <si>
    <t>Patrick O'Brill</t>
  </si>
  <si>
    <t>Hon 2090 “Pillow Soft” Series Mid Back Swivel/Tilt Chairs</t>
  </si>
  <si>
    <t>Bruce Geld</t>
  </si>
  <si>
    <t>Panasonic KX TS3282W Corded phone</t>
  </si>
  <si>
    <t>Sabrent 4-Port USB 2.0 Hub</t>
  </si>
  <si>
    <t>White Business Envelopes with Contemporary Seam, Recycled White Business Envelopes</t>
  </si>
  <si>
    <t>Enermax Aurora Lite Keyboard</t>
  </si>
  <si>
    <t>Joseph Airdo</t>
  </si>
  <si>
    <t>Eureka The Boss Plus 12-Amp Hard Box Upright Vacuum, Red</t>
  </si>
  <si>
    <t>Laurel Beltran</t>
  </si>
  <si>
    <t>Telescoping Adjustable Floor Lamp</t>
  </si>
  <si>
    <t>Colored Push Pins</t>
  </si>
  <si>
    <t>ACCOHIDE 3-Ring Binder, Blue, 1"</t>
  </si>
  <si>
    <t>Sam Zeldin</t>
  </si>
  <si>
    <t>Okidata C610n Printer</t>
  </si>
  <si>
    <t>Tom Ashbrook</t>
  </si>
  <si>
    <t>Deflect-o DuraMat Antistatic Studded Beveled Mat for Medium Pile Carpeting</t>
  </si>
  <si>
    <t>Belkin F9M820V08 8 Outlet Surge</t>
  </si>
  <si>
    <t>Zebra Zazzle Fluorescent Highlighters</t>
  </si>
  <si>
    <t>Hon Racetrack Conference Tables</t>
  </si>
  <si>
    <t>Plantronics Savi W720 Multi-Device Wireless Headset System</t>
  </si>
  <si>
    <t>GBC Plasticlear Binding Covers</t>
  </si>
  <si>
    <t>Toby Gnade</t>
  </si>
  <si>
    <t>Acco PRESSTEX Data Binder with Storage Hooks, Dark Blue, 9 1/2" X 11"</t>
  </si>
  <si>
    <t>Becky Martin</t>
  </si>
  <si>
    <t>Blackstonian Pencils</t>
  </si>
  <si>
    <t>Chromcraft Rectangular Conference Tables</t>
  </si>
  <si>
    <t>Paul Knutson</t>
  </si>
  <si>
    <t>Cisco SPA301</t>
  </si>
  <si>
    <t>Tenex "The Solids" Textured Chair Mats</t>
  </si>
  <si>
    <t>Crate-A-Files</t>
  </si>
  <si>
    <t>Acco Expandable Hanging Binders</t>
  </si>
  <si>
    <t>Safco Value Mate Steel Bookcase, Baked Enamel Finish on Steel, Black</t>
  </si>
  <si>
    <t>Matt Hagelstein</t>
  </si>
  <si>
    <t>Faber Castell Col-Erase Pencils</t>
  </si>
  <si>
    <t>Christina VanderZanden</t>
  </si>
  <si>
    <t>Acme Preferred Stainless Steel Scissors</t>
  </si>
  <si>
    <t>Delfina Latchford</t>
  </si>
  <si>
    <t>RSVP Cards &amp; Envelopes, Blank White, 8-1/2" X 11", 24 Cards/25 Envelopes/Set</t>
  </si>
  <si>
    <t>Prismacolor Color Pencil Set</t>
  </si>
  <si>
    <t>Xerox 1886</t>
  </si>
  <si>
    <t>Ionia McGrath</t>
  </si>
  <si>
    <t>6" Cubicle Wall Clock, Black</t>
  </si>
  <si>
    <t>Aluminum Document Frame</t>
  </si>
  <si>
    <t>Eldon Mobile Mega Data Cart  Mega Stackable  Add-On Trays</t>
  </si>
  <si>
    <t>Xerox Color Copier Paper, 11" x 17", Ream</t>
  </si>
  <si>
    <t>Office Star - Ergonomically Designed Knee Chair</t>
  </si>
  <si>
    <t>Avery 520</t>
  </si>
  <si>
    <t>Geemarc AmpliPOWER60</t>
  </si>
  <si>
    <t>Marina Lichtenstein</t>
  </si>
  <si>
    <t>Jasper Cacioppo</t>
  </si>
  <si>
    <t>C-Line Peel &amp; Stick Add-On Filing Pockets, 8-3/4 x 5-1/8, 10/Pack</t>
  </si>
  <si>
    <t>Wilson Jones Ledger-Size, Piano-Hinge Binder, 2", Blue</t>
  </si>
  <si>
    <t>Nortel Networks T7316 E Nt8 B27</t>
  </si>
  <si>
    <t>Xerox 1971</t>
  </si>
  <si>
    <t>Advantus Map Pennant Flags and Round Head Tacks</t>
  </si>
  <si>
    <t>Joseph Holt</t>
  </si>
  <si>
    <t>14-7/8 x 11 Blue Bar Computer Printout Paper</t>
  </si>
  <si>
    <t>Don Miller</t>
  </si>
  <si>
    <t>Xerox 1930</t>
  </si>
  <si>
    <t>Xerox 1885</t>
  </si>
  <si>
    <t>Pete Takahito</t>
  </si>
  <si>
    <t>Avery 50</t>
  </si>
  <si>
    <t>Chromcraft Bull-Nose Wood 48" x 96" Rectangular Conference Tables</t>
  </si>
  <si>
    <t>Maribeth Dona</t>
  </si>
  <si>
    <t>Global Push Button Manager's Chair, Indigo</t>
  </si>
  <si>
    <t>Executive Impressions 12" Wall Clock</t>
  </si>
  <si>
    <t>Global Task Chair, Black</t>
  </si>
  <si>
    <t>Newell 329</t>
  </si>
  <si>
    <t>Fred Wasserman</t>
  </si>
  <si>
    <t>Elpida Rittenbach</t>
  </si>
  <si>
    <t>Fellowes Basic Home/Office Series Surge Protectors</t>
  </si>
  <si>
    <t>Mary O'Rourke</t>
  </si>
  <si>
    <t>Karl Braun</t>
  </si>
  <si>
    <t>Tenex Personal Project File with Scoop Front Design, Black</t>
  </si>
  <si>
    <t>AT&amp;T CL83451 4-Handset Telephone</t>
  </si>
  <si>
    <t>Riverside Palais Royal Lawyers Bookcase, Royale Cherry Finish</t>
  </si>
  <si>
    <t>Contico 72"H Heavy-Duty Storage System</t>
  </si>
  <si>
    <t>Bush Westfield Collection Bookcases, Dark Cherry Finish</t>
  </si>
  <si>
    <t>Michael Grace</t>
  </si>
  <si>
    <t>Kensington 7 Outlet MasterPiece Power Center with Fax/Phone Line Protection</t>
  </si>
  <si>
    <t>Belkin SportFit Armband For iPhone 5s/5c, Fuchsia</t>
  </si>
  <si>
    <t>Petty Cash Envelope</t>
  </si>
  <si>
    <t>Lesro Round Back Collection Coffee Table, End Table</t>
  </si>
  <si>
    <t>Troy Staebel</t>
  </si>
  <si>
    <t>VariCap6 Expandable Binder</t>
  </si>
  <si>
    <t>Eldon Expressions Punched Metal &amp; Wood Desk Accessories, Black &amp; Cherry</t>
  </si>
  <si>
    <t>Parhena Norris</t>
  </si>
  <si>
    <t>Acco Perma 2700 Stacking Storage Drawers</t>
  </si>
  <si>
    <t>Kean Thornton</t>
  </si>
  <si>
    <t>Dianna Vittorini</t>
  </si>
  <si>
    <t>Kelly Collister</t>
  </si>
  <si>
    <t>Wirebound Message Books, Two 4 1/4" x 5" Forms per Page</t>
  </si>
  <si>
    <t>Giulietta Dortch</t>
  </si>
  <si>
    <t>Xerox 1972</t>
  </si>
  <si>
    <t>Cisco 8x8 Inc. 6753i IP Business Phone System</t>
  </si>
  <si>
    <t>Canon PC-428 Personal Copier</t>
  </si>
  <si>
    <t>Eugene Barchas</t>
  </si>
  <si>
    <t>Stur-D-Stor Shelving, Vertical 5-Shelf: 72"H x 36"W x 18 1/2"D</t>
  </si>
  <si>
    <t>Smead Alpha-Z Color-Coded Name Labels First Letter Starter Set</t>
  </si>
  <si>
    <t>Crayola Anti Dust Chalk, 12/Pack</t>
  </si>
  <si>
    <t>Xerox 1976</t>
  </si>
  <si>
    <t>Ryan Crowe</t>
  </si>
  <si>
    <t>C-Line Cubicle Keepers Polyproplyene Holder With Velcro Backings</t>
  </si>
  <si>
    <t>Avery 509</t>
  </si>
  <si>
    <t>Hon Olson Stacker Chairs</t>
  </si>
  <si>
    <t>Lunatik TT5L-002 Taktik Strike Impact Protection System for iPhone 5</t>
  </si>
  <si>
    <t>DAX Contemporary Wood Frame with Silver Metal Mat, Desktop, 11 x 14 Size</t>
  </si>
  <si>
    <t>Alejandro Grove</t>
  </si>
  <si>
    <t>BlueLounge Milo Smartphone Stand, White/Metallic</t>
  </si>
  <si>
    <t>Things To Do Today Pad</t>
  </si>
  <si>
    <t>Electrix Architect's Clamp-On Swing Arm Lamp, Black</t>
  </si>
  <si>
    <t>Wi-Ex zBoost YX540 Cellular Phone Signal Booster</t>
  </si>
  <si>
    <t>GBC DocuBind 200 Manual Binding Machine</t>
  </si>
  <si>
    <t>Xerox 1968</t>
  </si>
  <si>
    <t>GBC DocuBind 300 Electric Binding Machine</t>
  </si>
  <si>
    <t>Cardinal Slant-D Ring Binder, Heavy Gauge Vinyl</t>
  </si>
  <si>
    <t>Justin Deggeller</t>
  </si>
  <si>
    <t>Avery Heavy-Duty EZD View Binder with Locking Rings</t>
  </si>
  <si>
    <t>Angele Hood</t>
  </si>
  <si>
    <t>SANFORD Major Accent Highlighters</t>
  </si>
  <si>
    <t>Xerox 1966</t>
  </si>
  <si>
    <t>Keith Dawkins</t>
  </si>
  <si>
    <t>Sauder Forest Hills Library with Doors, Woodland Oak Finish</t>
  </si>
  <si>
    <t>Eureka Sanitaire  Multi-Pro Heavy-Duty Upright, Disposable Bags</t>
  </si>
  <si>
    <t>Corey Roper</t>
  </si>
  <si>
    <t>Turquoise Lead Holder with Pocket Clip</t>
  </si>
  <si>
    <t>Xerox 1995</t>
  </si>
  <si>
    <t>Cindy Stewart</t>
  </si>
  <si>
    <t>Lexmark X 9575 Professional All-in-One Color Printer</t>
  </si>
  <si>
    <t>Maine</t>
  </si>
  <si>
    <t>C-Line Cubicle Keepers Polyproplyene Holder w/Velcro Back, 8-1/2x11, 25/Bx</t>
  </si>
  <si>
    <t>Harbour Creations 67200 Series Stacking Chairs</t>
  </si>
  <si>
    <t>Clarity 53712</t>
  </si>
  <si>
    <t>Brendan Sweed</t>
  </si>
  <si>
    <t>Sanford Liquid Accent Highlighters</t>
  </si>
  <si>
    <t>Patrick O'Donnell</t>
  </si>
  <si>
    <t>Safco Industrial Shelving</t>
  </si>
  <si>
    <t>Henry MacAllister</t>
  </si>
  <si>
    <t>Avery Binding System Hidden Tab Executive Style Index Sets</t>
  </si>
  <si>
    <t>Anne McFarland</t>
  </si>
  <si>
    <t>Office Star - Professional Matrix Back Chair with 2-to-1 Synchro Tilt and Mesh Fabric Seat</t>
  </si>
  <si>
    <t>Eldon Spacemaker Box, Quick-Snap Lid, Clear</t>
  </si>
  <si>
    <t>Magdelene Morse</t>
  </si>
  <si>
    <t>Global Leather Executive Chair</t>
  </si>
  <si>
    <t>Avery 480</t>
  </si>
  <si>
    <t>Jane Waco</t>
  </si>
  <si>
    <t>Lifetime Advantage Folding Chairs, 4/Carton</t>
  </si>
  <si>
    <t>Shirley Daniels</t>
  </si>
  <si>
    <t>Storex DuraTech Recycled Plastic Frosted Binders</t>
  </si>
  <si>
    <t>Letter Slitter</t>
  </si>
  <si>
    <t>Nu-Dell Oak Frame</t>
  </si>
  <si>
    <t>Kleencut Forged Office Shears by Acme United Corporation</t>
  </si>
  <si>
    <t>Frank Hawley</t>
  </si>
  <si>
    <t>Greg Maxwell</t>
  </si>
  <si>
    <t>Fellowes PB200 Plastic Comb Binding Machine</t>
  </si>
  <si>
    <t>Ibico Plastic Spiral Binding Combs</t>
  </si>
  <si>
    <t>Dana Swing-Arm Lamps</t>
  </si>
  <si>
    <t>Helen Abelman</t>
  </si>
  <si>
    <t>GBC Poly Designer Binding Covers</t>
  </si>
  <si>
    <t>Heather Jas</t>
  </si>
  <si>
    <t>PayAnywhere Card Reader</t>
  </si>
  <si>
    <t>Newell 348</t>
  </si>
  <si>
    <t>Amy Cox</t>
  </si>
  <si>
    <t>Acco Suede Grain Vinyl Round Ring Binder</t>
  </si>
  <si>
    <t>Avery Address/Shipping Labels for Typewriters, 4" x 2"</t>
  </si>
  <si>
    <t>Ann Steele</t>
  </si>
  <si>
    <t>G.E. Longer-Life Indoor Recessed Floodlight Bulbs</t>
  </si>
  <si>
    <t>Sortfiler Multipurpose Personal File Organizer, Black</t>
  </si>
  <si>
    <t>Xerox 1895</t>
  </si>
  <si>
    <t>Nora Pelletier</t>
  </si>
  <si>
    <t>Kelly Lampkin</t>
  </si>
  <si>
    <t>Russell Applegate</t>
  </si>
  <si>
    <t>Candace McMahon</t>
  </si>
  <si>
    <t>Acme Design Stainless Steel Bent Scissors</t>
  </si>
  <si>
    <t>3-ring staple pack</t>
  </si>
  <si>
    <t>Xerox 1970</t>
  </si>
  <si>
    <t>Eldon 400 Class Desk Accessories, Black Carbon</t>
  </si>
  <si>
    <t>Global Deluxe Steno Chair</t>
  </si>
  <si>
    <t>Office Star - Contemporary Task Swivel Chair</t>
  </si>
  <si>
    <t>Tennsco Lockers, Gray</t>
  </si>
  <si>
    <t>REDIFORM Incoming/Outgoing Call Register, 11" X 8 1/2", 100 Messages</t>
  </si>
  <si>
    <t>Nu-Dell Executive Frame</t>
  </si>
  <si>
    <t>Electrix 20W Halogen Replacement Bulb for Zoom-In Desk Lamp</t>
  </si>
  <si>
    <t>Sensible Storage WireTech Storage Systems</t>
  </si>
  <si>
    <t>Benjamin Patterson</t>
  </si>
  <si>
    <t>Nicole Hansen</t>
  </si>
  <si>
    <t>Katrina Edelman</t>
  </si>
  <si>
    <t>BIC Brite Liner Highlighters</t>
  </si>
  <si>
    <t>Manco Dry-Lighter Erasable Highlighter</t>
  </si>
  <si>
    <t>Global Fabric Manager's Chair, Dark Gray</t>
  </si>
  <si>
    <t>Tony Sayre</t>
  </si>
  <si>
    <t>Eldon Gobal File Keepers</t>
  </si>
  <si>
    <t>Atlantic Metals Mobile 4-Shelf Bookcases, Custom Colors</t>
  </si>
  <si>
    <t>Ampad Evidence Wirebond Steno Books, 6" x 9"</t>
  </si>
  <si>
    <t>Avery 513</t>
  </si>
  <si>
    <t>SmartStand Mobile Device Holder, Assorted Colors</t>
  </si>
  <si>
    <t>Bestar Classic Bookcase</t>
  </si>
  <si>
    <t>Chuck Magee</t>
  </si>
  <si>
    <t>Advantus Rolling Storage Box</t>
  </si>
  <si>
    <t>Xerox 1905</t>
  </si>
  <si>
    <t>Shahid Collister</t>
  </si>
  <si>
    <t>Ibico Recycled Linen-Style Covers</t>
  </si>
  <si>
    <t>Lisa Ryan</t>
  </si>
  <si>
    <t>Hoover Commercial Lightweight Upright Vacuum with E-Z Empty Dirt Cup</t>
  </si>
  <si>
    <t>High-Back Leather Manager's Chair</t>
  </si>
  <si>
    <t>GBC Recycled VeloBinder Covers</t>
  </si>
  <si>
    <t>O'Sullivan Plantations 2-Door Library in Landvery Oak</t>
  </si>
  <si>
    <t>Brian Moss</t>
  </si>
  <si>
    <t>Shaun Weien</t>
  </si>
  <si>
    <t>Samsung Galaxy S4</t>
  </si>
  <si>
    <t>Avery 483</t>
  </si>
  <si>
    <t>Newell 328</t>
  </si>
  <si>
    <t>Xerox 1887</t>
  </si>
  <si>
    <t>Sanford Colorific Colored Pencils, 12/Box</t>
  </si>
  <si>
    <t>Andy Reiter</t>
  </si>
  <si>
    <t>Newell 351</t>
  </si>
  <si>
    <t>Maris LaWare</t>
  </si>
  <si>
    <t>Sarah Jordon</t>
  </si>
  <si>
    <t>O'Sullivan Elevations Bookcase, Cherry Finish</t>
  </si>
  <si>
    <t>Jamie Kunitz</t>
  </si>
  <si>
    <t>Staples in misc. colors</t>
  </si>
  <si>
    <t>Tim Taslimi</t>
  </si>
  <si>
    <t>Kensington 6 Outlet Guardian Standard Surge Protector</t>
  </si>
  <si>
    <t>Tamara Chand</t>
  </si>
  <si>
    <t>Stanley Bostitch Contemporary Electric Pencil Sharpeners</t>
  </si>
  <si>
    <t>Emily Burns</t>
  </si>
  <si>
    <t>Tracy Poddar</t>
  </si>
  <si>
    <t>Smead Alpha-Z Color-Coded Second Alphabetical Labels and Starter Set</t>
  </si>
  <si>
    <t>Global Deluxe High-Back Manager's Chair</t>
  </si>
  <si>
    <t>Xerox 1891</t>
  </si>
  <si>
    <t>Laser &amp; Ink Jet Business Envelopes</t>
  </si>
  <si>
    <t>Daniel Raglin</t>
  </si>
  <si>
    <t>Letter Size File</t>
  </si>
  <si>
    <t>Melanie Seite</t>
  </si>
  <si>
    <t>Samsung HM1900 Bluetooth Headset</t>
  </si>
  <si>
    <t>Magna Visual Magnetic Picture Hangers</t>
  </si>
  <si>
    <t>Jonathan Howell</t>
  </si>
  <si>
    <t>Zebra GK420t Direct Thermal/Thermal Transfer Printer</t>
  </si>
  <si>
    <t>Avery Framed View Binder, EZD Ring (Locking), Navy, 1 1/2"</t>
  </si>
  <si>
    <t>Memorex 25GB 6X Branded Blu-Ray Recordable Disc, 15/Pack</t>
  </si>
  <si>
    <t>Astroparche Fine Business Paper</t>
  </si>
  <si>
    <t>Avery 511</t>
  </si>
  <si>
    <t>Mick Crebagga</t>
  </si>
  <si>
    <t>Bart Watters</t>
  </si>
  <si>
    <t>Contemporary Wood/Metal Frame</t>
  </si>
  <si>
    <t>Joel Eaton</t>
  </si>
  <si>
    <t>Peter McVee</t>
  </si>
  <si>
    <t>Doug Bickford</t>
  </si>
  <si>
    <t>Fellowes Econo/Stor Drawers</t>
  </si>
  <si>
    <t>Michael Paige</t>
  </si>
  <si>
    <t>Xerox 1947</t>
  </si>
  <si>
    <t>Maria Zettner</t>
  </si>
  <si>
    <t>Newell 310</t>
  </si>
  <si>
    <t>Bush Westfield Collection Bookcases, Dark Cherry Finish, Fully Assembled</t>
  </si>
  <si>
    <t>Emily Phan</t>
  </si>
  <si>
    <t>Avery Fluorescent Highlighter Four-Color Set</t>
  </si>
  <si>
    <t>Newell 309</t>
  </si>
  <si>
    <t>Xerox 195</t>
  </si>
  <si>
    <t>Longer-Life Soft White Bulbs</t>
  </si>
  <si>
    <t>Noah Childs</t>
  </si>
  <si>
    <t>Hon 5100 Series Wood Tables</t>
  </si>
  <si>
    <t>Newell 334</t>
  </si>
  <si>
    <t>Fellowes Bases and Tops For Staxonsteel/High-Stak Systems</t>
  </si>
  <si>
    <t>Howard Miller Distant Time Traveler Alarm Clock</t>
  </si>
  <si>
    <t>WD My Passport Ultra 500GB Portable External Hard Drive</t>
  </si>
  <si>
    <t>Nathan Cano</t>
  </si>
  <si>
    <t>SAFCO Folding Chair Trolley</t>
  </si>
  <si>
    <t>Maxell 4.7GB DVD-R</t>
  </si>
  <si>
    <t>Xerox 1916</t>
  </si>
  <si>
    <t>Patrick Bzostek</t>
  </si>
  <si>
    <t>Xerox 1982</t>
  </si>
  <si>
    <t>Xerox 1986</t>
  </si>
  <si>
    <t>Acco Data Flex Cable Posts For Top &amp; Bottom Load Binders, 6" Capacity</t>
  </si>
  <si>
    <t>Recycled Desk Saver Line "While You Were Out" Book, 5 1/2" X 4"</t>
  </si>
  <si>
    <t>Cynthia Delaney</t>
  </si>
  <si>
    <t>Hoover Upright Vacuum With Dirt Cup</t>
  </si>
  <si>
    <t>Xerox 1999</t>
  </si>
  <si>
    <t>Holmes Odor Grabber</t>
  </si>
  <si>
    <t>Avery Durable Plastic 1" Binders</t>
  </si>
  <si>
    <t>Frank Carlisle</t>
  </si>
  <si>
    <t>Panasonic KX-TG9541B DECT 6.0 Digital 2-Line Expandable Cordless Phone With Digital Answering System</t>
  </si>
  <si>
    <t>Honeywell Enviracaire Portable HEPA Air Cleaner for 16' x 20' Room</t>
  </si>
  <si>
    <t>Luke Foster</t>
  </si>
  <si>
    <t>Premium Writing Pencils, Soft, #2 by Central Association for the Blind</t>
  </si>
  <si>
    <t>Black Print Carbonless Snap-Off Rapid Letter, 8 1/2" x 7"</t>
  </si>
  <si>
    <t>iKross Bluetooth Portable Keyboard + Cell Phone Stand Holder + Brush for Apple iPhone 5S 5C 5, 4S 4</t>
  </si>
  <si>
    <t>Andrew Gjertsen</t>
  </si>
  <si>
    <t>Avery Reinforcements for Hole-Punch Pages</t>
  </si>
  <si>
    <t>Charles McCrossin</t>
  </si>
  <si>
    <t>Victoria Wilson</t>
  </si>
  <si>
    <t>Ibico EPK-21 Electric Binding System</t>
  </si>
  <si>
    <t>Tenex Personal Filing Tote With Secure Closure Lid, Black/Frost</t>
  </si>
  <si>
    <t>SanDisk Ultra 32 GB MicroSDHC Class 10 Memory Card</t>
  </si>
  <si>
    <t>Seth Thomas 14" Day/Date Wall Clock</t>
  </si>
  <si>
    <t>MaryBeth Skach</t>
  </si>
  <si>
    <t>Linden 12" Wall Clock With Oak Frame</t>
  </si>
  <si>
    <t>DAX Cubicle Frames - 8x10</t>
  </si>
  <si>
    <t>Xerox 1929</t>
  </si>
  <si>
    <t>Apple iPhone 5C</t>
  </si>
  <si>
    <t>Razer Tiamat Over Ear 7.1 Surround Sound PC Gaming Headset</t>
  </si>
  <si>
    <t>Eureka Recycled Copy Paper 8 1/2" x 11", Ream</t>
  </si>
  <si>
    <t>Emily Ducich</t>
  </si>
  <si>
    <t>NETGEAR N750 Dual Band Wi-Fi Gigabit Router</t>
  </si>
  <si>
    <t>Jill Stevenson</t>
  </si>
  <si>
    <t>Jeremy Ellison</t>
  </si>
  <si>
    <t>Bart Pistole</t>
  </si>
  <si>
    <t>Ben Wallace</t>
  </si>
  <si>
    <t>Pete Armstrong</t>
  </si>
  <si>
    <t>Metal Folding Chairs, Beige, 4/Carton</t>
  </si>
  <si>
    <t>Prestige Round Ring Binders</t>
  </si>
  <si>
    <t>Adtran 1202752G1</t>
  </si>
  <si>
    <t>Xerox 223</t>
  </si>
  <si>
    <t>Avery Premier Heavy-Duty Binder with Round Locking Rings</t>
  </si>
  <si>
    <t>Southworth Structures Collection</t>
  </si>
  <si>
    <t>Large Capacity Hanging Post Binders</t>
  </si>
  <si>
    <t>Howard Miller 13-1/2" Diameter Rosebrook Wall Clock</t>
  </si>
  <si>
    <t>Canvas Sectional Post Binders</t>
  </si>
  <si>
    <t>Denise Leinenbach</t>
  </si>
  <si>
    <t>Victoria Brennan</t>
  </si>
  <si>
    <t>Jim Mitchum</t>
  </si>
  <si>
    <t>Katrina Willman</t>
  </si>
  <si>
    <t>Assorted Color Push Pins</t>
  </si>
  <si>
    <t>Dual Level, Single-Width Filing Carts</t>
  </si>
  <si>
    <t>Frank Olsen</t>
  </si>
  <si>
    <t>Newell 31</t>
  </si>
  <si>
    <t>Carina Mini System Audio Rack, Model AR050B</t>
  </si>
  <si>
    <t>Sylvia Foulston</t>
  </si>
  <si>
    <t>Hunt PowerHouse Electric Pencil Sharpener, Blue</t>
  </si>
  <si>
    <t>Newell 332</t>
  </si>
  <si>
    <t>Kensington K72356US Mouse-in-a-Box USB Desktop Mouse</t>
  </si>
  <si>
    <t>Boston 16750 Black Compact Battery Pencil Sharpener</t>
  </si>
  <si>
    <t>Stockwell Push Pins</t>
  </si>
  <si>
    <t>Xerox 1892</t>
  </si>
  <si>
    <t>Xerox 22</t>
  </si>
  <si>
    <t>Multicolor Computer Printout Paper</t>
  </si>
  <si>
    <t>Natalie Webber</t>
  </si>
  <si>
    <t>Okidata B401 Printer</t>
  </si>
  <si>
    <t>OIC Colored Binder Clips, Assorted Sizes</t>
  </si>
  <si>
    <t>Lisa Hazard</t>
  </si>
  <si>
    <t>Serrated Blade or Curved Handle Hand Letter Openers</t>
  </si>
  <si>
    <t>Dot Matrix Printer Tape Reel Labels, White, 5000/Box</t>
  </si>
  <si>
    <t>Carl Weiss</t>
  </si>
  <si>
    <t>Acco Economy Flexible Poly Round Ring Binder</t>
  </si>
  <si>
    <t>Xerox 229</t>
  </si>
  <si>
    <t>Okidata B400 Printer</t>
  </si>
  <si>
    <t>Logitech Wireless Headset H600 Over-The-Head Design</t>
  </si>
  <si>
    <t>Michelle Arnett</t>
  </si>
  <si>
    <t>Avery 503</t>
  </si>
  <si>
    <t>Evan Bailliet</t>
  </si>
  <si>
    <t>Avery 490</t>
  </si>
  <si>
    <t>Cherry 142-key Programmable Keyboard</t>
  </si>
  <si>
    <t>KeyTronic E03601U1 - Keyboard - Beige</t>
  </si>
  <si>
    <t>Strathmore #10 Envelopes, Ultimate White</t>
  </si>
  <si>
    <t>Liz Willingham</t>
  </si>
  <si>
    <t>3M Polarizing Task Lamp with Clamp Arm, Light Gray</t>
  </si>
  <si>
    <t>Microsoft Natural Ergonomic Keyboard 4000</t>
  </si>
  <si>
    <t>Eudokia Martin</t>
  </si>
  <si>
    <t>Fellowes Binding Cases</t>
  </si>
  <si>
    <t>Ibico Plastic and Wire Spiral Binding Combs</t>
  </si>
  <si>
    <t>Penelope Sewall</t>
  </si>
  <si>
    <t>Wyoming</t>
  </si>
  <si>
    <t>AT&amp;T SB67148 SynJ</t>
  </si>
  <si>
    <t>Jabra Supreme Plus Driver Edition Headset</t>
  </si>
  <si>
    <t>Michael Chen</t>
  </si>
  <si>
    <t>Executive Impressions 14" Contract Wall Clock with Quartz Movement</t>
  </si>
  <si>
    <t>GBC VeloBinder Manual Binding System</t>
  </si>
  <si>
    <t>Claire Gute</t>
  </si>
  <si>
    <t>Logitech Wireless Gaming Headset G930</t>
  </si>
  <si>
    <t>Pamela Coakley</t>
  </si>
  <si>
    <t>File Shuttle I and Handi-File</t>
  </si>
  <si>
    <t>Xerox 1996</t>
  </si>
  <si>
    <t>Debra Catini</t>
  </si>
  <si>
    <t>Art Foster</t>
  </si>
  <si>
    <t>Avery File Folder Labels</t>
  </si>
  <si>
    <t>Square Credit Card Reader</t>
  </si>
  <si>
    <t>DAX Natural Wood-Tone Poster Frame</t>
  </si>
  <si>
    <t>Xerox 1924</t>
  </si>
  <si>
    <t>Memorex 25GB 6X Branded Blu-Ray Recordable Disc, 30/Pack</t>
  </si>
  <si>
    <t>Kensington SlimBlade Notebook Wireless Mouse with Nano Receiver</t>
  </si>
  <si>
    <t>Kalyca Meade</t>
  </si>
  <si>
    <t>Wilson Jones Century Plastic Molded Ring Binders</t>
  </si>
  <si>
    <t>Arianne Irving</t>
  </si>
  <si>
    <t>Belkin F9S820V06 8 Outlet Surge</t>
  </si>
  <si>
    <t>Howard Miller 11-1/2" Diameter Ridgewood Wall Clock</t>
  </si>
  <si>
    <t>Xerox 1933</t>
  </si>
  <si>
    <t>Newell 338</t>
  </si>
  <si>
    <t>Aaron Bergman</t>
  </si>
  <si>
    <t>Samsung Convoy 3</t>
  </si>
  <si>
    <t>Sauder Facets Collection Library, Sky Alder Finish</t>
  </si>
  <si>
    <t>Scott Williamson</t>
  </si>
  <si>
    <t>Micropad Numeric Keypads</t>
  </si>
  <si>
    <t>Brenda Bowman</t>
  </si>
  <si>
    <t>Belkin F8E887 USB Wired Ergonomic Keyboard</t>
  </si>
  <si>
    <t>Berenike Kampe</t>
  </si>
  <si>
    <t>Eldon Regeneration Recycled Desk Accessories, Smoke</t>
  </si>
  <si>
    <t>Global Wood Trimmed Manager's Task Chair, Khaki</t>
  </si>
  <si>
    <t>Liz Pelletier</t>
  </si>
  <si>
    <t>Magnifier Swing Arm Lamp</t>
  </si>
  <si>
    <t>Hon Every-Day Series Multi-Task Chairs</t>
  </si>
  <si>
    <t>Balt Solid Wood Round Tables</t>
  </si>
  <si>
    <t>Sung Chung</t>
  </si>
  <si>
    <t>Tyvek  Top-Opening Peel &amp; Seel  Envelopes, Gray</t>
  </si>
  <si>
    <t>Xerox 1896</t>
  </si>
  <si>
    <t>Cardinal Slant-D Ring Binders</t>
  </si>
  <si>
    <t>Global Leather and Oak Executive Chair, Black</t>
  </si>
  <si>
    <t>Adrian Shami</t>
  </si>
  <si>
    <t>Boston Electric Pencil Sharpener, Model 1818, Charcoal Black</t>
  </si>
  <si>
    <t>Portable Personal File Box</t>
  </si>
  <si>
    <t>Master Giant Foot Doorstop, Safety Yellow</t>
  </si>
  <si>
    <t>Xiaomi Mi3</t>
  </si>
  <si>
    <t>Xerox 4200 Series MultiUse Premium Copy Paper (20Lb. and 84 Bright)</t>
  </si>
  <si>
    <t>Ralph Ritter</t>
  </si>
  <si>
    <t>Maria Bertelson</t>
  </si>
  <si>
    <t>Sharp AL-1530CS Digital Copier</t>
  </si>
  <si>
    <t>Boston Home &amp; Office Model 2000 Electric Pencil Sharpeners</t>
  </si>
  <si>
    <t>Polycom SoundPoint IP 450 VoIP phone</t>
  </si>
  <si>
    <t>New Mexico</t>
  </si>
  <si>
    <t>Barry Gonzalez</t>
  </si>
  <si>
    <t>Acme Tagit Stainless Steel Antibacterial Scissors</t>
  </si>
  <si>
    <t>Tennsco Snap-Together Open Shelving Units, Starter Sets and Add-On Units</t>
  </si>
  <si>
    <t>Sean Braxton</t>
  </si>
  <si>
    <t>Grandstream GXP2100 Mainstream Business Phone</t>
  </si>
  <si>
    <t>Fellowes Command Center 5-outlet power strip</t>
  </si>
  <si>
    <t>Ashley Jarboe</t>
  </si>
  <si>
    <t>Logitech Z-906 Speaker sys - home theater - 5.1-CH</t>
  </si>
  <si>
    <t>Recycled Premium Regency Composition Covers</t>
  </si>
  <si>
    <t>Doug Jacobs</t>
  </si>
  <si>
    <t>Recycled Interoffice Envelopes with Re-Use-A-Seal Closure, 10 x 13</t>
  </si>
  <si>
    <t>Newell 340</t>
  </si>
  <si>
    <t>Acco 6 Outlet Guardian Premium Plus Surge Suppressor</t>
  </si>
  <si>
    <t>Deluxe Chalkboard Eraser Cleaner</t>
  </si>
  <si>
    <t>Janet Molinari</t>
  </si>
  <si>
    <t>Tenex Chairmats For Use With Carpeted Floors</t>
  </si>
  <si>
    <t>Avaya 5420 Digital phone</t>
  </si>
  <si>
    <t>Allen Goldenen</t>
  </si>
  <si>
    <t>Southworth 25% Cotton Granite Paper &amp; Envelopes</t>
  </si>
  <si>
    <t>Acco 3-Hole Punch</t>
  </si>
  <si>
    <t>Avery Recycled Flexi-View Covers for Binding Systems</t>
  </si>
  <si>
    <t>David Wiener</t>
  </si>
  <si>
    <t>Barbara Fisher</t>
  </si>
  <si>
    <t>Ampad Poly Cover Wirebound Steno Book, 6" x 9" Assorted Colors, Gregg Ruled</t>
  </si>
  <si>
    <t>Matt Connell</t>
  </si>
  <si>
    <t>Bravo II Megaboss 12-Amp Hard Body Upright, Replacement Belts, 2 Belts per Pack</t>
  </si>
  <si>
    <t>Shirley Jackson</t>
  </si>
  <si>
    <t>Wilson Jones Elliptical Ring 3 1/2" Capacity Binders, 800 sheets</t>
  </si>
  <si>
    <t>Frank Atkinson</t>
  </si>
  <si>
    <t>Akro-Mils 12-Gallon Tote</t>
  </si>
  <si>
    <t>Xerox 1987</t>
  </si>
  <si>
    <t>Texas Instrument TI-15 Fraction Calculator</t>
  </si>
  <si>
    <t>Lenovo 17-Key USB Numeric Keypad</t>
  </si>
  <si>
    <t>Hon Metal Bookcases, Putty</t>
  </si>
  <si>
    <t>Luxo Economy Swing Arm Lamp</t>
  </si>
  <si>
    <t>Acco Pressboard Covers with Storage Hooks, 9 1/2" x 11", Executive Red</t>
  </si>
  <si>
    <t>Rob Dowd</t>
  </si>
  <si>
    <t>KeyTronic KT800P2 - Keyboard - Black</t>
  </si>
  <si>
    <t>Accohide Poly Flexible Ring Binders</t>
  </si>
  <si>
    <t>Luke Schmidt</t>
  </si>
  <si>
    <t>Matthew Grinstein</t>
  </si>
  <si>
    <t>Stockwell Gold Paper Clips</t>
  </si>
  <si>
    <t>Nat Carroll</t>
  </si>
  <si>
    <t>Acco PRESSTEX Data Binder with Storage Hooks, Light Blue, 9 1/2" X 11"</t>
  </si>
  <si>
    <t>Alyssa Tate</t>
  </si>
  <si>
    <t>Neola Schneider</t>
  </si>
  <si>
    <t>Logitech G105 Gaming Keyboard</t>
  </si>
  <si>
    <t>Dixon My First Ticonderoga Pencil, #2</t>
  </si>
  <si>
    <t>Carol Darley</t>
  </si>
  <si>
    <t>George Ashbrook</t>
  </si>
  <si>
    <t>Sung Pak</t>
  </si>
  <si>
    <t>Ibico Hi-Tech Manual Binding System</t>
  </si>
  <si>
    <t>Brown Kraft Recycled Envelopes</t>
  </si>
  <si>
    <t>O'Sullivan Cherrywood Estates Traditional Bookcase</t>
  </si>
  <si>
    <t>Fellowes Advanced Computer Series Surge Protectors</t>
  </si>
  <si>
    <t>Barry Pond</t>
  </si>
  <si>
    <t>Konica Minolta magicolor 1690MF Multifunction Printer</t>
  </si>
  <si>
    <t>Cubify CubeX 3D Printer Double Head Print</t>
  </si>
  <si>
    <t>NETGEAR RangeMax WNR1000 Wireless Router</t>
  </si>
  <si>
    <t>Mark Hamilton</t>
  </si>
  <si>
    <t>Padded Folding Chairs, Black, 4/Carton</t>
  </si>
  <si>
    <t>Wilson Jones DublLock D-Ring Binders</t>
  </si>
  <si>
    <t>Hewlett-Packard Deskjet 3050a All-in-One Color Inkjet Printer</t>
  </si>
  <si>
    <t>Bevis Oval Conference Table, Walnut</t>
  </si>
  <si>
    <t>DMI Eclipse Executive Suite Bookcases</t>
  </si>
  <si>
    <t>Memorex Micro Travel Drive 8 GB</t>
  </si>
  <si>
    <t>Motorola Moto X</t>
  </si>
  <si>
    <t>Cassandra Brandow</t>
  </si>
  <si>
    <t>Xerox 215</t>
  </si>
  <si>
    <t>Newell 324</t>
  </si>
  <si>
    <t>Sally Knutson</t>
  </si>
  <si>
    <t>Anthony Jacobs</t>
  </si>
  <si>
    <t>ACCOHIDE Binder by Acco</t>
  </si>
  <si>
    <t>Kingston Digital DataTraveler 32GB USB 2.0</t>
  </si>
  <si>
    <t>Tennsco Single-Tier Lockers</t>
  </si>
  <si>
    <t>24 Capacity Maxi Data Binder Racks, Pearl</t>
  </si>
  <si>
    <t>Tennsco Commercial Shelving</t>
  </si>
  <si>
    <t>Nick Crebassa</t>
  </si>
  <si>
    <t>Memorex Micro Travel Drive 32 GB</t>
  </si>
  <si>
    <t>Bruce Stewart</t>
  </si>
  <si>
    <t>Eva Jacobs</t>
  </si>
  <si>
    <t>John Murray</t>
  </si>
  <si>
    <t>JBL Micro Wireless Portable Bluetooth Speaker</t>
  </si>
  <si>
    <t>Jensen SMPS-640 - speaker phone</t>
  </si>
  <si>
    <t>Executive Impressions 14"</t>
  </si>
  <si>
    <t>Fred Hopkins</t>
  </si>
  <si>
    <t>#10- 4 1/8" x 9 1/2" Security-Tint Envelopes</t>
  </si>
  <si>
    <t>Carl Ludwig</t>
  </si>
  <si>
    <t>Deluxe Rollaway Locking File with Drawer</t>
  </si>
  <si>
    <t>Sauder Camden County Collection Library</t>
  </si>
  <si>
    <t>Jamie Frazer</t>
  </si>
  <si>
    <t>Alan Schoenberger</t>
  </si>
  <si>
    <t>GBC White Gloss Covers, Plain Front</t>
  </si>
  <si>
    <t>Holmes Cool Mist Humidifier for the Whole House with 8-Gallon Output per Day, Extended Life Filter</t>
  </si>
  <si>
    <t>Green Bar Computer Printout Paper</t>
  </si>
  <si>
    <t>Mike Kennedy</t>
  </si>
  <si>
    <t>HP Office Recycled Paper (20Lb. and 87 Bright)</t>
  </si>
  <si>
    <t>Eldon Regeneration Recycled Desk Accessories, Black</t>
  </si>
  <si>
    <t>Gary McGarr</t>
  </si>
  <si>
    <t>Emily Grady</t>
  </si>
  <si>
    <t>Bevis Traditional Conference Table Top, Plinth Base</t>
  </si>
  <si>
    <t>Honeywell Enviracaire Portable HEPA Air Cleaner for up to 10 x 16 Room</t>
  </si>
  <si>
    <t>GBC Clear Cover, 8-1/2 x 11, unpunched, 25 covers per pack</t>
  </si>
  <si>
    <t>Ellis Ballard</t>
  </si>
  <si>
    <t>Belkin OmniView SE Rackmount Kit</t>
  </si>
  <si>
    <t>Carina Media Storage Towers in Natural &amp; Black</t>
  </si>
  <si>
    <t>Justin Ellison</t>
  </si>
  <si>
    <t>Samsung Galaxy S III - 16GB - pebble blue (T-Mobile)</t>
  </si>
  <si>
    <t>GBC Prestige Therm-A-Bind Covers</t>
  </si>
  <si>
    <t>Aleksandra Gannaway</t>
  </si>
  <si>
    <t>Mike Pelletier</t>
  </si>
  <si>
    <t>Brother DCP1000 Digital 3 in 1 Multifunction Machine</t>
  </si>
  <si>
    <t>Google Nexus 5</t>
  </si>
  <si>
    <t>Plantronics Calisto P620-M USB Wireless Speakerphone System</t>
  </si>
  <si>
    <t>Jet-Pak Recycled Peel 'N' Seal Padded Mailers</t>
  </si>
  <si>
    <t>Xerox 1977</t>
  </si>
  <si>
    <t>Stefania Perrino</t>
  </si>
  <si>
    <t>Hon 94000 Series Round Tables</t>
  </si>
  <si>
    <t>Gene Hale</t>
  </si>
  <si>
    <t>GE 30524EE4</t>
  </si>
  <si>
    <t>Xerox 204</t>
  </si>
  <si>
    <t>SimpliFile Personal File, Black Granite, 15w x 6-15/16d x 11-1/4h</t>
  </si>
  <si>
    <t>Universal Recycled Hanging Pressboard Report Binders, Letter Size</t>
  </si>
  <si>
    <t>Paul MacIntyre</t>
  </si>
  <si>
    <t>ARKON Windshield Dashboard Air Vent Car Mount Holder</t>
  </si>
  <si>
    <t>Newell 318</t>
  </si>
  <si>
    <t>Kingston Digital DataTraveler 8GB USB 2.0</t>
  </si>
  <si>
    <t>Avery 517</t>
  </si>
  <si>
    <t>Global Commerce Series High-Back Swivel/Tilt Chairs</t>
  </si>
  <si>
    <t>Tyvek Side-Opening Peel &amp; Seel Expanding Envelopes</t>
  </si>
  <si>
    <t>Xerox 1988</t>
  </si>
  <si>
    <t>Adams Phone Message Book, Professional, 400 Message Capacity, 5 3/6” x 11”</t>
  </si>
  <si>
    <t>Harmony HEPA Quiet Air Purifiers</t>
  </si>
  <si>
    <t>Sara Luxemburg</t>
  </si>
  <si>
    <t>Xerox 221</t>
  </si>
  <si>
    <t>Belkin 325VA UPS Surge Protector, 6'</t>
  </si>
  <si>
    <t>AT&amp;T TR1909W</t>
  </si>
  <si>
    <t>Jabra SPEAK 410</t>
  </si>
  <si>
    <t>Tennsco Regal Shelving Units</t>
  </si>
  <si>
    <t>Fellowes 8 Outlet Superior Workstation Surge Protector</t>
  </si>
  <si>
    <t>3M Hangers With Command Adhesive</t>
  </si>
  <si>
    <t>Cynthia Arntzen</t>
  </si>
  <si>
    <t>Black Avery Memo-Size 3-Ring Binder, 5 1/2" x 8 1/2"</t>
  </si>
  <si>
    <t>Erin Creighton</t>
  </si>
  <si>
    <t>Xerox 1907</t>
  </si>
  <si>
    <t>Fellowes Desktop Hanging File Manager</t>
  </si>
  <si>
    <t>Bretford CR4500 Series Slim Rectangular Table</t>
  </si>
  <si>
    <t>Memorex Mini Travel Drive 16 GB USB 2.0 Flash Drive</t>
  </si>
  <si>
    <t>Crayola Colored Pencils</t>
  </si>
  <si>
    <t>Acco Pressboard Covers with Storage Hooks, 14 7/8" x 11", Dark Blue</t>
  </si>
  <si>
    <t>Avery 474</t>
  </si>
  <si>
    <t>Chromcraft Bull-Nose Wood Oval Conference Tables &amp; Bases</t>
  </si>
  <si>
    <t>Xerox 1958</t>
  </si>
  <si>
    <t>Shahid Hopkins</t>
  </si>
  <si>
    <t>Sandra Flanagan</t>
  </si>
  <si>
    <t>Imation USB 2.0 Swivel Flash Drive USB flash drive - 4 GB - Pink</t>
  </si>
  <si>
    <t>Cardinal Hold-It CD Pocket</t>
  </si>
  <si>
    <t>Xerox 214</t>
  </si>
  <si>
    <t>GBC DocuBind TL300 Electric Binding System</t>
  </si>
  <si>
    <t>Alan Haines</t>
  </si>
  <si>
    <t>GBC VeloBinder Electric Binding Machine</t>
  </si>
  <si>
    <t>Seth Thomas 12" Clock w/ Goldtone Case</t>
  </si>
  <si>
    <t>Andy Yotov</t>
  </si>
  <si>
    <t>Black Print Carbonless 8 1/2" x 8 1/4" Rapid Memo Book</t>
  </si>
  <si>
    <t>SAFCO PlanMaster Boards, 60w x 37-1/2d, White Melamine</t>
  </si>
  <si>
    <t>Eldon "L" Workstation Diamond Chairmat</t>
  </si>
  <si>
    <t>Stuart Calhoun</t>
  </si>
  <si>
    <t>Matt Collins</t>
  </si>
  <si>
    <t>Strathmore Photo Mount Cards</t>
  </si>
  <si>
    <t>Sue Ann Reed</t>
  </si>
  <si>
    <t>Carol Adams</t>
  </si>
  <si>
    <t>LG G2</t>
  </si>
  <si>
    <t>Cisco SPA112 2 Port Phone Adapter</t>
  </si>
  <si>
    <t>Newell 317</t>
  </si>
  <si>
    <t>Xerox 1952</t>
  </si>
  <si>
    <t>Sanford EarthWrite Recycled Pencils, Medium Soft, #2</t>
  </si>
  <si>
    <t>Luxo Adjustable Task Clamp Lamp</t>
  </si>
  <si>
    <t>Samsung Rugby III</t>
  </si>
  <si>
    <t>Sean Christensen</t>
  </si>
  <si>
    <t>Eldon 200 Class Desk Accessories, Smoke</t>
  </si>
  <si>
    <t>GBC Linen Binding Covers</t>
  </si>
  <si>
    <t>Samsung Galaxy Note 2</t>
  </si>
  <si>
    <t>Trudy Schmidt</t>
  </si>
  <si>
    <t>Laurel Workman</t>
  </si>
  <si>
    <t>Xerox 1906</t>
  </si>
  <si>
    <t>Hypercom P1300 Pinpad</t>
  </si>
  <si>
    <t>Saphhira Shifley</t>
  </si>
  <si>
    <t>Master Big Foot Doorstop, Beige</t>
  </si>
  <si>
    <t>Newell 327</t>
  </si>
  <si>
    <t>Andrew Roberts</t>
  </si>
  <si>
    <t>Model L Table or Wall-Mount Pencil Sharpener</t>
  </si>
  <si>
    <t>Mitch Webber</t>
  </si>
  <si>
    <t>It's Hot Message Books with Stickers, 2 3/4" x 5"</t>
  </si>
  <si>
    <t>Joni Wasserman</t>
  </si>
  <si>
    <t>Avery 479</t>
  </si>
  <si>
    <t>Global Leather &amp; Oak Executive Chair, Burgundy</t>
  </si>
  <si>
    <t>Kelly Andreada</t>
  </si>
  <si>
    <t>Carlos Daly</t>
  </si>
  <si>
    <t>Belkin 8 Outlet Surge Protector</t>
  </si>
  <si>
    <t>Fiskars Spring-Action Scissors</t>
  </si>
  <si>
    <t>Peel &amp; Seel Recycled Catalog Envelopes, Brown</t>
  </si>
  <si>
    <t>Project Tote Personal File</t>
  </si>
  <si>
    <t>Carl Jackson</t>
  </si>
  <si>
    <t>Lock-Up Easel 'Spel-Binder'</t>
  </si>
  <si>
    <t>Duane Benoit</t>
  </si>
  <si>
    <t>Howard Miller 11-1/2" Diameter Brentwood Wall Clock</t>
  </si>
  <si>
    <t>Fluorescent Highlighters by Dixon</t>
  </si>
  <si>
    <t>Fellowes Superior 10 Outlet Split Surge Protector</t>
  </si>
  <si>
    <t>Guy Armstrong</t>
  </si>
  <si>
    <t>Hoover Commercial SteamVac</t>
  </si>
  <si>
    <t>Christopher Martinez</t>
  </si>
  <si>
    <t>Acme Galleria Hot Forged Steel Scissors with Colored Handles</t>
  </si>
  <si>
    <t>Lexmark MX611dhe Monochrome Laser Printer</t>
  </si>
  <si>
    <t>Thais Sissman</t>
  </si>
  <si>
    <t>David Bremer</t>
  </si>
  <si>
    <t>Dianna Arnett</t>
  </si>
  <si>
    <t>Hunt Boston Vacuum Mount KS Pencil Sharpener</t>
  </si>
  <si>
    <t>Martin Yale Chadless Opener Electric Letter Opener</t>
  </si>
  <si>
    <t>Sean O'Donnell</t>
  </si>
  <si>
    <t>Hallie Redmond</t>
  </si>
  <si>
    <t>Sannysis Cute Owl Design Soft Skin Case Cover for Samsung Galaxy S4</t>
  </si>
  <si>
    <t>Maxell 74 Minute CDR, 10/Pack</t>
  </si>
  <si>
    <t>Acco D-Ring Binder w/DublLock</t>
  </si>
  <si>
    <t>Newell 347</t>
  </si>
  <si>
    <t>Lesro Sheffield Collection Coffee Table, End Table, Center Table, Corner Table</t>
  </si>
  <si>
    <t>Eldon Expressions Wood and Plastic Desk Accessories, Cherry Wood</t>
  </si>
  <si>
    <t>Avanti 4.4 Cu. Ft. Refrigerator</t>
  </si>
  <si>
    <t>Avery 510</t>
  </si>
  <si>
    <t>RCA Visys Integrated PBX 8-Line Router</t>
  </si>
  <si>
    <t>Tamara Manning</t>
  </si>
  <si>
    <t>Darrin Sayre</t>
  </si>
  <si>
    <t>Avery Flip-Chart Easel Binder, Black</t>
  </si>
  <si>
    <t>Ativa D5772 2-Line 5.8GHz Digital Expandable Corded/Cordless Phone System with Answering &amp; Caller ID/Call Waiting, Black/Silver</t>
  </si>
  <si>
    <t>I.R.I.S IRISCard Anywhere 5 Card Scanner</t>
  </si>
  <si>
    <t>Alan Dominguez</t>
  </si>
  <si>
    <t>Montana</t>
  </si>
  <si>
    <t>Canon Image Class D660 Copier</t>
  </si>
  <si>
    <t>Harold Pawlan</t>
  </si>
  <si>
    <t>Logitech Wireless Anywhere Mouse MX for PC and Mac</t>
  </si>
  <si>
    <t>Bradley Drucker</t>
  </si>
  <si>
    <t>Binder Clips by OIC</t>
  </si>
  <si>
    <t>John Huston</t>
  </si>
  <si>
    <t>Anker Ultrathin Bluetooth Wireless Keyboard Aluminum Cover with Stand</t>
  </si>
  <si>
    <t>Beth Thompson</t>
  </si>
  <si>
    <t>Balt Split Level Computer Training Table</t>
  </si>
  <si>
    <t>Space Solutions Commercial Steel Shelving</t>
  </si>
  <si>
    <t>Office Star - Contemporary Task Swivel chair with 2-way adjustable arms, Plum</t>
  </si>
  <si>
    <t>Quartet Omega Colored Chalk, 12/Pack</t>
  </si>
  <si>
    <t>Boston 19500 Mighty Mite Electric Pencil Sharpener</t>
  </si>
  <si>
    <t>Eldon Antistatic Chair Mats for Low to Medium Pile Carpets</t>
  </si>
  <si>
    <t>HP Officejet Pro 8600 e-All-In-One Printer, Copier, Scanner, Fax</t>
  </si>
  <si>
    <t>Multi-Use Personal File Cart and Caster Set, Three Stacking Bins</t>
  </si>
  <si>
    <t>Eldon Cleatmat Chair Mats for Medium Pile Carpets</t>
  </si>
  <si>
    <t>Sanyo Counter Height Refrigerator with Crisper, 3.6 Cubic Foot, Stainless Steel/Black</t>
  </si>
  <si>
    <t>Sarah Bern</t>
  </si>
  <si>
    <t>Cari Sayre</t>
  </si>
  <si>
    <t>Holmes Replacement Filter for HEPA Air Cleaner, Medium Room</t>
  </si>
  <si>
    <t>Fred Harton</t>
  </si>
  <si>
    <t>Xerox 1903</t>
  </si>
  <si>
    <t>Nat Gilpin</t>
  </si>
  <si>
    <t>Vinyl Coated Wire Paper Clips in Organizer Box, 800/Box</t>
  </si>
  <si>
    <t>Vtech CS6719</t>
  </si>
  <si>
    <t>Cyra Reiten</t>
  </si>
  <si>
    <t>Sauder Mission Library with Doors, Fruitwood Finish</t>
  </si>
  <si>
    <t>Dixon Ticonderoga Core-Lock Colored Pencils, 48-Color Set</t>
  </si>
  <si>
    <t>Jawbone MINI JAMBOX Wireless Bluetooth Speaker</t>
  </si>
  <si>
    <t>Lauren Leatherbury</t>
  </si>
  <si>
    <t>Newell 320</t>
  </si>
  <si>
    <t>Tensor Computer Mounted Lamp</t>
  </si>
  <si>
    <t>Toshiba IPT2010-SD IP Telephone</t>
  </si>
  <si>
    <t>Letter or Legal Size Expandable Poly String Tie Envelopes</t>
  </si>
  <si>
    <t>Microsoft Wireless Mobile Mouse 4000</t>
  </si>
  <si>
    <t>Microsoft Natural Keyboard Elite</t>
  </si>
  <si>
    <t>Ann Chong</t>
  </si>
  <si>
    <t>Alliance Rubber Bands</t>
  </si>
  <si>
    <t>Michelle Huthwaite</t>
  </si>
  <si>
    <t>GuestStacker Chair with Chrome Finish Legs</t>
  </si>
  <si>
    <t>Southworth 100% Résumé Paper, 24lb.</t>
  </si>
  <si>
    <t>Dorothy Badders</t>
  </si>
  <si>
    <t>Panasonic KX TS3282B Corded phone</t>
  </si>
  <si>
    <t>Bush Cubix Collection Bookcases, Fully Assembled</t>
  </si>
  <si>
    <t>Roland Schwarz</t>
  </si>
  <si>
    <t>Ed Jacobs</t>
  </si>
  <si>
    <t>Imation Bio 2GB USB Flash Drive Imation Corp</t>
  </si>
  <si>
    <t>Important Message Pads, 50 4-1/4 x 5-1/2 Forms per Pad</t>
  </si>
  <si>
    <t>Avery 497</t>
  </si>
  <si>
    <t>Julia Dunbar</t>
  </si>
  <si>
    <t>Recycled Steel Personal File for Standard File Folders</t>
  </si>
  <si>
    <t>Avery Hole Reinforcements</t>
  </si>
  <si>
    <t>Roland Murray</t>
  </si>
  <si>
    <t>Economy Binders</t>
  </si>
  <si>
    <t>Westinghouse Floor Lamp with Metal Mesh Shade, Black</t>
  </si>
  <si>
    <t>3M Organizer Strips</t>
  </si>
  <si>
    <t>Belkin 8 Outlet SurgeMaster II Gold Surge Protector with Phone Protection</t>
  </si>
  <si>
    <t>Newell 323</t>
  </si>
  <si>
    <t>Maxell LTO Ultrium - 800 GB</t>
  </si>
  <si>
    <t>Karen Seio</t>
  </si>
  <si>
    <t>GBC DocuBind TL200 Manual Binding Machine</t>
  </si>
  <si>
    <t>Avery Trapezoid Ring Binder, 3" Capacity, Black, 1040 sheets</t>
  </si>
  <si>
    <t>Desktop 3-Pocket Hot File</t>
  </si>
  <si>
    <t>Bill Stewart</t>
  </si>
  <si>
    <t>OtterBox Commuter Series Case - iPhone 5 &amp; 5s</t>
  </si>
  <si>
    <t>Panasonic KX T7736-B Digital phone</t>
  </si>
  <si>
    <t>Col-Erase Pencils with Erasers</t>
  </si>
  <si>
    <t>Plantronics MX500i Earset</t>
  </si>
  <si>
    <t>Brad Norvell</t>
  </si>
  <si>
    <t>Seidio BD2-HK3IPH5-BK DILEX Case and Holster Combo for Apple iPhone 5/5s - Black</t>
  </si>
  <si>
    <t>Bionaire Personal Warm Mist Humidifier/Vaporizer</t>
  </si>
  <si>
    <t>OtterBox Defender Series Case - iPhone 5c</t>
  </si>
  <si>
    <t>Denny Blanton</t>
  </si>
  <si>
    <t>Neat Ideas Personal Hanging Folder Files, Black</t>
  </si>
  <si>
    <t>Lumber Crayons</t>
  </si>
  <si>
    <t>Hoover Portapower Portable Vacuum</t>
  </si>
  <si>
    <t>Peel-Off China Markers</t>
  </si>
  <si>
    <t>Peel &amp; Seel Envelopes</t>
  </si>
  <si>
    <t>Verbatim 25 GB 6x Blu-ray Single Layer Recordable Disc, 10/Pack</t>
  </si>
  <si>
    <t>Logitech K350 2.4Ghz Wireless Keyboard</t>
  </si>
  <si>
    <t>George Zrebassa</t>
  </si>
  <si>
    <t>Avery 506</t>
  </si>
  <si>
    <t>Harry Greene</t>
  </si>
  <si>
    <t>Super Bands, 12/Pack</t>
  </si>
  <si>
    <t>Colored Envelopes</t>
  </si>
  <si>
    <t>Xerox 1980</t>
  </si>
  <si>
    <t>Xerox 1888</t>
  </si>
  <si>
    <t>Harold Ryan</t>
  </si>
  <si>
    <t>Iris Project Case</t>
  </si>
  <si>
    <t>Xerox 1953</t>
  </si>
  <si>
    <t>Michelle Lonsdale</t>
  </si>
  <si>
    <t>Career Cubicle Clock, 8 1/4", Black</t>
  </si>
  <si>
    <t>Canon PC1080F Personal Copier</t>
  </si>
  <si>
    <t>Boston 1827 Commercial Additional Cutter, Drive Gear &amp; Gear Rack for 1606</t>
  </si>
  <si>
    <t>Evan Minnotte</t>
  </si>
  <si>
    <t>Brendan Dodson</t>
  </si>
  <si>
    <t>Xerox 1913</t>
  </si>
  <si>
    <t>Panasonic KX - TS880B Telephone</t>
  </si>
  <si>
    <t>Avery 05222 Permanent Self-Adhesive File Folder Labels for Typewriters, on Rolls, White, 250/Roll</t>
  </si>
  <si>
    <t>Unpadded Memo Slips</t>
  </si>
  <si>
    <t>GBC Instant Index System for Binding Systems</t>
  </si>
  <si>
    <t>StarTech.com 10/100 VDSL2 Ethernet Extender Kit</t>
  </si>
  <si>
    <t>Stackable Trays</t>
  </si>
  <si>
    <t>DAX Black Cherry Wood-Tone Poster Frame</t>
  </si>
  <si>
    <t>Adjustable Personal File Tote</t>
  </si>
  <si>
    <t>Alan Barnes</t>
  </si>
  <si>
    <t>Tony Molinari</t>
  </si>
  <si>
    <t>Multimedia Mailers</t>
  </si>
  <si>
    <t>Advantus 10-Drawer Portable Organizer, Chrome Metal Frame, Smoke Drawers</t>
  </si>
  <si>
    <t>Spigen Samsung Galaxy S5 Case Wallet</t>
  </si>
  <si>
    <t>Bush Mission Pointe Library</t>
  </si>
  <si>
    <t>Chad McGuire</t>
  </si>
  <si>
    <t>SlimView Poly Binder, 3/8"</t>
  </si>
  <si>
    <t>Scott Cohen</t>
  </si>
  <si>
    <t>Fellowes 8 Outlet Superior Workstation Surge Protector w/o Phone/Fax/Modem Protection</t>
  </si>
  <si>
    <t>AT&amp;T 1080 Corded phone</t>
  </si>
  <si>
    <t>Bush Advantage Collection Round Conference Table</t>
  </si>
  <si>
    <t>Luxo Professional Combination Clamp-On Lamps</t>
  </si>
  <si>
    <t>Black &amp; Decker Filter for Double Action Dustbuster Cordless Vac BLDV7210</t>
  </si>
  <si>
    <t>Bryan Spruell</t>
  </si>
  <si>
    <t>Computer Printout Paper with Letter-Trim Fine Perforations</t>
  </si>
  <si>
    <t>GBC Recycled Regency Composition Covers</t>
  </si>
  <si>
    <t>Office Impressions Heavy Duty Welded Shelving &amp; Multimedia Storage Drawers</t>
  </si>
  <si>
    <t>Color-Coded Legal Exhibit Labels</t>
  </si>
  <si>
    <t>Avery 48</t>
  </si>
  <si>
    <t>Tuf-Vin Binders</t>
  </si>
  <si>
    <t>Russell D'Ascenzo</t>
  </si>
  <si>
    <t>Mitch Gastineau</t>
  </si>
  <si>
    <t>Newell 321</t>
  </si>
  <si>
    <t>Pencil and Crayon Sharpener</t>
  </si>
  <si>
    <t>Xerox 1948</t>
  </si>
  <si>
    <t>Yana Sorensen</t>
  </si>
  <si>
    <t>Sanford Prismacolor Professional Thick Lead Art Pencils, 36-Color Set</t>
  </si>
  <si>
    <t>Sauder Cornerstone Collection Library</t>
  </si>
  <si>
    <t>Howard Miller 12" Round Wall Clock</t>
  </si>
  <si>
    <t>Xerox 207</t>
  </si>
  <si>
    <t>Xerox 1967</t>
  </si>
  <si>
    <t>Jesus Ocampo</t>
  </si>
  <si>
    <t>Eldon Executive Woodline II Desk Accessories, Mahogany</t>
  </si>
  <si>
    <t>Logitech Wireless Touch Keyboard K400</t>
  </si>
  <si>
    <t>Sharelle Roach</t>
  </si>
  <si>
    <t>Eldon Advantage Foldable Chair Mats for Low Pile Carpets</t>
  </si>
  <si>
    <t>Katherine Nockton</t>
  </si>
  <si>
    <t>UniKeep View Case Binders</t>
  </si>
  <si>
    <t>Logitech LS21 Speaker System - PC Multimedia - 2.1-CH - Wired</t>
  </si>
  <si>
    <t>Tenex Chairmats For Use with Hard Floors</t>
  </si>
  <si>
    <t>TRENDnet 56K USB 2.0 Phone, Internet and Fax Modem</t>
  </si>
  <si>
    <t>O'Sullivan 4-Shelf Bookcase in Odessa Pine</t>
  </si>
  <si>
    <t>Eldon Imàge Series Desk Accessories, Clear</t>
  </si>
  <si>
    <t>Acco Smartsocket Table Surge Protector, 6 Color-Coded Adapter Outlets</t>
  </si>
  <si>
    <t>Speros Goranitis</t>
  </si>
  <si>
    <t>Larry Hughes</t>
  </si>
  <si>
    <t>#10-4 1/8" x 9 1/2" Premium Diagonal Seam Envelopes</t>
  </si>
  <si>
    <t>Avery 5</t>
  </si>
  <si>
    <t>Seth Thomas 16" Steel Case Clock</t>
  </si>
  <si>
    <t>Avery 492</t>
  </si>
  <si>
    <t>Adams "While You Were Out" Message Pads</t>
  </si>
  <si>
    <t>Fellowes Stor/Drawer Steel Plus Storage Drawers</t>
  </si>
  <si>
    <t>Wilson Jones Legal Size Ring Binders</t>
  </si>
  <si>
    <t>Newell 350</t>
  </si>
  <si>
    <t>Darren Koutras</t>
  </si>
  <si>
    <t>Avery 505</t>
  </si>
  <si>
    <t>Dixon Ticonderoga Core-Lock Colored Pencils</t>
  </si>
  <si>
    <t>Rick Wilson</t>
  </si>
  <si>
    <t>Safco Contoured Stacking Chairs</t>
  </si>
  <si>
    <t>SAFCO Optional Arm Kit for Workspace Cribbage Stacking Chair</t>
  </si>
  <si>
    <t>Logitech G600 MMO Gaming Mouse</t>
  </si>
  <si>
    <t>Michelle Moray</t>
  </si>
  <si>
    <t>Razer Kraken 7.1 Surround Sound Over Ear USB Gaming Headset</t>
  </si>
  <si>
    <t>Riverside Furniture Oval Coffee Table, Oval End Table, End Table with Drawer</t>
  </si>
  <si>
    <t>Todd Sumrall</t>
  </si>
  <si>
    <t>Xerox 1927</t>
  </si>
  <si>
    <t>Maxell Pro 80 Minute CD-R, 10/Pack</t>
  </si>
  <si>
    <t>Hoover Commercial Soft Guard Upright Vacuum And Disposable Filtration Bags</t>
  </si>
  <si>
    <t>Avery 501</t>
  </si>
  <si>
    <t>Acme Titanium Bonded Scissors</t>
  </si>
  <si>
    <t>DXL Angle-View Binders with Locking Rings, Black</t>
  </si>
  <si>
    <t>Office Star - Mesh Screen back chair with Vinyl seat</t>
  </si>
  <si>
    <t>Hammermill CopyPlus Copy Paper (20Lb. and 84 Bright)</t>
  </si>
  <si>
    <t>Xerox 1917</t>
  </si>
  <si>
    <t>Xerox 1936</t>
  </si>
  <si>
    <t>Fashion Color Clasp Envelopes</t>
  </si>
  <si>
    <t>Universal Ultra Bright White Copier/Laser Paper, 8 1/2" x 11", Ream</t>
  </si>
  <si>
    <t>Joy Daniels</t>
  </si>
  <si>
    <t>QVS USB Car Charger 2-Port 2.1Amp for iPod/iPhone/iPad/iPad 2/iPad 3</t>
  </si>
  <si>
    <t>Aastra 6757i CT Wireless VoIP phone</t>
  </si>
  <si>
    <t>Plastic Stacking Crates &amp; Casters</t>
  </si>
  <si>
    <t>Toby Swindell</t>
  </si>
  <si>
    <t>Logitech Wireless Performance Mouse MX for PC and Mac</t>
  </si>
  <si>
    <t>Nokia Lumia 925</t>
  </si>
  <si>
    <t>Avery 491</t>
  </si>
  <si>
    <t>Neil Ducich</t>
  </si>
  <si>
    <t>Wilson Jones Four-Pocket Poly Binders</t>
  </si>
  <si>
    <t>Things To Do Today Spiral Book</t>
  </si>
  <si>
    <t>North Dakota</t>
  </si>
  <si>
    <t>BIC Brite Liner Highlighters, Chisel Tip</t>
  </si>
  <si>
    <t>Binney &amp; Smith inkTank Desk Highlighter, Chisel Tip, Yellow, 12/Box</t>
  </si>
  <si>
    <t>Allen Rosenblatt</t>
  </si>
  <si>
    <t>Bulldog Table or Wall-Mount Pencil Sharpener</t>
  </si>
  <si>
    <t>Vicky Freymann</t>
  </si>
  <si>
    <t>OIC Thumb-Tacks</t>
  </si>
  <si>
    <t>Iris 3-Drawer Stacking Bin, Black</t>
  </si>
  <si>
    <t>Belkin 8-Outlet Premiere SurgeMaster II Surge Protectors</t>
  </si>
  <si>
    <t>Sony 8GB Class 10 Micro SDHC R40 Memory Card</t>
  </si>
  <si>
    <t>Michael Dominguez</t>
  </si>
  <si>
    <t>Lori Olson</t>
  </si>
  <si>
    <t>DAX Wood Document Frame</t>
  </si>
  <si>
    <t>Adams Telephone Message Book w/Frequently-Called Numbers Space, 400 Messages per Book</t>
  </si>
  <si>
    <t>Plymouth Boxed Rubber Bands by Plymouth</t>
  </si>
  <si>
    <t>LG G3</t>
  </si>
  <si>
    <t>Sauder Camden County Barrister Bookcase, Planked Cherry Finish</t>
  </si>
  <si>
    <t>Tensor Brushed Steel Torchiere Floor Lamp</t>
  </si>
  <si>
    <t>Barry Weirich</t>
  </si>
  <si>
    <t>Cush Cases Heavy Duty Rugged Cover Case for Samsung Galaxy S5 - Purple</t>
  </si>
  <si>
    <t>Cari Schnelling</t>
  </si>
  <si>
    <t>Hewlett-Packard 300S Scientific Calculator</t>
  </si>
  <si>
    <t>Eldon 200 Class Desk Accessories, Burgundy</t>
  </si>
  <si>
    <t>Innergie mMini Combo Duo USB Travel Charging Kit</t>
  </si>
  <si>
    <t>Maureen Gastineau</t>
  </si>
  <si>
    <t>Eureka Disposable Bags for Sanitaire Vibra Groomer I Upright Vac</t>
  </si>
  <si>
    <t>Shocksock Galaxy S4 Armband</t>
  </si>
  <si>
    <t>Chromcraft Bull-Nose Wood Round Conference Table Top, Wood Base</t>
  </si>
  <si>
    <t>Personal File Boxes with Fold-Down Carry Handle</t>
  </si>
  <si>
    <t>O'Sullivan 3-Shelf Heavy-Duty Bookcases</t>
  </si>
  <si>
    <t>Cisco Desktop Collaboration Experience DX650 IP Video Phone</t>
  </si>
  <si>
    <t>Sarah Brown</t>
  </si>
  <si>
    <t>Xerox 203</t>
  </si>
  <si>
    <t>Boston 1730 StandUp Electric Pencil Sharpener</t>
  </si>
  <si>
    <t>Boston 1799 Powerhouse Electric Pencil Sharpener</t>
  </si>
  <si>
    <t>Xerox 1955</t>
  </si>
  <si>
    <t>HTC One</t>
  </si>
  <si>
    <t>Xerox 1992</t>
  </si>
  <si>
    <t>Clay Cheatham</t>
  </si>
  <si>
    <t>Fellowes Smart Surge Ten-Outlet Protector, Platinum</t>
  </si>
  <si>
    <t>Newell 330</t>
  </si>
  <si>
    <t>Kingston Digital DataTraveler 64GB USB 2.0</t>
  </si>
  <si>
    <t>Ryan Akin</t>
  </si>
  <si>
    <t>Hewlett-Packard Desktjet 6988DT Refurbished Printer</t>
  </si>
  <si>
    <t>Katherine Ducich</t>
  </si>
  <si>
    <t>Sony 16GB Class 10 Micro SDHC R40 Memory Card</t>
  </si>
  <si>
    <t>Holmes Visible Mist Ultrasonic Humidifier with 2.3-Gallon Output per Day, Replacement Filter</t>
  </si>
  <si>
    <t>Hoover Replacement Belt for Commercial Guardsman Heavy-Duty Upright Vacuum</t>
  </si>
  <si>
    <t>Shui Tom</t>
  </si>
  <si>
    <t>West Virginia</t>
  </si>
  <si>
    <t>Sonia Cooley</t>
  </si>
  <si>
    <t>Global Deluxe Office Fabric Chairs</t>
  </si>
  <si>
    <t>Tracy Hopkins</t>
  </si>
  <si>
    <t>Executive Impressions Supervisor Wall Clock</t>
  </si>
  <si>
    <t>Trav-L-File Heavy-Duty Shuttle II, Black</t>
  </si>
  <si>
    <t>Bevis Round Conference Table Top &amp; Single Column Base</t>
  </si>
  <si>
    <t>Belkin F9G930V10-GRY 9 Outlet Surge</t>
  </si>
  <si>
    <t>Enermax Briskie RF Wireless Keyboard and Mouse Combo</t>
  </si>
  <si>
    <t>Victor Preis</t>
  </si>
  <si>
    <t>Bevis Round Conference Table Top, X-Base</t>
  </si>
  <si>
    <t>Chuck Sachs</t>
  </si>
  <si>
    <t>Tenex Traditional Chairmats for Medium Pile Carpet, Standard Lip, 36" x 48"</t>
  </si>
  <si>
    <t>Hewlett-Packard Deskjet 5550 Printer</t>
  </si>
  <si>
    <t>Jim Kriz</t>
  </si>
  <si>
    <t>Square Credit Card Reader, 4 1/2" x 4 1/2" x 1", White</t>
  </si>
  <si>
    <t>Message Book, Wirebound, Four 5 1/2" X 4" Forms/Pg., 200 Dupl. Sets/Book</t>
  </si>
  <si>
    <t>Michael Oakman</t>
  </si>
  <si>
    <t>Global Comet Stacking Armless Chair</t>
  </si>
  <si>
    <t>Wirebound Message Books, 5-1/2 x 4 Forms, 2 or 4 Forms per Page</t>
  </si>
  <si>
    <t>Apple iPhone 5S</t>
  </si>
  <si>
    <t>Avery 485</t>
  </si>
  <si>
    <t>Deflect-o SuperTray Unbreakable Stackable Tray, Letter, Black</t>
  </si>
  <si>
    <t>Jenna Caffey</t>
  </si>
  <si>
    <t>Binney &amp; Smith inkTank Erasable Desk Highlighter, Chisel Tip, Yellow, 12/Box</t>
  </si>
  <si>
    <t>Tensor Track Tree Floor Lamp</t>
  </si>
  <si>
    <t>Mathew Reese</t>
  </si>
  <si>
    <t>Sean Miller</t>
  </si>
  <si>
    <t>Quartet Alpha White Chalk, 12/Pack</t>
  </si>
  <si>
    <t>Frank Gastineau</t>
  </si>
  <si>
    <t>Beth Fritzler</t>
  </si>
  <si>
    <t>Avery 482</t>
  </si>
  <si>
    <t>BOSTON Model 1800 Electric Pencil Sharpeners, Putty/Woodgrain</t>
  </si>
  <si>
    <t>OIC Binder Clips, Mini, 1/4" Capacity, Black</t>
  </si>
  <si>
    <t>Belkin 8 Outlet SurgeMaster II Gold Surge Protector</t>
  </si>
  <si>
    <t>Hon 2111 Invitation Series Straight Table</t>
  </si>
  <si>
    <t>Spiral Phone Message Books with Labels by Adams</t>
  </si>
  <si>
    <t>Newell 349</t>
  </si>
  <si>
    <t>Sony 32GB Class 10 Micro SDHC R40 Memory Card</t>
  </si>
  <si>
    <t>Acme Kleencut Forged Steel Scissors</t>
  </si>
  <si>
    <t>Office Star - Task Chair with Contemporary Loop Arms</t>
  </si>
  <si>
    <t>South Dakota</t>
  </si>
  <si>
    <t>Dexim XPower Skin Super-Thin Power Case for iPhone 5 - Black</t>
  </si>
  <si>
    <t>Wirebound Message Forms, Four 2 3/4 x 5 Forms per Page, Pink Paper</t>
  </si>
  <si>
    <t>Nathan Mautz</t>
  </si>
  <si>
    <t>Mike Gockenbach</t>
  </si>
  <si>
    <t>Message Book, Phone, Wirebound Standard Line Memo, 2 3/4" X 5"</t>
  </si>
  <si>
    <t>Economy Rollaway Files</t>
  </si>
  <si>
    <t>3M Office Air Cleaner</t>
  </si>
  <si>
    <t>Eric Murdock</t>
  </si>
  <si>
    <t>Xerox 1998</t>
  </si>
  <si>
    <t>Charlotte Melton</t>
  </si>
  <si>
    <t>Letter/Legal File Tote with Clear Snap-On Lid, Black Granite</t>
  </si>
  <si>
    <t>Tennsco Lockers, Sand</t>
  </si>
  <si>
    <t>Global Enterprise Series Seating Low-Back Swivel/Tilt Chairs</t>
  </si>
  <si>
    <t>Polycom VoiceStation 500 Conference phone</t>
  </si>
  <si>
    <t>Mead 1st Gear 2" Zipper Binder, Asst. Colors</t>
  </si>
  <si>
    <t>Dana Kaydos</t>
  </si>
  <si>
    <t>Rick Hansen</t>
  </si>
  <si>
    <t>Xerox 2000</t>
  </si>
  <si>
    <t>Maxell 4.7GB DVD-R 5/Pack</t>
  </si>
  <si>
    <t>Acco Perma 3000 Stacking Storage Drawers</t>
  </si>
  <si>
    <t>GBC Recycled Grain Textured Covers</t>
  </si>
  <si>
    <t>Acco Side-Punched Conventional Columnar Pads</t>
  </si>
  <si>
    <t>Seth Thomas 14" Putty-Colored Wall Clock</t>
  </si>
  <si>
    <t>Nicole Fjeld</t>
  </si>
  <si>
    <t>Fellowes Super Stor/Drawer Files</t>
  </si>
  <si>
    <t>Imation Bio 8GB USB Flash Drive Imation Corp</t>
  </si>
  <si>
    <t>Fellowes PB300 Plastic Comb Binding Machine</t>
  </si>
  <si>
    <t>DAX Metal Frame, Desktop, Stepped-Edge</t>
  </si>
  <si>
    <t>Doug O'Connell</t>
  </si>
  <si>
    <t>Xerox 1941</t>
  </si>
  <si>
    <t>Patrick Ryan</t>
  </si>
  <si>
    <t>Newell 336</t>
  </si>
  <si>
    <t>Avery Metallic Poly Binders</t>
  </si>
  <si>
    <t>Sharp 1540cs Digital Laser Copier</t>
  </si>
  <si>
    <t>Xerox 1981</t>
  </si>
  <si>
    <t>Anker 24W Portable Micro USB Car Charger</t>
  </si>
  <si>
    <t>Anthony Witt</t>
  </si>
  <si>
    <t>Xerox 1890</t>
  </si>
  <si>
    <t>Maxell iVDR EX 500GB Cartridge</t>
  </si>
  <si>
    <t>Ralph Kennedy</t>
  </si>
  <si>
    <t>Katrina Bavinger</t>
  </si>
  <si>
    <t>"While you Were Out" Message Book, One Form per Page</t>
  </si>
  <si>
    <t>Avery Trapezoid Extra Heavy Duty 4" Binders</t>
  </si>
  <si>
    <t>Bush Birmingham Collection Bookcase, Dark Cherry</t>
  </si>
  <si>
    <t>Xerox 220</t>
  </si>
  <si>
    <t>Sanford Colorific Eraseable Coloring Pencils, 12 Count</t>
  </si>
  <si>
    <t>Trudy Glocke</t>
  </si>
  <si>
    <t>Motorla HX550 Universal Bluetooth Headset</t>
  </si>
  <si>
    <t>DataProducts Ampli Magnifier Task Lamp, Black,</t>
  </si>
  <si>
    <t>Konftel 250 Conference phone - Charcoal black</t>
  </si>
  <si>
    <t>Avoid Verbal Orders Carbonless Minifold Book</t>
  </si>
  <si>
    <t>Decoflex Hanging Personal Folder File, Blue</t>
  </si>
  <si>
    <t>BoxOffice By Design Rectangular and Half-Moon Meeting Room Tables</t>
  </si>
  <si>
    <t>Imation Swivel Flash Drive USB flash drive - 8 GB</t>
  </si>
  <si>
    <t>Xerox 205</t>
  </si>
  <si>
    <t>Alex Russell</t>
  </si>
  <si>
    <t>#10- 4 1/8" x 9 1/2" Recycled Envelopes</t>
  </si>
  <si>
    <t>Eldon Expressions Punched Metal &amp; Wood Desk Accessories, Pewter &amp; Cherry</t>
  </si>
  <si>
    <t>Shahid Shariari</t>
  </si>
  <si>
    <t>Wilson Jones Suede Grain Vinyl Binders</t>
  </si>
  <si>
    <t>Acco 6 Outlet Guardian Standard Surge Suppressor</t>
  </si>
  <si>
    <t>Memorex Mini Travel Drive 8 GB USB 2.0 Flash Drive</t>
  </si>
  <si>
    <t>Jennifer Ferguson</t>
  </si>
  <si>
    <t>Hon Pagoda Stacking Chairs</t>
  </si>
  <si>
    <t>iOttie XL Car Mount</t>
  </si>
  <si>
    <t>Bart Folk</t>
  </si>
  <si>
    <t>Roger Barcio</t>
  </si>
  <si>
    <t>Lexmark MarkNet N8150 Wireless Print Server</t>
  </si>
  <si>
    <t>Ricoh - Ink Collector Unit for GX3000 Series Printers</t>
  </si>
  <si>
    <t>Theresa Coyne</t>
  </si>
  <si>
    <t>Wilson Jones Heavy-Duty Casebound Ring Binders with Metal Hinges</t>
  </si>
  <si>
    <t>Plantronics 81402</t>
  </si>
  <si>
    <t>Cardinal Poly Pocket Divider Pockets for Ring Binders</t>
  </si>
  <si>
    <t>Avery Hi-Liter EverBold Pen Style Fluorescent Highlighters, 4/Pack</t>
  </si>
  <si>
    <t>Eldon ProFile File 'N Store Portable File Tub Letter/Legal Size Black</t>
  </si>
  <si>
    <t>Xerox 1897</t>
  </si>
  <si>
    <t>Micro Innovations Wireless Classic Keyboard with Mouse</t>
  </si>
  <si>
    <t>Lexmark 20R1285 X6650 Wireless All-in-One Printer</t>
  </si>
  <si>
    <t>Global Adaptabilites Bookcase, Cherry/Storm Gray Finish</t>
  </si>
  <si>
    <t>Avery 514</t>
  </si>
  <si>
    <t>Xerox 1984</t>
  </si>
  <si>
    <t>Master Caster Door Stop, Gray</t>
  </si>
  <si>
    <t>Post-it “Important Message” Note Pad, Neon Colors, 50 Sheets/Pad</t>
  </si>
  <si>
    <t>Logitech Wireless Boombox Speaker - portable - wireless, wired</t>
  </si>
  <si>
    <t>Muhammed Lee</t>
  </si>
  <si>
    <t>Logitech M510 Wireless Mouse</t>
  </si>
  <si>
    <t>AT&amp;T CL82213</t>
  </si>
  <si>
    <t>Xerox 1940</t>
  </si>
  <si>
    <t>Stride Job 150 Highlighters, Chisel Tip, Assorted Colors</t>
  </si>
  <si>
    <t>Xerox 219</t>
  </si>
  <si>
    <t>Shaun Chance</t>
  </si>
  <si>
    <t>Wausau Papers Astrobrights Colored Envelopes</t>
  </si>
  <si>
    <t>OtterBox Commuter Series Case - Samsung Galaxy S4</t>
  </si>
  <si>
    <t>Socket Bluetooth Cordless Hand Scanner (CHS)</t>
  </si>
  <si>
    <t>Wirebound Voice Message Log Book</t>
  </si>
  <si>
    <t>Wasp CCD Handheld Bar Code Reader</t>
  </si>
  <si>
    <t>Riverside Furniture Stanwyck Manor Table Series</t>
  </si>
  <si>
    <t>Michelle Ellison</t>
  </si>
  <si>
    <t>Self-Adhesive Address Labels for Typewriters with Dispenser Box</t>
  </si>
  <si>
    <t>Personal Creations Ink Jet Cards and Labels</t>
  </si>
  <si>
    <t>Design Ebony Sketching Pencil</t>
  </si>
  <si>
    <t>Juliana Krohn</t>
  </si>
  <si>
    <t>Nu-Dell Leatherette Frames</t>
  </si>
  <si>
    <t>Xerox 208</t>
  </si>
  <si>
    <t>DAX Clear Channel Poster Frame</t>
  </si>
  <si>
    <t>Phillina Ober</t>
  </si>
  <si>
    <t>Logitech G430 Surround Sound Gaming Headset with Dolby 7.1 Technology</t>
  </si>
  <si>
    <t>O'Sullivan Manor Hill 2-Door Library in Brianna Oak</t>
  </si>
  <si>
    <t>TOPS 4 x 6 Fluorescent Color Memo Sheets, 500 Sheets per Pack</t>
  </si>
  <si>
    <t>Durable Pressboard Binders</t>
  </si>
  <si>
    <t>Xerox 1989</t>
  </si>
  <si>
    <t>Avery 489</t>
  </si>
  <si>
    <t>Adams Write n' Stick Phone Message Book, 11" X 5 1/4", 200 Messages</t>
  </si>
  <si>
    <t>Anthony Garverick</t>
  </si>
  <si>
    <t>Panasonic KP-310 Heavy-Duty Electric Pencil Sharpener</t>
  </si>
  <si>
    <t>Executive Impressions 14" Two-Color Numerals Wall Clock</t>
  </si>
  <si>
    <t>Bobby Odegard</t>
  </si>
  <si>
    <t>Swingline SM12-08 MicroCut Jam Free Shredder</t>
  </si>
  <si>
    <t>Astrea Jones</t>
  </si>
  <si>
    <t>2300 Heavy-Duty Transfer File Systems by Perma</t>
  </si>
  <si>
    <t>Rush Hierlooms Collection Rich Wood Bookcases</t>
  </si>
  <si>
    <t>Hilary Holden</t>
  </si>
  <si>
    <t>Anderson Hickey Conga Table Tops &amp; Accessories</t>
  </si>
  <si>
    <t>DAX Wood Document Frame.</t>
  </si>
  <si>
    <t>Patricia Hirasaki</t>
  </si>
  <si>
    <t>Fellowes Recycled Storage Drawers</t>
  </si>
  <si>
    <t>Office Star - Ergonomic Mid Back Chair with 2-Way Adjustable Arms</t>
  </si>
  <si>
    <t>#6 3/4 Gummed Flap White Envelopes</t>
  </si>
  <si>
    <t>Randy Bradley</t>
  </si>
  <si>
    <t>Jocasta Rupert</t>
  </si>
  <si>
    <t>Julie Creighton</t>
  </si>
  <si>
    <t>Xerox 1969</t>
  </si>
  <si>
    <t>Wirebound Message Book, 4 per Page</t>
  </si>
  <si>
    <t>Keith Herrera</t>
  </si>
  <si>
    <t>Xerox 21</t>
  </si>
  <si>
    <t>Jim Karlsson</t>
  </si>
  <si>
    <t>Avery 500</t>
  </si>
  <si>
    <t>GBC Therma-A-Bind 250T Electric Binding System</t>
  </si>
  <si>
    <t>Document Clip Frames</t>
  </si>
  <si>
    <t>Daniel Lacy</t>
  </si>
  <si>
    <t>Xerox 1963</t>
  </si>
  <si>
    <t>Grant Thornton</t>
  </si>
  <si>
    <t>Cubify CubeX 3D Printer Triple Head Print</t>
  </si>
  <si>
    <t>Self-Adhesive Ring Binder Labels</t>
  </si>
  <si>
    <t>Christina DeMoss</t>
  </si>
  <si>
    <t>SANFORD Liquid Accent Tank-Style Highlighters</t>
  </si>
  <si>
    <t>Decoflex Hanging Personal Folder File</t>
  </si>
  <si>
    <t>Plantronics CS 50-USB - headset - Convertible, Monaural</t>
  </si>
  <si>
    <t>Maxell CD-R Discs</t>
  </si>
  <si>
    <t>Kean Nguyen</t>
  </si>
  <si>
    <t>Safco Wire Cube Shelving System, For Use as 4 or 5 14" Cubes, Black</t>
  </si>
  <si>
    <t>Gary Hwang</t>
  </si>
  <si>
    <t>Ann Blume</t>
  </si>
  <si>
    <t>DYMO CardScan Personal V9 Business Card Scanner</t>
  </si>
  <si>
    <t>Tenex Antistatic Computer Chair Mats</t>
  </si>
  <si>
    <t>Thomas Brumley</t>
  </si>
  <si>
    <t>Tenex V2T-RE Standard Weight Series Chair Mat, 45" x 53", Lip 25" x 12"</t>
  </si>
  <si>
    <t>Nathan Gelder</t>
  </si>
  <si>
    <t>Xerox 197</t>
  </si>
  <si>
    <t>KeyTronic 6101 Series - Keyboard - Black</t>
  </si>
  <si>
    <t>Epson TM-T88V Direct Thermal Printer - Monochrome - Desktop</t>
  </si>
  <si>
    <t>Mitch Willingham</t>
  </si>
  <si>
    <t>Eileen Kiefer</t>
  </si>
  <si>
    <t>Howard Miller 13" Diameter Goldtone Round Wall Clock</t>
  </si>
  <si>
    <t>Xerox 1938</t>
  </si>
  <si>
    <t>Xerox 211</t>
  </si>
  <si>
    <t>Avery Hi-Liter GlideStik Fluorescent Highlighter, Yellow Ink</t>
  </si>
  <si>
    <t>Richard Bierner</t>
  </si>
  <si>
    <t>Executive Impressions 13-1/2" Indoor/Outdoor Wall Clock</t>
  </si>
  <si>
    <t>Xerox 1901</t>
  </si>
  <si>
    <t>Jennifer Halladay</t>
  </si>
  <si>
    <t>Novimex High-Tech Fabric Mesh Task Chair</t>
  </si>
  <si>
    <t>Sanford Uni-Blazer View Highlighters, Chisel Tip, Yellow</t>
  </si>
  <si>
    <t>3D Systems Cube Printer, 2nd Generation, White</t>
  </si>
  <si>
    <t>Recycled Eldon Regeneration Jumbo File</t>
  </si>
  <si>
    <t>Speck Products Candyshell Flip Case</t>
  </si>
  <si>
    <t>Executive Impressions 13" Chairman Wall Clock</t>
  </si>
  <si>
    <t>Panasonic Business Telephones KX-T7736</t>
  </si>
  <si>
    <t>Contemporary Borderless Frame</t>
  </si>
  <si>
    <t>AT&amp;T CL2909</t>
  </si>
  <si>
    <t>Sanford 52201 APSCO Electric Pencil Sharpener</t>
  </si>
  <si>
    <t>Safco Chair Connectors, 6/Carton</t>
  </si>
  <si>
    <t>Michael Stewart</t>
  </si>
  <si>
    <t>Tensor "Hersey Kiss" Styled Floor Lamp</t>
  </si>
  <si>
    <t>Xerox 1956</t>
  </si>
  <si>
    <t>Hand-Finished Solid Wood Document Frame</t>
  </si>
  <si>
    <t>Larry Tron</t>
  </si>
  <si>
    <t>Naresj Patel</t>
  </si>
  <si>
    <t>Tenex Traditional Chairmats for Hard Floors, Average Lip, 36" x 48"</t>
  </si>
  <si>
    <t>Pastel Pink Envelopes</t>
  </si>
  <si>
    <t>Hoover Commercial Lightweight Upright Vacuum</t>
  </si>
  <si>
    <t>Bush Saratoga Collection 5-Shelf Bookcase, Hanover Cherry, *Special Order</t>
  </si>
  <si>
    <t>David Kendrick</t>
  </si>
  <si>
    <t>Brian Derr</t>
  </si>
  <si>
    <t>Sandra Glassco</t>
  </si>
  <si>
    <t>Monica Federle</t>
  </si>
  <si>
    <t>Binney &amp; Smith Crayola Metallic Crayons, 16-Color Pack</t>
  </si>
  <si>
    <t>Robert Marley</t>
  </si>
  <si>
    <t>Iceberg Nesting Folding Chair, 19w x 6d x 43h</t>
  </si>
  <si>
    <t>Memorex Micro Travel Drive 4 GB</t>
  </si>
  <si>
    <t>Greg Hansen</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</si>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</sst>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0"/>
      <name val="Calibri"/>
      <family val="2"/>
      <scheme val="minor"/>
    </font>
    <font>
      <sz val="8"/>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9">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s>
  <cellStyleXfs count="1">
    <xf numFmtId="0" fontId="0" fillId="0" borderId="0"/>
  </cellStyleXfs>
  <cellXfs count="27">
    <xf numFmtId="0" fontId="0" fillId="0" borderId="0" xfId="0"/>
    <xf numFmtId="0" fontId="0" fillId="3" borderId="1" xfId="0" applyFill="1" applyBorder="1"/>
    <xf numFmtId="14" fontId="0" fillId="3" borderId="4" xfId="0" applyNumberFormat="1" applyFill="1" applyBorder="1"/>
    <xf numFmtId="0" fontId="0" fillId="3" borderId="5" xfId="0" applyFill="1" applyBorder="1"/>
    <xf numFmtId="14" fontId="0" fillId="0" borderId="4" xfId="0" applyNumberFormat="1" applyBorder="1"/>
    <xf numFmtId="0" fontId="0" fillId="0" borderId="5" xfId="0" applyBorder="1"/>
    <xf numFmtId="14" fontId="0" fillId="3" borderId="3" xfId="0" applyNumberFormat="1" applyFill="1" applyBorder="1"/>
    <xf numFmtId="0" fontId="1" fillId="2" borderId="7" xfId="0" applyFont="1" applyFill="1" applyBorder="1"/>
    <xf numFmtId="0" fontId="1" fillId="2" borderId="0" xfId="0" applyFont="1" applyFill="1"/>
    <xf numFmtId="2" fontId="1" fillId="2" borderId="0" xfId="0" applyNumberFormat="1" applyFont="1" applyFill="1"/>
    <xf numFmtId="2" fontId="1" fillId="2" borderId="8" xfId="0" applyNumberFormat="1" applyFont="1" applyFill="1" applyBorder="1"/>
    <xf numFmtId="2" fontId="0" fillId="3" borderId="5" xfId="0" applyNumberFormat="1" applyFill="1" applyBorder="1"/>
    <xf numFmtId="2" fontId="0" fillId="3" borderId="6" xfId="0" applyNumberFormat="1" applyFill="1" applyBorder="1"/>
    <xf numFmtId="2" fontId="0" fillId="0" borderId="5" xfId="0" applyNumberFormat="1" applyBorder="1"/>
    <xf numFmtId="2" fontId="0" fillId="0" borderId="6" xfId="0" applyNumberFormat="1" applyBorder="1"/>
    <xf numFmtId="2" fontId="0" fillId="3" borderId="1" xfId="0" applyNumberFormat="1" applyFill="1" applyBorder="1"/>
    <xf numFmtId="2" fontId="0" fillId="3" borderId="2" xfId="0" applyNumberFormat="1" applyFill="1" applyBorder="1"/>
    <xf numFmtId="2" fontId="0" fillId="0" borderId="0" xfId="0" applyNumberFormat="1"/>
    <xf numFmtId="1" fontId="0" fillId="3" borderId="5" xfId="0" applyNumberFormat="1" applyFill="1" applyBorder="1"/>
    <xf numFmtId="1" fontId="0" fillId="0" borderId="5" xfId="0" applyNumberFormat="1" applyBorder="1"/>
    <xf numFmtId="1" fontId="0" fillId="3" borderId="1" xfId="0" applyNumberFormat="1" applyFill="1" applyBorder="1"/>
    <xf numFmtId="1" fontId="0" fillId="0" borderId="0" xfId="0" applyNumberFormat="1"/>
    <xf numFmtId="1" fontId="1" fillId="2"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1">
    <cellStyle name="Normal" xfId="0" builtinId="0"/>
  </cellStyles>
  <dxfs count="13">
    <dxf>
      <font>
        <b/>
        <color theme="1"/>
      </font>
      <border>
        <bottom style="thin">
          <color theme="5"/>
        </bottom>
        <vertical/>
        <horizontal/>
      </border>
    </dxf>
    <dxf>
      <font>
        <color rgb="FFC00000"/>
      </font>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color rgb="FFC00000"/>
      </font>
      <border>
        <left style="thin">
          <color theme="4"/>
        </left>
        <right style="thin">
          <color theme="4"/>
        </right>
        <top style="thin">
          <color theme="4"/>
        </top>
        <bottom style="thin">
          <color theme="4"/>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2" formatCode="0.00"/>
    </dxf>
    <dxf>
      <numFmt numFmtId="1" formatCode="0"/>
    </dxf>
    <dxf>
      <numFmt numFmtId="2" formatCode="0.00"/>
    </dxf>
    <dxf>
      <numFmt numFmtId="1" formatCode="0"/>
    </dxf>
    <dxf>
      <numFmt numFmtId="1" formatCode="0"/>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2" defaultTableStyle="TableStyleMedium2" defaultPivotStyle="PivotStyleLight16">
    <tableStyle name="SlicerStyleDark2 2" pivot="0" table="0" count="10" xr9:uid="{43DFAD84-0AA7-4469-A5D9-D135AE339E36}">
      <tableStyleElement type="wholeTable" dxfId="1"/>
      <tableStyleElement type="headerRow" dxfId="0"/>
    </tableStyle>
    <tableStyle name="SlicerStyleLight1 2" pivot="0" table="0" count="10" xr9:uid="{3A7C65DE-0796-4FA1-96B6-1FE24CABA722}">
      <tableStyleElement type="wholeTable" dxfId="3"/>
      <tableStyleElement type="headerRow" dxfId="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DataSet.xlsx]CustomerCount!PivotTable10</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70215610897543"/>
          <c:y val="7.6378994172844064E-2"/>
          <c:w val="0.78378739762660876"/>
          <c:h val="0.78233089244644827"/>
        </c:manualLayout>
      </c:layout>
      <c:barChart>
        <c:barDir val="bar"/>
        <c:grouping val="clustered"/>
        <c:varyColors val="0"/>
        <c:ser>
          <c:idx val="0"/>
          <c:order val="0"/>
          <c:tx>
            <c:strRef>
              <c:f>'CustomerCount'!$E$5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'CustomerCount'!$D$6:$D$7</c:f>
              <c:strCache>
                <c:ptCount val="2"/>
                <c:pt idx="0">
                  <c:v>2019</c:v>
                </c:pt>
                <c:pt idx="1">
                  <c:v>2020</c:v>
                </c:pt>
              </c:strCache>
            </c:strRef>
          </c:cat>
          <c:val>
            <c:numRef>
              <c:f>'CustomerCount'!$E$6:$E$7</c:f>
              <c:numCache>
                <c:formatCode>General</c:formatCode>
                <c:ptCount val="2"/>
                <c:pt idx="0">
                  <c:v>638</c:v>
                </c:pt>
                <c:pt idx="1">
                  <c:v>693</c:v>
                </c:pt>
              </c:numCache>
            </c:numRef>
          </c:val>
          <c:extLst>
            <c:ext xmlns:c16="http://schemas.microsoft.com/office/drawing/2014/chart" uri="{C3380CC4-5D6E-409C-BE32-E72D297353CC}">
              <c16:uniqueId val="{00000000-F3E9-4093-B437-3E1C06ADC0EF}"/>
            </c:ext>
          </c:extLst>
        </c:ser>
        <c:dLbls>
          <c:dLblPos val="inEnd"/>
          <c:showLegendKey val="0"/>
          <c:showVal val="1"/>
          <c:showCatName val="0"/>
          <c:showSerName val="0"/>
          <c:showPercent val="0"/>
          <c:showBubbleSize val="0"/>
        </c:dLbls>
        <c:gapWidth val="182"/>
        <c:axId val="1810587855"/>
        <c:axId val="1810591695"/>
      </c:barChart>
      <c:catAx>
        <c:axId val="181058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91695"/>
        <c:crosses val="autoZero"/>
        <c:auto val="1"/>
        <c:lblAlgn val="ctr"/>
        <c:lblOffset val="100"/>
        <c:noMultiLvlLbl val="0"/>
      </c:catAx>
      <c:valAx>
        <c:axId val="1810591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8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732718894009217E-2"/>
          <c:y val="0.26100904020953009"/>
          <c:w val="0.44018346093835042"/>
          <c:h val="0.56688304551357827"/>
        </c:manualLayout>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18-4FB7-8CB2-1A92C6E821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18-4FB7-8CB2-1A92C6E8217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418-4FB7-8CB2-1A92C6E8217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418-4FB7-8CB2-1A92C6E8217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418-4FB7-8CB2-1A92C6E821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 Customers'!$E$4:$E$8</c:f>
              <c:strCache>
                <c:ptCount val="5"/>
                <c:pt idx="0">
                  <c:v>Tamara Chand</c:v>
                </c:pt>
                <c:pt idx="1">
                  <c:v>Raymond Buch</c:v>
                </c:pt>
                <c:pt idx="2">
                  <c:v>Hunter Lopez</c:v>
                </c:pt>
                <c:pt idx="3">
                  <c:v>Adrian Barton</c:v>
                </c:pt>
                <c:pt idx="4">
                  <c:v>Tom Ashbrook</c:v>
                </c:pt>
              </c:strCache>
            </c:strRef>
          </c:cat>
          <c:val>
            <c:numRef>
              <c:f>'Top5 Customers'!$F$4:$F$8</c:f>
              <c:numCache>
                <c:formatCode>General</c:formatCode>
                <c:ptCount val="5"/>
                <c:pt idx="0">
                  <c:v>8764.9483</c:v>
                </c:pt>
                <c:pt idx="1">
                  <c:v>6976.0959000000012</c:v>
                </c:pt>
                <c:pt idx="2">
                  <c:v>5174.3968000000004</c:v>
                </c:pt>
                <c:pt idx="3">
                  <c:v>5088.9447999999993</c:v>
                </c:pt>
                <c:pt idx="4">
                  <c:v>4523.3625000000011</c:v>
                </c:pt>
              </c:numCache>
            </c:numRef>
          </c:val>
          <c:extLst>
            <c:ext xmlns:c16="http://schemas.microsoft.com/office/drawing/2014/chart" uri="{C3380CC4-5D6E-409C-BE32-E72D297353CC}">
              <c16:uniqueId val="{0000000A-4418-4FB7-8CB2-1A92C6E8217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2423977647955298"/>
          <c:y val="0.19169042422665497"/>
          <c:w val="0.20866301389745637"/>
          <c:h val="0.68486746234866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DataSet.xlsx]Monthly Sales!PivotTable7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6981627296588"/>
          <c:y val="7.407407407407407E-2"/>
          <c:w val="0.85219685039370074"/>
          <c:h val="0.8416746864975212"/>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extLst>
            <c:ext xmlns:c16="http://schemas.microsoft.com/office/drawing/2014/chart" uri="{C3380CC4-5D6E-409C-BE32-E72D297353CC}">
              <c16:uniqueId val="{00000000-8430-4C82-98A4-DE91BE0FDBFB}"/>
            </c:ext>
          </c:extLst>
        </c:ser>
        <c:dLbls>
          <c:showLegendKey val="0"/>
          <c:showVal val="0"/>
          <c:showCatName val="0"/>
          <c:showSerName val="0"/>
          <c:showPercent val="0"/>
          <c:showBubbleSize val="0"/>
        </c:dLbls>
        <c:axId val="1810583535"/>
        <c:axId val="1810580175"/>
      </c:areaChart>
      <c:catAx>
        <c:axId val="1810583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80175"/>
        <c:crosses val="autoZero"/>
        <c:auto val="1"/>
        <c:lblAlgn val="ctr"/>
        <c:lblOffset val="100"/>
        <c:noMultiLvlLbl val="0"/>
      </c:catAx>
      <c:valAx>
        <c:axId val="1810580175"/>
        <c:scaling>
          <c:orientation val="minMax"/>
        </c:scaling>
        <c:delete val="0"/>
        <c:axPos val="l"/>
        <c:majorGridlines>
          <c:spPr>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83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DataSet.xlsx]Profit Gained!PivotTable4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2222222222222221"/>
          <c:w val="0.75294597550306208"/>
          <c:h val="0.67037839020122481"/>
        </c:manualLayout>
      </c:layout>
      <c:lineChart>
        <c:grouping val="standard"/>
        <c:varyColors val="0"/>
        <c:ser>
          <c:idx val="0"/>
          <c:order val="0"/>
          <c:tx>
            <c:strRef>
              <c:f>'Profit Gained'!$B$3:$B$4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Gained'!$A$5:$A$6</c:f>
              <c:strCache>
                <c:ptCount val="2"/>
                <c:pt idx="0">
                  <c:v>2019</c:v>
                </c:pt>
                <c:pt idx="1">
                  <c:v>2020</c:v>
                </c:pt>
              </c:strCache>
            </c:strRef>
          </c:cat>
          <c:val>
            <c:numRef>
              <c:f>'Profit Gained'!$B$5:$B$6</c:f>
              <c:numCache>
                <c:formatCode>General</c:formatCode>
                <c:ptCount val="2"/>
                <c:pt idx="0">
                  <c:v>6988.2198999999973</c:v>
                </c:pt>
                <c:pt idx="1">
                  <c:v>3018.3913000000025</c:v>
                </c:pt>
              </c:numCache>
            </c:numRef>
          </c:val>
          <c:smooth val="0"/>
          <c:extLst>
            <c:ext xmlns:c16="http://schemas.microsoft.com/office/drawing/2014/chart" uri="{C3380CC4-5D6E-409C-BE32-E72D297353CC}">
              <c16:uniqueId val="{00000000-0D13-493F-B8AE-4BB25802EB01}"/>
            </c:ext>
          </c:extLst>
        </c:ser>
        <c:ser>
          <c:idx val="1"/>
          <c:order val="1"/>
          <c:tx>
            <c:strRef>
              <c:f>'Profit Gained'!$C$3:$C$4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Gained'!$A$5:$A$6</c:f>
              <c:strCache>
                <c:ptCount val="2"/>
                <c:pt idx="0">
                  <c:v>2019</c:v>
                </c:pt>
                <c:pt idx="1">
                  <c:v>2020</c:v>
                </c:pt>
              </c:strCache>
            </c:strRef>
          </c:cat>
          <c:val>
            <c:numRef>
              <c:f>'Profit Gained'!$C$5:$C$6</c:f>
              <c:numCache>
                <c:formatCode>General</c:formatCode>
                <c:ptCount val="2"/>
                <c:pt idx="0">
                  <c:v>35061.229199999972</c:v>
                </c:pt>
                <c:pt idx="1">
                  <c:v>39736.016899999959</c:v>
                </c:pt>
              </c:numCache>
            </c:numRef>
          </c:val>
          <c:smooth val="0"/>
          <c:extLst>
            <c:ext xmlns:c16="http://schemas.microsoft.com/office/drawing/2014/chart" uri="{C3380CC4-5D6E-409C-BE32-E72D297353CC}">
              <c16:uniqueId val="{00000001-0D13-493F-B8AE-4BB25802EB01}"/>
            </c:ext>
          </c:extLst>
        </c:ser>
        <c:ser>
          <c:idx val="2"/>
          <c:order val="2"/>
          <c:tx>
            <c:strRef>
              <c:f>'Profit Gained'!$D$3:$D$4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Gained'!$A$5:$A$6</c:f>
              <c:strCache>
                <c:ptCount val="2"/>
                <c:pt idx="0">
                  <c:v>2019</c:v>
                </c:pt>
                <c:pt idx="1">
                  <c:v>2020</c:v>
                </c:pt>
              </c:strCache>
            </c:strRef>
          </c:cat>
          <c:val>
            <c:numRef>
              <c:f>'Profit Gained'!$D$5:$D$6</c:f>
              <c:numCache>
                <c:formatCode>General</c:formatCode>
                <c:ptCount val="2"/>
                <c:pt idx="0">
                  <c:v>39773.991999999984</c:v>
                </c:pt>
                <c:pt idx="1">
                  <c:v>50684.256600000059</c:v>
                </c:pt>
              </c:numCache>
            </c:numRef>
          </c:val>
          <c:smooth val="0"/>
          <c:extLst>
            <c:ext xmlns:c16="http://schemas.microsoft.com/office/drawing/2014/chart" uri="{C3380CC4-5D6E-409C-BE32-E72D297353CC}">
              <c16:uniqueId val="{00000002-0D13-493F-B8AE-4BB25802EB01}"/>
            </c:ext>
          </c:extLst>
        </c:ser>
        <c:dLbls>
          <c:showLegendKey val="0"/>
          <c:showVal val="0"/>
          <c:showCatName val="0"/>
          <c:showSerName val="0"/>
          <c:showPercent val="0"/>
          <c:showBubbleSize val="0"/>
        </c:dLbls>
        <c:marker val="1"/>
        <c:smooth val="0"/>
        <c:axId val="1810546575"/>
        <c:axId val="1810537935"/>
      </c:lineChart>
      <c:catAx>
        <c:axId val="18105465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37935"/>
        <c:crosses val="autoZero"/>
        <c:auto val="1"/>
        <c:lblAlgn val="ctr"/>
        <c:lblOffset val="100"/>
        <c:noMultiLvlLbl val="0"/>
      </c:catAx>
      <c:valAx>
        <c:axId val="181053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46575"/>
        <c:crosses val="autoZero"/>
        <c:crossBetween val="between"/>
      </c:valAx>
      <c:spPr>
        <a:noFill/>
        <a:ln>
          <a:noFill/>
        </a:ln>
        <a:effectLst/>
      </c:spPr>
    </c:plotArea>
    <c:legend>
      <c:legendPos val="r"/>
      <c:layout>
        <c:manualLayout>
          <c:xMode val="edge"/>
          <c:yMode val="edge"/>
          <c:x val="0.22002690288713911"/>
          <c:y val="4.8252405949256366E-2"/>
          <c:w val="0.56330643044619433"/>
          <c:h val="0.14886519393409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a:ln>
              <a:noFill/>
            </a:ln>
          </cx:spPr>
        </cx:plotSurface>
        <cx:series layoutId="funnel" uniqueId="{F1FCFAAC-73F1-4405-B261-1F7B2348377D}">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1E3AD169-3FC0-4C4B-A962-D0585D5E005C}">
          <cx:spPr>
            <a:noFill/>
          </cx:spPr>
          <cx:dataId val="0"/>
          <cx:layoutPr>
            <cx:geography cultureLanguage="en-US" cultureRegion="IN" attribution="Powered by Bing">
              <cx:geoCache provider="{E9337A44-BEBE-4D9F-B70C-5C5E7DAFC167}">
                <cx:binary>1H1pb9tIuvVfCfL5pbt2sgbTF2hKlrfYSewk3Z0vhGK7ubO4b7/+HlpyYjOK7cH4voA8gxZiqcSn
6jzrqafK/77u/3Wd3K7LN32aZNW/rvvf3wZ1nf/rt9+q6+A2XVcHaXhdmsr8Ux9cm/Q3888/4fXt
bzflugsz/zdGqPjtOliX9W3/9n/+jW/zb807c72uQ5N9bG7L4fK2apK6euK9nW+9Wd+kYbYMq7oM
r2v6+9vlbbLu1uXt2ze3WR3Ww6chv/397aNPvX3z2/y7fnrumwSi1c0NxnJ9QIhjK8al3vy8fZOY
zN++bdnyQChHCU6dzdvy/tkX6xTjXyLRnTzrm5vytqowpbvXhyMfyY83Dt++uTZNVk/r5mMJf3/7
OQvr25s3V/W6vq3evgkrs9h8YGGmSXy+upv1b49X/n/+PfsF1mH2mwfgzBftubd+wuaPZP1tna7v
l+cVoGEHtlKCMWY/xsRRB44gnDPCvmO20YcNJi+QZDck3wfOEPnj3V4i8udtVb/5EpZ+mIWviYtz
AFSk7dDt8s/hIQeKcptrQsndD7/XiQ08LxZrN0iz4TOo/vyyl1C9D0Jzv0r/veUIciColFTbZGMg
zsyAYFlEAyJh70ToOWl2A7MZNcPj/fFe4nG+DrNXjDJCHnABXybvo8zMZJQ+YFRRQWyxAUzcK8PG
ZJ4VZzci22EzSM73NL6U4Wiy1/Rj4oBpzphDt4s+A4VSejBhppVUd2ZCH4Pyx/MC7Ybl+8AZMH98
3Utbuc/P3ph/3ixM0qTfXjnaaCIQbDhs4lFmZh8QqphWfJuZzWzmPxVrN1a7v2UG3HKxl8AtTJbd
XtfhdVPfa/YrxB56IG1JJedyE1tgNY9gQ+zhDoyOzTLpF0qzG6ZHg2foLD7tJTpfbsvUZK+JjDgg
tmT4HxKyGSRKMaWVw3fWOC+QZDcq3wfOEPmyn4j8UcbrrFpXr2csXBzAeTmE0231OUvUNDsQXCOV
k87GmGY28xKJdkPzY+QMmz8u99JaFusk/MeUr1vo2AdMIm3TVO90ZZRqVDo2s6mgG8O514xN1vYy
mXbj83DsDKHFH/uJkElMub55xTKHOwcwHimJYLvxIfJAInXgalaBIkt5VpRfwPJ95ByU93sJygoL
Ed68YlLNnAOpUXoKvoGEzMK/A4/moPBkzvYDM2heINBuZL4PnAGz2k/u5n2crAPzqnQajMHhQqht
XjZHRtsHkkyo2PbGmenH3uwlEu2G5sfIGTbvz/bSaI5uDTi1VzQazsCoIScWesuYzY2GHwghuC3I
Ng2YGc0LBNqNzPeBM2CO/thLYK5MUwdvluvY1K+IjhBIwkDOyHvDmPMEhBwwTgCeEo9N5qXy7Abn
8egZQlfLvUTo5AZe7X6RXqHYFAeo/onN7hOwWf5MqThQEkynQ2aZ87OC7MZkO2wGxsl+gvFnWF2b
rAqzVwVEoYiUXG2ZZwSRh6Wmo1H9MyQIenf4f5FIu6F5MHQGz58ne2krF6b8v/BmNmKJ4gSE2vcw
/xAhRCDseE686LammaUBL5VqN0iPR89wuthPMzoPr4PQX7+uFTm2sDVYzw1GM7fmSFgR0cjTtu+r
ewvebhe8QKLd+PyYywyb8/20oRPTvWYmwMCgIYG2hdhUN8jDHtqO5kihCVGUbN+f4fKcNLsx2Yya
4XGynxnaSZKEmQmre319hRSAHFCEfxT5212cnyMOFY7i0vnR4PGwWeAlEv0Cl+9zmWOznyXnSXYT
rl91g00fTA5KOPfs5cxc0MeBfQB4MXRy3P3Mc7TnBfoFMvcD58Bc7GUi8Oe6CtBnVZvXDDFIAyjl
6OLYVvvzooaRAylRlRKxqUnpvclumzheJNNueB7OZ4bQn/vp1s5ee1/AAUsmbKbtbYMGVv9RoHFQ
9xCKjYOtUwN6D53a8/LsRuZ+3AyVs6u9tJuL2+7N6W1Z3Q73q/M64QadTahwtlQNe4yMjYLTdiRa
IrfZ9YwSeJlMu9F5OHaG0MXpXiJ0BqVtruNXxIeDxWQ2c5TcNqf9nDozx7ZtTrcF6CzmvESi3ej8
GDnD5uzvvcTm/6BxENhQ5miutjFnho2NxkJshkoQOhvjQb7w0Ku9RKLd2PwYOcPmy37Gm3emCatX
TtbIgXbg05S691yPHZum2KqmDtqltszOzLG9SKTd6DwYOoPn3X7Cc74uh2Sd3dyr738fdqatTvg1
hPvHqNgKnZzow+V6W/3MTOYlkuwG5cfIGSbne8rSrKtqfR001W1dV68HjGAH6ADA1gwImbufWaZm
o4eQSDSrO7MU7fyl8vwKnkfTmWO0p3YToiGtet3NG4XOW43taASWXfhocUA1dj3Bd94rxT2H9gJZ
foHNj2nMcdnPAvQ8rKrp/3ke3i/SK7g0NAIyHL35zsvMXBu2CtB4y9DcsWUHZmTaC4X6FUQPZjQH
aT+rnWk9TFO+JkKoMpUN8mZLAZBZrTN1pyGTtun9VsEsl36JRL+GZzOXOTb72WYzVW7nt314/Yp7
n+gdFAznbKjYdKcThP6HHAEl6oCioUNjq+feajeu7WXS7Ebm4dgZNhfne1nnnKPJ9lVpT4HGdHQ/
4/TN7l0CSuDZBCohNbW0PyxwXiDKblS+D5xBcv5pLyG5uP1Wrqt4fb86/32wEehKR58mt+2tscxd
mT5A8QPC7T5NmLmyl0i0G5ofI2fYXBzuJTbvy1v/VYlofqC5gyO2XO3ej74jogEOOjnv9WHjxp6X
ZDci9+NmeLy/3Es8Lm7b9Ws2cOJANAfvj6Nqu88OUqqQl0nUM84mo/4puDwnz25U7ucxQ+ViP89z
TmHyeJ3m2Lh5zdPqgh8oR4KhuT9cM4v5qDbRpYZDUWTbsT4ral4s1q8wejSrOVTHe2pA3Zu/TRnf
O5dXCDYMLk0zMZ1Qv/uZoyQPUNcQ4LglbWaVzYTScxL9GqDNyDk2f+8nNnctUIt1adA28IrpAEcv
NEdb4HcnN9v9tPUBdeDjlNqmC3OEXizXL3CajZ+jtdhLtD7cZlk1JO36VU/h4DC7o3EIZ8vfkHnf
um0fONxxpq3S781SD5Pql0q1G6nHo2c4ffhjL3HaNBb/H1gVUjkCJprR7d7ozO85E5LoYcfB6g1S
M6t6uVy7sZqPn6F1tZ9WdRngjpc3J9XrbiigIFLMQSfu9vC0nu/FIZOgyPCm8+93P8DyoVW9VKrd
SD0ePcPp8mQvreoTvB8u+Lm9vV+o/z6RQJhyBGpSsk215wQcGqi44Gw6g/id3H4I0otE2o3Qg6Ez
eD7tJ4f96bZ/1ZO7FF3S3BFwZt+X/iH7plFGIf9DVPrRh/AYmmfE+RUsd8PmkPy1lxbzuV4Hr2gs
WHFsxKH62R5wm1E8d9d52NjAZmoWd56TYzcUm1EzJD7vJ+H252Bw0Zr/emBgWxRRA5cK/OJgO7g2
tBdS0Axkm7XdP3vbXvi8QLtR+T6TGTB/7kcBdP3kvW8bB7KJK48++Z9feoctabSx8x/3P82cF5oL
cWz6vqtgxlPPrqP7tVi7MZoNfzST/0933f36HrzvlwUu1/X68O6WwQdX4T397t10cffhbOg2cdqJ
22btTm5+f8sEVvn73YXTVzxKuGaLNht3u67q399aSh1om3OcUAB62PUm8HQdboH7/S1ShKn5CqkE
uCNcauAg38umKvT3tyCNOMhVwL29laWajlFiCHpOOMM+hqagzjXuOfh+ueMHkwxggb+vxvbfb7Im
/WDCrK5wsSISxnzzsWl20xMpIxo3wzEbx4tw2hXvX68v4Xbwafr/EhqVGe1ieetQr270IctFbiUL
krfh+EXKJo/XwipltcqKoRrEsma9DPqFZTzyzc9KkVkLw/rYPtWBHJplrK2sOO50mlTniUxza3BN
3Mv8m4zrqDdLrFUS8YVv24Le2r0Zmssk6O1k7Tgy9655ygt14auwyLmb0rCCKCKXZfo+oKTusqWf
yDLOXdPJNH1H7aGAyH6a0uGMpTyL/rGq1mDMA0h3LBJoh0drBN6OCQ36dSp4sVzQiIdrZNM0bAIV
OLdeZ7KoOK5TkYjjRLRVaR+PlV+H3WIMc1yFkRAvZN7q6cdThMjHz5+2czmYK2wb4hSLnt5/gNEY
cadSRIU3EY15HC5qwyUPXK2ZVUSrsu/8sl6WQe2LwLWENebZh07woWILKkbV8dNaBVkVu8YUvKQX
qD4KvPe0kFDhhzLa2FvjONCBLkLQZ5NaPpaxD0KLBSW3bpRVtoQt/dH27WKVOKLmxM3KWqmvsSRe
jTLju7k9j830XKHRk430gqFjZP7cvBmMbSzu3PgDdE65LcmT6q9AeCzz3S4Km/B95uFa1doNAoMk
xH368fqnadtINnFKXAuJJMaeluUBNL5sQ4v0Ab+x7MQu+EJ2RMk1DMmqT8wY2slFaFFDz3lcDM1V
XBEyBi7o6QSL8rQk2Ap7DIBkOBeAK2mm9gxcJjQDoFYhiYY48649PWayPDJFnnrDoeWllR6OBqfs
gcrTj/x58thuUDh5hebDiWEgjycf2IGXRAMpb4TqYOWrgaqRxitZdk0lDkPHE+pr2WDVC7dSSBG/
GjK0pT5sQ0Py7hlFoDNPZk8dqii7JkPF6WM04j+WxtdjJHVeW99A/tupddzXwWQQaW8CXNzadJEY
xSJMq4Hlbq8Zh1QyJEFzleYqGhaZRcvsSqdBWmbLQpqSXaZtmFXfnl6zyZ8+8Lc2TncQnFPDRjOu
44K1zHxJ03lOSYqx/9aXdQklIE1MsFik77i03L7krXWVs7iYjKbuzPQS5n7zny4W9otwZI4TEHiC
C7i2x4vlFKyqh0qZb1kiLfjwCN5r7Nx2IPUgz7gn4fcrv8HVS2kkM3jUMk9LKo8dK7La2C0CeNvJ
8w8BRmXhmLRnoo9zkz7jVuhcx0BKoduFoXufAWGlZvGp512W62zk3yqPKSs9jOoqT5oPxViHebbo
iqGAcJadtnjPDEVqhqUTj4N11eW5d1LpMon8RTqOZDhLgyKrPTfTRHn1opHESi5Vqv0xXTCue7hE
ZkUDzU7JqBN8axx6XVE8Y6YUG3GPFADJN4hTrQiO+eAQvJx5DGhmVrRZm3+1pZGRXOQE5xYK1/Ma
rcsFHW0Lrt0bNt4zaQTea+7cSU49B2/1Xc1VsWo6/rxBi7kXR/MDkhGpKWWg2X9Si7iPq9QLTP41
L2FFxSGvYkecMxrw4YxXzYDl0F6bjF/SoB8G222CsiuCBRx+py79YvSs4zIV0filtJpKXTihmhKE
XrRpoo/iRk7wmIprqNDQ2rK9zMsoHr+MiYq72CVJMgWtEKsPgEymA/ySD7jw8YuT9j2w4zIa8FKN
xK+dZS4rXq2U3UzYxb0fIsEo7h6vHd8aOtcxfYSvMEgeIHloZVNuUOcyjdd9pbIiX+m2pO2V4Gas
35Vl7JVukqQlSxeW76X9sS8QXP/OnMwTX1rSUiiZ7fjIM9oiM0hRnvYNcxeO1bdxzwtyfGErHGWZ
qQb3hsynOk++jjStSt/tGbHzyu1MZJIT3hQdHMXTT5x7IzadmWUUcRv9SvqnJ1YlqYIu5d3ffGwm
ZewaMbk/VtkxgrdqC6m+ehEfoYQda+rKP7fhWKCnT4sxXTL4yCg4rpRmNgIXjugwgSz5sTsaedsU
llbpl1Rkac3d2jTSujVFUMAbBXGV0cPSs034oa0cHx4nD6TxD32nZq1xcbCkS1q3Zn5xlniOuup5
mTiDW3VUtZe1Y5FwUcixN2dQIhK4ERFemLvCU3Qy9oBAD00bILs48aK4niy/xUb8++kK7HxweVzy
vj16esZzv+ag9ZhMnAe7uwgLNcHjGcfKC7KuqOzPbZMRJLGyLBmS2Hac9FYgyRLHAe16qG0fa44X
v77LbC2VTyrNm6hj3pXXq0mlWRGOaXkc5oxPLrIYK0JXRdLmVXg0yiGG1XldOuXUdHBSWKdNC5jR
01NiM8/mIANyEDbh1YAgCLiZqy54lo4mythnpw44bKvO/UmA2uLNZLp3dgzGdIBsXtBPJg5fObmU
Mi8QaKyAIo2nvZx+ZYoYnUiJjmxxHHbJtA7F0Bl14RU9PhUGfJri4KeqWsWWXfJV7pQtrxYD4gWm
+8zUZhUApqZx0ylDSyUOwgjke4/RqvuY2kljhs/cbydPVZcFVGtMxtBc18SJWeYOtSnGLzbLpviY
WoYCkF6liT8cjqmitb/S3Gq6z8hSSyxHZ0cc2sfbEd4kCy0NFRNdkk/erYHbPA5Z3sGt1chI8MCw
9gj+hRqLYilSX2Ap6toOrHohkyaCSQSaRfjXZn0mVzg1cj2Vac9s1EG6gOzKZtJB2Ul+SnVpNwo1
qML61Ka2gXfYpLcscPo2XqCyDPzsObcwC0fTIwV6KhhBWMKex7zwIpFBCpn39qeqodCQesAhgvAI
sR/rI6JcGHnodZbpK1clfMCCJ62XIWWB08MqdWWf1B9sVTletPJq4cAZwCDbyxKsCyJAasHw6z5D
oNrC5hddhqXsEyeDrcCKJjj8uJ+AsKKQ4kUPkW4viUkNJJFxjNgUq3qqU59ebaH5Y5+IyU9BAE4C
1+UgC5pXNkgHK8sn/fApCAaVeG7dxDxfeB3xogvFRlEOh0VQqtxxNWM6CtyyLMLilCQN76WbI9ux
zko/tcS5lwY2XxSd6f1rEibkuPMaoZaxnZnkRkTJWF6mRqX4uxIjTbr3oqWkH5dOlGmZLwrkj1Wz
6jrptBdlEXi9cVVKUvqOk5LqZZaVmi6ivm5KzzW9U4yRG2RtKfqF38ctjKEdy25I3N6SkYhWmtFG
XKmkHoS/ID1tuuYo111APeRvnl+f1IGNzGxhj0k3jihroYr5SR8PXuMWVR6pVattny9lavXjp04Z
Fn5pROJ7Sy5qRhcD6lMzuMqvK73UIevihS8T/xjHReplYUg3nnk6I+SIdjRgK9+qnIAc5rFJxedB
tn5sfdaG9P2nvu55fW5VdWZdImLYzY0slSo/j3brZ8bNjaFB9VH3YxIfeSHYjdVohJMaV8eGs2Bh
l2NVON9oGjnZTcBy0/ZLqMpQ3Oqm7jqyiJOuotFx7WWFdJaoA2SijrzUitWFprYVx0etylmVBLeB
k/Eaq9xT7pTifOSmhUqPtKzy4CMu/akVOcwykef2SaO9MEjeZbKPC/8wav26a9910vPDcOWJtGvk
pZcxXpyoSAS+s4KuKB67eTsShPWkcsJOu74lVFEvA68co+Gk8ysrCI+6MEW0WcS6E3CwbR428i9j
NUpWJ1COzvIWHUfaQi+aHFmXduuBO716nzDbxku9+aUVhgnewzX4Ao8bTSWKb2NTaNaeRqrMfXZM
e8uy7cUQybixj/osomniStFOcZFIK8R0fC4RVNa9N+C+o0UkAy3990OXd7n9IfKsqEtWdswtlp/E
zaCd9r2KuAy1W2g9cRJ2Wcsg/mL7nmeNZ0IkFVbKGgq47HN47SKQZxb3Sjt5R8MipMmHKOoixzvs
IjgC/9CEuMOnXMBlTSINrZUQdkj8YAiLJcnjqHSWWU0smf3FfJbheWmUaP258Z2iWJSog7GyzGlC
RJAFVcH0JZAfKYtbFHrK6UVQYfaLPKAZV6so6KYV40kd48VUQW1dZak9uXzR1r5jL3RXGyjAmCHf
OKp1meJz+WaqQS1HLF8R4eytjVhSeXhaElAUmRkNJ3hoLgIm/6RJP61zJnQELslqrBJQWFnsBOK2
KFDQFKsyDJFpLTqHDnaxCJ1ANhYQFE3RfKmjrAkzrJcVjOYoaEZB+3MnsieRQyCdj1cKmoUncLxV
fPOsflIwVVoT8nKw8LtEp9PStC3FRxFinaKDDC1uysIct/MpS86LbyDcAvxO9rlRV7EUnuYL0WkQ
QG5uBxRrsdUeb6w0vtKOrGlyXj3cLUYDrSkX2xxXy1FO/+KVjM85CUvrarvU1ubj94u8+RyYAhaf
2yxPIQDNrKD9FocqD8ujMOMDJl2wEX/Ox/UZ90NyhQLcN9qVG6DM2NZQNVTeTemfZFQPnnRpHLSD
eq/TxmCVWpYm+AjLwbGVC9AcXqvdmAxT0uunOF0NG7V9UnzTmxU0OSwIfm0zp4CFqNEWuclUR4+H
xpmqc7KBdqMeyosTrI8SIUYcSjuZJt+rIYCe+rScHhOIQOGXgymIHXwerVA09Slmyqfl3SjS2AwN
pMQkp2+hYVlhHHY2OLSrqoNJ9M2CWmM34h8m4UbYhxaRWRydjPgrJn1+5BMwWuSwCxsDm9aRPzEf
VQd8w9ZmxTeq/AzqU0lkrJh82SLZfV+By56+kLXTi2h9By9JRiZzSEc5yZ81yg+6z03iJ364ynwH
3xsUnPr8OK4Gm9ZnfKMrYVTp2j7aLrmO2hLi9CGP8SWIAAYPj/IwRpxvaTEq8hmZW+S0y7yw6ixc
kMr38HAZBbgAeVknObjNBIQBKBvAFDQntvEnc24QX/G7eGhU5KxiJIv9cMp1lfTmuBaGpOki0SJJ
W9erfNCGVNMGnw/qosILkkaZXKRFg/8OaQcSTZKOgioqwOUnF21ceyAFujLC02ngm/aLyrweVYA3
jJPudxquPFr1vGDwME4ZJI1zmKQIselhb2Werk6kRqjq/yaqj+Bv/MSYOD7e0slRnQRltGqCBPXu
9SAqtFce51GA5TjidzZTGCfBglVeF3vjFx44pqs/F7wLOnVcb6bea7/CEvG8H2PMKPa7Sh6qkVB4
uboU0/LRPp+0BnzVpOIb/tSp4g4rQBs2zbcOQ4aXEgqOzxchqFDLDZMRvDJ6n+JMu6AsBpWe85yW
+IQa6FTDtrKpoFcbkmWkMim9VZMVpcdOfK8Y8R3jhnrzUJaDNSykiMGXejRG6ZumqJ2yRZ2AmJBn
aawme6pFF4KE92OnhqvkyhsQ86oBniZaobKdFq8J+UQVsMaJwcVHSeZjOA4nY5Z/d0jPPOu086qy
DC80jyaS0jQId+d27HFVfxSgsQbvsPciawhWqstlUi1BXeCiS9cGCaS+Cp9TlOQIhhrgj5YYMSuV
pVPYSKU3qVvJSgrl26xkVBsw0TwkIW9Pu1Gmnv0xHpvOuiqRTINVGPNCq6/wt9Avq8tHrEAkyDQH
L88sOH+UlxNLlYTIV5FZ69R0+Velh6Cg30SfqORCqSIfvJVgpqqtf7qQRr13iIjGE+lWCfhva+Ek
1C6/gJHs4voT8YvI9xeeHHjQX3Y2cpviRrdhW7C/K88BNXFUxk2b6oXFxir+MoqGCeM2iA49in1K
DXJK25a6oQ20PI00W7T4pWW3rt1hZ6pfbmeywbLIIxDEC/TQD9O07txNkrST/9ODP3kTZP+T8YZV
On0iu2PvvYhNv5OUWPjE4A/TBz0OdiI9ROU+7W2EiZfDlH1ki97FWA80P4xgqJNV6nR6Z6uyyCnh
iTQ6xfHWhg+f3KnlL8p+KLntUlYS50MT2H5n3I5kYM/FMHqanXRFNlm5b40THVhhnwgvAmlZfVKM
BPotCPYfLsBbTpLHIXYav24fJEuNkFZAVayrTcWWhdFox26U5Y34GG8cVrwhGgsc+IA2WEkxkZBV
qUohlqmfFsZzg0I11lUTyhxzrjvs4rWnIfOnNC4QPZ5ht8kkVnNncJaJEUdcTzaTkeds2mZcZl0/
6aTtjSwOXRlUWZoeBlECa1xtFgQ88OT0YpxLwfeKilrRWcB4YjvPEF+zgh5cDvwDNJjBuSn6E60c
1NhDAF/NrgJjFKS2fb+HNXQGbrawxGRBSQviJXDbsJhkf6a6e1zbTY/H37DBnc/Tpdx4/ox+L5ve
WF1lg6rauMYIHDCkQB0AS3r6UTMCHdZE0E6AZ4Gywn/VVNY/2KHqnLhwPKSS9zpC4t6YRZF7QrzH
XYeTdmsVTKA2YQSEjSgFINs6x6dleUwhoKkE+uPgj5A4Ctvh0HP2WBav5Qz0beRf4ZAe3Fgo6ZSP
VxWuJj8cDVLn59b55weizwvEgXI0A7moZ7xiHJSEJinxLos+Q6DwY0T8E3uI4ea2lv30BOlE2/3Y
3plmOP31LonDtw7DfYNzIrNPIuFndaIutx6jC8aJtB8UH6Rc9aJy2lWUe2P5sen4EC3TJpv8OS/h
GqxqFIhHz0j0WNMhEUqp6YoQbmuJxp75ttigidXZAy8uk41RdcjrYON9E3vw66HThoAgEM0Ay9Qc
wQGphRVMgkQ5L5px0Rao7Fcy5UYSt4drGRZw9QU+Dvvw6EU4cNSTi26zn5Vv3OzTk5jDCODwlwUJ
/k4XKFmKvwv5WG8Qd4ua9VZ7EVTx5JnGu0Qor2TWfBwspxG4+u/lVJfEBggabPHnje56CKfTBo+f
Z/fIRnDjSnOxDXu9HxSRSww8q3HLCteO/mfPA+U/dfXCMHBdhfjJHfDOAxPdhtHFJiwhSZ7QsOME
dpFVxRQwnn7g5F8eqCkUAttP0ylx9KMIMJozPrMbxj4sRxkf25lVxnJhp6nNv6oSBvOcCf78KEDn
YAcPPbMoMueuLvVYOjS+8o83qUgrwY5Aj1iR4uXpWc321vDt6NDAxYZsuvQDfx9svoGSkTrwoj7X
1yQCTb01K6biKVUseTqVk53TZumCpKJktmuXCXY63ASpaLWoedbbn6OOwAk+I9emReTBgoPDxBLc
XamIS0kcHKx8rFGEYL/IDoPqqBwZCapDJvupS6LBPQuN+acaM2y0L0zlg/PVbuqNqGLdWvo1Tc+Q
RaA1yF+YOAcj9Y4JcCLkQ+pJ3zfHA3IWaS68PoxpPyw8hq2wv6uiSFGelRETWXGYJs3I6gUxRFXp
0iklKMB3vKeGqw96s88YKxRJ/L2XpbToz2M/aDVaeZpWhRRcTYQWkmMUQHaYLhMryqEi28TJtjAs
cONNuoPKwUEQU3fudVMCxXer2QUpQ0hByTqlJ13LLCTahjmoXzLWYLmR+qnGvuBVMiWZ1ibnyrFp
C9xI7tAxdOOqTunoZlWps3CpcjuJGveeiikQzgN3m2DdZXbY8euwvmPhTMmFXbRgvFDzxIod5o7B
I9MY1U57SrCLEvqLpE9xM8UR9hmSKPnMkY5rfqGGWov8JFLEmkiKqi3B/w6b+lB3Q8WLZRA3Kehg
MEM2dj/cKKgd4y2sxvgdSd0CB2Qk+6ALndvdoV/A6RSf5KDb0XzCPsi004bclDB1YeoKmxufwhws
uL+EnqPNYRWUBaXRIqVIhv8ZUBJXzqlUfce+UtkPtXMBOs/LP2ZaRzE7jLLKIqjQcZdUXy/QYoY9
/sPMDMB22fVsLAeXWGBM2gVSRiqdxSAGr3sX66quRhfb5F2IKl87JfZrw4BUR4IkdfdNkTQegqUn
UAhkbmpnaflXBkbIalxnsxW49ZEF9ul99c5JEU+iVRYkijXI7u/yPxDyU/46ZPUUDDeqkdxlqZmd
xCglS41OndxtS6JSCg/rGxtisDhmbhdbrf6E4GKcqzzTVrJKQ+lLN/D97koOoYyWQ9h5R6Fo+XFI
+HiSln17DIbFXNqlYotey+DCDuuEgMtuy08elPpY+NJULqwv+BaVefKXT0Kz7DX1UCMnvD5CEQ6q
i2XyzMnJVxPDHLMuV+9UF+ZLWwQB0CVWuYrsXhxGJmzej1FSk0NUC/WhMxCeQGNVeh3kzRWjIj8r
heWfpW1VH8oK1DgaZPzj1jR6GejO+WjnQYF+gzy8CavCWyZB7ruDyLKl9HRx6owsXQ1eht3pLJcC
X+0M2UJEmb3q8JUnDurEb2VvmiP0Y3g3hY6To7inyegOOpKrICLmKhfYM3ATUEeVa3Hjf+760Vkn
ViZBMTTpp85h4SFhNTkVRAehayyLvxOgD1dlXeGERWR7H0Fqhuijqrm+odiCQp1Fc3rZsigIV/mQ
WYe0SuvLqhUgQuAKltXQN6e8KofYlWnnLDxbe4HzV9gyPZygM6K5rpiI6KFp8hrlV5gGg9viyuBb
p5Z2urQ8qzxNNdokloLW0ce+5THqt9ScyaqmxcJzArMmUZW/63Hnw1ml6KShnpz2dv22O+2RZp8T
O25PwMpbp2HMA7Z04P1uaNfxzB1HhwYo53Pr7y4vutvCsvoFC+m4rqrIMHQ65GhrHMcKmhskeeKi
k6tslvnYxf2pavzCdwnNw4uB2nDEKPUWbccTforbW5P8tOyLcsXyhv0ve2e2HDmOJe0n4m/cF7Ox
uSAZq0J7SinpBpYrCIIgQIIAAT79eFTVdHdW9WJz/5vVjSq1RDAI4Bz3zw9vskG4Ggr0a7b6b6Eh
5C6NsHysNksLyTNkNXXCFm3mZbJLi2W8U106v3vlUCuGsN2prg0Hm8GbgtFM1YFJ0i9wzGWdxMN4
kBAw6jgUy6OLRv6oO7/whi8LfZk6P73NTom4npxxDYlm1dc9Xh+c4BJaIBae67YmdeX6UMW6G5px
s/2XXqithvkkXjE1eqqVstFjBXPjpOK5bMwcknPKxvSLLnN36eFDWNghqcEfJUtNTDChUzb0kpeB
ZPUQ8erLHKDYakvUjX2d9Xp6yNec77HR53lTsa04LpHsHsAPgTlZu/kllqM6WOOiQ69s/mVOyMuK
/v1lm8RWHiaV+rqfBP3hcUEO3VIYs0N56p+XucpIPacTnGROlzrsrD3lFVeHCfVxVNNCVy/VuFRf
E6eST/1M5Fe72e2HwQ3e2kLGtymAh0OIk6Kd3LQ8o+4N6mwd7SWYNf/YQjkekiEiIMYgc991Pkxx
ljnsSGHPSuhUGc+PBQyjRumxP/DMzC9gzhK8fhufo3BM9n2e6HfohdNDNXbzMfJD9SzEvN1Q3U87
V2DLRXsu2N2Yhst5Nun6MGoyf5rLMv2WcIvNIZ68vUu9wOKB1nYfJYu5cXOxntjqEgk9qRwPJBdp
i7Yd5CfkmOq0BTO5ENLNj1tcdi8lJJ33aSuXTzjw6RGLrbjdomABW5Wz/VCR7ALnPUqaRVRDW25+
THC/z+N+o4F84LAGHqiTampArIT7ee2nd7WYlKLp37bLXKXmBgAVh2oh5CeabJXAni3cLil4eYzg
RTZWbel9aWkCx2AOvgckBht38Vm6sarxwqEGbwsDqb288CyxxbILkRgflnqoFLmsgaIPUH+GuyD1
4+uwzF/wMxQCNItetUAF05uiv3NVDyw0UxE7V1LFHyYgZm2Gbg1vgSCZFxZbOx26eEjSpuqi4iYl
ci73VSjG6iy6UrXwl9OttvDh27LaRFH321LZWiRkvJMBOIQbH0wFrnUerst8mSoLAypyc7SexnQS
94lLg8dirJhqcjd3ctdVan7qKbNiByvadzeCccnaYB4zkJqERMGhsFpvT74cZ9MdrqVH2FaTw2PQ
OK6aXCk/c2gF89BEBSqXJhOG2FuoOL1uEhPRT2uxSd/IcMgvwAhJ1K4RSsSbBQLB8poxdKUz9pFZ
LVmOwomOwJ2OdsmLcxa7cOw/bYknsa29m8LKnGNsduGpTOFUHKbBj3PbWZ2Z5yqgvAcZRIdqrueA
0IE3QVq5Z5aA5qnjLh0epY+C7bCiAe6bsJji8LJWvRubeIa/cFsM2E5bgHtbK6G4nft4YQ2Sdfy8
BN7p/n7wQV5tCS7/GDrRQj8S/EqPqTgT98uS9uXS+rzPhxjCv5ZYDyVs18ZEPha7NDJDd+EdXONa
jJCfm21x01gnwsOQKkzPjyNLM7mja7becgb5tu0dc8eEYrZ9m5dhV0Cq6+foxOmsYJOarPB1vMKV
z5d4uQuyyhWN6Emq6yLlCSRCaImvkQrm77ZCaZLMyscHKUmU7KjtYhM3KOG6QDZgBoDIrXXR5U8+
SGWBwsyUng0NdtIF3yDDgGF2FTahqcx3nRpUndEpctWOiyIqup2Kncyy2yiwuXmBySzIsZ/K9Au1
9mPbOvpCO/VBK5X1NdoE8byCOdmRksyHEIdHiE0in2HLFdvN4OPhbk6Y2dturho1qU3VBfBRVQuR
ied5HPJ2nnNfm5Kl2F/tIr4tlGz7Qg6wF6kjt3A+y7CJnF6ndsNhkz5UukueC4BNc8ssNCjcD7hh
anB66/dIKv6oplGXO10U9KLlKJ/NpBe6M45acoKaTYs6EK46CdlPbTxOw55PJHseeRjtqqWTN5xk
wW3MXXoTK5ipkmqY6hXaojaOCfLwpjCHzcXxUOMJrINow8pOeqeiXN6Ba1yXk5pXUld6DV0zcdo3
aa6tqqtIELCtADXNSed4czsP8f15I3hmH4EfPx16+H7tjEW51pvn8x1OeRz+LOdDy3rUF3gJ5Amn
DtubosobM6rutWc0+oAi6PaAiaqDDCuxL1TRPwR9ODdW5N1bOIqXoQehRtG47YuY9O9yjRdZZ4mU
70lI5rOJE+JqMru+bBhE2zNRMd40DaG8M2cbNOHJfY+25GzXiH3jXVJ8cEKjNx4l68XCUW4zNclT
Ain7FaZAzK97mlN10ofTbU5IgroVm+P1Jky/pfzapPtRXE9tF+uv0pYB2w05g0ELkVvmpzEbmWz0
zNwCD2yTEDGLtY+aZMA+UucB67PbQen4a9d1C6/jAa+h7oeiKxuO39tAlsM90XmVnURu4qJFC2+H
GbUWp2eh5PJZoWvrGq6SJPzAwbvOdRWUqz0GC8/bRfXBkU1Z/HLlGfbRZrmpmQ/UfZa5/quxpcLx
gM5zLw0BpSVJllxgKc43ygN2qWeKkubitFFfebw41mjIn7ZmdnDflsVjrWBRok8zCurqdws3zdZw
Cu1u7G1yhnhOgXIxt6GYB876AwMvLdmLoltuUo/+rQ5QjiztQKYg2wWTAIscbjZ7XfQwvBfKuobr
RLdDGEzhnVmL6BmuX1mBVkINV+fL2g2HFUXVGbvfuO7c1HU9SrkKpSfokkDeJd0aBY0hV0LQizBT
u1lZJB9AyuAmatJOdH3K7Z7aHBaP4E3PUaTNu2sbaxviJxajpk5Gsr2N2oz8PpbRqlt0FYRjS6ty
ualmjgwd/CEI435M73OTkLLm0cSSLwNw1mBsbFC6nuxh5HEX3vJO5rJq0G27VNVm64Q2TYEDN/Nt
B1+tHGoDyjz17Wg9EfzGlwSSTqMNGjD1MFioVkntgJ9XZj8bNbE3SnkqabtiqcDeQUooGefauknm
y56iVhtPpjOB+Kkn7Wy268BliXGXTfAAn0kYwxM6KABcy9jOPg3C/qE3iuNzSANgXKYHYQ1vwgK/
x9v/IYKqCHEddT/6tlKdy96yOYu7599F5EBdjZBlqK6SbRwRp24QurwiBeAYrv4M1uFWfKcpCV1+
AO+9Yb1Nka7Yu1FrF3T1WEKAC9DZkn7NcURgO15eTQdBobwsKCjdXdhXoU8bQ7WZ+GGD64ZPC0de
L/uvSWlGK9psWIwfbxKDt7fVTIL+0A1gnESQ52TJFMt3OQBalpxDYyYvwUexBTUOegc67ZUqe+zH
wSJbDjrqNgZkhtJdVdgxfcVQRJXpgS2F8F5BHbZQeFkD1MsMa7qjo0vZsFMrSKAK2sEoy8uG0q/c
kWDICdw5Sypl6iidqnRX+C1JD/AjxasqzfASgPpZ6lgiFFenBmtnBwpGfA9HjioLVH43853MddW1
dgY/4+otnmCKbrnxv9H/54pR+wAR1x6hT7OLDEnS8Dg3t33kvdipRAAisxUMahUMz33l1uI0oYQr
6mRUPq3duPLxMC8h6EpXqnVEaMjy72oLCcfWmgpS5zhHTbskm3/SLFgdCoRg2KECRYdIepVlhzlP
F9ESUbqvwUacV3VE1yl6KjnjWbtiFu23Gc+KmmvdW7QG4xZYdCNzH3U7lBOzPpou4/Y7DdxVcUFF
HY/Nxju6R37MkmAvTFQCGoqnamxImEq5S32oj5GWxftghxSCZUFiKhsIiixDh1p4fSfKPDRtHGZm
eQOSAZyjnhXovwasyWRRIEUxeCeIW3cUnbeo0wl1+K2DEejqNeHFruD5cA6olkDsTYbQB5g/JYCU
xN7othyzClZZsHQH5CnwwRSOBnUC5u84qWHqGwPB7OsGkAL3BqkeTRBKvM9N7fNIuQePD7tNK1JW
ux7Mx48AUBXEw17RS4BtWH+guVy7x6IX87XqSmJ2RAWTn+e0yNhXbJGJPyQ27Z/kmpBb4Jv0O50j
XPly3RwwOmKgjGwbc7Vi4fpSusw8rPPQ4S0gXgfXuhASu2khEKLgWfUUQT4s2qqX6ymCaMHaFczO
5zVJkW/MuE6PY9r3wCbn7HkiVO6XeAzf8llHdVWAj+zmYUNyQG++Ri7L3yHrGbM2NtoibDaMAPcr
Zit7ovkMak6PGzBVSlaHl1sNV2QD3XCjxsLHezhX8H/xPHKmW2oTi603QA6D1YsqgD0mVE8oCkav
bxOjzIXGkS3bMKOq2APQUJ9WVyygoZcR7xKUQvGRzl1Ja4EC/H4KrhWvxsyEsUZN7Vmdc1IBk+ET
61oc6D2IMMglD5uAAlBvuVL5jluAf20SCrbbJoefoRkwP+AsQrU2UT9X3Y27mGjXrEvm3wvsFvbG
LeOs2mGy5ZPO5sXgz2XZhIaAQQUSsbxNBhLflN3AC+BLxIt6jkh1EwRd/NUPjJ9doPQDGMK+AZsW
f0Fax4zwP4rKNyzT/dwUa8p8a1bf63qYy4XsTMfKAfvvnAw3fRT7bL/ka/YakE65OyhXPIEYIIWv
ByWid1aBxKgFAJE7CfIl3BVr5tEUVDHSFhMJM7ETUd994pmb1wbnJqo61Odtl8xTeb1u+f2arJCh
k1iSu3IQydsE+oPW1gzviRbybV6krPHYIGiPID0BcFGLW36Y32mwhhS1lQuaAJXH7WwQO9LQXT5G
aoLT3GNRtzPjxf1iFnlesgkZlLngF+gCxTEgYfkKxZgVuA1o/lXFW7Jzaaif7OzjE8f07rjpbble
q7VQAOkZIfEUWpdHnXRj3m5VgMJJsModxiy2wxNSvKydIW61M271tJmSzOxQvkQ3o5cdmMU1euuI
d28VWaJaaRMi0pnxnSgH8hO4c9imWbq8lCj3D1FKoq8SZPxbiB/J6sDhwiGK8IYsUHnrAB8clF2w
6krzBeD08qBM6EldLjKMsA62h4oGHBVNlIoDzoN5RJuhk7YsAM3gpy/rFM+fe4gdbenQqEzIOm+1
6yL5GpRD+tx3SSqaFKr+SakxgkUHApQnyTdvoP7PO66gB81fcUBxYVt480hXvaGjlUI9zamWaXa/
9N2EXV5joBWYqXlCLhvwgvO9mOA1wAiV96kH4uMPa4wMSdwmMnRLdwpNJ/rtBMDcLy+EuTX7lo2p
5MdelmJJG5LO4RK0pc3SdcbmxUHZwGsDt9FXEcvDFkBgtKFsLEPPmpnnc+hOxjuomHUeu2yfpuNa
fuTjuGBTmRQf3IB9LOvCrEWdB36iDXxOKUCbFOwXMGmU8aC9PDLaWDTA69MMiGqn5I9wCnyhWxit
AAh3Wq2ed3BSGeWgmBQlV7gd9+AEG4T2dAunR5uUC1oYlrh8nl9luRLbtzCIS/R9iDIx19/1vdRG
tnrFJNFoF6rE6Omr4ZuNfI3fophvVpmiJKs31WFnOBLEN/uqgWJ9fSdpTsNqOHTU2WL6bAK6xVnN
SMnxb2D0i9zdBItGw3zTe02GvHFhVRZ2/+/tuV8dcriGIEDwAMErcwCbHOnMX705SGXlEiK98ENI
dc022d8ZlyQbZxjluuhSAyTNhi5AAIP1sOj+wwv41d6+vgCAAgjv4vFFcAlhCv36AljmkY2irPjO
f38B4nfyRPBqwB0XSPhivzulf8xPePjdefx9DsA3qZCsod3ypy//+5MU+O+/rj/zt+/5bVTC37/C
cydnqeXP5d9+Fx5XfR0Pov/8Tb/8Zvz1P17ddYbCL1/8ZZzDvxjY8PRDm2H5F//4yzSHX6aM/O8I
k+u8A2gWYAf+hgL8ZZwDSFQ5f/n+t3ngf/+ZP0Y5QF/6f8A6MJ4LD9PF0ITrEO/fRzkEEQZII6EK
xgb5oAoMKz7GP2Y5YKwXUCM8JiSHbwQa5Zp/g2d7HeeQYDYEZgpUQGKAnhX4Jf+XcQ6/xcb+wWe+
Du4vr4/pQVwW0yPghf96K4WiUyGo9uAGh+PUV3uMkSi9eZttlY7zuQ9FAT2fV2XZ9YdCIzSeXZJq
EHAnBRLuxVJn0qeKnq9lGk9uxwCNGWQflHw07FFpDTPTB8P7xZEDL1nG2CWjq0V5suH/EnMEU4m/
9YLqfJ02WlMjjOsukRU4aKFDl0VQd2WwNhCtoFid4ZYn8A2SdWAeJzCx4Xs8ztf0Z75AOntGlg2J
6l2Z0rV4LDtnuuqesWW3otKEVydKeMlNZkbYOYOZEZ6rCx+Qa+RDTqX6/6vm94El/3Qm2j/MMgnT
63NS/vWy+ftTaf7yQ3+smyLDssEsSLA0GL+O6fdYhn+sG0z1TJE5ToDChUUJIu9vywZDj1Ezlzh0
sagQPrvO0v/fZYPxkqDCIkSk8JAXEG7J/2XZ4I//gsNgLC+03PA6xgBDM/I/nwAIYPaz6Ph2LGiU
bTWx6XihjvoXEUFToyh+/1O6669/sPjt8ecItSdIev1pmUI8QIxjy/3RuX6Gr2ptk8NaPvzDh/DH
Jv+Pw11+Rf+w/PGWkBu7HvJ5GuGBHb9uBkumQyR4O3f0y4T8TuymRy5n27AiVTtgYUMd6Xlt06kP
njQI3Jd//+eRkfzL20TY4jqWA0wOXs2fB5cY40tmfbEcJQhhCJ+g4faQ/sKjBah2cRgYcna9mzVM
jwK+vyIJ0ehYWQAdDpOSnmUJQhCaXelv9drB16UR3O8SBuweMQx8L9wT4PPJEGwQb6Dyj3VGtAdV
Xnr/c1o8f0r6kkOPLrcjmDYoXkU+nUWeTW+ETcC8rQhYrWiEZgRGGkQ0BHa3Y4iQ6Sc0oOpuXnn0
KUY9+7AkhpzXXKsvpRAMapW0/men8Y7sONjXwYz+oGFsXGDfYFwCYWWE2iceLx0J5QfQdPUegTII
m9Wx6qInF0P3yMlTZQuB1ItWoTzhUgFOoleIEu52miaHGFo4OIVCx7tiY/EnLz08MYy0uM+mbbxI
4LcolSgkblWw+VFCPEM3UqxL0y9FiS662xAXc+xIQrG2CWHzmUNUeNRiIefNFO6QT9FwmpYNLydZ
7CuOCPs69Vv+jE8n3iEDCYokzobG5G765uWK9VBEuIfW0b90C5HvJsTsG9SmY3jM1wpraJ3JOVnG
6pJHATtOMKF/rkb5l3DGj2BciP6cS1h6xNH0NNEl+oSEhP7cY7zPBWhqdRECtTP68intayAugahz
swEKHgaFupUMDczYeCenmD+pvKuAhNO86WM5f0sJvqQcJ0ZD+xiiLNQVjVCTmb5BTvQvJTI9h5yZ
4QQ8Qd35Qq2tM/3QtRqC4rgDITWcFLqAekGvA84jcIcgIvyJrphrkpfddAfaNkNeg9ofSOVcZ3Qs
fC+GMMSmEckP5ib7Siq53UJvwa9KOn/AGJayjhzecQXL8o4gE9nkwZTdw2C3TVrhveRpj7xc1YnG
co5b0SJA+SPiDG4gi9N7ClhthyAQ9DIIWK0I0O+0A0bf/Fw5VV+Kocoat5K+bxcXsLGVHYH9EJLp
G0ambLfj2vmXeBXsAKGOt8M88X3Ax+U7yK7oE0vZ2nZ02PZRgGurKT7H3lwv9fUWHUZnf6DF5fuN
+xhN8oZPIs2lP6QR7v8ZZvT7QAtyHjR/XwNtzh2bxT0tf4amCiGkBzA2EA4R8anT2UcYA0iIodS8
0hj3Zh0HnB3iUJYtYngfCFnaH0taqDvVZ7gpXWwb1+GDyqE57cmUqnslkvS+Wtbs3ngSfRqZVu8m
y+VHsKS4WwsOXiUm8iNBvXHTIzvz7EqPQgBaE7qOcZVfkJjTY8OQAqirueLtb2+u7LAItNTBE5S8
cWkdGPnbtfT6s9IBf/JyicraUlyfaInIGZivaPI1ZMdFxgVymeDvDhmQym8K6Sp8TALZxcYDwXqL
GK8ufehBcuYQUe+WPKZl/LnkVcTzdyvHdfnGYPG/s2gUHDZCso0Ify9bMO6AOa7mFt4dyc4rTUz6
lHCPMil1/iUq/bVIMt1Ygwab2wmu/R73IRjdBXFgOB1uwdZkxjsjqxiUS1+d04A/LIgLPMIXfgoy
A4BMiX3ZFdnjNmfYOwuX3M0ZfSYZuRPQ29qwwCKi8dadRMxfdJZGOzMQszOp/8pKAcXAmu+8i8Up
GCn67bQ7IRpE6zEy6iKFXXdDBi1AI9f7HeLWtKNMQyeayH5Y5+iMPFDVRn4uEGrLaEsVZXeY0uNv
g0pZD2mTnJGZOgdcTS0bJnT9qiLTKY3DoY0DB9UiBHcB9xxTIMQw/KRqW8oajVtxAGDlGxS9T34s
2C6Gpn/Td1Tdws1d93mHBTv1IrphnridwbiQ04ZoWANhLTyFiPAfkXH3jVqScidX9H0qKbEsx6g/
dJjJ0aDqDG9WZEqPhkbPkNyrfZ4W+hKNyLvsYlz7b+iw17zJpgrqvNjwGdZ0WOwxVqyAHArZR5L5
YnQM5CYOzYmuVQQDrcrBSgHMbj3R3xKJbDTNKM48HOAlzFkcc13sFsB++fR0paXraOEa7o7pXN3x
oK+r0n2UmYUrn3B3M8JLRdHO+TsEN1mAP8j9AbIkBpYVSI63GAWGoLJNE1SIyfSI6qzcpwZ9yklh
fw1bj02kqycOdbZWWFe36aDVzbqRbScxyeMUO6XbpOuwqvQOJs1Uj1dK3C9Rdlb57F62NembuRdw
JvV4XIc2sYE8R3O+fQE1kp1iL7ZPEFgkbeCQHB3CmCewDP4BtNbWWmKmMxcqbfJ4ELjdua0HwA87
xNDSx0KnmO1CfGSQDlzFlRTdTwGgiqAC+rYi6APpLenfipyyGgLLuk+Jt7WBcbOfugFZIioehyjA
WQ69+MQgdCTI1NqWBrR6HUoaHQaGOz5PZHcqLeJM1UrSWwkSCjzqGjwJ2Ad3iAb6M8ZrWcgZWdWl
uymfxQ94LHcd2YpL5ZY4b9IVYnwNujVrRdrxW6W36KQ60F8N6/L5ZthI8g4ECe5EkcGmB2Iw6JvO
U142fdSHP5QQYmjTYsxdG/ahPW2IVjVKBPMBBEz2vg6GsXbjrAe0R/U3kQBbvY10atGERWNEs/fK
hkj+Y5gKq8Ew6R4y3cj3RZfZr7KPACQgvIi6QE2Pzi1Dm2NKkdyVVrCbwA0DnBFf9AVuP9GdMKVq
vlQTpDNklzTUCeRm2NGNJdFNz2R270HVHrduVF9jVQYaRoLn188mhB2CEqnvE5xDQ7Qd+0yPlyom
GTZntXwvQQyphq6x5PuQaxw4Crvwz3EYMO0Hjd2T4sV1DXCUCQUJFWlpZlAQdUw0U6ey+42x4CmQ
SuHtsqTbG9gxZUvDEsE4FHldm+ZOfYXjsaldB5ziLtpwOiOaOZ1/L75giEafYCTp7whn9WUbI6aE
OlkQTGDAyKN4hzIUsR2QCBp87zRBBrcpb3sARCdMuRkvA0TVI5TZtUVGDpvx3NMeknMMrLPLNA53
ZOeCp5FW5pUhJHyPVC9vxyxXd3T77VVU01sSwDivyTRdN+VN+J9Lj5qEVQXKk2qaogdsg+P3ROXS
tgEF+qBRJp5zio2oFjNejtfKHzpQhq8dC/HZRVNQjk0oZn/AyBR/E9oe79/YtQWq4A8Sxda70hSK
tL+Wv7B9oem74RSDjYD9kEafMIDJ/yy9Yge3EQn7G3n6iK3a1z6Dw1pjGtJw4nE1Pf77JuJPTP+1
ibkGpAo8ZbXAqBzsQL82MXOMcQoUudgjDeLpTJCUvZbDxdhM/TQ/gjNFeQ/jtLX4YD60v6bv1xEX
2yzZf2poomtb9g/qym+v5fpKkiK7PrTqz3EiIxNoxv20HFOg/F2TwyO7LwAC7TBlgZwBVCO2W+HK
LjR0DwWVmMWjs+S4LfKDEoyRCGDQnHVi/Q1g4unNGGSwLIvdy4qK+z+IitGv80N+v3AlJKoEz6ZB
LOLPLxZKES+A5+tjwABxWD3mz15hoSF2290HBncdjiLcYJHFHc8XDUcJ59SZj05+6RXq5gKDvPBw
ub/JAv+kI/2t5fz1CiIG/tuEpxKN+18aXwo7O4Z/q48Ckz6TBokJ0urSTJdtDexhBu3WYmvedj5J
cPAQCPhvPQCAA0YNYpmmlj/1azqdkyHfjoZk8rtiA4ShnCogQdN2pRivCMqSBe2/f+XZP7kREVgr
IV5ch7XmxZ/HG2HaQaIGv2Kqz4QzzRdM9btJVH4vvcPuxMa1rYDb/LSxt0egZHQfRPGXslef15Em
OwZGbxdkKwVLIuQtvO303cKvuGVbwm/CUCQfcco7d4upSaO9mbuuPGFCFW/DlG175rCggY/0R1qx
7D6MOpAesECf3CCqCwrIbT86DGlLO1Tz82TA1F13mDg1wZOlc/4cAFz7KUqE7ut4TFPYthp7LNRM
1L0rxosZgw2sIxI1O5pl9CUgLpCNhvU6ApIR2Il/q9XduE2P4zBd95TqWrZzFPSVyHSdhiyHHcrV
LnZE3fEkKi+9mVCDAg9uwL7ZV7oFFGNLs3j4mBPD8zOAocJeJrJSXCTGKI4kvbhdRnkXNkYlZAiO
SdIbcHVZvAQ6bfGGxvgVY4GiWk+J4qci3wZ64ihpWrJd/8c1jk3aUCOd0BCGYXwW2FwZ32B4pP5e
DMB+cRqjpp/Drkf+gnR4x3Ss5M5hE+7qwaGURxg5rAO4Pw3a6fCI7htbbJnqz2GPVjOGx9ToLJBz
Iyq13YLpFA0GZaivvjccczIWdjAW1VXIV9yR24KGAh6ceV3Y8FHM6B83F6n3ch0SWHCeAeS9XruK
ryU7bxsuPg6d4AnxneQU4eB45IllB8I7bHpltgynJSvlF2Rp5JfUg2Fa4iEG/YiJT/tkKecHdKLl
xU8Ig5gVTX8+jPozsuH6s0PG+gTfSn4s195u7Kqh6cRiYXVuA/AXP6wGCBUVp1n36FrGIsEcHVY8
imQ2ryGC+Lt4jOWXDLjXIUzRYakI3XM7jxtOgEVG+nPcQ1CapkHdLQUrsIJT7CaYcFO2MJPQGZE0
XYpGZhvWiA7NGNVg1st2CbfpmxwRj8ewh6HW6A4xnDPdjmOHMxHUOFS5eMWR46rrEXo13faZLyAA
iXh6W31RXqIVMgvm4VQXGqn5zHwxXnKKCzfjAD2MYZw1shzta5mij15Wzw7lVQGCn6TuBIc+hHgW
FAIMgPpZYpVumF+6qXeeiwfrCgX3cEG7Dc/9PhoBe4q1yzFdF790DK6F8/VVu7SCiFUyiRtDDtfP
ALL2KbouVXfd30POV6QHcExlkzP/w955bUluJNn2V+YHwAUtHicQOiIzUot6wcrMqoIW7gAc4utn
I6vYXSTndg+fb7/0WmwyVUTA3ezYOdu2oyyxpWYkkDa9SlFGluY1HXUa+GS0xa1eSd6ZmsnX18+7
uKniKlq0numUWz4fVYpedB3L5aVaRIm68KbTHLvTFfM2//z5MTRHJBg+3kLfj702XdkxiofVTuL2
U/GpLD4+hLcKLLcoJ6KkCy4Aw8A2pqAiMOqf+8h1wk95QIs1XgZb0NkiOPLSL0LenPrTNm8QhIYk
+S5xiV9B4aDWGGGzYY0b0cJ8zCbMBsf8Dt/+iOskyQP6FEqyvvbGG9ErxLmKqMmK1FRxGGf+ogUE
gYgz8wjWwYAEF5FRRtrRCZP3Wr0BU4OcgXA3bKDOcb6MpXMxc9e5p+DRcd24qn3uMokiONu5eMGC
hFDmdIP4iPHhb1o4p48gX9Ft4GIciBgtfaPNsUZHHx0/lRqNHM/Kp9SQpCJSvlNpIvaImSPOMvjx
n/rN5yU55mi3VZ3YB03XvsH4XcplwnH4zEuKJdHq+fbHRzNFumxspKGqNqI7wsnVuakxYYKd8M9+
14qX2kBDM9oYTa1famXwjMlF2XRaYax3HO6a2X6ti6D+MsYUO1IXwXnwOGfrIeElTBwhPwgZ8Ibk
eW9sWtqnTetSnncZz/TyeRZyOYbbqG5PRQvRgQCGR82bS76cSxS6nkXBlyyqN3XJcgvQoH0xfD4S
9ty3X3sR1W/wuuIL5nxkI0hJoZvbNACcRCtyX/k6WtSvz/LWD1BI47zK78pBoSIxz167xKcfPu8G
o0MC7v04uXgc+ehOiKhKc0imxxqmpmAIfPz0lCFiys2HQU4qDEob/aymErZph8PEzYyHhkDFKu15
Ixm/FYep0KvzbPXVGTd7cSiX9yChPHxt20E2WznXFOeDwWlGTuhpGiiTmxx9Tq8L80ErKw5bzrGX
uvWb1wT02hH9wg0/JUFAPvbBN5voGFfkAbKR8rPlNGkYabf5NgYqsBX1SHHCwHhV8mDvOstCBa1h
yoWTruovhakhUEOsfLLSiFaho3C2XDGsTcTlDZc9H57PY3b0eDVQjqaTrO34ma4erxO29qWfaEdU
KGmNNxLR5rHxqNph7SBZqFbxYuIm2CWK54iINreWqxp6PIvPmkYWfgSa9sUk8piST3DEccBa/uYt
R6XFFHMjYYxfZt8kF8t4ENVLazcWZCraLiQTnkmJOl113nTlwZF9sITXf/Ngzuw6fvVVRYFngXCl
CWmKunlvS0nJIdq5OMCTo4lp0uRietUXpRxetQV3eyCNwqOicl4DUnp0Q8wOX6hKMnvVjxMesUKv
A+qW3kmvB03nkAU6q55w1VNBTgoYWc8bPsH9vcIHGN19/uPngzmVGVeMZvTyw8F6eddwqRyquRtv
RuhdW8yx6a4eah7olKoyxlhBCBFY2sVuvBnTgpPOV40705GRod+Obf69t+caN35LA/spFHtt88U2
6UyHpQogL0FLhjun3yEk8BcPB4Kqw7737ddZxsl6XiYxHYLKhiQBPywnqXPE4Fv/Z1T5fxpVGtTn
vxT2fxnw/3fx9v5WEs//56Dyx5f8nFP6NsvQfAifLpwBAzPMP+eUvs9edab4hPVNEijGL7saLKab
XLEe2/BgbLhgM/45qNR/M018U8QZXdz9GKj+zqDyz2F6vssCmDDQ1pZx6J+dIhnloN1atrYPNI3p
SJpNnDSB3T788pr8L23aHw0ptI78GA/LYcBP08Ha/2k8OTMWnEjFaXuIFPSG+OfW+Iz9C0c405h/
/bP+Mnt1gA8bFnRVCxQLkJI/9ve8F2C4lBXtJ6MOLror1RUOC1KUMz1045bpv2MfWMZf/zxvWaTg
6Bg16OOX1YW/IlHGvHWE4clon04yIq8m6u5MsjMmN0dWDSmKe+dJB5dhbvUePyZeazj3O5cwRrUT
TtyHjlL2wOHEVdFkqdwHNYMX0rZSf68YA3BntcEO02iwG2YqBSQXM+SIrI40J2iOeRHsCk12j0bn
VkcY1M0WTn96HU0dAngMcX1tcb/sKOLLA90ypM+uLW9NQE/fSErPT0luyyevia/0fko3FHAV7RJg
z9m08ivbBsYQJpnV35ptX36frbm+zNaQPZp6mq0qPSq2jkgqXJbosj0jiL1eR6CzZ2HufKWDuIC1
uzGSsVkVndWePKOrr/ECw77CV/emF7G2L9wl5yO1YS8mDGUrewwil0vQrD9aBqRndy5HMqNz0q90
MWBGlb691VtTvqa5Fgz5ekyk1+ImnoZ4aF9pCp2pPaMYZluv8jA9DxGf81BPWBWw0q2yeu+l17xm
YBSfsyA37wKsY0k46G3wNfPhgtKPSm+p0aY6Z9yTjlupfCyXEFuS9zwpKDeJrBYXvSATEhKzr89e
P/SnCev/kz/NUJ+Zjq5JC/HZy2YytzbZlQskr7tkpEiKxmy6S8BkbVpDl6/MB9S2HvVu6ytXc1Yj
ANWvsiyTXVIlH5PMmnUMg+gUB36PN3x2knLT8uIkVVRciaKcn9lloN1asPPPOhpku2pHIyf2pHRt
jYwb0YDWgJ24gg+RTcZUDRX38JTmZ5rQ/mvcut17bkxZsZkRDquN1qXBkZegBdvpfoiOMSlZmeuq
WDp6r/iqW+OAhdU+RVo3rvI8fgxajJkiaoqd1vgYeAhb4UgdKuh6NkUhzfPKa7pTpkmbOEYXw33R
/ewNxEzEf+x9saLeWpP1mIisMo6IhsI8u0l744zDQB/kezYfbZ6eEcMpCzCYz2WG+jaWnrZ1pNZx
V1fze8cOmJB31nmnQcgvOHThysxddyecTqPM8O8QulNuy/lF66V1zSyKum2a22vNm+fNELjDfVUF
PVPzQG2n0r6thvLZs6La3CP9DspedYgP00flptAEItXjV3R76A/FisGgma1mHPrrPC5zhwldP+Xh
VAh3PtOeT+OhCHQWi9AAiWXEq+FQfMrbAe4gBJO+HWJeiFqs+0m12YMNHTDuEIupCtXw4E1dsgmM
1ovXDlkgkpER/JiVI3SXMtuvqt2ggGq8jJoNhxUokUkEyh9anVGXNvnbNmtTYUN97IDyoSTEdyqn
tdpaTaria1egla3qUlbDTUyEyrdWjSva5BREmiJ1DY/PeTUbgrWAa6pISzaDHAPzKYP65mwFUATv
qzeSHiLPjxflmE9smZD3eQkEBEdvwDhXc5r8PlDMjaVecQzXpefsld4VT140aQsGzYym1dC71hGa
Sa2vhlkN/crRkmDnUPUeYWuIszGOzp75m+7hup+wb5dzQD+X1JSxrVj+by9yo/tp6ocP16yQ+Sqj
araEKa1DXYCiWPU2OZy8L2xG83p1xGUbbLqyn6uwxDHGw+4P9UnYNrFPT3nG1nDbmil3SgCoCbqw
anV/RM2hPNOiKPjyKdeITqvuMTdEBNsqrcfVrobydrTs5puNU/PML5LG2xziHEGxoJzXQCWLZCNh
kB+IzweXwkndt6LEQw+aVUE0b73yVhtyj+g9akAVAmrn3zlaV34n1lw8WTpVZ5FnLmTluazv45KO
ZNXid0IDqXO357ktfoiWP42UPy/yP/k6//SP/1/aPA2i/L9UIX+tAoGFV+1b+4cy8PNrfi8Dg98o
RdipFGA9M6El/bMMDOzfmEewCQoWuuMgrVOj/bR54uV0FmECLzH1GWvcKDx+96tZOEAN/mu0Y8pE
2Jx/pwx0/GXq8YuObhh8N5RoxzMMx/nr/hZA36bdmL19cAofIoMDG0tWndrNkPWPRSycPQcTW23q
YZi+gjrxzk5ukxr0DWO4q+se2lvbaG+FV5DXoyC8niEMPrgZKdWV27gs2mpt7zopVHs3ZSp9KFsH
pgjt7KGMXeNL3URQRBmQHamVN2ySEe+cgNl+1HyZUpYOIxIM4sAHQGQtTGmfTS7Q3LwHnpUfCSdU
p8izil1P326RG7mqHTMNgyLCz56VydFQLeH5lKFnWGquxbA/9o5AUIFwRMV4qRu/2DWFH5wnJl8Z
UeXRvB21PoDzkjP2nFLC/Tg81ErVlthi0Sh2Rm3GL0aQBtcGNghjJC8WMfggyFSvDZeUTSXIiVKs
NNZ3a5oI6JQTBY2hKjOUpexgJRk2ZztGDhbqkOWRRdrvnEJvvkITEVtLgtEWqSx2VV/nj5iXXHY3
FHaGAWjM9mB2gLHaAylkbzLCzjD755pxJ3GPZLjt6nT+CKZheiFiZ90y9p32BObltWtl463j8uIA
3ky35J/7E7FC8V5a/bgm6eltG1WonWfk/BnxOK7svCr2qhpAfuR2/1ULrFUqnSm0gubETqyDDXt5
00OBBytcV+vWia7KvMHA4WsHkjn5mmAExYmSYieEcr7HBKSY2nYp8AB72MFOjg7MgMsbVtXM5jbQ
svyY4M7XNtac9afGnrKneEqDV0+4zL+AI5NR5pJuaOofgshOr2ad0TT3HIoCN3r6DJq/ZVSgF/d2
bTc7MiNmQIdf63tnLJiF54Vl3WLPSK/i2J63k+eROadk8e5YjWQQa+sY/6WM1c5YKPWbQPJZqePO
jcJstouPHprbdcTeuT04GuvkdhQ8ZeOSxvS99EWA2b6u4sa5Jdky78dkIn2pKetkDs6C7qzjC5De
9iGbrSCEEoWcpPWHpoqW5Hjl+NemaMzXKjDcKxHb+QFeeLPPsoJ0XUmSejvYiXMpmuFkJoPNx1HI
vaZ35JZi1rD2uBJgLOTGBkXJexPW8A1puDzEUwNfYiqdQy0ie+v5DBPQs80ny84/psFq4lCLbfPV
86uHGsfQU7vMe2e90m/rxEWpHBMQsywQIEu+bMq6TpThYEeE5PoGSCRjNpkL/AqWFXwQt0h2leKL
4jktHv1UX6YemtzoKi9PzDsgdqFgHdweBoAPp/jes9ru3fJpW1Yd7siurg6xObjHmihQBc4wpKop
K7ioWX5rGUZx50TF3p2G7uhGc3UghUNipOlzUj6B9drVQXrwQNJuySSLNab0cRVVY3bHZW9/mxFU
QivPknBOwAgRvcxf4HiNj17VaLeNWdYhb6gH7zbJAbaQM7zR5LgdClecBA1Axohx63RZuYtaiB9Y
jQsIFrcKp/mLFg2kX13LuM104NAVuz/asBh0dV3pSn5YHRFHSu/1oI/ejlj0uFGF0WubxLP8F/Qv
0UDbmouUQM7ERHye4svMUG2n4byiGZwcL5RqdJe0C0DXmGVsfTW3ROzqHs9CEKjHeJ7o4os8IDYn
YyAHWpsWK+gg+iluRHM1VRF4bUN7ycxc+qs4JvWVFgGVlCuo0GXlhoWWPlPm6odCJ89W65lYmVle
vxc4P09RnQS3DqnQQ9s6KO+QW7rbtNOwNjJLcsgovrkZHtBMd/wbvXXLDkuJpV8rv9ZDP1qGGkCm
3Q0MnOAp4Na4nkFfPdPKpWdU9y/B3Ll7bsQ5JJGnrtvYRgZXQ3ZuseKG3aRh5uxtedNlkbhi0iEI
5qUF8AU0aaZFMfEEUt2zyYTEYZz3nA+luXc7/koZ+fU2GTPzG3sE+6vBCZo32xLL5QJ15yUpi/SR
bQ+Ybijrg62VBfGOpDnJ4SkmXGBEyY1hUH8R2F8kTDHe6z0vfYVEvp6mDkl8NP0TsyAYHWOBndby
soEPmjGAqUMU5Z3t592E6W5XgTY45MHcPBY9mDGDsS/LKOabXFn2plEsHMTvpM+kX7XKZtY4bl1E
wGtDxeYxMOL8C/G1fD3Qk6+UwXWb8oif2GbW7NGYWKaRCxkwZ3LTdVkN+ksRIUxwMiWHqDPXk+k6
N3OfaR8NNvhjwzajLWCM9mKkVXFwbA3usx23twym/cd48KOtoQv9PlEpwzblwbGYAKhsrcST13IS
7xVx1Q997jn+e9nNTHFGO96xZc3ARUEPYbbayWFYRli5gukAzrce2LSBhaiHU1XmqX6LZCS5+7Ms
fugdCpEVSn4BDckKulsRi2JfJzzS2LG9PKe5kuSrvcgX3wMAKgdVJCZawaCdU/gs8G0Yr6kq33dO
/0rIHh2hbhn8+3Tm73nnvoKqedOj/rtXzK9s87qrjJkyfsYkhJWCOSXx2Q1rTx5METfHJvG8B9Xk
5lOeDdUHGtD4LCO+UFWuxkc9nTqZH5uYv6I/NqIVqtsV2Jpn94pSi1wlUXMmTJvUrDub9Hya4FF3
PAKnY+/fCEYj7kvrRt97kKf+vlADbxx9hYl6g1oWMjzf9RNVz44UTn2VNkKrXxsOUGqvQK2NMWI2
kDMXO/paLgnNZeaaIi8/GfFUHXuZeq/O5IgvuhfF2U00JsUJd5YhH4hQJ9GumPOCvgLACgF61kE5
2Vc/GVvt0RHR6CDXsPsGAQuU0EF4qbWuNH2C71VXWwYBz7Shw0qOcbHGtkywOLafybMNezdtcKqW
XX/NfzluA1DLIdCcYyrtcx+YCDe6VjurHIDTExgFbU8t8ljNSbFJsMofuUGg62tpDIOtMMK4MqZr
RbeMjVQ6x7lDMsKR8LYw1Y8ycLVVa2v9zqjGiTT6Um6xW6zHEmDJU5oe8mgLmhc9v466PRw+O8yF
n+4YX+nhFNm35Zy060xouDVtNsWAUouOsjTTY6dDGzMK9tZ6RoPj3gUKFHviS2+5zB9HsEqpUClh
6TbYMLaLNjIt6g1uvmZkO1zORRY1UJR4m/e93jDLLsxyx7ZS/bvdR5TRTd7A4mFoaRlfyS25/vMy
vPbaj972RO484k2m4ghTUaRsSfhsTf7TxP2b1JHB0fyvm7h0rqs/SvmfX/KPqB55PFt32CRDUIiR
NMry71E9A5kfjf8HqJnujvbq9x7OQ8rnq3yffM7yb37p4djITBoJagM2NMIuf6uFw3P9xxaOpKrD
77X0gvRyZDkWYfwXMHcpvLYdc3dga0oDeNSFC9CVRbXysbPrp7pRPmsIM+F1DJNy1oKU+jP4TGK2
edWU7YNZ2t0sV0uiFZu+zGQzZOgfLDX07xlWN+iDYZ9VqdGHzTDCE7JZpVnC8AimfaYNgwYVAuh4
qQ5APcpWUZcQt++aq6qYMMYolaJJBn7DEBWm7hFlHGs05fx0NdlR9JBZooEX6r5oBGF2Q628ZZsT
G5ecrDlnJSniMhuRNhyHwW3ippxcaYL2hP2R0AKLKFRAXSkY+WGYRHl3OYjvZpgsbzx/iDpss1ZX
rGeFVWMmHbKSVH3KfBo/Dh3WqIrdqNjyt3aCmtq0jIV3HQSdynAw6qiamkYO322mbseRr/qVtiz0
TEo73zeRHLbZLL0ZkkXFN4byEI1hqSJ1MZ2oemWaa9wNbExWu7rLsO60LXJfDMcLeTSe5hXli1xn
jlAvnbSnp2iuPTekfGvGw1gzAIYh4vCHwn/pzRc25Ar2L9GAtqYrN7aRqw1uNYF/yZDngSVSC08U
PKwOwrZZpfngHFzEpKcgm8az2Q1Bu0szW3TbpJVYehQf9TUb9Sb9Vrj5BldUVe6sroiYiTsjmDpy
P6wwyDKNIQVUyRULfGW91nvqICBZJZPoKFljC+/9rTkMA0nKrA5BI6uYTFWn80LHTePgxi6G716U
6m8zGaxt7rCFc7so5BsWE0xvJcFSmj9ZOru+Hpt7o5LJie1WxQslqLuKdEUl1WhxxzVJdHRtSu/C
Ng257s2E0zdhgRwLjgqDD40xGgrveCG2k4K1RaUSXEZHQGyMZB/2BNuPSRCN3qq2yvyeRW8OILSk
R9HOtPoATt48dCW4UJKC0ZelOKEjzIzgPSqVQRnedirfxZ0wHyIa9sMgS28LhQpvUlBF7T3gig99
wC6oJn9es5wXexFPQHqoPUAycCxHFYSx6xvn0i3sY544/usyGdqpNnGjlYOR21g7Cn9ci8hprdtI
POAjkdfC1+f3oitxoop4eurTpsQLhroaapoeZKtGo8xVjdZepnqsroXDlinMJygwK1OlUeiAKFsb
OPIe3Vh0q0ELqgMMwfi5Y3oARKSLirscDShsMaTsALLtupreS3qRjQZr5/qtk4g+nGBGB9u6sk3W
oTqREZ0+0T+90zUXueQWWlcvvlVGPh0YWtXkbWB9qXEKVlXUfWR6aq/Z6jOEDuC3/bLIKqxt820c
pmenkLif8jgY12SYPImJxYJJXbCdEyt2794MLURAfiybVPpJ/udW/D8NuE0LS++/uhavvw3/dfUN
MOAfQuw/v+wfVyNypL6EagPi23+Ycv9IsVvEdH/sxlj2E/96NeJ9DnzT8DzPWmKyv8uby9WIxkH9
AxsLoPHfuhsdvtGv6iYhXH482qq9bMcI2NPxx6sR0xErhVize5YmtfYbshB+s8r2qMr1JNDY9WMN
AEenfWrVbakdajpIhz0ujlftazSgHeX+9FVapM9DTec0Y3an5tNYud43IQtvnbJ7Uc5iX3Wxm4MH
ZRXfZLOAAS5mv9BcTLNpvxY4vzCbTyTGnA1goYzsuZ5qnXcLuFmRSm/cz4w60UEC6+6gOv21+JFk
n23N7EOOOZB+R6iwQzguyXfzZww+Jl1IKt79cVsnRE5rLm8mlVzlxo97nfUsXPLt54XvZ7ZV6M/p
j1qg+lEZtABK9VNKvqzfQOv4SLRWbj128Nzgr628cJ7A8G18d9LmL2QzUc/+U5ZWXdpN/6YsxQ3h
Usr9w/X+l+HC9bd3+cZy2l+HCz+/6OfjFzi/LQWp/Wm00NmYwff7vTLVbSASsJB5lBboE9Xn7wyJ
5ZHFzQ8oAn8JwWcezJ9PH8/H71SMP8yE4m/1z3/+NSXOZpI/PW4+yy6AVuC/0C3X4Rf74+NWWIC6
sFmps8VsTiVXcy5ZJciSYZLhU3VWXmpPKMSpilhF2Ws+BAnqlAfHlwhLcxfdFyVMGIwFlnkljcy9
mLJ1zyMbmRi+FhpxOZCSamVaUtvipOxf7LYsr6XviWwNC7zfMg5Nr83Rh+PmSKjNbKM04XQmtGST
Y113ZGRIbutiqyu/BD2sVzfdMPR3QeUywE2JST0xmRuOtib9fjXi+nzBdBA99XqioYP7dXBXJH55
J83uycUmdmh9Y0Qz9+IbF2vx4sOUd2NsRVsr4NefI0zo2mB1x7xB2wKvDXXXNcaNnRDyo0YTxQPL
csY3zyvFPm1rTCTw6bCyCgBWHC3JsyABOrFzARuAFSsqpcQz7j1cF3fO6GYbpS8jZE2vxrMk7XT2
Rcti4LQjq2VwlZJCs8xQt5r5AQZWvtRI7/lIUH5lqbzdo0+nZ5FWGWVy47RfwCENpPR4Dx8ZMJbX
TL2TLciOmeaYYx66phWvsT14YcZGR3/Fjsz0xgzabK8V8WXIMzwX2UiOJnGon5mJ7fWhHs5jUvVn
PLLpdWKUqFddOUz3oAT6bT4Gedi5uXnxyX/tJ1NUV4DMh7PdVtMeX5X1xpFVH4EcdRBm8RqGZa7l
m8pswFrKxPQPZWP3V7Mh9C1WHG2NK6K61Trduu8mu3u1ArP4Ppmt/mBS9q/dfKwujKA0dph529jR
uxdeq2YKITIGNxAzyxdLpmpr0K6wfNNkq2CVAx3WHW2jWXL8KoYWyaxr6jOLascwwFCPbsUHJ14F
WhB8LCEDGQppoD1Rl1VFOBaIibZbJbdVq3RYnIChNtAqCXPqOD98rooV3Io3ZSr/VC0+T5vC9NqG
BgbvFQ2drWV9mLTIgXiwA7RjLcjOzWzb+yJu/L2u3OJbViH06A1p3TSP50tO79SsMifSPvx6CZxG
ccsCDjG4BQWfx+in4uLi/ErQZ3LuJvJe2TrTCuclNWgPocKOZ7Cz+iZhZe9ViqsCeaMR6lZiXHgV
BQRJOqFmPOGDjB/waDoXH4uB9Jt4p5RX3aR6292ZcIo3ALc7cL9qzks+k5UHGIZlQJgFRmftth1b
U9qh0oZVCkb+YGUZQ6HAkAcHIRhCgzBgOUYjNveVK6PyiWOkuZkqBiwVTgo2p5WobFqjX7GusxqW
tEQTekRc6QwmcWHjWHyRiW0SQnStLwWSd77i2R6f2yjBawRHbLp33dyK4ecV2maGqrh33Kg89jNQ
rFWpeUMElFQ4aktgXr9kEXOIkJWseXmt5X785Bn0yYwN64g0iBBQGBglzWvm8l8L/IL+qnfL8cqa
4V/y1jgpAT8WvT7FqkVAyhAHIoT3eASpadA9zVklzO2IkFiuGr8Zb81CN55lG1XYUuDLNmJb0J3p
4xVFjz8i8VsxWBxzK0G5l7QXw+T68WZEotbv4VeYk/sYe2XT3XUWIb19zTqXtDrODersDNsiK8dm
bSszH+5lNsb+B2Ed1smHCdPcwXksVTYIb+M3jkbQv++77Cukg8bId+yJkpKLi8vtP/LUv6kDMIf6
1KX/7zrgRD3ff+TTr3XAzy/63WVg/BbgkTaXHXTOp9L0swrwg9+Y7Ns2VoLPq/7XIjz4jVhJwIeQ
u9plxxi1w+9FuAtIh5EZRgYb7orBV/2NssD4UxHOlJXkpYllAQ3X/Ss9xkKPIM8RxUdlRF0SWsB4
bgcjnrfoSB16qhcclf6OlDQeGmFjh4R5F9ypWnV76ZVqZwlD7PSOOEb4y8v4vxQszp+lM341/jgH
Xo+JCwMk15/8qWNLWZBTpx085TT1JeDIu/gAYvkdtMghmtbX96lha/YmZSl5F1sB82LVhtDE++gr
1ivjtuVRFHLTTF7pPc8oFdfssgSbYiet8VomLAhkyMGCgu2Mvc9fF05m6ssV5LcaGeJO8/fLvtO1
rQPSSNasTbfzcc2S21w+JugYewyhMBRpSQpxRyy6IIvOasNyBXgjOPqSZEZtTtlmlMGD8PtE9oTL
fetmNtye/eP4HAYpWAkbFGYRk+PKmPjDd75jj05Nf26zxwM9rWZ87AOrNLYqMpPi2Fl1kW9B7jAg
JzWHF0606xyD5ZYW5WmMYm2HjCOPIs6MXY/54gOFTbJ72BnXbtYyiKiP7FRuHzyGXjdGME5Awvru
REpOQedU2jr1ZiHZv5C518K2pnMVU2mkWd6skt6o70Btv+pWBr6Uqqgmj14kC+6jAW7aO8OVFtfa
LaCwYIQHPbXs/lXjOfZmhnNxcZEAYlfjHHDZABREdPJzzX6XbQnVoEna1YgTZoZfTFjuTvfz5k6x
czmErlLeOBCXExVagEquuL1b6zGLJcBJ0k+XeRawcyNzK4JieJh0fWQMaFWH0W2cXVGU1bbxuiQP
gRL0YUu/zCZtz9iPVtTA3GFGYdFecTg39cFmoBEaInZvedXFyXfzZQNQoR9jVoIz7HP9I4uningd
VXrx0nRG+1B7dfZdDAYBrbzXmnv4ivO1VZnj2VI6lGjwomAJOtZ0wTJeSQZvYTEpRM+07tDREmVv
gUcwiGMEkbzlfOyBj8ox5AaWTNfi4U731HBNqa1OztD2G6Jbwc4mRLuBMFUtqTl2K7Ko9C7pSrkF
1mMSHGN/Nrpr6UVbQjntFM7Cdl8cvklI1l9bgejtNw65qzczZvReZtP0jQlbdCXKxAbCOcq9TYpp
CMkUua8tdkzcgFzlB1OxLGENn3diYN8t+RVVm5TontO2/soUpcf+g0DAXsApP62XFc3zysU88oCj
BiugrRXdIRilcQoap3bIZBIIU95M5Us2LTnHoL5PuBZ59RjMsLhGZUSsqXbZYMCaAwAE9keJy8bF
fTDIB+aE0AUQrXj5ZpFfOQ6UcmbZUWiSZuLpgtCCw7KwI7WjHrOginTBcOtVeursvBy8fd7JxyAZ
5ndPzeMmGlr7ELgYYtDBg3LdGCDYOQmHVxymvuTyd4mMlfFcGXh4Zb5c7dUwrepWel8q1h/1a+JZ
Y7aq8Yqpa4si+DAa5HZWJTlELMxQUsvzVHsd24cmAiR1TN2AR6eABptFfnFxWFcK+TyNzUtb2MOt
K5WBcl8laoT82hYXmwdjN5CogQBSq1rbwituiKTI2b12OQ5OJanPdNVHRfkUdZW4S3urI/xamNZV
xDK5sya6ul17ltAvqZ/VD6zE0Yq10SME6jg8zi6f0WADdzk5qtmRVwPo8JvUHPJHCLvVAwFVxoBT
X67LZshxYNYcvmiZ+UcWo1WzDT6tsGxa0r1p06nQXhqLpd0hSy6CO9MiAbvxdHZLobdLV25tvQy+
SfL9R+ivw2sMPDhUk6HujE6JPdtn1jOoBAlmsE724OnJXHUisU9JoOhpBiXvWZ0wZ6sIxPitwbjj
ucbPeudBWDX2LXvGbuiGqbkVuP0iNL2k/VJPaDYrGw8qkO/FXh3hFn7D+I1k74CDu+r8EtwMycOF
um35OdBpnL4XXB/4KhzV8uOKuFPfOd+Du0BLhq3w3PaLq7GWK4wBMp1tzuZtNlnZQbIMfCMGR2w4
G8ZDxgboF5Urg//hQ8c5z0OOEZZ9J3i1yPPOiRaymQZWOPMH7wzWI4ix0JtJvtJbQxyDcUijg6JH
O3W+636+bXvNZ8OMLgHP9xZ/pDK8Ddr1R2bpw3rw7YYh62g9pbRHh4wk2Q1bbw1+avnBxrngf9g7
s+W4kWzL/sr9AcgAOMbXQCAmksFRFMUXGCmJmAcHHOPX90JkqlupqpvZ9V4vskyTyBjgcPg5Z++1
WYh2Lm5BM18j4mDLsYvrGGA/QK366Ls9cC4bKHpslGBu9aoJm8bKzrNdu3ur1hp+gASO24ob3dqM
qTee7Z7ACtPszS1xXyYqBP5IPV17zcZc3remmK7QX1iQqJqk+mrZ/vBtEMBQcsAC27asp/16Lnkv
tLz+xiq1RWAhDWPryNzBC8k/SwgTGQakHx5DZeFJpHo2+gfBSGNxrbCftdnajmXri93camvs29Lr
z06mVAW7RebvOJRBzMx+JaZNbMVmtM06mM20MtTaeE/cEXEpYrF9g+2c8IUBO0DaJTlhWS2XK3nD
mjPcaroFOEp3HvMpsvdZRlETYkJ1FwTJibjp0tFRG9AX5m2UVxZij6R+hdKvdoogg22tdK5XpGdz
zc2SVa/CJklI09Phu0nIF9MinNU8RNvyht6Bcd2xnXEXddCs44WadMO5y8S+wZiABeKa+RuN268d
GeKI0YkGDcbMb04A2DWo+KOnWRsxT1HC6D8a8RJQcTyMia7OzCPme8xS6eNUDLqg9DMAzLV4GHfo
aR5if+RhTSf3JrFrxkrIOE2UHXhvtj5gmC4A2A2a0y6tOAR6PmwZprvfiEuU75CWEbm1i+afXAu6
HwdM22zDMqv9cDYWRVkKGvroZY5bb9AeOdeq1BcLtnvRm5tJW1zMI1k2XANQZiI0so9AGiI0e8Wz
ZS1OdEigMIyt0tr3PPTvuWuXcaOzBgD5ACQ8DVnLk8BK00oe4LkQGA5ELYl4tFqcv+pCeI845q1t
LV0NN0g2O1cew0RAS75o9l7tFNkN9Wo+Ye1xy3NWedMzuBL5YOAWfJWRl+1rJ27V2i3TvlkGkjyP
uRcWoq6daBDEpS42ibHwyJBu0u9TwOR3JihfBCJN6t/Gvdt8+BX8h6DQY/1IZAMZhlU9oKIQPfDo
qZeJUFeON5u188ch+79l3T+UdTRXqSb+96ouqKvqxzeVfuvVr4XdHz/2Z13nGp9W7YABtYYqyfRW
Zs2flZ0rQJqu/V3UBZaBwY7y7WeD16TzS2nDQPanRPxnZWfpnyjsHJueMHUhevT/zER4aej+oh6H
5kpNh4fQ8jh36vrvYFCbBgOIn5TOQhUbWzMhzCNZKj+wlXqZnfzdgw9Eot+iwqqf/ADTAqfvac5P
npE3ga68J2/w8hOHtfxm6ovrwVvzrzQHMWwrcOvynHcz5qYA4dgwUT0iPij1LRotFrwn/V3jg/j0
nd4PXN+8b8D+bhn1EwzE8SU0JKEfscFrXhz2GY/iQEfVts3y7mUofGRnab2R+OYDx87eHfpI26Lk
n+cGKiyUCO2xGdoXw0vwF9uDIK+NPmAZuc8w+B8yYbwP7Pv8bPNS1OkHwh3sTaTzBq5j3hsJsgdz
RTw4DaA1vZUvjrHSGVdz2ajx8SpwBiiBK+DtmntsW+9I4rcKo46vZvAjWECl2CxZ/mHm2rRxHL7K
2mu7rS75pZSUMMYwX/ER+Bp0GqFp122jln9FPZCS7mahMCVmatMnZn3IqPR2NefktRXG3+bW/ej1
Klx/MrMwy6Q+8TWLucp3Z76ChvDSkCPYch/Xxb0/F0MIsY1rwsjpyrYkb38UACckbwh+FHSZJf5M
KjpKV3cVpdbVx1zJ+iBFy0k9mhEuXriPfhF/g8Zi8D34T76Ogpkyq4HSSkLGhcZhKRrL0GMQy2d+
90TMWI4LEg02GSzLjmyV5TB6fHui40VH2z16hvZ0WSRQOFA3W1Sqjcs6MGbBVu1Bw9d9UkkhS5g5
f5BtdD+kvKk4y60j+mTY1hmZJDWRgifXVyaz9HUVKf4tCp5z2oHOkfXKTR2SLHAih7wSk4WF2KUJ
Sts+s54/6GOjeUT0A1Yufcd5y7VfLh1yOqeDoVXbUXkkrQw1P1PyLXGYhgnmQn3RORwFbde+XK53
CfNiMyDGXZ39AA8SlgwseS49/FO6iV5x0o34g5ucVY2CjGMEq9NzWSr1ei8w4p8/Fwn/63hE/Bi8
Ee48JJycMc5YxY9oRJ7mhSs/Su4TlwbnacRndAMUpgl8t3sBoICt0eUKez2LyeNuvHwZVcNNAUQV
I3tevsMkAyWqu/JUmJ0dWhGLtsg74FVI2B+I3mBYg5CI7gOoBaGaZreU5soEqPXthSwm9YH3ECfd
FZ2QaY+xw7gWMkqDC1Akp1oIEKiTHJlVKPyoJMiWShmhVPkN2AR9zRQhB3SgPEUJWYQ69wmOzPR+
SGy8/esCyeCnXVgzk4W+p0dRQ1IdJZdecrmtxM9PcaJX+wnlZEiYGLdh7tGDXa+tVvLxtQjwy0BK
WmywBKoGTp4Y+W4uq/xCCK2b1t8jVuaQVxaQG0VSbMn3aYLLAlhXOLf4PfgZkj5ntjF/4P62Frgc
l8us+lFwH7CMcLSocMiM6K1Jbe1gJ3zUReO1SNrRDhFjBs7p6TtyUS6BkX+guhdImLh7dI27uRTK
X2lC0UlvgVW4qT6d7cnee2P2rsUA0eljwxPOzTxElpkGUHC1wwV4VyPKuZ7dxN8xx6buLWE7aCRM
BUvF9kWCDidUNgeDBkA6WXs/KUCqwPsDTgzAFwu5E7gMW7Zty2Bdml17HB0AYG5FrsyUljqGYFuE
TIfYFGODzW3k0mlu7u+j3rxPhO/tF4PqvlFsJnQChoDRVhPAqE2Dsaci5RapD9DZ+cMlieSyN5k+
0KHLTUtU3sD5R3vidyd3dsuSaG3rnoYYLutI8wC1ECCGiJfFJKcGjQrZmXlN6EgidSjBjjWdezf/
QA7IV8NsIbh810gJ8m1e8ithIvo7q0IgZU2q22qezRa4yrrdQovuTETEW8Kxir0XyQ+5HiTLnkZC
xDmSFOKJOWKR7miVf6MusUNGYKSvS/e5rK06zLXkThv7s4s4bD06x6c5nfAyarBUDJylMyHQ+Ygb
spo0TH1LsbySsEWzweFE4IS+Z3QQVZY2ezezetoiJ4fey2H9CepVAQttbLKbOe76UzrqXEJS/4iY
I8HP6sNMR5uT1Km6S2LL4WCP5BUDUEvmGUCynPhpdDttFyLSb4zAkVI7NVH/RshX/R2P/Tcr1WtY
mWLKPzwp4I+zS5AAE7D9jwfCe+odCXGT3xDlCZutyQgdLTOLrl/Mo2hrGl5044/1ou0KUY3dOTcT
z0WTxDT3oOZFaS9zDJslwTJfXEccktWmbQswXMBbZHq2B8ecwxhnJfjDnuND4jpPvxzF/k1n+Hc+
H+cay0GmDoKBAbq/CmV+lVQWPkM3Cyf/wU1ntM9L8pHmPFxE5T31bS1YVtx1VspK//vXXaWav52n
cIXiDzHByLtgef/6uv5sUeurpj8Y42Wz4x4Uaf69gjOGDj7/+PtXQwPwr6/mYkI0LcNHRvrbq6GM
IVJpqfpDMbNA1pOAn2O/gtOi//G5/lsE/EMRYNs+5/K/KQLeCs6FbZX+ReTxx0/9lFghMTZA+2MI
Nc2LT/T/1gCGaX1CYYzGwwIi4TOs+UsNYLhwtdA/IaC8MEZ+TnfMT2QgeJbr6X9ok/+jGuB3mqFu
rzMdGtIOyxX2xiq1/vVWwWPDYLjvpzPnQT8cKHybTS1oQAU5fbN7kAbzKZuwZoS6nitcWtbwObc6
GtGdX8kvv3x7/+a+NeCj/Lqk13djEQ+Aqswia4L+wF/fDQbvJvcZdVJAVMY5znGjbnq3JvdzGngU
bIbR6r+6qCVpkZeeksA/W1TE0dK5VuD5bvXdV0q/5Xck5N9Blv3Mkd8z9rNjRz+MWTOm3d+/Y9P6
N+8YJQdBL6jKYKT8dhNawO24trM6iwnR49aZluLzwHhO7BRuMDxH82RkjEu4QxcsDQhRc13sy6Gd
jW071Oo71o3OCBiC099VaU3HpkxANbitncdhXGfJXd4TQN35WB6oJ/3nLpFX6NTsKUw7zblJ22Qo
/yEw4l8vg2sJnZKLSgeRxuVD/yJJp2ESg6gvunOlIv+5jqlsKVYQ120aCsE7XL3+YxMZxcvff5m/
bWh4MlysTjBZTNYif6xv65eXZTAeW9Bnq3PlLcbZyJP+XHVtkBIP+Pz3r/TbA+LySnizSXvyiOIh
beSvr9QgXWZ+ldRnr9GtNznW2HUjwiLMDdOVUJckEQRCnzlPZsIey39aNOui+OU5wcuzUEzbhE7t
OOwOv708mso0iStAL6tp5K3MevstJ5Co2AP57UJyAuu10Zsl+7GQFwNv7f6ACd4dRx4xHHtEq3OW
zQgBz1yygkXbmBA4yLr40WhDs9W1pXSZr9RWe7AFdNrN3397v4Nz1vfPc8c0BCZ30lwsNslfL5Tu
9HZlI0+5MfqofEtb1SFY0nKF7w3LdBWfCOnI32PPb66nRSY7p7aI1DWNwf1Q0DpqkPgx9MA6G36k
rXC/M71N3NPfv0nL/peLjPWeRYROib2VuxPfx6/v0mnxsLaJEjfI5pvIhy4Jg26P7gchtIL/AbNa
6vdDOdv9hlRiXJpGhTq/bfbFqqfOGbY8NIVdTpwWx/jLmJUkc2Df3jSo0j87qy47klUEOWcVaxOq
inA7yrrqPDaoueWq646hkXAkvMi9kdOUqFNU8WBm8R1WL9rKRe8SBYBUXF1E486qHzfS2WRvsPpl
2eijl10Xq9YcE4F1Slb9+XKRoo96Qtgdiy7Fsb2K1cdVt84wQtsu2fSt6aR67HUNeftYKhcsheyx
fJvmk0yMMd9DJUQUj1EyeqcOQSpP81N77Vf9fNN0JAnWVXM0mJR+T4fG4b5fNffpRX4/rEr8dtXk
Y1Jr9qtK4VaOJao4RtU74yLjL2hfxcEwxp4MhlXpX3YCzX/j32JIxgZgGLU68Kgxx6BafQKecouX
qdSTK7P1G4Y1Cj+Bn2kmR/5yefOcug07fQKeSZEHUJfsvTfEhONHdzEpLBfDQnUxL0yrj0Gsjob5
Ym5oV58D+KLyUDWNveEBhA0CAwSWiOxij3AjetfuxTRhrf4JcbFStNQMsbXaK8bVaZFeTBfZxYAh
LmaMSbiIrJADF9F9P0pVlhtC2+eq/c7owTSXr92oTWvGqE9xxYwCwn2mREvkcd83+lnlijM2GbZy
2Q9+r6Jj2aaAQDKzqB/1lYbHYIhIrJ5rEJHbrtN0IEHZA2sdwcCE0p6PMnQY6utBWxBGcUtJRIv8
kM/umGznqfDVNQItwYoaI0y2I2Wjre0cLcmiW9rhwokDorEw9hki78pdVaStvyGbj8ivcKIyg5Li
A9jYzBFOj6AmuwP+jd+PzIrBRUAxijgV7LBLlkvgMQ5ioGFCGgjKpNXwp3QUL4z2tLIM6zj1PrQe
/SiNmdpENGJ5vXe2sQVEp0q4ykVvWE2dXOZDh/+lJdM+TtySXtqwSNwlXZXu5sIp54PeQaYPaFwW
VKT4+QqEDDJlGOZY5hetKRdjS2p0TlmXl7p2S4o6LfteVdWXjL5NeRStr2g5IOt4oIkiGL+RuGtc
JWMC33PjJmai9jThmuqRh7E4EYBo5ru+4R2EtaJ5FiIYXXByZ3Mz3pQeYyaGJFXTbiPD6E8tfdti
G0cIztcamsuZuh3nk2rJxPIDZpaPdZ43UG4FDHp5NLBVHOKUtF2aW/QEtmmdRtulj3L0eWPb+HdZ
NGZWIFK4scDjMwLdoHZZO6OJCLyg7nebkAnsUh+T1BjjMPetBN8F/26zIi6ggclYSNouKekTakq1
V7J36lnbpNxHJtB7sFNkIgyWJp6g/pr92Wl8QBgVKscb4tR4JMWdm/MDPlnbYhel6PS+EpheJSdJ
02TadaO9pFeGitWTlZn2mz1F8F49undi11cTlIzOWTBskWOcEVYjZN4FJEiGCNbl12IcOVlAsx4e
O9sZ35s2EYfBHeMoRFgBS5hBPr/HLupsQroyGGci6pGzdMo2ngxFEPlmROLvBcqYXaSVZpmlh3Yy
TaAhLr2b21Rz/edKl+vizDLZ7d2ig0w1oS31Al2uDrRkrHhjNWo744onmP8MJ4HVzZgZb66H9gVv
UedH5l3W9nn+YHoUusfJysb+Rk1qPXyCirizc82ZiAgpeem6ht0MF6pUy17P3fXDr28d+vf6vpiO
ny274lP0EtrBmmGQL4GfD9w6TYEn+b4CpBpt2p5TQczfsaeaqkpu0VLORKKKJiEhKhnbqb8p6TGh
Q9Z7ibpUR9UdzoPEcMD/A0HiE7GBkKW+npMJlHqOQO+dvCFNPdqOds66mGPnbazWuICpBWsm1KR3
V6QkmBnGwyrPHgnEGfddpRtn6cfyq0XlKzcJdHHzVHuQxa8iAE7Ddm5dOXLAncUeUPWIUtmV87e8
yO27qe9If0aUPORfRgx63aGMSGifF+IGQ8hWhC5RB3gADcw56XaQ/vwv0EnLXTk2MR0Zi21ubsfk
ASFMd0VjIrO3DAjNmG3Ptlwykkz/uc20IQ4Ls+I2WbRI+EcLsK78UbIhz0wrWFLhuO7YYWaTw74j
mX0IeciM8spoe4I5Ip9QFp60iHE4esvstfUH/0mbOaafFl+1xneFpHlVnxjucExHuowh2oEE6ckY
O/Gx4bLAGyDXdbcwdVY30+ySOT5AtvPc7mCVsJgPywhYLMh1BtD7psjr+oYYD+sauTP9pERW5XAV
z2OTQPfuyuSJk0j3XV8VqTj4025gpNyNeDHHwZM8BWb5CODHSF+MGsv+sFk4gc2f6cRpPr8MvAcW
OuJ0T1rUjO9477SBdB267seUkdU9hvFo2bc9OqQwXVZLZWqqTNxNmMvtc+k0SMcYzOrOjWUkjJhR
KYwItZKGqzZ6FXigdnFL9g5iP0JjEkQPDQWAq/3iSVZ/bk2xS3jNDEoDS7Ujv4zMm58yBtVrNEXq
P7PWy+6u8rGc7Xqz8bOdVybOuJn6rya2fw/pQT64n22zwhs62rGybkh69IYHEjf8loc7KzpsUsHV
pHDAI5kKlcPya5tE3JmTXjjHaFpj6dNp0uKbvNVAXpfdmlGB+a5XNwWUIcpIP493XeLlyXacdP04
S7QW25nOUopzM3H/65b5/7Kr0aqgyPnfOynbH8Xb+Nb++HWW+sfP/JylglYlx1TodD4YqF4Gpj9n
qTZjVpSzlx4KbRbKyp9ONf8TTUDmrD4oJra/dQD7s40CxdUCmqVDYzW9S6bkfyKS9ddi4peSDtKX
vaJiLd2AG4tf/Lc+QJ4xXTIWXx5mZ05e8AtXDYnRAl/xhJo8mNy2VLtGzndFbaJzQgPBLNP1kQzo
zQ6yVsX0TiwGcYQ9Z8aq4kjAfTr+mJSz5kYzuuJRCIo5VneVp2k8HshJw+YCkDVtdsTIEJ4o9Jgw
CJ+cVr5EkPBMtx6zS5weJJpzkdlgGDyUfweX7YFQ6qxsT44BaLmvGZNoLmn0cLjlhmNKezVJBgpO
KUAsTXa2H3lzSA5bpzkSQBgda61VD5UfWydQXq+ZK7WXtCjp5MvK2Vj4MTi/mzHnOIaOhIg0t8Te
e9ty6u4HL/6OIp0PGfFJjcS8t0xSgRDvcmy1hcZ5AF2xHucfDVQolBq+4kCiM4S2G7zHplQN8HVe
PRnMe0dMOocsdaOIbdz0JuMaw3uC7nhDpHy1SabqkfxZ43qinQ5gp8J9hCuGP8prIiOvLa95iUoy
0xdDTbAP41dGlceV27JZYVP5nL9iHkC3WNePU6YtX/OCQRNxfsk295oeGSXjMYQjAUvwCaVoGLlU
M+TDr2+BEEmbX+2jqtq7i6vfilzTqDxzoH+dXzzXjMWf2TqZLq0zVHSVgkQwxlyMkXnI6uVHtzR3
dA8Jj7C0k7Jm+VZbRvsEzRAId8rjPBBNwXZsNnc0hA6Rt/Bkt5W8Jeq7fbFy78np0npfT7BnDQ7k
106Uu6Tj+cbBlw4ui8L7XCyNJjeWGD/HFiJvq6w7l2HPipn1o/6bpsu2wpOhi3uo7uJcphSQUGyS
iTFvIpewSKpHQWMtFC3e761Zi4euUPiJvQh6rUh4tnLnYLIhmSMpeAgN5ST9fSvXkI64MQxGLYib
MFPgLIKhWp9NY+qv1qiffje2mv2ZI0B6ZZWO/mrxwbcdcNygTDMzRWXHQ3RneFSjGzHNRLHN0lbH
OtPha9oZSQ1aZS/a3qOjEn3MvjveFGZLpHtcMfQroKMATihwj5SZ8XjZvv7bMv+HlrlhYij+u52e
lPA2/mvD/M+f+XOn9/RP6zbqwzEyMRBbgr7OTz+E/QmunEXfbg3wpgvFX/3c6tn1f27t+ic0gBZT
PttzWTbmf2J/AOvx+86+Pmz4ZbqDE8PEb/DXNpJv1lQhtVcchBd/HUnm2agur0NGTy9wLx5bWDgE
B8sXrzReMB8aux5EPKO4k5pdL1w0aR4FDMFjV3AYqejQHP0+p26ddYgPmoSPNfjtxxwNDoGdrret
vU6/1uKieeWRoz9o5mzuF26GrSjGJWi8NN1FWgW7L3YfeHB4d+OSshupkjAp8vzobOErGqUMO80E
HDVa7UlXmNqG8nbuMH41ylKbrJiObecu93YX2dvaHd3AmMf+yUxx9MVIACkoafdamnE/LsLedyr+
4licl2BFFHu3LJIbpacG0Zq8Jx0s7B06nTa0IcvdecIlvqB4htmP0hQWxSwdm/nv8AbjFHmLIG6s
hbjznvL8uMpHLGLCX2o0K9LZ2+DZwhZ95J5g2VU3WEwhW/F3lU1iZ/WIMNPcsVaVyps5zBy51YC9
MKdcSDknZhS0e4J2UBm6sAMRRTyUstupYuZYrt1Gq4631+R0aITPUdOtjQe/MYsXRQfyCxv9rkT2
zbOgfMhxaF2nBQ6NTeZBsAqivrhpEReOoQkbO5AEHLz0S52SykPeh+g0hXKxgq3cxMiNGatGj8zt
7CsrnxcXRYLdHmARSgaiTXpu62J8iXwSPECw+89TKXKYTTVxTU5Nhk0y+NRGIwIXOtHevTuOODwL
QbFZmNQRShBI4aYZuBHErsVzlVeIegpwu7pZUF0Sw+NSDhQEAcV601670lyDqQR5SKlvAmNJehKO
O7OpeHhHoG8X/OknGpY8sqRXMQdP6S7RQqhpUetMja9mjndgQtzs1TUHzdliIYGqa6bR86Vf5Ymo
pBxK60fwk8ZZOFN9ZaEsJTx7yl6bBp/pxjdcSLppvhi7MgM9iexgupvtAVkLVXRFCKM1UQ8CjFkQ
5R5ospHrbuNh2bbSo0evi+IZbLD+3vauOGr0xrIg7hTfalvzbxC+3/EFagHMCooZpEnG01Db1Ym5
f7p3ATr3W72K5zszZmnaREvmB7sb+PByjucHzBu8x7LWpwcQvPVVV9tOHgjE/SGMUX4h54NEwteB
JjzTMt5Oqmy+Jtx/+9Tx+bonmFFb4l+BCLgJaOTGqNIzxUT3nQ7fsDd60fwgn3W6i/q6ub28sywi
Xm039Aa/nuQm9z5eZd0pwCwnEFHi3VtrWLC1koML/Banyq76py6zCANyKFCCdP3gNDbnh7m31Wd3
KvmHxcpBsQc2ka0n6jnU/W7YZ6OVvV5WGmdAXm2JfVg4Bl6Jq3SlKMO/q2/HhqnZJokzsPaLLJ4t
fzS/4O1MayjLlnsPlc061nk0PRgTwMS25Wxjxr1rHbBps+uBZz4hL+KqmchECHYt1XdFIiMUxdq5
xQw8X8nIMB8QM3sPo9TKMGFFgobz7ejVNzl3QphLUo6F8PE1XMr3rTvTYSziRHusFwnUFsfFI2g5
f19zwggvV6scYSin8UwTqMujSgU4AjzSkvjmZteyrw3ZWRFiqlV07MT8+n6c48AtMF+gSMc07sFx
Ad8TmLImbTxbzl2VnAcO6r3WPQ0SJNFg168VPZMYfH/gezem6m/1Mb5LVj9woZJDmbUf9uhf+diu
NkrjUG+6D1MndmJI9spZnmN88FuqVO/acfiFpO+FOeoPs5nrwDOr+kHxHOs3pqhhoqWG82A12efO
yIwzEwE46IbHZNFtkK67tGLTcj6nIJbGKQMzU59E5UZ3dMOmW2MyKaPreEa4RTIUSQU5CjB/sELm
quXGbaCODgNnTeXlMtlqtDWqeAroGf2Q1QA8GxT1Vbb0HQ7t0jgK0/7WGupQefY9cC3I+EMvblcD
0FctNl86zSPqtwYnWdE/LoZCwSqthlArSVzNSHohvwaTSNA4Tv3YgxEJKGOW7+VgB9Db10TLtd+j
pscq65uT7+Z7kWEwtO2FC5w6xm6SfbTJxjknrsj4jKXGREsnj/k0l0d6VOJAwCPKRa8nWKvKIyoF
cH7xAoavrr9KBiabqar1ayau7qll4e+RbuscGqOvulHKAJXYpjdmKL/NQ5N67o/UpGqi36S/uo4G
RjfPn7BuZW+gE0XIvU6rTUj6hn3VbWhCqBOtcktuhmVhPxBDcYihw+IOYaofLAhl/OhRlt33ZFYR
tCRvPpN1MJIxQ8QOOHJl4tqrFhx/CPWJcDecc8Gef8+yAq7kRMadAAsa0pStADP1WnYgPQm/bwfO
uDPM5kdnIwhDlnecS6IORNO89RSXW+l1/jYzhhc9QvGn1zztfVPae1RI33RL/4pWnDQhGX0ejWbe
YCohGE/QsgOuot20FhC7udIDh9uQQ3sVv9Dr7vAqiK0ydO8a1WkcckjwvluuPTy4dmp8JvtvPUNQ
hQed5cynUUUjk28z8jCEDNnnzAXyanVW+aOjPvqhUAORUFC6q4Q22qJjH3Y808cdDrTTGJd0MRel
n90oq++ZU0zIjiQnK0K8Ufe33rkZGmKT9bl4Helwnh24vAFD2nnTghfbYmACe1+qlHyypLJlEOWl
52+cKYuvBxq2xqkzIwPxfregU/ahGHixLHVuifhZOZN26xitF+TCnCQXsSbwoY21cMiz/tq1W5KI
jArFVS3thpn4gknCnvr6XNNjPFn0c8OIri6DCxk9+zJVD2O+pFm4dBI/uvIrDYiFZx85KeR7Q69l
mE6MnCjeaitM2umjQmV5a5Sx+jy26XhgLCq/ODixSFmbgXEva9SFO6JksxpQ0O5yzEtOYeUwaCe9
ZgNrDFMe6sjugqZVGV6xOdrVlMS8rULuZ6t4JzvW23RtNN7mjqbftFHVouOq27006Un0uFkDzgw3
U53tLE3bxyaRV4W3fM3aFptVVg0wEUbZUjHnxob402JXWjoR5G1u7RcC7yH1I7mqGQGZPQWtXXTD
3ZJzxiOcu+PJNXi38yiLR5l148GjJP6K+vGMtrv7MbrQGKQzq53fOPEODwqB7QJaectobNsTA45d
UJgb8jzwF9v1beUCFmj8ft50GN6fRTPtp3GKt51YHmdHuOcpNZEqezgw5srYg4UG7Gu0IYa4+IfE
1SoUj7yBUK5wSLMec+c0nVKcdBDzuuiIxPY6jSVmW9veouDIjvPiTFdR5iW+greQAGx2xPLg5+yu
xpXbI+YcwmzlmTX7vByz+F44maRa7teICD7wSvsgsifmkQD/APT2H7ES7iVjYrrkTdgcVZjrX3Io
5o5IiumSTmH/EVXBc5vcivKSYdFd8iySnIaGtXEuSRc8Db9MZF9AFht25SUOw+rHx2iNyDDWsAwy
ZWraTbZ1Q87ei1xEGi6N85D6tQYlW9FUWYM3Cuh9txJsxHu3xnJka0CH0RnqZlxDO1LSO9qYCOTR
NocbbyDag/6cdQLnOrL7MV/x1wiQcQ0DiddYEHMNCJlJCsFJH20kGsu3cY0RSS+JIswzT6VGyEic
YRHPZVcFQAcn2saEkTRrLMmk4AmTxvrka0ChAdhfLYKDNmE8312Tbo4lSwjpRh4UtfUtQdC8jRQh
KHO8kIeSXbJR4rlV77o1qu8udI3rcQ1RMb3OOog1WAWp+qM+9D4GHM4y5K4MKj8ulzSWZbHmaytt
gUyvYS0F7L2bLim/UYBi5KpNWPSbkUi4KxjN9TYl80Wu4S9Kk+V3d1gTYcZIKUZhYEnaNTCG44sT
mtjbHtDWLAFnoAexBsygd467jbHGztAIBYC9RtFMaygNfvb+SjZIe5dLZo2cVXGbV3INEF1DbXBz
km8TrVE3TCR4FOj+alKgNMQiPha+992L14ycIbYNbJ4E52BiaL4ua5jOgnec8cIlY8e55O30+lhB
m6nr0DYWD3S0qncdGyOTz+WYzojOm5EiC1B9fk7jfvxqKIaujnTpTtpVgl4fgF1Nh61mCcUcSsAB
wEipUl890YZtme3Rq6vQnW04PatlDqaUwJB8KzoFdFB2w0cCFujgCsUsT44NYQLVj3xiTtnNEfMe
0V3nLX7DJm69B6fUh7s4Uc0D6OcFj7vkdJuRVWjHNf2tiGTVzPeYMifpZwq/aOv6Sb0jW8A7FqSl
/JdG92dA2j90fXxD0PD+m/Z+SiWWflP/U3/8D6KUvnz/awfoj5//2ep3PiFndYhf89CeoS2j4/Kz
1e9+YsCGkI99flVM6s7/awB5nwjp8FfwBX0hy3X4q58NIe8TbR1h8pcOqdMmf/Wf9PpX9fBfW/2I
Ni2BTdhCPSXWT/6rrmjGd2kw89UP+bQSMz+IwbolnvBIzbElc/xQpvqpgy1M+/TFyOlni+4fdMar
Fe1f3gLqZuLS+MxQQNa//0UpR3HqNB539aGmjXSOrJcZqVU3QFYqyQjC8Klj/d36DXW1VUQ3TRNn
1MBWxWnyq4U3Z0kwRDAV0xEKpLW3U4B1Gpch78qytOxhgxx9y0g12ejNtzWrNa1xr1RAkfLXDC/N
+p+zZRGNNX/ulhrLIrlVWjjb/sGqcV6T0OpcYxGp5s1CAwHuatsJsdVzREOieiaikcGbIQ4TOKkS
IymhcFfsJRBLs+XeUl2z8TilAMxbrfqI35Xowi6nFu7v6TfzoK7WHGpA447/1RBa2MXuG0h93F2Z
gcQHL7Djkgrkb/QkCfu62A4YLZnfP0wayFo5ttRfZTio5pUphb7HSnqHzuEKi9n7QqybyvJAOjS6
CJX22N4JcxJV9a2cLH2fZx5ZDfr4rbLibez03XWFBgKzW0Oh0/FihPdilI7/D3vntVw5cm3bL4IC
LhPAfdyWe9PbMi+IcoS3Cf/1ZyRL0q3a5CWv9HxCoY6SupsggESateYck5Du/7Vi/n/1Di0LYNx7
s8sObWTy89ufvcN//jv/t6TMjzAFBxR0QOJF7/mvkrL3DyYZidAbPSOTxB+kPceCtEcdmgnFdEwb
T8G/ZxSU2wJPJ9BmNFXSpjr8n8wor75m6QikoCT40FlzTN2l/PNrjmg8L35d9We23UMPJwcCqZVr
E2Ht9k6Aj0e0JUfgnkToIMaZ88ezuvk9cf3J/dP16z+mM2Q02mwKTdQEHYZI/WQuaRpOFUAtuv3Y
28PWmwu5tRI73+CmL87+i0vBu6az6bLXkyeXap10sKxCdHu6WMk+t61x5ShCH1DINv/FXfEog5c2
AU5aVoM/n+liTVnNDAXYXwe5T8gENm3XQaubvP7w/l2dNAheHqDDPbkmznSHuvDfl0KZTj1f8ACD
JESiPtsoeHr5PFHQJ6kbGHdFU1MnlK0RG1e/J4Uf0/95m9rIGHz19hyBIU2PYuR4J/dJVTIMnbrr
9kblSmKJpnhbWm5z8f4tvh4jAgqU7bGwStCT3slVFLFyamjCft+Sk9UyNkvVrcTUePq4U8Ayfv9y
J/pznqjQngfTpmPPMDkFUYLUtmFPdP0+moEjwOX/5Tn2sx9Ra7Ly4lxSOF29f8XXj1HYth3YGK/x
Ybxq34cxJjPqpb2OQIFmjByIlxVU2/evoh/T358aV2G9BuJCG0s4+jH/sWyDqmHv0GT93qGuvXIM
4wKzzvUMdGs9mYX44J7eeop/Xu3kpeG0iJpI5D1ZnpzLQqoi0VCgXtaUpgpI+qrNsu/v36Ctleun
d+hjXBHwSQMG5MlUNseZ9MeRz86KpXvtVm7+FJk9LfVqIVKhitAaNHcejO11k1Mbl53pH2vhnPVU
8fecwIYtPDwCKkav/jFNjnGYpRtQUO6a+6WdqYLE0drKmuWDiekUcqZHnGPScbSQkXj2qxHnq0gS
9sFnlIy9qyGDJPhR0xdUMw0HhQFQFVpv5IU7PL0tIEv3KwSJCYOhX1+B5iejvo6Ca3Rs/1z1/58f
+CkE+fevxvysv3DBf/XQ/WPQpEGOyljkHcfgmKN0LDZYPia0u7LbqiZSj1PiAA0eZZBvKpJBjlOZ
thfIdTlTFRNKgcEs0WMp3ekozZWDdhQulY8x0Y5mdl12e2XLxTgsuBU3DRbXzegJ5Aj4X596hKNP
FNRDUJlJs25dw9tRgUk4hbU+e53p2GWtwg+fs2kKRUDQmTiP3ewRARfGQHd2QOMs2a5FpYK1truu
AhLKG+hhbB/xg05hHl6Y8Wx+MloK/GBJDeQC83M2O3edDyM0AMFy1sm4u+Ynl7v3R+vrD8QXgo0B
X70bSM87GayTwkMr2N3tobbAg+xjrCbmwUqmh34B+tX3JIz/F1dElQi0Th9EgpMrBu00+MGSdfs2
DA+WcreQ738EpXvROhT2UQ9+fv96r+dtwiWYbSyU2loCfXJUUfR5St5NR+U7r1f24I6HCCrX1rfb
+YMF9/UM6tNqlzYxT4E+nZ0M06infTpiaNoH/iDOK6OxDtXYex88wDev4oKKRbMFCOb0lRUm2tFu
5AEasjVbeCmBcYbG2b95/7lZr+cx7oYQRJ/dogWp4+RFZeilLaTQaj9NVrVBPp/u5FTQhVFlhS5Q
eWwpGPiYQPFC+J+Qo+4rN0s+mpacV9Op5i6CySFoBDSpe/L+mqZyl2Tw1N4lAQ/Lf5DvEIR3OwpZ
ib923MU9kKEDhsusfuXV6N1lXTruAeMOl8WyOEeMB+EHb8B+83fCooTOjRRzcbrjiKgKG2HsqH0Z
9eXBbMU2MHvEv8TvXYWqBnbr9fWXHEX0Om+M+bqvExKDE9PeBH5ZoYvPf+Xws64yf9osy/iVUCt7
Tam8vp9L0Hd1l4gzEcXjsZzzKzLyPtpcvH0Dgc4aZ0vP96/f/R8Tami1QTETsLt34/kuohS260c3
eoyZxdZ146WbUFnmuvBkx4rVFkf09d/8xHtQrQwOfR2G64nYki0y7OC2WrzqwSeOeyEy5OhQGN4h
W56hZaQGa0WX7/An1B9sjyz92v9eZRkWf9zByegcOzCTUTUj+TPS6BiCSjx2YiopSZubLmmZ5HtE
gGlqHmgBDxC0SCF8/wNx3hwFeI7RoOgYgNPP3Z+ZSzBOqT1l8K6GpuGL72yrbjzQz3AhzZ9VPkyf
PNuKf2Dh6/ohWqfg+TeoJShNRmpnm6TzthIF94h1geak3dfrmAvukRumazeNrF8U7S2mSu+e4uJW
mCnGHSP4BP+oPbMGgUqGPJUzmjTfAIbcy5kLRe5Lzk2gxAfP/PXWzZecBtGMgmg1X7IX/hw0wkYE
EkI02Tdp/qkM996Q5htjIVgRBoPzwT7xjWlbsiPh5Ol6/GDz5EShcvCGLZPOngLOc4D/kVUbFaKL
9eSDK+mfdDKSuJJ2r7qURMzTjT3R9H3t0S7az230kMH0+pTmuoVfzJwmxJyhAjfhnh5DacUfDKE3
Vl/SJWyMx/iONfHo78+wi8iuDVNT7dFLfcF8eTN5zZ3phs+5133nyCs/WKBe9p6v7hWILBVFDtzI
fv++YDAYakoShizH8PKud9j3zCGNCaCJa2dYfmE6eKiSnH7jXLO5cSFtDCpqCWpdPrj1NweTgBQA
GAqn8+mynPTojeKB73f0q25j1h6SWVxj0FKraC3i9Pn9j/WNRVOa7BzhRXH25pD/943LICXWvJ94
yXMLqqW2wvXS+/EHZ8Q3n69FJYORxONFuff3ZVIFNtbCwLvnjNyu/WGKCaZNA5g7RMqOGABpBrv9
xpgbNKthBMlysHKsZsb5ssiP5sjXh3KcvZwKOZRjlRenCIgRSQzygoxfhjiOLXZTVP7tcjkPqD+i
wjLWtSrKfawJm1XWmx98VqcOWTbtmPdtycNm3477/2SsETWPOrc02/1sufH32kPHuhqJNLhWiSUw
a8oKAQ8wO5RDxgz4ZzXIJhcbMyW1cEUkGBza0ZjHyyF2wH7YXddbaxEJ9fP9kfHGRANqSErmGKzX
COv/fmWx4SezKGWzl1MIFNbFFeOqJtiyl08+eCRvXApfieshhqIMx9P5+1JJainkJ16z75aweHad
2bsFV1q0YJDM/+K22IOSFyN1Se3VrFbDOupq3232SNTaWzjZclfNXnieth1VxH+3MW5+zx5/Fs/e
mMS4EmURtogYoU8rFTZc7LTquVKC+J62Y1nfk0Fmb1ndcO/SiiXIMp4/mD7efJScr+EtokmFmfD3
o4wis8TKLOjnY6leA20Gv58W9qY1bfXBpQKdjne6QrDTIIpHI8gdZqy/L+ZnbtVHCwhvjLMkb8iZ
8EyQ0+64bJA7kJAgWwWgnz15vm6Qdho7To79tF0mzykIUxZ8XAls1+AA0T5/sompjjct+RP9Bo+R
JIIybOJvpIsal5njCwUzKwejo0od21pySw48torWSjAIxLUj6ID5XBiIHRNcZ8sWkzuM2yiLrQfZ
27Qic3cS9i61ikluCbuO7c8AjJPil0wplkSrmhNMDDu4dcJNS3pC/KjyypoPeUl1bY+NsnC3ZAVZ
x2LBOLRXfTaoK1FAqrl0u34Ob0Ff5uWO/22MeNRalcESc4OMwAk8fNGl75U6KhTebLrrBUIHAh8k
8ZSlUZ1ZbQbQYo5au4U5nDwVSjqIlHqc8AdyOSNIYH2FanPOiKTYFjVu4ot04DgJpS6o6UcoNQbZ
Bi/ZDGR8wJl7XhhYmqg7FLW9qQuhN1dI2uxvHgawmcBVUi4WHxbOPVEPBvHFnUrnmzH0hvsycdtu
OxtN4N2ZVUHwQA+wvD+wiZ12jT8FCeSkCO+3i6ZqWSuVBvtSg1K3eajLf6Zh0zVqlPAf07jRSRlF
pQVA8YDav65R/Pr9LXXeXa/FtaGW2eYGyo2uxOUVkgp4Zmg5rtME1z36XLrYu0kLdsEjrwY3xsyq
xby2m42bTAt8o344OlryaxNXnGoRsOiRA/daGIw59afrGOOWjhMcIy0fllpIHLiJ3LtaXMyOeVml
WnCstPTY61ALuz1CuRJd8tIgUB60VBn1KKLT/Aloy1ZqMbMIinZraYFzpqXOpN9a576WP2MxJ0La
w/mvkMFOWiQtUEsnWjZNdzA8hORqEDiV9WwqsFTkrBIbpSXXGdrrRouwk2UW/CW7zqguTVqoTbiL
vVnMDM54R65HGocDHBbyt0cn3uCg8G9C373D9jltrdGPd/CjyFzW4vDwRSauBeOhlo6D/zIvSi0n
J6gFvS4K8GepxebopeuNrwXoeFpQPmhRuofW6wBO3T4oLVmnSHHEg7FLRG0R+Dd/LrS8vUzCM0+4
90k/f8bkSyvRRELd9uHn4qWRHiGzOgy9R8ys7rPjNX/IdOdd6R48qkcfxht9+Vx36F3dq4etX98h
rBhuGt3JVz1txpHmfqe7/Lnu9880/pVWAPhaC5BoVUBZ+MOzq1AKzL9VA9lvDUH/T0kBO02tMKi0
2iB7ER7YDJ5PhY3aeOO9iBRsrVdItXIBO1F21Wg1Q6p1DX5mHQDQzzi60TxIrX7gDzCx+SC2obDF
rC78GYq++jLHraea1WyH7kheDtCIL4bl7Mw0wk9v4ICt955hVz8mb8nqMyfL7X5T+K03rOaK/vaF
YUioYZnnt0i650EYR8qzJqrCqkH00PKkiFQv880CY/ohpqp/Y+cpyYVFmSWHMSWTQEAOuLIAfCPv
GkBEk48+HeNEmd+lGbKfpL6rsfVmfl6zyP7olB9JEGkRRJNRJM7FNCl57w5Z+BxQ3EfyW0rU/S8E
zmX2p0f6TMVzC3y7XM2Fsr5i5W43HNHENQKh+gve8nGDlXred+xYHnzyy78M0GgZjAj2q85ujgju
83UywTSGg6I+UYXT3i7ycjR8g5EQO0HzOYYQ8aOp3WyXTUbzGaV6cpYSo5YfHLR6O/Te6pOosJpj
wRpRx4ei6Db9ovg4YA/D0oeuTBcW2G/KhuuApZpMc0rIW06lQbvLODcVZ0UNWwUScjQ8NeGoTfyo
Fv1VEGlKV2W6kAELWoOHuoxzPQaN8RgFaXxvFjH8X6/twVDwOI0nrN/coqcZReeRvfCrymx4Guyp
Hy+jMIwgpTcYOEywkBWqswtyovipTp3sXcIK7ofOFsuKnUhzlGT3XOOorb9SukNJhZztGkRwI7dl
VRA20U/Zbqwmt9h7nhdd53k9eOtaxOKaj6jho+LtUoRvjlkRuNceEMnv7RC1t+7SWg8q4XkTxjDv
F+zPez/moSK1ms8NhuZtLdr6u9AnzHUpF5jwWZMm4PZEciYmAtmlAeLHat3mWAM8vVgGVX/v5rr9
PMQ818Xzmh+VFSHXXoirwCRcFuExohqx74MOP8OoxLW7NEQCDVUQXU+JwL+M8buYf0JBcLG31fbo
uNqjYoXzhcWyXG/GgG65ARK2wZoVEzvr930IkbBCxV9bs7hORBU+1jKOrqToq6+SuL5Np/OwkQEs
oaUlgeqn6KEQRp0PJb41w00EcuJcx0KfIV6eHn0jZV6MwuTM0cDT2jSi6x4bHGFGvmAHXmI9vXad
JofGrhkGXUARB7cJhM246PgHoBoiAo/GHO3fUiNqWPjOKWOV6tM8U7T2vUH99CKXjLJwzg9W2+lR
3pOBSc/FFvdJEQ9PyCMQpo4Vv2QuzOzO79r6m5PG8t4IUN2v6nKMr2dZlATDumX7OW+W6caXqn8y
6ym7S/TrttvQvxDgJu8ad+BCmTHvAg871YpNRnztKp6an8bzjRkZ87OJSWVvTDAHsG/64R2QBHwl
ZgwdE9kvtvolu2PLPj0Sxqh+LiMwiOPSUhJHyB3Pz15NmQ/3CwmkK+otql0Roj6WaxTSiMzcdCnw
LBgyvHNjjlyrulfNfECQKvES9IwkDFAtU690GWnMWfE10WSVtS6spbqBaE4Rl5gS3rWp/Hg4SKfy
y3WguucKlysiYrNI100xNs9GlVpPboSJexiV9QucLgQfPr3mltligbKf1u1a2iXiyTYV/S9M5Ivg
nSHpNuqaxyJZydXeHDOrXaEtsh4WOzfugs5kNvPk8Guq/ea2C0HX941dX3XDXH+ZYN3fWkiDr0PZ
JPsuwOQBNhA4i4q1Cd3n+y5Jt/3UYAI1idfyFXN8lRXiUM0VDw8v1CVn4nBX92HLJCZtj7pp5/Q0
hB3/66L87iosdOxWng9nrix4NSybF07rZsS3elFyI11V7yBWqce2HuBCQDPsoor/S9V1vQmH2vkO
/V/sgJVjD3OhdyAuxJE6OHJv8bxWdDTdDQEWfIcvbhGrwIbCJmRc6cjjJ4JlXFKsqvsucC8Hon7p
RZoJZ5m23YxAeK4a6j9mT/JLWtQtl80k9gcoFhBamDechfa6mRiXEwDm63IW4b0MbTIBJqSGTLok
pVklzcYGL/ZBJN1xmOd8k/BtXprR2JIc45WQXFEKsdVnCxjQ/qOE+i0QAFIyr8SQUw3Oz4HQ3SYx
LaY0eG6Lo5ptKS3Qq517jsnI/cR+20SXM1Xfg1H3mSqSkqksH5qw8uiWxWxIh7SaP/nTGN2ZJXEM
3lSfySpvNsFIcP0qAXfsj8s36n/Fl6zAscuaw0OyDTdioueEs/bm2Y3XaZapQ2aYDrpJA9hc4UIm
hdZxHlt9vWGHOt6ArzZxM6Tqvm8MyVQXRHe94iK9CL2bHqjDisI0OiJSer8BapFPoHrysyTxnqbU
LPaUS2P2gWzlVoV2x1bJGF8mPoWbyrIPIV7s77EZjrvBN8x9B8d045PfsRkHPkbyEogJzigVRjOo
ejYX7qfUFftSTNWOz4kJuMKdsYokRhodivI8ZL39aapd6yooggXVQuE+1PGUrif2sDsSj8R5QXTR
kyU873ZGgLkTg5qance+cNV2LZy6aap/LbSa7HUddclVQ3jdfVLCjcU9XkLRr+s5XrlFqtYTPFHQ
QnCRFgxEvSfZ0LtR+o2Ya4i+yOc6YhXTlXANHNrpdLuY9qcOjNCOT3EH7gGeMF09NmRef1W4Qkcd
VmwzXDwETIHgyv0uufPNFjFo4fjnasadHZrxNhb4UTKnFdcFkTLVOh4Di6ZFvhzmuRoupTBYdgrf
yPjgZImPZErBBzkxhPEUxhMadEL6VrmR8hnRQxsug7BLPxe2i2fRogBPaa1ixVpqShp9Ykw3Qeg0
FzPFbM13HpJs1bdpdgyIpb1DPHxsU286C4n5GXyVXea85XNVooBTLiaimQYPhG7VXVD3nVeSiEZr
MoLPAT1Tzjnf2opIuSIWy7ohzFtT4GIY0UNnfQZt05KD6323FvkrbKvmKzvW/GuugJelKOQevRwK
lDPg4uhI7bidJTuWfCYwaYW7mtSICYMi26HpDJrOkBwNpxrdzeCZyjvzMlIpmTRkdW2MkeYazV51
TfkGyq3tpzib+jxnEqoskX4tirS8tRu/uJUJdeRVMjOBpjEK7FzZ5vdSpfHPJjQXQNMGP7BBBXAU
LQav2cWi/7llx8N7SzjkgAXJWSUM6Rzy2mdFCab6C6sltbMltyCqAMF1DlWY2A/sjzmZZtotF2WT
+llkEBZVrygiKLJonjO3pKqgyCr9aqrU+p698EgqF4KPaqbwq52Rer52wwQTV72E6qchaqOABT4E
+OYzUd7nzcTEoGIscDuPeJdq56J2jzf9FDM8Yrtng0NES3UfExcDbiyqwq/CEvw7QT3l7cbDrCo2
LslC9ap0iJvZDIrfEi4NcqlNiUqLCBN74qJp4pbqPFlEx7nRLAcL60c94qFk88pPXgwfNJGLyt7f
xG4wG3tj1luAjg4p0MypCC7S2HTLjWwLNq15KHlLxsJSt86nPvw6tAPeh6hPNPM9EsWz3RM4suob
BzLl6DrB198PUwxG1K+QIFlQpZWJMs2zlqlacZ6o9mTQRWungYVH/pYuCsBKK+8F+rFynycp5R6U
BQkHzGzKzmpC4wLsY2KydrgPkMy3XXUvRhQVvEL6resxbLi/zBPUQ9razNJzhYph2Bczwo9L8NvD
8yCpja56G2LgpTSs+CGbB3tf9hC+CkiPtxkOMWDztW8+AKtRMxJTEjeu3Z6bPrMHk9+RXTm/dVKG
vDw5TyURJmMlckh0Cd8utf943lCX4SkORsc/v5T4dBNOL8mKXza4mNWgfiXA4/J90LdApfoAHAGo
p8SeSOjg+1mNvE4yLqn/HfGcGBg9qo4dnYgx9h1M2VJEaemtQDNv8HvyqbscuFmEWb+wepm4Ikvi
Egp8cvBEr+PBwXCst5BEUdsdBGs7frRSQqJJ0DKP9KTbs7Ho4eVH/oTBOEueliUeH0fCwH63wf4X
a/CBwN22LF1m/Xdp+FXa82XyI06ib+WfItR//kv/EqHa/3AtmzIqgvYABYikkvpPEWpgAgKGJUbH
jwqNAF3wb1m76/8Dooxpo4d3JDXtP+OerX9oLMG/EkR8pKv/iaz9pJSNoIKOOJEjdG5Ml7bJSVW5
mUiuanJlnZe1S3IUdpEimc5aHNr7ENC+LOB94DS8SDPLGB9fDvYTqzrRToqQtm9eMpRwK2czdYjG
EalcZo4Kbu6mHJUb7GBBWLJkNBBd1f6PJ/1GEV7/Zn809mxwEchJebSYPoXW5Z6UqFU/5mG7kPIU
4d+24tLAD6g/VJYtwgRm+pnvX9A5jcrmkiAqLAzE9C0lb/Ok12UkuVMb6NnOpQwuqs4z0nWOtlXu
U9fF2bXKGqOh3MvZIkC10Uzr3h1wShN1MoQ71A1WdQi9hBllGTy9kMqwX/Y2Npsb2FpA81jfp5sY
zfADKlk4cm5YVud02KB6RcQ8I9DPwlaumraBvogDEZ80eyeetSGH6S5fWNTZFYpvNCTYlaSNz6UC
qokAgvBVFgC1sGJzLDfwTQNugBZXdOxh4YQa8+UsWUpby2EQjE4uvrUOG/3ZNTjx0FexSOyuMh0I
oIvUYxLAVrP0bw6RlAWuiSP7wSJwEfLWC/xQtWnzxaAkehNJNtqryU58aDGCKpI9sE9dS1xU8fUU
F/xGwSwcXHZWPD22jYgpAjaGbT3YaWypc5tcTfsKnRomNOnNsv5sOzgRjl2rGH+RYuth2NqVurSl
/WA4uT0hFmDj9NWxO55coiae9dxVLJxt7bOUDczCyzpkIbFXbDj4u3WPLmVLghyzL+xacyCdOwXC
HA4W1n5Y4EW8cUeH+0+hLnxLYRU+9TMMh6HXJGpaDW2xaRJ5y/rPjzY5DeOXnV3egnS7Tn2Ox3Ko
z9yFlXTLc9Slt0QvLYkB63czQe/Bu7hQBOJwi0r2nDUzj4+LfiWefji4SsFbjrVTnQfIa6xNkneG
t16GYbyMo3G5pcYOoySd+Hgd5BD+pmkSohtUS2kOZYbFb9lKb/RoINg5yR8emeCiAcxhj9P8IDu7
uzJEMOGfSEOSahbqLd+itBOXM7TAJ2PAJjIOdX6Dczj6ZhPsdUahz/XXrPnetzLKhk+1Y8JrBC5Z
AdY0p5thHMAtxunIEy/yMJuP9iTZwhMOFzxRZFfdrZ0Q4LcRnNapwbcej3dMCtlem+RMOzslIoNO
U8HmxNLKQQxlDknMrmH/GIuJd5c4tTs+ExuB8og/FulzjRGUagmVkFTmwEKriDGi7JLtYlwF1sNs
6zefZ0YjSQoZebfZuMC2Q89Tf+HJ8HF5aclHmdUVyFNlGrX6DCtlusOdxIdA7hgPOLFrW+6z3KzO
BZ72mqxrBZGCg2bGecWeblxHNGfUqeDTOWXPo/cqgme2csogFVp8bcGW06veVAWawtiLtjov48xu
HyDLGsaT0RO0etHZrdHezFPAb5LP1CcfFzLYg8eEXMTsLhzQw0wFCkqCNxznsAz0cVfLXPAsWzTv
+kA/st0MgogHUZvQNQDpwe50mVXiI5IntscvA5kaLC+uMgK+Yznoj6JriRhYTaPDHFq6lf2Q9BS6
1z6hSvLzlPu9Tah2wEThR6A/fngU9a5iomsiDDwF1wRASKPHC6MWpKLV0uKiaxN1P50QdeenlhmC
be0UEiB5XRVliR1oiuDObj1MVYSfZhY/CXNGelSNxzvv8ta6SpHbTp/8PmyyX4INkQ2+agZKsMUL
iHu6YP1ZmpXdpxEIwBLUFy3+SsL2i21naVfCoiiP1CIyvybTgqc/ifyr0jGDz2LoOWAv1r03RBMB
r0XVP1LFMbZZp+INA0OtnT6KD04ehBsnDDnTFRTfV5ZDiXJDOUScGWqU40Xlpo2RfIpit1fUZYSE
7lbVuseQkx6rN6dPCv/42inMrwac2FVX6sPpXNITisfJP7MyO/qe45b/NUVOCDWoLa+7XF70Y9vM
2yxvp1tAMdFX4QzlFswb4XQ49O98MoG+IjgodnZpRuHaWxCVm53X3gQRdTEK10DSbNJ4L5M6yh/t
VHEsYUu8gy8EAG6YiLBrqY8PsDevh3wpLoQ79Nt+9PJbpvX6axr08f3g5jejB415z+bX3TVzM63Q
ZpX7AXwtaDOZP46Fq6JdC3eX2FV2BTmS7WNO8uXOd1zEDjRdyMDyYCwmg1M9sOjUn0tR1DGVVVXu
AHdXn2JKLjzaIglW6M2pQUoK+1e1nIiRSYYCzK6nnpOWtkTeu+6ZvaQRZGLbvhJYudxNbApqStPM
dmCjWns4bzgC7/28mfN1iuH94FHO3kXCuk3Dqt6bE4kBLff4Oc1aimaTPchDOYfWQDgQpQYaduE9
3WS5NxSCZkFTd21AhPN3FFnkFe2G5pwJG0JxWc6H0bCCw9JlQKhVi/zNBu7a0G08i0slH4ZkWH6a
Zp6e42ZcztuyRbr9/g7l1WbORaHJfzjyBCSBn3pSmoraR5rXIfibugUcEeYoxB0WoRdmYGoC+8Dj
0J69f1W96/l7I+Z5AuoWAnrMIsSW/70Rc8Ml9uJRBEfOJVRV3YSJoe5s9hjvX+dEAMHuy/OklukH
7PZ+A8f+FOMNcYXvLgAe7WYar+yZLXN2SVWAxiQTxn9+MQ/pH48TVH9wqlOz+IaNiE3g0c9B5VQV
tCdFRWJtJP1HarzXG1l8qsB22IubIPZPhVpNBM/ZmEx5dORsXZU9W2+4MkSg+h3VIa/6yPr1xvUs
ziEWw8SUAPRP5MUWHm1qFYU4LtiInn4vQWXMQZZ2II3XDcm8PN73H+eJ4pB3x82RXcKi4vLyTjfr
M6G+dOY6CmCyZHflGRq8xITKClzCTMZ+ipLNAc4y8GfTSFk+3v8FXg9SH/GfzstB8W/j2/p7kFal
25gTCstj3yecm0dQ65M1Vuf/xVWg9qCuwij8SsKZh/ZI4JmSxwik5hlFSCBUNI8/eJhv3QsHSgqe
qO758E5EVbJzKKcY3EvQQNeUCYwemz7GB5PJG8NEaPQq8hteHsEzfz+xrCmapE4qcbRDbHu4TxgU
lLlBIM9hZ111NTjlD450r+cv5nT9leNvdvjTyY1BSwjnMZfu0ahC+dnqiddazIGtCIibYAtLh0qX
VAtD5P3X9npm0VpYpPYvCSSvvgiaDwklSWEfs56vOwQUct6BLCFTQfof6CXfuEUGB64e9uCaVmj/
/VTJlGi5VGEfpzYu1uRaV+eL6lDOuwwYsN86gY1R85/fH3pETG4It2kQn1x0MJPSiYkEOuYSFlRZ
0L/KTT/ec9D58Et/UQ/+vRygjUMT4qL6Q4P56kuL/ZYo6NiknahonSLJEiM9LTO/g7LRkimMl3sV
zmyTp5F93cheS4HeGqYQ9IxyOVxU4lseUX2zYuzjpAyUeXzjZ8CpP3gsr0c4zU3Hw5CDi5ICjf7O
/rAElIkYk9kIGeEac79OwqT+kk4G6+WQot9dIfz+aK08tZwxEaJM5KtiecZJ8cpTGeXUS0LWuKNB
p7NFZeJwfuimqfvptxZLZlyHerynCbb8Pm++DINAuOJQr71rlE1oXRP1wK/ZJdGYnC1q0O8Plbee
CTMlYwVRr/lKpEyuZbwMPl99sfhsuk1q+lZkOEdF6luyGhuU2+9f8NW3J7X92bV08BP1lVNVdJMo
vemfl+Pg0hVTiGlS0JHUNlnZP7SYvnUx6kaOSYGGqeZ0bPqLDXqnCebjRO/qBuNZcEEHmlOOMGtO
Se/f2atpmjvzEYniI9cr3qkauMgMq0amNx9RWXCwjJKOkcWHyCnx/Qud+i9RHTNd6s2D4OZweJ4M
5NyJk0nW3sgOogXEY3KG69d0pbvsMTSqRZ3X6UAlxI1cKJNjTLZNXnsORqpcL4NVM92R3EOdwBg5
LK2VtcCJ8dr2jJxKSllUvRA5AaLkeI6NddmPWAhvupJu60cGk9fvR1hs7yiYBjgzX22FknL2a69Q
6mjT8N2MRIieF6QK7SNz/o93XZIGHQ/Oo8iOZPx0eesi0+4Qq7fHFhH9gewD7r+pUEEbtuZYlpgU
P1hlTvZALsua5xNyxV/per96S+VSOFbTCvcom8n9JaU9HFuXpK2Xgoj0FFWdZsnFY4Uc8IOPzD4d
IqjhsT9ICb+Ehjo7IS34/WOugwfSJRCV06NlUUla0Jz7Ep38TE6UY6/HKfS/w1LKaPpVylJXdLD4
Ah2Yvmd2B+RoZdskRZh9QRVxeUm3QNWtDxZ9y3S1eIyjlhDmdN/z82+8DhEfP2nE1BUYEThCK8Nn
fSvoQD+1enjlBovBHlGxVR+Hdq7JDJWKQA3iGvq1CjPqfhmFo5D+/ECkgB+NdnYpTANKv2llxe1I
teGqlZ2xnxB73lSzZSx7pCn0M4euRISNpgwGoJma5Vp5og+Ir2jriy6DMw8Hsl7GTTU3CwfoJTmO
fmKt0dQIGLq9FTf06Xs6NB21b3MYq2+6/VzxzVi4ZNZ9beXWz7H1iR1IjZTvhcakLobOqJFvCH7j
zwB+lwr3MyXKfdAGYXwmh4xTUdks/N0FQeLvzSdCPCovQa73NbR0QYuWOZIiquUgfTMtt8JJC9sd
ZLZvTHc1UPn4ximqvLrIIky7t8pRvBAbMw94M6uos7uKrGVypPrOIkHElOgoMC1coJWr0PvUlvo5
KZO7GJ1ULL8cWfbuZdtYuhQ15rxmNB38i9w6mS5wFpf7WqMytpmduhcDTxOZS43KGdhJl007Wc9c
njoIlatuiSmE+8Usne0AGbZY9zIOre/L6JSHZkp7437CZ0PvOltYtQKT7he889whsKUcB9HdWYlB
2l3GcCFjlWpzC5zYG+u1YSTuYRhaImk2eGiM9YLUH1WgzRQulogRVJYDBwnbGxPvwh1IuT3Ek0H3
vpssSLPIAKlp+WiUyAHLOcOu4B1TZYx6c2ofrFKQd+MnYBUv6adL+8pIWtaGl30ANXtG3xJhHT+L
ZUXdjJQClOghhRAfLdxcTc/0z8Mb/3/YO5PlxrFsy/7LGxfC0AN38CYEe1IURbkklyYwueSO9qLv
Lr6+FhSR9SLCqjIr5zmIxixCLooCgXP32XvteWBF/SXBkb3nxVjxZPzejZOEMX1BLTC4av/7x8o1
ubd8tT2NnpX67wXeY1w3DlUZ9GjFCZj2BG3e7Gxu443rcBWR++ZkFtNLxnqwXTRzK237HyrBk7Cd
EnT431czdBW8h461DBI0HKPHlZ79Lo10UWIb5Hk8aRx/JvD/c/D1+PPcHpExRrvyzo7HPmKV6cmU
bku8LO1JioiPqay0hciqbN5YOxxs+pOg/CcPbVHzQgxanDEIAWC7FSQGpreeDAC0ytxzaM7xSzH1
d86UY9RPU+LOfRMm6ieOCy7Z1K9N+0EZFSpwTHUKzcq9McKZXjmsATBhxMgVXCs225yMT3BneS8M
5lkXrdiflhW1vhSVaekqDGeJNq/lTnrMG2pU1ipHlNyioM0+kgRl6Uep6xNSGwp55yOQzT3J5f/s
Sf//WD0sD3na/b/3pAfE9gLD+5/3pEx8yxf9Y0/q/YYf04T54sCEFu5yqP3HntT4jeC8y7SMMGY6
PD3/Z09KLSrRczyafO6WDab3f2A9Fjwx0v1kjoRLBo6GkH9nT8oQxQPyT8caBmJYQCxeQXgs8S7B
d/rzAzRxuYpyo42PUw3TGrMaNZ8OaNkTSjptY2qiL87uQQoit+LoXLJUMDUH3yFZ2MK+2zeGJETs
l7l7nGfPDjf5UM7jquOyfICTK+2dkdLB+ZCJtHmp8ds4wQB5nG7nMCePMZgtVUWj5LaTh2QgVr3U
Z5DoxMnOIqUDbtWOzXyYjbmzV0XKeXnOmfE2w0KHoRqvxJTfhhXcRF+rf4hUeR9feOTOFzi5Zt2i
N6PKuzZQPqb3tRGNtnkWZhevWyHdu9HGoiKHnpoHU9si4MPvUvlAizg9D8ljlabqYYr17oKaKm8L
67vYeFOpYZzzp8hZFY4e+Ss3rW65U0HGjih4wgyq9hEIi6NZNdSJxf4OdGeDfbZMSjrmIGKbbYyL
qOPpb7Alwwtmd575kgvyconV5I8GO6WNiO23aFDVvVMqsQYyaF17M20OQ6lQhA3zGrtzu8br7m00
BXJyqjQWWZ6WX6xivDn62AZOnuNqriYv/sDHWO1s8D1Bwzxx4tmIcdGd6tvQcJZc9RgC7rib25cx
LuhJ6fq5P+vjpjbL8hJWjfyVDq7YDmAw2GCR148IDdw4f344IaxII8TORx0fNSFUuq4wc71wezNW
jScLmsCcIwMHD2Oc9o9pg7hvTWI6Wcz2V1z+2Liz+AczR/zulO7Ig2k65bqj1g4usxWPFZslX6U9
DOUkH/Mmk0GR0edqWhnVgbwjFF5lD02esuubgLIh3LdPMBZR31pzuiiyFuuKGNXGcHilGpPMWh/C
6Nvse3iEcm7WPQ+NUvDHpim04qoyTlZc60el9585/z+PVDt/8AYO7HQRhuLmkSZ58DGkrOYmTEPo
jfN8sTWrC9Jq0HaZPpW0HPTFTTe5onkWdWfaBO2Tys1V1VhU3nHZ35WAnF7ZD5JO1LouPtrshdek
B/IakPFgr+ssG3d9GlIRWfcnTmXtUY/du4EeLsxibrEM9j5VOjzT95SuDNmKPQyIVZ2AQR+C8Hfn
7lnT8i104BvZSH0beid7wCIFwBcGcZ+ylG/utQ4zpGrEWuT2zaj1HEWq+mgrzzvItHxWS8adp+Cb
9Jp8iy2oU4FMzJNjj7iMlt+U+tQi4LalQXR+7vUXuxdguJUI99U4aHejLxCf+ipap7r9ys2wvTcr
OW21tinZWUYONVWt/WxjxCZh5LVrGRL610Djuql29GDErHDDvWLmrTe9J5tdzhCM/e84d8m5k128
qjv2qBDqi7Cl58oVK/IBElxMSrvXWCXbbEynwM7S9kbtUP5Q+U50IPFO5GXO2EELd3qQUz7vii4j
d1ZV9H5lk3tnNwNGSGs8NMoOs/VI7eTDaHfPPd3Le61WzmWkToxawVXZ2qMO+Vuzc7GujcZMryoc
LXlG87nIxv9R1qWzcd1ZfEsBdG9BTvHc95Pwqiw/uYcy+17YlX1wECdXc2K8uxWT4ypu9O6tbfiR
CW9U64Zh5BTlUBGJ23NJ61FO/4ydk4SJ86vitruKKeBZAZjDEuoV6m3uBfupkPszpN3unKhJvQk1
Yd0F61g/1g24cp0OvMgvJCtLnHerQeR9dY1wVBysiiLJXUVpbrXKHbrk2jll4ZcNmOeTogPQUxXi
1qXer6rUxyAyscKNsZ9j9fYpRCQL29Hk7hayDOmnJ7MdERJ2UgIEiauxUSc845ud3KoYtyI3dzKB
U/8c56o17L0aiu4oCz3uebZo9Uem4XdmVkpJYE7xaLr3GbM0fRYlG8as99P5PNmN+4DMWD5aTchH
JBu59A5NNzjfWyNpjvEsKb1j3+r86Lj6k8AAthIHhhZ6Nu6RyrshHPgm7Zd6cywhzB1rFdJxJNIi
2od1d1BEP+/jvM8fiV9Y3qoZCCHSOsuFK+YxfiWl224G05Z7I4nid0QUXaxISkGAiFRnnyOroafW
sysiTfMISGqogEKO1jAMK/J6UHm5tf8qMlsHJWeb4103tC2bcrPWyRyoqVnNoKVhL5MNmRaAQv+i
48t9rxs9eeWZDCAT59wdwGh5Hw6O+LXsAcmm5aF107AevmjYBC5S9w6Ep/OfUlrup1MIh8VlbNU9
C/sh30TEDA9OORwkd1uWNYapmDobX+J54l0ExBH7z/2gnHPutvmnluopQ2hvmnhCqmR8CGvbfeY5
Ijac6+BeK2VqATz1KoR1ZcTRoaHD7iNLEmFzM8JwQtp0WHAJYH+lirVrkrogM01LNq8k2bKLlVcR
En3Y2V5gCjnTOFNnn3ZXZzfgvY95S9VnkFCufsg4QgO6j/mwVoA77+fawj5JzSCQS5Ngo9wohLK7
Ko/HV2dU48/Qj+s31LthW2ipIL0diQjsU620Y2Okw5XwKyZKq220D1tXwM2wTYOvQILa9x4por2n
jdWbiKbCD9Qc9ofK6CyKW5K0VtCeZPpS+wlkUb+0uhvDOgdxbbJqKO9VfuAzh9GyN/VKBcqeasSE
WGwsr9FfMSGE9qZI9GxaG4NGfXBuJ7dQVPoOR6sXFH3PEp4mEVDgVgxT1CEZFliZ6Z3V2NVHI+7c
tVvZ+loNfQtFngtuUQcW1ou9qXVA8iSV6CCLCYGtyLI/GH3brVvHEWdareARe6CS15OXVgfWzxR1
yrxoXrMm7aCaRj0d7xAYyu+ZonZl02HYrTmB1fNP4sTWXaiP1Rpp+ocdxeLJiwv5jmGl3FoxtQpr
bvEh7cKUXWkB+V/uiA5lV4eEUP+dmG3vbeDgCiu+gm1gRs5MZM9S1g9vbOJTFxrWs+himi98aU02
ljF6DIrSLPeYRfnXbMbxtMform5+FtZDMJmx8T4IKLFV4VRvtIJ1D46AXR+kk6m/9jMD5CbSx55r
SW/7FYUxxqeozTrdhNKNtCNbxfA7AcziCY6/226tIp5Ofdur3ZBqGrmGL7sZSJdDGmVXnfLJ73Xh
XSI1UIAkKQjztc3oQ+MqVCegwQr90kPbXkdCenR+UdhzjyFco2Q28nY1/G48Jc1g/wAtZgLSKKvo
mX53DwCOHElgGRqyRGC0iU7aIYoubWfOm5Hk/sFMc0pFbKdbz5WVb3td78+GFm/cvpE/49TsCbr3
rkdynJ3XaqAYZJ25XfMUcTz+4dpluB1KHew1v815Ae7b/V1sTkg0jFlkOUOk5FXSRIQ5o8xOPwEK
DgXcW/5WaXHOrcUa70rS7y95OOXfEkePd3riaJwPwv7cVBPV4QY8vVPWSBFEOjOiHKOjT+KqpQ23
7vd+ImDtwnHLvrdAwBpOyeNA7grFKtxUWJM2dTjPp0V+Po7s7M/8hPnZtJPkI5yTjs6kriMdWQ/b
SCzaTB5ZazObXyq0qz4AmNq8R1btXa261n5SVtz8Ts78j5v4X7iJwWAYyK7/5JT8+R6Xfz0if33F
H0dkwzBow8Ssy7Jk2WDYnIP/OCIbhvebaSHugpkE64Gs/kdBmi2g2er0HrFcwRD0daxuy76L//u/
bAN0NpvqRQ92BAs46985IGPG+OsBGbQde5WvxQp2fzwTf98XG2Hd8xFxL/jdtUMUFlN9KshOkcr1
cUp5Ee4amVmQCsGA549zUjniB4funzEspUfbyywnMErrG6v16SXztOTEMXzC9276SHkVLjGerHMr
OJlQkdLdiB1FfDiicayf9KIOtRWeqtySp0wk7Y7CmzS9eOB0aRiqc3+btHFxkKECLJH2GF+VEa0L
mdtrcHDOFgKEaW4wOj1k9Czy8NbH8IzbF752T3W5cof6aIpm/KRg682WHUUootWpsi69nV4l1Vsj
Mz2wHekSZmzfrSY1+HnJFNAiaXJDnlU87fWqtLf8orQLE3BIPNIbtjEO8SYMGgS1ocGr1Rty2Dp0
KVIMlIzpvRbH5guq8gIFrtZQCqugTWL9pkDS3bq+Rmbv9JfcScTTxPPhfironaxM8TJNvrsZdBWE
1iAf7BRnMmK9eWmkbA493V2BnibJWaLSHxw3Tu6Elr/j6XMYO0lDOqRlT7XMxC4vteFHm3nhQaEs
brPCYCKiNn4zp77x0zJMHx8gR5S9MJOffW82G9JO03fH8MeCpRfOnJq+eeKcuf9mmj1ILy+NeW/K
F5nIl1rjWxd1hWQfjwNEKM3ZWFZRbuDqeYHDNoiCdsyzGMeoEDJWbELlozdPgKrId1WH5Yp8qpF/
t+TkSPkwOmR7qGJ1soo9DxBwOXjrQhsG6m/IRirwI9zlVi7q+s1mDroq1c734RjrQTzb9Tm2TNSc
RJ8cvotV0ijn2TuUH7AaUrOSx5FZ7oxnTZ1jlO47dsswArkBX/HoNduibaePzrfzAlmUU26fadUv
AUSjX6GnGDvppeOZRpNkP+G1OXd0d5aryR2jz5hYapBX5BVB4MI5x9PqnQzKuThCdIuhvVD6ym3E
nK+awmSrUbuD4DxCRJgOTEh8zDsmyfesplpB54lpRvGwpSabtLwmkUhLaYrTIDnsrbrKxlhHAUqz
FSMVyjUvyqvd6tjOqn1CryjkasjM+FdJ1d3G93Ox9+jfOzeO9unODqC5OE5TDLQROnejjSZtt4Cd
LDLvWy/VxQuc22wx9J6qEISG9Ilz5eAJfwyukW9Nqq4+Mh5R+I/kEAfugL1uqfxcNUY3fhelbV1R
h7217vnhtu/IkyNjjOpUjprdBT61jEd2V4xOVIrHGwX+5YodoWSvwrTiuhDxusmCakGs64Y64mD/
G/tnUvQlnI4CLk8awuf3RJSctIo4piOFLwNf8CO5JSLjysxFCwlw5IjZDAqZakjBsIZqk4z+/DRM
OB+HsTa2saOTwhKKXwk+wbvYL5qr69ZoPH7zjYWqexNWv28Ka74few5+5eQdUe6SkSJGczowZ9OF
AxTqCsZH2xicmyfWFL56zNq8upPtYH7D5pq+EYCt15pL1xVO0PHgqyQODwV7Rtppa6pmadixpkq/
o6aFxqlyfIjsujmrtCKeYPr6BYt/EdCKx2wlE7Yzei3WkTXqh7k2Po3RcS+VXRcHE7HlINveXSVG
iw++qEwcs2G0a+DPrjFHfNM87KzwL6zukU4i9VMiAQWz5qk9eyD7wVO1pFvboHSNjTgHxsTJdtg3
q3USciPXzbk7JXE/PRW5joO0KqLA9Qf3Dl1ew6zLjUhAgFyHRKFfrVKP94qTbqBNOahLm5Ui9WKO
+8pDcN5TCcFsgt8Wl3JsBfCC+18pu+6L7STlra1dg1C0XKG76u/RLKNNbeQ5NbXDABe51ZqgYgJ7
NeeoOzcyv7WUCB5xyBSB1TTViXB0d50LSnOw5c5X3UjEfRs3WY3aF87s0d1mJ22Kl8hc++s284d1
78X2z2gpQsMh9dEvTc8Z98x8FWZjvCxxtHOsURtWVs74wpCXBLZRzTe4yWLdWaX7CpqNz4blVkBU
fOL9STaxj+o1blgR2Wgnsd8yzCMr36uTixEWxW7WS+N9xFlHLeH8RNtOGJijMvfO4FYSE10IfCAx
JvSP2T9Ikd9m3TgwPegr0ViGu8l07PDMkY5YE+N5GKsseqH1GUJbT7GDcov4muatKlZaHY3PeuTW
R8FceIz8uELKzUKx575J9LjTzy0b4Ns899cemwO+AggkcCKywOHa+5YqUy6okxUfiWRXCAMIwYyj
WvjaLaNsEQpOU9L3YIVRAHzI3+Nm6LeR3+Ub4CIy0P2Q/FGV7UqICIelSZAGNcLqY0Vwng9UvO0l
tIOo64kzTDkYHT+U5whXPY+icHyPE73aabTan8BaeB+Gl+c/mrbSLk7bsEKVziOwpCdd2cCLRVjT
E2R5yCFslP3e6ze14w1P7JT6Ixnx93ROu0OcQparM1qWB3qb9j1SO7KyFrXHhNqjjZ1E9q2NivI6
L2gScC7OgB7wQDDffAWjMJ6JCTOy04Q4vBhJou3zeXDOsmI/bybOtrTSOsCbQ1mX/Txpo73SoQ9t
cHGFKy8a8m/Cj6pdD/PinuCzEUxthUOjDn/6dGoGbhTHO594FlWobb5vwUOfY9seT5WTRd8Hgfbn
tUO5rmZS8KwZ5l8Aq77FGPEDM0u9xyzkJXRG1gW8PmLIqXU3cFfdVLHxFracrWRpgzGpStYR5IYm
dzrjmLaf8jqjTxTaxwa78bA4BsU2mbLwrenVBMs2ad4o9cEIIzDZEbYYDt6Y9lvUkbfR4L4idGmQ
ZxrAVlOylPfxu9ajbTcKFLeHbnUUQq3ITeWnqTt5JeBjjn1yuNg5/EQYoqS7dS9/SjW3eGSoyk5F
7fOodwzIQsmY+el9WXbGDrh0dYF+sJWuVe38SW9QlkjMFpOj7eLURjWMzehMDoTbjpn2+4iSJZgU
AHiu9L9NBwJPtBT6fbNWaepQVju+tQb3WpgxTrUbR2O+r0YvDTKnMY4lqaSt44/Te++Hfo6iDL0k
zFrXWWV5VBcrV9X22inn6aPI4urNhdyqM+a+y4i4AS/kl+xlvU2p9SoDVWjNQbW6T0on0/bR3FAY
79WZ5MhoZ8VdNZnUl2a2u4EJUMcBDIPPsGtMksczSw6iNfD7BWm5LEvvmXuDLtHzLRrhvNXDiifo
GBrHmfsAtYBMmzG63D60NP2Xj9Fv1bHvWfUdvPDS7TA8LLlZRo9mA7n0wSFeYa1aXdGUFrZLU65J
5pVf9RtE02hvTmG48YoeowetndmxYYMSUPHZrusRIz9I59D7Xsd6I7ZG7y18LP0Bu8JAWk1F6cUY
O+NjqrycQnnENhIfOWWpmbkNixmE26M/hej/YDH8uPxIejnACZNFLuQ3b4pxtRxDx0+yUzf5ovw2
qoF3jYj4pGmoTwWT8iptXGNmpZUb3hAUBHlRHJLMW6s4KtZaF6Yd+Fo1/cSkEX+OglfIjOB852vK
Nw2i0FaZQ3Wgdw/t0RhgHGMrS4794Nd3dcX/XbZu+WrxybMy1Wz5jnDvBH1fgKfMXeI5VbmKqqn4
bELduCuTyT9g4J75BHOYu3i9+20G9oOK47ifdo6rDMvNXJ1gr48bZxbNrZFYRVJXNkdNVvJBH+mq
h6qi6CyMx35v5yjM3A3UmqnPXJc2I4w5thKwTZLt3Sa3yd445kkvWizaOm41dAmA4Xk8sd9T0sKx
zffTiUUBnh/sl5YwOuuRpKLPsTU07Ct6ngU679xtxFAcEE9Tr8QN76MUOP5Kz8X0SOdstB7SiL0o
SzP9TlWRGaRd264bK0fWgynn9qTSK//e5ylMZzRVoOwvWBOuWryAx0mm6bfIz7vXjtGTM1M7XFQx
R4/Smdutv7zZoYzTHRVBnL4cU8J3D4exIZo/Deg7lX5QaVs/hqHUuzXlRqiK9NAesrYpbl2ErhnV
Rv3c4JT4bsCF+V6U0XMoPf1sm2TwiYTrLJDMCrRPIVB5+kE/eUJWjzCS2mIdhlXh3YEEsB+KuH73
5oZ4TzVP9ClpsT4HPuy0BAE2sqGzkMy/z3KVv6Q6ra9+OoY7sq5GFKjeMHcchbon+s7GT/JYVsBq
AYKdjKo1r6jYpg1da+sJbwPrvs6hArOGMtPVSY0mHzvjj5mpj4lfc9pVU07qWnt+RveTyJNbE0Fl
0esZkhMsHXPT+pqxMT1AjRRPJ4d4ntOzEw/JQVrCu0CN4AA7uVxMuvYj98v5CV9J6KxgVPLDsaIp
N7qTqZeMWwVWkGHUgzn15ntNlZRygs2GUzLkt2KZk4hhuYBsQOCxPANgbWIoxAkNSIgiwn2Rhgbp
SmiynD+XQdZwmrNjMVzD2FnYCTP13qoePUgOSSrr72U3+vLeYFtlsdjB+nZXs0HWAVC1sR/0sduy
HUASmT81Vejj1RCUqboxnsWkGDT10mEwnb7No0ZP8krrOPB2115v2fHSAeCZ7HKE1Uzjibek8QGu
RXVMQ3NrlNSa/i9pDy1+FG26sIPdhZpXf8tzOT3/Sf75v0Scvxq9/mQ6IDGB4cCB5s9Uhrrz92hI
VU8jqSVjvERa66w1YcZ0BRKfmORBA44ZRm9YlxFYzaOVOVvNbrZObGx8j/Kvft60ZbfhR92JOQX3
9W+ayn9/ba6pGyCkMez/3T0tjaEudAIPF/aAF69iVgz3yXD55+/A3wyhX98E/Db2RX0xTv/9DXDS
buLQO4yXxKSPg79c1rSFV/7uoP2PJPkvJUl/Cbn/E0my+EzeC/C4v/uADp///V/4dpav+Ydvx/7N
Ew75EAzxSJMev8B/dGz5v+lsrIULcf/Lf/MnVdL4zYOGoOsEx7h8vqDRf6iSlvcbwB7As4t5+svt
8++oklwof1Ulse1QDMifhp8YZc38e89Vj4EkmXEDLvikaQ3nLX93UqB90Hp0GvMwu/N5Uq0Cddpr
A67LyDTObtzIu9kN7Skw6O7ZQKQZPj2kufuZmvI3oafQmSKRATriq+R6KkNk9WIu3qQTWgedhpz7
JhndjrLLxrpDM/TnIEslY21Lscsucf1HjxD6rZn64V4f3mXZIOPjdXnuBtpCCdovNschL0giQ4B7
Rw/EtA1TRM0s/CMAqJPgnrqyOppSNpVbZz9iFgsRcoxc/POw4jalqRJas+uJpUQu+jvGF5p5wYzM
zJsNQYVNXvoeLhdLpLBb/dTa1WJh65EKi89W6g3+hh1aAqu6yCnXyzSivgt+7LXs9PnSt0oPeitv
T5Foxw/OOMWrTYsDq3afhhkG7vpBVSlh8djErJOaJYTrfsvOrApA9urBlPjjZQZPdeUuX4rV6E81
IBY5erR3JdnFt+T0QF3MvK1Ut1Yt2U1vBC6GBT0Yih6cm62woife1ahbQVrDkh9TmyMRTtK/4v5m
HuvS7tFSNCcnbdtu7FFZ+3DGwAsyj7OK02HuTNXcn8CDJeFhpu/nOOBOpUw1gq7GEFR7Z1+XZhE0
GhhjS1b9I01B6MO9AX4TSrDxPaEi4HuncTCoRgc+WSG08zibyGwFXqOSNu/FXj2fcar2L3mmqjpY
8LLnMWzqEyP28AuL8AzMWHVatm4JAt0PdpFvKuSslGpJwSEB/X+4w2HTLD2HffZeLwzdCBqXs4sS
ySPNTMf2LU0BMS04nboCRWFF18IXhbHngZPc4iqzXkzgHg9idvhuuO+bR6NCvezr2D4ZsA/0VdyX
8R53DpW0itpnsxvq/aiM4RbFEuQzFLFXrYiao6VL8RMpymu2ro4AQWAXD/VmrGtxw4s2j2gCUal9
TyPLvcZ2gomDNiGtWAlStB92VVoCHxU95pE+y7VwOMLW0ii+8XvMnpDB4qs3pe1da6j46JHiFRuj
HNFmw8JGB1ORXHO50sBh1frCzyxpxq7570YZ2Xf1YPflhsd8dUl5UCT0FEk+5d+nwkhtUF4R2TPe
nokRifr5IdH5R1kYUYc1VAwqdRGDxKTn5wJjHn5Rs9W6eS9HJNZwAM52U+NgqWMMsH9fj+7V8FO2
6LY3B5aFXwQQl3iccj49m3bq89cw5NBq5CELXa9nZxBklVmiw7XOI/A4aoQVmIagI8oexOyxLzaO
n3OHIL+zwamt2rLNEZKgSYiQok8f8kXQ8Hm5hS0qLznqIX+avhw0eKf09Ool7Yy1xq7wFz3acztK
XDeeWzgX06i1/dg3zzZb/Qct8xek9GLasXDvDFHh3pWLoUcu1p58MflUvVQPGKfMQ79YgMrFDOSr
Nn8YGwth9Q+rULINLZFvvIpfJNWJK5BxCfNdfJGgDvrFdKTjPhrSIwM0f5Kl1bt+MSgJnEruYlly
8C6lKb46sJ8rwzda/pjF4LRYnWJ2YQDEsT8ZixGKzqP2PsEbJRaT1DhbyAiLcSqdjZBTOndr1esv
xWKvChejVaY+m3Y4dTPvYdjpp/TLk2WITN/qbfw0fRm2cG75nsLChZcLpArVBIl50xebV4jfCyfK
vTum6bXDCcbgy7FJnbzFIib18nFILLmSk9cF4+IlgzI5rM0vgxmip7/3Ytqp0dFIFfxuRcOUBpWj
PTZWe+oWv5qiNmlnLh42o1XIizaZ0rUnsvjYRJ6d8ONV8yuHi/ZOQIreuqOBy7234c/gUtIhiiPz
Le45OMA7zSm0nc3yPegYvi/qy3DXlsaw8hcXXq2UuDGCcxBAossfssWv54rm0yvJ6mVJZJxmKeoN
LAPU8MqZqFQZihrjn8/l982DsLwGaUZZ2OIQnBevYORG6gKzGUl4MJqnOaNEVXNQ0UyRPDiNVvOR
wHnYYMTD3IUbEalVPg55GD44i1eRfRTIv1JXa4tfk8AOsc4Wb2M+he/x4nYk2DBezcUBmSxeSHdx
RULtkkFnucd2cUxOPZcOBTgvzuKmBBDPRjCdKC5zeaVm5n2MuB1uviZgpfST2lpqFtuFbPDLbcPi
Mo+bdvFvjp2NlbNZXJ3cY7Rz2iVYPetY1jcnj/N1vThBrcUT6izuUDG18Yf9ZRlFfG8DL+tvXIT5
RZR6foWCyAFpcZsmi+/UMPSrZ7f2enFgHuTiTs19S6y1fnGsjsabMzSs7A0te5SLr9VZHK4dR/Rt
+2V75Xa4WGCRLwM2zMVWfVlknYXzubhmNdymR6cd1b7wk+ngdjwip2x2D1pOj8Dv6cD/zMn/ck6m
Tu2fzsnl+Lch+esL/hiSIX0tlEwm579MyML9DZGSo7K5EBtM4GD/s7e3FmP7EhHG9b4MyET6/piQ
bf03y11mbtCAbOGXr/o3AGAg/P46IZNEpTPDcpnehY7F/avz6U/JMCW7bii8BNprLaeTlraAmTMz
u02Wk33KYpgPdNljKUMgwl6WfTnNvjxn6WI/A8ehXbHkYErDiTRcbasLn7OZj/epXvxrcccG+FB+
GczCgvt/AEoRt5sB7gX/i/esnG586JvKQqtQcIKO2LTyz2HxzQ117z/HU5ni5/sy1nVfJjuyWMsd
gJDP4sBDWs83abzY8twvi16xuPX8xbdXYOCLQFNeUjEN4ERr+4YHEaNfP1Thr25x/0XacJchNWOe
KpL0dV5cgnYYDS9TVJO0UW38S7MsrISwdsFUN5N3rVi8MvIrq+WTHk13JCVptBWNDfhXatpDWaRo
2N4go8ugmZRgftkYIwyCpAZKyz6bcZpR3cgNAwvdiMw9U/i0z92w3ThDGL8ayoqmwPKlvyO6hn0S
/33+CNIkvmdiwHIIgWyfjHm0gxLlHyksH3Z6OVXWepbSfZRxBJyXlpXcWymFNQnDsUmuJ2Zzj+XB
LsWnAvxcYfRvPLbe+YBnGjZDYIZZfezDLN2guQHIxtAONbKexKmZ8UwvYYdipYvKv4AbpicCynJ/
GzxZ7yMVl3vYuC2nEBA/gUhkXgY2/T6PdT52R8PzsTbCt3woRZ53K60q8nsDyVcHKDmn94mrSoCe
7Fm+573OyqG3O588QInYs1CUFlalJxg73bCDUzumm7wtmnvWY3i1pgQPIXszdhnjxLpcT9ru2KXS
ilduPEVXv6t+EWpW/V7v5jpZayQRfwEyze0V3Q75uErsufsoGsaOfYhE/xz2U3oYrKLezEKloNwL
d3gnB8ehYmxwq2GQ2wrNajyOHLW1NUrBwWuizux+7toofa71LJyGh5manTJne4xnfecRRLuNyouv
rOGJbX/y2zVHO4DSn/DeTnaBFn7WaTstkwvt0zK8RC1rWvgAyGp2NyCmji7zl2E+RT7fI2zrNXHE
R7udwLEViEdBZxhDsQ8Lo9rCT5CEQFI3GITpHfHUZluAo5KPN4VMimhdFWUjhE7cY7Zgd97qlaT8
0wi3aZypleZ15iaZRL9qIksC8jH+N3tnsh23sWXRX6kfgBeaQACoYQLZM5NdkqI0waJoEX3f4+tr
Q7JdEqmSyvP3BrbXUwMmEoi4ce85+xz11qEzrWrWaiwEiV3OLh1U82ouhe9Oao3YWM2nnRwr7nsH
GBgJgZh8L7drnkCRVyp8sWKShGF0BlNWn9lQPLcHPauzdYQbBfS/M1x1gKW9Ad3JtjJRYqNamKuj
bKruwCQmu5u0XOTE0ktzK+McDZDT3M4hL2ZSxK+zbTxoCstAaie46QvhwW8mqS2Km4vS6ek5HeCb
YVoLV9FoavfAtlm1bOYEnEtQdKsS9TtDhXAFFssGxEansu+SG4ZDj46oUzeYebGVwtjFbXAnmY+u
s0KLXb9ichZHam+uOH/au3qWjDQTudztYrjgDg89FZn/3iLXkRRZyQxaj/U7iSPRY3lK1hwazD0a
BhBhKLXGVSAaPHPUqWuMk0zX6G9/MFIhnoBNxV6YUNOPRAkcrK61LvRYumM5yHRkkWpYUyhTkEpF
pq+8qDBbaXIkwXytJry9ETRjbIqsjQlt9l0x42vsFCe+GjTFGTlRBuPG12diXXM1c4H6E5sVJdU5
W6A0Vp0tqkT9WZWcaRj04jz0AX2bTtWuUSuoNIS5KbeAcWmZzDgtGEWm3G3diHlRKcKclwh6IPfc
6JG9Y8Qb3ZBj4VWEsP86bmza3aqpEOeSYDpsdXWt2iX5hsLqNnVjZ0+cRuybsA0QAgd8/U8xyi3d
7BjkJmN+rfXEzU5poF5Q5aSvzSTaj5YWiHurGvPbCkTheqLzvEmRv5z6ubX3+CyaZAUODlGSTbyv
i5G+u4+EgcIkbIxno+GRNoxquEJanp9s/Py7ERz+ddOYpLy09DMakGz3gZbBMMsULQIg71CZc1i7
akwaompoxm4fNwkzF5slMw2uNQeuc+QrESqXzrJXSW9byN6NYEmOpFXit+F8UNMSBDItIxqfqf8Q
Mr8LVyCsm0+UfxDIZqWPrvQ+aXaN7lfw+rTxc0YiuTsb5XwxejzdpR9b9QpjHm5Jq2oeGOLrVzNS
pSu0vD2jLqnGPG9VeGfKTrtHf6Zv5iIuvWmosK7IqQ0/lFXZ3Bgz9tKwKWiasTBVO3b08TmE130x
QmE1qw7B3pqZOfMfXWAr5ak8YM+8bbupiTmfG1rbPqmVXIrbiSNMoj5NCvaMHXqYOvogOAvkHFqg
O7ETJSpz2rkImfzlzP7XnYagZjL6MVuX6jj/abe9XAMT5BhcgwEjT0RwwqnrwV8F4dRtBzW7DONI
NFeC1ZqH1N/zVaYeqOD01lg6SWZuHbpAKb0KIu9/DKD/PwMoHU3UqP93H/n4nDfPP9o/v/2Rvytk
8YcJQtFCMQU5xtE1qtS/ta2q/gd0XJ1yl26uIED9f6tkNKZ/942xe+ID1Zb4eEl1hzj2X1TFNKHf
VcUOLTAbHYwJB1bKN2rWimjKNA5Gecx0YKIugZYalnNt4OVwQYOVbYWwEyfDsAI4X/jnIp/YgmsQ
BXQO5pan8j5FfKRkuC4lcyTQkSO0h53t80TTN+2ZzVlVOhMlEiLbtTZZjUVpOLdwuAB5TpjZhSsa
rEHBpm3STF71ompekmC4bUVk4RHR4X+KUFqbFDEUXsMq8Ep9nu4Ve561q7kNI+K80dqgIF9UioBm
tXqJhxq1lNycRkVLb9VN1OzSyu6qGxSpyX1d+c5HiKoGp3Y2XY2XrI/LI6kxWNgxVz4pREAXXAJu
xHoE8hdtS9r5ZIxMebY2isi+Tqpcfqxo1TKuKoZPDIvZcTjTbopuYi7McHXpiuvowQqDJEIkWkq5
TeYs3ceopj7Jxqye9MagXayR5/RSOPZLOk5nW60J3eqTbNrzD//Ud9IgHyZSd2TYaes2Nhx3pC/J
7yFh6LaLyXpw1WkiGncIYC1ShDvwHIj2BaTtk5M7aGa/y5U5u+nwdDwCosUaUE/DFnPudOs0+nRg
Y1w60gC+FXT9SrQL0zj6k+fBvI0TFKXrvtCVa4Qz+FZNWaO0GTXaum1+CeGEbmdi3W7YYi23ZwZM
PWy3+kmYvf5BKdJGrGSlG9eFCDrPKSmXMwsjYR9p8zFlptt7USe6tabnHalGiw4CxfDGGIx5B1x5
RAviV/MnZcpKuImpsmX4O+9FqM8vtKutfYgi5X5WJ//cKVVxVUBzz7ZiJph57GYJs3gz9qLVJaXn
X/+m7yf68KSYy3zbjVRcF9Wq6h3iaA5x2QRDfqC3N6RkOZPdFzsbjLo0VlD5MnId0maY1yq8B/Xl
6zLxn47DbzoOOI0WvPT/vaLehcWfX/5r36TP+Z/fj+f++oN/rauW9oemq7oG+8X5ZoP/Z13ll+Aa
CvWb3X4Z3P3tGWC9hYkD4npZRzHO80t/9x7464SpwixH1/2vwONYA35cYZki2raBn4GfgfEgY3V+
/bu+Q1UHGG4cJv+KRXh0zBHyngqhjdaB7XAk0M2ngUAhph5lxLilfEJBrOzVwTrrwHRJHphD+u6N
yG6dPstvODc+mr7KRK5MK/AVYgDf1i1YGuR+rpgUaxPjb1kR1XMuFwswJkwgH0P9DIL3JIf0BGB3
S8CW77W16bjdACOCozEBG3X02qlddM7AFriVVUKHyYuKzqsNI9fUOUCq87Fw1BupNQaNgOGZABlg
6AlRQQIhdN1Gr03KlCAziJmD53i2jHE7RFbJKYykZ4RbAzMWfzQJS4m6jYBE0k3zjYinoxrwu+oY
mWsYPU9li/aqml/MNjkAHn8pLPlUTc2mSCF91llofMBUuItqW64wadEdb/yZUZd9xm33lPTpswUc
ZkMAz51aJ6flDrQZ2UY4qV/jEn56E7TxxkgJEzKygbyFgPN3P/SXwBju7HyULjslvsTUeRkQ6W61
UOwCZn0EyRT7eeEtKwP5eBhScEJEBz3sdM5B40XiMhtK8RQaZL2M6XNdxc94Ps5WaKAIkXhBBR8I
pvRr0U43IuW7mox2Uzkl3liRHGbRQaZpQ460OtNNveBG6WHtr+BqtStHJ+clShzU9soC7iN4fh0o
y70Ms2csyIhtsC/DECgoarlWKfgNAHpuhka9aXWc4+F81GwE7EhEj6WF3a5PwleDcJY1mRanJBmP
Ol/ODpSJJJ+DT0h0yOPst/4qbSVwAMdQvKThQkQ1cjxzxIxUPj4UE7AjUfmr0BwvGRqWccoHN2cD
9BDDPuc9YFF04C+oao49PBU3DuvonFTWUzSqn+3KuMZIoblUzKjL2h1I7npXjf0FTSmZQWXLg2rs
gozvSFFtpkRt3666bj7KYgqpx/k+QR4aB8fiSRhn5lsVYpFV2aiPeaC9OAZhMxkiolUbpHRo+ktV
dxcxpq8Z421XhV7kddl4MXwywJOoLTepvkAlYBcwFI8i9+t913J5ZqD2RBAjPghhnkv4jhuG1ZwN
+G7C0eJRNCRD0nppDvA4Kho4X12BKuwTt4IVBIUnKq1bvBkFgyf4xQgiTXdy2n5XWVN/wBHe7xsO
WPuxV5TrJJzSdQVC8TpXygmtZtofsrBqXF1JjZdW44TU1/JKs5MSCyrIIeSVDD3K2HPQyHlWMg/P
vlVQ/SDGZRYfI31/BJX7mI2K7LxZNFjBMx18duifRZ58qg0kmcnIYCiUE+eryCvbqV5XYoRCUEsp
Y06yNQ69gnBHaVXnVAlv8oKmCn6Fx0JB09V0prnuO/N5zKf6JQdHzlsZh2twjOi58QiVsyPx5WWd
p0+Ff6O1ZkskHo//HOsvhcYZvqkyDvK96spR1zaMIvjeGPGsOlJtSBXTVG/UhX0tVKvbclhlJJNY
T5Yiz51eDXu/r1+VoT4KmRy+23R+IlF6Uyezijs6czda1JTA5rssaTzIQE+GpNiJXuH831Wt69vj
mcn5iYQ++RuEGjvPjxAWruawoS0pzwA031bljhi6XE5WvqNvW3i5lhx04HcrabCg//pzvYW18bno
i2OfBDS8ZEy8qf8HyxqNGE3sTm+TZ8dnNVyW45gDABowxrJ7/kv9pkJ6Gf87+EKlt+Rs5t/HSr/p
xC/30uCwARyUVJDl3z/uiIGRO6HNWGo3tWa4Npv+Uoy82IohdoOyRNXweekXHeuG1e3XH/drl/87
pdm3azMVQ5KjwUJ/i15F8zvM8WTnuyaroeyTDAyZge4Zy8UxLuJkpzrjy9CMBG4NPaFwPVrSGg3K
qg6nl1By+s7nYxcs0FTDpCYnkoymz5pQp+MgWb4Ba5VuInhWi/iUy3qTmf3dmAWPqhlmnhzFubNx
QI1F4WxNE450gBqOkpnl4def9CePEIcvwA9Mv1RTf8ub1FMMZIUu8l2oQ2kv1BvU1jfZoof8zXU4
lr59VrkQh1ELKiOP0vKEfVffkAlhj/wizyq8kH0DrGzSIrFWUxbhXDqx19jJqaV1dJv2E8g8NYO2
zh4q5uC16lmXl1KFOM9kBeTmiAAQhfzQXUCQnxnZb0Ob5d4so8wNAgxU1aiPT4GpT9ss0EuG2FN0
7NQaJlcyPo412z7GI3FoIxvWhwQsTSbWK0J/+MsJ8WI1frwtOQCvfjE/2kG3oZXN5l0au3DCkoY0
wQ0yBr1GOR7xZgIc7uYb/D6A5XX+bpwcn2p0oK6lUWP9+kb+ZIUx0P9xilPBR7+D88IWLCqQMflu
HnA6UE6MrGxw9ElwGIzdr69Fhf3uO2PuBhTbthixvdU01kimrFRM+c5M+jvRRIes+N2C+fVNevOm
WfQ+kKrxTwed1Y/PRRRWhKarKu0vpydCMBp1osfml2Wlj2aDaN3aP3AWA5yonwffCZHNpwdl9D80
cfzZlliAiGirSVqIDbIN2cRDh9WpnLKTpgWvsxyMNXGOyS41mOHEpjGsOnVurtIIO6hdPtgt/7ck
GHgvpmhy4Q3C2yf1hV5BVXKoo/3NAVrfomBYLFvRK0B9Ar+j5NQT1ZeYweTaMqZAZehFF7108zyM
3F5t74pcD9fCmH/H1P7JG8t3AYIdR5tK/0f/8YYRPNyOxZTlO42pz6oPIb1FtDqJaEz4zGTLYben
LZ5O9jkzZekiGFFpiGbXbcyz7Cf5GkdItxn8hbYltcLrQvVpiJmX2aoF766XZ59EQrfzzXNIpwR1
HCtRWaCxtuLpUdWHl7lBfWpF96NBdYj7PkIPNm6TUH2cKMQIUA7LrZEOW6cc7gLaqau45vkUxH+u
GklWhKOIGLti6mzJAn50yro//frB/clLwp6x/E8zGONqb+7REFRW2g6MfwY79yhxRkyz/DhCRVBf
Br/5RjCev39PbHZhljUNf++7d7ISkCZ0TKS7Wm/ytSabwrP9+OCzUzka389c8EiCcCXWRWeZYhD1
FAXpCc8YoiDY3ijyndKNsh4hkJwZVqQkrgF/xWesXSm9fY11o3FDh2p/zAvDM8rmBUHR3ZhOR4yZ
bMY8ZoGRPPvDUqUO+AgwFFQdw4Kx0F3K1XXfxvYGCtv56/FyFqPhRSa/0amTg1QIoYyBLm1KnyFT
SrNsP9pAH5dDEMb1whvapDjk3XCJUJl72Ko6d6446pnzcKlhx6LzctCH9xfAZDekfhwYEgMmsToP
sdvkLf+BEaNCMrY8kGXXbzRRN+vlNWpG81xYw0UGywHCTBTepxLvb0W1pPrxaawS27NKfjee2CdE
YLxidFyuGAy91G3rDd2COkyjU2RwZiFwlS0jFU9x2GO9EEjUCzJPcUsoiK7mbBlakwKyatv0wKF4
CzOKMVBApGzD2yGH9pRq5qewob2TaOa5b/Bu0gZzl4PRSCDwdqjq4mhT2aeteNLr6Hf7sfzJ602t
A4IAxh9P1MIE/H6fJNkmhgJpZrvGml7ypr9rVPa9nmOWb/JaL/XX16N2wQBy0zpUel/f+TxsNyg7
MT7H/LEqMwi7zeM1oBTPXkhtXtoGMDR1O19DoJx2sPsUDmgJ4KgAZVVFTOkLAWXOqawd6CQB+yII
U+cqZy13Z8s46wprTNxOj71BuaXWBrpVNercMWiZGdlU1jC9dPbDkL6nGweU2ZAFLm3PClrr7V1t
cyR1upRWZXcnzC7agv4b11GdGJie5mMWDpfYz2xmvApDtGJ6kc1cbuqyvbM4HeySSJ57NhEOmd3F
YASzVPOt9ff++p8O2+86bAb7yXer7Ltwv/OX4b92z1mJQrz+8kOL7duf/LvFpv4h8cr90yr7a2xh
6X+YpsXzpdLm+iqA/98Gm/kHUgXNpDMNKoOBBsvr3w02/Q+k6vx2RPMaM8d/B+V4V85QxBhUoGyd
/BQMUH58tYQikbHY1kwUjAkDEkU7mOXg8bub8pNTy7v3d7kIJ0CSKPic7xIN2qJXSlj3865LAPqO
VgNIy1py6xPRrn99qXcHJC4luC2MwlVLfZdjUGT+WKEpnndjj8s4SrH06TqeWA7I8AmRNe4yrQYJ
PZti5dhT8ZvLv7udNk1PmpUWGyJf2lszip7ONiIMvdrF+XDRM+uDHTXerz/h+32cS5jLkZooRo7U
b46dNTJzFPpatTO14TKaxmPjaIXb6cgu1LniKf2nYfyTb464gXf7uMZgjZGbpMJG/7Xs89+dUYyg
EnKET7ETg1ERnptRzxUOQ6vE9DNajOJB+KgxVqQbturKJG07w9ztkKeVgSeqPYbCmIn1ANUBsq1k
j7ISO3df9E7ljmmKl6tpoMKt9Eorh1UWOqsadDAIpsz4jGR9G/RkvucQScEGtKr+OOFadpXJ6TIv
UXLjHFad4xkhKyayoPFxiv36KpLBgNFBt2oy+SosntJMgw8RocQIpWrj1g8K89ps8+ROLu61XuCN
I3wsOHc9YaxBhq22YOC1gjlbYUeY531iB6cuVvqNkWWvwkrviki8yNm+bWu0poOwswOzZxCjGPec
LJZrxeTvzIyYtOlyrrZJZVIQ5ppnNvHwBdtzxU4QXpeTVGgOFoD39axbD8Ugz+PImNxRpH/QA+PR
UjT/EIcRxXeD3ww1N0huxbmMAMC9SQNgMztVcGmlSN3OZr7u9IFnFUtfa/D73Ryl/jqGXXfKGxPH
G8k5PmkzRzNQZbIGqcEYP8A/6+xbO+7GTUTy3qXC14Gz12SmaYPLLsk5VAn/hEu6yce6lg8C992H
MOnRVxUaf48Njv5SaEl/TOsIEZXB5DKqa+jopNCERz+r6lMBZ2Ot51WyyQbGbNAZ45uqoOEaD7m2
7mF0bGDzqI+ioLaZ+mp0wb7o3UdMOBX9MXWi6put4MLhaAbnVmgrX2awWysyhlc0QYnVUmr/yvfD
+racwWxkdXOFst74WM12e4GNk+wgyWgnbTTkLkP3Tya3jKCH5OMWQeBHNDP4JBPC6Tcx3fcdZzvn
VpUBZlGjrE9zoBQ3XTp5OsCyU4BopnIZyqmbeiDGErkRopVIIgPURjPa1o7ojtHSEyL6St5EVrPx
fQMXht9aGDS04FPcJeGeP/Zh7IMDmcKVN5bDbTklDzFuaDLXYqTaaCuPbcMILgrB25DNPdySSaih
B2eqqRFIsUObCeCgbKrjVKgLMzwwi+tsYt/gicbutNA51FvDr6bnRinUJdgwv+qDWDm2gdS3KKow
bqYIwz3848kG0JvlVWrF1YLEKHhfFMVYdHn+xi9DQjEU2/9oU0bRwgucbeD7w3GMgTJaRTe40lHC
LSofn3c/U1a6QDwFqY/oYjNxUP6kw2EGInc1Ooa98WPpPIL0iN0siUijtsJnwzc+ONpMc75t1bsI
lt1O741PFt+rYqfBfVKoGEks7rQRzYdWoAjsfaw2s1BomA994lU2sYFyjk9KU5W3ceWnHoj6P0ny
a+wVAVbTyka6ufcZdq41Rb3FnL7h6BjsYgUyRMHhDF7pIjT0ZfVQa4qVsTwNEDYocWmPFMZz0+Nq
LcJSrptxU5WBcTHN0lkab3W+z62+uelAxjyzbtv7KBtgCmlh6o5gdtZh2PENmTgvzn6atADa/XJ6
KDQ7vWJBmvca8rZVqZsf62Ig7YCOyWoAZQPzx9dJ+g6vYItuQzYAKMsqZ6YgIP0gxRVzbjJ7n/b6
Q5KFsGl8LXcDuz6I2lY80iJxvSeKfQr85IsPO45jSrO2Ol08d6ooP8coDa5L0WTOykx591gS5HU0
ISojDijdy0yvd5BVkScN8/DE3MqAI1cvGVwQoukOSF4g/F9j/OpAV/+gEQBz8a1Z3JKJID0iETVX
S7O4WRGlbWytNGzXcoE1aaMc/8yyiX49lTa3OXeT2ooXCg/tTQdhpFvVKbQ5MQqXsB1zDV44xY5t
CbBbEegddEz9dYY9eYfmg7lbZb0ASwuQ5Dl875Vvxns7tq1L2ozaFoJ+BqxB0IDqJyIrEgHEWDrh
rouK4liMnbkzW9O8loSo70IlCD7Z5joLomkLEpbbj4H7QWPl8nTh2BtuEtomsi1dRqElKEpm4/ei
kms5ZNmHdkrEp7GX4VnWcv7Q5IaHXw97eFzW9bnTynYDkIEnb7LiHaM1BAeSh4zNE2Jpg76rqpON
DPxmz/44wNc1WDOqkVnesdWySQdTkzbdt7riP0X+b4p8jQYbjdl/qqJ3Rf5V0UXNO4vrtz/1V4Fv
239Q3RNJgxaf85YJSf5vbZIjIPLhTaZil5qhUx/+U+QbBlN0CnhH0tq2GFtQe/1V5Ov8hd/aWToY
VdVw/pVWyXhTllKMwril1WwuZlrrXdMymuqhKyKt3pu5b9leHCvancpGerL7qNwUVWwvjWJL/dwo
ln+xQgeGSJb7B6WOYMLXeo+039KuClXm24QQWVfveadXtp0oF7vMGs8KS9Dbhdo6roa75lrLle4L
HS7WejrWj+R4tOsys2kRI6JBIyygRuS61Xt1hdpYC9R62LaZMu+KCn16R8j1b1zib6pm7oAQkh4B
t2HJEHhbmDO3qKk5y3KPQXK8QUjP5jV1Dgka7fK5+Lm/e0R+Uji/OfJ8vR7yMAP1BB18+tI/ls26
gn4+SJJyPyi1QXZt+nmRBhMgxj349ZXeFOjLlSyD6h5hG7kISNt+vNKMtnJecifxYFSNp0PZX8Ky
lS38vugeCorYTmHs3/36oj/5eMR4WiraN2aGAAh+vGis6vgG8ybdk+BC60hZbFoN3hHT60YTEN6/
v5pJfgMZDjYogbdzksCxhyjPYpBX6mAmp7zO5g2mf+T0Xepcfn0t7Y3oZLmfwFm4iMUZfgkd+/Gj
jdCDQkiN0b4KxxQdeuijDa2qjP4luUSrEEzjdVd3yLiahAI7tdpyTZ5j868/M1wHRgwcYxeA4NtJ
H70oa8o6I95XHbu6NzZT47El+BdHggj/zcXeP0NsUxqjLhq1GIneTrzqykmNtpYx0OV5vi3suvFa
hTcYdDBV6tREdNms3Ens31z3/WPENJHWiKNJkq+kuqxb3x0uyYAeokCW8T4fqp4AC77NweiGYZVH
lGO//mLfXEs4Jn8/zW+Vno6pMSX48VoiUpDQhE60J74owKI4WYxE1Ho6BtNgPPz6Wm/W26/XMml7
o1tiHmF+DUD87nPFWSuVWuEZmidGUl7hWxyVI6PXvF9f5223Y/lM2Pjwf7HI8LjqP36mTqZNLYsx
gnhm9rEHCoQPxXCKEoKW5H0YRRmeZezPkGnA5fhrrNjhb+YKb56d5bMyimahI1+Fqvbts9NPWhJV
ZsvP0DfoS7W+0lfBrAQn35iyQxHYpoe8dfrNev42Q3K57JIkDLSF1BcaFG++zj6QQPp9Cx4NQQQf
asBGB3rH07lE1rmlE0uOdKsUIxj3aQws1x+6qd8PMh//xPdV1S8lFq1D4ufYghcJrg9q8eDPsXL7
62/oZz8nmbKUBuQt0z55265JTMMfGFAqnIot+XmaOlHD1UyhEZDZMkj0pXGJCytWLKJHmImcIFdB
tDFy3993SSGOTuv4e0gIxpmmQGNtgGEWMUBsx+q3v/5Z3z+1NlGutNfpW9moUt50llQnxyefDhEk
QJVU8AQOeOLCK/1dj+79mwiqha/MspbW57sI3EjRuSlKE+2Zn823TjTT28mTwjwieTXvf/2Z3i7n
PCeM6Ii2Y3c0wYW8ZQ5PdmM2YoxZzos68QLb7z2cE52L/z7ByFIGbjkO01HrRuujkuXBdizM9jc3
dlEN8CZ+P9JdACioxVVkkXzR9lvISFqXis6b4e+sbqinvZXqLKatMxrlPujK+RbVtPrZDH0Gl8DJ
kBSXYRzw30kNRxFl2LFhIHNwuo5YRQxbHWofDhNuRecfxiRxfac0bHBGAni6m1PDf+0xqj/aUzqf
MEYyEXCqWt5jc0EPk9nmsa9VFlysKfqd2SXyXoalumvpYV+FuZg6D2KxAsxzmG+nwDe6VZqHnLVq
tX1O/Un9PCuUcWjcgY04Y+6/ZrZiErKWVZh9cqyTO0AZoqGREnYMi1F2USMUhDGscgY5zyHxBy95
lxkPw9eh2Oj3iEEakite074Vg5eBZw0BT8XhKTB4s4XJ0qLVffS5C1m8iyYwX4OCgAkwCZSNbu6r
8IOHyEGWQK6L2A5CpRjKrbH50+aou87jyvpoV0Nt3+HH4nnj7Q9od3DiB7df1goRNITHreDWWx9n
XPzemDjByVr+bGMW/BiTCbWwipZxkoWa+uIUxnRin0kfq2oarr/eXp9hGT2uUL0tjSpMIPtx3N37
WiCNg07uyCkJHNp88P3icm19Xa1QHx7rdmaFsrVR+ZQXaNLcQiV+zU1TjY55REtoRT8natxaVUPk
d5H40NUq82c9UPObJalgMUDx9xCDGZ5kC/igqazoc6064JX9up4C+E5OOq+YM5j3dMeNBzvvIQMo
Ovc2M/Tocxpk+kbDEPccm4y8AK01nEr9KJtvzUEZ8d4kJN6ptOVoDSAC9yyhRZ84+7M04Won9EYl
PMVYnsNsyZGyUXwBKgvtNvLmUaOA0bJi3uR9yrNkZe18ousIs9vn6DWt2qafbzNTQRW65IowfW/w
b8V8gGaVxcNM8AQP2BoiQ/kcDoGKLcjm6TUTMd7UPvbfXQcz9oyhX0FJuuhh1EDQpFPS+JDY6dqZ
wabgrRivCyWtNsSsaDvETMW6anx0hEpR35LGHe1Vu86PQ4CtAndq5Em9UU+akc+HrlLlDrKRfwla
a12Iha8i8+Q0cTUXnr91nc3WNolm/BS5P0Lrj42PNsiYFYhZnLcThtakMzxVGWdXZyTkahgmNs5I
85hICLTK3FX90Yn66yjIp0OsOZswxDmK97cAqWog7FMggST0Tmmd8rHo1NQu3MKUXukCAm/QTbWm
+FhbjXGC4XJdk2G3woEwev1kC5cNx9iYVfQgaZuup6bUjyl6MbVLTLds82GbOJnqJjNKznBWJX4D
Ma8iJ7xrwukzyQrPZac061hhiDpJDJY6VKQ9otIn+q8+kgujTN1ppOtIOpH+KTPEYUbCxmw/Oocy
gtog5KXv/WORW8FTiwtlHYppPIRpxgIslhop06ezjAzjBIyjutWY9zOfBo06z/IqsSpiX1ciI9PI
AUhb6UHzBRNtuZu0AnJ27vc+EUSBQXgpskp6w0pgXXVmyg9UpEyUV/2kzw/mTDDhOKTwV5nBOjRT
tOqaQkmE3iBZLxIiqB9q0jIeoA8N91NhUj8UDWzyFVmk0ymB971kWVgbkcB3j7Oo3o9MbPchQwYu
ShV9qgP1jhnQcGcN07Q25q5bL/sPxs+iBGUdlVV207SwYCzetHQvFKxOKz0h16eeqEUSe2QvzGXD
JNmKWIrygWG0z45gBY61K2OOPrg+UIpT5m2cWRXbbugFCvBSz64btX200hm+9ABnTdD5Ji4HhlPs
tZKkiY0Z61hOyybZ5HFi3qgkj2yk1QUf2jgYjkY3ei1N60MMixqsDeDhT0Y8oiozczJf3J51cp87
dXjA7wjIRh/sZjf3GQ9mTO3AESFVbtOpttbZVENGxHqpZviSO5Hbr60Y6b7KXNOZi5nWh3GYnXmr
mpECkgUxCil11GMkAuzKeXbOo1JJcsgatJRFwcCnrawdJ2hn54yajpxG6+ovpW7b63KIp0PVGicr
E+rJ8Wt40MLRroQJ6hvWrQVMJnVuU7/yoarSYebwH4eCNkWtXZQIzrPWps6BLxUoj4nzn00Y/zk8
ePEyzmpzawFu2o8Ernp2AT3RljwCOIvB8viBuR1Qum0klkOSSSLxkAChuglaRP6Zr8V7P670E3cw
Qi3fuxW5o9veNHmwnfwkaR+4fuboN0GV0nysLOPKCeAq1SVhB75ZaV5mD8U2VRn5p3NjP3dL1goL
TeX2zRARe94WNcRkwKXbkMxwkFWDRt++8ck5UUfj3Kl2ca3OYFUhPBQSoaYS5+spUQoBbatPt2mS
Wx/NRNLEKargiG/VLmBUinQ/Kc70peU4fgVFocNPpkBANUqnb1ywWOzpwhlqNy9688yJHXcW1iQO
AFpxSLWp5e1qy9MQZ+lNKc322kbauDOqJnTcyLF3GaqRPSokxBZw0I+ES/unuMMiJYI++5zklQV5
unSqDwKiwgb1dPLqmBlM0NIqiz00G3pJ4PYfrab8lPFXr+uqYPzlmDPMV/wM/bNaihgYk9KQMlGC
X2ZzVZmghTmUyBiYF9DiyFWLeM03Hq2TTH8ZFAcGOTRKKAaO0axzXAsny+mKz5aW94d5jBXPdtgD
q9AgldjEty6Yg9xoat98juuENbtK2TVYBOokaF1kGVViPrRql1vNC4wPG0KzyMfwNVQAObVkmoe8
2G3OMalVXisZ5qcRyeI5GszugRC4/rOoI/tj0DmocRZiGHE/ULpNtj0YGFbm0hHJd4oU00HX4/9h
7zyWI0eyNf1EGIN0ANvQDOpMqswNjEwBrRwO5U9/P7Bvj2UGOaRVrWfRi+6uChCAw/2c//yCgMZS
DI+zQl9sQmDBwmDA5yxrM8IBxtxaU0XFV7M9+xtVtKAa8L+xiSgmh79KMeyqMvOS8OcCIf/ImYEz
3Fyui74XBCzmddKvcFKfDhZkqqMl8TjbkDxbs53NeKsGTmYTKeDZOE+EE8eIBTrEuiyYNcSdNu7S
IjR3YY7XZMOhsHfMRh0bnfY/GnojOgzscyoSCH63Mki/R/aylEGUzMvEb2yyHWw5HYTpRA+zZzvP
ht0Yv23RjxdMMuM7r9IZoSD87ORO4b1VpcPK7j35PULFQTlphkxO03sK42irIoGDWd5+Ec5DHC9x
SJrtNSoiFlUJzbgyVyaG4z40xlXmV3qN/HOHJA5P0opBKWYA5WqiOCGWI8Fms5Lo1OmxkSG79UKz
eskLO6nWBn0y5mUocWax+Bob9q4X4y/S0sI9vbzLXMMOdznWLuu8FEfCeok1SQdrVXr9jrFavGZ8
Z2z8iOVsZpN1Pnslcw8LFxB+OKn7YG/Pbb5ieFLsMdSbvrYCL327Z0idVcNvozEdhpvEYohhsI8p
wO62A806pnIuDsQqc+BMA44Yjez3TaLMl1wxnqfH59ShEDpij+ZiQ5i2zGoVnhNqyi5yCzYjvuEM
rZJpTVMtkE1O16MwLaLkJnHwJHbSZjkEtCYNxq4BChxKwZvJghmpigwVoup+KWnU24bE+b0l0sXv
L/wuZ6PcyblhuNGAHejYPMOqjsBT4zkV7q6OErQmfXiFI9qxNNpvY6mv+zw6Ige/b2R0yZYLYISI
/VxI/Ttr4wdokF98u9o3VNMEURJaYqbLYA+Q0lckynhmt9aIyzahYXn39ZJUYtb2yxRaFFZGzCaf
2GcFVtgbFCy7rG/Op8SHJBuLH+WAabpdgmpjJUVHEI99/6gd/QO+yZnImGJDsySaew7n+NFEFIkB
rwxyZnENJpLzjDNF6uwtvR3a9GkaJtLPVHLhtfdmMPR3bUC6fNKlX30nTg7+GOZr2Q79k2HLYDvh
+HsY6GEu+l4SBkWyA5/5bB49J/WfROdW+7RsBWkDySjP0lYAj8JhpZ3ww2Ta1xg4bIlqyl2Yr0Jf
qMEz5C4ppy+eLcKfOIoQ1WYgfJutVR52gbm3B3t0zlVQkk6C09Uw3RS2XH7PbvPsGeMbMQJcWJE6
i7FiCHewLhuJtossNXjBROHumGRjt5JTDx18p/eNK4UdRbphEp2h2woBTUU30nKSx7OWvc1oOc6j
310k+AC5KiMGD7sVSSlCI7Wxg5q2KGbZ98zTIgJA42WmgTFM9K0n/nwbodnaEWHm4eOmp6uWM+4h
aKP50kBstsYH0tiquRXmVWZ46bBV4Uzb0ftsS2OXOcxwl+7ESqfhV6bt8ToTkA7Iktc7ctbzY5KP
0be4NAC5Y9e3vlidxyjTk3QisR7MF9IphHepkmFpeUMFtSFhME9O70DpUBjC3DeWI8+o7flp+MYG
FoQ06BtvjvXOt3z6q1Go76Io7U0qKf+QpzU3nsQX1BqYLTcE/WqO/DM77zhIOyc6OokHKIAa+5IY
AjCCZVLzer2hcY3tXAt5FgmHmQ25EHvTd8un13+EMBP7CwQQ8bX2s3AP81IfiCZrnrtS0YNN0gYl
CJzxetSUPQbNJrMeXQnUlzxMBNoeUTyq3b0CxaTlMEaZ6mDT5+DGRZk2MKHTJNwbIX8iHEbYtFpV
e1F63WOdKm4gzfhF9hF92wG83BBubj2Vvclbr3KTv3mc5Jn0qukmn6h3Nd7YB533+nJq5lmtJ5P7
gjIR3TUebV87JE299uas3VOq0dv3feHLzZAv9ItUg4oAXrIZ4JpNIBDa+9odvPYsj8yyZP2b2rgI
67h5BvxL92aegSgG+jyUkkmsVYQKSAatP3Fqsa53Kh9H5s9wna7gX3nndaaZkGkP8CrS+fF13Rlp
pXdDxhtwtCoeiA3Wtwk0Dtok/OT5+xK8pYwKdA2bI1ffFv3yTIqeKZvFf+VdTdB/Bx4bIOXaJQTk
0q6sao+PnNp2faUv/TnCSqiAd1zXqUZVxwpQrslvhwTM3xZFJr7GdmiQewyVB+k4eL7fBJup8s2n
0uRfyStXnvnV8v/WiqdlCQj0a8vx58uBH9rOWoYeJFTDfEosD2p6rvJwn3as+8SgvLYIP+CLXBp+
vN2j3xpR8PmQsZoczY9mk1E/AyUy+eY4H+4VStKL0Bqj45BE9XOUmGhdooRPB0oOL9PpmU2OKjpG
jVU/536nzhh4Gw6+u0Nh4t5RRNYXmgPusLIF8FcUw09ZB9FY7cMqtS/oW+Sjgq2CMg+f+WNf85iG
rra/jDmiu9cP1u7y5Gepy+aZKEkuPfXdcCzUHJ0pIFcoYIHRPWuyEmMTRE61/HuhXAiEpM72aK3W
iQWnsFHNj8oMQiysIuy3BrQYpuLtKBXxsU98gVE/hyAWVYhQY1DbuBbzpQMEftmUQ/RNjh4uB1po
67zASfi6cqB6QY3gL1d0Pt6mYjvcw6EC/GAsGmy8ZRWMDdCc13hACrhjoDYMFD3hGPasEl+bL7GZ
NbjuBAZptUnDN11LDxYb3ekOZXL0DV1ctceN0bjTNAS//ajhhkO1rEFpol70vSY6prENryPAARHF
NapfPMdp+wKRDL9QlRC+RoMxPXWED8BuCJhCQUnDKIqzPd4mlBWcjERXXljdUF0huujvUnMMfjaD
G/1O6yk8Dh6JtMRccTK5EDh2s+cTP4ABLUHcYRt9y4TnVatO4v0Ehw2Ae1M0aT1vXyHh/090+JTo
ELhA+v9vosPlc1r9+pPFzFxn+Tf+l+Qg8E9xBERQx2Y+wPpjfvBfJrOFkTfnR4jYw6duBfH/r1OA
/3+QSgH0Q1flyFjYyv/lOLjQH7A8ZAKIWwADAegP/8CP5XSowDSBhpnfYRYFMWlxRvhzlDiHDr6C
88IgiLZzuPXmS1yC/ngan8/0meVB8vAIXGaYQ7aAdXIJRkhLcRjqwxA5xKPCrSP5KBA80v/7zP/F
VZYb/WN2iO3ZhMyfq/jV9874Xk+/lPcJZeDts/r7Rk4oA35au7TuXKLXt755O6ebVr98fBcWZOST
kUcQwHl3GfLYrAxEQCePq8OWIYuHVh48o5I/IC+Z45YNwd5S1+qDF2Fu7pglu2fRc0R3Zr+bOmfa
YrFm7edpGPcpbKkHO9GORSRGl22k8m9J6x68DbUoAUkS+mZNwPnGUYhOLcK5v6akxCcAzH12Ny9Q
mp/52Tn6KuD1GrAgaLCFDjpsza3h0JN2jzEZjDkONAGb2E8uideDA9r29UqkiFqE7CkHzMI/NwMt
mA9hh4dWf04uzdYQ7N+LEMQEGE0MD6ZmXPYTvtHEees+7y96EpbvU2Q1m6RJUBP57Q8BJ5xZY0lw
itEOm87XeK7Y3YWLrcU90m/3dsT9Z2+AWW1rIiIpc/BMK3rL3XV5gKHQ1FiXAR3+lhClibjMafji
+Iof4UC48NHnbmsd2DN4Z2ddQjnlewAcWMd1n9xG2TD+CBWezYN2CNcREWZ3/pBxvVT/GisRPSUN
TI4NSWD6nuGk52ChbP2SckLOyRhN/TZaNO1EyxfqgSxHQvsmodzbYTD5oeUBw+K4rGnT8Q1Qi4v7
7IlN2USKgGtwDnwU8bePsNfCWpJ8GCAb5a/7IjOustj9pTqD8PBZ9T8zPd272v4VYtf5bbLxmHN7
I31SObaL5gzwi6a4hdM3ur+Wihhq+djqQ9aaE7l5DS/Bi7R66E1+r5z4O7LJz49l6HUPqUHmM1Ey
/nkZ9Akn8hhtHU9a+74bF186OzuLK2fYhLKRxB7RBdXIVwGFhIjXIek9kJ1nk0K8COKjB2h/oJni
ArZeCIiZ2o9lkB8yLxtgq+r+K24h/MPk0LAwMFm+LWJyAYh2yY+MtfE3Nup+OzA5vg5CHueqJU9r
U4Llbmz2zis1Ejl4ljGm2eFZgtvOhDl0tO4l1RCOFzHDudT8mlV9Pq1wz/au7cLK9kkcm3vLldFL
hDkoDqK2EV3ZYwjGnCeMtFauVaE/BOi7nhOin+Z4FmssV93j3Mj2ojWW5qbUw5kIG3ETGY6x75rE
ufGtMr4YXY/Am5b6yEcSBuozmExfACDOWqmwse4nTPIwqIpeFBPIVdiMtVo5Rm/s8ZwIfrtZHvwG
3lLrDhvpc4nt7UuC6mAb960LyxGNytboVAgeHC7PI8KUcGPp6WfBrCZbdwMuC0nMrNLC+v1QYgZw
QXaze0fvoLfRHOD05hietUdVLffe6I5PgR0N36vIS27NsjUPA255YuP2E2U9mXYAtaCcP6wcR9CW
HK2r3pnGZ0m+6GXVx+H1RH7THU0AM6Wuo8WcWss7H+14vsFQQO/iRgY3WSqr5znxxls5z9PNlCXq
aupaHCYmymk8Or3zvKELs1pvWOMvJ742sxNsFOSQAxV2MEAitblAiwlrQphtpG6lNv1qhZd87qME
F96G+X+9G6LR/O2mAmJ9UtTJ1xbrrZ+eFt3BGtiESPHs9iwNhpdIcchEaLq9qke88LsGGQqniruF
8tueFyMUaYCkNrnTVHzxisA4ftOLErHJQpzDGCnqI39tfGdbtT7O+dyeMztYtMBR2q4zUREe5JVZ
eBZQMezqDKav76Ii8Ajf3Sl6Caz4YmMvkzzFkkUQ3rQGJaTNDU21NWcpz/7TVSZtMO8iHB4RJPcR
ZgDEQMHpVjyHqdZYqdMl3VSFbF9wHFRsY0N+W+CTSAobubWKXeA70UCarDjfP+CePfzCakzvbFgn
568901inRbAKIFk8d3ltvSi/YuBYULv/7lDeISfB4xzSEA3v0mLZlfCwx6U3gjVSAkZ5/tIFw2js
AnDtIcgpR1nDr4kT2OJY8TKZWS7J7A9kBRRmWPezTe3uFAuwlqvukYjibkPtyz/qSsfYppjZXr62
83YX219AhSl93aR+GNKy3Kuwr/Z05NE21Za5OJcjMGmBMc1pKfbr/hlpmDoLfBHkq7gnhwwBs3nA
YQMdxCyHqxDQmW41wSZTWmGKpHYaaNJIr1oxLZsONdi+TYqohfMRxvJEbwVDecTQl17AJ7etXzBy
fVBVwx9sTkIfyDkTX62pM59eJ7WpuyAzr3ROr4GS7o+C5kU3PZfFUzE6TjqA3y1paGu/Ne6aVEDp
MiZefeBgPFf7wCA9rhw/XzvCfOlWSym88wijXJoU4r7sNh6Wr98I9lSj8sxpjPxhDNNwX1UtOEQr
jK1HjgIzEJCF+BU/Wg47tFDdysjAUkYB2uNYtE51yDgmAVO6ceTsPltlW2yrhgVOegvOQazoNSQu
/Elds/qVcYafMfft7rpc6AcWUnwjoIOjFO/Dr1XGGAeHIDph2VT7QDriSVGQ4qpDqiNhhxXa99fO
z46M6UapXN9qwxx+DVVk3Jd+E4HgqMzaBAg1//OecjVFv2eTP3ZynXEHI9+6Ag8x7qDrs8kQBnck
ChaHN29Kv1V9F9yG9TDtDLP3Hp1+dh8HabiPSIDnK04qsUvaxNjMBEZuwBbAEKOoXrQr8kuNC93W
lpjwEQMzXb0+deUxma+7ILi2l8SDqqo5+LrsnFxMCxsOHOmqXo/rmoW4m7DhP/eZoWyrkHzLclbO
tiGTA7jIdPmI/XA+9vTR11FgxWeM/Bm7vK5lHViwfAwXGSv9xrnGg/4KP69oyxgjht5PhMiKvi+/
NtusPBMgy09hFA17FUGtI5mAw9DULq9fQ1jOuxrEoQUAi0dsudAF0dN72lpgCSgP+TxdsSnMZza5
wte+1JoQNw+/eybe6PTh9ngEg+IOrXEeBXTLw4sCB2diWvzsmiQCY9c7gF9uX4Ihjnq6sfwRXFE2
03XrdxzdflJh1dzWQBOTLv18g2UiAjdkJ+GWs2k4CyVjylXkdgzAFMGD68qv6rseJtquZ8OhBmIg
dI7mTl23wIbAnmKAFQ2AM49Wc2zhkOyg+xI7SFamcdeZJh12UA5UzC62MgXanbUZd3yayiMAT79y
M4MBm422GUAhrKp4MIFat2UDMuWEqfXySoZwSwbc7jiaLyRKAKBMae1gnbVwhpgab1PYoUy54PvI
3PePYnTnbYB9EH7SxBZi3jhAlClDMUzkDMDkWVWdo5FHMQ4hbqgAO4r4L3cuQbD4bYHsXPTKwPiY
f/QG+QLxLrVuo0NHwso+NR19lgURmc5Eji13dO0neFwAfiRXlk7tbt2n5Vd7wh6N2XW11U1i7JVX
k7rueLP9fcYHAJOvqv2KjS1kuTw1zpmY3fTN7OO8xRxizIxfQYulpOVWT07PKKzI5uiC28g3hVmz
c3pxJ3dBIMdtDQyzjyLmRhV1yTnkHwk9rDX9LRViwqCKvFuVzDc2WMSaWM7yB+LrH2B+1xMulDt7
GpGzOVZ7FiQkQvg6vRvrRK8R38QHdqs9D2JYQ0itNjFzfOZgwRPCRbnGkBKBFWZh0SYY0TTlDgMH
M1DM2L2G6CW/4X4r3LKoqmzhsmMzImzIbauSeJ2Tx7IVaQGzs3aGHkvKLPke94N3yHHv1ISDk2dI
MnH9tYEXr5G+QojCtCo5TzLR3FRV3jwZcY6rnj2X32ByMYwbfBhiFjSZTRE0KDWHWZM1G+Z78mD6
g5GQ57gh4869cQOpbzIijr82eD9vYQD4zP8miUuPFmI7IdhaR5KIWXSg2W5oc1pys0iPcWbNAOyq
fQmlLs+J23PAdQsvlJuxxkGOEVE/5fl5V71Q3lvfJlEFl1bYK3MtbbK5hzZD/IS533gT6bk+UzMo
c2Yk3U4FUCLskrRpZhcGwxkpeYubKfJe3MRtx/WAvfu1a6nstvIUUi4kEd+EpL5aTVZiX80o8b/l
ReIfiTisHqPZR8TWEkbwYC4npLCw1jKTIDlMVdWfJ2ngXiZlpx4rhZURLs/jsfDi4Zyw2/yHcjOo
BonFy617Fd0MflP+LDuM9Ak3d58ZptQ2n0jjHy1MXC6kAk4X6AUAO4fKpdftcPWcDeXeO5Vfbpnv
W+DYw5Bc1cb8Kx/84Mmu/Yqhvg5w9in0DrJWts6GcsZuJdGMUhKiiFe9MeFHO0t2sqzIDlkzFKtG
+Cavl9P2ONNVQCN1ND6nwSbuGr3p0vLOKJhLVQoLBHb5FcBNQCokc6vcah6lk+GhgIwvZWrst/3G
ozLe43lX3tV5WV8oXdhnUjLBpZ4v4Uc4zEyboCcSExFdeaBdEsavWZH6uBrxM7d6ETwog/Qq+s5g
TxczYtmSRvegoeqCQ7G4oVTMnifLqe+zNm+fmr6Z/H1jeAyp0givjP1QL1kq5B8R9Wuo6tZ1rLFa
v2KUuRQkt/UINI+D3f+Kx4AZHvAO+sOgOneobH9UDcKxmYSKjTDyK10PBXpkxyj2CsrRmqlQfZEP
zZhAn2zUFVP8+CqjGFplbpF12yDAw0zGAn6axK2d7/8nruiY23OmhaveJzvbiRSpxHXX3+SIKTYu
4gK8ljqHgwtPWqsqo9uuceoXB7s7N+vG77Civmoy6dydD+66MYBc91mr2dkblJh8asVX5OejWsMP
k188syCHPRLQeJLe3OlhIM2YFX8wgtrdJ3j/Xtg5cVgrkkKxfCU95pBldvwCBN0xMzXrlecYMUPn
yb+j1eE8gaH4fQk03TRx+Ij0bjw3G8ve8ys2pPlWfXVT96dfBPJ6qNWMqiUadkMO+YXnNmeXYajH
/SBxHAxxYt+3cUbcrRHyUJzIf/SHxL1Lh1oyVEVRaOOrsRoraqo5EeHOM7y9chL7hh7kgQ05v54a
LY4tFLOVGpXYNkUVPddhrtcFwPjBaJ3sanEMrJjF0sXYkup26rx2HQ9j9aXSHU6UtnFblqVC3zyX
t1FqiBu/NeONyIR9RQy989uK8eavs7HZyj4lc5TIiOvKm5ILjFe8r24DtQkmoyYV5FtW4fKb5N2+
ZLvdDg0ByFpN5m0U9YKsA1jFNaYw+3lwiq+KHXfVT1WzDcPB3KNkvIt77LEm3xRHJ65xcRrl9ySs
/ENGGveaMcV0ZCM1DsSqDheUcj5+l5A2urjNqX/r6nevsiHFtKR5cSD/fusC1cMCIHQ0f6lfNdpW
00fnwRhlG9CSkcXW2Xe9bUzzmlxQL7xKCxnb67pqyfZ1JDnzu7aaNK1ZIhmvz7K4q8qwgoYwh/sk
Xdj8QFh30CB/TRMkQxNbYObRjjyaevzhe3QNXmGXa4oqmqQWRoG2GJ+VaWgt+SAHA2LKke/fI5RA
PJQwarCxQmtLVVhsgDt+dHbKJNecI2gOnK/zOB76STz7tCBTpi88ad5SQwmQM2Aiow+sH25YjOdu
7Tlb0ToAKTkZH3FkHYbQiH4nwvFusNe2b7sp/N1OrvEQ8+nd269GAF5Xt8zH5BRhq4ZZglF59R7L
un5rpy36YxUTgwUp+ROhwlsUFAGf7wnUfKH11rFPTIVNwGogD5gEEKhrAMalTc2abPf04+UnTPM3
yC4JwAiGLEj8qBDFqcjFn7yJOsmXh7mOGdLCk16lpT9ti7gpNh8jvO9dCrkZzo4efhRsfX/j1GYn
yBKfLG4sCeK7CZPMVZwN1qWpPnVaPJWYkCaKsg3ZHr7vIVc8wasJkjZnMm7loZJVf5EXagmkxoE0
YvGu2ngq96QVzP8UJOeituVYDjich37j5KJeGuGfTjjgYc55isQrc0pLIDt6UvcTadKpjGe5Pz5o
Rhg+ckH31IQlZ/PXTWPIQzkneJUUEd4+RhtkZ7kNokmIWHvTzBYIYqGTy76Ypk+uvyDxf4oTXq/v
ENCKEnWZ0Zwg9XPsNmjj4+4QlAYAfMUNina8/3i9LOvh9CKOzcJcdG1IMhaFxB9zjcniuFAhYnKl
gG79MaGKiH0nuipsUx/0TAbM0JMwUuMasvv40u+tH7JdPaS2DG+sZab156VDz52s2HbkApLMcNA8
8i6yBQj2DZPcQrg23mpOVLT9+LLvffqOa1Kb82YJ8WL09edlnS4UtZ9yWb/N8M8th3tSUfQhFqza
EN+4f7FgEQqjrXGx80Fr/PflYtmaFnwgLtcp76612z3N/7RtyVD6ZJd5I6pZFoyzmB/SgbPRnFqf
hlr/77sUuh9/dK9rc476n5NibRokrKKXgO8iAm0+J9ECJmF0+y8W7WIq5AvXQYP65qPxHaXRAmBO
4MfurUcu6WUTs8V+/A7f2+V4hcv4ymTweaquddGk9C6WQf/ZBQYSGWEXzxOBS1nzyft77yt0IQ4s
VqAOI8blT/njA8mnvhrmYmRDHVsU/mP9XQT1949v57NrnGxqqadswUEtD5CoiS+WezcoP1O8LV/T
6YfO+sNlkKXovfHFDcMsGKWt5KGhdr2Me9M+2mRfEFY8pk+JwQ4DRclcUl+GTePA9kPA99mO9vbT
w00eyRWcRdzrWah/P0vXa6AP1iG5YxZJSKpWYk2qTHtRGBnMnyasNv/0uXI9PLkIOffQYp9+ey1t
VTAj+sFYhjx4V8y3fmL5n5QSb9eiwwydBE2gXRui7MkHHsaWIpyzaA/k9fTrrsFTDk3BhZ8xy/j4
dt65EjdBqLyLBxnWqifLJOzSVM9zUB/Y2mAtGd05Mc93jcwePr7OO68JI2HbRDC3VEfusnH/seRF
U+ZOKP0anyJzK4tnXF7WWV4thKtPTKjtt2es89elTsoVMCqxKDeQCg0hwH3lxitypP8T6Yska6j0
/Uy81p5Q8khuWlcFG1PCSRG0rNj+2WqbMf3d2x0wGh5SAOClC+HLC7LmqBzSw+Mx0ZdRQR+IXbgD
WZRpEX2VwsCdjOmjPxTT1Vj3INgzut01MFu2GgU+Nh8/UlJsTj8/TnDmeiYfgLW4YP/9THF/Npyw
6nmmXaIew7Iyr6wh+DILkT6XuifZqMDBBkLVN4nWfecTN83MWpwJdEGpx2TWapscMvF9GdEYKZFA
8y+/NGOAWzfAEna37baDJI7hK8GDkcwceJhjDUdrIEfOwEhnPbm1i1ejHjdKodHjOtkGCM+/wO+N
YJk8jEhlrZNNGI/4KMbThrznIuRp2QZ9I06qL/5C7Pr4wbyz1mz0/DA4OLMo+U/WWoSTKNXHzHPJ
yNEbrNA5461PhziTkOQJPh8PH1/wbcHjYDGGeR8KHhw8TgseNAnDMDZlfQgDPJrAW8ttG0t1IZxG
7bFPUhcJ0Oudi2rxE/fVdz5fqjlTCFSvaE1PP1/cPAcj6UWFenCenwbiAb63zHvuEKpnv/7xTULw
YDcC6+A/p6Ujc1H6zbmvDhgOMxVB0CGBa0mtQ2oiz/DmSoN1x4CdNB0b0P7ji79zn9RVBJOar4lQ
p9JzH89VYKcKR3LSEvbtWN3Fi9Y7yGb5j8sAd9mkLAS8tFf4iv/9UYEBdTHC0eKA5OhxJqRhYwcT
0YeF4/zjZUq5AWEKYhTdxxu9eNPVNR7pfQGvoB83WgC8Otn1OHpiB/D0858+QNd0uDHbcnFgeOOW
GKdFU7lFy215pXNAzlvVzBCZ6XSFk3/maPH2A+RilDaUBh4D7dPjq4Ubkoi+5M4M9y5xjEfkaT+z
ybmDEPhJDbJ8y3+XIFyKtlRwaxwvp37QBHumM6Em+QFZ4tYBKw0xn1r5xaBXelHzFPZn1ej7V8T/
Bxrb8tGdHi9u4wcIkvGYs4ZjHjbP9WzdOTJvYfuKYpX09sU/f3UU3ksCGaYWTHv/XpEebiuob/38
YPT9cS6Gg+vmpKSan1zmbcGIsxaKdYyNMJjAkvzvywyBiXswP30gqHYRhFfuWTNxIn58M2+3Sq5i
LYanWDmINyJ9FDITUaQYb0kHRAukB05p/9uvBBZuioF6oNfOXH+ySy7xc29WybJxwG/HWviN3wHB
lCgAEsCE0EPHPhYhMFzV5NDMQ6b0umKI3c0kmK0QzBFS7mukHxXWw3s1tfFZwRx5R17rnZ699gtE
XNwFmobiYCkL2kWEAC1O3Ic2Jg8oAr1P/vp3XwzGH6w4awlpOnkxUBKSgslGcQCdrrbZHGZHYwLn
/PjFvN1heTHwKoGUQhv640nJWbotx0hcF4dK+cWqroeDmVt3ga8+q1reexVkS8CqxHiCHvbvZeb5
hUOWScVGNDUORJYoOZuEOe0+vpv3diBi/4Dh8E0F7HjzzEx7insjhzyEomXwOaYQAMKp74oX+Pr/
vIqmZ4QmypGxeCSddqho3wUxQXyicx79XJ6dTMVtKaPHj+/qvY+HTEPhQ8l9xxB26kht1rhvHorU
C27y2WLEFnk/GbbUOxl7wY+xwGEHtLD75Kh6b89bTI2pq0HK3jQ9QKdm4rhDfohj+1pVBgqKeNdk
D02mv/IhfnK19xY8bY/NYqezfAOSYYYAhRTp8qGJm3xfCs+/HW1UmR8/zDd+LfgfmawOYiTcJZnj
tOEPexsrQCD3Q9CP5kOamPWOOGj4aJkzFMzm/BGDzgDD3VoN1+1c5Vde4TtkbcDp1IjYGCwTkGq1
aMzRZ8DH6Pvss+7WevfJ42W4fJl4mZ0WPjLqTA+jQU6byWVMoNpnS4UE/jlBd5b6wSPx1M3aJ//3
oqic9CEfh+4sCuvvCYwOLRb15Vi6Z6BI4UrMRrMKE+7j4wf5zrfGTJsS1PcdvAVOD8TC52/AwbM+
jJX+2WhL7cwGMmVUwF+Znz++1juPw3rlGHsLUEvV/ffuYeM+YRKdSGkfWT9NAIdN6ZnP3UyArB/i
+A5Urj6pMN756CyLiR0VDSfWmxJ7kMVMolPN7WXeU5LGuHHA2mGOIfXKQZ1538qx3cDGGA7//F7x
KAsXRIoC8XSndEmcJL2tqw/0aldo/CSodHELGh8vIc4Pc+DFn9S+773Jxc3a9W0MydnKTp6uYNrY
uS0pfCZ2+bNFskhVOep2xPTgUAoa6Y/v8J0zhxukhnI42CgWl7/nD1CA+AE3wZOzxsI7ZnLhynFj
tnW7cWDE/ptLhajfA1IMwflPDoTGd1NVVrRoVlhXN17Rotb0lThPe8v6ZPt6b406fFCLDmFB+k/W
6AAlrtIgA6Qn9Xe4evzyvBZnUt5fGre3AaL2f9wcsYEhuiDGyGZ8cvoBWhOzNrvThOLYGo6fP36R
vdzgOC0+udA7GzOQOj5kRDXiHRcu7/OP99Vo1HpmRAtI/OJjPE37QLd3nywJh984Kej/usbJmgiN
LM/cJU0EQr9FBGLaHLGo8b7YPYb1UYFdbhqbSKNG2eA2lsX39Sh9yELMavtA5oB/PWzIKmXS65IT
bTiWhWEDaujUUZL0QDe5tcN4WlczCq2oMat92UHOorud19Bgo7PEw75emxNiRWtxM8oY33/RYQnZ
qrLw06jLTu7NgXBcGqgpvs4Kk+qwXsTheSqvSblL9oTrzmcFgtGrwUnKy8GQwyHIw7u0zrs1Txhr
bLAiuUogCh4gJxJGO+pmG/WJB1k4Hy9q10lxOcI59uPH+97a5BQnyYzJ4eJS+vcbxPqkxfSXtQlN
+Lmd1HOQNNeuY+B2XiOqHet/8dlRc1PsAd8zEDq5npfMVUvQZXVQLbmM7GOjnZ+NqvqkeH0L+S2O
p7YD8AdG8CZ2AMORxJFTWB0gkd82TSrhDAY/2vyeIfQlhJR179nfY1l90jI5718XlJYnSnN96qMW
NthgNaMHJkK+41MyEX4cSNe4RehiFls4M/Q4rVfiR5AP7aaoIAliasFG3trDmQfL38tG48wxe2Nn
KRerbYihLLhmz7yTCXaYvXjWQKM+QQXEkibehMoSYC++3sRW9BVr424daK9doXx0yXXRyPMy/h6s
HxocoH1STYNC7/E9a3couvjfS+2tk05lWx/vgofW8T57Fe/t6QIDWlxugRmcJbv7zz0iNTsPe3HC
hzAQm5kurebR3OeWGj5ZWe/tRX9c57QwGpqhLGpsrw6BV5gEaYp+XSbJ9uPP5b0DUeDWx1yBeRuu
pH/fjNnaDXljkgiwvg7W8yJZNO3HOk/g1HfzJ6Kzdy8GXknPQnr5m7JXSDajquBbMRJR0onqPW4/
BLTCPnJU+snje28jEMD+nBZI9t4Uv8U8OyKDRXWQmbzFEE2scUp5rAv5S6VwFhLxyZO03lsXy8yb
BhYKgX86p9FdU/B8qdOyqcBNRNv/w96ZbcdtZNv2i0IDQKB9BbJP9hRJkS8YVAcg0PfN198J2eeU
TOmKw+e5XmyPslXITAARO/Zeay795C7NeDToxW9KKeKDWZEXOVWevEu0MD7MEaaGqEyKSzdy051X
mvODgyUIe0YYgaz6853+7cdjQaSNRP/We7swjlPYijSmzBnr6pv0osfYGO4ziY7k/3Cdv+I1EG38
Uhy0g5jjCj3egZNoRTeney1mMW7KvnlnI/1d2bqibWmxrH9x3ryHcvRwcKC9PHR4RuIWietY3Dal
dVKufk0a/cc8895pVPzuAf7pkm8LVrWYGRo9LT+IcdpHffnNMzPE7fapKYd3zhzyd8/vCuKmFw1u
m17SP9/MbnSB609OzjJjzC9dXH2HCWgHoHDcgPZtFKx8gCBnRd4m9eo1EPqqzGwQ/YE2ejJpqpCP
DNWqN3As4GrDZxR3zX20eOB/iywLCDh3d5Mzuo+uxaoJ0IrAuVy002ZJ19ZmaXzXRgM7CzyEqdJe
VNlfIcWpth0lX+IORJzMMtn2UNzvK0TXbPaG9c7T9LtfwVudurQ4eG7fTuezrAKmjz/hsFTLcekW
3e808wnz+Jme6VOXEOf358f3d7d4dWYhlHFotr792SulR3NNMXRIapgDQ9U31e4HnUBGwHX8dtWk
//mKP7QTbwpCFDMGX5DXhWPmmzsdiTljSprlBztfvCAee/vejPUhKORsneMyyx7hocEhMFFO/rAL
uDEohrxfgFMh6duLEbTeOz/Db353io3VAg0cnuPEm4OSZ88uHBSZHUBHmtu4me3LIqZsnFXZPing
0Qd0kZ/f+SF+08RElQB4d121nV/OvtFkLVU48Ea3S4iUVUbmDkGq3LVh0+5hLkufJwXlpAUGMWri
YGYmg/PCfA9FLH+zVq6+cOQYMLMZtBn/fPc0pBF23iU5vmUFRuWHryGRoC/QVhfWmV/GOXYKNTIW
KyhlGU1kXeTMUeGJDDejHLXdPIfgJn7w5btF+0RZTN7FyCOFYyrdIeqz9kjyv82IsVmyh61prwnJ
UhDfLIruENu1QwRz72zc6GyUqbxPZTFd89piQpt5EZ5it/dOmeY8a0DB3jmY/+77MwHDg+6sE/q3
jSPabYqIQsn3z9LpHkwpWlR7Sp4SXcS7P9/0310K4TVaA9zobBtvChCGTvDI120JCGlMNom7uvmm
Kj15MTlHf77Wj/v29k1bu7+S0yvb4NvjfyHsjKT7hMPBAIzH7xgYY/ZaTH1P9vEAYzXTzzrZMzfd
ZIxXhiGiW6MTcEtkVu2rApzLjw/0X3zDO/gGyQGGFed/UQK/5FQ8zSW3IfoZ4PD3n/kb4EA/DuIC
M2mbjpXGMsUr+jfAgYbLCmPAqrb2ViGZ/gfgYH1YB4Rrh4R1dm2V/AfgoH1A8MIZR+OpZw7Fo/Mv
AA5vSnc0gTDoae3SrqCN4P1YX35qI4T9qCdWWI9Xff41ArkfZ+8slW+W518usO5iP12gmRBtVBMX
cBUUNRfei/cKJTNh+8i//vTD3/z1dvwc0/0W96wRxuCS/7a+NKgLfxHIzXqrs+JihldWhl28okRA
GmkTzeAaaW29tGqK3C9xGbqdttcqoxVLUBK0mxQnRn51lH8t69J1ouuoN2NWnH0IV3RP+HZPEaG5
SX7RNyZ2+bNms8dnJKiFzUcXT+zZxlIefpzrbqeMxDpxqOO4R6J2AqorrOkyweMBWycb8uONwRa0
TsYBXBVejhwl+T0iiWhoMDkWg1Nu+BAQ5PGrGtgFeuPU6FXyME9ZD+6o7h00XSjWdjnJXTI/Ox0x
ARaG0SsXye74Qt6U7acCGq3vdkYToFox5bUpnGo5q86Lxf0IssgstlhsQk9UQIYVbkgygprk71nF
f1eNd1aNVRpBM+3/v2pcYjh6/RL3oPe69ue14+8/+T/wF+8DRQ1RDQxLJa/8z/AX+YFAbEnv3bVQ
nPPY/2fxMD5w2GDj4I/RgecM+5/FQ//AosKRlj6vvWpy7X+zePy6I67SDGYhOumLfLo3xYcnCdJL
K1Ed3CT7HpdEk2GACX3elfdq3d9dyWCcwOQFPegvvbKsQDoG0ZorGfg8MZy9VEU5+WMY9+/0VX93
Ja7BjIfOO5re9d//tF5FnQgJbYBx3I1pD1RKu26HXNElWt4ppn9zIZSSCFzXskX75RA+sIMTQbgA
U27T72mWfg9F8l3x95+eq98tinzefxYSOpch6X5tx9F0f3OPUJKhSLOm6kBH0dt6bl37a25NkE5E
5v77S9k6tQpaHfaltyOEqNJyEw9mBaknby4mKNfwJAz3oinUO19q3TTefimb/jqdIMko9G0vyBkA
k3feWB3iEdqc3c93czQ9Yt99rAY4aH/+WusB4peLSQbkiLpsz3urQgJWWfJultXBq1voXJiADwq+
oV+K5BUAPkxY+AK+PkPX+POFf/eEoDRAlvzjsPX21tlN2RtZXFSHqk7K+x4PEJRcHPmoaaX/50u9
KQNYJGgK07VlVeDkylv9z6d+6VU/I5Wr0LWADoItPW+VoYX3f77Kb7/QT1dZT1U/vVsuB5hB9BlX
8SZIEc30OOTkWxfN/+2n++lKb576kfCecii4Upz188ae1OsChJ507ndfL+3XL0Xt5ro8GWTgonBc
n9WfvlQZ5pabk3NLpW6Um0obBMkBVTfdLGY+b71QKze61+g7gCTWQWvIMFeZ9LayNovTUCMQCMYS
r5CLRiJoygKLV5zkcMpDeVyBWLveSb/PVI/HaNGHy8oBDA6rurV9wytrv6z4T+Y4zLdaSoh6z45x
cKY6v50bz3hKHaM8WqEKX4Z8mDdjPlkHUgKxhc9w8kbF85w6E4yddu5F7gMCdzdDHZnHrkPe0qdZ
seUAWdxjKjdPOF/HL3XIKq93Np8de+7trMzyDJB8UEHsuHG5nc1M+6yw9DO05/MIjjavpAOXm3To
yDzzouo6MpZy01G/0SKSYah8nTwpHEWyA9SL6X9XaxgoVA0KTxDgEeQa325ZA9MB0XeB0xVGEDos
LnGU4MbGgonbfyKCHCAlCGiGLSR7DsmeoXB51jWAwG6O4931iKxwMnrGUTxY5ynS1UvkltmjPabI
GFtZPdfELj6FfPfKd8ACPFe52S98poEASajIxIZLOfOuT5R7CTb+JntsR5gnEAzzWyCI3UvIT4PX
u66u7V5913TuaY/n8YkQtu9TO4b3nb2Ux3FdGuO2Lc9zxol512T4gHi3vSwGa2NPd2jLzSMreheQ
0ZHshyiTPmVAsnJq+gJiIBJ83+yj5CqSlQcyNSq+2/C0ruDy8yP2GWMHQ4yu6/947LMWyhBYG/eC
VIBimyb8CMy3QCSZUH5z8jQ/ugsWYJxBSfriASQAETwCJbdilWN9JPMHGkVjZ/ukMLTqUu+HytvY
cTh8isNKeFtDH1oXxTJZDL6tFc0FFq7lycXsR2Rumn83HAIV+I7zFo8zGZaaWx9MkKyPJQaejxIs
mgrwHa5pvaaFkQ1N2IBdfMq9iwZpEtMXg1vQhVMK0Z/0mNLHRS+Y+xNm2hISuqlMgKLBYLLFLZAW
MLRWqycXd2j8iEYmGhhIFurVo0m4g3w4XKJJ14mO9eCxt0M43Y2NN3xamiXdY2LoGCKKxkh2CtfS
sl1IUK79po3G3oeRq39GktZ+NRbeLVOEs77JRqt9GIgke44UQE5nzlhDp5IP2/RCnkjISmYoEED3
9ZQ7YcVR+lJHRnGaQngCzdQahHCq74ZLzH2oE1vCBwHji5l7I+a2HjdxTqolvJVp20fZar7nDvWS
rQ+/RRbEbgOvkniXezU0OPLjaoq/FZVnHYrUhn9sx4CHTb3/VLXzsGe6CMbC63kQFnDw2F0T2L/M
v2qB458T1B6Yxreub5xN3E73pD4ciBL/3MdzcsoL29j2IdBotkLnNu55KfWCj6Xp2XA5dI23jVLe
c2QhJJpXTvrkwlE94/fcQdDPgmiZqi7Ix5T04DThdCS7jIeaVXG6ibNq3hS98q4lReWuFrz16Rr9
O5Bs48sWyNrSsLoBxx72+rrvVibf28jVa9IK99pFE/KaTaBa5NDptH9H/aMyQ3maep4odP/hS09C
aaBlc7kZGEpvrXbhNcqhP6OjWh1VooF6jCdfBDFkt1vdbmrf1LJXy2KhbBrWD6A0zu2SwOwxSHjZ
hA7BI5i5e/cW5kZzoY946fAq8hhCkK9JEcj7jSJmKsiNvtzYI5duyrI5JNiIA/xP4xdyV49VkRU4
/1tYBciUt02SXcsKXkI8AqyK27y6buu1ri6N8pxxFmQlr+Me5qpuMork10lCj/geu9fJxGPVJZLm
uUtd/Zs2sloN6zNiaYt+lYZdcqWsKdoNpBOyxlFJ+EJ0FiA4a9cCICIivDECSy6siF05BcNilw/J
xC+0OGEBC99pAhOEGOLQjpU705oGmaVdfByqKIRZWhTEefX5bduz9oiI1WP0eOnTgSC/wSv7nSR/
w4+KIbmSoaF99vS+Ow+CTBTyf6/dtM0Ora0NexUzJ8i9SFx2TXItCXH7JJRqr+cp7i5DtTxBMxmf
3HR2N+6MCt1cdOuwEGq1LeI6v8bVGd5k6bNTQ8dIZPydaG4sZF3ywPv82AwagHiEwzDNclIBNMnc
fW7h35eE9rC4fxZWSbqLw6a3NpWPIokJHCpYeZuCFUfLXR3Iqg7/eOGWVn8tsgCK6L9zD3acvQDx
22D+2LeLgMP61B8YOJjNviBp3dDjavS7H/nr848sdsUhr+YRUWS0k8qZrsF8Gmj4ylmFDDgz12ju
hbzaStJTJRy+I/M9HMl/r3Ljoc2N/DTWktg3p9PIiXf7+iTXqNr+r9ja8K8Q23k04Dqz+WQN61/u
jOFdbYw41qEvQ3oxkyGPT6PyJLQZ+GSDezIHgL4kfvfSkQG1ON1lf8E59L2dVQzfa0jzb5WFBkpP
Iuc4uU6lw6iHZUR1Y2nk/Eys67O79i6hhnXdTWE7QEKUCZMnaN1IMRWIG3MDF1Efctae9sVNtbQL
IOjej0pOoDN0ssDX4tpM/MqZh1ORqXQD7Pqz6fYEsygFD1TmvmnR7zVs3i8WjuHWspRYQ4QEGSxO
jjvSNOY976kh/VKBIusztzsYNSrUqQ5f09hK4WMaKSQ0JkjgswBjA0++6tmjdX+KoF0WptGLgKyZ
5YrXNfoSZQ6Sz1RvhZ85sLhVJsQxmSzN3TlRzvpm2izfZkR1wmmJgPoRF721qfjCh5TWbh64s/Ve
ltyvbWNiazn7axqJZ4bEX/DPYrRd4An2rZYdAMez3hjjcIlrDai521AnAA9Mrmbmu4QELNQVqQdt
kxfeOtNBjxK4I+8d1N50/xhJ8HnoECBWxYLwi5DdiWD2If3MDk2uQ4YkdStlTR0dgn+z/i6c2eb+
fMT45WQItZA+K1fSqcdp17/5AczByqOxykD2U4QV4O3YoNiOiyIuz8IEX/Pn6/06S18v6BBy59Kl
xbX+5uRUNBQ4pp2uHhWogiu9ptwkLWlsG9Xkr4QhetuUBK1r23LHmx/bDvF7CEdiY9R3sU6gGEhW
6xVO07CfwOK9c7D7dUDE56O5i17VwZv0y6G8wgGFdb4nXTvPzVM/tPn3UgII8cdubEnWIOYIuR/s
coYZSu+uBptaU0/5xJVOoU3m+CulTHFyjdrdzAYnzzapClJK5t46m4CKLgpkCxep3XoE0NRJ5Xd9
aB2i1RskAWeWW9PJw3sco+artJky+R5/2btCd27nkN6FH9LZfNSSRL382BWLAj95MC6p8d6k8FcD
9fpbUFGiCrctsgHfPBxRD6SD3Ss9dIjVoJe0pU/IBhF20vxUk1OA6Ye8CFfFxs4CxB7gG/u3insM
3EzIMT5wS3hM33wC9F6jzQA6OXict/eWiMpzZY7vLQO/dCy4Co0KTFrYPJFDvTmS9kk/hHZRJgfb
pHi2Ed/jsLCJ4jE8zhl2CoNsVhweQJ4Pn/78Phjr8/6PbolHiSLX/g9i2V9NrOSSmsh0RyQk7RiF
h8wsvQsRht5L3lMaExpizdeesLxHAg8fU2+uCU6xxm03D/Bmu7KIk3W9bTq/JsxEbqOuopw00+ZA
/e1dqLJov9bhmn4hQtS3f3Vc/tuvfq9fjZpd/nSjf5ly3XwrIHRmw2uRvP6jXf3XH/y7Xe2YHxiX
0XZmIM2CyD/976jL1T5Y6xOBEo0m2jqk+bldzf9k49Vgx2INtZDH/B3ILr0PjHXxBRCByYuzNvr+
xayL8fzbhxNjKB7N1Z/msBS+7RtmuWwJItDmg+UU6Ux9RDw7I5hRXhn0KGiPGkqXQU7CXL4DfVRT
rLVQU801AmW3IC6nzZFpjFnrtmMzj2kWCr/FELlpPEhuXUgyjz2f81nXNmbST7q/EPtJxJBoifHT
Z0odOwPYL2RLLIyDc4FxUAzyZNuoeNkL3Sgfkas2J2I1gPKxc6INXJaH0BAy8c3MibeNp1WKDJO8
vo9SNp+DVnuszDqlOU4QaRO/ppcU9yWz8tHXKo/Quh76Th8XhwRM3jeh69GXkfTXy4k/88maifIj
ksczL+I8W7sxTquRFikJOIHbFRnbUozWjedG2ZmJlbpOSkrwYWzFXqcQB0BIcpmPLYMW1himhI/C
owFbnUaw6TgwiwaOVJbnnIu8KiQSMLPkA5neMtCFk66QvVg7FaxR2wKRw8GAQbo1PH55iFf6ibi6
/KYjphW87ZLfaktW3ii0xddx6JoGWqG0ONEGBAXtkleZjrGzo2tM6ljj5peFQzG9nR0bkliTViRW
FZb2hCK3uyBq6VNrRd09niQi0Fz478AfhIqYGfZuui8aIHRTlhogs6S7z0mBWQ9DYXhp0uTYzFJL
Azywy6VlDe2dYwNMpBMVWicpgAW35Mxs4VfcOcMNVO9i045mTc6admP2PThDAjLklS7a/lmfq+ih
yeV0PbTKCrzchsPM0dDKU+E7MYhxtBTZycua8MIjZPnW0jrzMjWNp2Q0oaeXWkrcVT/vijoK79mS
660tLJRz4Gu1Uu+CNFXqLuxr7boXrbMJQYsdI7vcp0q6sFfHMYBgRqdnYcpNjEkZHpQXWiRn5cS/
jeMXnRHhrjRRtftIefQ7HvLIJ/2tPraLnvtL5smt7lpETYIL2diFdVvytAWIdc6oE+L1dG1vYAV+
ot60fFRiYhezQxOn5vIpmUwEUR9Ro/V6csqGWHxCeBQdqyyu7yyw8JezaXknx23rDcTBGbTuNASY
E+IrOdQ8Nzy2I+242dhXNEH9nu1jozQzTIPK7q0tmcvT3Tx2lj9EiVlGe5uebKQ/uGE2JTuwtSMZ
n5a+mDbH9DGOYvduhB0FWpwoPre/NwwmqvcWR1LL9K06jfVH3eRZ2GqWSuDUa85t58Zh/DSZCxPb
Hq+y3BUekwE/sxNYnjoHXQ+Y55MHS0wDh0mcbtCEMm62pl4K6xOmx0Idx9Kg55iVi+LbKLirxb4p
EarfD9hAx/suTXoi6KJIKHmVSm1QzyCOm6XYLANhggtwfFpI2KC8ZTO0xsTKBlQtes45l9H0JkCF
+yPKnMdzLGdtO1F3kylG5hJf38VNGW0yVRDrWOeyS6PD3LnmM0e/sfvipJ6e2s/8Rl4/gMTvylPS
FdIiLzNMITD48OvTo9JK4gb8WIO8+LFIe5vssBo2UICw3gh5sfRp+2P7+e9O/d5OzZmOrfMPk+Wk
KL61ZffPbfqvP/X3Nu16H0wkJ8yUEXwwPmMI/D+KFM/5MR/GNYnHirGu/dM27X3Aq0NlB5cLbxkV
3v9u06b8sCLCrB8ENIyrCFn+xTaNp4qr/FxEAo9xUD05yKH5gJjW3xyqJIVpjgZfOxeaKOO6h1ds
i82kkxufdPpUbVNiR0p/loSj7ggs0iHTVZ0EmJc58FaXpPArUMOXE30Dr2S0QMdoWjLTfNQ5waeb
sdU/R64RPeQTcooksq2nwTS7SxiF3c2C9i3cJaXC01XS7yM0mX8JRnTyqr1QMX7pThVnR00LXV7C
BZpOfhajGc5nra0nl5O/0V0MyjOLB5mGvXPRwlDWSFywx55ORS7XqAVgCcS7TlAkWRc8cvqWuYU8
kLbzRjaaZJwi+2dammM8+T1B3ZepTKzFp6HlVLuUe3uPyjO3A2nQdkdpGCYPejzTW4ux/gUNSaP2
0UTz9xWdbX1vm71xbJ0u3huTgupPUw4OfxK0Wp3gyR0MY49whfQOmd7YygnVgf9EXs50TfNNN8kE
MDmeHZ/2vNx2unidSIH2XU3l47FpHREsBRsBKhaPbdKFoLnETm1tF05bd7qWWZeDZ01bvesd/dh7
Xl2eu8ULH6mOnPtqTXhuutlwjwwCpdiotrKyNZa+rQOgturTMDYx7iGD5EZOufwGnNJqKI8n2ysz
8gsdfss+h2xmEIus+ek8j2cy7yI3EFEVb53EXu7qIjITbR+Cjj+kuo1Bo0GRa3QjQlEC10hdmgkK
NsNa7dw5DA8m0cifqkXObHLohD56mZOZfhfRuziYRDBnjxgC++IhwnVG0mNPf2gSW8CJXtvujV7N
WnuMI6uAWKMyK9Ffo5bwQ+4cVGQLN8o2b83AqCvzChb6uJ20kFkWo4ljMiwwTUObFDHiVdO0pOhM
LEIvzbLOA4idHVOFrnX9FTkD/9Myxm0GDxTgC2HNhXA+ppO1yS2DiPvmkn0WvOi4EJ9ertHENfYb
0MITCTBOWuwKO20fhIhvJ1o4fsNldvToyREZ5mddG4kOcJJwFw7zvQZ6lbAJbB2LXauLOhfasbLM
dNeFtXHyUIL6KQ28bSsoPnPy0k9mn5W70S2Ts8jm5ajVvJoG5e8DIPyXgi0mqPXI8cltELRm1bAj
pbrrThhZ1LFNxs9N2WSnhvCSM6CnnkTqHFpRNe8h6QetWfU7k+DvNBX1JslFEUS18AT9QhUD9o6/
WUv9iakgYWJhWSHf0BYaD03qBihmxg3H7+gC3igmkgSLT413uksE+HwOBP5gWGFgNki4+PTqrKxZ
kMo+ddURbGH/rVoHFS4IXxp98XgAAM4QlXM2SXXdoaxrurfWfS2zO6JHLhY9ZJ7Sa2tWycfEhtur
tRQ00XhH0uexWEgddLV5Gyl+/QjqjzuYD21d7915ulRARH2PsL1dU2XEIIQLCt7QfLRpz68A13aj
59m3zNQaqNwjIRIAo+8TgUmj1vXA6yi8685iEUzcS3ONFVA5oDj6dbqP8cW8JbCg2OZTUwSON4w8
WxWace6HDW8pJ3I49vqD22RfFgftaQ3m7wR4HJJRAy0Rco+6ir1OHTilE+TtJPptFNe3A4Be4fKl
lrK4msikfM3W1SztQ4dSQ7XiXFWGeZcYtX0qqy4OuGHNrsJqQrM+/kSqD1WGMX2n9CUt3mnpEyd1
5gMvwBIoQu9E30RuW5b12w50NRmQtndMlXMX2s3tOHQaGHeHdGMlRicgTKB7Yl3pN8bghINfyU5d
KYOEhLpLu73GjdppZd1fWZEV38lp8i6bSbtbGtGRxgCgOyIzXnk9Y4ecCrsmHkNVDjCT9q6F18gv
RLh1r6mdksTiWQArXmMzoUKL2R1qcEupDp1HdR8zBnE7I1/C+zEdLytRN8EEFfvBEerBijyqRTG8
tov3yY6Mo9FbpEbrfYUxMZt8GoW7lmjR0lZ7zqckxanavDL0qN6PbvOlACq8Ja6yPeC++FjBJuEB
Tuli53E2nK161K5iXd71XnWRtfGjnYIlN7KF6FVz9llpOS94L+RKt4E0rSBd19JKuDduK/dtoqa7
iVvHnGHAhMwy6r6kYaR/yuATbhrp8KoJk0mfMxCOOJCumlKrG93OGmrj3NjK9euhIroEF3wcpHPm
7hmFLMe47A74AU5DEqb7LtOSIEKICG1bkCOaZsESenSsaZjjxQQE+AW+fceCTSPzal408zbOTeEv
TlNfZv2aZD4OJJ8oK/4MJMUMRqO/mJKaPWHMHnRzOBSEMXjDwsaqPGbVTXdPTtMVDb/8y8ABmvr8
k+Iouh34Psx3yzTAcZGch1keSV3WdyaHTSOISAe5muDCD8xeyNrtl1g/W4kV7WYhZ7/tI/lMnHpF
vJYO4V00RHls3ZSVachlcROJgaFA2cR20LGvVQl2OaLu1QaRcLUr+qq/MKIiDBLDQGnUawmx6eIh
FuO6PY/RprQ9X7jW1YiU7FEwMLzWomoA4jVnJq37eVH9XaGEe/TadDlNg3wwJ636zCECIH6YE1a0
I1VFrgkpOvZn0yzn4cA+a2yHzvuSi+FGjx3GNObY3bVWcTMWQgR1Csd5Bs2MWuypbWTDTN4uT/Vi
P7kthqIpIcFF6N1W5+uROZnVLyyv5mFkYPOqFr3ZjhifjoDajK0qh3hvcyzyXTj3QZ6afNl2eF7T
17dEO4pL+NHpIyqLkYNo637nABdtOPcYvhXL7BVh7nzPyBJxa+8+y9SqgtzNnUeHpsZGkDEdoDJQ
H4uIPOlp1FYbBjYHKdGeTOb6EnHDlC8nme4IomRB9vh4UdPm21x9rZr086wJ587ziuFJtgOc9z6+
QpdhMXtjy3ZUpTOySXDJB0vVmH6lNdmZeUt5UH1PuG9bRJe6kR26lMOnsJxq2/deeUfmaw0j2437
W8DZ7mFx7PpJLN4BLuv0cUCYsSMthiBeb0mTi6Lrvtap+4XVOUMwZHsbQqf6h0TpZ7sgx7ryGDpb
o0i2zODZILBZbfC+kJEJhZUI7FIZV4XErgwIp75QeksEQdfOFxz0vcNY6tPGiesvWQRrisSoRL+p
qkG/Z4Fsp63sJZk9djfGxFsXUbszczNl82pF8VyTAniOyBXbkV2ePK5j5Zk5Y+auk7VZ3uex1D8X
mWV/huNPgsyyxt6EMcNlPaNg6PnNDTQdBPswFkacc3L6RfhJz1hNGtchBxXJe0vThVwMGjE5lQeq
hmSIYqxfej7G56YfnV2aD9E98QVdo19SaAV5MTw23nJkzvW1DG17X1e4cfOuQieBL+YYkkpMz8Hy
fDbJPXftZCmToAxiSDdZWSp/MvuXoTMZxS9VT+pDKOkGMmlvwpr9Ly0PsVlU/hzSpiMJNDvIzjD9
uFGMIYnVCxt5pWIlHxITpmdW2e45ifMSlXWcM5f37ucl3mUDwHi8NuZe0z/3WUzBpMISrGH4QL5x
7me1sQmFKZHTVLjorYaxqgpPjT0XW6fG21bw3OVoRHycKXpQiqJCcDhsXOLUWE5oqkBpHfy2ZnCx
pPHL6MG6o8DfkZ0n/NyrHpjelFt0vHQ6kvwM/HDewFLJ4cpTGmadoH0XORV7YlYey9K886CU7O1I
fsmK/qGsZuta2ASP5ZxTjM6ad9NYmEFTdZvKnAHMV1ZzKRqiAJtFGI+QVMHG0+97mDoY+bDI2epm
MLR0PoQvy7UdYaGQM1QJ5J+kPtRH065sqemSMky+po1OL9MhwCfhKacV488alnx7csMHR88u0D2Y
V42JFKuvi+8Uv62fxu1WV0sZxCI1uKXD9RS3MVa4Pn9oTAW7HaXUDrmdtzXxD1N0u4CHhcou04jF
ZUYsuPM0q76y3fCz1jY4uyEz7klQnm7rmYaV19p6gPONqkdnikr/9aqY5v6KYTFNQGIulrZBz2Vq
8xUj/JMAtIQwoJSBMwyD73jOeOFK52vJeSPTxbPhLq9RZe8dve0vOObO/BjpbsyWY+imw3YRYp/F
34VbQxSyW+1Cb1V1qNPmBvTjuZhilse4doN+SLRdVXG8HYxG7mU37I2SXrNU6kw3nQ1UaWiu3AfL
ibGjJcvr5PRfwj4iMjvl+Snlbd9dOmX4UA4LvaupiF6EIEi3N7NjlyxLEEnnYvHcT26FasXzaBqy
OfqEM1VXYWgweC80/cI0q1sF1CEQrdKCricah8y9SENsQkB8tIibHvat66f5tLAlqJCvy05Q+5qo
4h2u9PbY8AS/zE38TaZMUGU4zn4sabwzMkd7RnMrf85KBRQhSfQc8I+B43gqZUaBV6JSMuKmgFhv
ENMupnoVhaV7lYioCSqj0eKgRJH0zLQ1CchyR5JlVfXD2LvZcRji4UhVnSK0jIu96RXmrpqX6Iw+
z94BPf84N0A8sKxe0wxUN0Ui9O9W0vbnJU7sUyXhyxvZvMYeh/POGs3mo1mgQHAb45UzvLok7pkD
fqRdM5YfAnKRows5IaXodcO6ZIxtbusFcocskV2Smk7UnGOKXec5qI2SiAKgKPZDIc1NNAkOVevU
Nmm7NSBgFn4hofmaQNvsSsmtEWfhtY36ECPc/NnNe8/PDefViTJ+MYpacvXwe4NvP0LCgLcyDld6
XlJWtLHDXuy9MMgnkBRbwUbl8UBEtlVQBjXLZqRVvG09JD+8OxHBDzyu+bjDeAfCgPygcprULi61
7EjdeHTyQgVZlg+71Ui3ZTUnxCS3im2GyFIxVeYw5d71Sph7jsJ0XOSknofUI5IiNLX0kq2aXWjk
tHA1t94Zn6/rV1BINgapigRG5YFANOqXulGjs2s1pptZcmhTElyahmQmkt+0c5fW3akt5fd66S9h
yREWx9nCWJIrndV9S+hifqMabmO5hop4qbHVs2wMxCh03yYrfZPWrjiPprpJDOLo0jK/jGznsXS9
dk99XeOM5/GnC74rdG0PgpbI5M7iLANjY9enCf9Xbm8Qx959W8rq1i67y7ki76qZ/x97Z7IcN5Kt
6Ve5LwAZHDPM2noRiJkMBklRIqkNjKIkDI7JMTuevj8oM+/NVHVnVS16V2aZC5pIRjAi4DjnH+Pt
ktg7UIa1AsiuotIoK5h4Or3jArjG7iIznTmVXTM+4qcl1VM2LkOLPk9cqdGwGnsBWTkjCUQh+W78
Ovr518x3T4Gj7mckW6es09aWFfKGI/ozJtVq7wzzjlWLT7Igfb0fO8QoIjPvyLq0DsE8AaMs3HSd
nmq6RjwiVzsF+bBbRk9GSqHvY9FZqmflGMAm0zQFewovnzg7Hy1KLPmLqNuWPwu0ggnOnHWwN0zM
is1mABHYijibzik+NjpSqq9VX4cPeWLwRgbuQSFkQ55tL58C4dyT9dfj3xbW1u7Mfd+RPOTQRIPB
Fnh56xW+3rDg5E9lnH4PhLrrFutGBt4bbCNNnW+9KKl9Cn60I5os7FoIzyhXoRku3Kq8ikTe5Ftk
Fj+anmyawpBfUmWkO4Wwh1hnI5IW3UHFEoCVLLS3bqsKLCAVC2ML2sG8zu/blAM66obWm6MG/8i1
HEbrbDDTU2ueEFk4jSzlo9It38SdvEEgtYGvU7uqm6t2m/b+ZlLeTVOKG9SuEaW7JYOYLIY9KE5C
QuZAqc4ifNgOodWAjHZpDw7KtHADOdaeskLF9wGnWr+pO9G6tEfSPBdQULp4/ZOB5Kjbl0Fn6H1r
yKmNbJECtXnsCJrjwxpQtDqhUNam4jVy4wbMYTC0eTtgd/3aydmXPQLUsAOx2Px/wesP3+u7t/J7
979WIuCd4YJzLu3/91+/7H77Ovlerzz1X75AP5z1+mH43urH7x3Fbn/g0Ot3/qv/+F/ff/6Wf4rE
u+Y/QeK7LuM/Mm7+QpmLnz/3BxYffMAgusLz+Dx+B9x/d4eG4sNvxi4Ly8Hvxd6rvOcPbtz8AItG
U2toObDqvhv8O6A7AP9fMXcckwjMSQCzPdyouJJWTP5PPgbgYOVKkv5OZU7Zn5/QtmlYHdcGjDny
4j41CQ5yEU1bol8leUrTRzfWVkVAUq0/LZCMDKRJh8+RY5X891BoSvRkbM33oHhy62ujeaWvs12s
TZdnw3ITZ76G9+0aa2eTsn4J/cQ88iw55HRKkNDdmFZ0i+aBPUSKcPR9m0JLb3Kyvh7V2iTR5jHB
V9OE2cJf20HtVB98iu/PtTvDwXnVXN3yNMmKIdm6eSOhe9mj45LojA37pAedc+CnDjP1sYCJHdqP
AvmqcQ6YsgQzInEe38bETrz9FPpMt+YYJ9muHJK55VZD/fQrNlH0p5uQsTu9qXtbImiamGmne2X5
ZB34CS1zdwvtaMG+JiUyeaQ9wdubhSyVQ3xWiV7Q6sCtIElNm3IuZ/3OhGJD/2WGtK4OQJfeJjEk
k75HcbCMYtFB2IkpWOwAQbknCBTelF5s+h7ys+RruejkOvq63tXw5SDEvlbNBrwoeFmGuTc4Fad5
N1XKPwzesu35alObY/vu5mq88xkbu0iaiX0sPFswh+NqmWiGfGkJEQzC4lC2pXkRXVBgqdg37Rjk
RH143G+YCpSjmnsMrRYfmMY30YJBdxs6jB9GKiY/cTOTL2ZKkpdfVGlkE+UT9Zl0vxvVnD8GXY8N
JJwV3WdGuE8rkVEgFdqvOXKCzUSM4jbz2+qUhVV/dmIkd0IUjymC0Idx7qtq4xvkUKOdRUgxeQwA
1WkO9ZPPYbe2YYXdV7cW8WNJOuh2Zks+SbITdubUY6Kl0WvXNQ4g6JIVTMRetVGGSA8JspB3L5Fg
kC2p6/ej4am3ZOT2yxCgzbtQB9wgsPsaZ3KP+CltVuZD24FTTwrPoG0VT7nRWK80WTdJZDnyPYP/
/uwFXFQOwrM9t3TnlLDaAlLP5am1p+8xcSdvC+jhLoQ1plY8Tfo3IL5dvmSUSKSTs5HNdDM6qXst
0EzvbarFWZIQ3R3bxJGnOhTeJa59yvysIbgTfjUxtk39KcxlcUJ5FTLl191TN9TJ1Z7c+ijt0r6Z
Uoo8C1KqjmXSuIR3peIOq0f+oqo0f+UdLQ7zPNg3Q70Ux6GqmjtJzsx7gwJ8rR5M/HPW2su9cvuR
xQZVSpk1YtzETeAzVfRlgdgc2Nyw5+xCZYr9EC6mhxKRS+JYzG0MfB9k2aoGsa8DoMTt2NrZ89yZ
M/3SejIvjRyzS59K9TSgof1IQEVztiUeCmPOwlcQzRxxt9ff0MZEfgVgdU5plr9Ye1GmJSVVYXwi
qWY6kHORbM08DPatGt0f7ohWnz4G/TznFoHCIWWQsilPvRtfaGurtphlzM30k8KqkpMVNjfapQk5
Dm2GU2f4NlSTtbElSbomUXwbmiQxfYluPLRZhSIlpf1vmT31tYnd4cZUU7YvHDTRXuVMD3nN6pkS
eXesEZ08xHrSLwP2mXc3FuMDL0h8netmeAaFF6vDpdxynfTbupzz41Q4+aFxcg9v1FDLT6StFQfe
dq4WY40Z82XzzTZgHZagBEGYY9PeEY/hbFTZ9ve+GFF4UmBI15dF8W/AOv1jsVJoFNOLBz7KLDOA
Dk/NLMcLHrN71B/hnVVbyQs5VsVhcUO1n21tjBtTZ+bFy6R5CXsZ3iE2sB70PA7cKEhzvq3r1VdS
zNdCDU2xEVyo52FI0EMB8lKlN/UMrlIk56ZmrUgCDyfQYFeXQQHX+DZHDYjnjeG5+dlSjvjoaQiu
yMSsG3XK0+9pPtF4R6t3mzF05vmxwzfzFbYQYi2nWXaW4S5WtfUlZ23Gue8WB0We4ZNo8+4xoejs
zgKPIwNbLUiStFSfumoIgXv95TIyHL419QBNi2HjschqED2uHv+2mib9TYO66UgmCrtN5U5nnPfj
Ie4EeYN9a58tmsj2QabU5wkbyf3ssgNoZ1wOdjanD9zZmlcvHOqvQV/5P3QmaXP3+i7B8pR8A4HI
d062gKVhqpkQ9t/ouXO3Pq42wD6eZxQaHdM6BXBovTr0e/RDiyIarckuIm8x8vMaV/2ZnMh+V/tN
fSI/KYsj18vlD1ovFRqYUT0HCW3nO/Qx5Vc7SYJDpeb4Mog4uBmDCn37vLSnNAyApSUmCW1xfwNR
64u73jFxnwVld5GCou6BhFRCuA0sGr0BH+VI8OrCZ5scq+GZHCNMiw3YLvSdAU/e2dPw0CRdcLtQ
jv3dpDF2WI1J3K6xNiYUpvfGU5q63isyYo4eJCwOcy8dB+uhTejvgiBr15tBfYXLtO+IKqs4ljA6
yqDQYpPHbnDwe0AyPhNThoUhNLBZCOJ459oP3qS5kOmW2W9I5uuLkVTuxwAweiPM2b6d+tDhGNTW
PSFLZpTE1WV9A8+KSrTD0g/YOqpsG+bKuuCFyU+Jhaq2Tav6vqb06pMf9COVrAYwrqrdg+HlAImh
Z+8CGJgtyzBdDbXdnOAzugffTZz3Pm3pKRY9jaDDNIYfhYsooFKdtTfTVjzh4kwd9sXGuZexQlll
jXP4UCSVf8DuU0eTad8GcTvxtlOpjZIBiNTx5nPYW8FOZIb6jmPI6nFLAAXHvfKPkE8NlQOdjqpY
d/fNUjTkWDfqiP7ZOs7EEUaLC70yIcJbDrFo/WdmAetpRgWIg4LAgh80lw2vZR24+1g2L64q/J2R
hw+2RZ01f5/ZM3dMBHtZHHmUf/U5BpOmNU4e0gf6v4FNY27aannPmrbEmJ7F09ka5q1bc3sjBjTh
o+mw0uTSvY+ZTfeC5NibwZNODrPc+vnWps4gh2hzhjs7GRSLb/uZ9JvyOiLaaKIYuujA/a7aj2jg
2dJZjYxM+EerLoKrL/yZu4KfvTKgeSC+OYC20vFxaPIYFlmGNAuLVsiTWyQi4pNd3E+U/6TYFOfc
pYK+ZnwdO012upwevbalWHOxp5Nn6uoKCgFBWdhey4cj9IE2lxQEUloHaXKsIH5hmKYbGxK6t8zp
42gWySdT1sUnx2IGpEdycSKoJnVtZB/eLHLtiknc+GT6DTqSxMxttA41dzAg4/iE6Bu0Zk7s/EzM
R6ig00Q2MGKG9ZHdL+m+2/hnuxAvXK8FUgFbBbfx6Mrt3ActnZKwt57R2RdAUn0XKoDYUGZoshM1
n9NqWnYJg//LAsqdO95T4iEqG6zsrsoAHQvbOZfSF18yFOngHGS20alNq6Vfei9iGa2TpsVgM06p
vVUoEXeNvby1qQa6MB6CBkAvTEdvWywiBcqGnan7ajqYhExFEnPYzIpwkxWi3BWkzPK22PsBX0nE
pjps7YLhhgLd6+hk9qVznVfRQUrOI+WZiZTFVsoALLAseGHKCS6gBB5AH9Vsah8PNqw1mr0h2KdJ
pc+QDtdUO9Znu60KGQVzjZDSq9q9oJAlWowZxasc7O1Sa3Zwmot8AJTNkuX2qzasGeARUQKN6wdU
lP519tJViVjJS8XH7w0F5s5a1S5l33nHBu/oGQDbpNS4yLZjMjnRErTc5ro0O2WNH+x11y9R08Vu
pJ1h2jR1n9xVRsGdXeb66pr8cYSK7rIFoainmrYHDERl8Sf92P1v2v0/x+r86iZAxGwhuoC3I33z
H+Mp0xj4IBuC7JSXHWudMfvQE0vAKe0OkgA4s1LvhLsFFbds5Kh//+C/uuvXB/eIUybYzSUkN/zF
yoCSCyZkabKTmOv2fcnJjW2yIsUqGMrHv3+oXzMQeCiyr/l/3X4DykN/WYBRQnlzWvJQjaWqHdcI
JeeVTurvf/84/2DSWh+IWKc1rY3IIu/XhgJZa40SBZnr0IAb4951Tt4wW7uiyvp71UoZ3o5hCiuu
nfKtWT1UnCpJeqWfYV2u4dWq3d8/pX98i1elnbOGEa8RlWtE1Z93/8FExdqzZZzUjKbZLFt9sHNo
RiTnIf5mM0nbd2y0vM+i/b0j7D9Kzn+OH/0zJSfuwqH9FTxaf+gP8Cj8gNEvJKiGLP0VJfoDOXI/
+KQh4qn4c6SY+cFDS8DFhP+U62n9PX9ASd4HsnXoL+MbTGoV/j2bBTf6v0JJRAJx7+Iigs3FGYrl
8a8fp5bCKzWoJD0vrglLicfVG/sNBe0WAK7njK9mUvp3huvWjxntR3er4nKjgtIUURUO+U74mfkx
7+WC4Nua5TVlwCLmxahQc/ntYQ4z+4xjG1/FmDVq6wYzqEsdhw4kgoQn1qmb3ozFVN+aCVLTTW0V
t/gu5b1fr2J+M0wPsR/7B0cyxUZJaVBOzFF2WLK0PSEt9S5Dt0L1JOcYkT1ohI/lFFg3/lxPX2Tp
ae6ZPoZiOx2wKhsr81TV8WOtHNTomTHNp8H8KuVSvyErocFN2jGz4Rz03P6nZDchJd3LePauUzwH
yU54IbHJaVybp9XoepTUZ79P3Nh/+E0WXm2k2SdiRtrvyWzFity0RtxndLeTcmC3j07nTOdc+iam
Lu4KZWTn1ncE2Sgc3HzZoFaz4eF14t0lZpXc0DhvvLNh47DCwGzdGYuqTjpTLyPAy2M+Wd5BpsH4
KW36/mMY9jMUtbG0X53YT15AlSXQgQtnCZ6RD0ihwmVDtMIJpQRmZcvM2BTcUPowv6J9UxoLCKDH
9MwpDysxVMXXIuv7Y7hk/V6wgb0v5lDcZmZ7NZbEPcu2b84t3aU3TVyQK+r63d6fg87atvDWJAXo
wWp5PxP5gmoCQRav0sBvw2ADjGYXN1r4MTEqpccfOoeQNCIebom4M465a6YH3L7FU1056bPsM+7N
oIIU6em5rncly6VASOKaDZqrtYgr47OH5NEZLoNDPx7lI6ZNtosY432Kf2ZTJIg8o6mrUgYXm2HO
DefpR4bAjHFjtivM20W3HJo8re4zD8m8A518m7T1snUXjcF8Nak0ZKvcYu8R7JDlhK4JFAOegwk4
+UxUi+WxESXOVzVPDo2BuK3XoDa+i7ClNWk28beQhvB4QSXultINH5JY02tODWKTUvGe6nHrtS4l
5OH4Xvm2PJkt8qMpR/SJV2DQaD3S+YZqWdrs87CvPoV1Hr8YpZcYZ5SdKt+F+Gi+oSPrBgT+0/A4
LhMk2qileO2BaiEFKzU8iKFSX1ptWlHYTOJNIhaC8tS9fuwmiuuPDuRut2kDptHM0t0mxPRCrXOf
YvgbYmF/tkczvVFm6nyFMCa8HSRUJ5HfAjU1SRV8yX3Tv0h31iaoHvn9WB9qtF+IldFUo3UrtqyS
9T5Iq/LNTdLwE6DzV8Ocmq3XtDaZJZ7+7jYtEulOiLraxUFcveQJFBW99jnMDAhD+9r7SAQ26J4b
ClLrfoswilm7Bzu/Ta0ZzUPfPoB9hkAoGdczLA7lHNzBd0HRLFj4wWCXcW04cpps66CgJGSjV2dZ
C//smh3ZfXaaB7wOADf1MHCiIaWhZj2kpmUsnOzRGg33UGemnLdG2McO9tnWfLXIw0ZNzWE6Wmaj
o7Aqs5zdtilOibbVHWKqAcS9tvvHNsgcXli/zJ+J2FAa1g+lJIdZPJziZEa2GBhT8wWAuGlRMrOd
kTWABQdAq7s6XWu8166PWLQT+cjuqw0Ol4XYgprNjtwQxxmp5knVF5IPpu+qSKdX7VTiYrO8lTs8
xYHe2K5u4yiMbcUsHcZyG1hNicBlotGBWBorEmaDe61rtoxxE0LBlnjoQir8Q/7ZaXRPPkcF2pwS
SIlxJz7lkmOzFpioZrN8YlEfDl3L1J8x06B9abOWZnmpK0Svo7dT5rx8W4gxKHej8BSJ5gMwb52O
FoEVQX6d17SS4YYKPo9kRqedmux5MRL4cc1CIM2XQEu2dIQ+sBL9y4CTIL/GM/CkFebeVeRTvF9E
0T56ZWE+esJP7jkWZ1YBuZwY4z/Dc1aPCofk4yC62NqYWR5/nlqverENROObCjz2nOpEfg4IVOGQ
Ihb5McBWfW+SeXNP7BPATFK6Kzbu3IUJYlw0Gkjo0GdzbHO3i+ZSZ3eDFQ6I2XzFHtyV5V0emjxd
T9Jg0BWQ+F1BvCOJDoiWaMHwbpXg6SPvtrCtVTEqgKWPPzpB653yTE5PcIGB2qQj7Kq9GPpKbs5Q
HnpD1bdAgfFdWDfNRxTL/inhD39H2EmahG7dw9yrYT/HavnCYj6TiqEMCrdFoaEbNZIcdP871dPN
JNEPjdshE8uN1S/+Kc3AYsopv8fs225cZdnXuEb4zyEr48dpiVfVq3Vp5zqpI4pc1kSNob5PFj87
rK/nU1vP4jbMF1BxEi4PuWqNq5TjiCDCmrBmhEv6Le6d7JjNsPubVs0Nj2P2+qzBUx8s2U6HUIfh
aRRD97mN6/IebH88cj0RG4qXv0Xg5KNDxcw8EsCrtbnF/JGihrBD9TDZZgnBktthRAqC2KVuZh5z
VThXlArxZfHD+dRxYyS7gpTeKgzezToL30VnW/XG7Vz1kiEJ+2JinDx1tdEcKjs1AjZ3jho+fik3
aaew3WgNgt1nYy7vUdJOXxrfx9BF/cSrVWfB1dIVV166HpokzVvZYaG4ctm1rWXVHysdvmRWlXBi
p0Ha3NA6MojIrAIrBfqdwtfMiOVHvLuduvdaCE2avUOFvNbzpBuVuVDmreWhB0J8KCpTbXSfZs3q
9+CVr61Ff2xVssXGFui9nXr+vgk9P0orfGFRnkwPC57W/KZvi648Dr2RvriN7WZvlsclHmlLmu6u
nXBGIOv0Vhr7IsTM6n6oE2KqhjMfWatFVTxWYBNvKl5eGXvnZ2T/1Xs+ztbnEE/Jk1BJc1Yqe1KV
r3elrcqTrzrKuAZiRfx6fvSK5ZUD8IeTpW957736wzR8teuOCcJp8fl07vDq03dz9PyguFei2E1O
adzy5lhrdAaJLLJXP+zFHQFrGiUB2FFzZkgYM7ItwAIebHeSOkIKmqpN0yJqfQq8od2V9AA9pABo
GfrlyS2Nzc/N7T/b0z/dnvwAn/jf+ODqir6GX1xwP3/m9+XpZy4zIQzokMhLEXjS/3t/Ykv6YFIg
aNreGu7hrP603wl4h5XLNPkni8YOl2KQP7ngnA8EWNDVxXblujRKiH+HkHfWANe/mOBcAqN/FgPZ
9HMSMbjiFX8i5BvUSVbMMHf1UfkxpBglIrAptdzIVZ7UR5+s9Qq5UZISpJXZzSWxSBMpEFR862L8
F3DPJc7owEzVfEoXhdII0sJ7X1oL91GVBQ5S3Ebf1mgLi+dscdRt3S3mt9xO5hBHrqRq16ScV69D
0GgfMsOrP+HQ8a1Tp8JxPCMFbqdLC761S3sJjKlRw+G+8uSlAWSJxBD3GH2NW3PQTUZqYZAgwqkW
a4tC5svIJM8pnaJ7GmfINE0ZxnfPNZHA/MzTDwPgjh28PcIqx0uzC4UW0wmKwD8a7dCexrok4RmC
bX4YlXGw8sHa1lb4PFUzxYBG0SObTer1WaGNf55djgMkzuj29XybhgIidRWoC4HAjTiJ7VAXORSZ
/zOimeQTdA7orzogvxhFzoZ3nlfZXAZWrzXhmays7r5rpty7mYjhfecV0TeSTKe4faLrbzn1vyVF
+20yyx01BBtyPry5ObRBkxY7a7amS507ReYUq2KPvbzaY68oRxKUnDTt7SM9fmmtZkwszTj4N1D3
FVrniIxrYUHfp3LIucXTLjDTXyRKrCYjjAk9dV7PHZe6V3lKAsP3m21D9NTraFvisev0fI842Ji/
MdU3+Y8QjfgP8v/hi+6sirog8ZG0FrHnwPfrbtOwJb80U4HAXZXheDuBp549zAq8UK2M6TUohvyU
oZy0KZKXDwzW7c7MmB7jVE7XjkQJhp+M/LMC6ehWN6QCGLD25yCX9S5JzGW/ZJk8yDq9iqyZH3tv
cDL00IW1zULYlKhQfXIOAsZyou15tSMrD+IjHDuas4LWiRO1Iu2e87V7q62meLd6JWzg0c5D6alW
aj6IAwTOdCDg0MLxfe5sDAaOnRSgwQjrj041fElzZ+yjpXbc+7Xpz2UJaxJKqhzzhkS/co/N0ziM
toNNkIe7IIxoDmIR80NV92JVCjNVOiL2EVkFZB5Iy5Q3q0MHoR3iDqZcrzqNk8kaRmoaA1FfOLde
kC9npjCUciSIb+XAnam1cR+aWE6GIrnzUkCJ7eB4t6bvdzRayfgLM0FI6xkBOog+nZ1U5B8Mwm8+
5d1y51a++7B+sq9IRMwtiACWQiUuS85CyU27jwK7cSEj0cXyCjTmj5oOx2vtyuQlabLlplUOdWcj
YUYdHviNzrzkkOejPMQZqaOYXkg9JLvv0Hht+DFxDBQphD7dBtL/vFjmtbJzDJtYMW7lMrrgtIqt
O++mZ1fVRDDkcp4w5tjWa+lqWPJBLzXIZmHaj/SNDDtRdfYPgxTRkkjyId3LJe9PZDG+k+MR4mhF
FLE1Bk00hBw952NjT3OK52Os351AJ09I+xMT6VHrfkWrnh0qjJj8jsY4oWiwIvB+MKZhLE6TiYVF
zpgpA+LDdvGYz3u7SoLj7FJrNzUVauWByNh97yaCD/rQZzciTIcnGDp0g7w+T92sHvhYY++w9G04
gRK5Mg6Php82xKLZyj8HrZGFbEtF8G32qvQ+LIKMXOS6+ga2FW4Lk9Fn05QkFe107Zhw7eIUe/lj
X7bBCV/zTKCCdj8Kg2RZODRtQb7acTT1KCVNcAo9u3gnfV8R6FcwlEBP21/qIiG5Mx2wSk/Cybcz
Rbmv5E6FW5sYxsca4CxinZyekcyD3tt5fbGKBqRj9Od3Y65wcFl2/yNBhg3topZdXaTdYXYs+8XC
qnhdBHDUOAfLva7cei8K3NIWstsbEg/NjzBli4wg4KTa13WX7LpamW8BvTRbZx7qR6KXyGfVUEBR
mg/GxoFO+oEW1zxWY+W/2mwEBvkoZEguHDlRSiSQtwmSdNpWNSd/MAF7+MHoXSy1EC7iGjYcmbA+
JQo9RjC56bkO24bhDTlur0wWQR2m+num2/4jbYIqj5QVp9vO1AVbjsCdEM/K2wgBO7W0Wg+RY6nv
hL+QaIHqhy3Wqi8Y/vLIsFV7u1T19FD4xg7aPbyokebRDcbIND7ZpKBfUlOorQAv+VJ0o/WUUyl1
8ZsA4+wkOpQFXho+OuEMVBigdajnOIPLjp0pGtPMvLZjI59LWO/nJKjae8Ta8edGxtnNMCssgGi9
PonW0TuKcfODRry5i3WvkGlUXbp1+GuhtCER+1NVLCOuSH/45NBtqDeZ01VbA0o98lynZjVOzXuF
fsze+eAb52oyQEBLOekbF+xQkvdFGE1QOzavYz+9ODOqa3fEEooFEt4TV+NyFpnw3i1+vxHVcZXd
Jz37kJeb4bNeXHyIzsKNPqgA9jZd0mV7ZCHerY9O8in2xzbZGG6LkDiJASq2wTTfDqpu94ivhuo/
cU7/mjTVNleh6P97OL77Pr59++ts/NuP/DEbCzpLbLKSCND7vSbgD24Bzup/hmGLYdi3fZ/zeS1g
WgsG/6AUKDAxKSYyqaci5swlg+wPKe7vlCMqXjS+iHj/LxQkathfhmFQlPVhYKnIgYIj/YWcS3tn
HmnXsi9+3Pmf9eS4nJLCYJlfCnOrU+KhUY7XZyhEJTa1UDj4FoyFE3VVh8Hq1K0bm4P14qaLvKuB
UMEaMUliwW8UdvmBiwsE0hlfekncZp9QTZ822pqjcAzGZNP0Ocp0DznqYZi0eBzsrn6txni8Lm0Y
z0Bq1XrfX1rCWBQqjH2Gee7otzn67lYSReyDah28kKe4adJ8llGS1JzQZFfO944mo2ifzihFj5CG
y7CdZU6K9oA2Y4O/RH5TiCSuWeKOJWK5cr7GMefrhsgf/vayKddmVKyY/qnWrcNIJQYGTWwA/Kvd
YaA8D0GikWW6Sp8SQpnzbVnqGZkrT7C+ceKF7G/CBUr7wcLr8xA6efK45HK8qgLSOcensZ3Skos6
7moIj6n1j2uskYpI/14SsJUeiW8wSE4ap8Unf7Gl9Yngtt5fGrSjZt2rYyzcbDiUsYWr6AB5LJO9
32bmYm7nvGwrM5JVMN/Z/lJSzMnRb5ycTtTkZDeJwjObe05QVXKXBYVRzM80GDqd/Uj6jQRA9QSE
vpvF43wn1eiEMVVbWRvCl+Ow2zdILZPNYMPrJJi00zxmPtLGnruxIMnWpT6KaZ/RgFyozjTGdJsg
ufXro9lNIiamHmvNVjnduH5wfPpokX4gYpxz8pchg6ZiPPf9MDTmndBl3tukZHTdOC3kqU8WSSMv
CYuMtbzOGYWS7bd+Un2JcF8uSxE//AcN+Je0+DYn0N8eeHXbp/+1fZO/BuP89oO/H3uh98GFSWWp
9dacG2s9z36nVH+iBaz7VDuv5V/hmpnzF0iAbg2Kmtj8qVb571PQcT+sATYgZqb1G+n675yCzs+i
yP8JV3TAEFcNhm1Br7o0etjgEn+GBJwwaDpyha3bxXSdZDlkXaL7mLXXpOCwuxi9E+6akut1Mwao
uTdIOpZXwyrwL1qZOHZjY9xyDQ87rYxyn2hVg44t3aVOqiNo93Amw9TfQvp7N/VQGR8V2vyorhLj
ps+CdYUtvY9j0Myf8gCqaDMQs3AQjao3Zcfo77Febvh9Ym+BxSHiG2MbSDaECuBn8PElR5mlF88u
27MVQmelKn6YFnWdu3rr8zqueIQ4AtyRdu8FkrR+7yycGPmtDLdpor4NrkB0lDddVI5tHrV2pS/o
jqFUEdDPo/meGvjLVdEZuzjPKUYwl+XgrnrNKrEOnHzVc6jHfNc1hLiRB7RDdXxtpXZ25MkjsbZ6
e1/4ZRA1MEVHu/R4/JIdgFfK2fZVEFLWMmSP5H7U21JQLdhIK6S/Qa97QzMShZ1fWx2a5APKZUfr
gCDfLvQIEW9sZjfX3iYZW9NUDjPWiaI7y8y/pCIkAM0uH0OzJAgTXjosiTZ2OF5ixKMbTU0My29i
YhIzDwY7a4TP7DMiax2NbJI7Rvh+27MebAllTaLWNbxdEQxfy47Bf57Lc4OS/qZpMx3ZQAf14qOB
K5o9ESnVFt4bJ7a7xuq43jEkYaPXcMeBJKYwW2LjM8WZ9YZaZJd5nu3GHrC9WQ7+bgPl8Mkia/AJ
tmw5dSIYtwDTUBezcGFjDb3tZtNBzI/u0w1I1h48cASQlF1I90IzN86NwjKoqxijsGur7QCpQz5B
ckjtwd+ECm6/KIydzNVT3Xmfg3m5za3J3yTsf3ujysydMJf04Dfl2+LmX3LVO4e8jls4jwmNaJj/
H/bOpDlu7Myif6Wj96jA9DAsepPIkUOKQ5IStUFQJQnz+ICH4df3eamqdqnsKNvRWy/aEW2LzGQm
8PAN955r3IA8/eaig90OEIi2XBOXkmrcm7gkgj55ZNlJzkDC5NbmYYqKlwCJwFojV5YmWkxx6uzc
+ryAF4+KXt7ORvFlXdx5N6dBu8uzfDmKGhL9umJTZGiBibnOu62ftO4xXelpyVeYIc7z3xVW/8mQ
Q6UDN2IWXRIjWbN0ByvgG2xw5Ow9noP72MlfettL7mszrfZO8EVj4W/mxO8i0XrGhXQztkEjppWt
X2bZU6VA2tQA6mivMb+gF+gvpo7xwDtUPK34urZSrveSAfyeocu0owXy9msxVluBIGRXz+ytB9sw
2VD3KzVTUe3Yb6YaE2RjWHMgSfq5d7JsNnpZEqijbScI45V9Kw1z3BqA617QgvIpBrjnbTf3Iy+B
Ri9wwTA+bGBMidx8QdeAG8SwPO7cbtVZHX4UjgzW6Bnr5wKCBgLP0byxBjkJhLIM/KKJFGC4XuB6
5gHSFQbWYueQlrTnrY53vlETDOEZd4BuEb0X3tlwiy+ZAqKDYAJ3bwdrfAyUsfVXPs92lSSjYBZh
VGp+n+OUpNiJCN6Wxdom94ZnDIMnxMMeUcgoGdgKPHlx3u0m02mwsc4dFKXS27oumxm7C39lMPGU
MU2LrfGhRF69MfPMOiyZ8a1y12Vf9oxTBv8um/j30q8Pk7ewUGIxCDXI6HH0s/1cYiUJFnEClt3Z
e0dkwSYJ1mfZ2PPRV6B6y8I3NlMwDhG6nWVnkwCw7VFnR2bi9feL7e/Hyn4PO43xQ4LIQkeK59hO
k6jyiSDAJWxyq9HBd9+UpJaDOBpjB86dg1kyhWMyBrCztNUO3a9ks1NQroVVcEzxFjel/dnz5F2e
uPCYxPwaTJKJA+NF2M+Oh8Qlqy9hqD6W1LvbtvW/seClnY2zIZqS8mJb463vDv25DeybrAF1IJqm
vCdAdoNA96FMyRMAhBhEKFy/9z0siCxEtinWsTm47sgUUCz5roOodUfaHTbIuQ+YWTBmgVWIdjz9
jPcmvCwuxomytm5XLx/3yl66/RCUajsHvGK9rhcKwuwBEhA4DB5CsxHP1GXM03EblPt+FGJjVuK5
JTFo6w1ddrt08pT0KNyZeRsMDjHylimPF1oM742Q0U9TPI5Hf8HQP9q405My3Y/2MB3mejb2IFxE
5Fcq/DCU6sFMfGgYrqvfONyfTsbRIJjJV4iFIBbQnWR7GNmEHnuY7q3U+DhC+cR5NH91mNJxFo7j
KVBrz1mT9Tu4ZN6R8ze7gScxkaPMKYfSQ9BjEKzIlIsh/eqIfeJPDh7dljWx21qHxM8/TioTp9UI
Lssgb2UBHac1ku+O0fo3ZV3Ge8Mv143betZeII3fWW5l3gStaTMJ5Um+cqruWdPjBAuW1am/lJ6s
hxeXcSbOLMbMXVgfZwSDSK5ZBgfN9DrEqoKnk3eezMtNx9VXBZA++hBNtJ/ahb7JMPUL6Rw7tpjM
vf3Ws+MXZ5xqh/HAsvQkBOyEbDi9C5Ai7ZQVIPNi8eS4le/1bw3wnpVIBkdJH/5+AxdfbOq8zIwU
3Wbbr31//5/y+l8rr2nu/7K8/jb91823Xn5bfnK6Otcf+6249p1fqII9QrJAMP+ARP5eXPviFwQ0
Dop3k6E08IO/1dYWOzVaf41Mh2TOSOL/amsnIBtRp5Xxv+CgNf+9CQP4y58nDKz7KN0F2HLA1b6L
Dvbn2tru+hoyo+iPoTLwitS9M+wQ//bFLTlH4pa5f6eeEyExl5pZOp5UVg+PaUsVBEzXworT9wrg
EKYBnA3xCNd+xCRqt3NCr098xSPGFxN8AE+tJGQYuaJIINPHQhGP6i++zHYtPnm1ei+RgiX8qovq
YgH7tVkfZR9eEIRBVqjxm20ar4wl3Fqk3mwM1vuRcUgN7yNgw+NhQxnawfwUFqg9MNxl9lNdT8WN
7FmZNARR/dCITx6jTDhX8xm8PyZ9w7Ke4pUM9QoWy3dp9+Be2sZB3K4q7D+JojrZ4KPCRasAPq2T
DImPkjlWcj6oYsXt1/vpF77/LDIg6+OXs1R/ErgeggPm/7CJ8mo8rbAcItCW/KAUE7o+u9ZkBK8K
q/CjytcuieoyMD/5FX5gr1VhJOwQPyKSHhIZJWs/g9CO1cL0y72Om0NmAxV4hsYHQHHYg8PJMkbr
k3QI/s4D6hy7TYy3cXRw9ww5nTdxJtZdH8jQPEzCKl+XogS4oZLR+tSTKwi+ZMaKhE0gnT8EbWl8
X9MpjGani2+KdE6/GlSQ5xbt6+H6/qR+V1zZPTg1/vNkg4KoNzU7msj3EPrszX6sD4iIFMSkdgUs
yoeMSmrY1SjFcAgPmX2XBOjT0s04FMV0xzGYpse4tIr16FG5OftU+OAznNWBUJAzrgHz2BQ3q9uc
VO8ONv5TNe6HLLE/tQYTvb3VLgHAo8Jd0VxUXAsQt27yUcotrw5rSkqRISwDIsouqXztDad8TtHG
feraVN4FoKYu+aqwRODk8bZd1Tk3aK6S27hDOZkv9GfowsWt0fJlB3jJEG8MhHcpmGJRvgpjJ1ab
FHEMlzhVRcfCDWylp+l5yDDqaTkErgwPJQ+s75MHxg/zaFU1NEHrzPTFRo20D3NzSM9F2fC7QjID
914D5smmEeJ5nm1UT1m6GxCRPcVVuNxn61REjmZzr4MZ31delUEiTabgYA2hte/L1HklUKA4VMFs
NGhNNGdqHrIqOBSWKZ+Hxv0khhIgjzA/MolaCK5Rnd5aQapad+zE7qskXodIIujfZ5o2jiy7jXA8
YCG5wsjxSPSQXiCUS80ql5paPi0LvlNNMh+TmqU6MLAdDy/3CAds2NEErzf488CgF2xgo0mz0dnd
ku5TLViR4h6E44SEduNqnnpt1xkXlaas1wO8dbsZYDeZmsI+ah571zryHl0SCrfAKW5rzW1nhwXh
LaVP3JhXsDvSLSDvgea9l2GXjdtpNv1PCj3rfazJ8Euf5wyhm1O/8NWvmh9fX1Hy+RUrv1wR8yY/
875ewfNGriH0iebRd6AuctTNVrobUwWb1Cjq9QXHo0mEGjx75bT9zWq2zStGzuVgdz5hV7hHG4im
hIdiTIdLTd1VDuBe0poUobHGWzRxUNBHl5O5VZquP5GA/pjOq/wY8vc7J+aXc35qq8aXW29N+psR
qxymc29cqfSCApppLbDIm90IzCD1G0oNyoOoL+304oEcWKO5ZLNn91V+q1Ca01b3OpUstxkmOB7T
BsLh5kNqJnU0LRVZLWZHSNdio8ru/HNDduIFnxGHPzD7dR9OM6W4X5cDMqlg7RmNsjX3WStum4nD
HOkTp5L0xvjterJ0xRB/D+equCkb7lCbxTLabX0XtYypnmekhq891dPWM1B1IwAFn8TmiSdM33j1
YU44nokksl1uh8l+Qr7GC7GrnLe1jTQtKlWx3k/mxF4onYywPvPYXs4gq5pl2zTrsEOWvd73gSVu
/1Mu/YvlkoeY56/WL9N/vVE5/KlY0j/0e7Fk/cLOxGbS6NKo//Bx/DaJ9MnEYNDosgX5IUFiSPn7
JJKlC4NBwdbYt5zA0z6e3/Yxrvn/QXRTkP1RmkQqsoeDSVDHUX0F3jVn4w/SJEt5nTLNhMdPAJiC
0X0iPjj91J7Xcvpn8bt6s/O3mSfB0rwWSFpsSQHLDxLef67LKJqwKARWffKdCYm7WqwzmQzh68In
cAdiIdz94av4B7sm/fv+9HpkEdmIwpgAU5T+qQ7kWWiztzV5vYq0xs1ktlXMeoX4vGF2nVM9xLh4
nTmwLnRv9uWvX/zPRSh/LFWoxyCXbw/k0Z/+2M4wJdUYjIuVuLSvVVlJD2acCu4Wa4XFGq/hK7F5
/+xP/gcfseDTclyP5drf278GiTpmCnzgE5U1PxS0u18VAnNMmVk/PyTm8m+/oAcEh3k5rxiyqvzz
Ni83DQhaFLXH1IibW1+zMBaqt10VOMZnJ1be219/rLpb+flL9QViPt1FkCIToqb7+SJaJIPCJJ7V
cWzmjthML5Y2z2pUApozS5zVgij5HJAzfvIxNjxBhahfa4Ya5GN4xUo6oy/9Jxjl9rjplRhhCetK
yZrD+ROA4X9yFTBd/fv3i4yLex9XFl2Tbnv+OOivcZASnjiMBNU4iXsxSA+Mb2VSIgxPGg3W6BJr
uuGJvJSIVwdhXbgHlycD1tnRNgGR3JCl5Zxwuor3xJG9tyHzm2sJNXpzW62BdZ6zlLg/ZdpltQOQ
Yp0rCKIVxFexWvh6JYgfo89AWi32GuxbMVtno/eNfjfier5tjWV+sgaP+VdGqOZm7VUjvgQ84Ulb
7tdZ7YhMtfPb3hHzg8cp4W0z4gLDY24q4yOg6pDwwZ4nLsh30qzxCcuFMCxi6VLL+sZVOuMXt5DY
zLjYQ+U+zvUy3TETLWlfBLADRZvJ3E4fBD26BYzUSs4PBhyJh5DpRhAhR2/fxtwGOdSbzslTCHij
Wan2Lagc9WDivauisIO6GoGICEnn6cV70JvzE9hxWGWVits3Jx3mJwMQzEUMxBFnaybeCRaz6xOy
6vnNawb4SAhBkcph0p2fRrfnL6XuRoZTSl4wrLP41c6Lot+OSFTey5HPMVgVn1vvWpcx5Etbgy58
nbpVvHsG2b9ZQpJa50zC2UMWGoIonA3CQa4ptT+u1TRPACKlTjaN91kxy69lrhNHXMEfay+qlQc5
qXKNjH4p0pvQj7PqVHRGR0KJZ0My3A0YzD+magpfg5bzdIvcigTqCleqt0Fo7b43Mmjf0qTl5kf3
dxcuffjalhWhaW6dcWXQBsJsh40Dxmzh6yfcZH6gxWknSjSbj5S7u32b2exWUdLQHO4Va3CgFqCo
TwQPkxI3AbB9IsQmLNH4kIh6/fwZriJ2HwN3lxa+vw0DkmOirg7N8/XfDDFuo2oxc86NNT0a/K2P
qT+o7ZSE4X7sJBcwmkkqpaGY2qOUeRzfgmEhFFPJaQTrNwchfGaUSjTJAUsNUKXIqc4DUyo4e0FV
2PMzelYTlUqMRkftS7R5msSs1YMAc83TZA0+AZmYBuv0Rkqo8YfFHPNp2yXGEj+1bS0Ii24EeS11
ShzKnb2GC4gPELVqMTrFbkKu2cOEW3xijU0Q60HWyAokFS9Gcvz/YJ4VyhqzoIAWSvA5y0vrxOlu
1g64uA6XfQjdo9Oy3okYcRbcxMKIoIFJoaZjHC7z7ZA088WDCQPUPQaEZRvL2RWFF0k/tT5J0+62
bbp4m2GZLfCu6fA0pR2SAqZ24vPgFqh3U0fSkgAnn2+Vb6gjIVgJFa6JLHZjNus56Mfkayc5Num1
/Js6S71za9bsssbVXe6seqr4wmcdsrcSNneo23X4GmYpccbSILp6y8UdgnEa5nobukrSHfl+/OrU
cqgZR7gvEAtJEe+799rywbaXrDyPHY4LxT90uOh6U4/Il4KMi9Ti/9lwLs9PPOa4lu2YJKCjZ8Q8
pdc+O2Ckb98EreCrxlkTfZsElRY2qfmJljN+1byvc+ta7Rv7BWJHVTG9z02QvObC48Bs7AKKk5l/
zLGjrRG9r3OKTZkdMt9xTkEbminAFgbaPEabiyfIK8/g2Ej+jGTPai8Q8BVWBFKrbK3PVW8Y62lN
3TE4sQsFGBFZrUSE2FtYHTzbcb7AVBTerq/pCUjNupuMNnmAqZGeEkbefpp2r+XQvy/VrE//zHqF
cUiCEbyjM6ZHznnRkqeEX8f+PBrxOEXYtKAnhZP/jK698LeZmk7CGYF2O1NHVkBq+ehAmj4gHduu
P8yjPY/7FQxCxaJr28wSQoOqkOLh5+nwWpWuUJvKietz7Rvul9Jy+PctT6z+RaSEdX8JgynrN13X
xs1+JQOi3ODZHKE5yMK4Q50x8tFVAAhXGtRPix/gCnRriBxsHsj/GDLouDC5MYjE8q2ZA2qRdhDB
nTMBJCksxdfahWG/yzALcVi4ZdKfGeksiILy4GzMC4+FivHy1mBS/ZUFXIj+B9kZjf/KRUMnOD/J
xAw0WVVfSnTnDB7Sxjo7QGJYIXs2Z3qONehV2bwbbyCaW058NcBNQ87BaoT0gBwRpm8GgClh7ocm
eTM7hBR6ZZtVjDEKzvte9cclVZyD5BuSDMIuNCDJC6F+HjS8cs7DBMsuFImH1uHlPTF15eGaII6k
gZlPvLrvK133GF2PQD8d434H6Exf+pNJYPww1QGr+HZy76ZxZMJYCkI2+8GQX2uHHE+mKj1XhL12
4h1lwPwgM8E5XdESkyvcIfHU8FKfigFBlXf48basWkCS6tKcSiI2DB5fPias264k71kt4/wwKGrf
CmnpzlpLuBmMZthpoukl+uOezF7bicw+bN4mIk7SD7ZQvOusavlbJ7XykjX9s//kdm0JCIZsSrfB
Z8yKn1HIFJjK96Nkdr2bsdDCAsiEy3NsNOLNSy0O1qXHMwtIZmZWhwCd6ILRSi6TD5SDc7P07tzV
CSTnom89l41h3rRjanwf+i48pONEEh3vmSonM/zw1Z4xkrE76XmSd+FgXZxeh5gmOtd13/tuAQd5
zvQn2gHlgsyK7jIa24A4G3Z4Q/0c6280R439vo4VV1xJZPDZsDq6hsFeTaKDsR7Asi4DFGivlrG4
wuVzorR89pzMGJ/Vj8Sx7Ef+WFkEIWlkRRuuequXdEu2XwpwxhaiC6pl1ug6z8y3KDdgk4lddo07
Iwso2w4T5EQWjfahugaj+ZDHboprWlo1qIjFyLLj/1DKYWO5KfO1vefr754aIk9PhUqNT7MRZjfG
gB1U6Ww2V6e0JTZ5bQsso305ToK/g0S3Wme7mYS8kZsdRx3KsSTgSHfgie4tM7G2BNhXWN7JiWt0
Ylyis+Pqa4wcZQhJJExYSJmlIhl00hyLI3TpOn0uvAbRDR3pxdyBE6jz+nuNE54ImQ/hTHgd1zWF
wUigXTi05gcGZWqrSLvz5FIdZx2AR20cP88eoXi5jsdj8kS8jut+cM3BvYeHVz/ybfNc1sF6PPmq
g3sN2wMrHwXk7yVheT8WLkEJfFQfzIWAvtbwxre+IbSvUdAxI7QYFJAz+e463M9TDw5Zf1R+9Q53
q/kdGTlJaz/mlBWWUXx5tU8+VHA08vUb5h3i69yRW3gvWAum5DOaZUOhbag2MngCs4mFUsYJkpqc
EDyvOA0HhHpjZ4NOcqA53sui5CKtUk4bluFckavSaOB4RrD9sBRTzjCWsnv7122U7jp+ao31Cg2g
A4MFhpBwWX7uSsD45CFPvPbYimvRj28H2I8ufP/6df6u+wmCgPBYZhm0/S6N28+vE8bpMObNAJQT
1x/2cLAllw5ncskCwtI8W926XI/Dv37dv2v9eV29UPI8OlOXTvHn16UlL9HEz+1xzkuP7Gaioio5
l/N+8lPOr6aqlyeUCZpGqnSV+9evztzmz58uXjS6Ym5w3gT7rJ96PkzGTE8srzmSmUEDAgrIvgT6
1IXaxGk/JLhnNmbb05boytt2sXNurm/hP27Cy9J++5//fv9aZTXp20Of/Tr8cfjmOMj6/vBtaVrw
bxRgjSP+n/++kH/7Tcpv3/7BT/02sgvA9dLIM7NBo8cv+53FYv7iWALVns7FxQ2jM3F/G9c53i9e
YJG1R5OvF5h6DPK7fNr9JYTEG5JhHoh/m8ji+n+ST7uBzeBDg40wFJoh06Wfry0f2KaRTqI+GaqQ
VnsgDomY1h2+DcCVbIgQ91nc9dPdYC9LVMlu2eJacA5+EvvHrnJJoxExUSnEAlpn2cH/mguz2HmZ
Ca0x8aSIiATZVeDhP5ExhRZ7AXf8HibkmdmtWUZjKCY6lsTd4SgDl9kOJ+XI5CCyOtlSkXaRFRck
qwDWOyyMFklNcFwah3CWexDXxI3XAaVBvjSf3LYL3uteVqeR0Tf8Pm8/SppFc1BmpPIs+QCjKDjW
S4YGJXVwbSvp8ghybK/5lFpjd7CVsd5IVYZ61+R5X+LAb4l2qlp8IRVqwvumX4aXIh+Cuzlfzadx
6u1tXfqParTCezNHqRZUSfKZs5ay3ykU25yRELCs4wTOzf7Q+4AIp4xqF7jDY9M2/qmnrN7jE1k2
66isD7Uf3iR1AehuLh6MALSAH7O1tJYp2JVgLCDdd+KZwQUCj841IyJBXXzuszyNcjWOsbFaNy4A
4ptSkjJU4IiJUh4uWzIYmvvOSwkKBmGv/aLTeMFZ5+5QlMIeiStxQBJSodDEVm6ucn1slS3vfVzg
m2K0L95czb8uxejt5JTTbfqFfFwLNkbT4pV7j/HZ1mjn5cnNcv/LiPK9rZfPmODlwWodwsAUOktK
6PhVBVmzz/PY+xpkuFXvx8XO7xNRFZsSMWgazWi6dkGFUidLg+AogeftqbrJ1jW1A0UIG10JWyvW
UOEXqGjT92Rawv2qxW2w5ap6x33jPrrLJBEI5e1LOlr5SzA3y7vhIclF+yPMe9ak6jYwtI6lMvmS
szBtd20SSFriONhiBghuYlw0HxxLNfccvy/pbLRQEh23O4IaKB7npkMoXzvqg1311Dtd5s1AdVxy
TTLLqPzjaIwZvHUEn7gxR7coonXUTH1w1Xltq5AAGr3BddsgsvGpowdq7Oq4jGAL6zXEe473jeye
0mYp5Ew8Y6lYoLpIqyIJ3V6rB8MQx5Dw2U0KYuW+9+z3puz8+I6IuTm9ba3yowf/4qkCMxkbgWUQ
nje6sX0oEe8VPpOyqQ5/pSXvsh1smPUD0yf5IEc7qH7FtxmvdzggN3UwjC+inR0t5E/7kbwG/+LG
EvxLP1o74BjhzdT4Njz7WJYL0wOvfWpno8qp0RaVoFf1i/7FLicXcolgK0qoQY2KnsmAFIE0aDhY
j3/goORzrxSLcOxutcdTNYlNFmEIvSITTdIZRk7lfzTxRHf9TorFeqzncIy/5jqTR2TAUDnh8G+5
hrszx4bAu1gUhONUAPJChmoFUz5dHJlDmH/BjbgYx6BWZnMSTQkCAogqrsof46h4Jk3mfkoqPRZg
UlpgceFKMcF0I8Ya6OfqbpofatynXxfXGYoDMeGqRfzV+fVW4fAjlcwi3H5Xi4KXXGlDvQ2OVLqI
hEKWbrdkWmZObXbg7NMP8SKmpLNDidqsSpDsbRQ0a/ilZAQ35ByMXeoMt0U5CZPdnEJ/5s9+sjPT
2vsw0yjshQZImWapAMcIPuPIs+LlwtbFBqNiyP4KhCR+pgqng+ak39eh252KLOS+n0W8FVfklT1i
whgtOz3UvgoOjWZj1UCy1isuq7dEczdrhlbMBHzfTANgrdIlG2RTX4Fbo2ZvDblnawfJgeTfXN+r
qLSsxMt2fdI4xh6qJpbAkoWwZxMVHTHQNDYgvOozLSzGSeV7ZxLW1Zu4YsGInL1dmN2QhwR4spjd
5DD0wyphvI5IcSu5Lr92S/eFZ1R/1nsFarKY8RAhOAHYqc58Toha3DPKJfCGidmj6xLiikSxPJXM
7j80Q0D/QtbBjaJ3+XW1PfGwxNZW+l5y4uiMj7DEzE+Fb2VbhinBm7K6uWEeRhpbLrr51ocjfc+I
NdjAwyy27bTkn1PbsW4wt6ozs9D9YNQu1l6TyInBSVlk5wqLbr7E64MXYjRFGXSQCHheVr8ZTgtb
4IPV1+jTVSW6TW4hnlylwYCwxA3tw+vPt/1skynlcMSHtiO2cIxAfPD6z3PoCkD8bKkTxCIP7ZKg
vFzTYueSXHFATcPIXhYK0jJuco7G1f3kYGLkWSjC9l2R0Xdv+av1TY12sxfD6uwwwVuoTTrnI0bQ
FmkC4TCtJZM9w9qWSRS038KcuteR+/B+7If+QQgrvKPFBhOb1vkd2pjs0DmpOheNWJHtlN4RM+Ln
LnCzuwVP+0fS8UySg6yQXyI9KgG0Jyh0UZs3lWOeJfDFIcq48x9E7s+EHXr9e+DXiOm9AiH7Ojz2
6FB1gm7gnSrYn4/IONZbCy/5l0kmcDdmIkIL5OsndvUf4772IquuTIoH5O0GXqsd0iBUpKZFp1vH
5s5Fd3Avssy8dQzJjIqnP82xASXAtVKXObc1vBg2mSJI05nebFxGi6ExNUzjZy+MOnZ5EQlJxGPi
Lxjog5GWeRuz+MHkN38g+pcR5dWWcCvxbs8BNYWbwmXzzVwPnnqSjrmrIPv7zw56JRplZsswHC7S
A5rwH3/Qv2iIhGz4V/X9+eoPit77psz+BA1xrj/6+15e/MI97vkkUgnf5pCgZP+t0A/Af9AW46ol
jFo3AdTYfyv0kYOxYRWB6dj82B8KfecX/qlF4+eE4geF5E++yL/ySfomjcZPTWRo4cZ2QgySdBoY
j3Qj8IfNvK997bB28iNQXz37C3XYwcrNMZGB2ofzblCt2ZDc7Kfk45Hf456oTENSpFZkIJE9kUmz
R4ZVFbtGNEl3NMrGIi+yZSFsbkyWAvRYDGKXOHVP8GitcyNK9zS4PE3gf+TdGzl4DuJIi6t7yjHr
MaJDRFhxm9yFMA7far1bas2VhpqwWJ6aU20Fd1Zqu1T1eg8ZslrRpiPPw2CEIfFgl35KKVAY+kec
mFlqkWfLg90xzkfLxwtPqIcA7MhgfkpmwdM8s+anPreZ0hcVgzinnf3+Q2LXRUM0SN8EN17oy68y
4Eld1np9aKW1wWFBmFTUusj6F4IOR2Jr9ZyjDfVizLaT/kh/ZV1o5hil2vP80DTGeHRU6rysExPc
2mGRJR2T0bFXSeuc2B1/PwTX+DX3Sn41tih09j4jeiAKMCu+5n3GJ1C7jX3JcIy/ObFeSc9Ozz+7
zjqo6sT7kuiR5JjwBoQ18W4nkhcfTCfBZx6n1Bmjw0GIxm7mr3YLXjMonPaN3RV/e3idB4/4GM6e
SwBgTXNwdgomqFCj8V9MGUGScaZOThPCOdJj+Y1v6M+TrC896Z4rdppc1/w3P77Q0kwYCMNlY3o6
6m/4OhHmK5Xyk7c08FUmwLbWdi5ICtuCpS+yRzbY/AnNkvNbAGjzn4EsWaWIcuRzAUdI9UzpreeX
C2AJMBI+OyOcksC4tDbf/IgWzsWdVa3I93BXfk9xhTEPUTVSkHJ6olYQ+4UMDjciC51ocbRPj76C
wgu/vjMimh77UrPjeLvuehpRcaFTZ4zxnhEfv2mlAUuQpse8t1RfRIOJNzf1NAaXHSNXg91LvtnQ
GXxnd10BId6hfix9nwEc8EEuPrx26TZWmGI2/tQOX3mM63ptaK1zSh7ItIUIxheMkYqWJAgTBvNF
Tgt1UxNDhpAmREW2Y5XO9WZxW9410LTcIynszsnIgTOAT3B439k6MouuYIiyzcRyQNRtxRWDF0V+
nZmSJmhLDb47pa8TNtVswvXQPnAGNAGCyIHAkvyyoTMzNhLggODesSRTCvugXoKRpBa/Xi/h64x8
KWRz2+ibXWMN3mKPtdnkjHwkk42xeE64FQBdYSVOc6bmNhIMgk/0HmVoWlYmbRnoBbgWDvyY6F1v
CUSdLFYyPU+/zjg7k4Mjs7LubfVZM3Si1ZaM0bMuLsDJVyNHOrBpWYKhge0wXZW02YQlNKhTVjvI
CE0Uk9pMWcWfY2YuQWgzX2h3XVDjU+cCMxxucsoiPp/r+v262sEjyAnCiMY5+WkT3k1NGd6t9NDt
ZsgWfkNDRDWDf7IlCF30Zeo85J2iQzN6aDpo7tZwa5atf/REb+5/rJq62aCXS7Gnz03Bx+DMfTLt
V7mMKZVczh2G9IE3xJpifqps6ChPi5whOOVjuMvo1A4OhJSnIuR4DurCQBljlfwe16vcE3w74gIH
jgzTZL85iHbkE2TvQj/W8Y/stOjeCjPujiH12wHEpn25aqc8+ooYQCZLzGcZhqxT2fM5J2flD56L
givKCKmPtiWRvpcY62R7kzQ+iw6nrsr0popzIvzMNTuMLv6NSE18S2UWu+8yszmaaUS4ppDCcoEv
3srX2stSvJsw6dBY1BYz3HGxLrkg4WRb9IQibyrCVYD6S6Q/Tc1VOqGRp4ECWnPOyLC5VEiwegIJ
W42vw+vFnUiC3wJ9Sc+8sezJr0kB6yVLBVc38RwX3IWs/kDS57cu5JHjaGmY4vWad21AGZGJoYck
CHIVyGH0PQJuMhW+UstS2oHZ4yXUZHUDTClRzDQQkvONPU+wRUGsr8dwkdhDuyB8JcqGL/LHkZZL
i4E9Ox0uJRGzGj/lgYSih/lo6nct6voH1+PuKssizFHr8vHSve+vd1ylAvd1qoeZSKFO9On+erI2
Tco2bkqD7tWiA6hfpyRZio9icjgnSlefUpaasoObDuI9BPy0y8euerTS0WZTWH+F6hqe+rbVD4OO
kQoptgkncMji6zytgoOspH5gq4go3drMKWlL7OmWdDly/DjVtLUS6l76C9Jjrchr1vC2YjVP7oQf
s3WGFBiWj2teghrO0M9HRCskrzxK+2M9sJS5cWuTu6bQepeGe5LwO44YtA2TLfKIVsT72tTVa5NY
/Q0AhdGcNgssEOoQp78w2ibCSD+IiFkvL9mStKRxj8GDVftmzL2rHIJ7EBh3ljWcUX41t2TBJVg3
k/Ql8zsUGJhKP3eDvTPspsPVH4qoH/zI9Mk/mjZjZVXGdByG5STTsSWsPeyr+AH2bBOBPP5Yg7Ns
W9ntDewMD62rNnnlP8W2K8yPjMGYUmBzJnHrBO+q4lSFDEZHiloaRYm9bVEMbm3PXuvIR5qVbLzO
zSNYy9XRug6AcEmRHe8Wzr64Doh8RkWmnhmJPGV8ZPjTojb4IgiTXDxyZ48hl2UfJXKEIWz7aXg7
OO76IZgH/0bmIY+5bO404ZLBVcUIy9WzLENPtTI93/L1pKu02Gh5aQB1K8gZhJntjHyq8MdbonvN
e1RmjMykIeb30m3yF2YwL1g5u/Ku7KT72BUpGUtYM4PIBXjBqs5R36WezKV6RicngjJWPbfrCE7f
BszsCEXPw6OpOrVd9KSvug79XJchwejI/D7o03y55/PyvjJnrffrOMU8x7H0Jtn0EoZkn+CN/l/2
zmQ7cuRKol8EHQyOaRuBmMjgEJySzA0OM5mFeXLA4QC+vi9YpVZWqiV17bXQUFKxkmREOJ7bM7sm
D36sv47IjO6qN3LznR9Sd8YfQm3y3il8AjaDKy89hHrGn9rbcT+cvucImQZgYG6/fX8TZOlyoRTN
3Ta+qvYNbcSHOBz9M+kFsUu6/qkLFVKp/JRN+6prboYl5oiinnjragTDhLnhSlXSusK0aBzdsOlP
BVrfuXGohuGXVhMQQK+lG72hi7ELdgZ13tgHiFbzDinuBYRWn6nTWArrjofAmgSlmJPgnHcqV40Y
yWTr1E59tNFwDsH6hHDmlhRjEuIBLHjB+mw23nqIRVHeyhCml3tRWWWTSq/Nh4Kb47mZy+HZnmzj
PH9K2canrK2ZXb8Nn2J3DIXiCrtNR0vF0Lzma50ERgaED97fOFyI+AZHooPGrel15pYnr0+Tjtgr
n9bnvCkq0Fm+/24UFXvidVNv0bCOV172a3wQuX72NSSrVcM3VzXfXXV9Dv8kWlxC3TFNj6exdj/a
dQ9gD9Zqe2E3wGllneZcOu+xNIl8wzaZXpmId0zXkklw3THM67ZhWPcOcceJwskvq13WWFikMts/
sox1DlWKLtmv+wtX03F/hoPlwyxwVB4qDhJWaV00uOYDLfMliqZbSjDUfkd44CGLLWCHVl6tNL6l
H5MPDv9kn+b4pDBLthDpRnq3kzReoI8nTnwYvNTgYJKZdwyoInsxih5paPZi29tkykoj2Q7cQNJu
R1Sxucl6PhcZ5LkXWsLL08J9H7FyLvZsPBbSEiZ/mfugkuzSfNbJFPAWd6pGGFeZuw5+HKQV4Ngw
dJIzlrxbAh39FwO89DW8sBuvqPFAMA08Vsom7aNR0zfUz8fDVdFhIPjSe2SrT1VBCufK6KzFVkdO
rXDvhI7qNN5Hg8kp4eIGGmUINdPs2HANcbMmeIu7kkMdnIJuZ47vmRI1ome4lg5+TlOku7VLQd1r
QhxcE3UD4Oi8wXDjqWurnGqxIAscWC86dqvrzpT87wW9hJRKuBXmxlHa2HhcxQwK245pq9Y9g4g3
Cp5NGfaQ+cpcrc+zra0n/BrltlolWTrK/r78/JeQoV+3v1ydgX4ENhdomzWe/cuOTKUxsvGQ5ce4
CbHGVA3pty+LWFT/Kma8wntRhUwjDQY/Ak+64OH7k+Rw//si/eeilbWB4dfLe+BYgm9krWhwVqTJ
z5d3nXpWs9hDcnQn/L9Y/Xo8FSq0YvvWohQmYdiM20PmZGlyPbTxUpMQ6ePbpB6sp8BU1q3Aazn+
vhP+K7+WEOHVZd+PrvFP3SC1o2IYDyI51gajH81gU4ITsWEmHbkcb0mvMfmoamE4Msak/U/O7XXr
/bPngF8Gf7y3/osR3BK/eA7q2S9I5UMZcueSqxA84pkCub4LqpwXJJ1RlTHQBc5TgR58slanVy1Y
z9CO2LX2nfBm4i9IckOSHof1Bt12SZ3/9mnXJWnMQfuXX8R1C4xNgl0+TtI1g/HziziGID4cIyiP
NQlogOnzpPrVRN4yNOEd7rZ1y/LKm/ruHUbU/NANaBWsRlEAmkk+VGCV/sN39Ovyl7JHZiDhIIuv
FJXPt91PmpDhguNWzA3kIYmDIsLjvB2QpF56JJ6eLNh6/dW23X8IVtinduR+UWts0OjTPJK3fd+u
dzB+s//+G3P+r2/Mw2pEBQ5+kn9yPPgYc2Ulu/TYegkTakI8am2A0wCmJkgDTl8/AksNxGluVr/W
BLC5uBqFPWK0HimC/bQwQ7njtiw+52Jr4BprZFyiErEwvmerl7qM6e3ayFXrwUnMJ9ugP5rRFEcb
7eAIgx+/X0qzSuPgXlYVoJ7b6SGNV6szmdTpfp3j3rOaYp566UlzbVy/5Qb0738d9q+2F14nn+ix
Z6EbCC/8NfyRWkbHKs03Dk7Kngv+7ILFOEBr5z2z7pQ4+MMzaYPReKzt1Yc6VSnf1kyVLgsBEvmP
iQO7Y+suRrnNAWRxvAqbf5/8ck52n/KQY68uEk0RPNw9jQ332LDbq7aZ347JLhk7eVzmNfrh2gXi
DZtb7EhUM1Ufnz/sf50m/8Fpsj5dOML+dTbsjrK+n00mf3zB300m5t9cDkTTtMmqr8xqVO1/6M84
TCxOntU4wkHJSfqH/iysv6EI2xyiFj4Ujy/7h9Ek+BtqsclbDv8DX44z5C/oz9av8rNPhTQpG1wg
DpluVPA/H36xNhI6m133hDWsjSM7XwoKetv4yqU3YgvRlNCmk9PULLnzWHqKrwJikm8wbqZnt0YY
Fl7ef8H20H9JMJftfvpN/h8P2F+f8Hx3tsmPzzdoO57360EYEtCNLR2KUz6K5t1NxXQPELM+1+7a
Ft3BZzuErQmYp21I2f/7P5vn9y9PsoC4XMAHG8CYH3if+4GfHwxA4JDGVdbRwhG/Vl2M/qBVFt4U
ITnOyGvxZ9AXxs7KmT3/ehJh9myhD3+dlnr58FXPVapdZucqwSCyKzxVHoZSqmKHMdW7+Pi05y2N
t+4p1tVwxo3R7oXZCqI5as2vVSBPcNlXd6k9k4eg+5UWgIDpkJw+7hmllmresPo3uo1Drodzz7Pf
gJEWmwbJbcOxR1ALG/iOFYp6IJ1bc5MSNaLa4ATFPsGOnVL5kXK5z4T5xZDSIAPkPynKQ0tujR3H
ju+19a0UDBBGuk6csnHG48xxvC2Mxdnk3Bzwx/h67KCDwvFpU0qiK3uaX2tKRt2NAb/57OocfhIO
nS+BjiEgZCbJYFZ66URJsBswjzvFvNdp6VEURdjdELbuIaXa3cN6zbtg28+sKIfx91Y2psc855sy
CpBLdlo5MtuPhPsAp/JRInAXJMSwu84j4oTS8mSpJt3hB9DqtHZhJ0Rs6+FhyhTEJMvRUJIzzCd7
ZKs42NTxgAy/cT30nx24Nue6niRCR5JktqY+nGsJUpzgZc0NcQSpZNO1Khjdteu++vkc0Cfh1fdF
LSfqQDqbmR585UZIGiiof5ysvZnnci8Hct4zot0BGZRIRmqP+8LM9nShjBGf1PBElLR6WIgGkXpp
VH615EEeBe7gv5OeaY9LZS67sGyH45xRTrQfGEFZUOY20zsC1gQTCxDcgQ2/Bek3oFM0sAhq5Ost
Qqdrx6Xvpj+ENsc7q7Emd5PVfvWDJx1ZFmznzqbD5oVxBCB2tpnHxXU2ni+9POKz90jIg/SKKjLl
sjGP4Sk+WpLwfrvBY9GM25iVSLLNp7i2NkE7FB91zoM52AwyP9hmoz+QQyuLwAZtR+mmrVvUjL4L
ZfY+ZmXZHsOaZ+Bd39Nbt6jFoajKycfXNV/GsxTC7/uC8VdR5awmyaeiM4bvdazyMpLh0GGvAAyQ
7QYla2PXxMF8Q16qnre96Q/WTmEkyx5nh0K/I7QAHORGXK+aYC2rJJKKBNVXFgCUJlJXsbbazm6N
jqML8wjoIuVRMNRnmeqsjTpErPe+YfxaZy7e6hOOFXT34gG6/HoYos/BF83qu3xRtBWrpgtBqYf8
aXL92eYUVgjFWZZGg+njdTYS/Zch83IBI3/ku4chthy7Bo5G1ugWKcHFnT9iRdmE7ojUkGo+yLse
Icog5TOpb2YulXmTZ9Kl5jxG7yfV1TbviLqQ1NAVSbqvRzlAPX5PAs1lN+Sf+AxjGIkX2stL2TsG
1bSFdhao4VNsxyXVV0JY87urFJf9qwDTBf9RkN+CBwgHH9gU9NZFj691MpVZz9rerd+pYKt468il
v27k4t12vcV3zB21MfYaPne+EYZsD11gl3fsgMhneU1mE8qz8gmZJOEe0DR8sDKIV3fSLTEUsl9s
3ChAgT1RBjxQ0jMOaXWuCDliduM74L1btWxHiSTj7+jklHPRcGMV1b30v6IHaIAfGfv7bZkstUUD
lzebG7SdQAI29PVbA7z7NvXmkMZuL282cWBS9I5Asyt033zr8RaAV/FOI2qXu2Iq9EV5pVNGRiHi
8RAg/dLbE2Q0w9sNEEWBU2ZvAZy4SZ0xptPNmOtzChrryUZm9VhdKfc7BSU0qo+OleLboXjAboxl
WxIWOAtSgtdxOqZn5S+y3wwdQsTUBa27CyZp4YAo6YdHIvJppokhGvCcWfiRwzkSYYdBnUiDb5O+
7Hv46I1Nb9E8+PV8qLVD4xiZ8FxGnOMwVhNXUAfEgd9XTv/lv4Pj/wsqsIbRfxo5/smifFeU7+x6
338ZHtcv+mN4DMXfsBpwXmBLgqNMceT/Do9I/fCaPQ97v23aq4f5f4dHx1//H66ODC42897fHcoO
dZKuywOVCXX9ur80OLJP+fN0ZJmhs1ZWhsyvNkv0Xx3KEo5hPXlWdyUGY4ocUcIIHIe9g0h0cZkD
8O+FsIs3Q58u7q6QnjKeWX3kHwDl1qzWxAGA4l5VYRYfDGWwRqAroLwOSDDm9wMVvl/JnPhv7uLV
Vynst+tB53YUrtkm1qBZdWXzlt17RQg9fszrc952Bm6FtG0481W7HKoZlBoGzW2ypHa7r9h/hW8j
qangSMcKt/uhm73XUU8sKmaM0ii+WQqwEkrLzvmsOwqTNuC5tLYgqc9CpEY2cJDbtXzyjDSZDsne
KCtTrFiZLJ1Q8xHP9C0d7sT290FXLu0tjBB+3HTiFAIyMuciPg49WxPySPD2jQpSj3CpvAB2H9ou
vRLsUW4Dm/YjDU+U3yfN0DNmyW4bu6EJTnUcfWtrpbFlfte67Cl6LtLMZaZCVXTRO2vgb8W2UnIx
5o2nUKlxi9pGBekNYB9h12DphBW5eSuWbeGNCUopvio79bFl5qpZ8g/k9Ll3i+1AoboLaqkBfu/b
YkwOdjHF8hbak3EyNeR7/Hsxtm/D2ehRkBPq0xp7njEeEjjWjwVBHHYtvUkakYDpxcIouffCdn6n
zKTYUVRSbudiTsEcsb0ZyfOe6WFwDk0vqhMLbHUo6rEbNl3dwFUYSwVcb6IlKi32VVU3ETaK5I59
eA2Vv5wiTyRFJAbmldxLmmO/hPFFVrr6EtfGQBtjXAabhdTOXZl7z0VTJReHdcK9Tkf/ApR1fAOa
PUV4KilMbtPpwvuhYefXZDwZp/i+tJuZKobWsLck9xh12NRE2sr82zAs4pcUN+5xSj3jzkB0gyIp
jXA/+tI5x15cHgysFEtk0cMyv7CPJBIWl95z51n1I3vpgnLUOE1YnOSdM21ZwPnTtkHGPNUSf9Im
HHDz0z84nDQD+kGXRfJCitu5DhdKLDZW6+onhEqAvkFLRB9MrCx/w0zIIAyjmz0Ue8Ea43mzbGaA
bvfc5zC5a/cp7/Au50o4G+FM/tnCXEHze0ZIEJyRGu9wsdjXVHw1RxI45K/zmdca0rm8MLHXL7Kf
6sMY++03TUbd6iiRJKIdXPFKVzvAU2I79y2VqvhzLrHXp1c1XMinBHLUq2IfW630Hft73kjz2lhq
HuVd5/hXupzCvcjbH2PYxUfLhd9DnQoaUOznj2ERqFfTy8svMwPWF0cP2VqxFBRfOqMOqQfiE+YZ
gzyg9tm70NfDPmu9a93QRgNOrTywuqAsL6zdKz31IVwyeljbDV9r0BUItHBxF25QXAuz+zrOpysW
dcyaFJzh/rWQmFIKbMtNRrItEkY37xqtqO2LgU/xexko+SjTbWKYQIl7fdWYYR1xkbZfhG84d4Mh
n7NFPuat4X9MLpVRGzMcTRQqTUpla7cLeF6Zi+sKH8SZBFy74YYdR36WnELR+zezlmT0GtU/LvSk
RHgYmu+ewlTb6qW5B7e5fOvQAruNBXed1k7dUomTiOckFe7W68AOgTMmLrIsYXIDUlu9Da5BYwfr
WLxXOJELOMnM7/JKZW3yDrcz+1FqRuV+7M62ivXO9fQUpaNyXm0m+6Nj+GxSJq3nsz0BBhGFx/1t
gFHLJ06kUNZxV+wl0xU7EzNoLkXe02jaDhZS37puHvsMRwwmIHwIKeWC09FeMQ6NXgWxItHO4zjE
wbdCV8iCKlvtAMG6P4/jlFyDEbNJY0v1rvCJXYceDC7mnNXNplY/UGLVpJa57vUbWwsWp6vpYEad
v/VZ1c2bRNG1aTksl9jYpSd4e2zXWrrEzwZFeLf064E2026zHczpe8cz78EisHlKjLjf8g9lgZLH
PdS8Njyw7prOxrDy2oI2+C4a6f7WGOIjazv7bPljT5lKx6WdPPKuQ9rlQ04PCaU4wQ2hlOKcmpQn
cqn+nhL3xwfDCCem6bkx5SNFeyCeLZluYS9zZ4U9t8+Qlg4m/vpLZ8lmZ3iEZ7ai1/0xMdLbshiT
PVTWGP6stL6QyAW1zLJnz+f9ew7++KGziWumDIpPCdltDHWyvdI5OGFJQrC8cRuLybCvx5umNpMj
Jcm4Zr3KGw5Af5oL79yKVGmo7zMk2Y9uYp0EPNEqGXtE8JJ4sbjiO5wjm4KebeO23BbLwq3uq9hw
96U9NyerHuytiZIUzb2ZnQ2Z+BuvrpvDoCYVCTUNb5TVkHYOmnoz+sXXobe+5V1LYIPH43mEV6A2
Xq/TexF0mHL7hprnKrW3dDT0v1nOWOyUNavH3PTc3aevo0lQPuAiBARfjfgxG63+FvFnOOiQjNDc
08Q0Jrlj7fIlhCghbMjihkyNk2btngk2pLX+Jk1RfqXeV+0TYGUfFY7q3bxAneDY+5oG5Q9ZZP0J
AsVqXyiKCIuIz6PbDzczYJ3jmA3myUTtjfBc2nvC6taZ0qP8e5gHFIiWqXGAR0jbTh+Xl3woHXbY
eban0KI7gR9pd6orwyNhq7VomckLd7N7KOx0vM6qBjteObGSHSzDiEw2u1sKLMad4/f198HV2Zbv
/SlTibVVc+od9egQ1nZvFgF9oyZWi80gtPeN5X7vzPaiKIre1BCyuS0uB45og6Y349XKqJNOU1C4
GY3fG6+kE6kwm1u/lRffJDLfdzRaVpTR0VOzagYPgTGAM6R6Yk8lSLCBO2dvvKzGxZXC5CCFsY9F
eeNUhvEQ9pM+lJ4Kj2LOWUQ71QUq3T2L23RP7o1Kzwa3qVfO4DkVwYOsKA+wIppoWNo6EkkDujdV
1qEeHYLghu/cGQPOCc52/wmMSnZc8hjTiGv96GIP7uGcV5uMnfoGu6PLg6xIeR446qJtK/yeVTP7
YIO3X9MbR49Gk4tn0DYVDhSVje7ayxm26jQRNDrmUPc3SbYEV9UwX8rM/UoD9/N/71L/v7uUu7LW
/o0IT5d6U//5JvX5JX/cpCwKItnQhGz3Qp+92ror/kOGR/WmRMIhSexC8SLN+xOezfsbtp9wTXWa
PrvMn25Tq0KPxOGTEGXHSpFE+FdkeKT7P9+mTFesKW2EbpNcCF7SX7amRa+WQqswu88LRJpwy1oQ
grlMCu8ujFtBbs7rZH9oSrOGOR+HrBoYuDNvW8Rjo6fbDlc8Flb65TbAOIrBeeAkWotXXLZPhbn1
8O/h462LI9qHqe+HsjM/KrPVyJscDlmwlVYacIIrq8Ga0wB8DsZDEwrwl2mXX1V5bf3mAN1oNny8
g2/GGqeevCC58gvRbZomYbs1+OWDi8h7IEu1RE5YmnT7ZmiCAKKV4oIjOWGWsgX6ujjCePZN41tA
SQ9RM+w8QEx9OvTG7JQtS47BUWQnnw/ZV71KVUjj9DKQEEkfpB8U1II103w/qiUOo9bWldw5LT8x
ivgyoIp1ZRsBeUmvO+6INAEnW1iL3rdMj8NzD3I+v3VtPJ/Y2f27jBMdNxv1jRj1PGxHA8AWopTh
FFLJbGIqffTdAcgNr8T8Gs8cBwYzm4KxECePNIDE4aanUgL6Cd/+KfPi9HrRE54YhGv34InJPCUE
EnehV/T11sS2Yu19DCkI7JnTfpkl02WSdHAxAn+sroy+xvFvuDSxAR5fgrug0L6CLb7WiedLhpDj
T2m/RDnSjoy80p/fEOI7756fxDa3NgLrFIVlOkUZ5g4kQkYiukjT33xJd0GaZMWxz4Ta68TxIndl
iqKS+5duQekHglQkkT0PzGkevR+U3cUc5J11MdxQ7+qxAjAifEj1Urreh6bpNKIORN2iEiwAK+em
SiGMz0jO+6422jMlfxjHzFqZfntlQ9oKWo5fQgVAy/HvwFZnAdXei6JDMljqzBIb08FBWHNPBZWA
968HlBIXVGJs0FSDgIYhSzgiqhZ+exdyPrxWizX6j9BKMgzbxhS2L6Uc/Q6APbWKc8pQuJHm6run
XWOFjtokdnkexRL2S5ukH1Xnzy0bWJ/4ZRnMFAmPLqtovLETI6ARZOeR6N61F9f63a5IUm6KXlPK
Ah5lPk3JDHmDDoBawtnxzPQ4g+hvMAGKktSdxTC61UtiDEdTVv6+TrLsPpvgAzJ8jSnqqYwrPtmE
mtfcw5wNESVPIIDamMX+eVky1UW2IZxtk/JqRu24do6atSGXTc6dJbn3alyvW8lDzL+Zlgr5oXfN
g8QrGKWJk8y84wQxtdxnOC8NP7s14PqP1CnFJbcc8u54Z8pAv9pZz+xFc0JyJcweztKQLxdWMN+N
Jaz5TFEnS3GWm8/u7dA4PXuHjgDYPlGEvKe4McUmwCr3tDCd0QgQt7I+8D/iag+NehiOnETzo+jC
qTnZLuT+LXK/7R1KM7X16dMx7zSt/I2Cu2dXgWhxMrdfHsfCJsCpi9SCcBvPUxS0Btpn35s3C9Wc
F4HxgZuqCPNqlyecZi7hXDptu/ywTE5wlRuUw9NaZ0zTebI0OzFcCkvEn1QcgiDud6WVrLlEXqtm
n3D7iuxFOBejnc1x76i0jMgC2teAW8OdE+S4aIxs9bmLdLKe2oXyU4zBNq9zIZL8m+z8/B0QsvHs
yHJ8Y7YdJQs4IfisiWmMiHyTure4nZ7IrZN8wOzW7ygOTeQ1f4PA02asDmB2w0QEN16AS+dKYPO0
IR4C+GypDZlLNlBUs9ClSY1Iwj1VJmvQsx2PRicpv4iHSlM737gVYYembhUVl3VcPllz4ryQxPiC
DYfO2d/t9mFt2kcv0P7Fc1mzJQNGysFOu5MfsmcjloAntzTcONk2E3aLOu7FbVnZABVRKCrrRsum
ucET5+WHoGuc126YXokXEKMeSFRbkZUhumzH0RyADdHcqW7oPwMLOlv9A2gWUtl0RU7JxZogDuFw
FeW8zMfK8Qcf3zG3uyS+wtGqg1sRFNb+v/PU/2eeguWwslL+9Tz1kskkq7M/adN/fNE/gnU2q3Hq
uCC+rpQMbFN/NzagNPs+UxEeBuC2OMH+oU2HxPFc2BmmyT7fRkT+hz5NlxeTGUE2j/YAe83c/QVj
g2/90/aeP95hPvOQTdy11fDPzoZgxNvbzIl1DIK5xkM+Nsw4q698qefunGlnR6L061wHmM/V6kM3
VZtsxepNx66nbp0GmHQoca67fmzFO0kXwX26Otvl6nFvahzrG4T5UxcPTzGW52BNg7+bTlvILJL8
gp8RAOsXm+X8fVtpBInRNuSHG9dkc1K2mYJO2PfaRCTeTnbvvjstMuHmM4wzeI3xo5j86blwmmr6
AXYk9HMYoULfpo2/k3QKsenOr828aOHaj3H9pB1BndUmMZS4VYNtWZGdNsaTIVxs5iR+xx3cQUYO
+l7Z82QUZPm2M91acmJ3WqTB17IoSaX3wxjwa2FfdLQmnSCrW2qL3t3hQbfX0wWSv7u3Oo57ukS+
iWqprxM2ohs3WARylCheZd5De7BiERksKYh3OfqF9dO8Ig9I6gsquQ7U5Lb3iFWmz54xFSdOSuNt
6Ev8kz2iR2rSk1pkXJNpEhk7/6XtMxqffQ/g1W6RC5LnlMd4U+NwjQD6ixjsuy5zcH0aXAyeJCnm
d9WKNWVXsj0ViQjOuHCsp0mvLEKbsgUYcGtmJSwYyolC4ldNsFmTs2hd/vGDU6JHyTVE1TsO+pc/
9ES2HMjdcDDcEf9bkIY4sQzZkYnRtWquLRDlUOHX/1paOa9r3HrMXp2q+fvmtFrDJs5c4GRfwzP0
JBCNdIeKtCGHW7b9fOwNo8DbAlqNw/MzGxlQG6+2YIzDF0uB+sIZxyKVt6awnoCE8GNU0KcO2m/U
ckDiJyC0RkzaiSTAQQwBIXI59ct1WCP8buYKIJOdUFVAGeTCD/QpiIFuwIE5FJDernhg8g1oVLtk
5yfUszChgVZFz0V5SuIR3ccFT4MhAZsahbA+nP/beFyjSv0Qm5RNtSN+tKTJhw8MxzxbUWlxQUzr
PxbaJzbFMs95/nORH/sRe+Ma4qEtkn/85K0/fLAweWww9vEblHq1+iwdi/bPMNU0pbwsy4qH9BIF
1NQg+EF1h23eB3RJAXbjT/R8hZlwNMin4Sznvfk7/inXBDu1LLAxO4I65khoe1wOUlri3WThQVhi
BTV5JsimjnF2xAgxySPYB1dcPqNehbNOqRh6Zb+LPUVUrrPXQGjilPxYc0VaHFey90WsMvnL53cZ
lItKjuVMLQ+3Opdv1m093mUGS7/bUNKRhS7Ws6PpvXVlX6x1W4+DLppi35TrS4prdf2d5LPZ3w50
y6Fxku6b6fvob8N5tTz+nks0Guy+RbPGCEOa7A6+Ljmh/ByHoKhMa96v7uzflmXNKuaesb6nLBuN
MXGNoDo0alyHI6uaINW2xYQHsRh0NIT2wh7F0w+E46f7kS6JN4d3GrTARlkB79MaM0cowvY8BGrb
tC5WHNeGm7rpbbycqqoTQpCy52pn+vH1J6GRF5NLH40v1kOezgNZPdm3b4NQfbzHxTKh94YUEeqg
2i/cyrfmmKzhiaH/nhuOBXKCh84LKLfpMfCMauvbdCBvbMkosiFdZpw9Uxj8dFVBtcrScNfYDng6
nMgNa4RnfmXjcpxC1z9qK/S/dxSm0iBdN4GzExjiOBz6gsU/RfIn55OeO6/EUen7nCBUH9PoYFf6
Tluu2LERszFHDY7e2B2gBIYi0Z4cStO5qgdpupU8MS611dYP5cgMie2FrT739NR+Dpu110/L+Yfw
K+cqhh55zMfA+ihdf3kJEjX5e7aK+bmTXvbDQXF8ovxqPuFGZrOSl/G2yYxndGT5Qha7j2p6CRrE
ZZKV6NsEbUjnArwGUluGU703g2re1ZQn/OByRQedw+rwOnA1K5eRvnlB4jt23tiE9CxaY+rr6Pex
TmqRxU2FbhG5uHyxuE+D7W2zePHPbtLdSk9WP1w3TMVuCST4imnuyMYOU3ALu+WB1Bb9hRiJHblF
T+itc4nfvbswYaen0UQyXxEpC+GkqO+K9karmqoPQ8X39UjD9DD7yI9Gqx6sun51Eo0iPYT9khxG
lTnnFoKn/Ry3TvOCe0w+grK5T92xI3uwWmaTnoIctuuPtU8Kjk3DENx1IjCPGZSTHQEk8zWx9QRG
NXha4Ep9UTTwHhp2MiBSdN2EfD5aDEmjxGlWOPo4tSHJ7da+73vI117VpsAV6ecmgbqwxoy7wbz0
adPsJpvJucyltaHOQVKkiVOl3eF6q2kli1P9NQZ8UW4todx8b1ZKgRfqyhI3kiVKEvO0fAaTOTwR
fw/eMjs0ex6FNLypnAtCZRrtafRwXG6JFn+FDNles0dVt4NtftUy6G7afpkHolRT67FwjinJ9bjW
kKy2H+fQENfzlFuXwvKG3/CKya9zCKH8HQ5KOV64cMdEFej4OyVlUZOblK/2vMSXNLXiqPAKgrCB
NZ3HwQKs2jPSkJa5UtiG7qQcvF1vc98kVlT9KAc9nTuoujtq4ewLAabxjft8HCVcPu7DNnSB1moU
/6KmqG1jYtC+Bf5T3JCDtesoVaZxwY/mRr5Q4CCrEjCS8Kartq/qr5kaxNZt2udYtQAzTfky8Ejc
Ef9x2WWabxaVhznc5rMxu+JVo3NUfOZmCbSst4CooQv1iUjuHBjMN8qXkKP0sCl8e9ikpoX90m/a
CdUhHQQ/YUAZayrw+bAjVwMPP4NgPm8VWqXOFfzgo11aX+Jc0HNZekA07UZsaz0UEZzQMsL4xPvA
huiVgiDhSRHGS5QIiuyBKQlrHwrHJCVot84lSIRHKlYOj40Uigd9DVUTM+ewLZaJyNbALkYW7qZV
ybNndtZ1zbKc5dVE0qmeXQyEVfWY5WzDoNPk5d5GM4kmu+SK2ZqrS2zwANfMfZreVyvjqnDM+cmU
cryee2e1gPKFI4vzG06gkXwiy69oqMKLM5jjoa1Vyl/aor12qqUj1gcLbDvXvd6pBpg0XSUNrTn4
yi5Z5pmRjL0TDkSWc0UyPwMViKEcV+olVekrtsF4i+UE60Ayjcnz2IYdMuQ08MTtnSuvrabjZCbs
B8I02BMp53XAP6iRsSozXJDJlEdisUjxLXvVUGzbySXuQ46AwSsNCZH7VXloNYuoFqL1ZmR/+xjn
jb/vpy7OdzwO9TEAZhGxS8H0ECNxYakiQbAycUmBiWiZE7xrYmYvbqazup6kaPZkLiZnz9dMN37F
3m7rc9585J3yfgsgNu+ywnOXYxoO5ffW98lzS6qty3W0aqtebspxppWSQtBmC5vd22VGRykpiKZt
oAJ1o1vLjmJCgWuTEXg6oj3XePrH2wUCh/PM8624GeoSYs+2on7mPh+oPesLt3lQcKW9hxIXBgFI
I5QbWnEYC2otvhX0wyf7kL0aHyCTWbDwrAKyxvSYjOV0rou+382qCKdt3gfxpWcMuMH33HLyzk5C
rdeIzWJxcmYsEb4lyMMPS6xZl1dJuu8KNZ/d3nVvuzqlojDsOgMt0VVXTlMO1xPZn0NQZ9O95Q79
U/o/7J3Xct08lrZvZW6AXczhcHbSVpZsWQ4nLNuymUkQBAN49f8DyV1tbXfLf59P1XRNyfYnkiAI
LLzrDXNz0c/9pYjXZdcnbn/bwIz5DtnVPptULy+cKUjPZBY/UqjNhwhsE/aEf19OugYSmaqK8Mul
yeoLKEWzcyiSlfYTeklRbkmU7MpN44bru9GzxbelaghaYMmrSX5ADb/x8EzDFQ73tGqUVvNdG1M1
K8FezcoxHN9nogjGb7ESD2LULTigfDFlaywWt/N0CTFX9qJ3He5t4tnHrX32dPNa+6uaE3G9kJC+
KWLmwjlCM9h+a6krCNVlHr1LnoXIBZLkhLxcWbXpXWfUyibkCJNUgmLnj7iLd2RlyTiL7jIy7u/Y
/c7Vi+75t5P8vyHVn7QaECPQYfASOFsEHfgQkV4fjMl6HbWbUddGUvrnszHADorcfVg1DiuJdP6m
kgtONQYAnfDDAhebTdunVDgRWNX5pNE7Dd2xpU92pXJKd7KGcW+zFECa243f89r2/ZtsikfvXEpU
jRB2oQs012VQorp/FgiFfevL20YaxxkrxOpA0qF7nHKsCKaqowD01zalbGuMf3hmewkHel+t711M
5eUeCzB5LEacNJQog69dMM3q/UAXZTisykF2vG2Nx+yXlfNEZXBfDmxZimt84WVGFs+K8dDgpPt5
rvXwxJRpf5IK0b736MgaaqZJMkAPJz7b+DosxMNhv2zWTpsDlmOl96s1jAMZaRwczp6NcDX/UMJy
FZgGSJwDlv3gxHidmLPws5/C2y/doB2vVHnIT0IfpIYuF5rfU6lSRYUM+8buUOWZ8zLqbM4Go4Mz
zPnbFzqVbCTmQnicUAb4aCJPZ1csOcH1+Fwf6xwvCcCJptmrtuf9PDujD4VxOSLsgEMItmp/Ux/+
eXUMm2KsUzGtSDBoMnP/N+UcKSfYR2i4SrIU7kM4E25UoNGifiRnpYNyGG5CFXEIsOaGY9vbj+6c
UCL5sugfIvlIXMeoCU+ffS4D/L5TCfHMEfx2bEsAYOnJ4WNTDhybfceYlEy+7i5/mQPLduTg12ZR
fQT+dR6eb+j/NFt/0WyhOnXe1Gy970aV/8+/cw/79Z/+E+SM/2HAygh/aRu3X5eV7V8YJw3b4Hee
7T+9w4J/uJxosLv0AFmhjTJH/0nBdf9hc8AIACSh4rpYVv83ECexqacfdUSclw3QGnMfjmefNI1H
zPFaWRbdcYEROu+TnFPKtm0LXPPbngDG1vU5BmdlfJ+AjMFKB/K9mcOl2011HpP/iQ0/hlSF9xFi
nr4Dx2nfT0OYfiHXC8wSmS7WmfMaHPExBJxJGKPLwqImJRSVVtC80CHcwf6lOGBvTLyruIZ5VDmd
BabhB97FuPZ1v++TAmK61HomxJm+xbJb4ev+HBoIZsBP2j9U1uDf5nD/76o89bdWBxi4t3vLu6Dl
gxIFFLEtd5aXuxwbl4FvqNPhNWhqKrbKxWtpbDzvYl5j7zxZsB/Yg31NLMXc1A5ff/WDqziAeX6L
qCod28GDJdlTs0YQSV6sodCrhBxSkY9U1GVzcCz4zqM9fhHNz4IXfiSOgmSkNsCLyFmL9Gmllu43
FVvHR7FiXLBNubOPPpy/j+1sV++SyiY0iNSm23kEnRXosW7VICd9uYCsBTsfyIomcx7hbVs3tZPS
puuJCwTajO+XivvqQ8FAlviVNqYlSg62Xy7RPWCa+OJkcXyX1ghwN9BBbWeXJlhC0fSdu0MUN4BM
0DsXMNbbyumTu2DIDbUZj8rjwPgdJtQoV3VYQNTJc+O8AOtneU69KIK2e+84fXxv4f9yQ0g9qUs6
Do6Ng4VTk0qchhDbneNu4V1YNbZNyxh1t5XsUbmuPhhDGJV4HQ+4Y2JEMPq7gpJgOK5Wo3hmxzuA
qfTf5rXpP0tUCR+FTY29TdY+CI0QYXjCpDfeS8oEUh5wEL5f6NButPaT964ssvvFWwEmkwVy7TaY
vC84vGL0yMwL8NbIrflrjIcKRq54XQrhRdlh1DYNzaVsiyOwhlrPyT1y9VmRjtaVi0/EvJ2RW+El
hIkDth3EcarzPKgCdF8z0ENEkQA3z1swlokt0CdHhuGH1tH+df5ioUBjHu5bDPKIuUL47LSQLc+2
C9YvE4ZnRwb97M5AUIKR4BnPhlwY/4bq2csBTb0xdoijOD5k8tnwgXQXS12oZyeIGt1f8dEVA34Q
cPwDSN7GOAJTcOs9hNCBnn/KkaSBBGaMJnIcJ9IE64n62YWCfclYUrgvBhVZY2OGGxnjisBDdlas
eFvYxtYiNQYXtrG6UJ5dn/drNj8W8Bl3VpJ31xxE+/2AS0Zp7DKKWrhIWEoXELBiDj2GYZqFRz5v
6wHIL4UuJuGijyiRBbpFLDkKY84RGpsOOJIDjh0t93DUdoGTxzS6406rZbm0iHc6x3c02Omkfdet
8ZWC/ooA1BmgVXbLxVyU4z5ainrvKzr/CKTOaBlbT8HKSkO0PV7TwOCxU57pgr6sFiq6gV/9Hr+5
bBdls5HFBY+ONPG/I6yUVY/dLREm7xxQ/s0k19TIFnEa93vjxwZ5NEbtfsDbYTuUQXtpt2L4Uero
xl7d9DPNFIAhImDet+EU35ZTN0BoJ3zHr4fpDiiB46JRs89Frs/8cL0p+lif1b6ttnk+1AftQPwm
4HbYOhWR1IWUncDDZf3cpbCB8RK6XYW8Bg5OEXNx8KMdJM/6FBIQEK59DVVzvg0HaO307r+h+unP
YFDE+yLV6QGlPJbVaTBsKY/749p18FumyboosVu81DWmRWOUfTHCq13mQH6pIpx63GQERVSd/DiX
/Xy0m0x9KEepmBizdZbJ5ecoQ7Bu7ID2StI0oROSfvGqwGo2z9VrWPoNWXSxa5+PIZqmo9f4wWWL
I+KBBCCgbIGc4EwQ2XGBj3q9XSwruh9FnpwVK1tT2RDTpAIf/uAUrtGNHvrW4KYGSor7QsEQ7NPH
pCezyQuadM/em99gVtl/aztAc9y7i+qTwOgG6dUkN2nhxodmUMlZt074WM6p/TGRmYWvJvaZ3dyu
N4gjwNP7mfAIkp/uPf7ieqDRdDuQJxUh4re3ToLDVAYOfiNdrGc2gIkVTsJLmV0lVRMD67RBj6VW
MUbbii6ZCSSC7O/P0H0DsnK2k+t4Nx6M5Q0d/QWiCFyVswjSx1kkouoC7itNOAGftUcK86iEPaBZ
GNp+V4wQuG1PvgvBL+7x1LVvcAlvd7Hyz5EUMw18EqvpH24XHHCPLp5Am2nwLcgSUfnDQ0fxY2wk
xgC4oWEBp9I5YB8MAWkjduxtqftgZzr/H7p8nN7lcOuflnjM9iAypHWm7hcrGX8WuP5/Qqi+bJCw
2dvBDz60fmBhuzQQw4uhPrx4zGZW3acfMumfLQCTtEe+x24fnK2dT/8xRYcDreeTnnSyU3Xn7qJI
fu2butpMnn2OGTHCaMcVPwgwmPBYtMiTwfLmOJH/0m3dVYMwh6lzRyii3MO+qUDVw5s2Q5BJ3Pm4
b4A/NZlV0Gu3cy5nwXmqWW8yrdI94MvTWOYPuttRSlFfFLQVNrM3YR6EVeCOnB8I1/gTY78T9KaY
6eOt8tHc0bPy9nmbFl/dqnqwSCTYkb9lYyQdYcRQxNEP6ch34+T8TAExabUBm1vR5xarNni/xEGR
uhBdJFhKXwmOo5vI6z9DlROHNRkv5hY4FTmJ2E9g97s4m7xjuejm3JvEOSHMsCFC50Mx6+qqZs4D
hYfOwZFDcuaWGIkLuzwDchcXnVre+2s+HBy6vIBMwZbEvvVJUX9ulYfjOsdZwoTg2VabtPH0rtY0
g8lJU7iuDc1hGclyklb8Pc3cTxiepZ/tPvBuoeNh3hMH0MsV8yr43riNAzdvBE3MC3EpQCdNxM2P
qJnJA3eeMNroc+RJtcCYdQBgE8QQDD7IZ0Ew1WaKw/yMiiV6R6ZStkMICfhN9XjrtlF6J9PuQvLS
u1riDmjf5HoA4o0EU9SJM0hci7uTTunceKL8QJxh+M6YwYPxAdsgTWoBwbApB8QimWHCVgwYc+Oz
pV9ZuFET3rw+qrI4M8Vm77S3CEjp9c/JJQLZn1C9jr0LRpRb9m06D7drbRqwCk7VEG1K0XyRddLS
c1we5mG8E45CxdFeU61htRKumu8ewzMNikYNOGZbjccr3XBwj10AiYmuZuQHVyji6R81fYu3jNy4
OgroAeJYdufKtvq/IOf/L9toxzZ2Q/+Z1vK/9dehekVqefkv/skSdhN8N1zMi7DGt0HGOLq9nPfg
Df/DJ4zFRoHnonr8jSQcOf/wQDqej2GBx8EPzOHXeS/grwIbXxiPXqYPO+K/Ou8Zq5DfMBxzOw79
fEACh0XKxjTkNbgBN1Q3zWj7P3J7FeVPnHVTwvfmmW6r2imF/P+xrKEwHAbt4fM2DOgNvi9pLdor
B+MgDPiE5XOOq/qYmA0o8akJBYtr1t4P0oYgqrd0L8MVQzQ8o4i0pC/XGxeQetSrR/02ksGL94SI
JG4GwprRc5pwu7ocM/w2fZ0ULKMrtVt8RlYMkpPNQus8kduaJn6cHtqpHESBICxHj7f97UX+G1TT
HPBfjU4C4IOdd8z/IFNjF/J6dLoBLy41rMEPMcxTgjV8FuUseNL3vOo6yej9WmyRRdv87ENZ6Acf
qji35uaj5HlaBxO3F7b+fzTicv+4JbZQ5LGoNw3BHLeg17dkWtlNN8jsCZwtqK6FX2TVxeqTe0q8
hBUWc7VpooJzr9kF4pFdbxEgz6WNnclXMhw1B8xopHi/gIoy2Pl+TbN13K31wqvYK0QI62Muw9Ra
9qQk9uHNiniLf9YgFKPRY2NAierk7XF+DST60ODNHCSRCIwjgRx/AuamebUUVlW3P+zZ0uH7gP5s
967Bsmm9e/tCMMF+f59cCMUzksKQNhCDF5vB/Q3K03XTJyuO1k8YZVE87UWdVj4EdZsvfPGi0r9F
lB94HA3DoLbUVjhZNL2rOL+WP9++k9f4tXlkAHNcgMB0vMhgm6/vxKGlaSdLGT5NA/DmTSB0qdRG
NhZu7hcZO0AQ/reDDBOOOPkABoRNfJtZ1H5/dstBuNLVkfe9HnvZ6R0WauRAsYOiy53/ci0zCf+F
DJunAz/y0Zcz4WkLnNqfgQnVFb0P92lxMljhP1wOHXl+noqReUdn2AxxreHv/y1T/I+ZhM4BDSX/
59IciE/RUgiyg0zKavi+2Bj9QGaO6njCtNUqGN233+CJzZF5SPodILMhXQgW71OkrOw6p8I7o3ka
wKXIACIDu/1Qo73qDds/SzNxuyRrajdXXSHb0N4HU16tj+UQgSFsiD9NF1qEtC2T+7IMI1St+WTy
VxDZyVgfx9n3yZ57+6b/eDGYDyH558QPBOmEpwsaSQAx3hN2+73VSnIXAB5V+XNytBV86nCz7bxd
2kyd+qsh3p8vJuGtAF/baGPgCZ4sW6mF9gSNhvVtDSzHJT03Cgos8Uh9zyVHIejOQ33kM6mirzqv
YUzteillApPfWtzpoWjWWRr2PoeVb1iFGtvKNnT1JS7D/vC3iEO+i5MJzA2Cg5rPJDE81NN3G4DS
wH2X3Tf0AhDLN2UMpeiOA5xkUq2AP3pCkiaG8Mby0oKvaSDXks2gDbVmsUwgbuvvTMCm/EmHhJFh
+yNFFMaog7Puz5cFGDo7q0uwjFn4acD8JMVjp4EhpYAI4AXCv4b+wDbceg5nrE2O9zZLNB6QORd0
9VLH92ku1PIZW1tKiE2/rClj4ZJDyiKPR3fYlwfXJzd13pB/SctUhH7Z/Ajn0SmcjafSYb3j80+C
TwjymJpy7Uru0RFlQmfTIeDnE6bvomz3I7SD9XFVXjQ9TLIPp3dDyZ/MqCegF61Gudfxztwc2IL8
NPS9ld6WngBexfKE3+GRqFSWeXbQpBi1wYZgMZd/GULl5p8UYTQ0ISE4S67u1RyZ47rul5IleKDT
nWlo+AmXtgpElRx3vdlczcq0CG88PPP7z31cEBKQ+lNfXNeECOuz2UFFfpn3lh4v0H4i4NguMY0U
vSMvyNGXUIdyNks7VWbP7OPU5WsTca8Gd9v5raiq468HCDgZ8ahQ1xPjV2SnFgMa2C3Tb1gys4jV
DbKjZt8PyP+wpI2EbkoMxKqSSPOXQehFbyEnKlLaolumHPz0jYeJBWMwcoTl0osggegCHyGeCXNK
M6p+RYK5R9kvOG4f51nl1QVNpxGAw8nxgwatsPA8+KlFGjIsQkc9j8dCb6ZLlyh2La/qWiYNEWxl
865VQRdFh9KDMxhuBFlcfFNTmyTMmsyVNe/Mw7KN/wr9aRodVKaqGETWJ3T8e99AwBcw9qfStJdZ
GJ30fYxOkzFZoxH19DlMhwnKKWowU7uVzuLxdxoCsnmIMiHs/br30qnN9pj6mvceuROrwF6u3sTD
dG5q5q/0ep+fstjrvekiGaDolLsOzRCfwliinQO1z8hfpw7DVoNb0jw9fziPpbkX6B34cEPXjPgE
ddxXzBRvDbENnUJcwYotSFVs6rYUhXxxM/gx85++PD9sE09H3BaYthnjfmoYQTy5SXAniTMyc66m
BMSAVC0IMQ8ZhgFMUVNaTw8ixs75oXfwskOuX2LHcUPpuFJl+HPBd66lXs3ikQMofcWPQZpP2k/M
L0UrRggUjjvUjZibCMebHqKiwl5jDzFbDNixL/ZQNtdTjU7aQ+gNC7zertRiZlZ7RSHVTlTJ6gTH
Ja7hl+5K+yHJgwIfE1z/IrMy5TUH+ENoW4eASAHhHVRF8IsNvg1Bd5dhw7neBVovTP94iGGM79H5
c6qnUJi78CYMIEtgamQbld8W4MgrbjsAvpROQ0mKA6tVMWnbOeATM0wWwQt2XejNInvoz9ulHgZr
vqzSIeIeU2vg3cCbKzrI6oPT8jCYIuisew/LNPVb/E26xPjAE+Ew13sWYpabvaJtrvttJsYuSWg0
h0AQG7yWVX5MvXIM8JiIK5bZ8PtKzhhxZSy22phTldg80JiROQ732VUFKuVEN2oBnGHyFKVZUiI1
a9pblU7NvMT/amAOpV6BY91lh/KQv+vdaZSoTAKPpRIAkVHaNRXvo90stuWM/c0wYzBXHkqs43lL
LfbC7AWdbmZ+V9LbZhUcGXxmrl2IVE1AFWLmX3KE6fk7hTEh61JlT81yn8C2YSLlcLZYnoS/hIwf
vQhWh4lR5FtwXDUwoSb0OQjfefu9Di5jnTHT43og4fwyX+Dth1vfIfxEHFgu2Y4mLSJ2+SYlMWLY
x35tNlmlxp7puADawXSOYqlZH3ScW/7tYmswROMWQ1SE6FXLI8Wd7CSgo2tKLNuaK/29iYlKQPP9
fA5h1TeDM3c9cTJnFfLsHjPWvMRV/Hws11WCf+MHvevTuU1RYY5p/95YeuvLomPz1/tJzxF3HJUz
NmIH1H8RH3Y5rpTTxxhGFiP4a1o3xWz+TvuIx9ztWiymcEboYJZ7RHZsWgBDBPYgV5eGKEMlmtl8
nxYGvWrrx2joQe1yB6agW7Ds7gbsnRV4z+ro8IvVznBA7WapHzDFSjDwkASD9xdhKyZsgrppFN8R
bvXWpcway79OuVM0da0o+i8Fa+56qPCvq598ePsSpQLix6/zio3JLe42JNpBDFbdpfCCWbQ0e9ok
ENve9xAzHBBEYDmGL25KAl3Y2I1z5dVsq2glFFq9nncEKtstcb9iHgK11V/IKK8mU9KvctbEJEf4
ASYbIS2tPkMvGP33Ya20j5FeTz6jRQyEq9OOZCOeP2Weppk6Vzk7WY32oZ7XdZcU9WqjDXZxQrtc
+DjwRlDV9WzbDv2+JMrgP1OgrQ9ZiS6EjQ8ixMUAahWThaBcZ6vxMe2Q82dqSHZW50Yl/gVwq7EI
r7MjWhG1oz85r5cpmjH7zJmJgDrAZMXGYYPydy22eeoF1p3AWMf/gP0lMsYzW6Cs7PdJZy/Lw6IW
T11bg2qtd77lD2ByLbN6AyM9lB/WCCci03oII6zh4iXI1mVjT5EId8kCdnmWFoooHeDkuEGFDLnb
zbeRXAfkyE5Txu0TLk/dtEBTVbr/gUebN6JciUQX0foaAmWfqbTtA7LhKjvAbTLFfiO8QTNuVdXZ
FArK2vxHDklM0SXucIl3ux3ENb2G+9BTHlGX0uVhSlKknqtvW8NpdN4RR9nB55+7wmyogh6CCD7M
OhDC34l0linxQTYJTBWWg1FANZbaMx+MpEXI/EfHCQ/xTHooBdlWaD6aj7vHh4m9lg2czwEzKbPC
NbARWEoKixjE9IAMcM6gqnuDmONL3AktSlKSdye2niBvSnYZ1QaZu55p4o5UehiDztQp4VCZkwM9
2pW71f7U1MnZ2DdF+AmifMutODjTkHyIYBWsQYx9wDIZDAOVfYydk3DPID1QBc82tZtFb3gWrGVl
XJhNg3zidGYPb1Cg7nF8ClfvmPhuTUnUupyzrXNUqjYPSl2CogEOaCPNgtjULns0ruA+pQlNX8UA
iTYyO2fcwzMoMKjKI66NFV7UoQr18ciutx0abX6ZjZSXb2mAuc39D0lp1snKjxDAb93SSbgjTGAG
R36FkGnq1QS5yooyi07Wt3nGXAof/zJqr9CsTGyLSghTS7UiMiULdE4zRqprQ+X8HK1BV5gM1c40
YmvutOAGm0gg/1ohSMiA4WcNxyN1jw8lcE84NGaX+rWD+U7HOOKnbxCLEOsj7t7xUouBFDgpJh1N
y4ZDRz1CTZxNT9ncwThY5Iwc/zkSa88ntBkFYifwoRb70IeuUWHj7yqsLnESoyAyU7GwqQPeBc2S
Bp9q6XAzL6+RDdNxHjn+jeoh7tOFJ/aQ9/OOxmGKHElXpZpwVVnn0k5xTKtQYlZHutVZM5/7lKPT
wxq5popF8W3AJykRIOXnwm5NUWEDtFOCzy5SZrWJw57J0oDXObhazbaMoAFgQ0Xh7Kammp+Q4srg
aJPHNcV3K+FHXXEVppHN/egVOvGw9zxSCHp6gBSZD/Xgm0+kbzB5vVlbCJdIcbAHplAjconysHfM
BPNSnHvds96NyB9CSPW8u+YTVmbWduxmCtWt5wmqQJzYTL2pQjMfU5RJVNY2I1D+ROTQ8gN/bv41
VYlc7whyi9gunZz7cmnhRqY0xNs3M8U8rQlu5uXzqFTAe6nHueOlSuIuVHPlLd6UfZniOSskwXCo
zfmq8flhmhaamgCDfOmbuVu3WJpdEw2TEUSZ1UPswKiF3O1R1M6d5t2O1tRwrXaVPIJtBFeAFY4p
rRN0JtO7LEoK+XWS6CSazVCNQrG46Nn3rvzZURWK6cBlnjW2aw6BpQg4sdnOYl7I4CeUlxw8ec9K
B6u+9OA968sQEs0ynS2u11dfp9xZGJT0pfIZMnui1hi6WPK0xZJA+d7/OhHHa5tQGCxZZnP6arPe
4ycchwCOtWVZy3f6rf16Z1uTbW+9XOQcR6ZcZhiuxKHwxodwRSVtwdiDWXFHhIY5dEdhbKowuTjm
kB8ho+IPM+zQpod0SDPemtFAU64vMeJ12upT0FKjJEG3PjLqZsVdnZ7j3nkfCRIszPmB6RQGXB5o
j2Ylv1awJodHQaCWwkM4Wpj6Ryd2co4qVUwd9fLptVNtSqvaahADbnTf0avDkHBCC4e2YTb4kZV6
2kzJyI7n9taGINr2DAhGtvSJEksxkHg6m0+c03ImrsOw8o1Eei4JYcnbZbwPF1JOzmPcsupjPLic
KdjYLJ/6wFsU7muHsK46fk3iK3pVZ2XfmkrUbV1W8e38cmokXA2PwvMeKgWLFAX/GG4HkCu33ifZ
ZE6BLweLOl3NTXfrMutsy1emoWmpmHy6C3+KSyY6hySb2T/nbcsrLRzs+Krj2KIWbfY05VKl9mTS
+tV1JABH+IerZkahyjELluI1WsSJV9g6t4j/6EvSGci9tvrqdYs5ocPOMStHQuICY4g1s5mVb2Nr
/wYzgihK+goNnQiD9hOAFVsHbEogS31bUmXOmVNukUa3swjdrjHzgO7AK337kqeoGjBVzPEUCq7v
uDGF02tMF6+INrZVqL4F4Wy6Ny9Toyb0na3rv70UvvDUuMbSHfDcNizZ36BzFxvjdQKd+Fb4qMqo
PEPfo1e7sFizdr19rWc08Hf82AE6jjBIczE6Cf/sSg22M9S4EXrfFq8h4PFyzBuE48ha/ZzPMJcN
fC5a9x2LxghpYABEmeo+rrcCFhAd/KkynY2EI69Ze15W5l+9j1Zm5ojQ0iplT4jCfuant2//j7cC
qQf7i8SxPY7jrm3+/rehWvDewBgmCr5iw7VwH2xQ5ljI5soR6u1L/THnPIDhhFYQnSCc9k/xbsqo
wm0poL6iafFGfUx1XM6PzhqZTwTyFOHDf3m40xaKw4vBTBX3fFBTJPUn80CipYkz8Puv6KDNGqUW
PrY7HPTMBuEi+9LQBqn3KSY0P/+oUWLIW1a7JvgLK/x0mOmaIucBpKVNGjjO6YycUQROc5J5X8Ak
ODrqPAelilsYKPlfnvl0lF04azyth2FTRAfpFLyuKAxjD57AF2gjEXoZUZujeVFyUjtOuWuqxrdf
6+sQEJomxKG8kN0DOnzAR69nEAqnlcVEyy+ypU+U7yU8d5Y5FkXNe01lXy/OJi8ybGi2URXk7Ixv
3wCs4dcdHEotwjltjxgb+IGB576+A06Jee2IqP3S5za+OXt6WWuFBVKbJ5igPJctk8xNaYxCwKzf
v0BxixxxjhdY+iHfOp9fBqeB48YYAf1rvuIOXiKnBZwmW7aEoZq7eNjFnrLiGcP9SrFaR3NgNkss
dzuYwXmKZWW+IVTZ4K8qGgGPnFkuMzGNFRDdPqaYdxWyiqmPsWGpLFNbDdNgyi5LklUIjFz0ZjsP
RUFtEw1oYtiLhRTcVvQC0A+U9qyaVeWaoqmM1XPF52LJLbZp2ZSsJPaQzYx/nJUSZNKdlsmALG0F
LPv28P8x4SLfJbsDnneCYvuPqT1ysoA3surPXd571KyZgGPV7ZJVmQrgF2T99iXNd/v7kmuW2uS5
RxPDBUBv8fqF0yjTKE7i+XOShQZjJJQirK6DOHIrouAGmzuAf5iMHKIWJzVFISbF5m7evo3TJzf8
dpuV09gm8M09t79/WztbFDkz7zL/XHXAnxdY1qrmg1vNrrxyB3Xz9sVOJzlU7SDyQIpCL6ZfeSoi
Ch07K3IxDF8m9NrrI4HzZlqUpTCV1duXOsn1Mb89jkgEt4kNZ1/4g1efzYtd1+3kfiA/0453KfAl
Rs8YQxacdIsSt1dvQ8O74f9FADbMyyXwkkcOa4HEhxVYFwiGI4/p34sZtRg4wkqeyoNdZJxQyHPm
q8i7Mjew1mIZGCDG8YOPEI6UgYmrhu7IwwTbmIezqoC9KMss0ylyJviYnKocDA76c8tiHa0PbWdn
/vXbg3Ay3owBAhbP5jslg+rPjmkQZCppwnH5MDal2ZnTjlZFRZ4cyU6Pb1/K+MH8Pp/NO2XxIksJ
3Q64/ul8njvEcMLx04fY756vRbREeFNNCNrZmljqWYJeeu81JB1GoV1ag5L++klOo0EIrNlmcAMf
Qr1paNSClc5tcNGcz62qHK31auBTDelgCXwpz7Q3cmDaI8bjeIxtozmW/Gr80S0yTSSrLl2+nTWG
HI1dVteYF74GJVdBk045HL1AE5MDAqp2VpCbN1k6VC2Y6k0s/LhSSsQDnIxeWmh8kczdkp4H+16a
gnJ4uDE3MxDI20Mav359UWTMd1yM4TG0YS/E/+b1EtHzBFNMos/3evKiT6VsA6xGaY8ewyoWPhh/
jnGXvySXGkPkdCf8tD0SKVk/TllhT/iFjy1NU3ylEksjUAhz1X9IOb8Od/UyTPk2jyf3WBBl2tBq
+z4JH1FGKK1cb+nlhLcIObvLHFuya3akfOW0nk/VzkIO/3GljzzhdoBaaiNqtIM7UMPq0VotjM5V
Tdj3dkjknc+uhFdrbXnXkZZYvAusOOmJ14/Qpv0LrMPoEpRCAed1OAOXW+XUX2BNBMjbM0jGSE9Q
RXhCRg8u+/NXkeNqiqN1mANhZMMAh7LFMyfyxsfC8yCSxzaChx26RPGZFPnhqbaEfB/6w0BZlI4Q
M8fyQJtAC6xYaC5vlzkpkFT7zXSB9nSPCHQCsMnL8uMYhzjExcSd79Qsu4cVT/Ud5Sf+x61l+Vs7
tO99pe1vuOwNXxy8az7kY4DtxhI2l1U0FHufjLAXSuB/JCO9XqyZELSVWcwCSgXfpVA4mRCY+VZR
H5ic4che7hI3bat9WHcYBoXSDj/8Zfq9+qBfLhZBlDPbPDXcaUWSrj6lnUzaJzw/GjhCi/3gtOCr
yLer68nHVm27ZF1zT4swqv5Sj/0x858fE64OLRsW8VPaxBgMCfoU2TxBG+fg6uHrvhwaz4H49vZD
Pv+mf23Dz0/puy7EA3xF2ZBPD5GL21TuBFfmCVs5vhnPZbvAza8xovu8jt61bpO+K4jmEBu7DhKx
g9eL+/hUBOFuqRW0L8h64a0MZXLRWn30gf12oE4aa/XYNBQvrmobsXGV49/bRjHVjF581QLP3k+u
dj8mhpZPXq1DPBSJgLdekzCPragJQW8qenHOjN7Hlol+KrtM0UoY5cHJAvurvShvu/L+/lILnZDw
GBJTBlAGMS446LinJYFjIeL3Y70++aMZ/Lzw8jOvK+vjsi5fWyepP3tWsuxGUugJPJBWePQxLmh3
b7+ZwEzmV28mMmRNwwdxII6F0UmBRJhTQ/sgj56ykcYBcBqWV0scoAYb6JIovDAwGCDDAOUJ9iIN
3Z6ugc69JNeTCCdFPlJm3a5k2xy9VQOcyTT50pD9Qyh1ZV0Xuo2utEeQitd4D2Cg9W1n8dI2IY0x
vV3VQtul7IZ0G4nEqL85fB9mv/ipw7K48SKBTQ9I8bHIOnHbBKpWuy4dxm+6zscPduBW91Ybs0GE
izMfPFfNeH+ifHqY64S0rry3eQDcBxNU/hktgKjsSxoh7Inv4eTHVyhN/I8OqDbmClWF8//bg2vG
7nRsCV2lBg05zUau+f5+q/pGIGHee5Q+9YUf3Fi9Vz6KwtPEL/etfePMxgri7Sue6GqZVZjJGdYt
fCSCTaGrvb6kY7u1bNg6f5Si9C+AzZCapKO2LgEqywONCMVKH2TySSBbeiyyRV0VRWLfW1PiHd6+
l/DPqUWpyfLpxm4EE/eUDCjnJkAW0rY/soUGA+f2Lv1CxBFcb6zdg01vuxUIR9PhMaYCsMJdmYfB
EYPHYgdOkiQks1uo3mUXRp8KRaQF0C8QemsN+XUVFsOx9zBlC8c8O8+CKPM3XZS482bAu4tsd4Fb
zEYiFN/GzRqIM4thOZSVsq6T0CFOCygD+yMj5tTLzHZWBqhuMnxMcNtyiuqKxBFa4JbXTNmm7msj
rJnR8Uw0PR+DiaMptcjwXrkLIR5N7cmNjKDLMBNpF21DUL87LykwJ49g1C10NOkrqbD+f+ydyXLl
RpZtf+VZzSFz9MCgJgBuy74PxgTGaIi+BxwOfH0tUMp8EZEl6eUb50wmieS9aNyPn7P32kQHkITV
Xs2tjxWvyYCehVy/Rj8hTpnJYXAS42Xsm+zTBBfl3coMQhYGmcd/1/j61/WHJ8VHNId0DWzEv/T1
TINJaKHm4rvn0B8gmdTPv6DyWJgacss4U7nf1mGKT06tfVlkPteoR2Vb/X88sHjfKZtNlKtAFn55
YFFKDdWwuuV34tGWKfq4Ic4KTPQyKx2cVKv0Hzu833uAwdhT/Fi9pl4P5xSq7x8m8D/d+H9p0H28
PYRF0ltm6UBr+atidyU6RjaqyL8nrnAeyBsZ7o0SPLxLY/eCfXG6nspuPLdWXZ1KZeowRlw2Mrcc
1W1GTCGC5HqWl5k2me8o5zs7wIZVPPz1e6X/fAbYPqWD3tXmFUczzaHyl0smq3ip/M6avtP17pIn
Kgt8a3QSl2AahLw2HFkwU8KB5RFXbzfv6QpcH1uR0c4HgGTDs02636Vw5+LJAJ7DhIRdYN/nfcnl
TnI3tDrGvb/f6P8Y7B+X9vt//9fbtyqro2zgkPJ1/BGuvrnkuUF/brR4+DDYR29FM/5kt/jjB//w
W/hA2S2ShG3PNznD/uC3QGJq/Sa28o1zKIs/UVb/ZIha9m8wkQwfV4W/PdhUun/4LSxMGjQ62e+R
+3449v8dfz0K75+2Oluw4aCNE3TudXJIGcj9vO/4YoC6GKMYsSxd3kHWoJFt9fapKumvuWhyIt5k
494sHdLfGqI2dcxtJ0/30GgVzfy44I8HVQy7V+9G71hwsuIIkud1WDd6DsyyTnfFmNyj8DpaBfCj
2NqiN636eZ6K29mwYFLNCREUxDsEupOrEPquD92vZvJsFbB/O6s0HsBrIChsDTdczaS6tmY5PAJT
x8vsjla0kFz1TWjQyj3zCeDuu9ly0HLj6W7xF8y8jWMfaKxbzKfyqbrPiCs8N6iALhY3pRRSXYU4
wlyzKC9rdbnMjnuqEgVsOV/Hs0VltB8HcIB50awOykQhgMJBfYPLs8SRVHjQA1d1lDML4+EjEhWx
Exw3Ccfp7EvRe0eOcvet0F1Err5+hUrroo5VFeWKtKHEAz9Mz24JOlSf+1G0ADN9q9l5td4HXcKa
kOGkJpmnD7lZ1cU6WsXetTUXYj1xP+zOFWc0l0YYyJv6qNDnkhWEFHQHXPKhs3FYzkv6DB7AeGJr
d07s6vK1ZkwfpEPnR4IxSnzd9osB0a1Js94POy3VxYWsY3N9qHuCW6ZdRl9U+1rQ6XXXgLhVbd1P
zpBjf66bYQ2F3ViYvq2RJCsS0JZ7NmHv2k+Qhe5mrzMVcATZzYfKGPoj8yp1cKuavTkjd/5GVQSW
wv5CCbVklA40f9bBlMGYZPalW6DIzpnbFjutWFnfRuljZMsnq7jWFuDyWqRVilHjgSn72vdX1OKZ
lpJv2Xg0FgN+0eD6YStVvdZnN65Hp39F22nf9yvWugJTJJDBHPkmhuB8viMgtTrUXeO5HDfcVcp5
T4SsgFJprW0/4s1leOc8zYJF+0GTCwEBO83Py8oPjaSalLHHHORh3mZm3thCXc0Z0d3dHjVuPYXY
ZPSXxmvV3UzgDcNU1Hlb20LPyaTUEnD2CObjUJsGyJIkb2vPaWFnBcRuF58tCgh1hf+FKKTa7/CD
Jx0NZlLV7mtCVdqQlaQjsbRo0+cYWFN1jeEJ2VPVLuJmlbMj98DR5zicQHyiyhjr+rzkenps6lLb
kZZlJuHsTctDD7MhCUytVy9FtuHD7M4x6b1bRlQmVXLTpUt343SZh8W4bUMnJfgMu08LsFwM9q5K
OgF6uCTWc4F77wx9/QxznaOI2+mbcXzJ4eqxRfYn1OHxKfWc+OS1roaOeRjZ85JR2ZGu6XAzhQ7V
a5RrUQWoncaF9mBq7FIxjHhS3fq289rk4HZWkILWuvFzmTwi8FUXYA0NalUtWV8/Vvn/bIh/tyGy
sbEP/fmG+PhdvQ0/baG//8Q/dkLzN7Ybg23LR+yMf4RT1R+kGVrrvzmUOxRwOpseevN/7oQm+yfD
J4P9kfOuRa/ln1uhYf9GI5Vps8XzzmiCcPF/g6ZNO8P4eS9kNmrDdKKpSEscEJaxzRp/OPZh1NVk
1zTiNBPj8SI1yw2GkhkeeMHrVdfIZ9N0/NJVU9y7s3c1DK385Mi8e2gb7aET/XCeKHbR7rvrldVM
2mlhMBEfJF3w26nutLfJdVH1OY3ojkg9XZQRNjENtwx/F/POspBYV0S0lbp7WhF9GNe+tYrmaShJ
8YU2UKyNeWgLlFtXXtuLTbsI6V6pAAnvWIGqjovc2q9rIlyAcDPS0CdmWiOnYxc6nH5OfeUYAYuF
P+7cVFjDPi0toz2PVpKVGLEhcQoRKGNZWHmqfNXPbrMYzxaUQCJX1gaDJY5xVGAHz3AX+zQhlxYI
QJbMzR9jhC4A8xH8yC5KsWK+Qd/yviVODoN4NSCydLs+pYfkIOd2M/EA0iVvUXuX1nBAE29cIGZY
h3By/PQi5igmwxk8/rCX+DTkDifIQlXc5MeKjsKrqrOxCkpkjMdcUx4jbc9+XaRtBeh402M2ZA8J
QcvcrCm/grXZHHNjfs4bmLU5EZuBXvnJkbrjo22bpC8ZqqBkt5DL4nrqqrH6i3SeppchqeqQvLtb
ExIisSHSB8uTOF9HFcO4m+bXNaeCN0g9LpR5Qu76rCQipMXX8zMaiS9J1mCyiIvpYfWmIagBxBwA
szxrJiJQjN/zYXBTMjSN+oBR816u2bNTGu9NmY0XKzoBFKDJ9Zp2blhN42tTDWfMUPWxGAlnJhgk
UmieOTa3zkVLdbHv0RilKDWDwiieW4jK0YTdfAdu+TtJVM5V5azx7ewTMzlsqEx/ggI6mDBPsXUf
LGlB6VjljZGTmCIlGZQJCXM4yEnnjaeyv/LG2di5tiVOhIhm+xptMzK8JA0/5Klk1slDJe3si5d2
6qxgIe3aztao/ADv1nnyndTs5sbWxgegAeqBWJES6WyVIdRvs2NdEAA5ZcIJzGaxtaC2p/1IOXpi
XUj3fW/4+wTJN/JPzUfIOn9v7KJCHjw2ERGVTlAkE/BpWERfGnLDQrRQWDYSaL6+qIaoaTaJWD2i
xlw1GJ1C0jnUaERiP3vU7VoEuE2etTI+rSsw4WpoCVYZtRd7iUVgFio/p51NtjX21neTEL7P0+pS
k4xstbO1nfM7x0JgIOg+yGK6cPAA3E4ToFp64qv23hD1Sq4i5mebXocnyOHO5bqES6W0o1GI6R50
0+w+lFbBbimMqg66uM+uW3wPe0gb3i52Yxd+SjnljwM00HAUOohgOKjGuZ6SHvK6OfLXeLBIkIzn
8SvnXfjVsZS3TIr1UEoei8SXpLV4Si3fupZFdZe41nImqro+0oFbZgSgPFoqxPQqFJJu3S6CZqCb
oXcdw+1kjgFuIV9K39m/fd612e/YzEXXztf4H4fXweZpoaoESb9niicYRvvVgbxYFKadBk3WoOro
CqJQltw5uHCE33I1428SwEpsRHKg59ckEG1n7uDmlwdADRk03vWTohP67Gatui5z7Y1X6sVYMxHg
62x2FSf7Ueus65zGVASePr+otewb3p0+yow2e676HAa409rZlUEVSgrphNd71Sv9FnLWE3mRBXln
sPYuW6tszrpPxK9ryksIzO09XXHtobAG982o7IxDj9+Fa+X3eTAlKa/xrAxjFze12kObEVcO2Um7
MR7BzYzjSEwNOnR+T71vNLEc+u2tJbvTuasgQu9j2Os7UILpwS3lLYm6GSXfALKbvJgg3gLYEBB4
AYai+m42l1eg+/YRObP/tTeGO9R6BLkNhSmPpjd+cj5i3gT1Ns3Yk1XqHjm7AH9Qo7Xje0xAyw53
kHaxTHa697ZguVqs/q5tFCnmibfl0+msB95ync1ecbNqQl4tjL+ApE5ulNUkzKmBKlW6xrQjZi45
pL6Fen02vNDP8ylo9f6waEnPGjxeMZnfzmrLEtD05EkcabeRH2MHzkw0VqLP96h1jKCA/I+KuMKq
j4vm2Cl10JbOP/VCwv5GroQM0odkuiX8Cc0caXnQ1mmHoovyjyhA+uPDI2nKfmR6BS5iNAHRMHYn
XwOR22vtu2LoUGVus1uBgu7FZs5HfL2GKAsbsCcq3U+gZc9a0X0DwHMF52K60IEaB5h2wN0Ybn1j
UJmQ+8mNrcVCM3ZLN1wRJB012u1B10JFlQxiEGIUJVAgvvNU5OjWgbPfUDh/XrfkxBoP2y4txs9G
UxQXdguPV1845BIcsWCVy/VLnoHhgD05DeeieCd23d+rdv2ctPzW4iOsMV/s+Cpu9BiIU87Sj3Hq
S9Xqc0h7uL+NCyPGs0ve42x5ks3dYF4pEjLf7XdQN9+tMSv3uLFUIJX1UvVMqKpi6J5Lj1+FyLYP
Wpg/7/1kGTBGclKGWURBFiOTbuwyv/ONpj2Jj1jKYuQykFY5VbGIWEwbVu1MvnhLw4Yxmg/QkYkr
Tij4c+WxrjtZ+cWoicKstlBMBorOPpfuEhJZWO+HfK0uDd2Yd/gQLIgMyxfoCQtRIo4bzJvidEZ8
uRPQep4HYay3hUkUGbupzyg6dSdVc8FaPr4ci/yV174YoUnV3mPn2vwsAOiHfuuHlmoOtdJP7ia6
1Lf2GOevbo6933Fm2LrJtWU0w9EkJ8UMVZq3OxLnudBA5awn8GgzAgigJgvJa9YaO0bYDTj6EPrN
iI22yNPMkXgqksaA+qVq2F7c58Bo9eZG6ut4FKtyj66yvc8zasDXiajVHNPVzSpMLd9Jmcojo17z
xq4cCX0vVzUra0vDxGbg7BuSXkds2zwRorrvEGHezwsymJBVU6PEMFojtK2hfB96tCXbiwpZenUF
IWuL2zuHttVtXhnk/XBDB3/FNEJvN1oS86FFJRty9r70wJJ9GtBJfEHBfC7nFIh3TopL2CXmt9IZ
7IfayYyvpAMTSLBaDsdCqLXq1M5NT353gV48UvaivoottLf9iO/dgnxjFs+rTX168GvndnXqixg2
jRtJtgN11LU153F2pPstTtwqTI3BvfFHO3ux29660qfMjnqcfzubo37YNu0KRQr29a4Zzea+N60e
iweX4loVhodVLm5InR7Bh0dr740V7ZmBIOQtEjnR+3wfu0Ql61tocsvnOow0cg65jev90Lll9sJq
VrywxU2f4HmIhyIf46PI3ewk7JmKN+6cc1dLkgcybaC1vzhz+ZwYWb5cSG2pAn9N+7OvbZETqZiL
HbNQ/2x0BEanldIZ0GHkjUgjFzvOyf3dSP7Yi/DW6Rt4ZInqufEvGiQ2N8jd+qfGtJnpuQMhI5HZ
OVFRbZktVFfrM/x0LBQcH4aZnGlWWFwm1uRHq9+aDrqodpG7LOd9uKC9WJHlssVwz7G3Op+SYovo
lp5iZ/Umy+dF7AnyXnqHhpFVWCjEzSJ9le7saBQr00NJmJAekXmuXdEdy17jyq73fezhxahWVYIa
BPmfE7vjBZZVaF4wbGnkAprAneR/PaqK5bWv/Ie5ojaG9zV9qbdccy11870zrslF/5F8/hGCPlay
etRTYqaRxBgH4jGKS8aM3X6pxjRqkg5NrbaWsB/71t7PW946tIO+j+yVLlguaRLJXJ8uq3qdAgv9
w3FyVXJrtPCW7z0375sblaQ0F/xEic4pwKw70Bi+EXTgL4MXTJNhtMM3ys0MQhi4/G62HpoxIdWQ
ZWyhKdQPx9xPKz9gqCTXi1JZZLEMub4rCWftI3NIWUeRRzE6GhzzODIaezG8rIJpgu7dPfYF7+IX
VEJxJLQ8Ti4zKTOI9Yvo853hJTPRfZNEH0WjhtWHkdKlHLUW34qv36tu5Cygd9oB0XAayXHRzt3c
t6eeZzKaRjO7BP2chbExue8VoWxfRb2R+ohqGvODqtrHofDj7FXXoaZWlj+DNyOxw8MYDCKNvMLv
tKaSozNVlOA69s6wy3r3ec1nscscVuedP5TFfjCG9U1QWF/MS2sHJedjZmPi0PBrz6vRjXctcOBP
qbKq+3nW7fPaZnNokIQY2alubkHMlblLCkYwjYipDrpiACOGj7DHUHdtMceI0CFaTwNV5G5UyifR
Ss8BmOtbcU4cuTL6cTeV7gnInIwaDu73NAv9fV8I480mZe5Y4fMM4oKVqaTVG7hYOQ9ZQgpH39hb
8F7lcHux3H8BKS8PRIbfmCr1v5E9eiP5JHQDhRG2mEKOnV52lFJTcomQylP0rayNYul0e8D79q6D
hYjoZcU/SbI68mpclzu/ZBuPlVZ8pondYn53q6MGW4AoY3aSenZqAuswDoSa0Baih01z38QWAc++
q92MTOTv2zk9ovkqr1QBxA9VC5PKBIPmrkRZ/L0FnXAVx1nGQtslx7jReHcHFv4JUDxDdtStPRlO
5ABJNp15uUtH4V9LlRTA+DPnyBjW3oHHZMEcmuacCf3W8yoCbYZBNQSAEIru4j6tm2Xcsig777og
eC9UlSh2ehlbQV765muCsTAw5w0MXmVp9aq1wyvR9gVpIN7BspUugqaV34RiY/UysZ4AC2x9v2lC
AmKPU6DqhFSRAihljqQqwgbzRtZaupPcLawd6lPrcYhIvGhZu291Xn4acsYLpTGJZjchnoIMa5o7
FMtGUGZ+fM4zMsaKAZBJhRk+pGbWRajVKi93PfFWE3Kw7pIE8pqnZXAPuijckFFadlkmSXFL/0GI
aLLU5O1ky0RuGKm3cyGNqNvaP8ob2pPfdeVunYnXATosvs81R7R8zOWxssYpmrWOIJCRfnPR9l/H
VI1nt8ryQHgFTtSGtMp0aWl1Oh0bsFacDbeSd2sBiAKW1BfOa5RiS53hP1nz6lRP+HrDRA7LCwiF
AafofGWCKX6mlHokWaHDGzq6F6kDExnaBoVjA9VmXje+36T1US2nz77eXc36YgYkhzyjzS/CXJLV
yPzaC2fb9F6QWVSByaiWMFlPhsYU249rQwSHvRbGRb2kjEVrkPLucIRq9dA7hOSyku7nheqoTtr6
IW2MVzPVy5Mpa+vbYJd9JJKeGE+telauZ763bcW4IKk9h5lrO1N8q3aCm+FU94BMmPE0Sa4jf/Pi
z1JMoBaVlD0NimW+73R9xTBLfAVtp3GesWlaC4OaCk6fVSpiwSfTv69ZsMYAQ0Pj8PVilxyEPh01
3oRq54iiP8PfC+YV2QRHnTjiVrXuVZHb7Y10LJoEeqE1gYFbVA8cYy3rnfRKfdhNIsWHjSL+xD/w
n4raezcS4x6FOYuHl6VnvxXFGXf606yb89e4wEt6KLQi2SlnQyG6OUFipTqvGRowTejPPVtSWOpj
G0zG1gtsa1h6/uQGru5AmLRJ8YmZABwMm0o4GQyWBCAvcj4Sl3pEb/k58daz4oEPy6wFKZloVzEa
RtTrdrcj9v7cwmbZz2bh7tzCKc+tTfuPLHLY/5T6IZUpen2ru+wTeefnpAhUGU98vNjQhuu7ziJf
nMaMe8LZZCD8HdMDZxcaiGul3TCse2FcQ3YScq9oJrEpTEqzPqT4GndZU+lHCCla1NvTcKrHRNC5
IKxJFPY3iKT+3aRBzM9jAtrhxXwuEmC3xriYe+Y7WZCP5pfYlvrD7NlbqAzA3xBJ4fzdHlz5wNpH
mLpj96EruuncdzSjBNNFPcbkXvaeRp8ly4xdLzBp+U59ZY0lybaraU2RAaMFmG6iVxt1DGl8x/6o
+2uzL7KlfRv0pnm1mcFWUaGt61fGkIAO9aXQ3jZ7/I2LdfGYs+H1eNtcdSTtomckxRHJ9b08jVSW
wHQkQtqsluULdRavVtJWbxlIx5uGHD6CQ9Ppq5Y57zCPlzbwU204d7Sh71agHaQUuDMZRJmYn7CD
T7eGkVrrda+8pg1mt2oOdEGrlDR2s43W1Xf2epPpLozhTEUtYKs+hG3c7jPIuZwXYu1az3pbhjab
wTGL5eOS2E9UCPZDFyeEv3bLeOQ9gGDdD4AGfO959hxW+LQ2HhIB1XJIzRtPH+K3SmHYzavYCwEH
wkcuOaRrFzN+JvOyhA8cdKNML6ghRrVPnL4JobQ709mqWX8ChylmfkhiqDI0iYjgnemFbZpvRwdD
twIuAJnT2oyHm/65b63ugtmnJ4nOc30RkIvkH5Y2j8OFdeEVlI9vXgPBFI+SX+BEXjetL1MxIj9q
GfIGJg1qdEH1MlyZUztdujw9XSjaeTwgEcsu1xZrRcSGRWBrPyVUTAtRSPAqKnyQ41YJscq8VoXj
frb61OPVnvIR9g5B4J2mOopW5Po1qZOEATHOVw/21I40n0TROgHHMI87oZHW9kF8TpM8iWpwWwpl
7LLcL4VURWjyou1WpHMZBf0mDTXYoilBqzaSZvs+U17vGBHcLRpl/To44txi8Y/sdpoPCVErd8AK
jZd8m09H4BMrzuu2fjt0KJ4QOUnvfrB79lPWsua2XDX5olkZflpizUnTghx81S/a+FK0mrgW6J8O
RushrpvkYN4NOAXufQ1tCqqr2L9AcG+g08uKMzwP+YAKkmaoMibe0qZmWQ0q26sJhoT7BPecCXDo
IvxbommmK4iKz0/yazr8W5a435vlRa4b5DaNzmxzpyuyssY+ySO8kbcAYyy0uUtr7EzaUI9idZMz
GVNFyDRzeS8J0X2N9YFCbXWwbtLp6K9TH9J+kORZ9zI5NppDjV03gZfAZo8lhcNORu7ZkB9aDeB1
QGv0oo+Ve5KzGHft4BSXLUFrA5W9Li4hqcxPY45zi1U2qyLQ6lbo9FbMcjJqd23Rtdc4ir1jlerJ
bpBre5gH4Lrkn/KUaP08XnllZX6ie6uxic3to6C+u+ybbt5PI9U/7UyXLo2W3sOSlqGHCZWmfZMD
jRmqq2n0v2pS13csTvHRSW0E9suqX/mSV8MEYQFU1jw1qe7d1spRQANseXY0F+k9EKPIGjl1TFSM
If3mnsAgf7rSere4BP75pfaUvpPxIrAOLW+gVohStnAQxF5OW1GPK3pl/fKsZSZ5hL2e7lqD2GaN
B/2QynYIJXKAUzE09Gyaol6MwMfKlJpKjzbtICN+/ApYgvrXrLSWkKPCeiTj3cGorMOPBU5EHxgt
bBmhypflvbLTDMAtm01ubwRrIvKKS81FmWAzvqHHiiJiadK9Dhc8IDXw2i5W/r0grclUy82MfSsw
ZPHsDwYheSzWtlbvMstcIzolb37dO4GPJB5SaJpEAyyTqHa1Zm/ohXWcrepAcPX9iig/aizbDv1J
EN6ZrDeAwYhazLsX3Bn5LWGbsIAMIqa78SBXS37WFGMQw9Q+mXBTEVlRIatOg+wt2ahhSL9Vft7d
zVN3NzVGuQSiIV0pIAqxh/2r3cAixG8vSHRAN2pcWlL7ZmnudPWRo96z/gcAYrC/WL71aZyB/CYV
uXNtq0592b38Z2z9/5QDbYH5+6ux9dP4lv40tf79B/7ByxX+b3hLCBUSiPdQfP8wtdY3/RZqQ9T4
6LCFxWj6j4AUVFpIqnAo/6DcMt3fiIQWOFV013YZdNv/zrj6F/cLnwhboomj9/dJtfOrB6CBzEwd
5S1XPmPFlUYGjJJlXzmzj7DeMk+FgjJFD5YwZ8YyRE4sC6juzFG3S1f3x77DvwVLRt3mmx8dWr66
T5fFvmWVHQTW+FJlsVewT4uJs05VOeSGotFZ8PWHEI/QhD5RKfkVnYnKYBVPZrnFJ5exduNXzCjO
iGnoNIaGrjcegix3yabjTNyMkqfEhfgXn2JX4TDyXa+TD63kIj9oGFrpzFmpYe2SfO7XC66lRUVS
UJTBVtjkvy0zwqQyki5ILEIg7/vKIrJyLrPruKpS2ngsZPAAnPixroz0cR0b88iXAiuxTtqXOa2y
Ry+3KBAgJeV3qrFBb9GlXEFk79Mmnt5QbhInDNOELh+1KdSvnPCOhoQ2N4TSA4j7nMNgR7kcrAXj
n908C9ldGBTJtR7mrLzXKXQR7aTmhuZwgaxneSC1CV4U56Ii3yYtrW24ByPb8N4yFs3YHTH/xTqi
oWrzhKl7pxRZf9WqgT0XhC4+hEr+bqD6j5Dl74QstjCQfvy5kOX5e1819c9q0N9/5o9FAR42jkHT
xzyoG45vbxjrP6QsrvkbNmuE1wTPfcgz+Uv/WBRsFgVuFOoI5NK/qjpR/2PkYPfxdGGzlPwbUhaW
pB/sC3iS8KGTlc4n5I9sqpmfdSwe2J41azzYZB4dtipNvSCHSfK7MPhPRdebWvn/miSQ3Tg6hi6H
lc/0WYR+VTPHk+wMs0ni44TLTA+IuqWlpeLmcz1KdVsBCjiVa1f0UbOOf5eBtt2vf/njNigGBEX0
mLjYP3/FFEG+MgvPJ1IMKxQVzDDT6df5uza5RJSczVvC2gTnombiOqxL9l1pyN049zhmBCloDZYJ
WP7IQT80O607T3D4bgagZ5x6yhily9KTr0CRcDUNbnxfEbEe/fBQ3f5+qf4PnYfbJsMu99//9b9+
CZzV8LMxOvMgbVf4R71Rb7VmNa6MPVdWEWU1677SKnKH3Hl56kwhw1gvXKqyapGhDrD2laOsF9lN
svD5Ml+R1WSo24a+La0hkrF9n8G79IrypGDSMeSd9ceKINn9UhM3HmgVgRx//R1+ttz9/hDQ6vR1
NkiLVvkvlrsBn9u0uLN/ZDgzR71YiUemdCT24+8I1T97cv74Sx7uPuTPZF9v3PofLxa9gWEbdfpH
aSbiiDmcmwch59yPZncnbIKb/vqb/fISfTzeeCW8zWG3jai3J/CHm2PoA4H2jAuPuEX7O1aUAew7
OZJ//Vf+l+u3ubiwBnsmzIJf/XV+z3JBirR37I05Q2Cdv7e4T47F4D3+9R/6AGH88rraBspQlxeP
KubXRSFPUN7NPINHA+DfaXUHRJQ+z8yycOOWClQ1XXkHa0szFvdIqbzLtnSYAZPNdZ9O9XpR2XZ3
1y/QbAJHEuzQ6puLFngbndCyjc/Ek5I4xbP5JBO3Bt26ElHOSW0mIslK+COqtYwdUJfsOBjO8DI7
a3b86y9pflg8f/qWSNTAAdiu4XLK8W1Ksh/vWmzE5ZSuvTrOuYnOI2nQmiTxcKJ5TdZ8MdBGMpt3
VfZaZBcl4uXFzY8E1U57iUpiT9O2v26B8WTBWJtR59TiRTfAstqkanx256p6YaC/6/XZeNBhg5Jt
CiUthE9fPhqi8PfpituAxoh6SpPaoA+QLYci2evIUj+znBVHZ7Ttm2TCpUyPmwoMuRvVScwJOHGy
o1ZzYGjsDNAqIsXDYDbeYx/b+SnX6CTWeoc0Gk3M1xRCWVgNRXKywODctCVeODiLrnUJ+BL7ZezY
u1YaHGatdgodMopKzMNJcyz6pngeB3qQHdoDWn3aDa7N5duyLFvAWDoylRnNgx1bnOVzJ4VhSZMj
4sxp3dmpKR5xBFQvbpIW762e4o8qhL8wn+4JkAEPuBWOdao+uV5dRG5lgADz/fKUL7m6XDvfuXHK
wotGL6v9wISVeUMTn1CjnBhN0Q07MJmY/+Liu8Yc8QolpBahTURe7fZnKlA+taN3u8LwT0pqUFnj
lqxuhd+Kcz79Ys2tUZTll9v1JGQlRw/te9oG3BlQ/JmvdurMgaVScUqKqrqEd708aWUxclKtxHqt
TxqOtmWTFwv2F5pfs3kwGt8jId4y3wh7Hm5zrhNCFkrRsAPb8VhYcJ1anghJDsOEr+2tgWa/L1JD
w5itvCrYznpPtKYmztFq5tYoAmNUkxznZdqnqXlnxNW0Y22TJyKDCBbX1OgFfWp8M3vuOe329m7p
yytQzSn+fyzmMiknerYb/bYap7AXNIuMHNlUYjGX8VXygNruiqSyzyn8xSO0L0FI/Aq0undemOcg
ZKpr+rdDHmq54z+Pduztzb5HgUJc+bkGCRs0clVhJcwkmPJOQ3+N0NOlj8ESNc2hDuWEoVWzRZkl
/oGBSx0upF8wAEoXPoyK96lRAJAnyqsJANtJHi4EbhHbULHPEs/Btjdn6BMTxzj0sHgvbKK7Lket
EWGPhuAtp89yN2WDi9B9sT0jEEbe3qxMC1mmBh3nxqJbJ+Q75VE3M3F0G14XR1sagZ6/o5M/7YyZ
ligcCuI6xjQOlcjrr720EpK59ekbVODlkyn7+VzReDwV0gdznrTWZS+09tCNhJERmSRPE0rUG21h
hjeVC3IJQIzuoJ8IoHTXLtI7pyJpOyEWTFvVkyVFvQc4kZ5EkbQ7xGQW6VOoLH1zAjoJTOQyYxZG
55DOI2kl9WVeTwWxcY7qPkYJkdNMy0FzwBF0gyj2cS6Xdzn2c3MNZKCMYqZSIdwr9IoNWrfWqAh/
Tdg59DX2AkNM7Y4ZkbHjG/dn18FYMpN3BwddLNhGxPCCCMq6MXhRr5eMVnpUxCOKZYG86rue9zPh
ioJGTp73X1Pm5iBlM/c5pZd3Wduu/qgJ6gvGqekNJHCqE/k/7J3ZctxIlm1/5f4A0uCY/TUQEyNI
iqQoitQLjClKmEfH5Pj6XghV3ptiZUu3+rmtzJRVlSIRATh8OGfvtdny1fWEeTLGALGN4PpiDBUm
mxnTyx+K2Gmfob/n29xcJqie7AsNtyEbLhf21eS0ObVyOTyRaUISH7XEN6hp5rHIHOaeji/ZNmy/
cPBHpwUp9FFru7mFUh6dyM1m5ZpgQ4UeZAVkKlWzk93IN4f/9gHN57R1B9vatf1i7RzXiT8sACwp
+zkLP2PJQn2OaSiEQ2fzSYAhEM899nwlwxMx0YD+EoeoidwdHiP3g2BioAMNXajprQVBiFeQGDBE
J/YqbgjtHJ9yUHSn0WO8CpvaJXvg8SkdO+b12mpPkExH8rldx6LnWLYHsmHcM61940FzgQR2DSvv
QnQjH1sn7pcpculKRSApHkwf3HGEvPWhMwkX7PxEPKN2Pquc+D86QvVBZfBwN+wX7bM7A4BtmRRE
N9i3o93SjUCNe4WL3wvHIkv2tR3BgK6GR3onUOv6Pt2gbXJ3SLLJp6okuWRJPB66ZtTJgdvv5187
J2iTaw7E7chops+Glm/Ai1J2JnB0wtiuJZqQhplVK0TSgeUkt6g653L53wPr/1fkk03/iRPmf39g
/fxKtikQ+7r6qZD148f+KmQJ7w8CQlCz/cuKyNboL/uF5fwBAMcG8UVR6v8eVyl8mUgbV+qW5ziX
Q+5fJkSXzGBX2NLGyooxkE/3HxxXf94D84ogdsHrQyUL24X1b07ilWYOcXZAEzuS9xRWhGXeE5xC
NirpDerL327MPxy6fj61Xi4GykKifJOOx9d9t62P3dkh+6V37hNDNy+VU1uPGkPZU54iBaP5azYv
+CecVzkSlvA/uDSkJYqJq33zPQKISCEx90hk7hfJUa6ShJ3sVrL4vPMHTzzaVOxR85udZYcqWthm
//ryPx+g1m/uW0SdmOQMoWVmg/jz1tiy4YkzS9v3BSZhxKqkMtAk64elOaX1ermZlfA3xxvrXZ7X
j4syVByKoZ7w35+iqqaKhriR1r0LqBPHJunFFjaEdk85RD6taJtrJ7W5+CAGYuMJ2+rfvIaJtjA8
7kPLAnRo/Dibj4r8yGi3LIvzCqCDXjbtYlOcxyZCnZYuawCpagTYgRlbiP2bw+B6bPh/x4of987D
POd6FsXefzumBVCbh9lPrHv2iIyVoSASuABPtQ/ULB7hjK44ctavXz+x1W/0b1fF6s+qwYvBP39+
YoSf+tnsduI+E6N4RGKUUt2sku9mNtMpFMv84DqNuEWEjI9FJ2wxfn39f38xVxoZYg5vRaDhOv75
+qOUVU4tUtx7hjc/AOVuXtAqzHfx2IrfoM/EPwwUW3DeBmvABTFI/nytSPug/M1B3DvUNR7YR0JG
IheF7V5k2+ptzh3ndTS99e00yzJs/ImXxch86tc5MrX//IvbpsNsSXkZqf+7L245Rk0+QsQOlMW0
DR2fFOpr2sWcdwmm+V0N4J9ekrUiyHvJf2AKraWIv5UayLcxU8MerftO0eZEcVMsoQPZ9zz4JpC1
LnNQ1qiaHnnKKJfFIm7LkX0+KYwEK6M6W+qz4Y3zQ4yfANcvYI/rnh3tTvSU+5NkZFtR6Yy3jM7t
PJ0kbtZi/+tb9g7BcHlFfIvnRzUDEBwj9ucvQSpfNAQ4n+6jKDPb/eJ33fEybua+bF46osTCgh7F
SwVanFPqRAJDSghlqLRsj40uc0IdcofD6zItCIhEZKq3oDPnh19/zn+YBVfrIZ5Bhw/rmu8+JulN
w+jhdLh3F58bcrnNoumaF2FG4rGlMvibkb2uoD+9xZ5JPB5YXGrFdG2owPx8Y2CvWpmZa3U/NXZ9
dvvSfQXpvv5hc2gbTHu+62wPeWmURgCjoSCRcDrhUfiYDjmAIZtsrDcb6P9dRobSwQSv+pLaDhPn
OiYut0ixangbkSbyGro5Qb8CiJJhEFxu0duFsjzUv0Ft/QDS/H1yYrE2ec5ssWFD+t6lP/W3QbsE
ufTbVMf3NT8VUkNYSHnxjexDa4NuPFYI2qcw80fEy5bL/jZM4V8ke5nEyOGKtU8W6rmhP5RZWDvK
3t+PS2z0R2pQgwgrESNZMyIXDTq+QLwcZjIZn1CUxf0WWF7dbSZwo24IIy6BUWCRErHJ1DTsWAIg
k+G/IBs1aKr7oeqTc6DK7JrDUn0LkYWuc1B3JoYVGCHPQvv5B1Hr4quZK7HFeofEwdLLQhbLPCZv
2q21d+rJidqmPev3CRxdabPdzpq71kzqErOA9IBR1srcurBEKMT4vtE8DVWRTVs78v2PUoIt3bRZ
nHubzhrbkYZO3NHo9qTuQo5pwZ9AWxHkVaXqIWSTKoZRcxgc/NEtjvirCBLYtRUP6L+bMTqBq5Rk
oo8C4b5DPNu9MWHFxR+94ptaZeU4O5K4ae78uCxQbUonibaQeOVTnAwsuzljxMf0FxNNgtkTch3u
R7YGkE6xXPPpatd9xeHFNqEKmG3YAjIRw42aH1Sq+THtkyMB1I5ieQB9EN2pyAr/GpFjPrAyCyQL
DQemgcPLiXJtpm8ou7XX1HcCsY91XSZojtI5uKK8k9yOuewh5WKX38QcVQ9mmnVbaZdrGIXT7TuJ
8qTF9TmZ5vIsVJCeLPTrWziLCFX6ukZE1aoDDKFoT++v/lJKRXycbWD/9prkjYEyf4uHKCOimarc
1gQrjiEt6qtDFzfuthT+GDKwLuWOqJpnHFeGoTdB3b85LTLSmdZg82i4QZrDRAgUqd5VVcjy0R+j
2pQMgELX/rb0y2DFE2jwjGiqoH5EFv/E2GKRo5I7qSEAM2rcdeU2yIVsno1kxFZfknmHYEC3ugz2
hrlufhZ3fsA+wp2uDKjWZkztmNnecF7bYKIjgIGl0ZQ3o+LTbCiemI56FgUOyAP+LMm8goYiPaTk
0CAFDcSKGYQzQBuTZJkX2SmerEfNoIAaTFiAaXbE45C70iDoREGr8pEpO3WwyvjB0oeL9pzXyJ0m
aG4m+9W+CJiNysl9naNFPk0Ux9/Ukqxp3R4Tj8M85DslXeUuQYra8oYGIWR/fj1R3GulCqHmmW1d
9ASmGZuaLutzXuXWY2uuFgdcRPK670fmZ6YzjFKFI8t4K0TP/0NiCt9pTNn4WJjdUlwuCEr2AQlL
rx1sXURhhc3f6BKR3SKpYorBJxRcx20pryWhWQ8E6LGo/6hGrHMke7jgOqIAdQYz1qGlDtRbK9db
KTtHPCrQHwMbDj5tiQg8Qyvr0HRh22kRn5Tqu/ayF8kLlKQfKmTncExHcTssPJHRYWeoLdoweIDk
zrIAYwwpxw0b7uZjFtG9Sfp5LcCvu0dtce8FNVmi1Xl/18jUUb3hsp4fsvW/0VhBdxdn7D7NfHRf
6RzIHSoB9dYUrLatjNuXLC/Z/QLB1g+XjQKZqZU+IYD2Xq2Z/T3gBR5ty4eZrSB7c+zC517QMriq
21UclvBKe3Vk3iocsfU1w4hnZ62ftqpbFh5Vd0cV8YnMzGQTXtdEKbkib16wCLOa69wiVy6CuPrq
qQUeIUkNOL5a1fHJsXKzg6JgpOdr4udQjV82OAh+5S5fsv7tx+HHXrc+OpNUPwtXOzjKMOdlCIeR
1N5Mrg6ugXc7r4lPz+LAssMHpOSYLZuAfKRsh2os+rMwiCfcVJdXSFBAn/cjTX62Qaw8/bab7gNn
gn8pFc+oiQI2d/xPieG52wFwZ26r16NKjljgILRgY0AH9MrjSd9Wyvav+Dr1GeeV94B5Cr8fuBE+
LT7PNRaPFReDNvtynPy3Jm4p7HvOGiKM5W2+c8jaGG6aKTYo/CcRZ0DhVYxa2haBvaPNxoeJXAYw
lBfuWS8Cias89R+znNL+rm/N9AA5iDGCyt99TUrEBxsINHz/yySQF/b8oNOKu1Lkqbz2tGtftZI3
rPHWy5dTH4TZ+taDlGteMvSvZzDp3ZHtfntsI5unmlrgZTEQr/dhYgsqqzR6Anw6383keb3iq+J9
NQuMRVaKn3obu7zxXQfECtwpI9GZM4E3JGUKcAV79J3AlWuzp21jdSfnyJqugnp9QFnrMDVZddQe
y07IpxRHFCJNjqMKnn7PpsgKMOFuLGIXPmozc1/tLBOPlhFwBkB6xdI0B+JxsknRAU6JDm/DPC+p
4qeyefHgVLdhKyZgoOs3ZCVij6xAElA+pYB4OfAuk9G8LMLmFaVj85gydROExZH2kXK+eESQymPp
113aQp4CMVbr6Lwsm3oxGVEN+FYYcAnffXEbeV1ZtByywaJ0PwycZNa7RjVtllS8RbEQ8M7HSTy+
RQ6K97XBtGOThkdnscgrXqtF48j37cXeY1MUAUCUmOkozXm5LCdgdkxU56LmZ8gPDPAI2U5K4OBu
Gv32qFMXxbsrh8J9mLsJdXCFPx29fWe6r9TnGDX8bfkErZRjazE4V3lbgwggC3kqgAt4/DQNNKv9
SBF3YohENErCZV1cUhKwmftmKzMOdSzWPLsGdRFHcsTWC/42xsTlBvyYi9aD+5hZzAvrxNrFPivO
ZewijGVZm/uGiEk/1X/Sio/uL+PTwXpwyCgEHMaKRLAbfwgYIkT4MKDcfDwlsQY9/WNAYDELvjeE
Lo5h2Y3d0SCsDGdM475S1hWPl1HhAYRbYCFE4tZz6HyLthK3mbtWG3JlpHXooVsg39Cl0RvqJSdp
rrUoQhBwlC6bdP1CxlQy+lBUF2Hn0DE5aDZC3Zazp7gVDl+BISce6SvV01YUMW+WH7WsMCSJYehp
GDRDVjPb26n4QM9yueekzqA2yZwdwn7iVbnMgICx8hJAps/NRly/Lt99xl2ysYBRDGIBAioR23oK
ER4yKdRxN0b71ggk0xUyBiDhQ89rZrea68aNnh/Ioe3WTE2Y3XLWbPxc5JG0OyEmbyaoW8YWDRTU
/o690PJxFEE6H/thrJIPQmVmfVUxjd7iwuZTuEHPFWBZMNpNES3dY+8ObEJiI5dP5gTqs2qw4ex5
VaY7B1/DxyGYyw+W7X5NjMgIc4wGR5eYxo3f8e5MeZx9j7HwbnyrjTY2aIo8HGubF3hmeczShhVJ
p7hEekqekh2K9p7yTHOfU9DSm9oFenIw4OruTYJVx03c1gQTjnN5lTZNdmM7RD+FrJrlFSf7+Vgh
x9Rh0TQV1mmav3Iu2C941sxkyCYz2nTKwtQ7z6o3T+06+Z+w5VGIpDDPnmpwak4wRVVckRdHFYYq
2xC2RTQZH0mZ4/F0ZcOfrRTcJNtd5jsqgFCS7YkJp1sn/3ZkjwPKcn5oCQx+yOOeHR4y0nBYNXiX
g3JeMMtOtuRVlclKNTU7Ph7hTBSbcF1PW8R3fNL5sphECfM2crU6B4IhmZJy2chdtq7hAkfhUxRE
jKDLwTA246oBJJ3RQ+h65rSalJ3oTD2tO4JfkNepjJ2rqZHiNp5dSThhr96sBdQKJlDnijMYz5Vg
Y9ZP5P2M1jJmtlqwAT+OXDm8zJsEXDM5ShbM3UVaaBXrfrOJZHBddjgf6VpRvppmB+o0HuwNcc5s
1Vpeob5g8KQRPiijdvfeCovZLAt2z5CzXXK0EA1/c0bPVPjlB9643sDo5eatvDZ+7DBaaiQGK3OJ
M8e58n2AiVcc2Ob+qDjf4G8dugPdpQGMugWmADkUjeYc/iQoDkp2Llm9QDIgvbL1M1g2MHxzkig9
FhYPstdjQsUadzdSpgY32223xOt0cNkyu2b5HebnDDiiKs09HWU/2Hm6t/ZcOXlMOrjyc+It1wl+
pU/4kfOt4g1hdua0s+xZEFfXj0c6FQl1jXEHKLgGfrfIKtjZnT0frdg1voLhd98yOSzfcKiNkGFm
xXZ7KlCbe9o6i0aZ15A460NBceV55Rp1tIYjHBdtS27Yrq3pLLr2nN6SAkz6Uealn8umjz+SkYe0
eSgLBIrKNQ86cPWttJvoU0I03te61fwmtwJvzk65kvHdQoofEVBmPInVLQ7/opOj93KpzvyvJPF3
kkQaC1Q8f9Hh+ab6//OUdnFapa8/NXl+/ORfwkT/D9/yPKCs4iJWXmMI/tXkCaw/PKSBBBH86LVY
f+v0mNC3ELATrYKkkeYE9c5/dXoQLaNK9FbZEJh6i4LEf9Lp8d4FmaPdIiCIgAvX97Hv8inflbRj
TX4u6oTkSpX+cK6Diq1MheP6bGv85IVDOC/uG1s8KGFsdAn62YTNtAWaNx3zpIOUEEWDv+962X2k
loBH0C7YNgZ9AY0ED4ZNGmt9rme33Q9wcnIyuBL3inaK3+2HbIiWkHPihFkgcAuXQGsw5aOkQ+42
0LKJ+j2htgVj1WkwJnEZxJ9EpSSnGPDYIWkvz3KangiDijDZR0p/IjSBUu0EfDcdDbKLifK7j6da
nGjVwYieKwXUIlp9Q4sRtQ+ubtNrfkQ0SOX88QA37D6Nmkxtkzmbjp3d1jfLBI17Vrb5eem68ZyB
r3hEqGLvdaeSO0sqrwUzsH7zAkvfjm5KCjMwK/ae745E0k+6/BgnkCIse27CTPGvfbMVZ9anT3UO
HCEO+vEmcDTywKIPDXKACUWrgSWDHuk/5k3m34EYse8jxzYxsWOHEfuaIDWwAgTNbeUQyU3gj87O
YlrHvdMWONu5hbbqndCpZbmxDN/fRLONRytvjpQlqQZoOt9D8gH7InF/ljadYuujtAkdd8I9XcSL
g/qDXQ2CTUyigbf0G2KrjpJYpU+OQpFAvWgRO2MkrNXJtI1ZSVUuz8MdrpfAOvaZ+ZJmlrsd+C47
ZA1PEUmNJzl1n3SuHTI8zeoLgQz6JJLG35SkCaMA01hvendbZHH8oJzKrraUT4ubICvb26JKSm51
QYbupiErF9WW8mCPGNGKLhhfoi6y7snCy3ZEhc7Xemm+9ZYNEqTSpKlGbcqcOWXqNLOudJlnh0SZ
zddo6qhnCC/aDpUR3Qu7f47ReIcu2MOrxOui+Dz1ZjHezxxZ2tcujtUXc2qH7+AcaMSQu3petbwf
c88h8sathmtXqdYL+7Hklk1N2d0MlvmF1Xa4NRoLGNBkfgN7jHhtIvgaIEN7NWbOgF/aNj8gaRdq
Sz5p8BJQGnxcjKFeDbTFzmtR0gE6Ao5zNJ3BhZzhQYmEMz9NX5IYJc5WaI5mO2W0ChlY1onNwlPe
uX5P5HylRvN+rJcizM3EvG5aKsnhLDRMiMa6m1zxsij5YnaQvqky7zofJxzOzZRqjYNkpzvgebYO
Zmx5n1EnPcZR883keKDxiRfNrqOLxI6SfdUH+HEUrWRAjnriWceYOeeB3xBvfEgMt6pNz+gEp6tZ
UFplMDsJi16sJutGSQVBK4jmLkYF0ryUUPLRWPTa5yOpfWYM0d0I23TTtXlzo0fIAWr05v1gyoN2
7OQqx8PU3luLFZTHIRLgP4NBZ+fcNrN8l6oGfd1s1u6Ncu1o59s4sznxil3b9Ni3fIyyovGCz6Q4
gFTvl3Nl+sYx7lVyyAOWdwgzJKNHbG+lqad95WSUvuYifyaGR2/LrJ3OQepT1YODt7ZA2exAGtjk
XebeU5QGPeLho/awO4TBiBQra0tkKDmGqXoYmsNICkM4ijK+mUZ34g4Qg033w3Sv3D7obmZYiE9T
vE2G4jygZdqWhWooFsY1G2XQ6vusOXt6frai2dvWbKCv5iVadi5/61y4Zn0jCrul3eQYMwhbAKWU
xgc6bVc59T5mqq69tzEHPiL1TXCvsTNJAMlPoW4WfYgM+DChLPIcvh6AXGf2p7PrkCXBBPEFASEB
0+OQzBD0ZLenmnfh1t0WS6y/U0XBRUoBfp+4MbHLIMOGwxyprzC32q3nE625SbxKbGvEUle44AjY
raMOZvnwhYXF20/w6o/V0k68pVAVCJRrpgmtJdEIX62K1WYHnl1dOyVQ4DEWH2NaI0dg/eaZymgT
dlWQHQofeD8q1KMCX7AhXDAgWrPGJUcx92h1lXllalRIkcyTK29y5t3aAD57PUIqrATBXjWYxQZf
yPNc+SmFuuKB7G5iZ1TsH9iswymBDvd9oPa04n0CZ8OWzgknMRaUza2Wco8oORPGULLM2b7rRB0a
9Wyt9DtH3yRNzHbQJM8+Lxo88gtZvy4E2hOi6mg/De0ZZEu7A1ik3ogbhgNYNhPtgaK5plbBDn1w
kqtukX8Gsi8h+HdUS+NhN+TTnziPhp1JxWwH4uFTLbrkKuhUfMSes2a8B7cjamLkp/atXVpwR4bR
vcc8Wu47Q93GOnsYTGXcT0l2N3NfT9HsWryNxS1goGU/e7lkaUxJ90CBrLy9u6hu6wDBIr5iHHqO
6LP+5OTU46aB+/rQDmnsnSgsUnDTyozrncXK2W3w3cAgoaZDbs/GmWpt7uBxLOYuiSSHYSzx0nie
FMSvbepTAF9trhawzbwCfTznoiicnd8LoY8g5T66frcmKI0LWxmVFw7tDMpdqHiFvYFum2GBF135
TUMzczdghNsPFlliybbJuuWzDXLrc0ly+MnHzXke2kodWm1MfTiW/uyFGNFH2j35xNRfVNyDMemP
GrUqfS5mzCA3vFcNfIezxZCd8GAM9gZrEVyFZUhPxLSrLblUO5+j+V5Dl3lrrcE4KMyGd0oH7R40
M8nIwGGqTVkxvRI/zA3KNdKGxIzjJwDXoCaz1SjdUDSBy23jK+/wRm7NBcPiVA8gWVjdUKDV2BnO
XTOAP+mtDhsZbbQBhSArl7l3FWvbJtBJkIXKh/+x5By0tRIV8IJAjQOIBT2ciyQ3EGu3Hhu/CBQE
rQJHfhCu4fVh3S9tus9dKs51IGk3JvYAFSluTcCDWSK2c2Zm90HStQ8UjydFe02nYS2kC1Ut4gSL
yuK4iGQeYRDOo7kxdecrihK6/1xIKbeRkuKalPVyRYzM+nmxU2cP9+pgA4WDcLX0yN6CaqL7R+2O
PAjIe3GKJhcOloIAMBuQyQlAidcdEKSiklDFKyd1zM9RRKpJ3JhREsYE3HA61k4FbSXvTYJ7+/6Z
yXvZ2dykcy3Fn1igYUv5HDE3PNEIhE2+Uhhkl4OX6YdMAx91rbDvPbqUjpeUHyqy8tBC5gloPje5
adyp2UuAS9fT4LtXXhI0wNbswL1XRTcQnEht+uBUXreTPLQTcNJ23BaVo9/mKEi+SPbcn4Bc++fI
SSpat6S6XytQ8d42ikUsb0rTtUNL+899aavPGnkiElDXgS6NbtKaXfOqo4UKrxxA+YvdOLSCFcxa
XCI+80BhyZsCJfU3y4iQWbapeGU+TU/pZAhKCI73PJKYqsO8K/1ob7RpgmbchBYYoznEy9LbD4Oo
7Z3rEW5R07/d0VyTBzkjpHZBh1BTGadbxIjTg4IusWY7zCG+Y2tTQ8Z+1S3o7Y1V185epDUys0Y0
3a61xj4sVxiiHfXtzvASb2+NhGkgXJqvkSQtt0G7NB+bCc1IyHyegfUUsAcrs3iOhVnESDczeaoB
jJxSvzBPRJOhc2K8nk3ywe/tpZ/CCantlUXheGcsK2LJd5odUTuCvb/p7Vw3Qibu90nO1FxW+8lr
3ENWGNXVbLIXb0jzfay7wqZL2O36ps0+pDHd6iwrx9vM960zk8S45QXkZfGh1igSK2/s1cOYGG0D
CDbzdhp6AKjxUbcbgLK8652TnUm3iXZFCZc4ln3xNck9dzn6xNXiQB88FMj19AZ6PKHTUsj5ZrSs
2d5PnVP/UJH87/n/t+f/i4DiF+f/VH2tERj/LPD0Lj/1r7N/4P1xkYlx8IfYcMFh/3X2l9YfFLQ8
JHUO9D//p6QJXMnkuBBRwb8hNM1GfPSXypOoCXKP0TN4DuUJSgf/0dn/nQxmNeMQ02c5JHyBzHnv
V0aYmOSQR70fzSYSxOY7V2BEXrSm6tl3tD7/ViD5B6Xne6XPekGKIeg8V92NJ96pqnK+dWM1pXu2
XYs0+xGV/LKq17wiYJiz8vxG6PNe53O5nkPmDkuFDcP8nc5HZh5HGuSyZ79OvNdsbS1emlXKHX8n
zFvFcH/X3nApHjWSQASJhACvnvS/C8Y6+HjxkAvnnK89+BSs3ZGcW0qTnhVTVYUT8+TnGfXKtVH7
67v6D9/yR5oJhnhktO8LOFPLzGEanXNWFrK0KmhWGZ5bUeCmffY7D554rwrki67J23LdxCPneC8y
mgmaZxuUOuepRsxLC5iOBOA9k2bY2PsstBUynORE/APtTt3RJKcGWtO2nImACE027L8RtP7716cW
RrYhQi6MdM77uOlMJPS548g5BxOH6hAL2KrIyvnjf3YtIAIIrxnCDJx3A4osVhMMinbOtprQEziG
euNsPT8Ma1vt1091HTA/Dyi8yojiXNcnnIIQpZ8HVEo3jvLz4JzHKPmuLKInaGD+p6pKKbkIAu/L
P5ml3o1ahG2O31uFc17gipyzYKSZGXicQAS9t9+pnd/FZKGm5Go2TmsLkj+38L2gNIhsMS6ky54z
K6W5dhFQ4nmg+1Z0qnkJ2pyOqKd5SVfBqU56AO5jZP+wLPy3Jul/GMGeSaGMaB1e1bXJ8POdjSxh
RZGXO+eZmJeTnVdU7tq1NdIYihFK47PckfFMr04vA0rmy8vrrgpoZpDfKdD/afQ6DjGOcn3SaOB/
/jB5Ib25BJV7VtjQHi59qgnu8plOptz9ekT906U8iskoaFlarPcjam4CWux+a59Tl9srZcwraxQr
kiLwePq/vtjPUz3TN35WafrSYWXhqPz+Yg0U+KJtG+ME74YOoWFQz6lIxXxZJoRKI+674DcK4XdZ
Xuslcez6pk2tfX3A79X0Tb5gHBa+PJkcxQ/goWj0qU4BbpgMtNIKFgX7ebqBHHhQFcS8UiXqwbNv
VLTzgtRrj8vK4bjMID+kHnpBTbGJEmNB0L7KMn59k9x3YZ5ABTyCSlcRO5YOGyrKu8cPmCJzZg5w
J1WYJTQbzFx16hn7WKh8gMRZajTFNAu7GvY2qdPeTvDL7jvEFeVOZ2ueQlRGPMiI5OS3Be/622zl
DN0fXW0LDWOypTOECsMVtHk3HBVQrK1Nz8JDWWVm/BhJrPaVr/m5LcYlzFdW1r70q2o1iB371GXc
wI2m33tHKgVaImwrWBSXxMAZKqNWHIVy+dUEJ2BXIw0UoGHRQdbcxENqe4eiarnGKlC5JNK17Zpp
QbYBXkCqleIWHjsjpHFooaLZ65eDQcvNO120uaqPS3R4naiSE6fT/g0VafviNzQoTiSe6gdBBffO
sHoDrUeTx+kXoSWPzF9sjwPbhD7kqcUe91L1ufdKBjyj3aEm/aoFYbtKwESlcIFwq0Qm9bUh2O04
tn770Hl9eXAn2t5+GpOixPwL5ZJgU1aYi/qIWGxe0lW+5UTIFOzZ4Y4iF37SjpUeLgL5i3T80qHG
8cb9kVPkPygVL08WZu23Rq5ygAsdRsydesvL2Fq90L3cLSoSdhjoTj4NjeZvgQKzryThufGmXNvu
S899c6jMYBdZVzkwjsEelFZBsHOZdBkMhhkWm/b9tVGdeOTZldTA/ROA31WZgeroIr4zM4vuN2ra
eVeYBrKhi0CqTeHfb6mauq8+VDtUTASeU/6oAw1C3Ix873RpJRvoW8CjOyMScWteDSC4wHMQpz3r
oleDl2YExzrelUsgbhMD4etWuyWSDAR9KBd87bDe4OukYS4qm7E80vJ9UmbErw16uAoUNue7RgSs
RT3V+BXoz7qMERwsUNjYWBGJO+R8K1Ik3GPduq8ealosO1UnCw5/ovsY24t1XAD9+lsr9pwv1ThW
jwG8vRsgbcWWSnktNmgCRMDR0+xOaVFDwylWKaEq5hlszQIj1FSRhzpnSaeN6aGL3fhupm8DaBjw
9hLAgGVOyCZFKUrqtLNC6A76MYcxsRvqpGlOFAtI1WBMgtjk0H6PZAR8XRYNJYKBrv8eOEt9RZVo
uJWeC1xWzxl4nSFnZgqXVdXFKRXaW4/h4xnDdqf2ytXeV9A3cKCBaFwjde7i/WrkmEgRadIt6VUV
OTdDfStpUwC4XVTyJV4VuH7dUz3nMH1Ahxidhe799hCoyXtpUNhwmIdwDzuoPtlOSe9knpzlS1W0
OWdhawkVJc1uG2D1CXGcVl8yulM9WFMk37nZ+Yd1M0oFZ0bzvF0tBruWPeBmZPOyLwOrXycmVIC4
hh8GqldX2Fmaq6xL1F67g/4GEXEi0yc1iImry+c0H52woLywaSpiwbKWfBDKB68kzPF+IHTbRhYY
tWHsxL7kGJ8BnkR/hmCZtmeE0TnvoKBSZEZ/2oeoFIhV3nTUduN6ffLNdM1ONzgSLazdbZWOeNEh
+CIULmS0dUiTQBTXKGR5KtkutaZ1U9bDJziAkBPHSu0H+lUoxcyvBUzwZ1mk1iaVYt4rA67wUPA5
ZNSX96xKC3E9TO/XntNOmyY2eaI+LoRr9AfVHZav5g57HYPa8NiRvV5kgwb+arVRq7RzV+Nyzc7e
vMpI6CKioWO27d/izmRCqhcpHrW5MGTNHiVr5w94ToKBos8O7y3Y+r5uTTTkSHGXEOl/DcMPwexF
8eLrojv2tF7QYgwuBHK4y7Rru2L9bWJuiAK6+PBwSrAxW+lUxsw5SpFGUMJNR7gxNg6v/pC4RCjN
Dr6wi/i0aRi2a81jbR+j1Xmx6pZw2TEZsMfgwK1XuIVqyi/UCYPmu25GZ5UW9xQ9/F7tqsyZvuFJ
aWPAmYb7GT0/ERSJVEcc+dSIqzlO6ZiJLPlTjf1rhqxq5zppHIeRZvp4hrg4GB/TpQE1FVgJZW7U
MqEHQ3GXTFNLRpG37HVQNZ9wMsAhlb4zfaKnXD4gUfxuFeSbgHv4AIkA4YpXkLlryW7YOUNjvcV9
Er8taTp9jAefJ8cbn+1adFkSKaIPa3NM0jU7sFD+yXORgmznCXJiqDzm8TAfqIIdezmbZ6et9U2r
KJ55y0yse1cSD7LxeAp4+aknPBkVEXm7WfQwp7vO+bDgz/nQgvR+KNOgDbta0EYZIVBTiLX/rKU3
nnuvoSznRlZKplBgpyE9emCfwzLJDXQMpgsZucB6A+eEXeHPCCjjx6mPc3x0g3lD4LP7JZ+8PA67
IqHzl1XgLNGwxSRf6fSmo9d1MuQkiXkYY/VqpVNzLn36hVXqktLhmQa+i16VHa5qne4NNrPwFYVl
RZvUgS5GBkZlP3oQ149jRZRhkybRtamH5b5PSEaQYzy9EGrd0rNQyklPczrPbhjUeGzIticF5dab
EbgdZDIowj4q4zrzl/oTZC6I+0Y+kNNDpdfM0UUF03+xdybLbSPZGn4VR+3BABLzojriipotWZbK
tuwVgpJoAiRIzMTw9PdLALJJSlZ1FbxA3LjoXnS05BSRzDx58px/+FBywn/Xtkl2XcTx9qziIHy/
WWZrJLpd36P7qHG98AluZzjAaAGQ8hiw9WJrb28XYktVebP0oFFnhLxvqyrXQSGE5lUVCMIoKAA3
nybxdlMeC6w7PBqxkbjO7RoTJhhUmnPihLZBQNSwRhJW4Z26SoLmcgy+yzASeOih1ZxnhR3cZQjI
fy60OvvihLVxsq1Qj0NFEVQkOkuIyAJ7wwhqaSNgUdpo5XqNj05wzjmUqwgRecoW1XGDqfq4bbin
YPNnp1Mz8oIb+GHVZzUtlWszyOkUBXqinzqKntpHMEHNUywzTLw2ROBmZwVr9ztApeo+dvT8sTQ9
+6m0cis4VQF6Z1PAr6Aul1Fop0eeA26vkeX/49SHzXRu5/F300fYP1tCKzhq8He91MsKwdYowu7S
r4KkPjKgoE1XnM43SgguXKiWl6P7T86+aGpcUCDvSAu2wsid96sCixYM37ZfffDq0GoWzfIGXJit
Hnl0cm82SFnmIFUqBeKwzrcWUkBCZD4uw6r4UsGxRxO9zdf/vxb6N7VQTW/rk7+uhZ7PylkQ7IKg
+n/SF0I106ASyt2M8xUGJ5zdHyAoQsJEGEiz4e0LCEmVwm29OpsQE05eaMcmvEAkIB33RyFUcyYu
VVBHFZhOaPzkn9HdD6p34MXxLaOoygWMihbMyf1bOOStEN+4hfgLA8EYFlqzzjC70ficMvuSJlQw
uvwgTB9jG06MT0vsTrhJfbYxyMgQ/nbMaZhV+DaghlIeo1gxzV0Fv5oK1g4K9oxjKQuBQO02Cj4u
0yrGqIUjCyXZanVaUKQ4ibWleyUUleupS0QJlqv6LBL16q5ZIufEHoE1pCnFXEpLIjNjIBqiVAhr
4OmJRKFP/3DmLuJ6ZqN1gSeWz7RNkY0gc05XaXNK9wPUYa3ED4Xwl7N8UdYflRXVDSgn9bc6pTPk
xgu09/W6yefbdKEdiRhWy0Ko2u3Ct24l0wfSV5iJz4VOfDp++yrcEnh36l3yK6B2jpa0qyJLx7Vt
/ytYN4axVLzM+qtJdffCxNIN/dtK3mQjPBtgEiS5fRSItfsRXwtxtSnxCDkCroEDYrBSt2eNj6O8
bZvRBVY62+sGbZ4PAqTwEwb0yv0mMTPENLG8N4Pl8rowc4hfjp+HX8IQGXu8XWLA/Xp04zjpZ9hK
5jn2L1f2ohSfhC/wRXOflomVPLz90tIpc7fIR/1eteUCpnJLyRgs3v5Lx1zbFp6KXr8Rrb1vmvz2
F1GkfdUE6RnHWHpRLPX0Yr0s8xPafjgRrBWQqpm+bK6rolIf4pXGNLhmWd0sEIi/LHGo+cur+V+J
LsQcNVHt/UIR5Y1fWNqVvkgo8TveF66H4szFquLLCpN1mpSheh5sSoTjlVThxJI+RBF2Ho2KxBMO
yer2vdroTxuruCpToQFL98zzGhxBTsKsHwdVvTqpTFRuVM7VUzP4Fsbu8hI7r/IRSVT0fHOk+OOU
w7ZNN9OceoQHCxrwPJ6CQVndsSlXH+wtLMAQJtz5Sud8C5Ypqsqpxc1i2ZjvHQNFORRQq+I4CLIE
J5yle4besZiKgLuivYGrgRQqYDykiZfXa19PrmonFAgsbeK5Eybr9GgDYwCzQdNNzuXdCaWoLDtH
+yF4H6LJdO1Jaggmz9trIM28nNAL6iyJ3yyRUvaXeJ4YC3GnwDq9yUAbXOkChdKgcZrz0pR7E0NQ
JDPK7N7AxvnBXawWV4aRulN1UVV/19vYj1kmNW+wnygf6BqiH0K4+v7aEZRGPTIV5c6nEXubu8Xm
TAEH+aWuSgdNGuSwaCWxdtKoecQQjptbntFyNjCeflqSx3+ILeFdJrma3OPVGx/DXVLPEif+Cjd1
dUyPcf15nTDKagvXAh8fbAVCvvuriM4594xFQ8t6UZ1AFBR3lZriuGJTsJjWhVJfQ26lwakp9enW
MIUMqNHqMjXjXDvBw1GcBGqBUNuy2lYfUhy8b9tlGy9x7QwCq75OE1O70uLIA13tqF8dZZ3du/CX
7hFcSD5gJQrUGXsglCV0fRM8oPp+lkSpAnmtcjGx0IvCOjMA0dgnK8d3bhyVPPtviqlCVuZ+xis5
/SitOLbsPAgUQm25tXfI1mWiZRgZp94duApLOc5R28CxKVH+WjYub6AthTq1kkz5tKwDNHJNiNUx
STxSbGcOEO76SGcPFkciTLxLB3LnbLW1Uqz5kjJeTGMt9b6lBqh1VLZCDSWmQun6ur8sg7/2AoY8
Xqn/cy4L82D9bCj5IzK+sCkENvkJ9LDqA+JOi9ME5byUCgpxxqMt/9EUUl9w45sKri6beAYIxHyv
lZb3nb2nS4pXNNMrW7uyymp16YuYRDfBHeQTNEYIEj5+Mk6Xh/3ysx9iluXkG4C6sAcWcIhpJhxM
/hr3pMYozbuoME2o+VySv7OaPUQbIUl+0bgnXS+rrLoJ7e3mLIcEjFb5ZmNh8xJsL6M12MTSFelF
aJbpRWQnyqfcWgNXKDHkm6ZJsbkBABNc2YL3L9cuVrx5VmbftxwTfEWB8ZB5JfCYpsGdZZVQUi6M
crVB+4m0G7cnIEkCl6McN9d7Aen1XHEU5zILyPk9pD1Ow0xfnMYk2t9Sa9OcpeXWuwhqPz1pNvbG
meb08ufagkvUEQZNynaaxUI7afTYPdWj1YO2Bsbm65sEG9Q4vgiNrfdtY7PVyQkg0Mit5wG8fko9
yMwnNDr4eLDSLpsqFXc4ItQFYEV9i4Ndwi0izppTTDi8b6y87dwI1zKCyKlZ2t4lLpn4JqtSioZa
kLiLg1Q9qsV69UlFnH5xZCRW8NVeLx/1aA2lFBuvi1UpsmmaCvjbRiiu/KrM4OCH1YelJn2t3j5A
SRIPt6EL2khF7JSYLdPBg7SBWL0u4E0kdz4WLvYUSDEoxDY24xaXnFEL8Kc2nE5YdjDNT0nF4pkl
8ua2wcRmdbJYZxcAMWy04ZfhZRKEWUkFVQ2gPynLYI0i/eY0xwqL7arZ6kNdquFnwn/+IEpjOy8C
21COqditbdzYHPh12AyG11scnk/WtlqzDkAwh0ehHnr4PGpQ0wGKr4tzZ6FUGCjF9gV+XJ8Rpabc
CyUb6KNC9dhNLOVWZ2OVx1mhFk8Jyvu3rC8fo6wkOq+0Jjsz5N0RezyZcsrvNS6D/D6rVuemQgXu
uKJvAQ+5vtdi/GPQrNSP+Dw+jrtLNgQMIxbrUmSoUTqO/ahDDT9OQfhcRtpSPW/csFaoRDfJWZMI
P7pGPdBwp3Gx8r9wDgRfMgXoIfX2UkdsDl/qe9w4XJgoq8RanENWUREq5O6HC68P2V+hZ32nbEuZ
4MA2u1SdiqMqW1vHaSPJbLpf5Cd55a9VXndFyAujjInKSuwwsVwt2Aa1LxpPtqkMGAmNtvm0AJZ7
4amY4x012lJ/8HUvqKcLzYpX75U8l+mPW99C64qUkwY42sOaJoAENqHOVxPZpQVVo10tzBKvIBaC
g5EX7R3FqH20CzRd/6rB1qeBDTrwFiKjVwAMWlZ3KbnleS7ZNxTmmuY7agLOhVM0ChxN3EponnqI
1alpU54Y2y34Y8D+wGlTD6+jFPmPI2QRdCyyFulxjoOlcoTrqHoc6E343bbLO+p09HK4/0ZId65s
1DXL1fqDjd3MR7G2MRUVocvMuHVz226k/zM32/5Fjmf57KS1GLgt5ml9N8+oBWXPQmfyp62y8yds
X/Mgr//pL7090Lt5O2h3V36MUCmRnwCS5R4CSEjox95Nuf1I7Ud5a4RwxicunuZ//qG7E1OlU4JS
OP1eHk63MEKXtvux4qIChwaUJZvG7dP9wZ0p+tUkvP1+3Wy+/Tt7bzB7WiOdSyEnDR7zvct/+5n/
m0k4GGJnEsTEtoAlccDvv73EVBlkvQKXh+7ZXelvLYG33+z3vT0lCZ0CwrDXdyc0sKXEn8Qu8ZD9
764BTbPgjpm0c+TVkYdzjz84pjUA4YMPPWgWDHXCTVeu9X6lUwDanQXHnQCRQbfPQbO4fUY3C8A6
Bk6Cbky43AFTgZ3XPgcbQtO0CTsFLTrgLCNdCmioDZwFad9iGxZR0Whf8kVQ1AmaqtSr7H8OIGVc
GwJA/+D9oE1AbGom/IBuEtj1u/vBJmiiWe8gojm2t8eVQurPDQoHMF9pgQtHkmbb5yAoOuaEGzmA
WU1KevKMbxYwJho6CVTSOQ6ok/cx72ASABYDJwMFxG1onJPgkF8PnQQphMtNGcGKbiUcHAy2OTEs
xzJ0pHjaZ4QrQTjkdcP2gzqhUk7Qgz/ePfvhwNVYKrg3CKdPIkaXKHJp55sbNgn2RJgGmD+kStvn
ICbC5ZuAr5AGP/0stX9wRJmS4CN2p1VXAPuRw768M/wyXTaIChTEEPnsX/IgKhAaaTS4tss0tc/o
jkcNtPjgsOBMQEzTMJRAWvkcrAXXmeBPohE8+7DRZSUjWguIUA9dCjqtUbQSTKDNr06CpkqpcKCy
Vhd/RvT2iKEPzhFkY5i3wwhrPxjasGoodUs1jW4HjC4Ycm+UDcJB0dDQJyh8cB48Z4gHtQNs0kCZ
Mw2yzSofGvH8wRGtAY2WVveh/n00FM6EajAS530eeBgHEF4xHHhVHMHdLIxuJ2js3W6B/vtZ0JGX
MbgNGC45gnwOoqGDLx7UA1gsfaY4vlmgxdN9qH8/C5yM7HjVpo7Q7fuDk1HDMtSSlCZICmPbC2zi
F7aIv6gmvpUZqAiY85/DUMDyAPCC04PeTczoXp/ajjM0FFBMlSkPkJ6fi3z3ykw5kfsyeREFxfYZ
3SyAmJJeioOOBXlzligppJ5e3QS2M7G4U2J62P98fKFAYmUGzoJhTnRuChRVf6Z/u2vBcifQYDWp
Qj/WFEHl3Bo4CzI/pIzCHBwkSNbEVnEc/NFWGN0aELqlDb4ikPyCl4HC2d+Jmc7dNWBTUnaoq6PY
1sWD0V2U4C0agw9FMeFKzNHPpbB9DlID0kQ8Euiy9KttRPkhbkTa0EPBsAgE2BvhNfjq67uGlNij
jdOfviN6fUwDJK922Gmgc0dim1N46F7/IDNwVOpGZIV0Fro4OL49gH7A0EVAemyjoWD/6B0dxEOa
S3RUhGQId7M0xlkYvBU4DUgKSI5YVu3DtO7GQ1lOpqIOxrpfC6PLjyS/eGgR0aA4QFMF9YTXu0ua
ymJAYFwy19vNN6KIQHkXCdBhEcGgLECFVKc08PoqcCcUmimsPQfM0a0C3ULIY+gsCCpnLneiX7RW
mIGJrCpIj6IuMI5uLSAyO3gWaLpjH++i0PDqWrC5LxM0wf13c+COb0fQABx8OhgTzkdppdTviIMz
EtnmCQZsTJRkKoyrhIan4OA6KtALRHpkRHwdgEIJjZ/A5zF+gpRGNgtIGQ+9LYA64D6EQNJzdeBg
FdBnJENQKbj2N8bx5QioSgytHnA6Qr/SWel9peggUyJO0G6VGJXnkDDCHSH5EcOyZm6OwM7BoHRh
8bCc6nI4EBDQ5e5rKN2hPKZMwWChDpwFGgxIadFb58B9PgN380UK15yRJAu0mEa3Ckjnh64C4qLj
0m3uL44viuq0mWCyObID2U0P5eaRxUWJqxy6CqgPCPhH+Bb/eMvdVSDbTJLUJmFp7dNN+4j2grxH
d1/NoNYC0nmYaz7v+INakoyLnMRUGvoJH9P7I4DVJfH//v11EygudwI4s69mitTWdUOXmkv9DXp0
mRLkueH4TI3DD6VGyiXdLPCWu3sBuDaWLBKT8BO1Nq6IQFFcdInLgLXAW1JQpLXcH48HdYQWpWqD
RcILY2wREfzwCzP3f9xmI0fScCeWhh3tcxgL2nNRgiD7Qsv49gKZ7NCISDUJzD6TQB/htVmgsmhx
qeLW1O+V8Z0LnYDroEyRljPkDC7QKJ12z35EoLKIzRUABQyI2+cfzMJ/cYT84MNMUSR4apkwwTx7
jQvzq194Zkq8/HnP/7h4+vMPSXTZ+0VJjOn+9k+izH/2+tItzmTnh8+4k/bv9P+8f8GXf3rvbz2/
1fP/eR7M01n66NftD+r+Y36YreHT/E84e5itZy8JKj8/yZ9/7H3OnezobwbOVgfjyibl4HHToIk2
+wO3PILhA69mm2yWPX9E+TWitU4oGjrydBYG36P0wAmpg3cOHjsKo3T2FD1/SvmpO5zc8JE3m/lj
HjwW+d7gLVJ/6ODH8xBVlHS+O3IHfR48ck+5ehd9fzeNIBY+7BtQdTC6oX/llFkPnvZXYYfNGjry
2TzCNWt/ZDJELiVDR/61Ds0Ode/fbPWLp5m/twC1Dpo09ANf4MC7iYL9HdkxpwYPvXkKZgdRpAPU
DB45Kve/PKPl9wwd9v3L2NRhggcPzADF46p+Xl9t2Ov4KEOHvooK5CYOp9ltsf1Dx76eBZu96EFP
+nccL9czVMpmm6fd6aDNKVv9wz9yls0ekV6b5/nemu5BC4PHDx79YDHbJ9x28PnhQ3MWZFG+t7J7
sMHwsbMs4L9xHDzPcZtBdV3s3zF6VKSHQ8vW8OCho01+sLj7duvQkT/MH1JM6/dnu+tkDh96O9s/
t3pG7vCBy3fns3Wc+cH+sd4jt3/H+JfzNJvvRSo0WmRP73cMfj2vgse9Y4zBZavsdwz+LUpXzyO1
q7vrvwweGp0p/910lkaclPvLpYOD/Z4/cDxbHe79rnMydPgbP9if8a45N3jYVUhGsn+roe8nuxyD
h07ni0NNg7ZxMHTgj/PNBg2T7ezgmoCVhKzLDx3+zo+e5u8ushdnW1fwHjr8X1Hxi4XYY7J+zx94
uRD7UvXQ4T8x+/Msm++lFHpXBh4+drV/q+wLq0PH/ZzP/OeFIWNKX6kcOuyXebrmZNsbuYPaDx75
NT/gDsA9dOj7GecO9ur7W7OvXQ4efP43ZsYD70/3b5klDR27jtAhWex9mx0a6O1Zea3S9IMK9bL+
9CwQ8to/2y+uyd94DOez9D//CwAA//8=</cx:binary>
              </cx:geoCache>
            </cx:geography>
          </cx:layoutPr>
        </cx:series>
      </cx:plotAreaRegion>
    </cx:plotArea>
    <cx:legend pos="t" align="ctr"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165000</xdr:colOff>
      <xdr:row>1</xdr:row>
      <xdr:rowOff>42150</xdr:rowOff>
    </xdr:from>
    <xdr:to>
      <xdr:col>23</xdr:col>
      <xdr:colOff>0</xdr:colOff>
      <xdr:row>4</xdr:row>
      <xdr:rowOff>127500</xdr:rowOff>
    </xdr:to>
    <xdr:sp macro="" textlink="">
      <xdr:nvSpPr>
        <xdr:cNvPr id="2" name="Rectangle: Rounded Corners 1">
          <a:extLst>
            <a:ext uri="{FF2B5EF4-FFF2-40B4-BE49-F238E27FC236}">
              <a16:creationId xmlns:a16="http://schemas.microsoft.com/office/drawing/2014/main" id="{5655F3EA-7FBC-183F-53C3-A0E60779B2DC}"/>
            </a:ext>
          </a:extLst>
        </xdr:cNvPr>
        <xdr:cNvSpPr/>
      </xdr:nvSpPr>
      <xdr:spPr>
        <a:xfrm>
          <a:off x="165000" y="229650"/>
          <a:ext cx="13807500" cy="647850"/>
        </a:xfrm>
        <a:prstGeom prst="roundRect">
          <a:avLst/>
        </a:prstGeom>
        <a:solidFill>
          <a:sysClr val="window" lastClr="FFFFFF"/>
        </a:solidFill>
        <a:ln>
          <a:solidFill>
            <a:schemeClr val="tx1"/>
          </a:solid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203278</xdr:colOff>
      <xdr:row>0</xdr:row>
      <xdr:rowOff>146185</xdr:rowOff>
    </xdr:from>
    <xdr:ext cx="3703450" cy="1563761"/>
    <xdr:sp macro="" textlink="">
      <xdr:nvSpPr>
        <xdr:cNvPr id="3" name="Rectangle 2">
          <a:extLst>
            <a:ext uri="{FF2B5EF4-FFF2-40B4-BE49-F238E27FC236}">
              <a16:creationId xmlns:a16="http://schemas.microsoft.com/office/drawing/2014/main" id="{9C1F1054-8F9A-A600-F224-097255D7A7C8}"/>
            </a:ext>
          </a:extLst>
        </xdr:cNvPr>
        <xdr:cNvSpPr/>
      </xdr:nvSpPr>
      <xdr:spPr>
        <a:xfrm>
          <a:off x="810778" y="146185"/>
          <a:ext cx="3703450" cy="1563761"/>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307500</xdr:colOff>
      <xdr:row>1</xdr:row>
      <xdr:rowOff>82500</xdr:rowOff>
    </xdr:from>
    <xdr:to>
      <xdr:col>1</xdr:col>
      <xdr:colOff>232500</xdr:colOff>
      <xdr:row>4</xdr:row>
      <xdr:rowOff>52500</xdr:rowOff>
    </xdr:to>
    <xdr:pic>
      <xdr:nvPicPr>
        <xdr:cNvPr id="5" name="Graphic 4" descr="Bar graph with upward trend with solid fill">
          <a:extLst>
            <a:ext uri="{FF2B5EF4-FFF2-40B4-BE49-F238E27FC236}">
              <a16:creationId xmlns:a16="http://schemas.microsoft.com/office/drawing/2014/main" id="{54437182-F386-6ACC-7509-F1FACCA57F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7500" y="270000"/>
          <a:ext cx="532500" cy="532500"/>
        </a:xfrm>
        <a:prstGeom prst="rect">
          <a:avLst/>
        </a:prstGeom>
      </xdr:spPr>
    </xdr:pic>
    <xdr:clientData/>
  </xdr:twoCellAnchor>
  <xdr:twoCellAnchor editAs="oneCell">
    <xdr:from>
      <xdr:col>14</xdr:col>
      <xdr:colOff>292500</xdr:colOff>
      <xdr:row>1</xdr:row>
      <xdr:rowOff>60000</xdr:rowOff>
    </xdr:from>
    <xdr:to>
      <xdr:col>22</xdr:col>
      <xdr:colOff>63500</xdr:colOff>
      <xdr:row>4</xdr:row>
      <xdr:rowOff>103188</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4B84A3BF-6E02-4376-8F1E-BFEE987836F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812083" y="254028"/>
              <a:ext cx="4639334" cy="625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375000</xdr:colOff>
      <xdr:row>1</xdr:row>
      <xdr:rowOff>59562</xdr:rowOff>
    </xdr:from>
    <xdr:to>
      <xdr:col>14</xdr:col>
      <xdr:colOff>60000</xdr:colOff>
      <xdr:row>4</xdr:row>
      <xdr:rowOff>119562</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8AD735C-950F-4F94-816B-49DB8CE60E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34792" y="253590"/>
              <a:ext cx="3944791" cy="642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217500</xdr:colOff>
      <xdr:row>5</xdr:row>
      <xdr:rowOff>172500</xdr:rowOff>
    </xdr:from>
    <xdr:to>
      <xdr:col>5</xdr:col>
      <xdr:colOff>540000</xdr:colOff>
      <xdr:row>32</xdr:row>
      <xdr:rowOff>52500</xdr:rowOff>
    </xdr:to>
    <xdr:sp macro="" textlink="">
      <xdr:nvSpPr>
        <xdr:cNvPr id="9" name="Rectangle: Rounded Corners 8">
          <a:extLst>
            <a:ext uri="{FF2B5EF4-FFF2-40B4-BE49-F238E27FC236}">
              <a16:creationId xmlns:a16="http://schemas.microsoft.com/office/drawing/2014/main" id="{16417DA8-1FAD-A88E-EB67-4E742C8D4CC5}"/>
            </a:ext>
          </a:extLst>
        </xdr:cNvPr>
        <xdr:cNvSpPr/>
      </xdr:nvSpPr>
      <xdr:spPr>
        <a:xfrm>
          <a:off x="217500" y="1110000"/>
          <a:ext cx="3360000" cy="4942500"/>
        </a:xfrm>
        <a:prstGeom prst="roundRect">
          <a:avLst/>
        </a:prstGeom>
        <a:noFill/>
        <a:ln>
          <a:solidFill>
            <a:schemeClr val="tx1"/>
          </a:solid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285000</xdr:colOff>
      <xdr:row>6</xdr:row>
      <xdr:rowOff>15000</xdr:rowOff>
    </xdr:from>
    <xdr:to>
      <xdr:col>23</xdr:col>
      <xdr:colOff>22500</xdr:colOff>
      <xdr:row>17</xdr:row>
      <xdr:rowOff>127500</xdr:rowOff>
    </xdr:to>
    <xdr:sp macro="" textlink="">
      <xdr:nvSpPr>
        <xdr:cNvPr id="10" name="Rectangle: Rounded Corners 9">
          <a:extLst>
            <a:ext uri="{FF2B5EF4-FFF2-40B4-BE49-F238E27FC236}">
              <a16:creationId xmlns:a16="http://schemas.microsoft.com/office/drawing/2014/main" id="{0B276DFE-96A5-4A20-87D4-8DD90F648FDF}"/>
            </a:ext>
          </a:extLst>
        </xdr:cNvPr>
        <xdr:cNvSpPr/>
      </xdr:nvSpPr>
      <xdr:spPr>
        <a:xfrm>
          <a:off x="3930000" y="1140000"/>
          <a:ext cx="10065000" cy="2175000"/>
        </a:xfrm>
        <a:prstGeom prst="roundRect">
          <a:avLst/>
        </a:prstGeom>
        <a:no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341313</xdr:colOff>
      <xdr:row>18</xdr:row>
      <xdr:rowOff>79375</xdr:rowOff>
    </xdr:from>
    <xdr:to>
      <xdr:col>13</xdr:col>
      <xdr:colOff>254000</xdr:colOff>
      <xdr:row>32</xdr:row>
      <xdr:rowOff>134938</xdr:rowOff>
    </xdr:to>
    <xdr:sp macro="" textlink="">
      <xdr:nvSpPr>
        <xdr:cNvPr id="11" name="Rectangle: Rounded Corners 10">
          <a:extLst>
            <a:ext uri="{FF2B5EF4-FFF2-40B4-BE49-F238E27FC236}">
              <a16:creationId xmlns:a16="http://schemas.microsoft.com/office/drawing/2014/main" id="{1CD74F7C-63AB-B2F8-C751-901877C63336}"/>
            </a:ext>
          </a:extLst>
        </xdr:cNvPr>
        <xdr:cNvSpPr/>
      </xdr:nvSpPr>
      <xdr:spPr>
        <a:xfrm>
          <a:off x="4008438" y="3508375"/>
          <a:ext cx="4191000" cy="2722563"/>
        </a:xfrm>
        <a:prstGeom prst="roundRect">
          <a:avLst/>
        </a:prstGeom>
        <a:noFill/>
        <a:ln>
          <a:solidFill>
            <a:schemeClr val="tx1"/>
          </a:solid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468312</xdr:colOff>
      <xdr:row>18</xdr:row>
      <xdr:rowOff>103188</xdr:rowOff>
    </xdr:from>
    <xdr:to>
      <xdr:col>23</xdr:col>
      <xdr:colOff>71437</xdr:colOff>
      <xdr:row>32</xdr:row>
      <xdr:rowOff>119063</xdr:rowOff>
    </xdr:to>
    <xdr:sp macro="" textlink="">
      <xdr:nvSpPr>
        <xdr:cNvPr id="12" name="Rectangle: Rounded Corners 11">
          <a:extLst>
            <a:ext uri="{FF2B5EF4-FFF2-40B4-BE49-F238E27FC236}">
              <a16:creationId xmlns:a16="http://schemas.microsoft.com/office/drawing/2014/main" id="{2B8CBA40-27D5-53A4-FCEB-AA32E649AF00}"/>
            </a:ext>
          </a:extLst>
        </xdr:cNvPr>
        <xdr:cNvSpPr/>
      </xdr:nvSpPr>
      <xdr:spPr>
        <a:xfrm>
          <a:off x="8413750" y="3532188"/>
          <a:ext cx="5715000" cy="2682875"/>
        </a:xfrm>
        <a:prstGeom prst="roundRect">
          <a:avLst/>
        </a:prstGeom>
        <a:noFill/>
        <a:ln>
          <a:solidFill>
            <a:schemeClr val="tx1"/>
          </a:solid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373064</xdr:colOff>
      <xdr:row>7</xdr:row>
      <xdr:rowOff>142875</xdr:rowOff>
    </xdr:from>
    <xdr:to>
      <xdr:col>5</xdr:col>
      <xdr:colOff>396876</xdr:colOff>
      <xdr:row>29</xdr:row>
      <xdr:rowOff>182563</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A573894D-D101-47EA-AA70-12730FA366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73064" y="1476375"/>
              <a:ext cx="3079750" cy="42306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96188</xdr:colOff>
      <xdr:row>6</xdr:row>
      <xdr:rowOff>52563</xdr:rowOff>
    </xdr:from>
    <xdr:to>
      <xdr:col>17</xdr:col>
      <xdr:colOff>381000</xdr:colOff>
      <xdr:row>17</xdr:row>
      <xdr:rowOff>95250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A227876C-AD63-4AC3-AD94-041E81451F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041626" y="1195563"/>
              <a:ext cx="2729562" cy="21381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445437</xdr:colOff>
      <xdr:row>6</xdr:row>
      <xdr:rowOff>71439</xdr:rowOff>
    </xdr:from>
    <xdr:to>
      <xdr:col>22</xdr:col>
      <xdr:colOff>381000</xdr:colOff>
      <xdr:row>17</xdr:row>
      <xdr:rowOff>71439</xdr:rowOff>
    </xdr:to>
    <xdr:graphicFrame macro="">
      <xdr:nvGraphicFramePr>
        <xdr:cNvPr id="15" name="Chart 14">
          <a:extLst>
            <a:ext uri="{FF2B5EF4-FFF2-40B4-BE49-F238E27FC236}">
              <a16:creationId xmlns:a16="http://schemas.microsoft.com/office/drawing/2014/main" id="{14EE8E3D-E46E-44B9-802B-651AC6420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127000</xdr:colOff>
      <xdr:row>18</xdr:row>
      <xdr:rowOff>95250</xdr:rowOff>
    </xdr:from>
    <xdr:to>
      <xdr:col>12</xdr:col>
      <xdr:colOff>515938</xdr:colOff>
      <xdr:row>32</xdr:row>
      <xdr:rowOff>103188</xdr:rowOff>
    </xdr:to>
    <xdr:graphicFrame macro="">
      <xdr:nvGraphicFramePr>
        <xdr:cNvPr id="16" name="Chart 15">
          <a:extLst>
            <a:ext uri="{FF2B5EF4-FFF2-40B4-BE49-F238E27FC236}">
              <a16:creationId xmlns:a16="http://schemas.microsoft.com/office/drawing/2014/main" id="{848D9CC4-FDF1-4657-917D-AB2E95F71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182562</xdr:colOff>
      <xdr:row>18</xdr:row>
      <xdr:rowOff>127000</xdr:rowOff>
    </xdr:from>
    <xdr:to>
      <xdr:col>22</xdr:col>
      <xdr:colOff>166688</xdr:colOff>
      <xdr:row>32</xdr:row>
      <xdr:rowOff>87313</xdr:rowOff>
    </xdr:to>
    <xdr:graphicFrame macro="">
      <xdr:nvGraphicFramePr>
        <xdr:cNvPr id="17" name="Chart 16">
          <a:extLst>
            <a:ext uri="{FF2B5EF4-FFF2-40B4-BE49-F238E27FC236}">
              <a16:creationId xmlns:a16="http://schemas.microsoft.com/office/drawing/2014/main" id="{DA60E04F-DD2F-48C8-BC54-335364977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492125</xdr:colOff>
      <xdr:row>8</xdr:row>
      <xdr:rowOff>0</xdr:rowOff>
    </xdr:from>
    <xdr:to>
      <xdr:col>13</xdr:col>
      <xdr:colOff>39687</xdr:colOff>
      <xdr:row>17</xdr:row>
      <xdr:rowOff>55564</xdr:rowOff>
    </xdr:to>
    <xdr:graphicFrame macro="">
      <xdr:nvGraphicFramePr>
        <xdr:cNvPr id="18" name="Chart 17">
          <a:extLst>
            <a:ext uri="{FF2B5EF4-FFF2-40B4-BE49-F238E27FC236}">
              <a16:creationId xmlns:a16="http://schemas.microsoft.com/office/drawing/2014/main" id="{1A87940B-7F4A-4505-80A7-F5C8FEC6C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6</xdr:col>
      <xdr:colOff>371933</xdr:colOff>
      <xdr:row>6</xdr:row>
      <xdr:rowOff>7435</xdr:rowOff>
    </xdr:from>
    <xdr:ext cx="2447016" cy="374141"/>
    <xdr:sp macro="" textlink="">
      <xdr:nvSpPr>
        <xdr:cNvPr id="19" name="Rectangle 18">
          <a:extLst>
            <a:ext uri="{FF2B5EF4-FFF2-40B4-BE49-F238E27FC236}">
              <a16:creationId xmlns:a16="http://schemas.microsoft.com/office/drawing/2014/main" id="{9A3FE016-F278-E7EA-41E6-82EF0B2B2992}"/>
            </a:ext>
          </a:extLst>
        </xdr:cNvPr>
        <xdr:cNvSpPr/>
      </xdr:nvSpPr>
      <xdr:spPr>
        <a:xfrm>
          <a:off x="4039058" y="1150435"/>
          <a:ext cx="2447016"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Profit</a:t>
          </a:r>
          <a:r>
            <a:rPr lang="en-US" sz="1800" b="0" cap="none" spc="0" baseline="0">
              <a:ln w="0"/>
              <a:solidFill>
                <a:schemeClr val="tx1"/>
              </a:solidFill>
              <a:effectLst>
                <a:outerShdw blurRad="38100" dist="19050" dir="2700000" algn="tl" rotWithShape="0">
                  <a:schemeClr val="dk1">
                    <a:alpha val="40000"/>
                  </a:schemeClr>
                </a:outerShdw>
              </a:effectLst>
            </a:rPr>
            <a:t> Gained Over Time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487513</xdr:colOff>
      <xdr:row>5</xdr:row>
      <xdr:rowOff>174123</xdr:rowOff>
    </xdr:from>
    <xdr:ext cx="1834861" cy="374141"/>
    <xdr:sp macro="" textlink="">
      <xdr:nvSpPr>
        <xdr:cNvPr id="21" name="Rectangle 20">
          <a:extLst>
            <a:ext uri="{FF2B5EF4-FFF2-40B4-BE49-F238E27FC236}">
              <a16:creationId xmlns:a16="http://schemas.microsoft.com/office/drawing/2014/main" id="{1D30AB6C-AB91-581B-70D9-1E7C727D9391}"/>
            </a:ext>
          </a:extLst>
        </xdr:cNvPr>
        <xdr:cNvSpPr/>
      </xdr:nvSpPr>
      <xdr:spPr>
        <a:xfrm>
          <a:off x="487513" y="1126623"/>
          <a:ext cx="1834861"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M" refreshedDate="45998.986980787035" createdVersion="8" refreshedVersion="8" minRefreshableVersion="3" recordCount="5902" xr:uid="{FD41F6B7-28E4-49DC-BC73-B615A50454C6}">
  <cacheSource type="worksheet">
    <worksheetSource name="salesData"/>
  </cacheSource>
  <cacheFields count="11">
    <cacheField name="Order Date" numFmtId="0">
      <sharedItems containsNonDate="0" containsDate="1" containsString="0" containsBlank="1" minDate="2019-01-01T00:00:00" maxDate="2021-01-01T00:00:00"/>
    </cacheField>
    <cacheField name="Year" numFmtId="1">
      <sharedItems containsString="0" containsBlank="1" containsNumber="1" containsInteger="1" minValue="2019" maxValue="2020" count="3">
        <n v="2019"/>
        <n v="2020"/>
        <m/>
      </sharedItems>
    </cacheField>
    <cacheField name="Month" numFmtId="1">
      <sharedItems containsString="0" containsBlank="1" containsNumber="1" containsInteger="1" minValue="1" maxValue="12" count="13">
        <n v="1"/>
        <n v="2"/>
        <n v="3"/>
        <n v="4"/>
        <n v="5"/>
        <n v="6"/>
        <n v="7"/>
        <n v="8"/>
        <n v="9"/>
        <n v="10"/>
        <n v="11"/>
        <n v="12"/>
        <m/>
      </sharedItems>
    </cacheField>
    <cacheField name="Customer Name" numFmtId="0">
      <sharedItems containsBlank="1" count="774">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m/>
      </sharedItems>
    </cacheField>
    <cacheField name="State" numFmtId="0">
      <sharedItems containsBlank="1" count="50">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m/>
      </sharedItems>
    </cacheField>
    <cacheField name="Category" numFmtId="0">
      <sharedItems containsBlank="1" count="4">
        <s v="Furniture"/>
        <s v="Technology"/>
        <s v="Office Supplies"/>
        <m/>
      </sharedItems>
    </cacheField>
    <cacheField name="Sub-Category" numFmtId="0">
      <sharedItems containsBlank="1" count="18">
        <s v="Bookcases"/>
        <s v="Phones"/>
        <s v="Storage"/>
        <s v="Accessories"/>
        <s v="Tables"/>
        <s v="Binders"/>
        <s v="Copiers"/>
        <s v="Art"/>
        <s v="Furnishings"/>
        <s v="Paper"/>
        <s v="Envelopes"/>
        <s v="Chairs"/>
        <s v="Fasteners"/>
        <s v="Appliances"/>
        <s v="Labels"/>
        <s v="Machines"/>
        <s v="Supplies"/>
        <m/>
      </sharedItems>
    </cacheField>
    <cacheField name="Product Name" numFmtId="0">
      <sharedItems containsBlank="1" count="1743">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m/>
      </sharedItems>
    </cacheField>
    <cacheField name="Sales" numFmtId="2">
      <sharedItems containsString="0" containsBlank="1" containsNumber="1" minValue="0.83599999999999997" maxValue="9099.93" count="5110">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n v="60.12"/>
        <n v="49.536000000000001"/>
        <n v="81.98"/>
        <n v="11.648"/>
        <n v="90.57"/>
        <n v="322.58999999999997"/>
        <n v="29.99"/>
        <n v="371.97"/>
        <n v="316"/>
        <n v="153.56800000000001"/>
        <n v="1013.4880000000001"/>
        <n v="7.56"/>
        <n v="14.272"/>
        <n v="451.13600000000002"/>
        <n v="64.864000000000004"/>
        <n v="109.9"/>
        <n v="12.96"/>
        <n v="44.4"/>
        <n v="20.65"/>
        <n v="110.376"/>
        <n v="55.176000000000002"/>
        <n v="26.335999999999999"/>
        <n v="59.99"/>
        <n v="99.98"/>
        <n v="8.0399999999999991"/>
        <n v="1564.29"/>
        <n v="31.36"/>
        <n v="9.2100000000000009"/>
        <n v="18"/>
        <n v="43.12"/>
        <n v="313.72199999999998"/>
        <n v="45.98"/>
        <n v="428.68"/>
        <n v="39.68"/>
        <n v="17.456"/>
        <n v="305.01"/>
        <n v="50.783999999999999"/>
        <n v="26.01"/>
        <n v="435.16800000000001"/>
        <n v="48.58"/>
        <n v="156.512"/>
        <n v="1439.9680000000001"/>
        <n v="1.728"/>
        <n v="626.1"/>
        <n v="109.592"/>
        <n v="56.7"/>
        <n v="23.36"/>
        <n v="1270.99"/>
        <n v="125.36"/>
        <n v="56.45"/>
        <n v="1105.52"/>
        <n v="117.96"/>
        <n v="4749.95"/>
        <n v="36.4"/>
        <n v="18.690000000000001"/>
        <n v="73.784000000000006"/>
        <n v="866.4"/>
        <n v="14.368"/>
        <n v="90.48"/>
        <n v="93.02"/>
        <n v="80.98"/>
        <n v="348.84"/>
        <n v="9.4499999999999993"/>
        <n v="18.84"/>
        <n v="239.98"/>
        <n v="167.96"/>
        <n v="104.85"/>
        <n v="484.83"/>
        <n v="122.97"/>
        <n v="154.44"/>
        <n v="342.37"/>
        <n v="14.73"/>
        <n v="186.54"/>
        <n v="557.72799999999995"/>
        <n v="159.96799999999999"/>
        <n v="132.22399999999999"/>
        <n v="100"/>
        <n v="7.83"/>
        <n v="30.352"/>
        <n v="623.96"/>
        <n v="1127.9760000000001"/>
        <n v="241.5"/>
        <n v="89.97"/>
        <n v="31.86"/>
        <n v="69.930000000000007"/>
        <n v="1350.12"/>
        <n v="15.92"/>
        <n v="146.82"/>
        <n v="4.7699999999999996"/>
        <n v="7.98"/>
        <n v="550.43100000000004"/>
        <n v="10.56"/>
        <n v="264.18"/>
        <n v="398.35199999999998"/>
        <n v="8.7200000000000006"/>
        <n v="92.063999999999993"/>
        <n v="6.976"/>
        <n v="62.957999999999998"/>
        <n v="5.1840000000000002"/>
        <n v="227.96"/>
        <n v="318.08"/>
        <n v="5.8"/>
        <n v="326.64600000000002"/>
        <n v="44.46"/>
        <n v="242.94"/>
        <n v="8.67"/>
        <n v="25.71"/>
        <n v="70.88"/>
        <n v="16.495999999999999"/>
        <n v="12.99"/>
        <n v="18.559999999999999"/>
        <n v="449.15"/>
        <n v="31.248000000000001"/>
        <n v="68.95"/>
        <n v="296.37"/>
        <n v="39.979999999999997"/>
        <n v="3.762"/>
        <n v="34.86"/>
        <n v="432.45600000000002"/>
        <n v="135.80000000000001"/>
        <n v="490.32"/>
        <n v="445.96"/>
        <n v="36.24"/>
        <n v="10.65"/>
        <n v="57.576000000000001"/>
        <n v="46.72"/>
        <n v="170.88"/>
        <n v="56.82"/>
        <n v="16.192"/>
        <n v="111.104"/>
        <n v="36.479999999999997"/>
        <n v="836.59199999999998"/>
        <n v="26.38"/>
        <n v="362.92"/>
        <n v="4899.93"/>
        <n v="159.98400000000001"/>
        <n v="447.86"/>
        <n v="479.95"/>
        <n v="166.44"/>
        <n v="42.783999999999999"/>
        <n v="563.42999999999995"/>
        <n v="134.85"/>
        <n v="637.89599999999996"/>
        <n v="287.91000000000003"/>
        <n v="36.6"/>
        <n v="25.35"/>
        <n v="35.28"/>
        <n v="3930.0720000000001"/>
        <n v="2.3039999999999998"/>
        <n v="431.976"/>
        <n v="41.72"/>
        <n v="16.989999999999998"/>
        <n v="10.08"/>
        <n v="128.4"/>
        <n v="159.97999999999999"/>
        <n v="149.352"/>
        <n v="12.992000000000001"/>
        <n v="431.94"/>
        <n v="2.0430000000000001"/>
        <n v="68.238"/>
        <n v="2.3340000000000001"/>
        <n v="159.04"/>
        <n v="145.97999999999999"/>
        <n v="21.071999999999999"/>
        <n v="1363.96"/>
        <n v="102.36"/>
        <n v="9.702"/>
        <n v="108.57599999999999"/>
        <n v="5.984"/>
        <n v="113.6"/>
        <n v="69.456000000000003"/>
        <n v="8.8559999999999999"/>
        <n v="27.96"/>
        <n v="146.352"/>
        <n v="207.14400000000001"/>
        <n v="13.9"/>
        <n v="199.75"/>
        <n v="11.21"/>
        <n v="354.9"/>
        <n v="17.940000000000001"/>
        <n v="51.8"/>
        <n v="176.78399999999999"/>
        <n v="39.991999999999997"/>
        <n v="14.9"/>
        <n v="4158.9120000000003"/>
        <n v="26.85"/>
        <n v="3357.6"/>
        <n v="104.696"/>
        <n v="17.46"/>
        <n v="244.006"/>
        <n v="76.92"/>
        <n v="481.32"/>
        <n v="30.335999999999999"/>
        <n v="29.34"/>
        <n v="676.55"/>
        <n v="154.9"/>
        <n v="30.56"/>
        <n v="770.35199999999998"/>
        <n v="19.98"/>
        <n v="157.91999999999999"/>
        <n v="203.184"/>
        <n v="70.08"/>
        <n v="1.272"/>
        <n v="557.58500000000004"/>
        <n v="127.88"/>
        <n v="160.32"/>
        <n v="46"/>
        <n v="28.28"/>
        <n v="4912.59"/>
        <n v="386.68"/>
        <n v="379.96"/>
        <n v="539.91"/>
        <n v="41.24"/>
        <n v="51.896999999999998"/>
        <n v="552.55999999999995"/>
        <n v="23.16"/>
        <n v="126.08"/>
        <n v="449.1"/>
        <n v="51.183999999999997"/>
        <n v="21.88"/>
        <n v="241.33199999999999"/>
        <n v="145.54400000000001"/>
        <n v="196.78399999999999"/>
        <n v="41.904000000000003"/>
        <n v="16.739999999999998"/>
        <n v="83.975999999999999"/>
        <n v="4.5439999999999996"/>
        <n v="1352.0319999999999"/>
        <n v="319.76"/>
        <n v="45.68"/>
        <n v="528.42999999999995"/>
        <n v="22.385999999999999"/>
        <n v="129.97999999999999"/>
        <n v="32.54"/>
        <n v="199.9"/>
        <n v="901.95"/>
        <n v="971.5"/>
        <n v="84.784000000000006"/>
        <n v="189.88200000000001"/>
        <n v="871.8"/>
        <n v="72.293999999999997"/>
        <n v="14.98"/>
        <n v="20.32"/>
        <n v="31.085999999999999"/>
        <n v="20.736000000000001"/>
        <n v="16.821000000000002"/>
        <n v="10.368"/>
        <n v="11.992000000000001"/>
        <n v="697.16"/>
        <n v="86.45"/>
        <n v="3.1680000000000001"/>
        <n v="13.391999999999999"/>
        <n v="99.372"/>
        <n v="1.3440000000000001"/>
        <n v="58.58"/>
        <n v="167.88800000000001"/>
        <n v="403.16800000000001"/>
        <n v="22.48"/>
        <n v="301.47000000000003"/>
        <n v="18.655999999999999"/>
        <n v="1287.45"/>
        <n v="59.52"/>
        <n v="459.95"/>
        <n v="67.64"/>
        <n v="119.976"/>
        <n v="17.64"/>
        <n v="17.04"/>
        <n v="20.239999999999998"/>
        <n v="39.92"/>
        <n v="31.4"/>
        <n v="87.92"/>
        <n v="5.98"/>
        <n v="45.527999999999999"/>
        <n v="844.11599999999999"/>
        <n v="812.73599999999999"/>
        <n v="13.48"/>
        <n v="29.8"/>
        <n v="414"/>
        <n v="41.328000000000003"/>
        <n v="299.97500000000002"/>
        <n v="158.376"/>
        <n v="11.34"/>
        <n v="280.78199999999998"/>
        <n v="31.984000000000002"/>
        <n v="327.99599999999998"/>
        <n v="161.94"/>
        <n v="263.88"/>
        <n v="30.48"/>
        <n v="9.84"/>
        <n v="35.119999999999997"/>
        <n v="31.56"/>
        <n v="30.143999999999998"/>
        <n v="88.04"/>
        <n v="20.7"/>
        <n v="10.95"/>
        <n v="14.352"/>
        <n v="1317.492"/>
        <n v="63.84"/>
        <n v="3.5920000000000001"/>
        <n v="7.04"/>
        <n v="1454.9"/>
        <n v="99.846000000000004"/>
        <n v="71.12"/>
        <n v="259.95999999999998"/>
        <n v="10.272"/>
        <n v="149.97"/>
        <n v="27.81"/>
        <n v="588.78399999999999"/>
        <n v="82.64"/>
        <n v="31.02"/>
        <n v="158.36799999999999"/>
        <n v="118.782"/>
        <n v="769.18399999999997"/>
        <n v="1294.75"/>
        <n v="1199.9760000000001"/>
        <n v="658.74599999999998"/>
        <n v="3.64"/>
        <n v="37.94"/>
        <n v="33.527999999999999"/>
        <n v="36.744"/>
        <n v="388.70400000000001"/>
        <n v="8.26"/>
        <n v="34.4"/>
        <n v="20.04"/>
        <n v="64.959999999999994"/>
        <n v="431.928"/>
        <n v="95.983999999999995"/>
        <n v="1088.7919999999999"/>
        <n v="8.8719999999999999"/>
        <n v="121.104"/>
        <n v="24.7"/>
        <n v="17.920000000000002"/>
        <n v="30"/>
        <n v="159.91999999999999"/>
        <n v="35.351999999999997"/>
        <n v="517.9"/>
        <n v="5.28"/>
        <n v="556.66499999999996"/>
        <n v="8.9039999999999999"/>
        <n v="23.2"/>
        <n v="113.76"/>
        <n v="579.51"/>
        <n v="150.66"/>
        <n v="48.031999999999996"/>
        <n v="13.568"/>
        <n v="343.92"/>
        <n v="40.99"/>
        <n v="63.9"/>
        <n v="638.28800000000001"/>
        <n v="13.208"/>
        <n v="19.440000000000001"/>
        <n v="194.352"/>
        <n v="36.624000000000002"/>
        <n v="129.55199999999999"/>
        <n v="51.984000000000002"/>
        <n v="6.12"/>
        <n v="383.8"/>
        <n v="933.53599999999994"/>
        <n v="42.975999999999999"/>
        <n v="81.2"/>
        <n v="25.06"/>
        <n v="189.58799999999999"/>
        <n v="408.74400000000003"/>
        <n v="291.95999999999998"/>
        <n v="4.7679999999999998"/>
        <n v="1121.568"/>
        <n v="33.488"/>
        <n v="143.69999999999999"/>
        <n v="12.84"/>
        <n v="9099.93"/>
        <n v="9.9600000000000009"/>
        <n v="25.3"/>
        <n v="28.8"/>
        <n v="35.167999999999999"/>
        <n v="123.08799999999999"/>
        <n v="36.792000000000002"/>
        <n v="18.623999999999999"/>
        <n v="29.05"/>
        <n v="257.49900000000002"/>
        <n v="79.12"/>
        <n v="230.376"/>
        <n v="9.6639999999999997"/>
        <n v="203.92"/>
        <n v="29.56"/>
        <n v="344.37200000000001"/>
        <n v="1554.9359999999999"/>
        <n v="6.99"/>
        <n v="6.84"/>
        <n v="205.17599999999999"/>
        <n v="419.4"/>
        <n v="39.96"/>
        <n v="5.46"/>
        <n v="73.2"/>
        <n v="5.84"/>
        <n v="22.72"/>
        <n v="9.3360000000000003"/>
        <n v="25.98"/>
        <n v="3.28"/>
        <n v="459.88"/>
        <n v="7.76"/>
        <n v="71.959999999999994"/>
        <n v="54.9"/>
        <n v="9.2799999999999994"/>
        <n v="102.336"/>
        <n v="48.792000000000002"/>
        <n v="44.847999999999999"/>
        <n v="8.32"/>
        <n v="15.48"/>
        <n v="51.84"/>
        <n v="23.56"/>
        <n v="1272.6300000000001"/>
        <n v="28.484999999999999"/>
        <n v="185.376"/>
        <n v="78.272000000000006"/>
        <n v="86.62"/>
        <n v="23.952000000000002"/>
        <n v="32.130000000000003"/>
        <n v="2.88"/>
        <n v="251.52"/>
        <n v="99.99"/>
        <n v="108.336"/>
        <n v="55.92"/>
        <n v="78.304000000000002"/>
        <n v="18.088000000000001"/>
        <n v="71.97"/>
        <n v="258.69600000000003"/>
        <n v="3.984"/>
        <n v="1325.76"/>
        <n v="3.1080000000000001"/>
        <n v="82.8"/>
        <n v="20.724"/>
        <n v="4.8959999999999999"/>
        <n v="434.64600000000002"/>
        <n v="369.57600000000002"/>
        <n v="15.712"/>
        <n v="29.472000000000001"/>
        <n v="41.567999999999998"/>
        <n v="30.344000000000001"/>
        <n v="7.7119999999999997"/>
        <n v="22.608000000000001"/>
        <n v="111.88800000000001"/>
        <n v="370.62"/>
        <n v="2.742"/>
        <n v="109.92"/>
        <n v="11.16"/>
        <n v="86.352000000000004"/>
        <n v="44.94"/>
        <n v="45.576000000000001"/>
        <n v="187.05600000000001"/>
        <n v="18.936"/>
        <n v="12.672000000000001"/>
        <n v="5.04"/>
        <n v="366.74400000000003"/>
        <n v="12.56"/>
        <n v="13.08"/>
        <n v="214.7"/>
        <n v="2.1819999999999999"/>
        <n v="27.384"/>
        <n v="26.405999999999999"/>
        <n v="132.52000000000001"/>
        <n v="195.64"/>
        <n v="51.968000000000004"/>
        <n v="224.93700000000001"/>
        <n v="6"/>
        <n v="79.14"/>
        <n v="246.16800000000001"/>
        <n v="6.72"/>
        <n v="298.77600000000001"/>
        <n v="16.72"/>
        <n v="71.087999999999994"/>
        <n v="1685.88"/>
        <n v="5.7279999999999998"/>
        <n v="93.248000000000005"/>
        <n v="177.48"/>
        <n v="7.2160000000000002"/>
        <n v="49.567999999999998"/>
        <n v="54.712000000000003"/>
        <n v="3.2080000000000002"/>
        <n v="26.175999999999998"/>
        <n v="54.48"/>
        <n v="41.6"/>
        <n v="85.231999999999999"/>
        <n v="442.76400000000001"/>
        <n v="3999.95"/>
        <n v="199.95"/>
        <n v="63.68"/>
        <n v="211.96"/>
        <n v="1006.056"/>
        <n v="10.688000000000001"/>
        <n v="25.12"/>
        <n v="58.112000000000002"/>
        <n v="93.98"/>
        <n v="9.3439999999999994"/>
        <n v="79.36"/>
        <n v="8"/>
        <n v="32.04"/>
        <n v="19.135999999999999"/>
        <n v="27.86"/>
        <n v="856.65599999999995"/>
        <n v="13.183999999999999"/>
        <n v="48.783999999999999"/>
        <n v="76.64"/>
        <n v="18.527999999999999"/>
        <n v="11.96"/>
        <n v="743.98800000000006"/>
        <n v="7.0720000000000001"/>
        <n v="10.96"/>
        <n v="82.367999999999995"/>
        <n v="10.02"/>
        <n v="631.96"/>
        <n v="120"/>
        <n v="79.384"/>
        <n v="57.582000000000001"/>
        <n v="31.103999999999999"/>
        <n v="30.192"/>
        <n v="43.6"/>
        <n v="10.38"/>
        <n v="185.52799999999999"/>
        <n v="511.84"/>
        <n v="91.96"/>
        <n v="8.34"/>
        <n v="13.776"/>
        <n v="7.7640000000000002"/>
        <n v="15.231999999999999"/>
        <n v="17.34"/>
        <n v="282.83999999999997"/>
        <n v="27.72"/>
        <n v="2.952"/>
        <n v="27.018000000000001"/>
        <n v="65.17"/>
        <n v="14.62"/>
        <n v="173.24"/>
        <n v="2.89"/>
        <n v="7.8959999999999999"/>
        <n v="30.527999999999999"/>
        <n v="104.28"/>
        <n v="641.96"/>
        <n v="242.9"/>
        <n v="454.9"/>
        <n v="35.92"/>
        <n v="39.76"/>
        <n v="47.744"/>
        <n v="9.5839999999999996"/>
        <n v="21.4"/>
        <n v="87.84"/>
        <n v="1049.2"/>
        <n v="15.423999999999999"/>
        <n v="2.694"/>
        <n v="40.634999999999998"/>
        <n v="66.260000000000005"/>
        <n v="2396.4"/>
        <n v="111.96"/>
        <n v="1.964"/>
        <n v="82.656000000000006"/>
        <n v="3.798"/>
        <n v="345"/>
        <n v="174.286"/>
        <n v="662.84"/>
        <n v="95.1"/>
        <n v="26.88"/>
        <n v="257.98"/>
        <n v="222.38399999999999"/>
        <n v="37.049999999999997"/>
        <n v="1979.9280000000001"/>
        <n v="4.9800000000000004"/>
        <n v="2399.9760000000001"/>
        <n v="6.2939999999999996"/>
        <n v="122.38200000000001"/>
        <n v="69.5"/>
        <n v="191.6"/>
        <n v="16.655999999999999"/>
        <n v="24.96"/>
        <n v="19.36"/>
        <n v="1267.6500000000001"/>
        <n v="388.43"/>
        <n v="63.991999999999997"/>
        <n v="9.64"/>
        <n v="12.7"/>
        <n v="41.37"/>
        <n v="1.504"/>
        <n v="34.847999999999999"/>
        <n v="5.94"/>
        <n v="45.36"/>
        <n v="211.16800000000001"/>
        <n v="484.70400000000001"/>
        <n v="371.976"/>
        <n v="184.70400000000001"/>
        <n v="47.92"/>
        <n v="26.94"/>
        <n v="3504.9"/>
        <n v="144.12"/>
        <n v="314.55"/>
        <n v="25.175999999999998"/>
        <n v="5.5839999999999996"/>
        <n v="1297.3679999999999"/>
        <n v="13.38"/>
        <n v="185.88"/>
        <n v="390.27199999999999"/>
        <n v="62.192"/>
        <n v="262.24"/>
        <n v="182.72"/>
        <n v="131.6"/>
        <n v="558.4"/>
        <n v="286.39999999999998"/>
        <n v="979.95"/>
        <n v="22.75"/>
        <n v="11.276999999999999"/>
        <n v="4.4480000000000004"/>
        <n v="44.76"/>
        <n v="22.62"/>
        <n v="14.952"/>
        <n v="801.56799999999998"/>
        <n v="2.3759999999999999"/>
        <n v="32.792000000000002"/>
        <n v="3.282"/>
        <n v="839.98800000000006"/>
        <n v="2275.5"/>
        <n v="1979.7"/>
        <n v="62.1"/>
        <n v="123.92"/>
        <n v="38.880000000000003"/>
        <n v="364.74"/>
        <n v="47.4"/>
        <n v="49.76"/>
        <n v="5.56"/>
        <n v="629.1"/>
        <n v="14.7"/>
        <n v="125.99"/>
        <n v="167.84"/>
        <n v="26.55"/>
        <n v="111.98"/>
        <n v="79.959999999999994"/>
        <n v="223.96"/>
        <n v="32.064"/>
        <n v="18.495999999999999"/>
        <n v="191.07900000000001"/>
        <n v="7.1520000000000001"/>
        <n v="179.7"/>
        <n v="64.784000000000006"/>
        <n v="30.18"/>
        <n v="51.648000000000003"/>
        <n v="11.231999999999999"/>
        <n v="75.88"/>
        <n v="419.68"/>
        <n v="11.688000000000001"/>
        <n v="177.22499999999999"/>
        <n v="4.0439999999999996"/>
        <n v="7.4080000000000004"/>
        <n v="14.94"/>
        <n v="1349.85"/>
        <n v="136.78399999999999"/>
        <n v="61.12"/>
        <n v="124.608"/>
        <n v="360.38"/>
        <n v="21.552"/>
        <n v="58.24"/>
        <n v="61.38"/>
        <n v="328.22399999999999"/>
        <n v="714.3"/>
        <n v="105.52"/>
        <n v="179.94"/>
        <n v="323.37"/>
        <n v="59.94"/>
        <n v="64.14"/>
        <n v="11.67"/>
        <n v="22.05"/>
        <n v="99.9"/>
        <n v="3023.9279999999999"/>
        <n v="26.96"/>
        <n v="477.6"/>
        <n v="466.32"/>
        <n v="32.4"/>
        <n v="4.7839999999999998"/>
        <n v="4.7300000000000004"/>
        <n v="9.6479999999999997"/>
        <n v="695.7"/>
        <n v="122.352"/>
        <n v="692.94"/>
        <n v="1335.68"/>
        <n v="23.616"/>
        <n v="8.2720000000000002"/>
        <n v="12.544"/>
        <n v="239.97"/>
        <n v="53.984000000000002"/>
        <n v="389.97"/>
        <n v="902.71199999999999"/>
        <n v="208.16"/>
        <n v="47.04"/>
        <n v="30.84"/>
        <n v="226.56"/>
        <n v="115.02"/>
        <n v="68.040000000000006"/>
        <n v="1007.979"/>
        <n v="313.488"/>
        <n v="23.12"/>
        <n v="92.94"/>
        <n v="52.56"/>
        <n v="64.384"/>
        <n v="6.984"/>
        <n v="11.263999999999999"/>
        <n v="379.37200000000001"/>
        <n v="67.536000000000001"/>
        <n v="1.524"/>
        <n v="377.97"/>
        <n v="18.899999999999999"/>
        <n v="33.567999999999998"/>
        <n v="8.73"/>
        <n v="29.29"/>
        <n v="8.64"/>
        <n v="599.16499999999996"/>
        <n v="1293.4880000000001"/>
        <n v="337.17599999999999"/>
        <n v="39.936"/>
        <n v="18.463999999999999"/>
        <n v="1115.17"/>
        <n v="173.488"/>
        <n v="46.35"/>
        <n v="91.474999999999994"/>
        <n v="208.56"/>
        <n v="319.41000000000003"/>
        <n v="14.56"/>
        <n v="48.48"/>
        <n v="1.68"/>
        <n v="40.74"/>
        <n v="239.666"/>
        <n v="22.5"/>
        <n v="219.84"/>
        <n v="266.35199999999998"/>
        <n v="483.13600000000002"/>
        <n v="7.96"/>
        <n v="566.97"/>
        <n v="376.86599999999999"/>
        <n v="76.864000000000004"/>
        <n v="6.8479999999999999"/>
        <n v="4.6260000000000003"/>
        <n v="453.6"/>
        <n v="17.12"/>
        <n v="45"/>
        <n v="21.8"/>
        <n v="5.16"/>
        <n v="45.055999999999997"/>
        <n v="29.718"/>
        <n v="447.69600000000003"/>
        <n v="46.76"/>
        <n v="17.712"/>
        <n v="21.78"/>
        <n v="161.56800000000001"/>
        <n v="95.968000000000004"/>
        <n v="6.9"/>
        <n v="57.69"/>
        <n v="36.56"/>
        <n v="186.14400000000001"/>
        <n v="353.56799999999998"/>
        <n v="0.83599999999999997"/>
        <n v="122.12"/>
        <n v="18.45"/>
        <n v="324.89999999999998"/>
        <n v="146.72999999999999"/>
        <n v="3.96"/>
        <n v="835.17"/>
        <n v="93.68"/>
        <n v="21.93"/>
        <n v="862.34400000000005"/>
        <n v="25.83"/>
        <n v="38.24"/>
        <n v="440.91"/>
        <n v="8.7119999999999997"/>
        <n v="4476.8"/>
        <n v="241.44"/>
        <n v="422.05799999999999"/>
        <n v="38.088000000000001"/>
        <n v="254.352"/>
        <n v="60.81"/>
        <n v="85.245999999999995"/>
        <n v="32.712000000000003"/>
        <n v="704.25"/>
        <n v="13.616"/>
        <n v="22.14"/>
        <n v="5.3040000000000003"/>
        <n v="368.91"/>
        <n v="8.02"/>
        <n v="171.04"/>
        <n v="231.72"/>
        <n v="17.899999999999999"/>
        <n v="12.48"/>
        <n v="20.97"/>
        <n v="139.96"/>
        <n v="37.74"/>
        <n v="135.94999999999999"/>
        <n v="37.463999999999999"/>
        <n v="539.65800000000002"/>
        <n v="201.584"/>
        <n v="359.976"/>
        <n v="7.7519999999999998"/>
        <n v="121.96"/>
        <n v="8.74"/>
        <n v="61.96"/>
        <n v="275.24"/>
        <n v="191.88"/>
        <n v="35.97"/>
        <n v="1266.8599999999999"/>
        <n v="50.12"/>
        <n v="14.2"/>
        <n v="58.34"/>
        <n v="1499.95"/>
        <n v="30.53"/>
        <n v="75.06"/>
        <n v="2.496"/>
        <n v="195.184"/>
        <n v="7.7"/>
        <n v="41.472000000000001"/>
        <n v="706.86"/>
        <n v="25.4"/>
        <n v="43.96"/>
        <n v="1279.165"/>
        <n v="27.92"/>
        <n v="71.975999999999999"/>
        <n v="45.584000000000003"/>
        <n v="215.65"/>
        <n v="60.287999999999997"/>
        <n v="2.6320000000000001"/>
        <n v="23.687999999999999"/>
        <n v="253.37200000000001"/>
        <n v="287.96800000000002"/>
        <n v="2799.96"/>
        <n v="48.94"/>
        <n v="59.994"/>
        <n v="5.7149999999999999"/>
        <n v="9.42"/>
        <n v="863.64"/>
        <n v="19.968"/>
        <n v="8.7360000000000007"/>
        <n v="662.88"/>
        <n v="107.98399999999999"/>
        <n v="19.295999999999999"/>
        <n v="823.96"/>
        <n v="15.984"/>
        <n v="408.00599999999997"/>
        <n v="165.28"/>
        <n v="16.768000000000001"/>
        <n v="338.04"/>
        <n v="154.24"/>
        <n v="44.856000000000002"/>
        <n v="341.99099999999999"/>
        <n v="95.76"/>
        <n v="380.86399999999998"/>
        <n v="11.632"/>
        <n v="9.1440000000000001"/>
        <n v="14.07"/>
        <n v="41.86"/>
        <n v="8.5440000000000005"/>
        <n v="579.13599999999997"/>
        <n v="419.94400000000002"/>
        <n v="14.16"/>
        <n v="29"/>
        <n v="29.61"/>
        <n v="51.75"/>
        <n v="151.62"/>
        <n v="30.8"/>
        <n v="230.28"/>
        <n v="37.223999999999997"/>
        <n v="20.015999999999998"/>
        <n v="143.982"/>
        <n v="494.37599999999998"/>
        <n v="9.5519999999999996"/>
        <n v="10.199999999999999"/>
        <n v="22.32"/>
        <n v="24.1"/>
        <n v="75.98"/>
        <n v="6.46"/>
        <n v="77.88"/>
        <n v="162.63999999999999"/>
        <n v="597"/>
        <n v="55.48"/>
        <n v="7.64"/>
        <n v="265.17"/>
        <n v="12.42"/>
        <n v="428.4"/>
        <n v="24.75"/>
        <n v="87.71"/>
        <n v="69.52"/>
        <n v="20.783999999999999"/>
        <n v="12.816000000000001"/>
        <n v="45.96"/>
        <n v="544.00800000000004"/>
        <n v="1.8720000000000001"/>
        <n v="854.35199999999998"/>
        <n v="593.56799999999998"/>
        <n v="140.81"/>
        <n v="33.799999999999997"/>
        <n v="15.576000000000001"/>
        <n v="55.991999999999997"/>
        <n v="284.08"/>
        <n v="185.58"/>
        <n v="77.56"/>
        <n v="245.94"/>
        <n v="8.6"/>
        <n v="504.9"/>
        <n v="35.984000000000002"/>
        <n v="89.95"/>
        <n v="1.9410000000000001"/>
        <n v="11.087999999999999"/>
        <n v="66.688000000000002"/>
        <n v="99.488"/>
        <n v="6.2640000000000002"/>
        <n v="363.92"/>
        <n v="419.9"/>
        <n v="3.15"/>
        <n v="6.3"/>
        <n v="4.16"/>
        <n v="109.95"/>
        <n v="965.85"/>
        <n v="29.2"/>
        <n v="86.2"/>
        <n v="37.68"/>
        <n v="27.42"/>
        <n v="5.4"/>
        <n v="35.216000000000001"/>
        <n v="23.696000000000002"/>
        <n v="265.47500000000002"/>
        <n v="11.416"/>
        <n v="175.92"/>
        <n v="4.7519999999999998"/>
        <n v="13.343999999999999"/>
        <n v="115.136"/>
        <n v="253.76400000000001"/>
        <n v="119.616"/>
        <n v="255.76"/>
        <n v="241.56800000000001"/>
        <n v="69.3"/>
        <n v="1439.9760000000001"/>
        <n v="21.48"/>
        <n v="243.88"/>
        <n v="7.89"/>
        <n v="65.5"/>
        <n v="2430.08"/>
        <n v="10.44"/>
        <n v="20.936"/>
        <n v="37.17"/>
        <n v="20.62"/>
        <n v="124.25"/>
        <n v="297.55"/>
        <n v="403.56"/>
        <n v="95.2"/>
        <n v="20.440000000000001"/>
        <n v="177.45"/>
        <n v="1369.7639999999999"/>
        <n v="9.48"/>
        <n v="302.72000000000003"/>
        <n v="2.214"/>
        <n v="704.76"/>
        <n v="27.396000000000001"/>
        <n v="9.2639999999999993"/>
        <n v="9.2479999999999993"/>
        <n v="1036.624"/>
        <n v="715.64"/>
        <n v="283.14"/>
        <n v="635.96"/>
        <n v="118.99"/>
        <n v="272.94"/>
        <n v="863.12800000000004"/>
        <n v="19.648"/>
        <n v="1039.7280000000001"/>
        <n v="19.312000000000001"/>
        <n v="136.464"/>
        <n v="333.57600000000002"/>
        <n v="81.540000000000006"/>
        <n v="167.28"/>
        <n v="35.06"/>
        <n v="4.13"/>
        <n v="109.8"/>
        <n v="9.82"/>
        <n v="3.98"/>
        <n v="302.38400000000001"/>
        <n v="20.952000000000002"/>
        <n v="11.784000000000001"/>
        <n v="197.05"/>
        <n v="38.340000000000003"/>
        <n v="179.97"/>
        <n v="11.167999999999999"/>
        <n v="53.951999999999998"/>
        <n v="23.34"/>
        <n v="513.024"/>
        <n v="487.92"/>
        <n v="15.24"/>
        <n v="30.815999999999999"/>
        <n v="44.783999999999999"/>
        <n v="569.53599999999994"/>
        <n v="4.3380000000000001"/>
        <n v="6.48"/>
        <n v="1399.944"/>
        <n v="145.76400000000001"/>
        <n v="562.29250000000002"/>
        <n v="209.148"/>
        <n v="1591.02"/>
        <n v="37.311999999999998"/>
        <n v="241.96"/>
        <n v="8.52"/>
        <n v="71.98"/>
        <n v="103.6"/>
        <n v="58.923999999999999"/>
        <n v="15.54"/>
        <n v="105.55200000000001"/>
        <n v="259.89600000000002"/>
        <n v="247.18799999999999"/>
        <n v="279.95999999999998"/>
        <n v="18.882000000000001"/>
        <n v="122.328"/>
        <n v="705.54399999999998"/>
        <n v="225.29599999999999"/>
        <n v="312.02999999999997"/>
        <n v="37.520000000000003"/>
        <n v="10.86"/>
        <n v="161.28"/>
        <n v="355.32"/>
        <n v="39.99"/>
        <n v="2.0680000000000001"/>
        <n v="83.84"/>
        <n v="5.3440000000000003"/>
        <n v="146.68799999999999"/>
        <n v="276.78399999999999"/>
        <n v="25.32"/>
        <n v="14.78"/>
        <n v="9.2159999999999993"/>
        <n v="28.047999999999998"/>
        <n v="815.29200000000003"/>
        <n v="2887.056"/>
        <n v="47.52"/>
        <n v="33.44"/>
        <n v="573.17399999999998"/>
        <n v="113.55200000000001"/>
        <n v="3.3180000000000001"/>
        <n v="134.28800000000001"/>
        <n v="4.3120000000000003"/>
        <n v="26.352"/>
        <n v="98.328000000000003"/>
        <n v="5.76"/>
        <n v="727.29600000000005"/>
        <n v="666.4"/>
        <n v="837.6"/>
        <n v="135.9"/>
        <n v="34.68"/>
        <n v="532.70399999999995"/>
        <n v="43.1"/>
        <n v="15.88"/>
        <n v="21.3"/>
        <n v="1040.8"/>
        <n v="25.2"/>
        <n v="37.590000000000003"/>
        <n v="14.97"/>
        <n v="1.98"/>
        <n v="10.23"/>
        <n v="1024.7159999999999"/>
        <n v="1603.136"/>
        <n v="5.4720000000000004"/>
        <n v="47.984000000000002"/>
        <n v="33"/>
        <n v="249.95"/>
        <n v="47.97"/>
        <n v="11.56"/>
        <n v="209.97"/>
        <n v="447.84"/>
        <n v="479.97"/>
        <n v="31.007999999999999"/>
        <n v="51.52"/>
        <n v="3.528"/>
        <n v="4.6239999999999997"/>
        <n v="55.167999999999999"/>
        <n v="244.61500000000001"/>
        <n v="59.97"/>
        <n v="11.68"/>
        <n v="13.14"/>
        <n v="10.023999999999999"/>
        <n v="156.37280000000001"/>
        <n v="18.431999999999999"/>
        <n v="64.623999999999995"/>
        <n v="95.975999999999999"/>
        <n v="1.788"/>
        <n v="27.93"/>
        <n v="22"/>
        <n v="241.92"/>
        <n v="163.88"/>
        <n v="3.4860000000000002"/>
        <n v="10.584"/>
        <n v="290.89800000000002"/>
        <n v="54.223999999999997"/>
        <n v="786.74400000000003"/>
        <n v="100.24"/>
        <n v="37.764000000000003"/>
        <n v="339.96"/>
        <n v="23.968"/>
        <n v="6.79"/>
        <n v="24.56"/>
        <n v="3.048"/>
        <n v="49.12"/>
        <n v="4355.1679999999997"/>
        <n v="23.988"/>
        <n v="16.687999999999999"/>
        <n v="468.9"/>
        <n v="72.48"/>
        <n v="191.82"/>
        <n v="8.7799999999999994"/>
        <n v="376.74"/>
        <n v="29.52"/>
        <n v="26.4"/>
        <n v="12.78"/>
        <n v="75.48"/>
        <n v="1.81"/>
        <n v="46.53"/>
        <n v="29.24"/>
        <n v="1362.9"/>
        <n v="84.272000000000006"/>
        <n v="22.911000000000001"/>
        <n v="309.45600000000002"/>
        <n v="19.456"/>
        <n v="472.51799999999997"/>
        <n v="1012.68"/>
        <n v="17.22"/>
        <n v="999.98"/>
        <n v="8.6080000000000005"/>
        <n v="159.56"/>
        <n v="215.976"/>
        <n v="65.94"/>
        <n v="94.68"/>
        <n v="23.67"/>
        <n v="1091.1679999999999"/>
        <n v="568.72799999999995"/>
        <n v="7.3120000000000003"/>
        <n v="1141.47"/>
        <n v="83.951999999999998"/>
        <n v="8.8079999999999998"/>
        <n v="48.16"/>
        <n v="54.5"/>
        <n v="87.28"/>
        <n v="344.94"/>
        <n v="14.76"/>
        <n v="12.76"/>
        <n v="58.48"/>
        <n v="198.744"/>
        <n v="30.96"/>
        <n v="3.9119999999999999"/>
        <n v="62.375999999999998"/>
        <n v="63.94"/>
        <n v="60.6"/>
        <n v="12.192"/>
        <n v="87.168000000000006"/>
        <n v="31.744"/>
        <n v="42.6"/>
        <n v="113.94"/>
        <n v="129.91999999999999"/>
        <n v="535.41"/>
        <n v="16.559999999999999"/>
        <n v="279.95"/>
        <n v="239.5"/>
        <n v="24.27"/>
        <n v="12.22"/>
        <n v="194.94"/>
        <n v="70.95"/>
        <n v="91.36"/>
        <n v="278.39999999999998"/>
        <n v="107.94"/>
        <n v="347.80200000000002"/>
        <n v="116"/>
        <n v="9.5549999999999997"/>
        <n v="23.472000000000001"/>
        <n v="86.058000000000007"/>
        <n v="62.79"/>
        <n v="28.44"/>
        <n v="96.08"/>
        <n v="4.3600000000000003"/>
        <n v="15.808"/>
        <n v="192.16"/>
        <n v="93.456000000000003"/>
        <n v="1652.94"/>
        <n v="8.952"/>
        <n v="21.204000000000001"/>
        <n v="58.247999999999998"/>
        <n v="71.245999999999995"/>
        <n v="7.8719999999999999"/>
        <n v="887.27099999999996"/>
        <n v="722.35199999999998"/>
        <n v="95.951999999999998"/>
        <n v="3.2040000000000002"/>
        <n v="10.784000000000001"/>
        <n v="41.92"/>
        <n v="329.584"/>
        <n v="35.951999999999998"/>
        <n v="2396.2656000000002"/>
        <n v="131.136"/>
        <n v="57.584000000000003"/>
        <n v="33.024000000000001"/>
        <n v="67.135999999999996"/>
        <n v="14.135999999999999"/>
        <n v="601.47"/>
        <n v="207.48"/>
        <n v="70.367999999999995"/>
        <n v="59.96"/>
        <n v="64.703999999999994"/>
        <n v="146.04"/>
        <n v="43.13"/>
        <n v="30.87"/>
        <n v="14.88"/>
        <n v="34.24"/>
        <n v="261.74"/>
        <n v="14.624000000000001"/>
        <n v="55.36"/>
        <n v="15.007999999999999"/>
        <n v="59.48"/>
        <n v="6.69"/>
        <n v="67.56"/>
        <n v="300.93"/>
        <n v="719.96"/>
        <n v="519.67999999999995"/>
        <n v="7.38"/>
        <n v="14.256"/>
        <n v="39.624000000000002"/>
        <n v="7.61"/>
        <n v="3347.37"/>
        <n v="8.4480000000000004"/>
        <n v="728.94600000000003"/>
        <n v="22.428000000000001"/>
        <n v="1599.92"/>
        <n v="11.09"/>
        <n v="332.94"/>
        <n v="39.872"/>
        <n v="224.75"/>
        <n v="1.9079999999999999"/>
        <n v="2.9119999999999999"/>
        <n v="9.5679999999999996"/>
        <n v="99.567999999999998"/>
        <n v="15.135999999999999"/>
        <n v="466.76799999999997"/>
        <n v="10.47"/>
        <n v="11.07"/>
        <n v="20.704000000000001"/>
        <n v="67.900000000000006"/>
        <n v="1059.1199999999999"/>
        <n v="68.52"/>
        <n v="146.952"/>
        <n v="83.135999999999996"/>
        <n v="40.479999999999997"/>
        <n v="14.4"/>
        <n v="149.94999999999999"/>
        <n v="16.899999999999999"/>
        <n v="17.61"/>
        <n v="378"/>
        <n v="373.08"/>
        <n v="1336.44"/>
        <n v="29.97"/>
        <n v="437.85"/>
        <n v="673.56799999999998"/>
        <n v="841.56799999999998"/>
        <n v="48.664000000000001"/>
        <n v="20.416"/>
        <n v="1128.3900000000001"/>
        <n v="35.4"/>
        <n v="273.666"/>
        <n v="17.48"/>
        <n v="121.78"/>
        <n v="20.100000000000001"/>
        <n v="73.584000000000003"/>
        <n v="396"/>
        <n v="109.48"/>
        <n v="113.88800000000001"/>
        <n v="105.584"/>
        <n v="232.4"/>
        <n v="33.4"/>
        <n v="14.82"/>
        <n v="295.39999999999998"/>
        <n v="12.32"/>
        <n v="4.6159999999999997"/>
        <n v="383.43799999999999"/>
        <n v="350.98"/>
        <n v="900.08"/>
        <n v="5.3520000000000003"/>
        <n v="2.6720000000000002"/>
        <n v="631.78200000000004"/>
        <n v="60.72"/>
        <n v="3"/>
        <n v="885.52800000000002"/>
        <n v="239.98400000000001"/>
        <n v="701.37199999999996"/>
        <n v="2.3079999999999998"/>
        <n v="1606.23"/>
        <n v="49.53"/>
        <n v="872.32"/>
        <n v="159.88"/>
        <n v="25.44"/>
        <n v="25.632000000000001"/>
        <n v="11.952"/>
        <n v="6.24"/>
        <n v="8.9280000000000008"/>
        <n v="65.790000000000006"/>
        <n v="271.98399999999998"/>
        <n v="11.76"/>
        <n v="77.52"/>
        <n v="48.64"/>
        <n v="17.088000000000001"/>
        <n v="98.391999999999996"/>
        <n v="393.25"/>
        <n v="83.7"/>
        <n v="40.776000000000003"/>
        <n v="63.936"/>
        <n v="7.5060000000000002"/>
        <n v="13.28"/>
        <n v="128.34"/>
        <n v="35.880000000000003"/>
        <n v="68.432000000000002"/>
        <n v="18.96"/>
        <n v="63.968000000000004"/>
        <n v="35.56"/>
        <n v="97.98"/>
        <n v="4.9119999999999999"/>
        <n v="118.25"/>
        <n v="368.97"/>
        <n v="13.68"/>
        <n v="4.08"/>
        <n v="10.528"/>
        <n v="28"/>
        <n v="12.201000000000001"/>
        <n v="13.215999999999999"/>
        <n v="184.75200000000001"/>
        <n v="155.37200000000001"/>
        <n v="41.96"/>
        <n v="41.7"/>
        <n v="63.2"/>
        <n v="21.44"/>
        <n v="511.05599999999998"/>
        <n v="6.38"/>
        <n v="127.95"/>
        <n v="442.37200000000001"/>
        <n v="304.89999999999998"/>
        <n v="563.24"/>
        <n v="393.16500000000002"/>
        <n v="15.936"/>
        <n v="60.048000000000002"/>
        <n v="5.0220000000000002"/>
        <n v="499.95"/>
        <n v="3.04"/>
        <n v="201.96"/>
        <n v="68.64"/>
        <n v="286.25599999999997"/>
        <n v="24.224"/>
        <n v="331.536"/>
        <n v="477.666"/>
        <n v="10.9"/>
        <n v="29.6"/>
        <n v="479.976"/>
        <n v="44.735999999999997"/>
        <n v="747.55799999999999"/>
        <n v="424.95749999999998"/>
        <n v="236.88"/>
        <n v="29.9"/>
        <n v="9.99"/>
        <n v="51.45"/>
        <n v="15.624000000000001"/>
        <n v="93.031999999999996"/>
        <n v="454.96499999999997"/>
        <n v="6.8159999999999998"/>
        <n v="956.66480000000001"/>
        <n v="2.907"/>
        <n v="1001.5839999999999"/>
        <n v="13.89"/>
        <n v="99.135999999999996"/>
        <n v="40.880000000000003"/>
        <n v="18.97"/>
        <n v="62.94"/>
        <n v="27.24"/>
        <n v="10.496"/>
        <n v="859.2"/>
        <n v="523.91999999999996"/>
        <n v="194.84800000000001"/>
        <n v="69.900000000000006"/>
        <n v="41.85"/>
        <n v="330.58800000000002"/>
        <n v="79.512"/>
        <n v="28.352"/>
        <n v="5.3879999999999999"/>
        <n v="30.975999999999999"/>
        <n v="61.44"/>
        <n v="54.792000000000002"/>
        <n v="32.479999999999997"/>
        <n v="735.98"/>
        <n v="34.369999999999997"/>
        <n v="33.96"/>
        <n v="15.648"/>
        <n v="599.29200000000003"/>
        <n v="38.08"/>
        <n v="6.16"/>
        <n v="915.13599999999997"/>
        <n v="8.56"/>
        <n v="97.82"/>
        <n v="59.752000000000002"/>
        <n v="30.4"/>
        <n v="5399.91"/>
        <n v="119.1"/>
        <n v="239.37200000000001"/>
        <n v="52.68"/>
        <n v="11.568"/>
        <n v="28.85"/>
        <n v="703.71"/>
        <n v="17.904"/>
        <n v="11.976000000000001"/>
        <n v="67.959999999999994"/>
        <n v="27.263999999999999"/>
        <n v="4.9279999999999999"/>
        <n v="93.36"/>
        <n v="51.712000000000003"/>
        <n v="60.143999999999998"/>
        <n v="387.72"/>
        <n v="23.975999999999999"/>
        <n v="332.83199999999999"/>
        <n v="1.4079999999999999"/>
        <n v="169.56800000000001"/>
        <n v="20.608000000000001"/>
        <n v="4.0949999999999998"/>
        <n v="90.882000000000005"/>
        <n v="15.992000000000001"/>
        <n v="120.78400000000001"/>
        <n v="14"/>
        <n v="16.391999999999999"/>
        <n v="35.44"/>
        <n v="11.52"/>
        <n v="4.0199999999999996"/>
        <n v="76.176000000000002"/>
        <n v="65.88"/>
        <n v="727.45"/>
        <n v="191.976"/>
        <n v="8.2880000000000003"/>
        <n v="139.91999999999999"/>
        <n v="15.872"/>
        <n v="6.2859999999999996"/>
        <n v="34.700000000000003"/>
        <n v="99.87"/>
        <n v="24.9"/>
        <n v="82.26"/>
        <n v="177"/>
        <n v="102.592"/>
        <n v="22.704000000000001"/>
        <n v="93.024000000000001"/>
        <n v="12.768000000000001"/>
        <n v="35.008000000000003"/>
        <n v="39.152000000000001"/>
        <n v="1091.93"/>
        <n v="1649.75"/>
        <n v="71.599999999999994"/>
        <n v="20.16"/>
        <n v="29.46"/>
        <n v="868.59"/>
        <n v="5.5"/>
        <n v="121.6"/>
        <n v="232.96"/>
        <n v="66.540000000000006"/>
        <n v="43.26"/>
        <n v="142.18199999999999"/>
        <n v="18.16"/>
        <n v="120.666"/>
        <n v="449.97"/>
        <n v="1927.59"/>
        <n v="120.98"/>
        <n v="315.98"/>
        <n v="307.92"/>
        <n v="51.015999999999998"/>
        <n v="25.248000000000001"/>
        <n v="56.686"/>
        <n v="125.7"/>
        <n v="191.98"/>
        <n v="20.86"/>
        <n v="61.1"/>
        <n v="387.13600000000002"/>
        <n v="7.36"/>
        <n v="104.79"/>
        <n v="1043.92"/>
        <n v="22.92"/>
        <n v="7.92"/>
        <n v="98.16"/>
        <n v="235.15199999999999"/>
        <n v="661.17600000000004"/>
        <n v="113.22"/>
        <n v="4535.9759999999997"/>
        <n v="111.672"/>
        <n v="106.08"/>
        <n v="242.136"/>
        <n v="12.39"/>
        <n v="19.96"/>
        <n v="340.92"/>
        <n v="45.567999999999998"/>
        <n v="28.751999999999999"/>
        <n v="6.68"/>
        <n v="101.94"/>
        <n v="379.4"/>
        <n v="16.155999999999999"/>
        <n v="54.816000000000003"/>
        <n v="17.05"/>
        <n v="359.98"/>
        <n v="239.976"/>
        <n v="199.99"/>
        <n v="450"/>
        <n v="783.96"/>
        <n v="40.200000000000003"/>
        <n v="43.92"/>
        <n v="25.032"/>
        <n v="290.98"/>
        <n v="427.64400000000001"/>
        <n v="40.67"/>
        <n v="33.479999999999997"/>
        <n v="9.7279999999999998"/>
        <n v="93.06"/>
        <n v="302.37599999999998"/>
        <n v="1082.48"/>
        <n v="56.91"/>
        <n v="77.599999999999994"/>
        <n v="14.28"/>
        <n v="50.96"/>
        <n v="47.951999999999998"/>
        <n v="37.424999999999997"/>
        <n v="165.048"/>
        <n v="17.616"/>
        <n v="38.19"/>
        <n v="756.8"/>
        <n v="67"/>
        <n v="11.744"/>
        <n v="114.95"/>
        <n v="3.62"/>
        <n v="492.83499999999998"/>
        <n v="1085.42"/>
        <n v="21.96"/>
        <n v="1403.92"/>
        <n v="251.79"/>
        <n v="68.111999999999995"/>
        <n v="75.959999999999994"/>
        <n v="8.82"/>
        <n v="217.584"/>
        <n v="82.95"/>
        <n v="1101.48"/>
        <n v="20"/>
        <n v="8.75"/>
        <n v="842.94"/>
        <n v="15.26"/>
        <n v="43.32"/>
        <n v="43.584000000000003"/>
        <n v="116.28"/>
        <n v="9.2959999999999994"/>
        <n v="4.1580000000000004"/>
        <n v="179.99100000000001"/>
        <n v="72"/>
        <n v="470.15499999999997"/>
        <n v="10.74"/>
        <n v="209.88"/>
        <n v="38.29"/>
        <n v="192.8"/>
        <n v="17.584"/>
        <n v="104.78400000000001"/>
        <n v="650.35199999999998"/>
        <n v="629.18399999999997"/>
        <n v="15.176"/>
        <n v="50.496000000000002"/>
        <n v="4.1760000000000002"/>
        <n v="45.247999999999998"/>
        <n v="876.3"/>
        <n v="686.4"/>
        <n v="11.375999999999999"/>
        <n v="66.111999999999995"/>
        <n v="29.12"/>
        <n v="3.5640000000000001"/>
        <n v="12.587999999999999"/>
        <n v="171.96"/>
        <n v="104.9"/>
        <n v="53.247999999999998"/>
        <n v="11.84"/>
        <n v="479.72"/>
        <n v="158.13"/>
        <n v="273.95999999999998"/>
        <n v="81.424000000000007"/>
        <n v="238.56"/>
        <n v="207.98400000000001"/>
        <n v="36.112000000000002"/>
        <n v="35.567999999999998"/>
        <n v="88.768000000000001"/>
        <n v="84.84"/>
        <n v="27.68"/>
        <n v="37.44"/>
        <n v="26.975999999999999"/>
        <n v="11.36"/>
        <n v="14.96"/>
        <n v="12.9"/>
        <n v="263.95999999999998"/>
        <n v="359.97"/>
        <n v="116.82"/>
        <n v="314.08800000000002"/>
        <n v="261.95999999999998"/>
        <n v="731.94"/>
        <n v="155.82"/>
        <n v="70.007999999999996"/>
        <n v="14.72"/>
        <n v="38.975999999999999"/>
        <n v="41.957999999999998"/>
        <n v="22.248000000000001"/>
        <n v="334.88"/>
        <n v="148.28800000000001"/>
        <n v="178.92"/>
        <n v="69.888000000000005"/>
        <n v="279.94400000000002"/>
        <n v="37.299999999999997"/>
        <n v="81.96"/>
        <n v="20.367999999999999"/>
        <n v="49.847999999999999"/>
        <n v="67.709999999999994"/>
        <n v="467.46"/>
        <n v="61.4"/>
        <n v="720.76"/>
        <n v="9.98"/>
        <n v="29.74"/>
        <n v="221.98"/>
        <n v="341.96"/>
        <n v="881.93"/>
        <n v="83.36"/>
        <n v="47.991999999999997"/>
        <n v="6.96"/>
        <n v="9.8879999999999999"/>
        <n v="671.54399999999998"/>
        <n v="28.14"/>
        <n v="36"/>
        <n v="245.64599999999999"/>
        <n v="55.008000000000003"/>
        <n v="35.231999999999999"/>
        <n v="451.15199999999999"/>
        <n v="31.504000000000001"/>
        <n v="2678.94"/>
        <n v="14.112"/>
        <n v="6.27"/>
        <n v="4.3680000000000003"/>
        <n v="287.52"/>
        <n v="20.58"/>
        <n v="17.38"/>
        <n v="1474.8019999999999"/>
        <n v="110.096"/>
        <n v="16.751999999999999"/>
        <n v="1537.0740000000001"/>
        <n v="449.37200000000001"/>
        <n v="203.976"/>
        <n v="674.35199999999998"/>
        <n v="22.751999999999999"/>
        <n v="44.02"/>
        <n v="52.136000000000003"/>
        <n v="4.18"/>
        <n v="217.05600000000001"/>
        <n v="3.1360000000000001"/>
        <n v="77.55"/>
        <n v="24.88"/>
        <n v="140.75"/>
        <n v="36.630000000000003"/>
        <n v="30.36"/>
        <n v="2279.96"/>
        <n v="19.54"/>
        <n v="499.98"/>
        <n v="2.2959999999999998"/>
        <n v="40.44"/>
        <n v="380.05799999999999"/>
        <n v="48.576000000000001"/>
        <n v="16.45"/>
        <n v="19.920000000000002"/>
        <n v="13.98"/>
        <n v="23.65"/>
        <n v="99.39"/>
        <n v="1016.792"/>
        <n v="38.136000000000003"/>
        <n v="361.37599999999998"/>
        <n v="630.024"/>
        <n v="28.4"/>
        <n v="10.776"/>
        <n v="67.176000000000002"/>
        <n v="49.5"/>
        <n v="1117.92"/>
        <n v="6.3680000000000003"/>
        <n v="48.847999999999999"/>
        <n v="255.108"/>
        <n v="103.968"/>
        <n v="61.192"/>
        <n v="67.84"/>
        <n v="301.95999999999998"/>
        <n v="1319.96"/>
        <n v="595"/>
        <n v="68.599999999999994"/>
        <n v="100.70399999999999"/>
        <n v="2.3279999999999998"/>
        <n v="10.78"/>
        <n v="58.368000000000002"/>
        <n v="40.968000000000004"/>
        <n v="1.1919999999999999"/>
        <n v="17.28"/>
        <n v="54.96"/>
        <n v="18.48"/>
        <n v="44.75"/>
        <n v="31.96"/>
        <n v="944.93"/>
        <n v="19.096"/>
        <n v="255.98400000000001"/>
        <n v="86.97"/>
        <n v="15.696"/>
        <n v="2.6280000000000001"/>
        <n v="14.427"/>
        <n v="318.43"/>
        <n v="122.92"/>
        <n v="7.0679999999999996"/>
        <n v="9.08"/>
        <n v="4.91"/>
        <n v="151.19200000000001"/>
        <n v="39"/>
        <n v="289.56799999999998"/>
        <n v="39.72"/>
        <n v="244.768"/>
        <n v="27.88"/>
        <n v="195.136"/>
        <n v="40.46"/>
        <n v="404.94"/>
        <n v="30.344999999999999"/>
        <n v="127.554"/>
        <n v="77.951999999999998"/>
        <n v="38.432000000000002"/>
        <n v="21.568000000000001"/>
        <n v="81.575999999999993"/>
        <n v="113.568"/>
        <n v="39.880000000000003"/>
        <n v="20.82"/>
        <n v="49.44"/>
        <n v="6.2160000000000002"/>
        <n v="24.032"/>
        <n v="2.0880000000000001"/>
        <n v="4.4880000000000004"/>
        <n v="134.27199999999999"/>
        <n v="15.8"/>
        <n v="70.447999999999993"/>
        <n v="4.4160000000000004"/>
        <n v="17.216000000000001"/>
        <n v="88.4"/>
        <n v="33.520000000000003"/>
        <n v="9.94"/>
        <n v="297.57600000000002"/>
        <n v="4.3440000000000003"/>
        <n v="94.992000000000004"/>
        <n v="74.352000000000004"/>
        <n v="14.04"/>
        <n v="24.783999999999999"/>
        <n v="657.55200000000002"/>
        <n v="659.9"/>
        <n v="1684.752"/>
        <n v="559.91999999999996"/>
        <n v="1219.96"/>
        <n v="207.76"/>
        <n v="40.752000000000002"/>
        <n v="339.92"/>
        <n v="42.384"/>
        <n v="5.08"/>
        <n v="563.4"/>
        <n v="319.92"/>
        <n v="59.98"/>
        <n v="1568.61"/>
        <n v="17.3"/>
        <n v="160"/>
        <n v="456.58800000000002"/>
        <n v="4499.9849999999997"/>
        <n v="59.975999999999999"/>
        <n v="73.36"/>
        <n v="70.98"/>
        <n v="91.68"/>
        <n v="33.75"/>
        <n v="3040"/>
        <n v="494.98200000000003"/>
        <n v="3.7440000000000002"/>
        <n v="313.17599999999999"/>
        <n v="17.856000000000002"/>
        <n v="13.36"/>
        <n v="78.759"/>
        <n v="3406.6640000000002"/>
        <n v="595.38"/>
        <n v="97.983999999999995"/>
        <n v="62.4"/>
        <n v="271.99200000000002"/>
        <n v="167.292"/>
        <n v="34.950000000000003"/>
        <n v="152"/>
        <n v="116.76"/>
        <n v="331.02300000000002"/>
        <n v="39.808"/>
        <n v="34.65"/>
        <n v="204.95"/>
        <n v="79.95"/>
        <n v="7.16"/>
        <n v="7.4340000000000002"/>
        <n v="182.67"/>
        <n v="101.7"/>
        <n v="1126.02"/>
        <n v="1263.3"/>
        <n v="340.18200000000002"/>
        <n v="6.8879999999999999"/>
        <n v="32.543999999999997"/>
        <n v="58.415999999999997"/>
        <n v="242.17599999999999"/>
        <n v="36.192"/>
        <n v="33.36"/>
        <n v="13.76"/>
        <n v="496.86"/>
        <n v="1104.55"/>
        <n v="1112.94"/>
        <n v="863.928"/>
        <n v="751.92"/>
        <n v="366.00900000000001"/>
        <n v="248.43"/>
        <n v="172.5"/>
        <n v="137.94"/>
        <n v="111.15"/>
        <n v="88.08"/>
        <n v="47.9"/>
        <n v="40.700000000000003"/>
        <n v="23.92"/>
        <n v="23.04"/>
        <n v="17.309999999999999"/>
        <n v="4.7039999999999997"/>
        <n v="79.400000000000006"/>
        <n v="81.864000000000004"/>
        <n v="629.95000000000005"/>
        <n v="415.17599999999999"/>
        <n v="115.84"/>
        <n v="104.184"/>
        <n v="72.42"/>
        <n v="59.7"/>
        <n v="33.869999999999997"/>
        <n v="24.704000000000001"/>
        <n v="14.52"/>
        <n v="1649.95"/>
        <n v="772.68"/>
        <n v="581.96"/>
        <n v="542.64599999999996"/>
        <n v="400.03199999999998"/>
        <n v="394.81599999999997"/>
        <n v="268.70400000000001"/>
        <n v="205.666"/>
        <n v="111.9"/>
        <n v="48.72"/>
        <n v="33.630000000000003"/>
        <n v="29.98"/>
        <n v="21.92"/>
        <n v="18.192"/>
        <n v="212.88"/>
        <n v="193.86"/>
        <n v="182.94"/>
        <n v="113.79"/>
        <n v="78.150000000000006"/>
        <n v="40.56"/>
        <n v="15.528"/>
        <n v="951.84"/>
        <n v="699.98"/>
        <n v="584.82000000000005"/>
        <n v="465.18"/>
        <n v="407.976"/>
        <n v="384.45"/>
        <n v="171.55"/>
        <n v="109.69"/>
        <n v="81.94"/>
        <n v="33.92"/>
        <n v="13.4"/>
        <n v="3.536"/>
        <n v="968.74400000000003"/>
        <n v="479.98399999999998"/>
        <n v="437.47199999999998"/>
        <n v="271.95999999999998"/>
        <n v="249.584"/>
        <n v="248.08"/>
        <n v="222.352"/>
        <n v="189.7"/>
        <n v="156.792"/>
        <n v="59.808"/>
        <n v="47.207999999999998"/>
        <n v="35.89"/>
        <n v="13.86"/>
        <n v="13.375999999999999"/>
        <n v="1421.664"/>
        <n v="97.543999999999997"/>
        <n v="680.01"/>
        <n v="405.86"/>
        <n v="352.38"/>
        <n v="190.92"/>
        <n v="34.049999999999997"/>
        <n v="12.957000000000001"/>
        <n v="1056.8599999999999"/>
        <n v="273.92"/>
        <n v="79.974000000000004"/>
        <n v="61.929000000000002"/>
        <n v="60.34"/>
        <n v="40.68"/>
        <n v="20.568000000000001"/>
        <n v="19.46"/>
        <n v="19.04"/>
        <n v="9.3919999999999995"/>
        <n v="9.3279999999999994"/>
        <n v="4.3559999999999999"/>
        <n v="3.69"/>
        <n v="2.9460000000000002"/>
        <n v="1424.9"/>
        <n v="679.96"/>
        <n v="361.92"/>
        <n v="321.56799999999998"/>
        <n v="153.55199999999999"/>
        <n v="80.58"/>
        <n v="80.28"/>
        <n v="65.34"/>
        <n v="62.82"/>
        <n v="35.1"/>
        <n v="18.54"/>
        <n v="1029.95"/>
        <n v="892.13599999999997"/>
        <n v="458.43"/>
        <n v="403.92"/>
        <n v="328.59"/>
        <n v="300.76799999999997"/>
        <n v="243.38399999999999"/>
        <n v="209.6"/>
        <n v="122.688"/>
        <n v="119.96"/>
        <n v="119.8"/>
        <n v="85.224000000000004"/>
        <n v="83.42"/>
        <n v="73.536000000000001"/>
        <n v="50.22"/>
        <n v="35.808"/>
        <n v="30.98"/>
        <n v="23.32"/>
        <n v="14.8"/>
        <n v="13.52"/>
        <n v="6.6719999999999997"/>
        <n v="5.8719999999999999"/>
        <n v="657.93"/>
        <n v="383.952"/>
        <n v="383.64"/>
        <n v="60.35"/>
        <n v="56.52"/>
        <n v="35.520000000000003"/>
        <n v="26.86"/>
        <n v="18.693000000000001"/>
        <n v="11.2"/>
        <n v="1114.2719999999999"/>
        <n v="63.88"/>
        <n v="6.0960000000000001"/>
        <n v="396.92"/>
        <n v="134.80000000000001"/>
        <n v="133.38"/>
        <n v="17.149999999999999"/>
        <n v="564.19500000000005"/>
        <n v="563.91999999999996"/>
        <n v="34.944000000000003"/>
        <n v="21.21"/>
        <n v="4.7880000000000003"/>
        <n v="3.68"/>
        <n v="2892.74"/>
        <n v="1003.52"/>
        <n v="13.488"/>
        <n v="1793.98"/>
        <n v="961.48"/>
        <n v="772.47"/>
        <n v="579.29999999999995"/>
        <n v="563.94000000000005"/>
        <n v="377.45"/>
        <n v="254.05799999999999"/>
        <n v="194.52799999999999"/>
        <n v="183.84"/>
        <n v="112.776"/>
        <n v="72.64"/>
        <n v="66.975999999999999"/>
        <n v="45.24"/>
        <n v="28.68"/>
        <n v="18.687999999999999"/>
        <n v="455.97"/>
        <n v="303.92"/>
        <n v="34.247999999999998"/>
        <n v="5.2140000000000004"/>
        <n v="3.52"/>
        <n v="1.8"/>
        <n v="66.3"/>
        <n v="33.9"/>
        <n v="18.920000000000002"/>
        <n v="15.42"/>
        <n v="842.72"/>
        <n v="31.32"/>
        <n v="25.584"/>
        <n v="22.783999999999999"/>
        <n v="99.96"/>
        <n v="1499.97"/>
        <n v="572.76"/>
        <n v="453.57600000000002"/>
        <n v="287.88"/>
        <n v="286.38"/>
        <n v="227.28"/>
        <n v="141.37200000000001"/>
        <n v="131.88"/>
        <n v="7.968"/>
        <n v="5.5529999999999999"/>
        <n v="4.2"/>
        <n v="799.56"/>
        <n v="540.048"/>
        <n v="255.68"/>
        <n v="197.97"/>
        <n v="27.882000000000001"/>
        <n v="575.94399999999996"/>
        <n v="1563.056"/>
        <n v="1747.25"/>
        <n v="866.64599999999996"/>
        <n v="698.35199999999998"/>
        <n v="399.98"/>
        <n v="343.85"/>
        <n v="269.97000000000003"/>
        <n v="254.24"/>
        <n v="106.32"/>
        <n v="100.8"/>
        <n v="47.968000000000004"/>
        <n v="45.12"/>
        <n v="35.445"/>
        <n v="21.12"/>
        <n v="19.89"/>
        <n v="212.94"/>
        <n v="53.97"/>
        <n v="26.49"/>
        <n v="18.72"/>
        <n v="17.760000000000002"/>
        <n v="11.327999999999999"/>
        <n v="7.9"/>
        <n v="4.992"/>
        <n v="845.48800000000006"/>
        <n v="40"/>
        <n v="23.68"/>
        <n v="17.184000000000001"/>
        <n v="2.61"/>
        <n v="754.45"/>
        <n v="186.048"/>
        <n v="70.56"/>
        <n v="37.408000000000001"/>
        <n v="27.792000000000002"/>
        <n v="25.344000000000001"/>
        <n v="14.03"/>
        <n v="2.8079999999999998"/>
        <n v="170.786"/>
        <n v="72.224000000000004"/>
        <n v="13.712"/>
        <n v="6.9240000000000004"/>
        <n v="6.3840000000000003"/>
        <n v="5.9039999999999999"/>
        <n v="159.768"/>
        <n v="38.375999999999998"/>
        <n v="23.48"/>
        <n v="164.42"/>
        <n v="322.74400000000003"/>
        <n v="472.56"/>
        <n v="487.43"/>
        <n v="93.736000000000004"/>
        <n v="120.47"/>
        <n v="107.6"/>
        <n v="110.224"/>
        <n v="137.74799999999999"/>
        <n v="145.89599999999999"/>
        <n v="415.14400000000001"/>
        <n v="708.7"/>
        <n v="953.43"/>
        <n v="75.432000000000002"/>
        <n v="103.66"/>
        <n v="119.744"/>
        <n v="140.85400000000001"/>
        <n v="115.59"/>
        <n v="2057.2719999999999"/>
        <n v="125.12"/>
        <n v="136.88"/>
        <n v="147.74"/>
        <n v="101.02"/>
        <n v="156.11000000000001"/>
        <n v="186.78"/>
        <n v="3096.982"/>
        <n v="107.89"/>
        <n v="93.808000000000007"/>
        <n v="930.98"/>
        <n v="311.49099999999999"/>
        <n v="790.98"/>
        <n v="96.78"/>
        <n v="164.68"/>
        <n v="138.08000000000001"/>
        <n v="252.94"/>
        <n v="258.94"/>
        <n v="4200.05"/>
        <n v="121.4"/>
        <n v="129.98400000000001"/>
        <n v="183.9"/>
        <n v="188.8"/>
        <n v="194.06399999999999"/>
        <n v="217.624"/>
        <n v="89.92"/>
        <n v="89.96"/>
        <n v="102.12"/>
        <n v="99.34"/>
        <n v="101.508"/>
        <n v="121.52"/>
        <n v="108.76"/>
        <n v="114.744"/>
        <n v="136.33600000000001"/>
        <n v="157.28800000000001"/>
        <n v="185.4"/>
        <n v="168.8"/>
        <n v="1942.16"/>
        <n v="98.275999999999996"/>
        <n v="108.4"/>
        <n v="134.69999999999999"/>
        <n v="118.78400000000001"/>
        <n v="136.38399999999999"/>
        <n v="160.98400000000001"/>
        <n v="340.67"/>
        <n v="436.67200000000003"/>
        <n v="5455.96"/>
        <n v="141.91999999999999"/>
        <n v="167.07"/>
        <n v="101.92"/>
        <n v="455.6"/>
        <n v="573.94000000000005"/>
        <n v="914.27099999999996"/>
        <n v="103"/>
        <n v="109.04"/>
        <n v="117.696"/>
        <n v="124.968"/>
        <n v="184.77600000000001"/>
        <n v="240.846"/>
        <n v="394.976"/>
        <n v="111.52"/>
        <n v="115.52"/>
        <n v="152.19999999999999"/>
        <n v="106.98"/>
        <n v="109.52"/>
        <n v="116.696"/>
        <n v="195.99"/>
        <n v="207.97"/>
        <n v="267.94"/>
        <n v="299.57600000000002"/>
        <n v="361.97300000000001"/>
        <n v="388.20800000000003"/>
        <n v="669.95"/>
        <n v="87.4"/>
        <n v="92.936000000000007"/>
        <n v="132.72"/>
        <n v="160.78399999999999"/>
        <n v="1159.02"/>
        <n v="3026.95"/>
        <n v="85.872"/>
        <n v="103.12"/>
        <n v="118.96"/>
        <n v="162.44999999999999"/>
        <n v="132.98400000000001"/>
        <n v="136.352"/>
        <n v="237.98"/>
        <n v="116.92"/>
        <n v="109.938"/>
        <n v="140.68"/>
        <n v="311.78399999999999"/>
        <n v="98.67"/>
        <n v="131.86000000000001"/>
        <n v="100.72"/>
        <n v="2967.93"/>
        <n v="111.16"/>
        <n v="96.84"/>
        <n v="106.47"/>
        <n v="141.16"/>
        <n v="117.976"/>
        <n v="154.982"/>
        <n v="156.94"/>
        <n v="144.01599999999999"/>
        <n v="284.97000000000003"/>
        <n v="292.89999999999998"/>
        <n v="470.91"/>
        <n v="135.74"/>
        <n v="129.85"/>
        <n v="167.61600000000001"/>
        <n v="96.34"/>
        <n v="85.22"/>
        <n v="102.768"/>
        <n v="127.91"/>
        <n v="117.57"/>
        <n v="140.47999999999999"/>
        <n v="114.128"/>
        <n v="100.375"/>
        <n v="145.78399999999999"/>
        <n v="147.30000000000001"/>
        <n v="224"/>
        <n v="437.13600000000002"/>
        <n v="618.76800000000003"/>
        <n v="2015.1679999999999"/>
        <n v="107.74"/>
        <n v="111.71"/>
        <n v="114.34399999999999"/>
        <n v="131.82"/>
        <n v="120.68"/>
        <n v="140.58000000000001"/>
        <n v="135.30000000000001"/>
        <n v="162.35"/>
        <n v="100.97"/>
        <n v="107.26"/>
        <n v="242.58"/>
        <n v="253.98400000000001"/>
        <n v="257.95999999999998"/>
        <n v="291.8"/>
        <n v="2109.3040000000001"/>
        <n v="2178.04"/>
        <n v="110.456"/>
        <n v="134.29599999999999"/>
        <n v="443.4"/>
        <n v="936.22900000000004"/>
        <n v="1248.2"/>
        <n v="2298.5520000000001"/>
        <n v="118.88200000000001"/>
        <n v="119.184"/>
        <n v="159.584"/>
        <n v="138.66999999999999"/>
        <n v="221.12"/>
        <n v="285.99200000000002"/>
        <n v="1666.7"/>
        <n v="2399.1999999999998"/>
        <n v="256.45999999999998"/>
        <n v="256.78399999999999"/>
        <n v="134.24"/>
        <n v="290.78399999999999"/>
        <n v="403.9"/>
        <n v="2154.9839999999999"/>
        <n v="122.98399999999999"/>
        <n v="96.12"/>
        <n v="132.99199999999999"/>
        <n v="226.983"/>
        <n v="1958.12"/>
        <n v="126.776"/>
        <n v="164.56800000000001"/>
        <n v="840.33600000000001"/>
        <n v="936.7"/>
        <n v="986.13599999999997"/>
        <n v="116.64"/>
        <n v="120.53"/>
        <n v="835.96"/>
        <n v="919.63"/>
        <n v="96.94"/>
        <n v="117.71"/>
        <n v="144.02000000000001"/>
        <n v="612.51"/>
        <n v="631.55799999999999"/>
        <n v="850.99"/>
        <n v="110.69199999999999"/>
        <n v="94.367999999999995"/>
        <n v="134.03200000000001"/>
        <n v="140.94"/>
        <n v="156.352"/>
        <n v="104.59399999999999"/>
        <n v="132.06639999999999"/>
        <n v="165.792"/>
        <n v="186.45"/>
        <n v="205.44"/>
        <n v="479.33600000000001"/>
        <n v="504.97"/>
        <n v="524.96"/>
        <n v="938.43"/>
        <n v="92.715000000000003"/>
        <n v="128.76"/>
        <n v="126.14400000000001"/>
        <n v="125.16"/>
        <n v="146.53"/>
        <n v="197.976"/>
        <n v="84.82"/>
        <n v="831.22"/>
        <n v="1259.8599999999999"/>
        <n v="133.84"/>
        <n v="111.67"/>
        <n v="101.16800000000001"/>
        <n v="118.70399999999999"/>
        <n v="261.96800000000002"/>
        <n v="358.57600000000002"/>
        <n v="427.91"/>
        <n v="838.64"/>
        <n v="1038.56"/>
        <n v="1233.1099999999999"/>
        <n v="92.432000000000002"/>
        <n v="115.23"/>
        <n v="131.99199999999999"/>
        <n v="973.904"/>
        <n v="619.4"/>
        <n v="884.96"/>
        <n v="128.44"/>
        <n v="152.91999999999999"/>
        <n v="1333.8"/>
        <n v="132.95599999999999"/>
        <n v="230.78399999999999"/>
        <n v="245.92"/>
        <n v="529.78800000000001"/>
        <n v="106.96"/>
        <n v="110.92"/>
        <n v="249.92"/>
        <n v="301.57600000000002"/>
        <n v="380.79"/>
        <n v="911.53599999999994"/>
        <n v="940.22400000000005"/>
        <n v="116.12"/>
        <n v="152.6"/>
        <n v="919.84"/>
        <n v="943.78"/>
        <n v="128.648"/>
        <n v="214.77600000000001"/>
        <n v="460.96"/>
        <n v="493.94"/>
        <n v="110.22199999999999"/>
        <n v="118.556"/>
        <n v="94.975999999999999"/>
        <n v="93.528000000000006"/>
        <n v="156.96"/>
        <n v="134.52000000000001"/>
        <n v="110.8"/>
        <n v="125.98"/>
        <n v="185.352"/>
        <n v="227.98"/>
        <n v="426.67200000000003"/>
        <n v="1099.44"/>
        <n v="100.88"/>
        <n v="117.5"/>
        <n v="134.56800000000001"/>
        <n v="93.25"/>
        <n v="124.464"/>
        <n v="123.72"/>
        <n v="122.32"/>
        <n v="142.96"/>
        <n v="265.16000000000003"/>
        <n v="271.36"/>
        <n v="291.24"/>
        <n v="339.97"/>
        <n v="112.9"/>
        <n v="114.06"/>
        <n v="148.69"/>
        <n v="130.68"/>
        <n v="253.38399999999999"/>
        <n v="327.93"/>
        <n v="73.927999999999997"/>
        <n v="127.52"/>
        <n v="132.38"/>
        <n v="112.976"/>
        <n v="117.88"/>
        <n v="165.488"/>
        <n v="153.97"/>
        <n v="165.78"/>
        <n v="106.59"/>
        <n v="133.91999999999999"/>
        <n v="134.08000000000001"/>
        <n v="196.2"/>
        <n v="669.84"/>
        <n v="77.36"/>
        <n v="111.7"/>
        <n v="234.98"/>
        <n v="521.98400000000004"/>
        <n v="112.84"/>
        <n v="123.96"/>
        <n v="948.40800000000002"/>
        <n v="81.695999999999998"/>
        <n v="112.092"/>
        <n v="128.24799999999999"/>
        <n v="128.91"/>
        <n v="136.982"/>
        <n v="150.87200000000001"/>
        <n v="141.78399999999999"/>
        <n v="108.88"/>
        <n v="167.76400000000001"/>
        <n v="799.85"/>
        <n v="924.92"/>
        <n v="107.294"/>
        <n v="145.28"/>
        <n v="102.93"/>
        <n v="273.94"/>
        <n v="122.41"/>
        <n v="105.8"/>
        <n v="139.768"/>
        <n v="190.73599999999999"/>
        <n v="211.3"/>
        <n v="228.98599999999999"/>
        <n v="232.95"/>
        <n v="303.24"/>
        <n v="339.9"/>
        <n v="364.55"/>
        <n v="507.16"/>
        <n v="1004.984"/>
        <n v="1346.4960000000001"/>
        <n v="116.992"/>
        <n v="122.55200000000001"/>
        <n v="134.45599999999999"/>
        <n v="130.36000000000001"/>
        <n v="144.76"/>
        <n v="124.36"/>
        <n v="139.88"/>
        <n v="160.12"/>
        <n v="121.616"/>
        <n v="186.67"/>
        <n v="197.98400000000001"/>
        <n v="340.12"/>
        <n v="475.44"/>
        <n v="673.976"/>
        <n v="85.68"/>
        <n v="116.48"/>
        <n v="125.193"/>
        <n v="141.51"/>
        <n v="128.376"/>
        <n v="169.22399999999999"/>
        <n v="168.26400000000001"/>
        <n v="104.06"/>
        <n v="127.44"/>
        <n v="144.69999999999999"/>
        <n v="119.27200000000001"/>
        <n v="124.31"/>
        <n v="119.776"/>
        <n v="124.456"/>
        <n v="127.608"/>
        <n v="98.75"/>
        <n v="146.14400000000001"/>
        <n v="137.53"/>
        <n v="125.1"/>
        <n v="134.6"/>
        <n v="113.524"/>
        <n v="136.86000000000001"/>
        <n v="198.994"/>
        <n v="556.54399999999998"/>
        <n v="82.688000000000002"/>
        <n v="108.9"/>
        <n v="119.83199999999999"/>
        <n v="143.4"/>
        <n v="112.2"/>
        <n v="153.816"/>
        <n v="147.54"/>
        <n v="238.96"/>
        <n v="421.36"/>
        <n v="696.50400000000002"/>
        <n v="737.16"/>
        <n v="90.94"/>
        <n v="128.624"/>
        <n v="129.93"/>
        <n v="97.823999999999998"/>
        <n v="153.49600000000001"/>
        <n v="153.91"/>
        <n v="252"/>
        <n v="284.06400000000002"/>
        <n v="302.93"/>
        <n v="134.91"/>
        <n v="145.96"/>
        <n v="169.70400000000001"/>
        <n v="100.384"/>
        <n v="300.39999999999998"/>
        <n v="397.32"/>
        <n v="770.84"/>
        <n v="1839.88"/>
        <n v="108.78"/>
        <n v="116.544"/>
        <n v="106.02"/>
        <n v="119.14"/>
        <n v="129.89599999999999"/>
        <n v="118.85599999999999"/>
        <n v="127.57599999999999"/>
        <n v="155.72800000000001"/>
        <n v="225.84"/>
        <n v="366.58"/>
        <n v="3445.96"/>
        <n v="126.04"/>
        <n v="134.68"/>
        <n v="139.47999999999999"/>
        <n v="145.76"/>
        <n v="234.92"/>
        <n v="235.846"/>
        <n v="305.76400000000001"/>
        <n v="479.99"/>
        <n v="113.768"/>
        <n v="106"/>
        <n v="152.01"/>
        <n v="140.99"/>
        <n v="205.92"/>
        <n v="223.04"/>
        <n v="234.16800000000001"/>
        <n v="406.97"/>
        <n v="511.37599999999998"/>
        <n v="527.98400000000004"/>
        <n v="1568.56"/>
        <n v="89.847999999999999"/>
        <n v="123.05"/>
        <n v="102.1"/>
        <n v="117.02"/>
        <n v="105.84"/>
        <n v="114.16800000000001"/>
        <n v="116.352"/>
        <n v="168.96"/>
        <n v="280.56799999999998"/>
        <n v="2412.96"/>
        <n v="103.83"/>
        <n v="106.76"/>
        <n v="120.25"/>
        <n v="133.232"/>
        <n v="227.1"/>
        <n v="233.24600000000001"/>
        <n v="332.1"/>
        <n v="362.94"/>
        <n v="634.55799999999999"/>
        <n v="1058.3320000000001"/>
        <n v="117.008"/>
        <n v="117.26"/>
        <n v="121.64"/>
        <n v="111.94"/>
        <n v="146.76"/>
        <n v="139.99199999999999"/>
        <n v="105.742"/>
        <n v="555.72"/>
        <n v="830.48"/>
        <n v="90.96"/>
        <n v="127.56"/>
        <n v="139.72"/>
        <n v="153.47999999999999"/>
        <n v="150.04"/>
        <n v="163.4"/>
        <n v="121.2"/>
        <n v="188.792"/>
        <n v="370.86"/>
        <n v="115.715"/>
        <n v="154.76"/>
        <n v="124.95"/>
        <n v="242.33279999999999"/>
        <n v="706.93"/>
        <n v="720.58"/>
        <n v="3013.95"/>
        <n v="95.468000000000004"/>
        <n v="104.7"/>
        <n v="118.54"/>
        <n v="160.78"/>
        <n v="161.62"/>
        <n v="156.12"/>
        <n v="182.04"/>
        <n v="111.2"/>
        <n v="158.94999999999999"/>
        <n v="166.68"/>
        <n v="234.352"/>
        <n v="527.66399999999999"/>
        <n v="4823.9840000000004"/>
        <n v="116.264"/>
        <n v="111.976"/>
        <n v="105.78"/>
        <n v="117.93"/>
        <n v="118.4"/>
        <n v="148.80799999999999"/>
        <n v="404"/>
        <n v="439.8"/>
        <n v="108.12"/>
        <n v="147.11000000000001"/>
        <n v="80.055999999999997"/>
        <n v="112.47199999999999"/>
        <n v="145.02000000000001"/>
        <n v="254.37"/>
        <n v="400.84"/>
        <n v="123.98"/>
        <n v="105.04"/>
        <n v="133.22"/>
        <n v="147.32"/>
        <n v="114.1"/>
        <n v="247.184"/>
        <n v="255.86"/>
        <n v="275.072"/>
        <n v="648.61450000000002"/>
        <n v="654.976"/>
        <n v="106.328"/>
        <n v="90.256"/>
        <n v="235.76"/>
        <n v="284.55"/>
        <n v="308.95999999999998"/>
        <n v="343.9"/>
        <n v="2602.56"/>
        <n v="2704.97"/>
        <n v="126.28"/>
        <n v="142.94999999999999"/>
        <n v="115.584"/>
        <n v="211.6"/>
        <n v="266.64"/>
        <n v="493.24"/>
        <n v="520.80999999999995"/>
        <n v="87.43"/>
        <n v="127.82"/>
        <n v="96.64"/>
        <n v="126.12"/>
        <n v="144.96"/>
        <n v="132.97"/>
        <n v="160.89599999999999"/>
        <n v="120.99"/>
        <n v="126.736"/>
        <n v="240.10400000000001"/>
        <n v="335.15"/>
        <n v="96.61"/>
        <n v="95.32"/>
        <n v="106.16"/>
        <n v="97.418999999999997"/>
        <n v="118.36799999999999"/>
        <n v="133.672"/>
        <n v="225.95"/>
        <n v="97.992000000000004"/>
        <n v="108.752"/>
        <n v="115.12"/>
        <n v="92.768000000000001"/>
        <n v="142.364"/>
        <n v="145.86000000000001"/>
        <n v="145.69999999999999"/>
        <n v="160.96"/>
        <n v="456.70400000000001"/>
        <n v="925.92"/>
        <n v="103.28"/>
        <n v="99.92"/>
        <n v="121.85599999999999"/>
        <n v="210.27199999999999"/>
        <n v="280.35199999999998"/>
        <n v="96.76"/>
        <n v="95.591999999999999"/>
        <n v="110.776"/>
        <n v="117.872"/>
        <n v="166.45"/>
        <n v="100.14"/>
        <n v="225.45"/>
        <n v="98.89"/>
        <n v="107.57"/>
        <n v="97.736000000000004"/>
        <n v="114.55200000000001"/>
        <n v="128.833"/>
        <n v="235.92"/>
        <n v="517.24"/>
        <n v="80.52"/>
        <n v="120.04600000000001"/>
        <n v="130.89599999999999"/>
        <n v="109.98"/>
        <n v="115.74"/>
        <n v="154.54400000000001"/>
        <n v="109.312"/>
        <n v="212.136"/>
        <n v="265.35199999999998"/>
        <n v="290.89"/>
        <n v="2579.9850000000001"/>
        <n v="114.9"/>
        <n v="100.964"/>
        <n v="130.13999999999999"/>
        <n v="131.73599999999999"/>
        <n v="138.59399999999999"/>
        <n v="127.03"/>
        <n v="114.38"/>
        <n v="152.38200000000001"/>
        <n v="195.86"/>
        <n v="344.05799999999999"/>
        <n v="348.70400000000001"/>
        <n v="874.54399999999998"/>
        <n v="120.56"/>
        <n v="93.76"/>
        <n v="89.7"/>
        <n v="133.33600000000001"/>
        <n v="128.56"/>
        <n v="136.4"/>
        <n v="137.40799999999999"/>
        <n v="149.96799999999999"/>
        <n v="114.264"/>
        <n v="185.6"/>
        <n v="938.82"/>
        <n v="91.736000000000004"/>
        <n v="119.694"/>
        <n v="99.933999999999997"/>
        <n v="116.976"/>
        <n v="689.06"/>
        <n v="109.28"/>
        <n v="109.952"/>
        <n v="112.36"/>
        <n v="113.88"/>
        <n v="139.71"/>
        <n v="163.94"/>
        <n v="178.34"/>
        <n v="415.13600000000002"/>
        <n v="107.76"/>
        <n v="112.34399999999999"/>
        <n v="97"/>
        <n v="131.68799999999999"/>
        <n v="114.664"/>
        <n v="149.13999999999999"/>
        <n v="132.40799999999999"/>
        <n v="150.9"/>
        <n v="100.98"/>
        <n v="121.78400000000001"/>
        <n v="139.28"/>
        <n v="147.56800000000001"/>
        <n v="601"/>
        <n v="81.81"/>
        <n v="92.188000000000002"/>
        <n v="110.518"/>
        <n v="104.43"/>
        <n v="133.97"/>
        <n v="367.98099999999999"/>
        <n v="85.896000000000001"/>
        <n v="104.904"/>
        <n v="116.048"/>
        <n v="136.05000000000001"/>
        <n v="164.34399999999999"/>
        <n v="174.92"/>
        <n v="87.988"/>
        <n v="122.34"/>
        <n v="125.28"/>
        <n v="152.58000000000001"/>
        <n v="169.92"/>
        <n v="269.26560000000001"/>
        <n v="87.39"/>
        <n v="171.12"/>
        <n v="148.30000000000001"/>
        <n v="773.98400000000004"/>
        <n v="117.384"/>
        <n v="133.84800000000001"/>
        <n v="116.08"/>
        <n v="1088.3499999999999"/>
        <n v="106.91"/>
        <n v="109.96"/>
        <n v="175.96"/>
        <n v="256.70400000000001"/>
        <n v="719.58"/>
        <n v="108.896"/>
        <n v="108.52800000000001"/>
        <n v="119.608"/>
        <n v="116.24"/>
        <n v="94.76"/>
        <n v="117.78"/>
        <n v="94.56"/>
        <n v="124.376"/>
        <n v="103.68"/>
        <n v="119.36799999999999"/>
        <n v="126.842"/>
        <n v="119.952"/>
        <n v="123.372"/>
        <n v="151.96"/>
        <n v="215.608"/>
        <n v="335.35199999999998"/>
        <n v="952.26199999999994"/>
        <n v="997.9"/>
        <n v="2821.92"/>
        <n v="92.328000000000003"/>
        <n v="159.93"/>
        <n v="193.56"/>
        <n v="95.7"/>
        <n v="142.4"/>
        <n v="146.52000000000001"/>
        <n v="394.47"/>
        <n v="790.44"/>
        <n v="121"/>
        <n v="112.38800000000001"/>
        <n v="149.96"/>
        <n v="143.91999999999999"/>
        <n v="149.44800000000001"/>
        <n v="150.52000000000001"/>
        <n v="155.19999999999999"/>
        <n v="260.16000000000003"/>
        <n v="329.904"/>
        <n v="621.44000000000005"/>
        <n v="92.201999999999998"/>
        <n v="87.313000000000002"/>
        <n v="93.396000000000001"/>
        <n v="103.61"/>
        <n v="130.4"/>
        <n v="97.11"/>
        <n v="123.91"/>
        <n v="136.99100000000001"/>
        <n v="117.68"/>
        <n v="120.55200000000001"/>
        <n v="150.5"/>
        <n v="147.24"/>
        <n v="108.2"/>
        <n v="122.416"/>
        <n v="155.12"/>
        <n v="188.94"/>
        <n v="231.96799999999999"/>
        <n v="454.74400000000003"/>
        <n v="650.46479999999997"/>
        <n v="672.16800000000001"/>
        <n v="803.68"/>
        <n v="94.408000000000001"/>
        <n v="110.06"/>
        <n v="153.66"/>
        <n v="144.541"/>
        <n v="462.94400000000002"/>
        <n v="517.79999999999995"/>
        <n v="1495.65"/>
        <n v="131.63999999999999"/>
        <n v="165.44399999999999"/>
        <n v="171.99"/>
        <n v="114.08"/>
        <n v="141.05799999999999"/>
        <n v="3409.9520000000002"/>
        <n v="157.99199999999999"/>
        <n v="163.47200000000001"/>
        <n v="116.96"/>
        <n v="188.92"/>
        <n v="217.98"/>
        <n v="240"/>
        <n v="300.85000000000002"/>
        <n v="134.232"/>
        <n v="100.416"/>
        <n v="233.97900000000001"/>
        <n v="89.248000000000005"/>
        <n v="90.847999999999999"/>
        <n v="87.031999999999996"/>
        <n v="118.996"/>
        <n v="113.44"/>
        <n v="129.59"/>
        <n v="149.91999999999999"/>
        <n v="133.6"/>
        <n v="137.4"/>
        <n v="173.92"/>
        <n v="266.62"/>
        <n v="306.48"/>
        <n v="96.272000000000006"/>
        <n v="83.16"/>
        <n v="101.77"/>
        <n v="90.903999999999996"/>
        <n v="118"/>
        <n v="119.16800000000001"/>
        <n v="131.85"/>
        <n v="131.24"/>
        <n v="218.96"/>
        <n v="323.52"/>
        <n v="504.43"/>
        <n v="549.34"/>
        <n v="611.97"/>
        <n v="935.97"/>
        <n v="88.94"/>
        <n v="104.768"/>
        <n v="142.47999999999999"/>
        <n v="100.864"/>
        <n v="111.97"/>
        <n v="298.95999999999998"/>
        <n v="485.19"/>
        <n v="564.97"/>
        <n v="911.43"/>
        <n v="1433.93"/>
        <n v="83.76"/>
        <n v="106.04"/>
        <n v="112.7"/>
        <n v="98.28"/>
        <n v="128.99199999999999"/>
        <n v="143.58000000000001"/>
        <n v="152.952"/>
        <n v="149.78399999999999"/>
        <n v="130.69"/>
        <n v="135.19999999999999"/>
        <n v="132.16999999999999"/>
        <n v="133.19999999999999"/>
        <n v="151.4"/>
        <n v="171"/>
        <n v="265.95999999999998"/>
        <n v="108.55200000000001"/>
        <n v="86.12"/>
        <n v="114.752"/>
        <n v="117.592"/>
        <n v="141.96"/>
        <n v="152.624"/>
        <n v="179.70400000000001"/>
        <n v="237.024"/>
        <n v="138.94"/>
        <n v="156.94999999999999"/>
        <n v="350.94"/>
        <n v="364.70400000000001"/>
        <n v="725.86"/>
        <n v="80.995999999999995"/>
        <n v="89.927999999999997"/>
        <n v="105.874"/>
        <n v="102.048"/>
        <n v="103.24"/>
        <n v="105.892"/>
        <n v="146.608"/>
        <n v="112.56"/>
        <n v="149.97999999999999"/>
        <n v="133.048"/>
        <n v="129.75"/>
        <n v="160.19"/>
        <n v="105.992"/>
        <n v="139.16"/>
        <n v="172.12"/>
        <n v="206.64"/>
        <n v="298.93"/>
        <n v="311.97000000000003"/>
        <n v="323.33999999999997"/>
        <n v="325.35199999999998"/>
        <n v="326.98"/>
        <n v="404.97"/>
        <n v="704.40800000000002"/>
        <n v="1652.82"/>
        <n v="102.52"/>
        <n v="92.215999999999994"/>
        <n v="95.58"/>
        <n v="124.88800000000001"/>
        <n v="117.32"/>
        <n v="131.16"/>
        <n v="145.01599999999999"/>
        <n v="179.8"/>
        <n v="174.94"/>
        <n v="383.2"/>
        <n v="552.27200000000005"/>
        <n v="725.76"/>
        <n v="1159.1279999999999"/>
        <n v="95.41"/>
        <n v="119.98"/>
        <n v="110.288"/>
        <n v="137.91999999999999"/>
        <n v="148.5"/>
        <n v="115.28"/>
        <n v="158.9"/>
        <n v="541.04999999999995"/>
        <n v="94.97"/>
        <n v="113.46"/>
        <n v="219.98599999999999"/>
        <n v="116.34399999999999"/>
        <n v="116.78"/>
        <n v="96.591999999999999"/>
        <n v="102.84"/>
        <n v="155.56"/>
        <n v="220.28800000000001"/>
        <n v="71.823999999999998"/>
        <n v="100.188"/>
        <n v="132.32"/>
        <n v="161.816"/>
        <n v="139"/>
        <n v="697.92"/>
        <n v="103.29"/>
        <n v="113.136"/>
        <n v="142.84"/>
        <n v="145.84"/>
        <n v="248.44"/>
        <n v="77.959999999999994"/>
        <n v="126.76"/>
        <n v="130.08000000000001"/>
        <n v="342.37599999999998"/>
        <n v="515.15"/>
        <n v="521.29999999999995"/>
        <n v="560.97"/>
        <n v="103.19199999999999"/>
        <n v="115.06"/>
        <n v="136.44"/>
        <n v="138"/>
        <n v="146.91999999999999"/>
        <n v="165.34"/>
        <n v="117.869"/>
        <n v="137.13"/>
        <n v="219.96"/>
        <n v="270.44"/>
        <n v="291.96800000000002"/>
        <n v="323.95999999999998"/>
        <n v="101.872"/>
        <n v="94.563999999999993"/>
        <n v="130.55199999999999"/>
        <n v="123.46"/>
        <n v="128.36799999999999"/>
        <n v="480.16"/>
        <n v="2112.424"/>
        <n v="113.24"/>
        <n v="122.55"/>
        <n v="125.92"/>
        <n v="130.41"/>
        <n v="132.42400000000001"/>
        <n v="180.792"/>
        <n v="221.66640000000001"/>
        <n v="276.95999999999998"/>
        <n v="1027.01"/>
        <n v="2049.1"/>
        <n v="81.89"/>
        <n v="106.52"/>
        <n v="123.592"/>
        <n v="144.36000000000001"/>
        <n v="118.97"/>
        <n v="192.376"/>
        <n v="353.74400000000003"/>
        <n v="1956.88"/>
        <n v="2425.1999999999998"/>
        <n v="105.48"/>
        <n v="108.798"/>
        <n v="140.744"/>
        <n v="149.38"/>
        <n v="143.88999999999999"/>
        <n v="140.9"/>
        <n v="120.34399999999999"/>
        <n v="95.97"/>
        <n v="110.34399999999999"/>
        <n v="144.68799999999999"/>
        <n v="124.44"/>
        <n v="111.66"/>
        <n v="150.26"/>
        <n v="153.4"/>
        <n v="222.99199999999999"/>
        <n v="276.56799999999998"/>
        <n v="400.76799999999997"/>
        <n v="528.96"/>
        <n v="1147.5"/>
        <n v="100.96"/>
        <n v="94.912000000000006"/>
        <n v="101.55200000000001"/>
        <n v="125.47199999999999"/>
        <n v="93.554000000000002"/>
        <n v="139.36000000000001"/>
        <n v="137.16800000000001"/>
        <n v="156.75"/>
        <n v="140.08000000000001"/>
        <n v="115.54"/>
        <n v="125.48"/>
        <n v="118.64"/>
        <n v="115.37"/>
        <n v="123.98399999999999"/>
        <n v="161.98400000000001"/>
        <n v="520.37599999999998"/>
        <n v="118.736"/>
        <n v="110.95"/>
        <n v="115.4"/>
        <n v="102.58799999999999"/>
        <n v="127.544"/>
        <n v="413.57600000000002"/>
        <n v="1510.6659999999999"/>
        <n v="99.623999999999995"/>
        <n v="96.36"/>
        <n v="134.17599999999999"/>
        <n v="151.76"/>
        <n v="151.16800000000001"/>
        <n v="175.05600000000001"/>
        <n v="155.92500000000001"/>
        <n v="753.76"/>
        <n v="113.976"/>
        <n v="147.12"/>
        <n v="124.352"/>
        <n v="149.52000000000001"/>
        <n v="318.95999999999998"/>
        <n v="535.16499999999996"/>
        <n v="1382.52"/>
        <n v="113.7"/>
        <n v="125.58"/>
        <n v="102.4"/>
        <n v="104.56"/>
        <n v="111.6"/>
        <n v="122.4"/>
        <n v="117.13"/>
        <n v="152.03200000000001"/>
        <n v="102.44799999999999"/>
        <n v="115.96"/>
        <n v="123.04"/>
        <n v="195.42"/>
        <n v="261.59199999999998"/>
        <n v="308.79199999999997"/>
        <n v="420.8"/>
        <n v="81.572000000000003"/>
        <n v="125.872"/>
        <n v="118.76"/>
        <n v="147.28800000000001"/>
        <n v="159.94"/>
        <n v="161.44"/>
        <n v="115.976"/>
        <n v="126.2"/>
        <n v="469.94"/>
        <n v="882.24"/>
        <n v="83.855999999999995"/>
        <n v="100.08799999999999"/>
        <n v="113.04"/>
        <n v="124.128"/>
        <n v="114.44"/>
        <n v="161.13999999999999"/>
        <n v="203.86"/>
        <n v="323.13600000000002"/>
        <n v="520.30200000000002"/>
        <n v="142.98400000000001"/>
        <n v="106.55"/>
        <n v="119.72799999999999"/>
        <n v="126.608"/>
        <n v="130.96"/>
        <n v="143.96"/>
        <n v="160.77600000000001"/>
        <n v="249.976"/>
        <n v="746.35199999999998"/>
        <n v="2261.9360000000001"/>
        <n v="104.16800000000001"/>
        <n v="97.26"/>
        <n v="116.94"/>
        <n v="132.56"/>
        <n v="152.4"/>
        <n v="155.976"/>
        <n v="194.66"/>
        <n v="240.16"/>
        <n v="241.98"/>
        <n v="344.96"/>
        <n v="492.952"/>
        <n v="1259.96"/>
        <n v="107.93600000000001"/>
        <n v="135.68"/>
        <n v="113.92"/>
        <n v="132.54"/>
        <n v="135.01599999999999"/>
        <n v="117.44"/>
        <n v="153.99"/>
        <n v="114.34"/>
        <n v="178.25"/>
        <n v="196.352"/>
        <n v="3436.5"/>
        <n v="131.304"/>
        <n v="123.36"/>
        <n v="124.03"/>
        <n v="187.31200000000001"/>
        <n v="123.352"/>
        <n v="965.92349999999999"/>
        <n v="138.88"/>
        <n v="109.82"/>
        <n v="121.12"/>
        <n v="157.17599999999999"/>
        <n v="161.328"/>
        <n v="179.3"/>
        <n v="199.584"/>
        <n v="471.48500000000001"/>
        <n v="783.11599999999999"/>
        <n v="78.263999999999996"/>
        <n v="102.184"/>
        <n v="108.56"/>
        <n v="124.444"/>
        <n v="137.56800000000001"/>
        <n v="144.32"/>
        <n v="143.78399999999999"/>
        <n v="163.95"/>
        <n v="271.97000000000003"/>
        <n v="521.96"/>
        <n v="89.463999999999999"/>
        <n v="108.82"/>
        <n v="98.248000000000005"/>
        <n v="129.4"/>
        <n v="160.10400000000001"/>
        <n v="147.31200000000001"/>
        <n v="131.4"/>
        <n v="467.84"/>
        <n v="99.24"/>
        <n v="128.256"/>
        <n v="504.96"/>
        <n v="79.036000000000001"/>
        <n v="108.928"/>
        <n v="113.33199999999999"/>
        <n v="150.155"/>
        <n v="145.608"/>
        <n v="128.93"/>
        <n v="190.76400000000001"/>
        <n v="207.994"/>
        <n v="318.69"/>
        <n v="431.6"/>
        <n v="98.272000000000006"/>
        <n v="103.744"/>
        <n v="111.88"/>
        <n v="135.82"/>
        <n v="179.48"/>
        <n v="417.78399999999999"/>
        <n v="917.4"/>
        <n v="123.304"/>
        <n v="103.34399999999999"/>
        <n v="112.52"/>
        <n v="127.36799999999999"/>
        <n v="280.97000000000003"/>
        <n v="285.94"/>
        <n v="289.55200000000002"/>
        <n v="368.2"/>
        <n v="444.928"/>
        <n v="536.45000000000005"/>
        <n v="577.91600000000005"/>
        <n v="592.91999999999996"/>
        <n v="740.88"/>
        <n v="114.4"/>
        <n v="111.54"/>
        <n v="106.872"/>
        <n v="166.3"/>
        <n v="228.64599999999999"/>
        <n v="1297.45"/>
        <n v="129.07"/>
        <n v="120.44"/>
        <n v="172.71"/>
        <n v="329.31400000000002"/>
        <n v="339.55200000000002"/>
        <n v="401.94"/>
        <n v="424.99919999999997"/>
        <n v="672.82"/>
        <n v="943.92"/>
        <n v="1307.78"/>
        <n v="88.68"/>
        <n v="123.392"/>
        <n v="88.16"/>
        <n v="88.183999999999997"/>
        <n v="157.69"/>
        <n v="164.31"/>
        <n v="117.792"/>
        <n v="216.95"/>
        <n v="281.57"/>
        <n v="484.99900000000002"/>
        <n v="579.05799999999999"/>
        <n v="1033.5840000000001"/>
        <n v="1063.6300000000001"/>
        <n v="1130.42"/>
        <n v="84.23"/>
        <n v="108.52"/>
        <n v="109.224"/>
        <n v="185.99"/>
        <n v="475.92"/>
        <n v="134.91999999999999"/>
        <n v="207.96"/>
        <n v="112.232"/>
        <n v="100.92"/>
        <n v="150.30000000000001"/>
        <n v="172.39"/>
        <n v="186.96799999999999"/>
        <n v="236.148"/>
        <n v="297.89600000000002"/>
        <n v="308.89999999999998"/>
        <n v="323.97000000000003"/>
        <n v="592.85"/>
        <n v="607.13199999999995"/>
        <n v="1729.8"/>
        <n v="2443.1999999999998"/>
        <n v="78.552000000000007"/>
        <n v="111.992"/>
        <n v="132.89599999999999"/>
        <n v="113.56"/>
        <n v="124.99"/>
        <n v="138.96"/>
        <n v="144.97999999999999"/>
        <n v="353.02800000000002"/>
        <n v="78.316000000000003"/>
        <n v="117.39400000000001"/>
        <n v="96.552000000000007"/>
        <n v="125.104"/>
        <n v="168.136"/>
        <n v="288.24"/>
        <n v="74.945999999999998"/>
        <n v="111.056"/>
        <n v="124.21"/>
        <n v="262"/>
        <n v="557.91999999999996"/>
        <n v="725.98800000000006"/>
        <n v="85.391999999999996"/>
        <n v="129.47200000000001"/>
        <n v="130.94"/>
        <n v="138.55199999999999"/>
        <n v="114.776"/>
        <n v="104.18"/>
        <n v="108.92"/>
        <n v="122.376"/>
        <n v="166.9"/>
        <n v="189.9"/>
        <n v="201.95"/>
        <n v="233.46"/>
        <n v="799.48"/>
        <n v="91.84"/>
        <n v="117.24"/>
        <n v="130.12"/>
        <n v="125.91"/>
        <n v="135.16800000000001"/>
        <n v="131.56"/>
        <n v="135.97999999999999"/>
        <n v="165.76"/>
        <n v="167"/>
        <n v="221.64"/>
        <n v="278.92"/>
        <n v="287.98"/>
        <n v="313.8"/>
        <n v="64.08"/>
        <n v="99.84"/>
        <n v="152.464"/>
        <n v="325.464"/>
        <n v="101.84"/>
        <n v="142.91"/>
        <n v="117.952"/>
        <n v="172.6"/>
        <n v="202.1"/>
        <n v="1300.45"/>
        <n v="117.67"/>
        <n v="134.32"/>
        <n v="89.816000000000003"/>
        <n v="104.008"/>
        <n v="374.38"/>
        <n v="87.56"/>
        <n v="133.59399999999999"/>
        <n v="103.92"/>
        <n v="107.04"/>
        <n v="150.97"/>
        <n v="273.45600000000002"/>
        <n v="307.69"/>
        <n v="421.92"/>
        <n v="492.37599999999998"/>
        <n v="1912.9459999999999"/>
        <n v="112.44799999999999"/>
        <n v="87.96"/>
        <n v="117.84"/>
        <n v="122.248"/>
        <n v="139.12"/>
        <n v="200.94"/>
        <n v="341.44299999999998"/>
        <n v="699.14599999999996"/>
        <n v="901.94"/>
        <n v="93.96"/>
        <n v="90.56"/>
        <n v="93.83"/>
        <n v="120.96"/>
        <n v="132.55000000000001"/>
        <n v="160.9"/>
        <n v="114.372"/>
        <n v="279.35199999999998"/>
        <n v="103.91200000000001"/>
        <n v="100.9"/>
        <n v="119.9"/>
        <n v="296.98"/>
        <n v="525.98400000000004"/>
        <n v="1222.165"/>
        <n v="92.903999999999996"/>
        <n v="106.4"/>
        <n v="128.08000000000001"/>
        <n v="121.56"/>
        <n v="174.56800000000001"/>
        <n v="214.744"/>
        <n v="350.976"/>
        <n v="641.97"/>
        <n v="830.6"/>
        <n v="116.65600000000001"/>
        <n v="113.184"/>
        <n v="117.096"/>
        <n v="194.76400000000001"/>
        <n v="218.94"/>
        <n v="232.92"/>
        <n v="400.97"/>
        <n v="435.32"/>
        <n v="746.98"/>
        <n v="106.792"/>
        <n v="105.36"/>
        <n v="155"/>
        <n v="144.83000000000001"/>
        <n v="146.71199999999999"/>
        <n v="114.928"/>
        <n v="117.94"/>
        <n v="122.19199999999999"/>
        <n v="148.404"/>
        <n v="227.56399999999999"/>
        <n v="256.29599999999999"/>
        <n v="271.72000000000003"/>
        <n v="272.32"/>
        <n v="325.94"/>
        <n v="1652.192"/>
        <n v="82.111999999999995"/>
        <n v="97.52"/>
        <n v="110.864"/>
        <n v="100.48"/>
        <n v="88.34"/>
        <n v="99.8"/>
        <n v="123.48"/>
        <n v="124.68"/>
        <n v="115.352"/>
        <n v="127.93"/>
        <n v="142.99"/>
        <n v="556.34400000000005"/>
        <n v="117.97"/>
        <n v="168.536"/>
        <n v="191.75"/>
        <n v="410.95"/>
        <n v="120.92"/>
        <n v="99.191999999999993"/>
        <n v="116.128"/>
        <n v="145.31200000000001"/>
        <n v="165.32"/>
        <n v="158.4"/>
        <n v="2441.96"/>
        <n v="180.58799999999999"/>
        <n v="299.92"/>
        <n v="337.11599999999999"/>
        <n v="119.304"/>
        <n v="122.23"/>
        <n v="129.096"/>
        <n v="130.73599999999999"/>
        <n v="146.75200000000001"/>
        <n v="403.35199999999998"/>
        <n v="1687.95"/>
        <n v="131.03200000000001"/>
        <n v="224.84800000000001"/>
        <n v="274.95"/>
        <n v="565.91999999999996"/>
        <n v="103.2"/>
        <n v="124.96"/>
        <n v="112.89"/>
        <n v="123.88"/>
        <n v="1175.5999999999999"/>
        <n v="134.97999999999999"/>
        <n v="133.57"/>
        <n v="151.792"/>
        <n v="168.62"/>
        <n v="319.67"/>
        <n v="491.97"/>
        <n v="86.896000000000001"/>
        <n v="114.36799999999999"/>
        <n v="93"/>
        <n v="114.48"/>
        <n v="129.84800000000001"/>
        <n v="361.4"/>
        <n v="116.25"/>
        <n v="173.95"/>
        <n v="182.88"/>
        <n v="319.57600000000002"/>
        <n v="877.95"/>
        <n v="103.52"/>
        <n v="123.54"/>
        <n v="130.01"/>
        <n v="104.96"/>
        <n v="134.42400000000001"/>
        <n v="159.792"/>
        <n v="166.816"/>
        <n v="156.56"/>
        <n v="113.98399999999999"/>
        <n v="203.54"/>
        <n v="317.95999999999998"/>
        <n v="1453.982"/>
        <n v="128.28800000000001"/>
        <n v="161.89599999999999"/>
        <n v="119.87"/>
        <n v="216.37200000000001"/>
        <n v="100.06"/>
        <n v="137.52000000000001"/>
        <n v="147.75"/>
        <n v="141.816"/>
        <n v="107.968"/>
        <n v="129.78399999999999"/>
        <n v="126.318"/>
        <n v="122.78"/>
        <n v="154.19999999999999"/>
        <n v="164.88"/>
        <n v="200.05600000000001"/>
        <n v="123.76"/>
        <n v="110.12"/>
        <n v="144.29599999999999"/>
        <n v="190.74"/>
        <n v="274.88"/>
        <n v="851.95"/>
        <n v="115.64"/>
        <n v="120.4"/>
        <n v="100.75"/>
        <n v="100.992"/>
        <n v="133.80000000000001"/>
        <n v="160.44800000000001"/>
        <n v="164.16"/>
        <n v="195.96"/>
        <n v="257.18400000000003"/>
        <n v="269.55"/>
        <n v="732.88"/>
        <n v="1489.1"/>
        <n v="103.952"/>
        <n v="88.76"/>
        <n v="96.56"/>
        <n v="129.68"/>
        <n v="151.12799999999999"/>
        <n v="150.76"/>
        <n v="139.30000000000001"/>
        <n v="218.2"/>
        <n v="1474.49"/>
        <n v="169.08"/>
        <n v="490.51"/>
        <n v="108.184"/>
        <n v="133.66399999999999"/>
        <n v="109.864"/>
        <n v="133.70400000000001"/>
        <n v="222.16"/>
        <n v="224.95"/>
        <n v="236.9"/>
        <n v="282.62400000000002"/>
        <n v="337.99"/>
        <n v="555.94000000000005"/>
        <n v="1810.9"/>
        <n v="123.52"/>
        <n v="150.73599999999999"/>
        <n v="145.74"/>
        <n v="119.79"/>
        <n v="314.048"/>
        <n v="460.64800000000002"/>
        <n v="1641.5820000000001"/>
        <n v="104.76"/>
        <n v="125.584"/>
        <n v="121.32"/>
        <n v="126.44"/>
        <n v="129.54400000000001"/>
        <n v="134.024"/>
        <n v="450.29599999999999"/>
        <n v="144.84"/>
        <n v="1829.6320000000001"/>
        <n v="149.4"/>
        <n v="111.428"/>
        <n v="154.136"/>
        <n v="109.16"/>
        <n v="137.93"/>
        <n v="264.05599999999998"/>
        <n v="482.56400000000002"/>
        <n v="568.57000000000005"/>
        <n v="933.92"/>
        <n v="2547.29"/>
        <n v="4439.174"/>
        <n v="103.55200000000001"/>
        <n v="92.016000000000005"/>
        <n v="104.92"/>
        <n v="103.864"/>
        <n v="115.36"/>
        <n v="119.56"/>
        <n v="144.78399999999999"/>
        <n v="161.976"/>
        <n v="164.59200000000001"/>
        <n v="111.02"/>
        <n v="140.42400000000001"/>
        <n v="220.06399999999999"/>
        <n v="343.1"/>
        <n v="886.9"/>
        <n v="1032.02"/>
        <n v="1539.16"/>
        <n v="2831.5279999999998"/>
        <n v="86.38"/>
        <n v="101.744"/>
        <n v="109.94"/>
        <n v="121.782"/>
        <n v="125.91200000000001"/>
        <n v="111.91"/>
        <n v="142.18"/>
        <n v="134.47999999999999"/>
        <n v="116.72"/>
        <n v="404.99"/>
        <n v="107.29600000000001"/>
        <n v="111.44"/>
        <n v="145.88"/>
        <n v="237.56"/>
        <n v="259.12"/>
        <n v="108.22"/>
        <n v="140.91999999999999"/>
        <n v="142.29"/>
        <n v="153.91999999999999"/>
        <n v="154.14400000000001"/>
        <n v="237.52"/>
        <n v="261.096"/>
        <n v="311.39999999999998"/>
        <n v="435.70400000000001"/>
        <n v="450.96800000000002"/>
        <n v="590.72799999999995"/>
        <n v="612.58000000000004"/>
        <n v="896.4"/>
        <n v="4330.5519999999997"/>
        <n v="91.28"/>
        <n v="121.752"/>
        <n v="107.12"/>
        <n v="112.672"/>
        <n v="139.08799999999999"/>
        <n v="136.16"/>
        <n v="156"/>
        <n v="135.18"/>
        <n v="164.24"/>
        <n v="186.75"/>
        <n v="258.00799999999998"/>
        <n v="362.53199999999998"/>
        <n v="202.376"/>
        <n v="4395.8959999999997"/>
        <n v="101.78400000000001"/>
        <n v="89.72"/>
        <n v="179.56800000000001"/>
        <n v="667.27200000000005"/>
        <n v="138.36799999999999"/>
        <n v="141.744"/>
        <n v="121.672"/>
        <n v="165.98"/>
        <n v="233.16"/>
        <n v="129.42400000000001"/>
        <n v="143.72800000000001"/>
        <n v="128.696"/>
        <n v="143.72"/>
        <n v="149.28"/>
        <n v="167.57599999999999"/>
        <n v="242.46"/>
        <n v="261.27999999999997"/>
        <n v="337.92"/>
        <n v="367.97"/>
        <n v="378.9"/>
        <n v="855.56799999999998"/>
        <n v="889.98400000000004"/>
        <n v="1131.8879999999999"/>
        <n v="1505.424"/>
        <n v="109.184"/>
        <n v="125.336"/>
        <n v="138.89599999999999"/>
        <n v="116.672"/>
        <n v="133.00800000000001"/>
        <n v="170.84"/>
        <n v="109.6"/>
        <n v="143.68"/>
        <n v="1176.75"/>
        <n v="102.72"/>
        <n v="109.81"/>
        <n v="137.34399999999999"/>
        <n v="150.16800000000001"/>
        <n v="180.02"/>
        <n v="89.408000000000001"/>
        <n v="93.44"/>
        <n v="96.24"/>
        <n v="137.36000000000001"/>
        <n v="160.72999999999999"/>
        <n v="227.95"/>
        <n v="277.54399999999998"/>
        <n v="599.56799999999998"/>
        <n v="649.73"/>
        <n v="680.9"/>
        <n v="733.40800000000002"/>
        <n v="70.376000000000005"/>
        <n v="93.207999999999998"/>
        <n v="145.9"/>
        <n v="321.56"/>
        <n v="341.6"/>
        <n v="519.26"/>
        <n v="89.99"/>
        <n v="123.58"/>
        <n v="130.91999999999999"/>
        <n v="113"/>
        <n v="166.82"/>
        <n v="177.97"/>
        <n v="236.976"/>
        <n v="244.97"/>
        <n v="247.584"/>
        <n v="260.92"/>
        <n v="265.52800000000002"/>
        <n v="284"/>
        <n v="303.52600000000001"/>
        <n v="376.38"/>
        <n v="559.5"/>
        <n v="1240.8"/>
        <n v="1311.41"/>
        <n v="1593.94"/>
        <n v="1976.78"/>
        <n v="112.19199999999999"/>
        <n v="95.92"/>
        <n v="82.587999999999994"/>
        <n v="90.12"/>
        <n v="110.98"/>
        <n v="111.72"/>
        <n v="104.432"/>
        <n v="110.9"/>
        <n v="115.57"/>
        <n v="131.072"/>
        <n v="126.696"/>
        <n v="101.4"/>
        <n v="125.54"/>
        <n v="112"/>
        <n v="144.1"/>
        <n v="142.68"/>
        <n v="179.1"/>
        <n v="105.801"/>
        <n v="193.76400000000001"/>
        <n v="274.666"/>
        <n v="313.97000000000003"/>
        <n v="469.4"/>
        <n v="97.56"/>
        <n v="113.904"/>
        <n v="105.96"/>
        <n v="113.44799999999999"/>
        <n v="129.61600000000001"/>
        <n v="103.074"/>
        <n v="112.184"/>
        <n v="140.96"/>
        <n v="235.85"/>
        <n v="469.1"/>
        <n v="522.98400000000004"/>
        <n v="843.17399999999998"/>
        <n v="1334.3520000000001"/>
        <n v="1511.2719999999999"/>
        <n v="88.367999999999995"/>
        <n v="88.912000000000006"/>
        <n v="120.19199999999999"/>
        <n v="94.04"/>
        <n v="119.34399999999999"/>
        <n v="108.384"/>
        <n v="125.256"/>
        <n v="107.52"/>
        <n v="133.36799999999999"/>
        <n v="124.80800000000001"/>
        <n v="102.78400000000001"/>
        <n v="139.56"/>
        <n v="105.12"/>
        <n v="123.176"/>
        <n v="141.82"/>
        <n v="122.56"/>
        <n v="151.32"/>
        <n v="133.56800000000001"/>
        <n v="158.184"/>
        <n v="89.78"/>
        <n v="144.55199999999999"/>
        <n v="102.568"/>
        <n v="125.52"/>
        <n v="166.56"/>
        <n v="170.3"/>
        <n v="192.56800000000001"/>
        <n v="311.94400000000002"/>
        <n v="485.71199999999999"/>
        <n v="491.08"/>
        <n v="1600.94"/>
        <n v="92.896000000000001"/>
        <n v="70.856999999999999"/>
        <n v="81.48"/>
        <n v="93.552000000000007"/>
        <n v="126.24"/>
        <n v="118.9"/>
        <n v="129.16"/>
        <n v="137.76"/>
        <n v="142.94"/>
        <n v="138.97999999999999"/>
        <n v="157.00800000000001"/>
        <n v="105.68"/>
        <n v="133.83199999999999"/>
        <n v="168.376"/>
        <n v="224.43"/>
        <n v="299.52800000000002"/>
        <n v="331.98399999999998"/>
        <n v="780.625"/>
        <n v="118.184"/>
        <n v="105.096"/>
        <n v="115.736"/>
        <n v="125.616"/>
        <n v="165.12"/>
        <n v="153.19999999999999"/>
        <n v="101.45"/>
        <n v="133.87"/>
        <n v="167.37200000000001"/>
        <n v="213.536"/>
        <n v="286.92"/>
        <n v="292.48"/>
        <n v="292.69600000000003"/>
        <n v="667.81"/>
        <n v="1981.9580000000001"/>
        <n v="94.036000000000001"/>
        <n v="102.258"/>
        <n v="73.367999999999995"/>
        <n v="89.48"/>
        <n v="88.024000000000001"/>
        <n v="124.503"/>
        <n v="105.672"/>
        <n v="101.83199999999999"/>
        <n v="135.17599999999999"/>
        <n v="120.85599999999999"/>
        <n v="140.71199999999999"/>
        <n v="151.136"/>
        <n v="162.10400000000001"/>
        <n v="171.11199999999999"/>
        <n v="145.52000000000001"/>
        <n v="133.05600000000001"/>
        <n v="138.80000000000001"/>
        <n v="183.16800000000001"/>
        <n v="282.89600000000002"/>
        <n v="300.29000000000002"/>
        <n v="324.85000000000002"/>
        <n v="382.35199999999998"/>
        <n v="804.59400000000005"/>
        <n v="73.78"/>
        <n v="100.76"/>
        <n v="113.2"/>
        <n v="92.9"/>
        <n v="110.71"/>
        <n v="158.05600000000001"/>
        <n v="147.99"/>
        <n v="108.28"/>
        <n v="175.952"/>
        <n v="197.66"/>
        <n v="209.56800000000001"/>
        <n v="217.68"/>
        <n v="447.6"/>
        <n v="527.19000000000005"/>
        <n v="1509.96"/>
        <n v="2101.2719999999999"/>
        <n v="86.555999999999997"/>
        <n v="124.2"/>
        <n v="101.52800000000001"/>
        <n v="116.44"/>
        <n v="115.44"/>
        <n v="109.18"/>
        <n v="111.504"/>
        <n v="114.36"/>
        <n v="107.544"/>
        <n v="127.27200000000001"/>
        <n v="171.9"/>
        <n v="163.96"/>
        <n v="137.86000000000001"/>
        <n v="142.85"/>
        <n v="180.44"/>
        <n v="142.9"/>
        <n v="150.78"/>
        <n v="138.36000000000001"/>
        <n v="102.352"/>
        <n v="102.98"/>
        <n v="106.7"/>
        <n v="150.93600000000001"/>
        <n v="264.17"/>
        <n v="624.41"/>
        <n v="943.94399999999996"/>
        <n v="977.78399999999999"/>
        <n v="1125.8499999999999"/>
        <n v="68.882000000000005"/>
        <n v="94.95"/>
        <n v="99.584999999999994"/>
        <n v="145.05000000000001"/>
        <n v="143.31200000000001"/>
        <n v="150.94999999999999"/>
        <n v="153.96"/>
        <n v="208.96"/>
        <n v="227.75200000000001"/>
        <n v="241.352"/>
        <n v="291.48"/>
        <n v="317.05599999999998"/>
        <n v="335.904"/>
        <n v="368.976"/>
        <n v="416.54399999999998"/>
        <n v="429.94"/>
        <n v="549.9"/>
        <n v="555.96"/>
        <n v="801.94"/>
        <n v="2385.4879999999998"/>
        <n v="118.688"/>
        <n v="122.744"/>
        <n v="131.41999999999999"/>
        <n v="124.56"/>
        <n v="140.28"/>
        <n v="120.62"/>
        <n v="165.87200000000001"/>
        <n v="156.97999999999999"/>
        <n v="165.4"/>
        <n v="146.99"/>
        <n v="109.976"/>
        <n v="585.19399999999996"/>
        <n v="92.98"/>
        <n v="99"/>
        <n v="109.736"/>
        <n v="107.568"/>
        <n v="115.82"/>
        <n v="98.444000000000003"/>
        <n v="149.512"/>
        <n v="125.98399999999999"/>
        <n v="142.54400000000001"/>
        <n v="162.99199999999999"/>
        <n v="120.97"/>
        <n v="133.32"/>
        <n v="273.74"/>
        <n v="348.43"/>
        <n v="494"/>
        <n v="771.92"/>
        <n v="1319.94"/>
        <n v="1448.76"/>
        <n v="117.78400000000001"/>
        <n v="111.8"/>
        <n v="123.4"/>
        <n v="126.584"/>
        <n v="133.91200000000001"/>
        <n v="121.05"/>
        <n v="135.96"/>
        <n v="111.34"/>
        <n v="136.68"/>
        <n v="136.84800000000001"/>
        <n v="155.94"/>
        <n v="186.7"/>
        <n v="260.55"/>
        <n v="429.98"/>
        <n v="102.82"/>
        <n v="108.08"/>
        <n v="99.44"/>
        <n v="99.927999999999997"/>
        <n v="134.72"/>
        <n v="119.86"/>
        <n v="146.32"/>
        <n v="144.91999999999999"/>
        <n v="153.584"/>
        <n v="167.48"/>
        <n v="137.96"/>
        <n v="111.58799999999999"/>
        <n v="113.584"/>
        <n v="123.616"/>
        <n v="177.95"/>
        <n v="216.976"/>
        <n v="430.21600000000001"/>
        <n v="511.92"/>
        <n v="84.841999999999999"/>
        <n v="100.74"/>
        <n v="99.18"/>
        <n v="135.624"/>
        <n v="131.83199999999999"/>
        <n v="113.64"/>
        <n v="116.991"/>
        <n v="124.85"/>
        <n v="237.8"/>
        <n v="318.64600000000002"/>
        <n v="1344.66"/>
        <n v="2284.41"/>
        <n v="2903.127"/>
        <n v="119.78400000000001"/>
        <n v="108.36"/>
        <n v="122.76"/>
        <n v="142.52000000000001"/>
        <n v="170.97"/>
        <n v="154.4"/>
        <n v="122.98"/>
        <n v="104.908"/>
        <n v="111.294"/>
        <n v="146.51"/>
        <n v="123.16"/>
        <n v="165.86"/>
        <n v="172.98"/>
        <n v="109.4"/>
        <n v="110.98399999999999"/>
        <n v="136.97"/>
        <n v="142.16"/>
        <n v="252.96"/>
        <n v="268.83999999999997"/>
        <n v="720.96"/>
        <n v="1106"/>
        <n v="4692.7359999999999"/>
        <n v="114.96"/>
        <n v="102.392"/>
        <n v="94.606999999999999"/>
        <n v="112.22799999999999"/>
        <n v="131.94999999999999"/>
        <n v="140.07"/>
        <n v="113.176"/>
        <n v="149.72"/>
        <n v="130.04"/>
        <n v="122.96"/>
        <n v="203.96"/>
        <n v="229.58799999999999"/>
        <n v="238.95"/>
        <n v="277.64"/>
        <n v="316.95999999999998"/>
        <n v="628.81600000000003"/>
        <n v="95.248000000000005"/>
        <n v="130.352"/>
        <n v="134.44"/>
        <n v="144.82400000000001"/>
        <n v="123.736"/>
        <n v="157.98400000000001"/>
        <n v="133.328"/>
        <n v="188.17599999999999"/>
        <n v="106.9"/>
        <n v="129.05600000000001"/>
        <n v="243.8"/>
        <n v="245.94399999999999"/>
        <n v="432.98"/>
        <n v="433.96"/>
        <n v="474.85"/>
        <n v="554.28"/>
        <n v="563.46400000000006"/>
        <n v="649.91999999999996"/>
        <n v="666.9"/>
        <n v="892.2"/>
        <n v="1191.694"/>
        <n v="109.3"/>
        <n v="113.42400000000001"/>
        <n v="98.72"/>
        <n v="94.57"/>
        <n v="97.75"/>
        <n v="127.51"/>
        <n v="114.88"/>
        <n v="154.29"/>
        <n v="127.71"/>
        <n v="150.08000000000001"/>
        <n v="161.96"/>
        <n v="191.55"/>
        <n v="220.89599999999999"/>
        <n v="285.97000000000003"/>
        <n v="503.64600000000002"/>
        <n v="109.26"/>
        <n v="85.594999999999999"/>
        <n v="115.56"/>
        <n v="131.608"/>
        <n v="123.7"/>
        <n v="135.44800000000001"/>
        <n v="164.12"/>
        <n v="446.13600000000002"/>
        <n v="947.17600000000004"/>
        <n v="88.224000000000004"/>
        <n v="112.24"/>
        <n v="90.04"/>
        <n v="181.88"/>
        <n v="186.184"/>
        <n v="254.792"/>
        <n v="80.239999999999995"/>
        <n v="108.36799999999999"/>
        <n v="97.655000000000001"/>
        <n v="93.352000000000004"/>
        <n v="110.744"/>
        <n v="142.38399999999999"/>
        <n v="154.77600000000001"/>
        <n v="100.68600000000001"/>
        <n v="101.75"/>
        <n v="149.19999999999999"/>
        <n v="278.976"/>
        <n v="293.92"/>
        <n v="370.51"/>
        <n v="372.22"/>
        <n v="85.552000000000007"/>
        <n v="93.968000000000004"/>
        <n v="131.34"/>
        <n v="132.96799999999999"/>
        <n v="111.248"/>
        <n v="122.44799999999999"/>
        <n v="128.55000000000001"/>
        <n v="149.672"/>
        <n v="149"/>
        <n v="158.16800000000001"/>
        <n v="187.78399999999999"/>
        <n v="177.88"/>
        <n v="178.94"/>
        <n v="206.98"/>
        <n v="108.89"/>
        <n v="127.646"/>
        <n v="152.66399999999999"/>
        <n v="108.84"/>
        <n v="119.08799999999999"/>
        <n v="133.608"/>
        <n v="141.85"/>
        <n v="146.75"/>
        <n v="269.95999999999998"/>
        <n v="468.15199999999999"/>
        <n v="1754.89"/>
        <n v="73.44"/>
        <n v="117.672"/>
        <n v="152.77600000000001"/>
        <n v="110.99"/>
        <n v="123.78400000000001"/>
        <n v="143.14400000000001"/>
        <n v="145.12"/>
        <n v="204.74"/>
        <n v="252.76400000000001"/>
        <n v="380.16"/>
        <n v="1613.14"/>
        <n v="2335.116"/>
        <n v="98.88"/>
        <n v="84.94"/>
        <n v="94.656000000000006"/>
        <n v="121.224"/>
        <n v="115.76"/>
        <n v="127.80800000000001"/>
        <n v="121.36"/>
        <n v="136.072"/>
        <n v="138.63800000000001"/>
        <n v="111.98399999999999"/>
        <n v="117.16"/>
        <n v="146.73599999999999"/>
        <n v="138.12"/>
        <n v="139.46"/>
        <n v="132.23599999999999"/>
        <n v="139.05000000000001"/>
        <n v="118.92"/>
        <n v="221.28800000000001"/>
        <n v="403.97"/>
        <n v="1833.98"/>
        <n v="94.552000000000007"/>
        <n v="112.64"/>
        <n v="117.63"/>
        <n v="116.58"/>
        <n v="136.97999999999999"/>
        <n v="198.93"/>
        <n v="236.352"/>
        <n v="247.38200000000001"/>
        <n v="460.16800000000001"/>
        <n v="5234.96"/>
        <n v="88.8"/>
        <n v="120.992"/>
        <n v="107.9"/>
        <n v="113.93600000000001"/>
        <n v="182.792"/>
        <n v="164.82400000000001"/>
        <n v="170.7"/>
        <n v="300.33600000000001"/>
        <n v="331.96"/>
        <n v="363.91"/>
        <n v="88.343999999999994"/>
        <n v="119.04"/>
        <n v="133.47999999999999"/>
        <n v="110.96"/>
        <n v="144.15199999999999"/>
        <n v="120.94"/>
        <n v="119.92"/>
        <n v="151.744"/>
        <n v="200.76400000000001"/>
        <n v="235.38399999999999"/>
        <n v="350.666"/>
        <n v="600.67200000000003"/>
        <n v="1157.9100000000001"/>
        <n v="129.24"/>
        <n v="138.45400000000001"/>
        <n v="140.93600000000001"/>
        <n v="129.19200000000001"/>
        <n v="184.76400000000001"/>
        <n v="126"/>
        <n v="163.68"/>
        <n v="272.05799999999999"/>
        <n v="351.35199999999998"/>
        <n v="690.45"/>
        <n v="111.816"/>
        <n v="125.816"/>
        <n v="144.24"/>
        <n v="136.19999999999999"/>
        <n v="140.88800000000001"/>
        <n v="181.14400000000001"/>
        <n v="157.64500000000001"/>
        <n v="249.358"/>
        <n v="105.872"/>
        <n v="123.84"/>
        <n v="271.60399999999998"/>
        <n v="403.54399999999998"/>
        <n v="461.84"/>
        <n v="645"/>
        <n v="699.34400000000005"/>
        <n v="802.88"/>
        <n v="2185.9"/>
        <n v="109.36799999999999"/>
        <n v="128.9"/>
        <n v="117.968"/>
        <n v="118.88"/>
        <n v="147"/>
        <n v="102.312"/>
        <n v="239.94"/>
        <n v="389.56"/>
        <n v="921.9"/>
        <n v="1551.52"/>
        <n v="5107.96"/>
        <n v="101.648"/>
        <n v="96.475999999999999"/>
        <n v="94.84"/>
        <n v="121.07"/>
        <n v="138.91999999999999"/>
        <n v="121.176"/>
        <n v="137.71199999999999"/>
        <n v="102.46"/>
        <n v="111.456"/>
        <n v="130.39599999999999"/>
        <n v="154.36000000000001"/>
        <n v="114.92"/>
        <n v="197.65"/>
        <n v="560.24"/>
        <n v="108.73"/>
        <n v="107.72"/>
        <n v="138.05000000000001"/>
        <n v="123.68"/>
        <n v="165.75"/>
        <n v="331.77600000000001"/>
        <n v="562.29999999999995"/>
        <n v="645.98500000000001"/>
        <n v="1924.258"/>
        <n v="124.52800000000001"/>
        <n v="139.63999999999999"/>
        <n v="162.96"/>
        <n v="158.792"/>
        <n v="105.27500000000001"/>
        <n v="166.256"/>
        <n v="350.57600000000002"/>
        <n v="364.39920000000001"/>
        <n v="1677.1880000000001"/>
        <n v="103.072"/>
        <n v="112.96"/>
        <n v="140.56"/>
        <n v="131.36799999999999"/>
        <n v="138.68"/>
        <n v="159.47200000000001"/>
        <n v="128.69999999999999"/>
        <n v="133.5"/>
        <n v="146.624"/>
        <n v="157.56"/>
        <n v="188.85"/>
        <n v="317.36399999999998"/>
        <n v="715.40800000000002"/>
        <n v="83.768000000000001"/>
        <n v="104.75"/>
        <n v="75.36"/>
        <n v="100.98399999999999"/>
        <n v="108.672"/>
        <n v="137.93600000000001"/>
        <n v="131.352"/>
        <n v="124.55"/>
        <n v="127.928"/>
        <n v="147.96"/>
        <n v="138.52799999999999"/>
        <n v="190.56800000000001"/>
        <n v="307.11"/>
        <n v="344.988"/>
        <n v="496.48"/>
        <n v="717.952"/>
        <n v="928.12"/>
        <n v="1460.92"/>
        <n v="102.559"/>
        <n v="118.21599999999999"/>
        <n v="125.184"/>
        <n v="136.06399999999999"/>
        <n v="134.4"/>
        <n v="127.9"/>
        <n v="130.99199999999999"/>
        <n v="128.85599999999999"/>
        <n v="167.696"/>
        <n v="171.82"/>
        <n v="147.376"/>
        <n v="195.22499999999999"/>
        <n v="293.98"/>
        <n v="343.09"/>
        <n v="629.13599999999997"/>
        <n v="1037.5999999999999"/>
        <n v="2212.9679999999998"/>
        <n v="84.168000000000006"/>
        <n v="134.99"/>
        <n v="150.44"/>
        <n v="231.68"/>
        <n v="251.744"/>
        <n v="291.13600000000002"/>
        <n v="668.89599999999996"/>
        <n v="852.96"/>
        <n v="900.88"/>
        <n v="105.56399999999999"/>
        <n v="109.72"/>
        <n v="88.56"/>
        <n v="97.22"/>
        <n v="136"/>
        <n v="106.27200000000001"/>
        <n v="125.762"/>
        <n v="143.88"/>
        <n v="148.19999999999999"/>
        <n v="141.08000000000001"/>
        <n v="531.40499999999997"/>
        <n v="137.68"/>
        <n v="149.65"/>
        <n v="281.58"/>
        <n v="382.85"/>
        <n v="86.16"/>
        <n v="95.99"/>
        <n v="118.282"/>
        <n v="140.542"/>
        <n v="149.61600000000001"/>
        <n v="180.43799999999999"/>
        <n v="118.84"/>
        <n v="238.57599999999999"/>
        <n v="569.66499999999996"/>
        <n v="85.606999999999999"/>
        <n v="116.44799999999999"/>
        <n v="87.575999999999993"/>
        <n v="118.056"/>
        <n v="107.184"/>
        <n v="122.78400000000001"/>
        <n v="158.78399999999999"/>
        <n v="155.96"/>
        <n v="183.184"/>
        <n v="88.552000000000007"/>
        <n v="109.176"/>
        <n v="103.93"/>
        <n v="162.97999999999999"/>
        <n v="177.952"/>
        <n v="146.96"/>
        <n v="109.568"/>
        <n v="118.98"/>
        <n v="119.752"/>
        <n v="194.48"/>
        <n v="232.98"/>
        <n v="296.00599999999997"/>
        <n v="455.4"/>
        <n v="624.27200000000005"/>
        <n v="1735.12"/>
        <n v="104.736"/>
        <n v="120.42"/>
        <n v="89.9"/>
        <n v="91.191999999999993"/>
        <n v="110.16800000000001"/>
        <n v="133.94"/>
        <n v="126.904"/>
        <n v="109.16800000000001"/>
        <n v="133.06"/>
        <n v="146"/>
        <n v="151.86000000000001"/>
        <n v="172.99199999999999"/>
        <n v="157.19200000000001"/>
        <n v="522.76800000000003"/>
        <n v="108.91200000000001"/>
        <n v="239.7"/>
        <n v="2694.62"/>
        <n v="174.99"/>
        <n v="178.1"/>
        <n v="199.37200000000001"/>
        <n v="426.59199999999998"/>
        <n v="466.55"/>
        <n v="622.35199999999998"/>
        <n v="879.2"/>
        <n v="1020.92"/>
        <n v="2295.91"/>
        <n v="110.32"/>
        <n v="107.56"/>
        <n v="98.85"/>
        <n v="102.76"/>
        <n v="116.85599999999999"/>
        <n v="109.44"/>
        <n v="102.8"/>
        <n v="122.312"/>
        <n v="107.58"/>
        <n v="143.136"/>
        <n v="123.78"/>
        <n v="131.02000000000001"/>
        <n v="152.33600000000001"/>
        <n v="170.58"/>
        <n v="154.86000000000001"/>
        <n v="220.75"/>
        <n v="325.13600000000002"/>
        <n v="377.37599999999998"/>
        <n v="502.36799999999999"/>
        <n v="995.98400000000004"/>
        <n v="1716.184"/>
        <n v="83.94"/>
        <n v="95.272000000000006"/>
        <n v="93.992000000000004"/>
        <n v="119.086"/>
        <n v="103.56"/>
        <n v="132.38999999999999"/>
        <n v="110.688"/>
        <n v="149.673"/>
        <n v="140.77600000000001"/>
        <n v="127.5"/>
        <n v="162.37"/>
        <n v="152.98400000000001"/>
        <n v="177.4"/>
        <n v="192.928"/>
        <n v="198.44"/>
        <n v="212.352"/>
        <n v="539.76400000000001"/>
        <n v="1376.96"/>
        <n v="3009.98"/>
        <n v="78.408000000000001"/>
        <n v="83.927999999999997"/>
        <n v="106.664"/>
        <n v="90.68"/>
        <n v="103.3"/>
        <n v="119.536"/>
        <n v="141.72"/>
        <n v="124.98"/>
        <n v="133.4"/>
        <n v="166.124"/>
        <n v="177.94"/>
        <n v="184.99"/>
        <n v="207.68799999999999"/>
        <n v="209.5"/>
        <n v="253.99199999999999"/>
        <n v="427.75"/>
        <n v="529.76800000000003"/>
        <n v="98.41"/>
        <n v="81.388000000000005"/>
        <n v="88.96"/>
        <n v="114.42400000000001"/>
        <n v="106.03"/>
        <n v="152.37200000000001"/>
        <n v="304.13600000000002"/>
        <n v="491.56799999999998"/>
        <n v="532.58399999999995"/>
        <n v="2077.86"/>
        <n v="102.248"/>
        <n v="103.78"/>
        <n v="82.682000000000002"/>
        <n v="95.68"/>
        <n v="88.9"/>
        <n v="107.27200000000001"/>
        <n v="126.4"/>
        <n v="130.38"/>
        <n v="130.16"/>
        <n v="111.73"/>
        <n v="136.27199999999999"/>
        <n v="119.36"/>
        <n v="140.94999999999999"/>
        <n v="143.10400000000001"/>
        <n v="129.952"/>
        <n v="133.26"/>
        <n v="164.56"/>
        <n v="127.94"/>
        <n v="377.35199999999998"/>
        <n v="409.97"/>
        <n v="449.8"/>
        <n v="786.54399999999998"/>
        <n v="86.88"/>
        <n v="144.792"/>
        <n v="176.97"/>
        <n v="291.2"/>
        <n v="130.99"/>
        <n v="134.53"/>
        <n v="201.976"/>
        <n v="229.976"/>
        <n v="36.167999999999999"/>
        <n v="541.39200000000005"/>
        <n v="586.38"/>
        <n v="55.62"/>
        <n v="51.14"/>
        <n v="101.64"/>
        <n v="153.56"/>
        <n v="129.79"/>
        <n v="132.994"/>
        <n v="216.584"/>
        <n v="257.952"/>
        <n v="273.42399999999998"/>
        <n v="353.96"/>
        <n v="412.8"/>
        <n v="469.88"/>
        <n v="931.13599999999997"/>
        <n v="971.17600000000004"/>
        <n v="115.8"/>
        <n v="112.792"/>
        <n v="112.352"/>
        <n v="126.52"/>
        <n v="141.38800000000001"/>
        <n v="162.6"/>
        <n v="211.86"/>
        <n v="1197.1199999999999"/>
        <n v="111.36799999999999"/>
        <n v="92.44"/>
        <n v="90.24"/>
        <n v="105.336"/>
        <n v="107.5"/>
        <n v="136.88999999999999"/>
        <n v="143.184"/>
        <n v="150.91999999999999"/>
        <n v="102.992"/>
        <n v="103.352"/>
        <n v="132.88800000000001"/>
        <n v="254.05600000000001"/>
        <n v="267.024"/>
        <n v="417.78199999999998"/>
        <n v="557.048"/>
        <n v="692.98400000000004"/>
        <n v="88.21"/>
        <n v="112.92"/>
        <n v="113.056"/>
        <n v="94.016000000000005"/>
        <n v="114.56"/>
        <n v="94.72"/>
        <n v="114.848"/>
        <n v="100.544"/>
        <n v="146.84800000000001"/>
        <n v="146.24"/>
        <n v="152.56"/>
        <n v="101.792"/>
        <n v="186.95"/>
        <n v="199.96"/>
        <n v="221.9992"/>
        <n v="253.92"/>
        <n v="265.37599999999998"/>
        <n v="360.91"/>
        <n v="586.024"/>
        <n v="674.95"/>
        <n v="692.995"/>
        <n v="738.06399999999996"/>
        <n v="2422.7040000000002"/>
        <n v="74.903999999999996"/>
        <n v="108.06399999999999"/>
        <n v="99.22"/>
        <n v="113.324"/>
        <n v="145.21"/>
        <n v="149.6"/>
        <n v="143"/>
        <n v="151.864"/>
        <n v="151.94999999999999"/>
        <n v="131.36000000000001"/>
        <n v="154.94"/>
        <n v="209.952"/>
        <n v="334.56799999999998"/>
        <n v="83.647999999999996"/>
        <n v="104.99"/>
        <n v="127.24"/>
        <n v="127.28"/>
        <n v="243.06399999999999"/>
        <n v="378.13600000000002"/>
        <n v="133.88"/>
        <n v="145.94"/>
        <n v="160.94"/>
        <n v="165.82"/>
        <n v="178.96"/>
        <n v="186.92"/>
        <n v="847.28"/>
        <n v="910.98199999999997"/>
        <n v="1931.9760000000001"/>
        <n v="94.42"/>
        <n v="110.29"/>
        <n v="100.31"/>
        <n v="129.36000000000001"/>
        <n v="148.86000000000001"/>
        <n v="155.68"/>
        <n v="182.44"/>
        <n v="200.76"/>
        <n v="224.1"/>
        <n v="284.24"/>
        <n v="342.7328"/>
        <n v="479.16"/>
        <n v="1295.6400000000001"/>
        <n v="5517.97"/>
        <n v="77.903999999999996"/>
        <n v="109.158"/>
        <n v="157.88"/>
        <n v="171.94"/>
        <n v="145.99"/>
        <n v="104.36"/>
        <n v="121.94"/>
        <n v="159.52000000000001"/>
        <n v="177.386"/>
        <n v="184.68"/>
        <n v="411.05599999999998"/>
        <n v="104.82"/>
        <n v="117.38"/>
        <n v="139.94399999999999"/>
        <n v="147.73599999999999"/>
        <n v="138.232"/>
        <n v="143.47200000000001"/>
        <n v="166.584"/>
        <n v="159.38399999999999"/>
        <n v="161.76"/>
        <n v="170.864"/>
        <n v="114.136"/>
        <n v="127.974"/>
        <n v="234.05799999999999"/>
        <n v="249.07499999999999"/>
        <n v="275.05799999999999"/>
        <n v="315.31200000000001"/>
        <n v="332.01"/>
        <n v="760.11599999999999"/>
        <n v="862.88"/>
        <n v="1538.74"/>
        <n v="1556.1880000000001"/>
        <n v="112.04"/>
        <n v="124.672"/>
        <n v="124.74"/>
        <n v="103.36"/>
        <n v="138.06"/>
        <n v="130.69999999999999"/>
        <n v="143.89599999999999"/>
        <n v="158.28"/>
        <n v="141.77600000000001"/>
        <n v="164.91300000000001"/>
        <n v="159.40799999999999"/>
        <n v="112.97"/>
        <n v="122.056"/>
        <n v="127.6"/>
        <n v="226.96799999999999"/>
        <n v="244.56800000000001"/>
        <n v="326.92"/>
        <n v="606.99"/>
        <n v="1289.97"/>
        <n v="85.97"/>
        <n v="123.65600000000001"/>
        <n v="96.968000000000004"/>
        <n v="128.58000000000001"/>
        <n v="126.72799999999999"/>
        <n v="109"/>
        <n v="125.6"/>
        <n v="139.97"/>
        <n v="100.84"/>
        <n v="170.8"/>
        <n v="696.976"/>
        <n v="1053.992"/>
        <n v="119.76"/>
        <n v="108.62"/>
        <n v="129.02000000000001"/>
        <n v="119.44799999999999"/>
        <n v="142.41999999999999"/>
        <n v="148.29599999999999"/>
        <n v="124.176"/>
        <n v="129.73599999999999"/>
        <n v="173.98"/>
        <n v="160.56"/>
        <n v="207.71199999999999"/>
        <n v="102.304"/>
        <n v="114.11199999999999"/>
        <n v="162.785"/>
        <n v="221.96"/>
        <n v="297.92"/>
        <n v="88.36"/>
        <n v="86.463999999999999"/>
        <n v="118.104"/>
        <n v="115.476"/>
        <n v="116.4"/>
        <n v="107.304"/>
        <n v="115.992"/>
        <n v="116.688"/>
        <n v="138.048"/>
        <n v="133.28800000000001"/>
        <n v="106.848"/>
        <n v="126.988"/>
        <n v="194.96"/>
        <n v="249.58"/>
        <n v="265.54399999999998"/>
        <n v="337.84"/>
        <n v="371.56799999999998"/>
        <n v="396.08"/>
        <n v="450.87200000000001"/>
        <n v="1000.292"/>
        <n v="1484.96"/>
        <n v="101.673"/>
        <n v="99.823999999999998"/>
        <n v="107.724"/>
        <n v="128.38"/>
        <n v="118.762"/>
        <n v="133.29"/>
        <n v="132.00800000000001"/>
        <n v="117.76"/>
        <n v="163.08799999999999"/>
        <n v="104.84"/>
        <n v="342.96"/>
        <n v="387.49900000000002"/>
        <n v="526.80999999999995"/>
        <n v="714.96"/>
        <n v="768.92"/>
        <n v="899.93"/>
        <n v="111.48"/>
        <n v="100.16"/>
        <n v="130.68799999999999"/>
        <n v="170.08"/>
        <n v="150.87"/>
        <n v="100.27200000000001"/>
        <n v="116.98"/>
        <n v="135.34399999999999"/>
        <n v="159.30000000000001"/>
        <n v="232.75200000000001"/>
        <n v="280.94"/>
        <n v="843.6"/>
        <n v="996.95"/>
        <n v="1906.96"/>
        <n v="97.84"/>
        <n v="124.46"/>
        <n v="130.56800000000001"/>
        <n v="136.04"/>
        <n v="142.72999999999999"/>
        <n v="132.488"/>
        <n v="138.42400000000001"/>
        <n v="166.73"/>
        <n v="179.16"/>
        <n v="207.28"/>
        <n v="276.55"/>
        <n v="510.94"/>
        <n v="91.99"/>
        <n v="120.76"/>
        <n v="155.84"/>
        <n v="144.584"/>
        <n v="147.94"/>
        <n v="101.65"/>
        <n v="108.96"/>
        <n v="137.768"/>
        <n v="536.48800000000006"/>
        <n v="122.232"/>
        <n v="1081.2"/>
        <n v="524.89"/>
        <n v="115.32"/>
        <n v="116.9"/>
        <n v="117.64"/>
        <n v="102.34399999999999"/>
        <n v="151.55199999999999"/>
        <n v="122.52"/>
        <n v="410.36799999999999"/>
        <n v="100.56"/>
        <n v="106.47199999999999"/>
        <n v="166.94"/>
        <n v="204.8"/>
        <n v="291.49"/>
        <n v="408.976"/>
        <n v="590.05999999999995"/>
        <n v="673.93600000000004"/>
        <n v="1129.316"/>
        <n v="1263.9000000000001"/>
        <n v="1805.682"/>
        <n v="152.83000000000001"/>
        <n v="175.976"/>
        <n v="103.99"/>
        <n v="106.68"/>
        <n v="127.584"/>
        <n v="131.91999999999999"/>
        <n v="229.8"/>
        <n v="238.55"/>
        <n v="354.05799999999999"/>
        <n v="419.97199999999998"/>
        <n v="449.36799999999999"/>
        <n v="483.37599999999998"/>
        <n v="561.24"/>
        <n v="669.64"/>
        <n v="928.15"/>
        <n v="122.783"/>
        <n v="99.712000000000003"/>
        <n v="118.52"/>
        <n v="117.001"/>
        <n v="112.152"/>
        <n v="127.37"/>
        <n v="145.93600000000001"/>
        <n v="138.12799999999999"/>
        <n v="150.392"/>
        <n v="153.44"/>
        <n v="129.86000000000001"/>
        <n v="117.29"/>
        <n v="138.958"/>
        <n v="182.12"/>
        <n v="104.456"/>
        <n v="155.28800000000001"/>
        <n v="199.18799999999999"/>
        <n v="202.9"/>
        <n v="281.35199999999998"/>
        <n v="325.86"/>
        <n v="334.62"/>
        <n v="556.70399999999995"/>
        <n v="596.62"/>
        <n v="155.17599999999999"/>
        <n v="723.96"/>
        <n v="245.68"/>
        <n v="289.95"/>
        <n v="182.05600000000001"/>
        <n v="84.56"/>
        <n v="128.72800000000001"/>
        <n v="93.775999999999996"/>
        <n v="121.08"/>
        <n v="132.024"/>
        <n v="134.36000000000001"/>
        <n v="113.624"/>
        <n v="115.86"/>
        <n v="139.75200000000001"/>
        <n v="135.36000000000001"/>
        <n v="133.66"/>
        <n v="137.61600000000001"/>
        <n v="146.65"/>
        <n v="163.86"/>
        <n v="134.99199999999999"/>
        <n v="122.752"/>
        <n v="150.33600000000001"/>
        <n v="154.99"/>
        <n v="209.44"/>
        <n v="547.96"/>
        <n v="75.343999999999994"/>
        <n v="100.32"/>
        <n v="108.15"/>
        <n v="118.19199999999999"/>
        <n v="117.376"/>
        <n v="133.78200000000001"/>
        <n v="127.592"/>
        <n v="110.624"/>
        <n v="117.36799999999999"/>
        <n v="148.44800000000001"/>
        <n v="137.99199999999999"/>
        <n v="137.32"/>
        <n v="177.21600000000001"/>
        <n v="161.80000000000001"/>
        <n v="213.55199999999999"/>
        <n v="216.22"/>
        <n v="254.96"/>
        <n v="279.96800000000002"/>
        <n v="314.94"/>
        <n v="438.95"/>
        <n v="665"/>
        <n v="109.352"/>
        <n v="112.346"/>
        <n v="106.99"/>
        <n v="93.8"/>
        <n v="102.92"/>
        <n v="121.76"/>
        <n v="113.392"/>
        <n v="126.568"/>
        <n v="168.768"/>
        <n v="178.352"/>
        <n v="140.38999999999999"/>
        <n v="216.75200000000001"/>
        <n v="223.03"/>
        <n v="223.9"/>
        <n v="280.89999999999998"/>
        <n v="87.296000000000006"/>
        <n v="108.07"/>
        <n v="119.816"/>
        <n v="132.44999999999999"/>
        <n v="129.94"/>
        <n v="165.44"/>
        <n v="216.68"/>
        <n v="123.38"/>
        <n v="354.64"/>
        <n v="400.37599999999998"/>
        <n v="1015.552"/>
        <n v="1901.99"/>
        <n v="128.55199999999999"/>
        <n v="101.12"/>
        <n v="104.48"/>
        <n v="132.988"/>
        <n v="142.56800000000001"/>
        <n v="143.47999999999999"/>
        <n v="157.9"/>
        <n v="190.95"/>
        <n v="201.11"/>
        <n v="228.54400000000001"/>
        <n v="282.94"/>
        <n v="500.92"/>
        <n v="612.74"/>
        <n v="822.024"/>
        <n v="1124.75"/>
        <n v="718.976"/>
        <n v="359.82900000000001"/>
        <n v="113.248"/>
        <n v="117.42400000000001"/>
        <n v="128.68"/>
        <n v="130.44"/>
        <n v="123.35"/>
        <n v="150.79"/>
        <n v="155.76"/>
        <n v="164.48"/>
        <n v="163.06"/>
        <n v="164.25700000000001"/>
        <n v="190.85599999999999"/>
        <n v="220"/>
        <n v="232.9"/>
        <n v="461.4"/>
        <n v="473.76799999999997"/>
        <n v="897.94"/>
        <n v="908.32799999999997"/>
        <n v="1021.4"/>
        <n v="1444.98"/>
        <n v="826.70799999999997"/>
        <n v="106.08799999999999"/>
        <n v="129.13999999999999"/>
        <n v="139.44999999999999"/>
        <n v="139.98400000000001"/>
        <n v="121.24"/>
        <n v="111.208"/>
        <n v="130.54"/>
        <n v="118.005"/>
        <n v="126.7"/>
        <n v="135.91999999999999"/>
        <n v="129.9"/>
        <n v="157.57599999999999"/>
        <n v="384.92"/>
        <n v="440.84"/>
        <n v="536.88"/>
        <n v="526.9"/>
        <n v="607.79"/>
        <n v="106.97"/>
        <n v="904.6"/>
        <n v="372.76"/>
        <n v="403.86"/>
        <n v="397.24"/>
        <n v="443.27300000000002"/>
        <n v="429.93599999999998"/>
        <n v="103.36799999999999"/>
        <n v="161.97"/>
        <n v="302.2"/>
        <n v="385.96"/>
        <n v="301.5"/>
        <n v="396.10399999999998"/>
        <n v="447.08"/>
        <n v="354.84"/>
        <n v="344.56799999999998"/>
        <n v="440.31200000000001"/>
        <n v="333.98"/>
        <n v="418.85"/>
        <n v="775.46400000000006"/>
        <n v="271.875"/>
        <n v="1055.98"/>
        <n v="332.584"/>
        <n v="252.28"/>
        <n v="271.36799999999999"/>
        <n v="449.4"/>
        <n v="303.75"/>
        <n v="360.392"/>
        <n v="291.54000000000002"/>
        <n v="415.952"/>
        <n v="470.94"/>
        <n v="398.36"/>
        <n v="430.98"/>
        <n v="483.68599999999998"/>
        <n v="323.2"/>
        <n v="447.72"/>
        <n v="339.78399999999999"/>
        <n v="379.04"/>
        <n v="505.64"/>
        <n v="241.976"/>
        <n v="433.88"/>
        <n v="373.44"/>
        <n v="391.96"/>
        <n v="289.85000000000002"/>
        <n v="407.23200000000003"/>
        <n v="422.32799999999997"/>
        <n v="332.71"/>
        <n v="447.8"/>
        <n v="500.68"/>
        <n v="502.7"/>
        <n v="171.352"/>
        <n v="239.58199999999999"/>
        <n v="287.988"/>
        <n v="434.03199999999998"/>
        <n v="274.26400000000001"/>
        <n v="375.25"/>
        <n v="413.28"/>
        <n v="367.75"/>
        <n v="1425.7760000000001"/>
        <n v="416.19200000000001"/>
        <n v="450.83"/>
        <n v="437.77"/>
        <n v="329.32"/>
        <n v="386.18400000000003"/>
        <n v="378.95"/>
        <n v="485.9"/>
        <n v="522.95000000000005"/>
        <n v="530.79999999999995"/>
        <n v="602.4"/>
        <n v="302.36"/>
        <n v="286.95999999999998"/>
        <n v="318.32"/>
        <n v="277.37599999999998"/>
        <n v="318.98399999999998"/>
        <n v="317.95"/>
        <n v="348.56799999999998"/>
        <n v="283.28399999999999"/>
        <n v="486.36"/>
        <n v="499.72"/>
        <n v="541.23"/>
        <n v="639.55999999999995"/>
        <n v="682.32"/>
        <n v="699.9"/>
        <n v="935.38"/>
        <n v="1150.98"/>
        <n v="335.24"/>
        <n v="444.81599999999997"/>
        <n v="407.16"/>
        <n v="431.80799999999999"/>
        <n v="344.36"/>
        <n v="395.98"/>
        <n v="432.95"/>
        <n v="363.83300000000003"/>
        <n v="498.11200000000002"/>
        <n v="577.34"/>
        <n v="723.4"/>
        <n v="1406.9380000000001"/>
        <n v="2087.56"/>
        <n v="293.76"/>
        <n v="284.23599999999999"/>
        <n v="354.67200000000003"/>
        <n v="342.70400000000001"/>
        <n v="379.82400000000001"/>
        <n v="385.63"/>
        <n v="267.95999999999998"/>
        <n v="266.2"/>
        <n v="332.96"/>
        <n v="455.67200000000003"/>
        <n v="394.82"/>
        <n v="363.01799999999997"/>
        <n v="488.67200000000003"/>
        <n v="677.25599999999997"/>
        <n v="2029.62"/>
        <n v="423.36"/>
        <n v="582.9"/>
        <n v="3269.9839999999999"/>
        <n v="280.48"/>
        <n v="293.02"/>
        <n v="489.35199999999998"/>
        <n v="383.5"/>
        <n v="334.36"/>
        <n v="337.44"/>
        <n v="450.97"/>
        <n v="541.34"/>
        <n v="1305.02"/>
        <n v="420.63"/>
        <n v="467.88"/>
        <n v="302.88"/>
        <n v="348.92"/>
        <n v="315"/>
        <n v="469.99"/>
        <n v="328.96"/>
        <n v="375.98"/>
        <n v="118.8"/>
        <n v="263.95"/>
        <n v="463.52"/>
        <n v="212.958"/>
        <n v="144.16"/>
        <n v="468.43"/>
        <n v="510.95600000000002"/>
        <n v="129.35"/>
        <n v="155.69"/>
        <n v="389.17"/>
        <n v="399.82400000000001"/>
        <n v="274.12799999999999"/>
        <n v="128.64099999999999"/>
        <n v="146.44999999999999"/>
        <n v="116.32"/>
        <n v="395.16"/>
        <n v="132.16"/>
        <n v="159.864"/>
        <n v="338.24"/>
        <n v="299.04000000000002"/>
        <n v="473.88"/>
        <n v="431.87200000000001"/>
        <n v="390.95"/>
        <n v="552.94000000000005"/>
        <n v="560.35199999999998"/>
        <n v="749.96"/>
        <n v="678.97"/>
        <n v="1237.96"/>
        <n v="402.26400000000001"/>
        <n v="338.67200000000003"/>
        <n v="316.83999999999997"/>
        <n v="457.48"/>
        <n v="456.46"/>
        <n v="355.31200000000001"/>
        <n v="294.04000000000002"/>
        <n v="373.70400000000001"/>
        <n v="471.48"/>
        <n v="559.88"/>
        <n v="523.32000000000005"/>
        <n v="622.76400000000001"/>
        <n v="711.97"/>
        <n v="362.88"/>
        <n v="814.37599999999998"/>
        <n v="454.37599999999998"/>
        <n v="814.62"/>
        <n v="536.952"/>
        <n v="264.3"/>
        <n v="427.54399999999998"/>
        <n v="322.93"/>
        <n v="379.31200000000001"/>
        <n v="334.44"/>
        <n v="455.91"/>
        <n v="450.08"/>
        <n v="352.48"/>
        <n v="465.94"/>
        <n v="434"/>
        <n v="349.928"/>
        <n v="468.55200000000002"/>
        <n v="408.98399999999998"/>
        <n v="386.62"/>
        <n v="591.05999999999995"/>
        <n v="583.45000000000005"/>
        <n v="836.1"/>
        <n v="435.62"/>
        <n v="339.16800000000001"/>
        <n v="379.8"/>
        <n v="272.85599999999999"/>
        <n v="302.74400000000003"/>
        <n v="421"/>
        <n v="433.68799999999999"/>
        <n v="330.31200000000001"/>
        <n v="418.58199999999999"/>
        <n v="329.96"/>
        <n v="1063.68"/>
        <n v="308.13200000000001"/>
        <n v="324.03199999999998"/>
        <n v="270.75"/>
        <n v="928.38800000000003"/>
        <n v="1267.248"/>
        <n v="292.45"/>
        <n v="401.78399999999999"/>
        <n v="453.25"/>
        <n v="116.372"/>
        <n v="331.70400000000001"/>
        <n v="244.84"/>
        <n v="478.96"/>
        <n v="198.18799999999999"/>
        <n v="373.48"/>
        <n v="304.39999999999998"/>
        <n v="398.68"/>
        <n v="296.89999999999998"/>
        <n v="131.28"/>
        <n v="1302.9680000000001"/>
        <n v="362.16800000000001"/>
        <n v="381.85"/>
        <n v="158.26400000000001"/>
        <n v="188.8528"/>
        <n v="419.12"/>
        <n v="180.7"/>
        <n v="184.75"/>
        <n v="351.98"/>
        <n v="156.376"/>
        <n v="119.568"/>
        <n v="254.03"/>
        <n v="460.84"/>
        <n v="408.53"/>
        <n v="282.60000000000002"/>
        <n v="478.58"/>
        <n v="466.46"/>
        <n v="441.93"/>
        <n v="509.3"/>
        <n v="496.72"/>
        <n v="213.136"/>
        <n v="295.904"/>
        <n v="388.024"/>
        <n v="462.77600000000001"/>
        <n v="2975.51"/>
        <m/>
      </sharedItems>
    </cacheField>
    <cacheField name="Quantity" numFmtId="1">
      <sharedItems containsString="0" containsBlank="1" containsNumber="1" containsInteger="1" minValue="1" maxValue="14"/>
    </cacheField>
    <cacheField name="Profit" numFmtId="2">
      <sharedItems containsString="0" containsBlank="1" containsNumber="1" minValue="-6599.9780000000001" maxValue="8399.9760000000006" count="4740">
        <n v="28.2668"/>
        <n v="38.266800000000003"/>
        <n v="67.274199999999993"/>
        <n v="28.614999999999998"/>
        <n v="-5.2640000000000002"/>
        <n v="-6.21"/>
        <n v="13.571999999999999"/>
        <n v="350.42700000000002"/>
        <n v="5.3460000000000001"/>
        <n v="119.996"/>
        <n v="0.58399999999999996"/>
        <n v="-80.177999999999997"/>
        <n v="40.687800000000003"/>
        <n v="0.59040000000000004"/>
        <n v="5.1786000000000003"/>
        <n v="10.0282"/>
        <n v="-10.9611"/>
        <n v="9.0719999999999992"/>
        <n v="407.12880000000001"/>
        <n v="49.843499999999999"/>
        <n v="-24.662400000000002"/>
        <n v="5.952"/>
        <n v="10.878399999999999"/>
        <n v="118.983"/>
        <n v="141.72300000000001"/>
        <n v="3.7919999999999998"/>
        <n v="34.365600000000001"/>
        <n v="13.296200000000001"/>
        <n v="7.7035"/>
        <n v="5.4432"/>
        <n v="20.5764"/>
        <n v="-9.8724000000000007"/>
        <n v="8.9361999999999995"/>
        <n v="32.468400000000003"/>
        <n v="31.5776"/>
        <n v="24.599799999999998"/>
        <n v="1.3513999999999999"/>
        <n v="91.789199999999994"/>
        <n v="-15.582599999999999"/>
        <n v="7.5991999999999997"/>
        <n v="28.857600000000001"/>
        <n v="17.337599999999998"/>
        <n v="40.170200000000001"/>
        <n v="4.2224000000000004"/>
        <n v="11.774100000000001"/>
        <n v="64.518000000000001"/>
        <n v="13.195600000000001"/>
        <n v="66.954599999999999"/>
        <n v="31.6"/>
        <n v="-5.7587999999999999"/>
        <n v="76.011600000000001"/>
        <n v="0.3024"/>
        <n v="4.2816000000000001"/>
        <n v="-67.670400000000001"/>
        <n v="6.4863999999999997"/>
        <n v="37.366"/>
        <n v="6.2207999999999997"/>
        <n v="22.2"/>
        <n v="9.4990000000000006"/>
        <n v="-20.235600000000002"/>
        <n v="15.863099999999999"/>
        <n v="9.2175999999999991"/>
        <n v="21.596399999999999"/>
        <n v="42.991399999999999"/>
        <n v="2.7336"/>
        <n v="406.71539999999999"/>
        <n v="15.68"/>
        <n v="2.3025000000000002"/>
        <n v="8.2799999999999994"/>
        <n v="15.092000000000001"/>
        <n v="-99.345299999999995"/>
        <n v="7.8166000000000002"/>
        <n v="0"/>
        <n v="10.316800000000001"/>
        <n v="5.8914"/>
        <n v="76.252499999999998"/>
        <n v="17.7744"/>
        <n v="12.2247"/>
        <n v="-59.835599999999999"/>
        <n v="7.7728000000000002"/>
        <n v="52.822800000000001"/>
        <n v="143.99680000000001"/>
        <n v="-2.6783999999999999"/>
        <n v="-538.44600000000003"/>
        <n v="8.2194000000000003"/>
        <n v="27.783000000000001"/>
        <n v="11.68"/>
        <n v="635.495"/>
        <n v="58.919199999999996"/>
        <n v="14.677"/>
        <n v="48.539200000000001"/>
        <n v="5.8979999999999997"/>
        <n v="2799.9839999999999"/>
        <n v="18.2"/>
        <n v="7.1021999999999998"/>
        <n v="-77.473200000000006"/>
        <n v="225.26400000000001"/>
        <n v="3.9512"/>
        <n v="23.524799999999999"/>
        <n v="3.7208000000000001"/>
        <n v="1.6195999999999999"/>
        <n v="170.9316"/>
        <n v="0.189"/>
        <n v="7.1592000000000002"/>
        <n v="52.7956"/>
        <n v="78.941199999999995"/>
        <n v="28.3095"/>
        <n v="126.0558"/>
        <n v="60.255299999999998"/>
        <n v="1.5444"/>
        <n v="160.91390000000001"/>
        <n v="7.2176999999999998"/>
        <n v="50.3658"/>
        <n v="6.9715999999999996"/>
        <n v="-31.993600000000001"/>
        <n v="-18.180800000000001"/>
        <n v="21"/>
        <n v="3.6017999999999999"/>
        <n v="10.623200000000001"/>
        <n v="38.997500000000002"/>
        <n v="126.8973"/>
        <n v="39.586799999999997"/>
        <n v="11.151"/>
        <n v="0.69930000000000003"/>
        <n v="175.51560000000001"/>
        <n v="7.4824000000000002"/>
        <n v="73.41"/>
        <n v="2.1465000000000001"/>
        <n v="2.0748000000000002"/>
        <n v="-47.1798"/>
        <n v="4.6463999999999999"/>
        <n v="68.686800000000005"/>
        <n v="124.485"/>
        <n v="3.5752000000000002"/>
        <n v="-225.55680000000001"/>
        <n v="1.8311999999999999"/>
        <n v="-2.6981999999999999"/>
        <n v="1.8144"/>
        <n v="36.473599999999998"/>
        <n v="34.988799999999998"/>
        <n v="2.61"/>
        <n v="39.923400000000001"/>
        <n v="14.671799999999999"/>
        <n v="9.7175999999999991"/>
        <n v="4.0749000000000004"/>
        <n v="6.6845999999999997"/>
        <n v="33.313600000000001"/>
        <n v="5.5674000000000001"/>
        <n v="0.77939999999999998"/>
        <n v="6.4960000000000004"/>
        <n v="8.9830000000000005"/>
        <n v="10.9368"/>
        <n v="28.959"/>
        <n v="80.019900000000007"/>
        <n v="1.9990000000000001"/>
        <n v="-2.7587999999999999"/>
        <n v="-26.725999999999999"/>
        <n v="32.434199999999997"/>
        <n v="66.542000000000002"/>
        <n v="137.28960000000001"/>
        <n v="55.744999999999997"/>
        <n v="15.220800000000001"/>
        <n v="5.0054999999999996"/>
        <n v="21.591000000000001"/>
        <n v="17.52"/>
        <n v="49.555199999999999"/>
        <n v="28.41"/>
        <n v="-6.8815999999999997"/>
        <n v="8.3328000000000007"/>
        <n v="18.239999999999998"/>
        <n v="-264.92079999999999"/>
        <n v="12.1348"/>
        <n v="105.24679999999999"/>
        <n v="2400.9657000000002"/>
        <n v="13.9986"/>
        <n v="219.45140000000001"/>
        <n v="129.5865"/>
        <n v="79.891199999999998"/>
        <n v="15.5092"/>
        <n v="-56.343000000000004"/>
        <n v="37.758000000000003"/>
        <n v="-127.5792"/>
        <n v="33.589500000000001"/>
        <n v="11.895"/>
        <n v="7.6050000000000004"/>
        <n v="11.995200000000001"/>
        <n v="-786.01440000000002"/>
        <n v="0.77759999999999996"/>
        <n v="32.398200000000003"/>
        <n v="5.7365000000000004"/>
        <n v="4.9271000000000003"/>
        <n v="3.528"/>
        <n v="64.2"/>
        <n v="57.592799999999997"/>
        <n v="50.406300000000002"/>
        <n v="-0.81200000000000006"/>
        <n v="-71.989999999999995"/>
        <n v="-1.4982"/>
        <n v="-12.510300000000001"/>
        <n v="-6.3018000000000001"/>
        <n v="-2.7648000000000001"/>
        <n v="-194.82400000000001"/>
        <n v="-99.266400000000004"/>
        <n v="1.5804"/>
        <n v="85.247500000000002"/>
        <n v="-3.8384999999999998"/>
        <n v="-7.1147999999999998"/>
        <n v="-25.334399999999999"/>
        <n v="-1.3464"/>
        <n v="44.304000000000002"/>
        <n v="6.3503999999999996"/>
        <n v="22.5732"/>
        <n v="-14.169600000000001"/>
        <n v="8.3879999999999999"/>
        <n v="49.393799999999999"/>
        <n v="48.333599999999997"/>
        <n v="3.7530000000000001"/>
        <n v="87.89"/>
        <n v="3.363"/>
        <n v="88.724999999999994"/>
        <n v="8.7905999999999995"/>
        <n v="23.31"/>
        <n v="-22.097999999999999"/>
        <n v="7.4984999999999999"/>
        <n v="7.1520000000000001"/>
        <n v="363.90480000000002"/>
        <n v="5.1014999999999997"/>
        <n v="377.73"/>
        <n v="6.5434999999999999"/>
        <n v="19.7714"/>
        <n v="8.2062000000000008"/>
        <n v="-31.372199999999999"/>
        <n v="31.537199999999999"/>
        <n v="125.14319999999999"/>
        <n v="9.48"/>
        <n v="13.4964"/>
        <n v="6.7655000000000003"/>
        <n v="40.274000000000001"/>
        <n v="14.974399999999999"/>
        <n v="77.035200000000003"/>
        <n v="8.9909999999999997"/>
        <n v="17.765999999999998"/>
        <n v="15.238799999999999"/>
        <n v="24.527999999999999"/>
        <n v="-2.1623999999999999"/>
        <n v="40.921599999999998"/>
        <n v="44.889600000000002"/>
        <n v="20.7"/>
        <n v="7.3528000000000002"/>
        <n v="196.50360000000001"/>
        <n v="-5.524"/>
        <n v="47.494999999999997"/>
        <n v="-116.98050000000001"/>
        <n v="13.9185"/>
        <n v="-41.517600000000002"/>
        <n v="-138.13999999999999"/>
        <n v="-15.44"/>
        <n v="-28.367999999999999"/>
        <n v="-643.71"/>
        <n v="19.193999999999999"/>
        <n v="6.2904999999999998"/>
        <n v="-14.196"/>
        <n v="1.8792"/>
        <n v="16.373699999999999"/>
        <n v="-22.138200000000001"/>
        <n v="14.1426"/>
        <n v="4.3524000000000003"/>
        <n v="-13.646100000000001"/>
        <n v="1.6472"/>
        <n v="84.501999999999995"/>
        <n v="147.08959999999999"/>
        <n v="21.012799999999999"/>
        <n v="-143.43100000000001"/>
        <n v="-35.817599999999999"/>
        <n v="62.3904"/>
        <n v="15.944599999999999"/>
        <n v="89.954999999999998"/>
        <n v="297.64350000000002"/>
        <n v="252.59"/>
        <n v="-20.136199999999999"/>
        <n v="-94.941000000000003"/>
        <n v="87.18"/>
        <n v="-98.8018"/>
        <n v="6.8907999999999996"/>
        <n v="6.9088000000000003"/>
        <n v="-20.724"/>
        <n v="7.2576000000000001"/>
        <n v="-12.896100000000001"/>
        <n v="3.6288"/>
        <n v="0.89939999999999998"/>
        <n v="146.40360000000001"/>
        <n v="38.037999999999997"/>
        <n v="-4.7519999999999998"/>
        <n v="1.5065999999999999"/>
        <n v="-1.4196"/>
        <n v="0.504"/>
        <n v="19.331399999999999"/>
        <n v="14.690200000000001"/>
        <n v="25.198"/>
        <n v="10.3408"/>
        <n v="-241.17599999999999"/>
        <n v="1.6324000000000001"/>
        <n v="244.6155"/>
        <n v="17.856000000000002"/>
        <n v="18.398"/>
        <n v="5.9184999999999999"/>
        <n v="-17.996400000000001"/>
        <n v="8.6435999999999993"/>
        <n v="5.5380000000000003"/>
        <n v="8.7032000000000007"/>
        <n v="11.1776"/>
        <n v="7.85"/>
        <n v="0.87919999999999998"/>
        <n v="2.9302000000000001"/>
        <n v="15.934799999999999"/>
        <n v="-36.176400000000001"/>
        <n v="60.955199999999998"/>
        <n v="6.74"/>
        <n v="9.3125"/>
        <n v="124.2"/>
        <n v="14.981400000000001"/>
        <n v="-167.98599999999999"/>
        <n v="-36.9544"/>
        <n v="5.5566000000000004"/>
        <n v="-60.836100000000002"/>
        <n v="1.1994"/>
        <n v="54.665999999999997"/>
        <n v="15.475199999999999"/>
        <n v="9.7164000000000001"/>
        <n v="71.247600000000006"/>
        <n v="7.9248000000000003"/>
        <n v="2.8536000000000001"/>
        <n v="9.1311999999999998"/>
        <n v="9.8625000000000007"/>
        <n v="3.0144000000000002"/>
        <n v="22.8904"/>
        <n v="9.9359999999999999"/>
        <n v="3.2850000000000001"/>
        <n v="4.6643999999999997"/>
        <n v="292.77600000000001"/>
        <n v="18.5136"/>
        <n v="1.1225000000000001"/>
        <n v="3.0975999999999999"/>
        <n v="0.25979999999999998"/>
        <n v="378.274"/>
        <n v="-83.204999999999998"/>
        <n v="22.0472"/>
        <n v="124.7808"/>
        <n v="3.21"/>
        <n v="5.9988000000000001"/>
        <n v="13.0707"/>
        <n v="183.995"/>
        <n v="7.4375999999999998"/>
        <n v="8.0652000000000008"/>
        <n v="37.787399999999998"/>
        <n v="13.857200000000001"/>
        <n v="-27.715800000000002"/>
        <n v="-163.45160000000001"/>
        <n v="336.63499999999999"/>
        <n v="374.99250000000001"/>
        <n v="146.38800000000001"/>
        <n v="0.98280000000000001"/>
        <n v="18.211200000000002"/>
        <n v="2.5146000000000002"/>
        <n v="3.6743999999999999"/>
        <n v="-4.8587999999999996"/>
        <n v="3.7995999999999999"/>
        <n v="6.9863999999999997"/>
        <n v="15.824"/>
        <n v="9.6191999999999993"/>
        <n v="2.5983999999999998"/>
        <n v="64.789199999999994"/>
        <n v="-4.1135999999999999"/>
        <n v="-1850.9464"/>
        <n v="3.2161"/>
        <n v="-100.92"/>
        <n v="10.374000000000001"/>
        <n v="8.6015999999999995"/>
        <n v="14.4"/>
        <n v="12.700799999999999"/>
        <n v="31.984000000000002"/>
        <n v="12.815099999999999"/>
        <n v="134.654"/>
        <n v="2.4287999999999998"/>
        <n v="6.5490000000000004"/>
        <n v="-6.5296000000000003"/>
        <n v="8.1199999999999992"/>
        <n v="44.366399999999999"/>
        <n v="81.131399999999999"/>
        <n v="6.0263999999999998"/>
        <n v="15.6104"/>
        <n v="3.2223999999999999"/>
        <n v="75.662400000000005"/>
        <n v="20.085100000000001"/>
        <n v="28.754999999999999"/>
        <n v="-31.914400000000001"/>
        <n v="4.6227999999999998"/>
        <n v="9.3312000000000008"/>
        <n v="-36.441000000000003"/>
        <n v="13.734"/>
        <n v="-22.671600000000002"/>
        <n v="-5.1984000000000004"/>
        <n v="3.4668000000000001"/>
        <n v="2.8763999999999998"/>
        <n v="38.380000000000003"/>
        <n v="105.0228"/>
        <n v="4.2976000000000001"/>
        <n v="12.18"/>
        <n v="11.7782"/>
        <n v="-145.35079999999999"/>
        <n v="76.639499999999998"/>
        <n v="54.7425"/>
        <n v="-0.77480000000000004"/>
        <n v="5.8604000000000003"/>
        <n v="2.9144999999999999"/>
        <n v="68.975999999999999"/>
        <n v="3.7235999999999998"/>
        <n v="2365.9818"/>
        <n v="3.2867999999999999"/>
        <n v="11.891"/>
        <n v="0.86399999999999999"/>
        <n v="8.3523999999999994"/>
        <n v="40.003599999999999"/>
        <n v="4.1391"/>
        <n v="6.2855999999999996"/>
        <n v="9.0054999999999996"/>
        <n v="24.235199999999999"/>
        <n v="13.846"/>
        <n v="-48.954900000000002"/>
        <n v="3.2616000000000001"/>
        <n v="55.058399999999999"/>
        <n v="7.9812000000000003"/>
        <n v="-93.472399999999993"/>
        <n v="77.746799999999993"/>
        <n v="-67.137"/>
        <n v="2.0270999999999999"/>
        <n v="1.8468"/>
        <n v="-58.133200000000002"/>
        <n v="146.79"/>
        <n v="12.987"/>
        <n v="1.5287999999999999"/>
        <n v="21.228000000000002"/>
        <n v="1.9710000000000001"/>
        <n v="10.224"/>
        <n v="3.2675999999999998"/>
        <n v="1.476"/>
        <n v="13.7964"/>
        <n v="2.2504"/>
        <n v="17.989999999999998"/>
        <n v="15.372"/>
        <n v="3.2480000000000002"/>
        <n v="-12.792"/>
        <n v="-126.8592"/>
        <n v="-67.272000000000006"/>
        <n v="2.8079999999999998"/>
        <n v="4.4892000000000003"/>
        <n v="24.883199999999999"/>
        <n v="7.0679999999999996"/>
        <n v="-814.48320000000001"/>
        <n v="-20.888999999999999"/>
        <n v="-34.758000000000003"/>
        <n v="5.8704000000000001"/>
        <n v="8.6620000000000008"/>
        <n v="2.3952"/>
        <n v="10.4148"/>
        <n v="8.3537999999999997"/>
        <n v="0.80640000000000001"/>
        <n v="81.744"/>
        <n v="34.996499999999997"/>
        <n v="11.324999999999999"/>
        <n v="37.9176"/>
        <n v="6.2910000000000004"/>
        <n v="29.364000000000001"/>
        <n v="6.5568999999999997"/>
        <n v="35.984999999999999"/>
        <n v="64.674000000000007"/>
        <n v="1.3944000000000001"/>
        <n v="149.148"/>
        <n v="-2.1756000000000002"/>
        <n v="-20.7"/>
        <n v="-13.816000000000001"/>
        <n v="-3.4272"/>
        <n v="62.782200000000003"/>
        <n v="41.577300000000001"/>
        <n v="5.6955999999999998"/>
        <n v="9.9467999999999996"/>
        <n v="2.5979999999999999"/>
        <n v="-31.8612"/>
        <n v="2.7955999999999999"/>
        <n v="-10.1736"/>
        <n v="22.377600000000001"/>
        <n v="1.2948"/>
        <n v="-142.071"/>
        <n v="-2.0108000000000001"/>
        <n v="53.860799999999998"/>
        <n v="5.3970000000000002"/>
        <n v="12.5832"/>
        <n v="15.951599999999999"/>
        <n v="11.691000000000001"/>
        <n v="-3.7871999999999999"/>
        <n v="-3.1680000000000001"/>
        <n v="1.764"/>
        <n v="-110.0232"/>
        <n v="4.0191999999999997"/>
        <n v="33.93"/>
        <n v="6.0167999999999999"/>
        <n v="83.733000000000004"/>
        <n v="-3.6002999999999998"/>
        <n v="2.7383999999999999"/>
        <n v="-71.296199999999999"/>
        <n v="34.786499999999997"/>
        <n v="-44.018999999999998"/>
        <n v="10.393599999999999"/>
        <n v="-75.595799999999997"/>
        <n v="-164.9538"/>
        <n v="2.1"/>
        <n v="36.404400000000003"/>
        <n v="5.2026000000000003"/>
        <n v="1.0165999999999999"/>
        <n v="21.5397"/>
        <n v="2.3519999999999999"/>
        <n v="7.4694000000000003"/>
        <n v="3.3439999999999999"/>
        <n v="-1.7771999999999999"/>
        <n v="320.31720000000001"/>
        <n v="2.0047999999999999"/>
        <n v="31.4712"/>
        <n v="19.9665"/>
        <n v="1.7138"/>
        <n v="15.49"/>
        <n v="11.626300000000001"/>
        <n v="-5.2931999999999997"/>
        <n v="-3.2719999999999998"/>
        <n v="15.2544"/>
        <n v="14.144"/>
        <n v="30.896599999999999"/>
        <n v="59.035200000000003"/>
        <n v="1159.9855"/>
        <n v="21.994499999999999"/>
        <n v="28.019200000000001"/>
        <n v="42.392000000000003"/>
        <n v="88.029899999999998"/>
        <n v="3.7408000000000001"/>
        <n v="1.57"/>
        <n v="7.2640000000000002"/>
        <n v="8.0730000000000004"/>
        <n v="13.1572"/>
        <n v="3.504"/>
        <n v="9.92"/>
        <n v="3.44"/>
        <n v="14.417999999999999"/>
        <n v="1.9136"/>
        <n v="9.1937999999999995"/>
        <n v="107.08199999999999"/>
        <n v="-20.435199999999998"/>
        <n v="-131.71680000000001"/>
        <n v="26.824000000000002"/>
        <n v="-27.792000000000002"/>
        <n v="-123.998"/>
        <n v="2.3868"/>
        <n v="2.6909999999999998"/>
        <n v="2.9592000000000001"/>
        <n v="-19.5624"/>
        <n v="26.901"/>
        <n v="4.4088000000000003"/>
        <n v="303.3408"/>
        <n v="46.8"/>
        <n v="2.3409"/>
        <n v="29.768999999999998"/>
        <n v="-44.1462"/>
        <n v="10.8864"/>
        <n v="8.3027999999999995"/>
        <n v="4.3600000000000003"/>
        <n v="0.41720000000000002"/>
        <n v="-7.6120000000000001"/>
        <n v="-9.8208000000000002"/>
        <n v="48.701099999999997"/>
        <n v="240.56479999999999"/>
        <n v="25.748799999999999"/>
        <n v="2.1684000000000001"/>
        <n v="4.4771999999999998"/>
        <n v="-5.1760000000000002"/>
        <n v="5.5216000000000003"/>
        <n v="8.4966000000000008"/>
        <n v="19.7988"/>
        <n v="13.3056"/>
        <n v="-2.1648000000000001"/>
        <n v="-21.6144"/>
        <n v="18.8993"/>
        <n v="6.8714000000000004"/>
        <n v="17.324000000000002"/>
        <n v="-4.7685000000000004"/>
        <n v="2.4674999999999998"/>
        <n v="9.5399999999999991"/>
        <n v="26.07"/>
        <n v="179.74879999999999"/>
        <n v="70.441000000000003"/>
        <n v="15.086399999999999"/>
        <n v="12.3256"/>
        <n v="14.92"/>
        <n v="3.3544"/>
        <n v="6.2060000000000004"/>
        <n v="23.716799999999999"/>
        <n v="272.79199999999997"/>
        <n v="5.0128000000000004"/>
        <n v="-2.2450000000000001"/>
        <n v="-32.508000000000003"/>
        <n v="-12.4146"/>
        <n v="27.166599999999999"/>
        <n v="179.73"/>
        <n v="54.860399999999998"/>
        <n v="-3.2406000000000001"/>
        <n v="30.995999999999999"/>
        <n v="-5.8868999999999998"/>
        <n v="86.25"/>
        <n v="-19.918399999999998"/>
        <n v="172.33840000000001"/>
        <n v="30.431999999999999"/>
        <n v="12.9024"/>
        <n v="74.8142"/>
        <n v="22.238399999999999"/>
        <n v="16.302"/>
        <n v="148.49459999999999"/>
        <n v="2.4401999999999999"/>
        <n v="1119.9967999999999"/>
        <n v="-4.1959999999999997"/>
        <n v="-24.476400000000002"/>
        <n v="20.155000000000001"/>
        <n v="91.968000000000004"/>
        <n v="3.3311999999999999"/>
        <n v="6.24"/>
        <n v="9.2927999999999997"/>
        <n v="152.11799999999999"/>
        <n v="-88.784000000000006"/>
        <n v="-7.1990999999999996"/>
        <n v="4.4344000000000001"/>
        <n v="5.8419999999999996"/>
        <n v="17.375399999999999"/>
        <n v="0.16919999999999999"/>
        <n v="6.5339999999999998"/>
        <n v="21.7728"/>
        <n v="23.756399999999999"/>
        <n v="-84.8232"/>
        <n v="116.24250000000001"/>
        <n v="13.8528"/>
        <n v="11.98"/>
        <n v="11.3148"/>
        <n v="700.98"/>
        <n v="69.177599999999998"/>
        <n v="150.98400000000001"/>
        <n v="-33.358199999999997"/>
        <n v="-1.6752"/>
        <n v="97.302599999999998"/>
        <n v="6.1547999999999998"/>
        <n v="50.187600000000003"/>
        <n v="-24.391999999999999"/>
        <n v="19.434999999999999"/>
        <n v="78.671999999999997"/>
        <n v="84.051199999999994"/>
        <n v="7.8959999999999999"/>
        <n v="7.3840000000000003"/>
        <n v="41.88"/>
        <n v="25.06"/>
        <n v="274.38600000000002"/>
        <n v="11.375"/>
        <n v="-8.6456999999999997"/>
        <n v="0.33360000000000001"/>
        <n v="14.547000000000001"/>
        <n v="-15.08"/>
        <n v="-11.961600000000001"/>
        <n v="50.097999999999999"/>
        <n v="-1.9008"/>
        <n v="11.8871"/>
        <n v="-2.6255999999999999"/>
        <n v="69.998999999999995"/>
        <n v="386.83499999999998"/>
        <n v="653.30100000000004"/>
        <n v="29.808"/>
        <n v="9.2940000000000005"/>
        <n v="18.662400000000002"/>
        <n v="109.422"/>
        <n v="21.33"/>
        <n v="13.9328"/>
        <n v="1.4456"/>
        <n v="301.96800000000002"/>
        <n v="3.9689999999999999"/>
        <n v="35.277200000000001"/>
        <n v="11.748799999999999"/>
        <n v="12.744"/>
        <n v="26.8752"/>
        <n v="7.9960000000000004"/>
        <n v="11.198"/>
        <n v="-12.8256"/>
        <n v="6.7047999999999996"/>
        <n v="-38.215800000000002"/>
        <n v="2.3243999999999998"/>
        <n v="88.052999999999997"/>
        <n v="-12.956799999999999"/>
        <n v="13.8828"/>
        <n v="18.7224"/>
        <n v="3.9312"/>
        <n v="35.663600000000002"/>
        <n v="9.3960000000000008"/>
        <n v="-356.72800000000001"/>
        <n v="-4.6752000000000002"/>
        <n v="11.1944"/>
        <n v="-120.51300000000001"/>
        <n v="-2.8308"/>
        <n v="1.2038"/>
        <n v="7.0217999999999998"/>
        <n v="364.45949999999999"/>
        <n v="5.1294000000000004"/>
        <n v="20.780799999999999"/>
        <n v="-23.364000000000001"/>
        <n v="2.6459999999999999"/>
        <n v="93.698800000000006"/>
        <n v="2.79"/>
        <n v="6.8723999999999998"/>
        <n v="7.0044000000000004"/>
        <n v="15.7248"/>
        <n v="15.9588"/>
        <n v="28.7196"/>
        <n v="207.14699999999999"/>
        <n v="75.574799999999996"/>
        <n v="129.34800000000001"/>
        <n v="28.171800000000001"/>
        <n v="30.787199999999999"/>
        <n v="5.6016000000000004"/>
        <n v="10.584"/>
        <n v="46.953000000000003"/>
        <n v="226.7946"/>
        <n v="3.7744"/>
        <n v="161.19"/>
        <n v="34.973999999999997"/>
        <n v="15.552"/>
        <n v="1.5548"/>
        <n v="2.3176999999999999"/>
        <n v="3.4973999999999998"/>
        <n v="-27.827999999999999"/>
        <n v="13.7646"/>
        <n v="173.23500000000001"/>
        <n v="-217.048"/>
        <n v="7.9703999999999997"/>
        <n v="-2.1503999999999999"/>
        <n v="-13.6488"/>
        <n v="-9.0944000000000003"/>
        <n v="71.991"/>
        <n v="17.544799999999999"/>
        <n v="132.5898"/>
        <n v="33.851700000000001"/>
        <n v="56.203200000000002"/>
        <n v="8.0351999999999997"/>
        <n v="18.345600000000001"/>
        <n v="13.878"/>
        <n v="63.436799999999998"/>
        <n v="51.759"/>
        <n v="19.7316"/>
        <n v="43.199100000000001"/>
        <n v="113.63939999999999"/>
        <n v="8.3810000000000002"/>
        <n v="41.823"/>
        <n v="18.396000000000001"/>
        <n v="83.646000000000001"/>
        <n v="-160.96"/>
        <n v="-4.5396000000000001"/>
        <n v="3.9424000000000001"/>
        <n v="5.6375999999999999"/>
        <n v="-119.2312"/>
        <n v="6.7535999999999996"/>
        <n v="-2.6669999999999998"/>
        <n v="94.492500000000007"/>
        <n v="8.6940000000000008"/>
        <n v="2.0415999999999999"/>
        <n v="4.1031000000000004"/>
        <n v="9.6656999999999993"/>
        <n v="2.5055999999999998"/>
        <n v="35.244999999999997"/>
        <n v="80.843000000000004"/>
        <n v="-118.0116"/>
        <n v="-26.623999999999999"/>
        <n v="2.3079999999999998"/>
        <n v="334.55099999999999"/>
        <n v="54.215000000000003"/>
        <n v="21.784500000000001"/>
        <n v="-1.8294999999999999"/>
        <n v="4.5359999999999996"/>
        <n v="52.14"/>
        <n v="7.0979999999999999"/>
        <n v="6.9888000000000003"/>
        <n v="3.3"/>
        <n v="16.361999999999998"/>
        <n v="0.84"/>
        <n v="0.40739999999999998"/>
        <n v="14.098000000000001"/>
        <n v="10.8"/>
        <n v="107.7216"/>
        <n v="-13.317600000000001"/>
        <n v="54.352800000000002"/>
        <n v="3.7412000000000001"/>
        <n v="153.08189999999999"/>
        <n v="-213.5574"/>
        <n v="26.9024"/>
        <n v="2.14"/>
        <n v="-3.855"/>
        <n v="90.72"/>
        <n v="8.0464000000000002"/>
        <n v="4.95"/>
        <n v="6.1040000000000001"/>
        <n v="1.3415999999999999"/>
        <n v="15.2064"/>
        <n v="-21.793199999999999"/>
        <n v="33.577199999999998"/>
        <n v="22.444800000000001"/>
        <n v="6.4206000000000003"/>
        <n v="5.6627999999999998"/>
        <n v="-8.0784000000000002"/>
        <n v="26.391200000000001"/>
        <n v="0.55200000000000005"/>
        <n v="23.652899999999999"/>
        <n v="12.795999999999999"/>
        <n v="60.4968"/>
        <n v="-44.195999999999998"/>
        <n v="-1.3375999999999999"/>
        <n v="56.175199999999997"/>
        <n v="8.6715"/>
        <n v="38.988"/>
        <n v="68.963099999999997"/>
        <n v="1.4652000000000001"/>
        <n v="16.703399999999998"/>
        <n v="25.293600000000001"/>
        <n v="10.3071"/>
        <n v="97.0137"/>
        <n v="9.3905999999999992"/>
        <n v="12.1401"/>
        <n v="-9.56"/>
        <n v="123.45480000000001"/>
        <n v="-19.602"/>
        <n v="503.64"/>
        <n v="50.328000000000003"/>
        <n v="72.432000000000002"/>
        <n v="-18.088200000000001"/>
        <n v="-27.9312"/>
        <n v="-50.870399999999997"/>
        <n v="17.026800000000001"/>
        <n v="-6.0890000000000004"/>
        <n v="-26.169599999999999"/>
        <n v="6.6150000000000002"/>
        <n v="84.51"/>
        <n v="1.0429999999999999"/>
        <n v="3.5741999999999998"/>
        <n v="0.46410000000000001"/>
        <n v="180.76589999999999"/>
        <n v="3.7694000000000001"/>
        <n v="44.470399999999998"/>
        <n v="11.586"/>
        <n v="8.9499999999999993"/>
        <n v="5.6159999999999997"/>
        <n v="9.0170999999999992"/>
        <n v="9.7972000000000001"/>
        <n v="12.8316"/>
        <n v="39.4255"/>
        <n v="12.175800000000001"/>
        <n v="-7.7093999999999996"/>
        <n v="12.599"/>
        <n v="35.997599999999998"/>
        <n v="2.8100999999999998"/>
        <n v="20.7332"/>
        <n v="2.2724000000000002"/>
        <n v="27.882000000000001"/>
        <n v="121.1056"/>
        <n v="19.187999999999999"/>
        <n v="9.7119"/>
        <n v="291.37779999999998"/>
        <n v="-0.62649999999999995"/>
        <n v="6.532"/>
        <n v="28.0032"/>
        <n v="449.98500000000001"/>
        <n v="14.043799999999999"/>
        <n v="6.1680000000000001"/>
        <n v="33.777000000000001"/>
        <n v="0.90480000000000005"/>
        <n v="19.5184"/>
        <n v="3.157"/>
        <n v="14.5152"/>
        <n v="7.9200000000000007E-2"/>
        <n v="197.92080000000001"/>
        <n v="38.725000000000001"/>
        <n v="8.6359999999999992"/>
        <n v="20.661200000000001"/>
        <n v="225.73500000000001"/>
        <n v="0.55840000000000001"/>
        <n v="8.9969999999999999"/>
        <n v="5.1281999999999996"/>
        <n v="73.320999999999998"/>
        <n v="-27.1296"/>
        <n v="0.82250000000000001"/>
        <n v="7.6985999999999999"/>
        <n v="-14.478400000000001"/>
        <n v="-3.5996000000000001"/>
        <n v="944.98649999999998"/>
        <n v="24.47"/>
        <n v="3.2759999999999998"/>
        <n v="-12.998699999999999"/>
        <n v="-4.7625000000000002"/>
        <n v="-7.85"/>
        <n v="12.8744"/>
        <n v="107.955"/>
        <n v="3.5712000000000002"/>
        <n v="-13.311999999999999"/>
        <n v="-1.2558"/>
        <n v="-6.1151999999999997"/>
        <n v="74.573999999999998"/>
        <n v="9.4486000000000008"/>
        <n v="6.03"/>
        <n v="51.497500000000002"/>
        <n v="4.9950000000000001"/>
        <n v="72.534400000000005"/>
        <n v="14.8752"/>
        <n v="1.4672000000000001"/>
        <n v="-33.804000000000002"/>
        <n v="17.352"/>
        <n v="-35.884799999999998"/>
        <n v="-319.19159999999999"/>
        <n v="7.1820000000000004"/>
        <n v="38.086399999999998"/>
        <n v="1.0178"/>
        <n v="3.2004000000000001"/>
        <n v="6.8943000000000003"/>
        <n v="10.465"/>
        <n v="2.8835999999999999"/>
        <n v="21.717600000000001"/>
        <n v="52.493000000000002"/>
        <n v="5.133"/>
        <n v="7.25"/>
        <n v="13.3245"/>
        <n v="79.691999999999993"/>
        <n v="17.108000000000001"/>
        <n v="15.525"/>
        <n v="12.417299999999999"/>
        <n v="50.034599999999998"/>
        <n v="10.164"/>
        <n v="12.432"/>
        <n v="23.027999999999999"/>
        <n v="34.293999999999997"/>
        <n v="3.7223999999999999"/>
        <n v="6.2549999999999999"/>
        <n v="-28.796399999999998"/>
        <n v="-115.3544"/>
        <n v="0.73"/>
        <n v="-3.8208000000000002"/>
        <n v="4.7939999999999996"/>
        <n v="5.58"/>
        <n v="11.086"/>
        <n v="18.235199999999999"/>
        <n v="3.1654"/>
        <n v="3.8940000000000001"/>
        <n v="45.539200000000001"/>
        <n v="280.58999999999997"/>
        <n v="26.630400000000002"/>
        <n v="10.0878"/>
        <n v="4.8587999999999996"/>
        <n v="3.7435999999999998"/>
        <n v="25.401599999999998"/>
        <n v="47.730600000000003"/>
        <n v="4.4711999999999996"/>
        <n v="89.963999999999999"/>
        <n v="10.89"/>
        <n v="41.223700000000001"/>
        <n v="17.38"/>
        <n v="-4.6764000000000001"/>
        <n v="4.1651999999999996"/>
        <n v="13.788"/>
        <n v="40.800600000000003"/>
        <n v="-1.4352"/>
        <n v="10.679399999999999"/>
        <n v="39.4268"/>
        <n v="4.2249999999999996"/>
        <n v="3.3098999999999998"/>
        <n v="3.4994999999999998"/>
        <n v="1.2672000000000001"/>
        <n v="24.856999999999999"/>
        <n v="76.087800000000001"/>
        <n v="35.677599999999998"/>
        <n v="120.5106"/>
        <n v="4.0419999999999998"/>
        <n v="126.22499999999999"/>
        <n v="4.4980000000000002"/>
        <n v="43.176000000000002"/>
        <n v="-1.294"/>
        <n v="1.3992"/>
        <n v="-8.1311999999999998"/>
        <n v="4.1680000000000001"/>
        <n v="8.7051999999999996"/>
        <n v="2.0358000000000001"/>
        <n v="197.35300000000001"/>
        <n v="1.512"/>
        <n v="3.024"/>
        <n v="0.36399999999999999"/>
        <n v="3.3488000000000002"/>
        <n v="36.283499999999997"/>
        <n v="135.21899999999999"/>
        <n v="10.512"/>
        <n v="24.998000000000001"/>
        <n v="10.5504"/>
        <n v="9.3228000000000009"/>
        <n v="2.5920000000000001"/>
        <n v="2.6412"/>
        <n v="6.5164"/>
        <n v="-111.4995"/>
        <n v="-18.836400000000001"/>
        <n v="15.393000000000001"/>
        <n v="-8.3160000000000007"/>
        <n v="1.0007999999999999"/>
        <n v="11.5136"/>
        <n v="31.015599999999999"/>
        <n v="40.370399999999997"/>
        <n v="81.843199999999996"/>
        <n v="18.117599999999999"/>
        <n v="22.869"/>
        <n v="191.99680000000001"/>
        <n v="10.74"/>
        <n v="27.436499999999999"/>
        <n v="0.31559999999999999"/>
        <n v="32.094999999999999"/>
        <n v="388.81279999999998"/>
        <n v="4.8023999999999996"/>
        <n v="7.0659000000000001"/>
        <n v="9.6913999999999998"/>
        <n v="48.457500000000003"/>
        <n v="83.313999999999993"/>
        <n v="96.854399999999998"/>
        <n v="27.608000000000001"/>
        <n v="9.1980000000000004"/>
        <n v="-78.078000000000003"/>
        <n v="-913.17600000000004"/>
        <n v="0.71099999999999997"/>
        <n v="-9.8800000000000008"/>
        <n v="-378.4"/>
        <n v="-16.956800000000001"/>
        <n v="-1.476"/>
        <n v="26.4285"/>
        <n v="-20.090399999999999"/>
        <n v="-13.896000000000001"/>
        <n v="3.1212"/>
        <n v="51.831200000000003"/>
        <n v="178.91"/>
        <n v="72.358000000000004"/>
        <n v="165.34960000000001"/>
        <n v="33.3172"/>
        <n v="30.023399999999999"/>
        <n v="-32.3673"/>
        <n v="6.6311999999999998"/>
        <n v="90.976200000000006"/>
        <n v="3.1381999999999999"/>
        <n v="15.3522"/>
        <n v="33.357599999999998"/>
        <n v="4.7039999999999997"/>
        <n v="38.323799999999999"/>
        <n v="23.4192"/>
        <n v="10.518000000000001"/>
        <n v="1.8997999999999999"/>
        <n v="46.116"/>
        <n v="4.8117999999999999"/>
        <n v="-6.5670000000000002"/>
        <n v="30.238399999999999"/>
        <n v="7.0712999999999999"/>
        <n v="3.9771000000000001"/>
        <n v="59.115000000000002"/>
        <n v="18.4772"/>
        <n v="15.7194"/>
        <n v="86.385599999999997"/>
        <n v="3.6295999999999999"/>
        <n v="17.534400000000002"/>
        <n v="0.2334"/>
        <n v="12.8256"/>
        <n v="136.61760000000001"/>
        <n v="5.3339999999999996"/>
        <n v="4.7519999999999998"/>
        <n v="9.6300000000000008"/>
        <n v="4.4783999999999997"/>
        <n v="64.072800000000001"/>
        <n v="-3.0366"/>
        <n v="-7.92"/>
        <n v="19.255600000000001"/>
        <n v="3.1103999999999998"/>
        <n v="52.497900000000001"/>
        <n v="-8.0980000000000008"/>
        <n v="-255.58750000000001"/>
        <n v="-66.230199999999996"/>
        <n v="286.3836"/>
        <n v="2.7984"/>
        <n v="-8.2368000000000006"/>
        <n v="24.196000000000002"/>
        <n v="4.1748000000000003"/>
        <n v="4.6818"/>
        <n v="15.1158"/>
        <n v="10.7136"/>
        <n v="51.8"/>
        <n v="-153.20240000000001"/>
        <n v="7.6146000000000003"/>
        <n v="35.623800000000003"/>
        <n v="-56.3108"/>
        <n v="-49.437600000000003"/>
        <n v="48.993000000000002"/>
        <n v="-13.8468"/>
        <n v="12.232799999999999"/>
        <n v="7.1976000000000004"/>
        <n v="70.554400000000001"/>
        <n v="22.529599999999999"/>
        <n v="43.684199999999997"/>
        <n v="3.0497999999999998"/>
        <n v="10.35"/>
        <n v="18.009599999999999"/>
        <n v="5.1041999999999996"/>
        <n v="12.096"/>
        <n v="99.489599999999996"/>
        <n v="11.597099999999999"/>
        <n v="-3.4121999999999999"/>
        <n v="30.391999999999999"/>
        <n v="-2.1375999999999999"/>
        <n v="55.008000000000003"/>
        <n v="89.954800000000006"/>
        <n v="9.1784999999999997"/>
        <n v="3.9906000000000001"/>
        <n v="3.3408000000000002"/>
        <n v="3.5059999999999998"/>
        <n v="-339.70499999999998"/>
        <n v="-20.690999999999999"/>
        <n v="-7.9960000000000004"/>
        <n v="180.441"/>
        <n v="21.384"/>
        <n v="11.704000000000001"/>
        <n v="63.686"/>
        <n v="8.5164000000000009"/>
        <n v="-2.6543999999999999"/>
        <n v="45.322200000000002"/>
        <n v="-6.8992000000000004"/>
        <n v="-18.446400000000001"/>
        <n v="9.8328000000000007"/>
        <n v="1.6704000000000001"/>
        <n v="-172.7328"/>
        <n v="-33.32"/>
        <n v="62.82"/>
        <n v="63.872999999999998"/>
        <n v="16.993200000000002"/>
        <n v="-39.952800000000003"/>
        <n v="11.206"/>
        <n v="0.1588"/>
        <n v="8.7330000000000005"/>
        <n v="281.01600000000002"/>
        <n v="7.9218000000000002"/>
        <n v="11.592000000000001"/>
        <n v="17.667300000000001"/>
        <n v="4.1916000000000002"/>
        <n v="0.89100000000000001"/>
        <n v="4.9104000000000001"/>
        <n v="69.704999999999998"/>
        <n v="43.995600000000003"/>
        <n v="-29.2776"/>
        <n v="100.196"/>
        <n v="1.6415999999999999"/>
        <n v="8.25"/>
        <n v="87.482500000000002"/>
        <n v="14.870699999999999"/>
        <n v="5.6643999999999997"/>
        <n v="58.791600000000003"/>
        <n v="98.524799999999999"/>
        <n v="163.18979999999999"/>
        <n v="41.038800000000002"/>
        <n v="45.84"/>
        <n v="11.240399999999999"/>
        <n v="-10.948"/>
        <n v="1.1466000000000001"/>
        <n v="1.6761999999999999"/>
        <n v="6.2064000000000004"/>
        <n v="20.966999999999999"/>
        <n v="28.785599999999999"/>
        <n v="36.692999999999998"/>
        <n v="5.2560000000000002"/>
        <n v="13.92"/>
        <n v="1.0620000000000001"/>
        <n v="27.972000000000001"/>
        <n v="5.6115000000000004"/>
        <n v="8.1432000000000002"/>
        <n v="-21.681000000000001"/>
        <n v="-16.5396"/>
        <n v="-52.890799999999999"/>
        <n v="-12.288"/>
        <n v="22.618400000000001"/>
        <n v="-10.7973"/>
        <n v="-3.0396000000000001"/>
        <n v="8.0997000000000003"/>
        <n v="5.5"/>
        <n v="-56.448"/>
        <n v="-81.94"/>
        <n v="-2.7888000000000002"/>
        <n v="-2.3814000000000002"/>
        <n v="-67.876199999999997"/>
        <n v="3.3889999999999998"/>
        <n v="-258.5016"/>
        <n v="33.831000000000003"/>
        <n v="-27.6936"/>
        <n v="15.993600000000001"/>
        <n v="42.494999999999997"/>
        <n v="2.3967999999999998"/>
        <n v="2.3086000000000002"/>
        <n v="11.543200000000001"/>
        <n v="1.0668"/>
        <n v="23.086400000000001"/>
        <n v="1415.4295999999999"/>
        <n v="10.94"/>
        <n v="9.9060000000000006"/>
        <n v="-4.7976000000000001"/>
        <n v="5.4236000000000004"/>
        <n v="206.316"/>
        <n v="30.441600000000001"/>
        <n v="61.382399999999997"/>
        <n v="2.2827999999999999"/>
        <n v="71.162000000000006"/>
        <n v="14.4648"/>
        <n v="2.99"/>
        <n v="12.672000000000001"/>
        <n v="5.7510000000000003"/>
        <n v="19.6248"/>
        <n v="9.9949999999999992"/>
        <n v="0.65159999999999996"/>
        <n v="3.8822000000000001"/>
        <n v="12.097799999999999"/>
        <n v="9.8684999999999992"/>
        <n v="-8.3523999999999994"/>
        <n v="-19.47"/>
        <n v="-75.844800000000006"/>
        <n v="-17.565100000000001"/>
        <n v="34.813800000000001"/>
        <n v="3.4047999999999998"/>
        <n v="-149.63069999999999"/>
        <n v="303.80399999999997"/>
        <n v="-12.628"/>
        <n v="449.99099999999999"/>
        <n v="-13.3424"/>
        <n v="33.906500000000001"/>
        <n v="-2.6997"/>
        <n v="30.991800000000001"/>
        <n v="31.244399999999999"/>
        <n v="0.94679999999999997"/>
        <n v="68.197999999999993"/>
        <n v="5.2332000000000001"/>
        <n v="28.436399999999999"/>
        <n v="2.5592000000000001"/>
        <n v="-760.98"/>
        <n v="-46.796999999999997"/>
        <n v="-90.248400000000004"/>
        <n v="-14.973599999999999"/>
        <n v="22.153600000000001"/>
        <n v="14.17"/>
        <n v="41.021599999999999"/>
        <n v="31.044599999999999"/>
        <n v="4.2804000000000002"/>
        <n v="5.8696000000000002"/>
        <n v="27.485600000000002"/>
        <n v="11.223000000000001"/>
        <n v="1.0268999999999999"/>
        <n v="7.0172999999999996"/>
        <n v="24.936599999999999"/>
        <n v="20.452500000000001"/>
        <n v="6.5888"/>
        <n v="4.1147999999999998"/>
        <n v="8.7167999999999992"/>
        <n v="16.614000000000001"/>
        <n v="54.691200000000002"/>
        <n v="5.1967999999999996"/>
        <n v="2.5344000000000002"/>
        <n v="160.62299999999999"/>
        <n v="7.7831999999999999"/>
        <n v="67.188000000000002"/>
        <n v="114.96"/>
        <n v="8.7371999999999996"/>
        <n v="3.6659999999999999"/>
        <n v="23.392800000000001"/>
        <n v="20.575500000000002"/>
        <n v="42.025599999999997"/>
        <n v="29.152799999999999"/>
        <n v="80.736000000000004"/>
        <n v="26.984999999999999"/>
        <n v="-24.843"/>
        <n v="29"/>
        <n v="-7.3254999999999999"/>
        <n v="7.6284000000000001"/>
        <n v="-63.109200000000001"/>
        <n v="6.7990000000000004"/>
        <n v="-166.39349999999999"/>
        <n v="4.266"/>
        <n v="46.118400000000001"/>
        <n v="3.9420000000000002"/>
        <n v="1.7876000000000001"/>
        <n v="5.3352000000000004"/>
        <n v="3.7584"/>
        <n v="92.236800000000002"/>
        <n v="-17.523"/>
        <n v="314.05860000000001"/>
        <n v="3.3523999999999998"/>
        <n v="-7.46"/>
        <n v="-6.4943999999999997"/>
        <n v="-1.2178"/>
        <n v="-11.6622"/>
        <n v="11.6496"/>
        <n v="-19.338200000000001"/>
        <n v="-63.3765"/>
        <n v="12.208"/>
        <n v="22.5852"/>
        <n v="90.293999999999997"/>
        <n v="29.984999999999999"/>
        <n v="-2.4563999999999999"/>
        <n v="0.80879999999999996"/>
        <n v="15.196"/>
        <n v="37.078200000000002"/>
        <n v="3.5952000000000002"/>
        <n v="-317.15280000000001"/>
        <n v="-32.783999999999999"/>
        <n v="0.7198"/>
        <n v="11.558400000000001"/>
        <n v="23.497599999999998"/>
        <n v="13.9152"/>
        <n v="6.9371999999999998"/>
        <n v="-7.7747999999999999"/>
        <n v="-300.73500000000001"/>
        <n v="62.244"/>
        <n v="6.1571999999999996"/>
        <n v="21.735499999999998"/>
        <n v="23.455200000000001"/>
        <n v="-12.778499999999999"/>
        <n v="14.664199999999999"/>
        <n v="14.200200000000001"/>
        <n v="3.72"/>
        <n v="15.407999999999999"/>
        <n v="65.435000000000002"/>
        <n v="5.484"/>
        <n v="18.684000000000001"/>
        <n v="-12.006399999999999"/>
        <n v="8.9220000000000006"/>
        <n v="3.0773999999999999"/>
        <n v="8.4450000000000003"/>
        <n v="-34.392000000000003"/>
        <n v="53.997"/>
        <n v="58.463999999999999"/>
        <n v="3.4685999999999999"/>
        <n v="4.4550000000000001"/>
        <n v="13.868399999999999"/>
        <n v="3.5767000000000002"/>
        <n v="636.00030000000004"/>
        <n v="2.64"/>
        <n v="-157.9383"/>
        <n v="-17.942399999999999"/>
        <n v="3.7519999999999998"/>
        <n v="751.9624"/>
        <n v="5.4340999999999999"/>
        <n v="6.6588000000000003"/>
        <n v="12.958399999999999"/>
        <n v="62.93"/>
        <n v="-3.2435999999999998"/>
        <n v="0.91"/>
        <n v="33.604199999999999"/>
        <n v="3.5948000000000002"/>
        <n v="52.511400000000002"/>
        <n v="1.7136"/>
        <n v="4.8162000000000003"/>
        <n v="5.2028999999999996"/>
        <n v="7.7640000000000002"/>
        <n v="1.6559999999999999"/>
        <n v="5.2164000000000001"/>
        <n v="0.67900000000000005"/>
        <n v="307.14479999999998"/>
        <n v="31.519200000000001"/>
        <n v="9.1844999999999999"/>
        <n v="5.1959999999999997"/>
        <n v="14.572800000000001"/>
        <n v="7.056"/>
        <n v="41.985999999999997"/>
        <n v="5.07"/>
        <n v="8.4527999999999999"/>
        <n v="136.08000000000001"/>
        <n v="100.7316"/>
        <n v="387.56760000000003"/>
        <n v="0.29970000000000002"/>
        <n v="12.441599999999999"/>
        <n v="131.35499999999999"/>
        <n v="252.58799999999999"/>
        <n v="1.8704000000000001"/>
        <n v="294.54880000000003"/>
        <n v="10.058"/>
        <n v="15.815799999999999"/>
        <n v="6.6352000000000002"/>
        <n v="259.52969999999999"/>
        <n v="13.452"/>
        <n v="-12.878399999999999"/>
        <n v="4.5448000000000004"/>
        <n v="30.445"/>
        <n v="6.633"/>
        <n v="8.2782"/>
        <n v="190.08"/>
        <n v="33.938800000000001"/>
        <n v="9.9651999999999994"/>
        <n v="7.9188000000000001"/>
        <n v="78.435000000000002"/>
        <n v="12.358000000000001"/>
        <n v="6.2244000000000002"/>
        <n v="-62.772500000000001"/>
        <n v="5.9135999999999997"/>
        <n v="1.7310000000000001"/>
        <n v="-167.3184"/>
        <n v="84.235200000000006"/>
        <n v="117.0104"/>
        <n v="1.6055999999999999"/>
        <n v="-7.0979999999999999"/>
        <n v="0.3674"/>
        <n v="140.39599999999999"/>
        <n v="26.1096"/>
        <n v="1.05"/>
        <n v="-99.621899999999997"/>
        <n v="23.9984"/>
        <n v="-50.097999999999999"/>
        <n v="-3.4620000000000002"/>
        <n v="481.86900000000003"/>
        <n v="7.6680000000000001"/>
        <n v="23.7744"/>
        <n v="244.24959999999999"/>
        <n v="73.544799999999995"/>
        <n v="12.72"/>
        <n v="0.1512"/>
        <n v="107.4785"/>
        <n v="3.8448000000000002"/>
        <n v="4.1832000000000003"/>
        <n v="1.8720000000000001"/>
        <n v="3.1248"/>
        <n v="30.263400000000001"/>
        <n v="88.394800000000004"/>
        <n v="3.1751999999999998"/>
        <n v="37.9848"/>
        <n v="15.808"/>
        <n v="1.0680000000000001"/>
        <n v="-11.069100000000001"/>
        <n v="129.77250000000001"/>
        <n v="41.012999999999998"/>
        <n v="40.97"/>
        <n v="4.5872999999999999"/>
        <n v="5.5944000000000003"/>
        <n v="0.88560000000000005"/>
        <n v="-6.0048000000000004"/>
        <n v="5.7960000000000003"/>
        <n v="6.3743999999999996"/>
        <n v="5.3689999999999998"/>
        <n v="37.218600000000002"/>
        <n v="16.146000000000001"/>
        <n v="8.5540000000000003"/>
        <n v="7.5839999999999996"/>
        <n v="19.989999999999998"/>
        <n v="16.713200000000001"/>
        <n v="27.4344"/>
        <n v="-26.635200000000001"/>
        <n v="0.307"/>
        <n v="34.292499999999997"/>
        <n v="81.173400000000001"/>
        <n v="3.6936"/>
        <n v="1.9176"/>
        <n v="3.6848000000000001"/>
        <n v="4.0338000000000003"/>
        <n v="7.7"/>
        <n v="-9.7607999999999997"/>
        <n v="4.4603999999999999"/>
        <n v="-20.784600000000001"/>
        <n v="2.9371999999999998"/>
        <n v="20.85"/>
        <n v="23.384"/>
        <n v="7.5039999999999996"/>
        <n v="-95.822999999999993"/>
        <n v="2.9348000000000001"/>
        <n v="21.7515"/>
        <n v="-729.91380000000004"/>
        <n v="143.303"/>
        <n v="56.323999999999998"/>
        <n v="-204.44579999999999"/>
        <n v="5.1791999999999998"/>
        <n v="22.518000000000001"/>
        <n v="-3.5154000000000001"/>
        <n v="6.9551999999999996"/>
        <n v="174.98249999999999"/>
        <n v="1.0336000000000001"/>
        <n v="50.49"/>
        <n v="17.16"/>
        <n v="17.890999999999998"/>
        <n v="-4.8448000000000002"/>
        <n v="-82.884"/>
        <n v="84.293999999999997"/>
        <n v="5.1230000000000002"/>
        <n v="14.8"/>
        <n v="2.2907999999999999"/>
        <n v="161.99189999999999"/>
        <n v="4.4736000000000002"/>
        <n v="60.392000000000003"/>
        <n v="-96.114599999999996"/>
        <n v="3.3479999999999999"/>
        <n v="19.998000000000001"/>
        <n v="66.326400000000007"/>
        <n v="14.651"/>
        <n v="4.4954999999999998"/>
        <n v="13.891500000000001"/>
        <n v="13.455"/>
        <n v="-24.9984"/>
        <n v="-251.18639999999999"/>
        <n v="-136.48949999999999"/>
        <n v="-11.587199999999999"/>
        <n v="-225.0976"/>
        <n v="-2.0348999999999999"/>
        <n v="125.19799999999999"/>
        <n v="4.5837000000000003"/>
        <n v="30.98"/>
        <n v="10.6288"/>
        <n v="9.1056000000000008"/>
        <n v="71.389799999999994"/>
        <n v="30.211200000000002"/>
        <n v="7.7759999999999998"/>
        <n v="9.5340000000000007"/>
        <n v="1.1808000000000001"/>
        <n v="75.180000000000007"/>
        <n v="-26.196000000000002"/>
        <n v="12.178000000000001"/>
        <n v="18.873000000000001"/>
        <n v="10.881"/>
        <n v="-115.7058"/>
        <n v="20.8719"/>
        <n v="9.5687999999999995"/>
        <n v="-4.49"/>
        <n v="5.0335999999999999"/>
        <n v="16.588799999999999"/>
        <n v="-40.180799999999998"/>
        <n v="4.8719999999999999"/>
        <n v="8399.9760000000006"/>
        <n v="331.19099999999997"/>
        <n v="16.8413"/>
        <n v="9.5088000000000008"/>
        <n v="5.0856000000000003"/>
        <n v="93.223200000000006"/>
        <n v="-29.512"/>
        <n v="2.9567999999999999"/>
        <n v="102.9528"/>
        <n v="3.8519999999999999"/>
        <n v="45.9754"/>
        <n v="19.4194"/>
        <n v="13.984"/>
        <n v="2591.9567999999999"/>
        <n v="34.539000000000001"/>
        <n v="-23.937200000000001"/>
        <n v="19.754999999999999"/>
        <n v="2.6027999999999998"/>
        <n v="14.425000000000001"/>
        <n v="-938.28"/>
        <n v="-14.92"/>
        <n v="-9.1815999999999995"/>
        <n v="0.84950000000000003"/>
        <n v="8.8607999999999993"/>
        <n v="5.0688000000000004"/>
        <n v="1.7248000000000001"/>
        <n v="0.93359999999999999"/>
        <n v="-32.32"/>
        <n v="20.2986"/>
        <n v="-67.850999999999999"/>
        <n v="-15.5844"/>
        <n v="5.98"/>
        <n v="-24.962399999999999"/>
        <n v="0.15840000000000001"/>
        <n v="-4.3792"/>
        <n v="-2.73"/>
        <n v="-190.85220000000001"/>
        <n v="-2.9984999999999999"/>
        <n v="13.588200000000001"/>
        <n v="-6.3"/>
        <n v="-26.2272"/>
        <n v="0.66800000000000004"/>
        <n v="3.4649999999999999"/>
        <n v="16.6568"/>
        <n v="3.456"/>
        <n v="1.9698"/>
        <n v="26.6616"/>
        <n v="18.446400000000001"/>
        <n v="20.697600000000001"/>
        <n v="-465.56799999999998"/>
        <n v="4.3680000000000003"/>
        <n v="23.997"/>
        <n v="3.0044"/>
        <n v="-150.41399999999999"/>
        <n v="1.1903999999999999"/>
        <n v="-11.000500000000001"/>
        <n v="12.492000000000001"/>
        <n v="23.968800000000002"/>
        <n v="11.454000000000001"/>
        <n v="33.726599999999998"/>
        <n v="30.09"/>
        <n v="10.2592"/>
        <n v="5.9598000000000004"/>
        <n v="33.721200000000003"/>
        <n v="1.4363999999999999"/>
        <n v="13.128"/>
        <n v="14.682"/>
        <n v="272.98250000000002"/>
        <n v="544.41750000000002"/>
        <n v="13.0375"/>
        <n v="32.936"/>
        <n v="9.8783999999999992"/>
        <n v="14.4354"/>
        <n v="251.89109999999999"/>
        <n v="1.375"/>
        <n v="55.936"/>
        <n v="116.48"/>
        <n v="32.604599999999998"/>
        <n v="14.2758"/>
        <n v="-37.915199999999999"/>
        <n v="6.5830000000000002"/>
        <n v="21.294"/>
        <n v="220.4853"/>
        <n v="751.76009999999997"/>
        <n v="12.098000000000001"/>
        <n v="148.51060000000001"/>
        <n v="-34.640999999999998"/>
        <n v="0.71519999999999995"/>
        <n v="15.942500000000001"/>
        <n v="7.89"/>
        <n v="-14.5764"/>
        <n v="35.195999999999998"/>
        <n v="51.834600000000002"/>
        <n v="1.4601999999999999"/>
        <n v="18.329999999999998"/>
        <n v="4.8391999999999999"/>
        <n v="10.44"/>
        <n v="0.1472"/>
        <n v="29.341200000000001"/>
        <n v="271.41919999999999"/>
        <n v="11.2308"/>
        <n v="3.5640000000000001"/>
        <n v="9.8160000000000007"/>
        <n v="-47.0304"/>
        <n v="-231.41159999999999"/>
        <n v="29.437200000000001"/>
        <n v="17.581199999999999"/>
        <n v="1644.2913000000001"/>
        <n v="6.9794999999999998"/>
        <n v="-9.282"/>
        <n v="12.1068"/>
        <n v="5.6993999999999998"/>
        <n v="5.5888"/>
        <n v="3.4091999999999998"/>
        <n v="9.6831999999999994"/>
        <n v="-21.084800000000001"/>
        <n v="10.048"/>
        <n v="3.2063999999999999"/>
        <n v="2.2517999999999998"/>
        <n v="30.582000000000001"/>
        <n v="178.31800000000001"/>
        <n v="-12.117000000000001"/>
        <n v="17.815200000000001"/>
        <n v="8.1839999999999993"/>
        <n v="21.598800000000001"/>
        <n v="17.998200000000001"/>
        <n v="85.995699999999999"/>
        <n v="162"/>
        <n v="78.396000000000001"/>
        <n v="19.295999999999999"/>
        <n v="11.8584"/>
        <n v="7.8224999999999998"/>
        <n v="75.654799999999994"/>
        <n v="25.175999999999998"/>
        <n v="80.777199999999993"/>
        <n v="12.607699999999999"/>
        <n v="1.3391999999999999"/>
        <n v="3.2831999999999999"/>
        <n v="26.056799999999999"/>
        <n v="22.6782"/>
        <n v="10.8248"/>
        <n v="27.316800000000001"/>
        <n v="38.024000000000001"/>
        <n v="6.5688000000000004"/>
        <n v="25.48"/>
        <n v="13.786199999999999"/>
        <n v="-29.94"/>
        <n v="41.262"/>
        <n v="-14.0928"/>
        <n v="-26.733000000000001"/>
        <n v="75.680000000000007"/>
        <n v="3.0341999999999998"/>
        <n v="32.159999999999997"/>
        <n v="3.8168000000000002"/>
        <n v="10.0632"/>
        <n v="32.186"/>
        <n v="1.1946000000000001"/>
        <n v="-14.081"/>
        <n v="282.20920000000001"/>
        <n v="11.2224"/>
        <n v="6.1487999999999996"/>
        <n v="3.4691999999999998"/>
        <n v="9.9882000000000009"/>
        <n v="70.195999999999998"/>
        <n v="118.3413"/>
        <n v="17.8794"/>
        <n v="22.788"/>
        <n v="13.3476"/>
        <n v="2.3814000000000002"/>
        <n v="-29.9178"/>
        <n v="29.032499999999999"/>
        <n v="429.5772"/>
        <n v="9.6"/>
        <n v="9.1579999999999995"/>
        <n v="2.625"/>
        <n v="160.15860000000001"/>
        <n v="5.0358000000000001"/>
        <n v="14.2956"/>
        <n v="15.799200000000001"/>
        <n v="56.977200000000003"/>
        <n v="3.0211999999999999"/>
        <n v="-3.4649999999999999"/>
        <n v="-251.98740000000001"/>
        <n v="-13.433"/>
        <n v="5.2625999999999999"/>
        <n v="35.679600000000001"/>
        <n v="16.464700000000001"/>
        <n v="55.911999999999999"/>
        <n v="-4.1761999999999997"/>
        <n v="-14.4078"/>
        <n v="16.783200000000001"/>
        <n v="-97.552800000000005"/>
        <n v="228.07919999999999"/>
        <n v="5.3116000000000003"/>
        <n v="8.2056000000000004"/>
        <n v="1.3049999999999999"/>
        <n v="3.9592000000000001"/>
        <n v="-292.10000000000002"/>
        <n v="77.22"/>
        <n v="-5.6879999999999997"/>
        <n v="-84.2928"/>
        <n v="9.8279999999999994"/>
        <n v="-15.992000000000001"/>
        <n v="-160.29519999999999"/>
        <n v="-6.2370000000000001"/>
        <n v="-20.140799999999999"/>
        <n v="45.139499999999998"/>
        <n v="50.351999999999997"/>
        <n v="16.268799999999999"/>
        <n v="24.84"/>
        <n v="19.968"/>
        <n v="4.4400000000000004"/>
        <n v="52.769199999999998"/>
        <n v="12.96"/>
        <n v="77.483699999999999"/>
        <n v="71.229600000000005"/>
        <n v="18.893699999999999"/>
        <n v="-9.1601999999999997"/>
        <n v="26.241599999999998"/>
        <n v="-28.597799999999999"/>
        <n v="12.639200000000001"/>
        <n v="5.7797999999999998"/>
        <n v="31.0688"/>
        <n v="22.9068"/>
        <n v="9.6880000000000006"/>
        <n v="11.7"/>
        <n v="8.7672000000000008"/>
        <n v="3.2944"/>
        <n v="22.4955"/>
        <n v="0.29920000000000002"/>
        <n v="6.3209999999999997"/>
        <n v="71.269199999999998"/>
        <n v="100.7916"/>
        <n v="5.8410000000000002"/>
        <n v="-17.783999999999999"/>
        <n v="19.630500000000001"/>
        <n v="20.154399999999999"/>
        <n v="41.913600000000002"/>
        <n v="219.58199999999999"/>
        <n v="177.5889"/>
        <n v="42.071399999999997"/>
        <n v="24.502800000000001"/>
        <n v="-3.3119999999999998"/>
        <n v="-2.4359999999999999"/>
        <n v="-9.7902000000000005"/>
        <n v="7.5087000000000002"/>
        <n v="29.302"/>
        <n v="29.657599999999999"/>
        <n v="-29.0745"/>
        <n v="-46.591999999999999"/>
        <n v="48.990200000000002"/>
        <n v="17.158000000000001"/>
        <n v="39.340800000000002"/>
        <n v="7.3834"/>
        <n v="16.823699999999999"/>
        <n v="32.500799999999998"/>
        <n v="38.975999999999999"/>
        <n v="191.65860000000001"/>
        <n v="28.858000000000001"/>
        <n v="187.39760000000001"/>
        <n v="2.7944"/>
        <n v="4.4610000000000003"/>
        <n v="62.154400000000003"/>
        <n v="54.7136"/>
        <n v="1.365"/>
        <n v="220.48249999999999"/>
        <n v="14.9925"/>
        <n v="20.84"/>
        <n v="1.1996"/>
        <n v="-2.0568"/>
        <n v="2.2271999999999998"/>
        <n v="-6.9215999999999998"/>
        <n v="7.8792"/>
        <n v="6.48"/>
        <n v="25.093800000000002"/>
        <n v="8.1882000000000001"/>
        <n v="17.190000000000001"/>
        <n v="11.4504"/>
        <n v="10.909599999999999"/>
        <n v="11.026400000000001"/>
        <n v="241.1046"/>
        <n v="1.2347999999999999"/>
        <n v="-4.5979999999999999"/>
        <n v="-3.3488000000000002"/>
        <n v="129.38399999999999"/>
        <n v="8.69"/>
        <n v="-21.0686"/>
        <n v="33.028799999999997"/>
        <n v="5.4443999999999999"/>
        <n v="-12.8392"/>
        <n v="25.497"/>
        <n v="-8.4293999999999993"/>
        <n v="-8.532"/>
        <n v="11.4452"/>
        <n v="5.8653000000000004"/>
        <n v="1.5047999999999999"/>
        <n v="78.6828"/>
        <n v="-4.7039999999999997"/>
        <n v="20.163"/>
        <n v="6.9664000000000001"/>
        <n v="39.409999999999997"/>
        <n v="9.8901000000000003"/>
        <n v="13.0548"/>
        <n v="592.78959999999995"/>
        <n v="7.2298"/>
        <n v="114.9954"/>
        <n v="2.3759999999999999"/>
        <n v="-3.9032"/>
        <n v="10.5144"/>
        <n v="-21.717600000000001"/>
        <n v="179.99639999999999"/>
        <n v="9.7151999999999994"/>
        <n v="7.5670000000000002"/>
        <n v="6.5735999999999999"/>
        <n v="25.191600000000001"/>
        <n v="3.9144000000000001"/>
        <n v="6.149"/>
        <n v="40.749899999999997"/>
        <n v="381.29700000000003"/>
        <n v="27.103200000000001"/>
        <n v="-199.5076"/>
        <n v="13.348000000000001"/>
        <n v="3.3675000000000002"/>
        <n v="6.7176"/>
        <n v="13.365"/>
        <n v="55.896000000000001"/>
        <n v="1.0347999999999999"/>
        <n v="15.8756"/>
        <n v="-18.222000000000001"/>
        <n v="16.8948"/>
        <n v="6.1192000000000002"/>
        <n v="18.316800000000001"/>
        <n v="33.215600000000002"/>
        <n v="527.98400000000004"/>
        <n v="95.2"/>
        <n v="22.155999999999999"/>
        <n v="18.521999999999998"/>
        <n v="-16.3644"/>
        <n v="-0.75660000000000005"/>
        <n v="-17.248000000000001"/>
        <n v="21.888000000000002"/>
        <n v="13.826700000000001"/>
        <n v="25.186"/>
        <n v="-2.0264000000000002"/>
        <n v="5.0111999999999997"/>
        <n v="15.9384"/>
        <n v="6.0060000000000002"/>
        <n v="20.585000000000001"/>
        <n v="1.5980000000000001"/>
        <n v="236.23249999999999"/>
        <n v="6.6836000000000002"/>
        <n v="6.2423999999999999"/>
        <n v="54.396599999999999"/>
        <n v="-48.703200000000002"/>
        <n v="5.1012000000000004"/>
        <n v="-1.9272"/>
        <n v="-10.579800000000001"/>
        <n v="-77.332999999999998"/>
        <n v="46.094999999999999"/>
        <n v="-2.8271999999999999"/>
        <n v="4.0860000000000003"/>
        <n v="2.3077000000000001"/>
        <n v="13.2293"/>
        <n v="11.31"/>
        <n v="62.915999999999997"/>
        <n v="10.8588"/>
        <n v="4.4684999999999997"/>
        <n v="24.476800000000001"/>
        <n v="3.9032"/>
        <n v="-12.196"/>
        <n v="19.825399999999998"/>
        <n v="109.3338"/>
        <n v="-24.276"/>
        <n v="-9.1110000000000007"/>
        <n v="15.590400000000001"/>
        <n v="13.4512"/>
        <n v="1.6175999999999999"/>
        <n v="2.0394000000000001"/>
        <n v="12.776400000000001"/>
        <n v="11.166399999999999"/>
        <n v="7.4951999999999996"/>
        <n v="24.2256"/>
        <n v="-9.6348000000000003"/>
        <n v="2.6568000000000001"/>
        <n v="-0.6008"/>
        <n v="0.67859999999999998"/>
        <n v="-6.7320000000000002"/>
        <n v="46.995199999999997"/>
        <n v="2.37"/>
        <n v="12.3284"/>
        <n v="1.6008"/>
        <n v="6.0255999999999998"/>
        <n v="11.492000000000001"/>
        <n v="3.3519999999999999"/>
        <n v="3.0813999999999999"/>
        <n v="3.6680000000000001"/>
        <n v="-7.4394"/>
        <n v="0.86880000000000002"/>
        <n v="-2.3748"/>
        <n v="23.234999999999999"/>
        <n v="1.5794999999999999"/>
        <n v="7.7450000000000001"/>
        <n v="49.316400000000002"/>
        <n v="217.767"/>
        <n v="210.59399999999999"/>
        <n v="190.37280000000001"/>
        <n v="381.23750000000001"/>
        <n v="85.181600000000003"/>
        <n v="15.282"/>
        <n v="-22.743500000000001"/>
        <n v="8.4979999999999993"/>
        <n v="3.4216000000000002"/>
        <n v="4.2384000000000004"/>
        <n v="1.651"/>
        <n v="67.608000000000004"/>
        <n v="118.3704"/>
        <n v="17.994"/>
        <n v="329.40809999999999"/>
        <n v="8.3040000000000003"/>
        <n v="62.4"/>
        <n v="-304.392"/>
        <n v="-6599.9780000000001"/>
        <n v="19.807200000000002"/>
        <n v="19.435199999999998"/>
        <n v="34.780200000000001"/>
        <n v="16.875"/>
        <n v="1459.2"/>
        <n v="-115.4958"/>
        <n v="-2.6208"/>
        <n v="-120.0508"/>
        <n v="4.2408000000000001"/>
        <n v="6.4127999999999998"/>
        <n v="-57.756599999999999"/>
        <n v="160.31360000000001"/>
        <n v="10.4076"/>
        <n v="19.488"/>
        <n v="297.69"/>
        <n v="-24.495999999999999"/>
        <n v="19.5"/>
        <n v="23.799299999999999"/>
        <n v="29.7408"/>
        <n v="15.378"/>
        <n v="69.92"/>
        <n v="14.595000000000001"/>
        <n v="-114.35339999999999"/>
        <n v="3.9807999999999999"/>
        <n v="9.702"/>
        <n v="100.4255"/>
        <n v="38.375999999999998"/>
        <n v="3.4367999999999999"/>
        <n v="-5.6993999999999998"/>
        <n v="52.974299999999999"/>
        <n v="6.1020000000000003"/>
        <n v="56.301000000000002"/>
        <n v="315.82499999999999"/>
        <n v="-73.706100000000006"/>
        <n v="2.6928000000000001"/>
        <n v="-5.0511999999999997"/>
        <n v="-7.7291999999999996"/>
        <n v="16.794599999999999"/>
        <n v="-302.72000000000003"/>
        <n v="2.7143999999999999"/>
        <n v="16.68"/>
        <n v="6.3296000000000001"/>
        <n v="24.843"/>
        <n v="35.097299999999997"/>
        <n v="694.50149999999996"/>
        <n v="222.58799999999999"/>
        <n v="86.392799999999994"/>
        <n v="150.38399999999999"/>
        <n v="-47.058300000000003"/>
        <n v="-17.745000000000001"/>
        <n v="44.9925"/>
        <n v="51.75"/>
        <n v="35.864400000000003"/>
        <n v="48.905999999999999"/>
        <n v="40.516800000000003"/>
        <n v="22.992000000000001"/>
        <n v="11.803000000000001"/>
        <n v="11.720800000000001"/>
        <n v="6.9119999999999999"/>
        <n v="5.1929999999999996"/>
        <n v="-30.8672"/>
        <n v="0.41160000000000002"/>
        <n v="582.23199999999997"/>
        <n v="-137.976"/>
        <n v="176.386"/>
        <n v="134.93219999999999"/>
        <n v="54.444800000000001"/>
        <n v="33.8598"/>
        <n v="23.898599999999998"/>
        <n v="26.864999999999998"/>
        <n v="26.930399999999999"/>
        <n v="8.8062000000000005"/>
        <n v="9.2639999999999993"/>
        <n v="659.98"/>
        <n v="108.1752"/>
        <n v="104.75279999999999"/>
        <n v="102.49979999999999"/>
        <n v="-153.34559999999999"/>
        <n v="93.768799999999999"/>
        <n v="-12.098000000000001"/>
        <n v="51.473999999999997"/>
        <n v="7.3079999999999998"/>
        <n v="10.089"/>
        <n v="8.0945999999999998"/>
        <n v="5.9184000000000001"/>
        <n v="-14.553599999999999"/>
        <n v="11.631600000000001"/>
        <n v="3.6587999999999998"/>
        <n v="20.482199999999999"/>
        <n v="34.386000000000003"/>
        <n v="19.874400000000001"/>
        <n v="5.8230000000000004"/>
        <n v="0.6048"/>
        <n v="585.55200000000002"/>
        <n v="195.99440000000001"/>
        <n v="70.178399999999996"/>
        <n v="120.9468"/>
        <n v="132.59219999999999"/>
        <n v="103.8015"/>
        <n v="74.809799999999996"/>
        <n v="80.628500000000003"/>
        <n v="51.554299999999998"/>
        <n v="20.484999999999999"/>
        <n v="13.2288"/>
        <n v="6.4320000000000004"/>
        <n v="3.8843999999999999"/>
        <n v="2.3405999999999998"/>
        <n v="0.30940000000000001"/>
        <n v="314.84179999999998"/>
        <n v="89.997"/>
        <n v="153.11519999999999"/>
        <n v="26.9985"/>
        <n v="27.196000000000002"/>
        <n v="31.198"/>
        <n v="116.5976"/>
        <n v="77.8232"/>
        <n v="89.159000000000006"/>
        <n v="13.7193"/>
        <n v="19.4376"/>
        <n v="15.342599999999999"/>
        <n v="16.150500000000001"/>
        <n v="4.6816000000000004"/>
        <n v="-195.47880000000001"/>
        <n v="123.47369999999999"/>
        <n v="176.80260000000001"/>
        <n v="32.468800000000002"/>
        <n v="81.047399999999996"/>
        <n v="-147.96299999999999"/>
        <n v="2.2989999999999999"/>
        <n v="-2.484"/>
        <n v="-9.5017999999999994"/>
        <n v="3.4398"/>
        <n v="2.4824000000000002"/>
        <n v="158.529"/>
        <n v="99.296000000000006"/>
        <n v="-29.323799999999999"/>
        <n v="23.395399999999999"/>
        <n v="15.6884"/>
        <n v="-9.1530000000000005"/>
        <n v="1.5426"/>
        <n v="5.0595999999999997"/>
        <n v="-1.4279999999999999"/>
        <n v="3.052"/>
        <n v="3.2871999999999999"/>
        <n v="0.81620000000000004"/>
        <n v="-11.761200000000001"/>
        <n v="1.7343"/>
        <n v="-2.0621999999999998"/>
        <n v="356.22500000000002"/>
        <n v="220.98699999999999"/>
        <n v="162.864"/>
        <n v="28.1372"/>
        <n v="51.823799999999999"/>
        <n v="55.764000000000003"/>
        <n v="22.5624"/>
        <n v="36.928800000000003"/>
        <n v="29.525400000000001"/>
        <n v="8.5024999999999995"/>
        <n v="12.285"/>
        <n v="8.7138000000000009"/>
        <n v="298.68549999999999"/>
        <n v="111.517"/>
        <n v="-137.529"/>
        <n v="25.245000000000001"/>
        <n v="-31.843"/>
        <n v="-147.8655"/>
        <n v="30.076799999999999"/>
        <n v="-51.719099999999997"/>
        <n v="68.12"/>
        <n v="39.873600000000003"/>
        <n v="29.95"/>
        <n v="7.4570999999999996"/>
        <n v="24.191800000000001"/>
        <n v="9.1920000000000002"/>
        <n v="-4.0599999999999996"/>
        <n v="2.0087999999999999"/>
        <n v="11.19"/>
        <n v="13.941000000000001"/>
        <n v="6.0632000000000001"/>
        <n v="6.2565999999999997"/>
        <n v="6.0679999999999996"/>
        <n v="1.69"/>
        <n v="1.6679999999999999"/>
        <n v="2.1286"/>
        <n v="184.22040000000001"/>
        <n v="76.790400000000005"/>
        <n v="122.76479999999999"/>
        <n v="19.995999999999999"/>
        <n v="19.915500000000002"/>
        <n v="15.8256"/>
        <n v="9.9456000000000007"/>
        <n v="8.7048000000000005"/>
        <n v="6.7149999999999999"/>
        <n v="-14.331300000000001"/>
        <n v="3.6139999999999999"/>
        <n v="4.8159999999999998"/>
        <n v="41.785200000000003"/>
        <n v="24.9132"/>
        <n v="3.2471999999999999"/>
        <n v="2.2098"/>
        <n v="198.46"/>
        <n v="35.048000000000002"/>
        <n v="58.687199999999997"/>
        <n v="7.8029999999999999"/>
        <n v="10.5252"/>
        <n v="4.6304999999999996"/>
        <n v="6.7252000000000001"/>
        <n v="2.8224"/>
        <n v="231.41159999999999"/>
        <n v="-304.6653"/>
        <n v="7.0490000000000004"/>
        <n v="3.0575999999999999"/>
        <n v="4.4541000000000004"/>
        <n v="-7.9001999999999999"/>
        <n v="1.8031999999999999"/>
        <n v="4946.37"/>
        <n v="-325.572"/>
        <n v="18.143999999999998"/>
        <n v="13.0284"/>
        <n v="4.3836000000000004"/>
        <n v="3.8529"/>
        <n v="843.17060000000004"/>
        <n v="-204.31450000000001"/>
        <n v="146.76929999999999"/>
        <n v="28.965"/>
        <n v="112.788"/>
        <n v="-264.21499999999997"/>
        <n v="-169.37200000000001"/>
        <n v="24.315999999999999"/>
        <n v="62.505600000000001"/>
        <n v="-8.4581999999999997"/>
        <n v="21.792000000000002"/>
        <n v="6.6976000000000004"/>
        <n v="-30.16"/>
        <n v="-7.17"/>
        <n v="6.0288000000000004"/>
        <n v="2.3359999999999999"/>
        <n v="3.7856000000000001"/>
        <n v="-218.8656"/>
        <n v="-30.391999999999999"/>
        <n v="11.5587"/>
        <n v="-7.6559999999999997"/>
        <n v="-4.1711999999999998"/>
        <n v="1.0207999999999999"/>
        <n v="-2.88"/>
        <n v="8.6189999999999998"/>
        <n v="15.593999999999999"/>
        <n v="7.3788"/>
        <n v="6.9390000000000001"/>
        <n v="202.25280000000001"/>
        <n v="19.376000000000001"/>
        <n v="-25.056000000000001"/>
        <n v="8.9543999999999997"/>
        <n v="4.8415999999999997"/>
        <n v="3.1080000000000001"/>
        <n v="3.7570000000000001"/>
        <n v="899.98199999999997"/>
        <n v="-374.99250000000001"/>
        <n v="166.10040000000001"/>
        <n v="39.687899999999999"/>
        <n v="83.050200000000004"/>
        <n v="2.2728000000000002"/>
        <n v="-14.1372"/>
        <n v="14.836499999999999"/>
        <n v="30.360399999999998"/>
        <n v="14.742000000000001"/>
        <n v="11.679500000000001"/>
        <n v="2.5577999999999999"/>
        <n v="2.6892"/>
        <n v="-4.0721999999999996"/>
        <n v="1.1759999999999999"/>
        <n v="207.88560000000001"/>
        <n v="-47.254199999999997"/>
        <n v="76.703999999999994"/>
        <n v="53.451900000000002"/>
        <n v="18.463200000000001"/>
        <n v="18.687200000000001"/>
        <n v="16.032"/>
        <n v="-20.4468"/>
        <n v="257.59440000000001"/>
        <n v="313.26240000000001"/>
        <n v="629.01"/>
        <n v="173.32919999999999"/>
        <n v="52.376399999999997"/>
        <n v="171.9914"/>
        <n v="137.54"/>
        <n v="-386.95699999999999"/>
        <n v="76.272000000000006"/>
        <n v="49.970399999999998"/>
        <n v="21.42"/>
        <n v="4.1971999999999996"/>
        <n v="-7.8959999999999999"/>
        <n v="-24.102599999999999"/>
        <n v="6.5472000000000001"/>
        <n v="5.3703000000000003"/>
        <n v="25.552800000000001"/>
        <n v="-5.4882"/>
        <n v="15.111599999999999"/>
        <n v="7.4172000000000002"/>
        <n v="3.51"/>
        <n v="4.9728000000000003"/>
        <n v="2.5488"/>
        <n v="2.0539999999999998"/>
        <n v="1.6848000000000001"/>
        <n v="-12.0784"/>
        <n v="0.5"/>
        <n v="7.4"/>
        <n v="6.2291999999999996"/>
        <n v="1.2005999999999999"/>
        <n v="60.356000000000002"/>
        <n v="67.442400000000006"/>
        <n v="22.948799999999999"/>
        <n v="23.990400000000001"/>
        <n v="13.0928"/>
        <n v="7.2695999999999996"/>
        <n v="10.422000000000001"/>
        <n v="8.8704000000000001"/>
        <n v="4.0686999999999998"/>
        <n v="-1.9656"/>
        <n v="25.278400000000001"/>
        <n v="1.6519999999999999"/>
        <n v="1.0284"/>
        <n v="-10.385999999999999"/>
        <n v="2.1545999999999998"/>
        <n v="1.9925999999999999"/>
        <n v="53.921700000000001"/>
        <n v="-35.215200000000003"/>
        <n v="13.4316"/>
        <n v="8.218"/>
        <n v="1.6379999999999999"/>
        <n v="-187.38149999999999"/>
        <n v="-107.958"/>
        <n v="199.26060000000001"/>
        <n v="2.2288000000000001"/>
        <n v="-9.7050000000000001"/>
        <n v="1.728"/>
        <n v="-38.821199999999997"/>
        <n v="-22.684200000000001"/>
        <n v="8.5568000000000008"/>
        <n v="27.910799999999998"/>
        <n v="-169.637"/>
        <n v="-13.58"/>
        <n v="-12.528"/>
        <n v="3.968"/>
        <n v="-21.159600000000001"/>
        <n v="5.8064999999999998"/>
        <n v="682.51679999999999"/>
        <n v="3.1008"/>
        <n v="15.5204"/>
        <n v="0.61019999999999996"/>
        <n v="31.931899999999999"/>
        <n v="44.596200000000003"/>
        <n v="679.99599999999998"/>
        <n v="3.5505"/>
        <n v="80.368200000000002"/>
        <n v="-228.74250000000001"/>
        <n v="-1141.47"/>
        <n v="4.8899999999999997"/>
        <n v="19.238399999999999"/>
        <n v="53.234999999999999"/>
        <n v="54.584400000000002"/>
        <n v="83.281000000000006"/>
        <n v="6.9989999999999997"/>
        <n v="70.311999999999998"/>
        <n v="-14.793100000000001"/>
        <n v="14.7546"/>
        <n v="0.69299999999999995"/>
        <n v="8.532"/>
        <n v="2.5451999999999999"/>
        <n v="-1.8391999999999999"/>
        <n v="0.1008"/>
        <n v="-4.577"/>
        <n v="5.2527999999999997"/>
        <n v="7.3385999999999996"/>
        <n v="6.6467999999999998"/>
        <n v="17.524000000000001"/>
        <n v="1.3560000000000001"/>
        <n v="13.300800000000001"/>
        <n v="312.67599999999999"/>
        <n v="-6.6277999999999997"/>
        <n v="-52.4544"/>
        <n v="3.8681999999999999"/>
        <n v="14.395200000000001"/>
        <n v="72.640799999999999"/>
        <n v="-14.9877"/>
        <n v="2504.2215999999999"/>
        <n v="8.0968"/>
        <n v="25.2315"/>
        <n v="37.562399999999997"/>
        <n v="-93.08"/>
        <n v="152.0232"/>
        <n v="0.95879999999999999"/>
        <n v="7.0511999999999997"/>
        <n v="5.7716000000000003"/>
        <n v="6.3936000000000002"/>
        <n v="10.048500000000001"/>
        <n v="2.3094000000000001"/>
        <n v="130.4913"/>
        <n v="4.1760000000000002"/>
        <n v="7.9859999999999998"/>
        <n v="18.695599999999999"/>
        <n v="42.074399999999997"/>
        <n v="33.647399999999998"/>
        <n v="49.497"/>
        <n v="90.644400000000005"/>
        <n v="152.0883"/>
        <n v="30.4682"/>
        <n v="111.59099999999999"/>
        <n v="9.4283999999999999"/>
        <n v="6.5519999999999996"/>
        <n v="-28.627199999999998"/>
        <n v="1379.9770000000001"/>
        <n v="4.9139999999999997"/>
        <n v="5.3819999999999997"/>
        <n v="11.997999999999999"/>
        <n v="8.6351999999999993"/>
        <n v="21.097999999999999"/>
        <n v="-3.6212"/>
        <n v="6.8879999999999999"/>
        <n v="8.2764000000000006"/>
        <n v="0.1134"/>
        <n v="6.7236000000000002"/>
        <n v="24.460799999999999"/>
        <n v="764.3818"/>
        <n v="5.6832000000000003"/>
        <n v="4.1768999999999998"/>
        <n v="1.8160000000000001"/>
        <n v="-8.9969999999999999"/>
        <n v="-26.9955"/>
        <n v="1.752"/>
        <n v="26.396699999999999"/>
        <n v="137.15100000000001"/>
        <n v="157.46850000000001"/>
        <n v="45.527999999999999"/>
        <n v="2.4011999999999998"/>
        <n v="0.4768"/>
        <n v="4.6220999999999997"/>
        <n v="2.2282000000000002"/>
        <n v="3.5047999999999999"/>
        <n v="-20.617599999999999"/>
        <n v="-47.174999999999997"/>
        <n v="-13.588200000000001"/>
        <n v="6.4649999999999999"/>
        <n v="-68.1096"/>
        <n v="60.476799999999997"/>
        <n v="250.39599999999999"/>
        <n v="5.7329999999999997"/>
        <n v="3.4695"/>
        <n v="3.1536"/>
        <n v="9.14"/>
        <n v="2.7719999999999998"/>
        <n v="14.5236"/>
        <n v="16.175000000000001"/>
        <n v="-11.994"/>
        <n v="29.328399999999998"/>
        <n v="12.6348"/>
        <n v="38.997399999999999"/>
        <n v="10.061999999999999"/>
        <n v="16.38"/>
        <n v="38.931199999999997"/>
        <n v="6.9732000000000003"/>
        <n v="40.3536"/>
        <n v="-4.1832000000000003"/>
        <n v="-26.085000000000001"/>
        <n v="35.694000000000003"/>
        <n v="-2.5880000000000001"/>
        <n v="23.7742"/>
        <n v="8.4941999999999993"/>
        <n v="0.71199999999999997"/>
        <n v="-426.98599999999999"/>
        <n v="459.39600000000002"/>
        <n v="41.76"/>
        <n v="65.963399999999993"/>
        <n v="30.097999999999999"/>
        <n v="79.193399999999997"/>
        <n v="15.606"/>
        <n v="-417.09359999999998"/>
        <n v="17.745000000000001"/>
        <n v="15.997999999999999"/>
        <n v="-2.6892"/>
        <n v="-32.479999999999997"/>
        <n v="16.7986"/>
        <n v="11.328799999999999"/>
        <n v="7.7679"/>
        <n v="-3.6892"/>
        <n v="7.7343000000000002"/>
        <n v="108.3528"/>
        <n v="38.975200000000001"/>
        <n v="21.506"/>
        <n v="343.9828"/>
        <n v="1.7901"/>
        <n v="2.7846000000000002"/>
        <n v="6.5052000000000003"/>
        <n v="-8.5793999999999997"/>
        <n v="7.3451000000000004"/>
        <n v="-3.6537000000000002"/>
        <n v="6.1992000000000003"/>
        <n v="-8.1821999999999999"/>
        <n v="-11.518800000000001"/>
        <n v="-17.0274"/>
        <n v="10.9193"/>
        <n v="39.948"/>
        <n v="52.631999999999998"/>
        <n v="-87.667199999999994"/>
        <n v="-106.393"/>
        <n v="-269.33760000000001"/>
        <n v="-12.849"/>
        <n v="5.7624000000000004"/>
        <n v="8.2896000000000001"/>
        <n v="8.4564000000000004"/>
        <n v="47.097900000000003"/>
        <n v="10.4985"/>
        <n v="0.22439999999999999"/>
        <n v="361.29939999999999"/>
        <n v="12.0609"/>
        <n v="-6.3959999999999999"/>
        <n v="16.3172"/>
        <n v="18.897200000000002"/>
        <n v="25.0182"/>
        <n v="-185.71680000000001"/>
        <n v="3.8570000000000002"/>
        <n v="1.9024000000000001"/>
        <n v="3.4085999999999999"/>
        <n v="3.0653999999999999"/>
        <n v="7.3358999999999996"/>
        <n v="4.7988"/>
        <n v="-2.9940000000000002"/>
        <n v="0.33600000000000002"/>
        <n v="16.847999999999999"/>
        <n v="214.4675"/>
        <n v="-3.7995999999999999"/>
        <n v="5.798"/>
        <n v="15.6332"/>
        <n v="22.118400000000001"/>
        <n v="109.7208"/>
        <n v="19.3932"/>
        <n v="99.901200000000003"/>
        <n v="66.715199999999996"/>
        <n v="89.222399999999993"/>
        <n v="13.32"/>
        <n v="4.7232000000000003"/>
        <n v="3.5009999999999999"/>
        <n v="33.339599999999997"/>
        <n v="33.64"/>
        <n v="14.7582"/>
        <n v="101.6508"/>
        <n v="52.793399999999998"/>
        <n v="-20.1663"/>
        <n v="-0.94520000000000004"/>
        <n v="-1.3952"/>
        <n v="-12.352"/>
        <n v="27.241199999999999"/>
        <n v="19.655999999999999"/>
        <n v="-17.0352"/>
        <n v="47.0548"/>
        <n v="440.76479999999998"/>
        <n v="9.7439999999999998"/>
        <n v="-77.625"/>
        <n v="7.0149999999999997"/>
        <n v="0.86240000000000006"/>
        <n v="0.65400000000000003"/>
        <n v="2.7027999999999999"/>
        <n v="62.700400000000002"/>
        <n v="57.501600000000003"/>
        <n v="112.4928"/>
        <n v="125.98739999999999"/>
        <n v="2.528"/>
        <n v="9.1580999999999992"/>
        <n v="19.6328"/>
        <n v="23.2182"/>
        <n v="140.59569999999999"/>
        <n v="5.6448"/>
        <n v="5.4287999999999998"/>
        <n v="8.1191999999999993"/>
        <n v="4.7615999999999996"/>
        <n v="16.553100000000001"/>
        <n v="16.945"/>
        <n v="42.131399999999999"/>
        <n v="4.9080000000000004"/>
        <n v="168.4384"/>
        <n v="0.87360000000000004"/>
        <n v="69.992999999999995"/>
        <n v="59.997999999999998"/>
        <n v="9.6374999999999993"/>
        <n v="21.272400000000001"/>
        <n v="-173.34719999999999"/>
        <n v="0.50219999999999998"/>
        <n v="-10.0372"/>
        <n v="-8.3789999999999996"/>
        <n v="-10.7964"/>
        <n v="11.516400000000001"/>
        <n v="-46.429200000000002"/>
        <n v="-181.26499999999999"/>
        <n v="421.08240000000001"/>
        <n v="-8.6058000000000003"/>
        <n v="11.7568"/>
        <n v="3.246"/>
        <n v="32.1678"/>
        <n v="18.5886"/>
        <n v="25.423999999999999"/>
        <n v="-2.5648"/>
        <n v="49.257599999999996"/>
        <n v="81.921000000000006"/>
        <n v="8.9993999999999996"/>
        <n v="88.129499999999993"/>
        <n v="138.3552"/>
        <n v="74.974999999999994"/>
        <n v="120.94159999999999"/>
        <n v="335.99439999999998"/>
        <n v="-299.8116"/>
        <n v="2.5973999999999999"/>
        <n v="2.1888000000000001"/>
        <n v="-7.3014999999999999"/>
        <n v="1.86"/>
        <n v="15.44"/>
        <n v="12.475199999999999"/>
        <n v="4.9615999999999998"/>
        <n v="54.8613"/>
        <n v="80.631200000000007"/>
        <n v="-81.664000000000001"/>
        <n v="49.498199999999997"/>
        <n v="1.8604000000000001"/>
        <n v="-7.3959999999999999"/>
        <n v="22.9008"/>
        <n v="7.6896000000000004"/>
        <n v="18.2592"/>
        <n v="27.9344"/>
        <n v="31.122"/>
        <n v="3.4357000000000002"/>
        <n v="-22.041599999999999"/>
        <n v="9"/>
        <n v="3.0861000000000001"/>
        <n v="22.457999999999998"/>
        <n v="13.603999999999999"/>
        <n v="-41.262"/>
        <n v="26.349399999999999"/>
        <n v="-320.23950000000002"/>
        <n v="47.0351"/>
        <n v="-7.3920000000000003"/>
        <n v="6.5537999999999998"/>
        <n v="9.3119999999999994"/>
        <n v="21.251999999999999"/>
        <n v="4.5201000000000002"/>
        <n v="10.949400000000001"/>
        <n v="85.982799999999997"/>
        <n v="106.7808"/>
        <n v="-131.5008"/>
        <n v="8.7144999999999992"/>
        <n v="2.4138000000000002"/>
        <n v="5.1184000000000003"/>
        <n v="12.6813"/>
        <n v="6.6905999999999999"/>
        <n v="9.2798999999999996"/>
        <n v="13.2986"/>
        <n v="38.08"/>
        <n v="102.774"/>
        <n v="63.8232"/>
        <n v="1.3676999999999999"/>
        <n v="19.137599999999999"/>
        <n v="8.048"/>
        <n v="133.15199999999999"/>
        <n v="7.1863999999999999"/>
        <n v="210.49359999999999"/>
        <n v="523.70519999999999"/>
        <n v="2.8321999999999998"/>
        <n v="0.3906"/>
        <n v="3.9498000000000002"/>
        <n v="2.8782000000000001"/>
        <n v="10.3194"/>
        <n v="-32.338799999999999"/>
        <n v="76.2624"/>
        <n v="17.379000000000001"/>
        <n v="6719.9808000000003"/>
        <n v="11.555999999999999"/>
        <n v="11.297000000000001"/>
        <n v="106.52160000000001"/>
        <n v="136.2971"/>
        <n v="0.95760000000000001"/>
        <n v="22.0947"/>
        <n v="14.558400000000001"/>
        <n v="62.747999999999998"/>
        <n v="45.770400000000002"/>
        <n v="15.8376"/>
        <n v="40.5867"/>
        <n v="47.037599999999998"/>
        <n v="427.43680000000001"/>
        <n v="2.9834999999999998"/>
        <n v="6.93"/>
        <n v="4.4855999999999998"/>
        <n v="23.119199999999999"/>
        <n v="-226.63679999999999"/>
        <n v="33.588799999999999"/>
        <n v="1.7995000000000001"/>
        <n v="-28.976400000000002"/>
        <n v="569.9905"/>
        <n v="5.9489999999999998"/>
        <n v="1.3160000000000001"/>
        <n v="20.767499999999998"/>
        <n v="2.4174000000000002"/>
        <n v="53.260800000000003"/>
        <n v="55.646999999999998"/>
        <n v="-66.391599999999997"/>
        <n v="58.42"/>
        <n v="-30.097999999999999"/>
        <n v="1.5007999999999999"/>
        <n v="8.1143999999999998"/>
        <n v="5.97"/>
        <n v="8.8800000000000008"/>
        <n v="6.9985999999999997"/>
        <n v="-48.119399999999999"/>
        <n v="53.271999999999998"/>
        <n v="7.9547999999999996"/>
        <n v="6.8992000000000004"/>
        <n v="10.0624"/>
        <n v="21.164000000000001"/>
        <n v="39.564"/>
        <n v="18.539100000000001"/>
        <n v="149.8956"/>
        <n v="2.0672000000000001"/>
        <n v="16.732800000000001"/>
        <n v="25.62"/>
        <n v="22.087"/>
        <n v="-36.235199999999999"/>
        <n v="188.1404"/>
        <n v="176.17080000000001"/>
        <n v="1439.9760000000001"/>
        <n v="-22.895600000000002"/>
        <n v="8.0190000000000001"/>
        <n v="17.27"/>
        <n v="8.0405999999999995"/>
        <n v="-90.774000000000001"/>
        <n v="30.7776"/>
        <n v="36.019199999999998"/>
        <n v="23.55"/>
        <n v="38.024999999999999"/>
        <n v="-19.105799999999999"/>
        <n v="85.176000000000002"/>
        <n v="359.99880000000002"/>
        <n v="-5.6943000000000001"/>
        <n v="2.7166000000000001"/>
        <n v="19.3185"/>
        <n v="1.8207"/>
        <n v="129.6"/>
        <n v="70.006"/>
        <n v="2.8912"/>
        <n v="6.5286"/>
        <n v="2.2050000000000001"/>
        <n v="7.6416000000000004"/>
        <n v="33.325600000000001"/>
        <n v="7.2111000000000001"/>
        <n v="47.98"/>
        <n v="8.49"/>
        <n v="11.1294"/>
        <n v="-5.94"/>
        <n v="19.178599999999999"/>
        <n v="-102.048"/>
        <n v="-248.2458"/>
        <n v="-7.7247000000000003"/>
        <n v="-3.552"/>
        <n v="1.2192000000000001"/>
        <n v="97.88"/>
        <n v="114.9385"/>
        <n v="79.793999999999997"/>
        <n v="621.97439999999995"/>
        <n v="1264.7559000000001"/>
        <n v="15.7584"/>
        <n v="10.487500000000001"/>
        <n v="88.073999999999998"/>
        <n v="219.99039999999999"/>
        <n v="-13.363"/>
        <n v="4.2336"/>
        <n v="-29.053599999999999"/>
        <n v="41.995800000000003"/>
        <n v="20.343900000000001"/>
        <n v="21.949200000000001"/>
        <n v="71.537499999999994"/>
        <n v="1.8480000000000001"/>
        <n v="3.58"/>
        <n v="-3.0933000000000002"/>
        <n v="6.4176000000000002"/>
        <n v="2.3616000000000001"/>
        <n v="0.15329999999999999"/>
        <n v="-4.7460000000000004"/>
        <n v="-17.045999999999999"/>
        <n v="14.2324"/>
        <n v="17.981999999999999"/>
        <n v="-38.211599999999997"/>
        <n v="302.37299999999999"/>
        <n v="1.6830000000000001"/>
        <n v="21.340800000000002"/>
        <n v="-32.219200000000001"/>
        <n v="9.0882000000000005"/>
        <n v="4.2047999999999996"/>
        <n v="2.5535999999999999"/>
        <n v="3.5022000000000002"/>
        <n v="5.0286"/>
        <n v="20.101500000000001"/>
        <n v="70.721999999999994"/>
        <n v="2.0049000000000001"/>
        <n v="-11.936999999999999"/>
        <n v="-6.0490000000000004"/>
        <n v="2.0592000000000001"/>
        <n v="9.5448000000000004"/>
        <n v="2.0649999999999999"/>
        <n v="-44.278199999999998"/>
        <n v="-4.7784000000000004"/>
        <n v="-10.054"/>
        <n v="1.5588"/>
        <n v="12.222"/>
        <n v="5.2773000000000003"/>
        <n v="-43.9056"/>
        <n v="46.731299999999997"/>
        <n v="-3399.98"/>
        <n v="3.597"/>
        <n v="-6.5735999999999999"/>
        <n v="13.507199999999999"/>
        <n v="-15.835599999999999"/>
        <n v="-9.2230000000000008"/>
        <n v="11.2896"/>
        <n v="70.492800000000003"/>
        <n v="-18.117599999999999"/>
        <n v="33.270400000000002"/>
        <n v="-21.2136"/>
        <n v="-6.1879999999999997"/>
        <n v="3.5459999999999998"/>
        <n v="-6.38"/>
        <n v="5.7752999999999997"/>
        <n v="18.28"/>
        <n v="-52.17"/>
        <n v="9.5418000000000003"/>
        <n v="-243.16"/>
        <n v="34.146000000000001"/>
        <n v="227.20500000000001"/>
        <n v="3.4620000000000002"/>
        <n v="-4.7145000000000001"/>
        <n v="-4.9878"/>
        <n v="8.3957999999999995"/>
        <n v="87.757800000000003"/>
        <n v="6.2152000000000003"/>
        <n v="-11.6928"/>
        <n v="26.544"/>
        <n v="30.186"/>
        <n v="36.813000000000002"/>
        <n v="35.3626"/>
        <n v="55.922400000000003"/>
        <n v="-14.5176"/>
        <n v="-7.84"/>
        <n v="7.008"/>
        <n v="3.3534000000000002"/>
        <n v="7.9661999999999997"/>
        <n v="11.919600000000001"/>
        <n v="4.8986000000000001"/>
        <n v="-18.196000000000002"/>
        <n v="12.41"/>
        <n v="-21.294"/>
        <n v="34.5"/>
        <n v="-0.99"/>
        <n v="-5.7637999999999998"/>
        <n v="-18.252500000000001"/>
        <n v="22.6737"/>
        <n v="28.4102"/>
        <n v="0.66720000000000002"/>
        <n v="4.5187999999999997"/>
        <n v="8.7629999999999999"/>
        <n v="27.504000000000001"/>
        <n v="6.7919999999999998"/>
        <n v="-1.4413"/>
        <n v="9.3564000000000007"/>
        <n v="19.247199999999999"/>
        <n v="39.0824"/>
        <n v="33.458399999999997"/>
        <n v="-42.1096"/>
        <n v="12.298"/>
        <n v="84.598200000000006"/>
        <n v="0.73360000000000003"/>
        <n v="0.77039999999999997"/>
        <n v="5.2649999999999997"/>
        <n v="-69.89"/>
        <n v="2.4058999999999999"/>
        <n v="28.332000000000001"/>
        <n v="80.340400000000002"/>
        <n v="-8.2764000000000006"/>
        <n v="-158.102"/>
        <n v="-9.2639999999999993"/>
        <n v="4.8525"/>
        <n v="7.5529999999999999"/>
        <n v="4.0098000000000003"/>
        <n v="0.74250000000000005"/>
        <n v="6.2160000000000002"/>
        <n v="-3.5508000000000002"/>
        <n v="-69.395200000000003"/>
        <n v="21.436800000000002"/>
        <n v="1.4976"/>
        <n v="-15.717599999999999"/>
        <n v="-458.14679999999998"/>
        <n v="18.093"/>
        <n v="0.41599999999999998"/>
        <n v="12.993"/>
        <n v="59.037199999999999"/>
        <n v="7.0650000000000004"/>
        <n v="-112.041"/>
        <n v="45.806399999999996"/>
        <n v="2.8"/>
        <n v="-17.591999999999999"/>
        <n v="6.6584000000000003"/>
        <n v="7.3007999999999997"/>
        <n v="19.465599999999998"/>
        <n v="-44.94"/>
        <n v="20.695499999999999"/>
        <n v="72.947999999999993"/>
        <n v="11.283899999999999"/>
        <n v="165.7176"/>
        <n v="-1.5414000000000001"/>
        <n v="-1.9275"/>
        <n v="-7.5167999999999999"/>
        <n v="4.0994999999999999"/>
        <n v="4.5656999999999996"/>
        <n v="-152.9847"/>
        <n v="11.58"/>
        <n v="-7.3231999999999999"/>
        <n v="7.4340000000000002"/>
        <n v="29.6"/>
        <n v="27.435199999999998"/>
        <n v="39.689"/>
        <n v="41.293799999999997"/>
        <n v="28.795200000000001"/>
        <n v="-119.1918"/>
        <n v="70.556399999999996"/>
        <n v="-57.951000000000001"/>
        <n v="0.64080000000000004"/>
        <n v="-18.802"/>
        <n v="18.037800000000001"/>
        <n v="-52.548099999999998"/>
        <n v="119.2"/>
        <n v="423.00850000000003"/>
        <n v="7.4592000000000001"/>
        <n v="18.4604"/>
        <n v="28.796399999999998"/>
        <n v="22.702400000000001"/>
        <n v="-23.7822"/>
        <n v="1049.9849999999999"/>
        <n v="2.6783999999999999"/>
        <n v="46.225000000000001"/>
        <n v="87.991200000000006"/>
        <n v="25.875"/>
        <n v="63.106999999999999"/>
        <n v="22.015799999999999"/>
        <n v="-14.8832"/>
        <n v="-356.96429999999998"/>
        <n v="9.4366000000000003"/>
        <n v="-6.9965000000000002"/>
        <n v="12.736800000000001"/>
        <n v="42.048000000000002"/>
        <n v="34.96"/>
        <n v="-15.99"/>
        <n v="4.7724000000000002"/>
        <n v="-10.705500000000001"/>
        <n v="1.1556"/>
        <n v="2.0979000000000001"/>
        <n v="4.42"/>
        <n v="6.4691999999999998"/>
        <n v="15.426"/>
        <n v="-53.072000000000003"/>
        <n v="81.432000000000002"/>
        <n v="149.76"/>
        <n v="-124.431"/>
        <n v="95.461200000000005"/>
        <n v="158.75190000000001"/>
        <n v="411.73649999999998"/>
        <n v="7.3205999999999998"/>
        <n v="2.3363999999999998"/>
        <n v="23.5764"/>
        <n v="206.88929999999999"/>
        <n v="134.99250000000001"/>
        <n v="601.96990000000005"/>
        <n v="1.0904"/>
        <n v="5.8708"/>
        <n v="16.183800000000002"/>
        <n v="23.8581"/>
        <n v="9.3000000000000007"/>
        <n v="-46.536000000000001"/>
        <n v="5.7750000000000004"/>
        <n v="1.9319999999999999"/>
        <n v="37"/>
        <n v="24.858000000000001"/>
        <n v="3.4750000000000001"/>
        <n v="2.5893000000000002"/>
        <n v="17.1828"/>
        <n v="4.2624000000000004"/>
        <n v="-55.256"/>
        <n v="75.734999999999999"/>
        <n v="38.779200000000003"/>
        <n v="-3.2934000000000001"/>
        <n v="0.66959999999999997"/>
        <n v="-10.6547"/>
        <n v="1.0286999999999999"/>
        <n v="4.4824000000000002"/>
        <n v="-0.99329999999999996"/>
        <n v="6.2607999999999997"/>
        <n v="15.6744"/>
        <n v="-0.9012"/>
        <n v="15.637499999999999"/>
        <n v="20.731200000000001"/>
        <n v="9.5991999999999997"/>
        <n v="28.176400000000001"/>
        <n v="49.92"/>
        <n v="91.950800000000001"/>
        <n v="113.98860000000001"/>
        <n v="109.7226"/>
        <n v="-35.364600000000003"/>
        <n v="89.3142"/>
        <n v="98.272199999999998"/>
        <n v="42.588000000000001"/>
        <n v="374.62860000000001"/>
        <n v="4.2952000000000004"/>
        <n v="1.395"/>
        <n v="10.109400000000001"/>
        <n v="10.896000000000001"/>
        <n v="12.8184"/>
        <n v="13.780799999999999"/>
        <n v="4.0679999999999996"/>
        <n v="38.61"/>
        <n v="-97.176000000000002"/>
        <n v="162.09479999999999"/>
        <n v="70.195499999999996"/>
        <n v="3.4826999999999999"/>
        <n v="3.3504"/>
        <n v="8.2943999999999996"/>
        <n v="7.0949999999999998"/>
        <n v="19.814399999999999"/>
        <n v="18.821000000000002"/>
        <n v="72.807000000000002"/>
        <n v="5.2112999999999996"/>
        <n v="25.330200000000001"/>
        <n v="-54.595799999999997"/>
        <n v="2.5137"/>
        <n v="0.7228"/>
        <n v="-2.6267999999999998"/>
        <n v="18.832799999999999"/>
        <n v="-6.4233000000000002"/>
        <n v="0.61560000000000004"/>
        <n v="-1.9601999999999999"/>
        <n v="-46.716000000000001"/>
        <n v="-11.5938"/>
        <n v="13.2"/>
        <n v="207.47499999999999"/>
        <n v="1.4804999999999999"/>
        <n v="-11.2806"/>
        <n v="13.428000000000001"/>
        <n v="62.531999999999996"/>
        <n v="0.77280000000000004"/>
        <n v="6.9240000000000004"/>
        <n v="28.629000000000001"/>
        <n v="138.417"/>
        <n v="0.33989999999999998"/>
        <n v="-10.050000000000001"/>
        <n v="7.86"/>
        <n v="14.7"/>
        <n v="-29.007300000000001"/>
        <n v="36.287700000000001"/>
        <n v="-64.937600000000003"/>
        <n v="19.596"/>
        <n v="101.4504"/>
        <n v="54.393599999999999"/>
        <n v="9.8856000000000002"/>
        <n v="4.0776000000000003"/>
        <n v="-52.339199999999998"/>
        <n v="2.6208"/>
        <n v="3.99"/>
        <n v="1.1775"/>
        <n v="19.968599999999999"/>
        <n v="4.6745999999999999"/>
        <n v="17.639099999999999"/>
        <n v="-6.0195999999999996"/>
        <n v="33.874400000000001"/>
        <n v="3.0438000000000001"/>
        <n v="10.179"/>
        <n v="1.8672"/>
        <n v="-0.33979999999999999"/>
        <n v="-3.0939999999999999"/>
        <n v="15.9543"/>
        <n v="-34.314799999999998"/>
        <n v="-77.1267"/>
        <n v="539.24639999999999"/>
        <n v="793.71600000000001"/>
        <n v="1.3109999999999999"/>
        <n v="-2.6585999999999999"/>
        <n v="10.0572"/>
        <n v="14.7593"/>
        <n v="25.872"/>
        <n v="7.92"/>
        <n v="-0.64349999999999996"/>
        <n v="9.1872000000000007"/>
        <n v="2.4009999999999998"/>
        <n v="15.920999999999999"/>
        <n v="36.183599999999998"/>
        <n v="5.4504000000000001"/>
        <n v="-4.1399999999999997"/>
        <n v="-2.5749"/>
        <n v="-115.43040000000001"/>
        <n v="50.396000000000001"/>
        <n v="362.83499999999998"/>
        <n v="1.2714000000000001"/>
        <n v="1.8353999999999999"/>
        <n v="-3.4914000000000001"/>
        <n v="0.58499999999999996"/>
        <n v="22.226400000000002"/>
        <n v="9.6712000000000007"/>
        <n v="54.04"/>
        <n v="4.3883999999999999"/>
        <n v="-9.5549999999999997"/>
        <n v="-17.443200000000001"/>
        <n v="25.194400000000002"/>
        <n v="52.917299999999997"/>
        <n v="2.1779999999999999"/>
        <n v="-48.392000000000003"/>
        <n v="12.3123"/>
        <n v="28.618200000000002"/>
        <n v="140.95679999999999"/>
        <n v="-4.4660000000000002"/>
        <n v="5.0763999999999996"/>
        <n v="-18.872800000000002"/>
        <n v="-3.504"/>
        <n v="2.0790000000000002"/>
        <n v="28.706399999999999"/>
        <n v="-71.890500000000003"/>
        <n v="54.057000000000002"/>
        <n v="-14.3856"/>
        <n v="11.36"/>
        <n v="54.333199999999998"/>
        <n v="17.497499999999999"/>
        <n v="-30.245000000000001"/>
        <n v="84.22"/>
        <n v="4.1159999999999997"/>
        <n v="3.895"/>
        <n v="4.2"/>
        <n v="5.4332000000000003"/>
        <n v="4.7560000000000002"/>
        <n v="0.70650000000000002"/>
        <n v="15.012"/>
        <n v="7.7004000000000001"/>
        <n v="1.0296000000000001"/>
        <n v="6.6029999999999998"/>
        <n v="41.860799999999998"/>
        <n v="-48.508200000000002"/>
        <n v="35.098999999999997"/>
        <n v="130.20750000000001"/>
        <n v="-3.81"/>
        <n v="1.984"/>
        <n v="6.6294000000000004"/>
        <n v="41.951999999999998"/>
        <n v="67.941000000000003"/>
        <n v="143.04"/>
        <n v="-6.8634000000000004"/>
        <n v="9.3295999999999992"/>
        <n v="4.2666000000000004"/>
        <n v="19.175999999999998"/>
        <n v="16.676400000000001"/>
        <n v="-39.1248"/>
        <n v="50.9208"/>
        <n v="-25.474399999999999"/>
        <n v="-87.341800000000006"/>
        <n v="5.9980000000000002"/>
        <n v="22.828499999999998"/>
        <n v="-3.8864000000000001"/>
        <n v="29.692"/>
        <n v="6.7031999999999998"/>
        <n v="-28.224"/>
        <n v="7.4974999999999996"/>
        <n v="17.847000000000001"/>
        <n v="26.997299999999999"/>
        <n v="223.99359999999999"/>
        <n v="9.3504000000000005"/>
        <n v="1.7465999999999999"/>
        <n v="1.7115"/>
        <n v="4.7976000000000001"/>
        <n v="50.584800000000001"/>
        <n v="90.587999999999994"/>
        <n v="107.9892"/>
        <n v="90.971999999999994"/>
        <n v="-8.9039999999999999"/>
        <n v="4.3368000000000002"/>
        <n v="1.794"/>
        <n v="4.7304000000000004"/>
        <n v="17.157399999999999"/>
        <n v="8.1072000000000006"/>
        <n v="46.575000000000003"/>
        <n v="-32.929200000000002"/>
        <n v="1668.2049999999999"/>
        <n v="4.4311999999999996"/>
        <n v="-3.5712000000000002"/>
        <n v="-16.38"/>
        <n v="17.959199999999999"/>
        <n v="75.593699999999998"/>
        <n v="19.051200000000001"/>
        <n v="10.311999999999999"/>
        <n v="47.507199999999997"/>
        <n v="1.5290999999999999"/>
        <n v="-32.636600000000001"/>
        <n v="-84.961500000000001"/>
        <n v="-43.435200000000002"/>
        <n v="-5.2072000000000003"/>
        <n v="0.83879999999999999"/>
        <n v="-11.020799999999999"/>
        <n v="-1.1100000000000001"/>
        <n v="3.7595999999999998"/>
        <n v="21.134399999999999"/>
        <n v="7.2720000000000002"/>
        <n v="14.994999999999999"/>
        <n v="125.99"/>
        <n v="0.33479999999999999"/>
        <n v="18.6006"/>
        <n v="40.375999999999998"/>
        <n v="219.44159999999999"/>
        <n v="-34.380000000000003"/>
        <n v="2.464"/>
        <n v="-5.0094000000000003"/>
        <n v="-7.5768000000000004"/>
        <n v="-23.8855"/>
        <n v="12.6927"/>
        <n v="25.898399999999999"/>
        <n v="48.377099999999999"/>
        <n v="32.633200000000002"/>
        <n v="49.804200000000002"/>
        <n v="111.824"/>
        <n v="6.7949999999999999"/>
        <n v="1.3535999999999999"/>
        <n v="11.820600000000001"/>
        <n v="26.64"/>
        <n v="16.704000000000001"/>
        <n v="-5.0098000000000003"/>
        <n v="148.13800000000001"/>
        <n v="-2.1194999999999999"/>
        <n v="0.73480000000000001"/>
        <n v="1.6752"/>
        <n v="37.108400000000003"/>
        <n v="67.191599999999994"/>
        <n v="-13.6776"/>
        <n v="41.79"/>
        <n v="31.587"/>
        <n v="72.788799999999995"/>
        <n v="135.97999999999999"/>
        <n v="214.16399999999999"/>
        <n v="5.4127999999999998"/>
        <n v="8.2360000000000007"/>
        <n v="2.0430000000000001"/>
        <n v="40.415999999999997"/>
        <n v="31.940999999999999"/>
        <n v="9.2322000000000006"/>
        <n v="39.213000000000001"/>
        <n v="-39.511800000000001"/>
        <n v="101.57940000000001"/>
        <n v="90.734999999999999"/>
        <n v="-96.470399999999998"/>
        <n v="185.2578"/>
        <n v="310.98719999999997"/>
        <n v="3.0367999999999999"/>
        <n v="-54.549599999999998"/>
        <n v="8.5543999999999993"/>
        <n v="5.77"/>
        <n v="7.9794"/>
        <n v="22.4316"/>
        <n v="25.579799999999999"/>
        <n v="67.113900000000001"/>
        <n v="-178.8468"/>
        <n v="-295.9785"/>
        <n v="9.7812000000000001"/>
        <n v="5.3680000000000003"/>
        <n v="-10.3124"/>
        <n v="78.195400000000006"/>
        <n v="13.317600000000001"/>
        <n v="59.435499999999998"/>
        <n v="-8.1096000000000004"/>
        <n v="26.597999999999999"/>
        <n v="54.343800000000002"/>
        <n v="62.988"/>
        <n v="-103.98820000000001"/>
        <n v="92.439899999999994"/>
        <n v="93.203999999999994"/>
        <n v="77.751900000000006"/>
        <n v="114.6285"/>
        <n v="49.761000000000003"/>
        <n v="742.63199999999995"/>
        <n v="209.58"/>
        <n v="1.5522"/>
        <n v="2.6972999999999998"/>
        <n v="11.102399999999999"/>
        <n v="5.5176999999999996"/>
        <n v="-2.7"/>
        <n v="-348.62939999999998"/>
        <n v="-10.4214"/>
        <n v="-17.660699999999999"/>
        <n v="11.2752"/>
        <n v="22.3888"/>
        <n v="-13.7403"/>
        <n v="23.923999999999999"/>
        <n v="-2.2585999999999999"/>
        <n v="5.8202999999999996"/>
        <n v="-45.349200000000003"/>
        <n v="93.24"/>
        <n v="85.787000000000006"/>
        <n v="-113.998"/>
        <n v="1.0044"/>
        <n v="6.3335999999999997"/>
        <n v="0.1188"/>
        <n v="4.8231000000000002"/>
        <n v="35.334600000000002"/>
        <n v="5.8743999999999996"/>
        <n v="30.2316"/>
        <n v="62.737000000000002"/>
        <n v="58.179000000000002"/>
        <n v="45.487000000000002"/>
        <n v="99.23"/>
        <n v="385.37520000000001"/>
        <n v="6.2016"/>
        <n v="3.0996000000000001"/>
        <n v="4.3296000000000001"/>
        <n v="8.673"/>
        <n v="4.1471999999999998"/>
        <n v="7.8192000000000004"/>
        <n v="9.1953999999999994"/>
        <n v="24.269600000000001"/>
        <n v="10.5"/>
        <n v="48.806399999999996"/>
        <n v="3.9127999999999998"/>
        <n v="14.307499999999999"/>
        <n v="134.65199999999999"/>
        <n v="-0.79200000000000004"/>
        <n v="-146.16"/>
        <n v="26.115600000000001"/>
        <n v="7.9127999999999998"/>
        <n v="10.896599999999999"/>
        <n v="5.3963999999999999"/>
        <n v="17.238"/>
        <n v="43.706000000000003"/>
        <n v="11.8248"/>
        <n v="1.1924999999999999"/>
        <n v="19.339200000000002"/>
        <n v="6.2375999999999996"/>
        <n v="-7.2588999999999997"/>
        <n v="20.8568"/>
        <n v="4.6529999999999996"/>
        <n v="19.735800000000001"/>
        <n v="148.845"/>
        <n v="-377.98919999999998"/>
        <n v="2.3311999999999999"/>
        <n v="2.1320000000000001"/>
        <n v="50.383200000000002"/>
        <n v="-48.783900000000003"/>
        <n v="88.552800000000005"/>
        <n v="157.1292"/>
        <n v="4.3903999999999996"/>
        <n v="13.009499999999999"/>
        <n v="8.7989999999999995"/>
        <n v="-1.0196000000000001"/>
        <n v="15.147"/>
        <n v="28.95"/>
        <n v="47.951999999999998"/>
        <n v="67.495000000000005"/>
        <n v="210.73500000000001"/>
        <n v="2.1736"/>
        <n v="14.4596"/>
        <n v="10.098000000000001"/>
        <n v="-42.896700000000003"/>
        <n v="69.996499999999997"/>
        <n v="-448.89600000000002"/>
        <n v="-6.1247999999999996"/>
        <n v="1.1479999999999999"/>
        <n v="5.2312000000000003"/>
        <n v="25.474399999999999"/>
        <n v="27.440999999999999"/>
        <n v="31.266400000000001"/>
        <n v="112.4064"/>
        <n v="-5.7148000000000003"/>
        <n v="20.21"/>
        <n v="30.414999999999999"/>
        <n v="8.7140000000000004"/>
        <n v="6.2937000000000003"/>
        <n v="29.5626"/>
        <n v="-164.83600000000001"/>
        <n v="-21.3264"/>
        <n v="-52.640999999999998"/>
        <n v="25.010999999999999"/>
        <n v="67.989999999999995"/>
        <n v="69.676199999999994"/>
        <n v="121.9644"/>
        <n v="-3.3792"/>
        <n v="1.6896"/>
        <n v="-4.5823999999999998"/>
        <n v="7.6798000000000002"/>
        <n v="3.8719999999999999"/>
        <n v="7.1711999999999998"/>
        <n v="5.7072000000000003"/>
        <n v="17.623200000000001"/>
        <n v="-22.62"/>
        <n v="7.5370999999999997"/>
        <n v="-75.191999999999993"/>
        <n v="14.085900000000001"/>
        <n v="15.192"/>
        <n v="11.182499999999999"/>
        <n v="143.982"/>
        <n v="4.3499999999999996"/>
        <n v="5.5071000000000003"/>
        <n v="5.4896000000000003"/>
        <n v="27.993600000000001"/>
        <n v="19.872"/>
        <n v="839.98599999999999"/>
        <n v="-34.646999999999998"/>
        <n v="-25.992000000000001"/>
        <n v="-4.2587999999999999"/>
        <n v="1.0738000000000001"/>
        <n v="9.5081000000000007"/>
        <n v="4.2470999999999997"/>
        <n v="45.293999999999997"/>
        <n v="-2.2757999999999998"/>
        <n v="32.893000000000001"/>
        <n v="12.052"/>
        <n v="4.0202999999999998"/>
        <n v="10.507199999999999"/>
        <n v="100.24"/>
        <n v="3.6192000000000002"/>
        <n v="4.1943999999999999"/>
        <n v="25.511199999999999"/>
        <n v="15.599"/>
        <n v="60.552799999999998"/>
        <n v="133.97130000000001"/>
        <n v="0.47060000000000002"/>
        <n v="0.38219999999999998"/>
        <n v="16.405200000000001"/>
        <n v="22.244399999999999"/>
        <n v="-53.743200000000002"/>
        <n v="85.903999999999996"/>
        <n v="12.6"/>
        <n v="54.558"/>
        <n v="-57.115200000000002"/>
        <n v="390.97699999999998"/>
        <n v="8.4095999999999993"/>
        <n v="5.5392000000000001"/>
        <n v="5.3948999999999998"/>
        <n v="11.457599999999999"/>
        <n v="8.2848000000000006"/>
        <n v="15.2712"/>
        <n v="5.9989999999999997"/>
        <n v="16.997499999999999"/>
        <n v="-263.99669999999998"/>
        <n v="18.5274"/>
        <n v="11.1564"/>
        <n v="-36.674399999999999"/>
        <n v="4.1756000000000002"/>
        <n v="7.4654999999999996"/>
        <n v="2.8883999999999999"/>
        <n v="3.1842000000000001"/>
        <n v="-5.6406000000000001"/>
        <n v="29.518599999999999"/>
        <n v="66.599999999999994"/>
        <n v="60.422400000000003"/>
        <n v="7.5528000000000004"/>
        <n v="21.036000000000001"/>
        <n v="23.3184"/>
        <n v="68.364000000000004"/>
        <n v="247.48500000000001"/>
        <n v="11.827199999999999"/>
        <n v="7.3920000000000003"/>
        <n v="21.997800000000002"/>
        <n v="19.8276"/>
        <n v="26.2"/>
        <n v="-13.437900000000001"/>
        <n v="-25.109000000000002"/>
        <n v="17.9955"/>
        <n v="25.898"/>
        <n v="44.2425"/>
        <n v="412.46800000000002"/>
        <n v="4.6440000000000001"/>
        <n v="11.673"/>
        <n v="7.8064"/>
        <n v="25.472999999999999"/>
        <n v="83.284000000000006"/>
        <n v="378.16739999999999"/>
        <n v="35.04"/>
        <n v="13.438599999999999"/>
        <n v="219.65459999999999"/>
        <n v="2.87"/>
        <n v="10.0116"/>
        <n v="-22.512"/>
        <n v="37.764000000000003"/>
        <n v="12.246499999999999"/>
        <n v="59.372999999999998"/>
        <n v="27.295200000000001"/>
        <n v="373.779"/>
        <n v="19.7712"/>
        <n v="11.685"/>
        <n v="22.6233"/>
        <n v="30.605399999999999"/>
        <n v="47.660400000000003"/>
        <n v="-1237.8462"/>
        <n v="4.7969999999999997"/>
        <n v="0.47520000000000001"/>
        <n v="9.1199999999999992"/>
        <n v="8.4887999999999995"/>
        <n v="5.9211"/>
        <n v="9.2568000000000001"/>
        <n v="11.707800000000001"/>
        <n v="5.2286999999999999"/>
        <n v="25.438400000000001"/>
        <n v="-337.80599999999998"/>
        <n v="23.184000000000001"/>
        <n v="-11.19"/>
        <n v="-0.83919999999999995"/>
        <n v="77.369600000000005"/>
        <n v="97.6524"/>
        <n v="140.54820000000001"/>
        <n v="654.75540000000001"/>
        <n v="-630.88199999999995"/>
        <n v="-1.0409999999999999"/>
        <n v="1.002"/>
        <n v="-99.103200000000001"/>
        <n v="-22.238800000000001"/>
        <n v="-2.1312000000000002"/>
        <n v="22.419599999999999"/>
        <n v="27.286200000000001"/>
        <n v="33.57"/>
        <n v="12.504"/>
        <n v="61.389000000000003"/>
        <n v="371.31599999999997"/>
        <n v="290.00580000000002"/>
        <n v="224.42400000000001"/>
        <n v="942.81569999999999"/>
        <n v="-33.139000000000003"/>
        <n v="-11.4648"/>
        <n v="-7.9067999999999996"/>
        <n v="1.2390000000000001"/>
        <n v="10.9939"/>
        <n v="7.6494"/>
        <n v="15.7872"/>
        <n v="37.235999999999997"/>
        <n v="182.3553"/>
        <n v="10.788"/>
        <n v="77.713999999999999"/>
        <n v="5.1660000000000004"/>
        <n v="3.5960000000000001"/>
        <n v="10.4754"/>
        <n v="29.358000000000001"/>
        <n v="31.252800000000001"/>
        <n v="42.464700000000001"/>
        <n v="54.950400000000002"/>
        <n v="20.745899999999999"/>
        <n v="38.870399999999997"/>
        <n v="37.797199999999997"/>
        <n v="34.354799999999997"/>
        <n v="1453.1238000000001"/>
        <n v="7.4871999999999996"/>
        <n v="7.11"/>
        <n v="4.9648000000000003"/>
        <n v="2.085"/>
        <n v="16.8"/>
        <n v="11.613"/>
        <n v="10.7996"/>
        <n v="2.6251000000000002"/>
        <n v="-83.875200000000007"/>
        <n v="12.103199999999999"/>
        <n v="327.59219999999999"/>
        <n v="0.41760000000000003"/>
        <n v="2.9430000000000001"/>
        <n v="64.627200000000002"/>
        <n v="1.3104"/>
        <n v="7.71"/>
        <n v="-89.066400000000002"/>
        <n v="67.256"/>
        <n v="1.07"/>
        <n v="1.7023999999999999"/>
        <n v="1.9272"/>
        <n v="13.9672"/>
        <n v="-43.847999999999999"/>
        <n v="33.1584"/>
        <n v="96.575999999999993"/>
        <n v="100.9113"/>
        <n v="329.99400000000003"/>
        <n v="209.97900000000001"/>
        <n v="-297.6848"/>
        <n v="0.372"/>
        <n v="0.89600000000000002"/>
        <n v="0.97740000000000005"/>
        <n v="3.96"/>
        <n v="11.565"/>
        <n v="16.598400000000002"/>
        <n v="26.564"/>
        <n v="32.396000000000001"/>
        <n v="250.30500000000001"/>
        <n v="9.3520000000000003"/>
        <n v="5.8887"/>
        <n v="11.429600000000001"/>
        <n v="41.445599999999999"/>
        <n v="0.7056"/>
        <n v="-5.1840000000000002"/>
        <n v="17.760000000000002"/>
        <n v="43.421700000000001"/>
        <n v="9.6974999999999998"/>
        <n v="83.209699999999998"/>
        <n v="7.1196000000000002"/>
        <n v="166.06979999999999"/>
        <n v="77.558400000000006"/>
        <n v="2.7222"/>
        <n v="0.69840000000000002"/>
        <n v="0.80579999999999996"/>
        <n v="39.066000000000003"/>
        <n v="45.369599999999998"/>
        <n v="103.818"/>
        <n v="134.53020000000001"/>
        <n v="6.7965999999999998"/>
        <n v="2.9561999999999999"/>
        <n v="8.0220000000000002"/>
        <n v="40.312800000000003"/>
        <n v="57.411299999999997"/>
        <n v="-44.234999999999999"/>
        <n v="-2.9565999999999999"/>
        <n v="-93.3262"/>
        <n v="132.99"/>
        <n v="323.94600000000003"/>
        <n v="213.73500000000001"/>
        <n v="757.41120000000001"/>
        <n v="829.37540000000001"/>
        <n v="2.214"/>
        <n v="-15.0876"/>
        <n v="7.7039999999999997"/>
        <n v="3.7642000000000002"/>
        <n v="8.9207999999999998"/>
        <n v="2.8340000000000001"/>
        <n v="1.7739"/>
        <n v="4.1448"/>
        <n v="3.9474"/>
        <n v="2.726"/>
        <n v="5.6"/>
        <n v="6.468"/>
        <n v="-7.1189999999999998"/>
        <n v="14.124599999999999"/>
        <n v="28.896000000000001"/>
        <n v="-105.69"/>
        <n v="85.491"/>
        <n v="201.31200000000001"/>
        <n v="2.2240000000000002"/>
        <n v="3.339"/>
        <n v="1.6688000000000001"/>
        <n v="8.8623999999999992"/>
        <n v="-68.185599999999994"/>
        <n v="-58.716000000000001"/>
        <n v="6.0739999999999998"/>
        <n v="39.5428"/>
        <n v="65.355000000000004"/>
        <n v="105.27500000000001"/>
        <n v="152.495"/>
        <n v="-117.88200000000001"/>
        <n v="-99.176400000000001"/>
        <n v="92.391999999999996"/>
        <n v="-3.0575999999999999"/>
        <n v="3.1850000000000001"/>
        <n v="3.798"/>
        <n v="0.61919999999999997"/>
        <n v="3.7440000000000002"/>
        <n v="4.1327999999999996"/>
        <n v="-0.20979999999999999"/>
        <n v="1.7375"/>
        <n v="3.7719999999999998"/>
        <n v="6.9653999999999998"/>
        <n v="-20.448"/>
        <n v="5.55"/>
        <n v="0.54320000000000002"/>
        <n v="7.1959999999999997"/>
        <n v="-1.1195999999999999"/>
        <n v="-29.436800000000002"/>
        <n v="7.1372"/>
        <n v="34.812800000000003"/>
        <n v="46.543199999999999"/>
        <n v="47.46"/>
        <n v="37.884"/>
        <n v="-28.2744"/>
        <n v="80.483900000000006"/>
        <n v="34.178400000000003"/>
        <n v="133.86240000000001"/>
        <n v="1.6524000000000001"/>
        <n v="-6.0236999999999998"/>
        <n v="1.8872"/>
        <n v="7.774"/>
        <n v="10.5672"/>
        <n v="2.355"/>
        <n v="8.2992000000000008"/>
        <n v="2.3969999999999998"/>
        <n v="7.2744"/>
        <n v="18.781199999999998"/>
        <n v="26.465399999999999"/>
        <n v="33.589199999999998"/>
        <n v="13.857900000000001"/>
        <n v="-39.637"/>
        <n v="-47.396799999999999"/>
        <n v="107.99460000000001"/>
        <n v="-566.5625"/>
        <n v="-11.651199999999999"/>
        <n v="1.7055"/>
        <n v="15.497999999999999"/>
        <n v="16.9312"/>
        <n v="20.234999999999999"/>
        <n v="28.763999999999999"/>
        <n v="-48.470399999999998"/>
        <n v="51.187199999999997"/>
        <n v="62.137599999999999"/>
        <n v="-15.244999999999999"/>
        <n v="-3.2309999999999999"/>
        <n v="12.5762"/>
        <n v="-386.39159999999998"/>
        <n v="-2.3275999999999999"/>
        <n v="-5.2149999999999999"/>
        <n v="2.3879999999999999"/>
        <n v="8.2156000000000002"/>
        <n v="-3.6023999999999998"/>
        <n v="1.5768"/>
        <n v="-1.9872000000000001"/>
        <n v="-3.5640000000000001"/>
        <n v="3.8879999999999999"/>
        <n v="0.83819999999999995"/>
        <n v="3.4496000000000002"/>
        <n v="5.9778000000000002"/>
        <n v="-9.0904000000000007"/>
        <n v="22.8096"/>
        <n v="6.7679999999999998"/>
        <n v="16.5564"/>
        <n v="17.177399999999999"/>
        <n v="53.433"/>
        <n v="27.176400000000001"/>
        <n v="-1143.8910000000001"/>
        <n v="1.3622000000000001"/>
        <n v="9.0047999999999995"/>
        <n v="2.2450000000000001"/>
        <n v="11.702999999999999"/>
        <n v="6.5808"/>
        <n v="7.2539999999999996"/>
        <n v="8.8008000000000006"/>
        <n v="14.6157"/>
        <n v="34.214399999999998"/>
        <n v="84.943600000000004"/>
        <n v="8.8783999999999992"/>
        <n v="50.876800000000003"/>
        <n v="113.848"/>
        <n v="-65.852999999999994"/>
        <n v="459.98750000000001"/>
        <n v="256.78399999999999"/>
        <n v="-4.2012"/>
        <n v="6.6740000000000004"/>
        <n v="3.29"/>
        <n v="10.8682"/>
        <n v="6.0381999999999998"/>
        <n v="6.42"/>
        <n v="20.37"/>
        <n v="-17.991"/>
        <n v="3.0095999999999998"/>
        <n v="19.95"/>
        <n v="22.89"/>
        <n v="2.786"/>
        <n v="3.5489999999999999"/>
        <n v="26.082000000000001"/>
        <n v="-29.152799999999999"/>
        <n v="-168.81899999999999"/>
        <n v="-6.5490000000000004"/>
        <n v="190.38810000000001"/>
        <n v="94.278400000000005"/>
        <n v="323.95499999999998"/>
        <n v="8.6854999999999993"/>
        <n v="-18.038499999999999"/>
        <n v="-12.208"/>
        <n v="18.446999999999999"/>
        <n v="41.706000000000003"/>
        <n v="30.508800000000001"/>
        <n v="116.3904"/>
        <n v="106.95780000000001"/>
        <n v="20.2485"/>
        <n v="32.335099999999997"/>
        <n v="102.9444"/>
        <n v="105.98"/>
        <n v="143.62880000000001"/>
        <n v="203.56440000000001"/>
        <n v="884.05799999999999"/>
        <n v="12.090400000000001"/>
        <n v="6.5119999999999996"/>
        <n v="10.813599999999999"/>
        <n v="11.553599999999999"/>
        <n v="10.7964"/>
        <n v="18.96"/>
        <n v="19.793399999999998"/>
        <n v="-412.61540000000002"/>
        <n v="8.7710000000000008"/>
        <n v="3.24"/>
        <n v="6.3684000000000003"/>
        <n v="4.0571999999999999"/>
        <n v="-2.7551999999999999"/>
        <n v="2.2511999999999999"/>
        <n v="5.5991999999999997"/>
        <n v="80.791200000000003"/>
        <n v="225.6"/>
        <n v="188.2192"/>
        <n v="77.576400000000007"/>
        <n v="88.484999999999999"/>
        <n v="4.2717000000000001"/>
        <n v="-10.15"/>
        <n v="3.2214"/>
        <n v="26.790400000000002"/>
        <n v="35.89"/>
        <n v="34.182000000000002"/>
        <n v="119.4742"/>
        <n v="3.2406000000000001"/>
        <n v="7.98"/>
        <n v="0.55800000000000005"/>
        <n v="-2.9740000000000002"/>
        <n v="9.9992000000000001"/>
        <n v="-128.2388"/>
        <n v="4.4791999999999996"/>
        <n v="9.5616000000000003"/>
        <n v="31.4895"/>
        <n v="19.197600000000001"/>
        <n v="29.495000000000001"/>
        <n v="-3.3894000000000002"/>
        <n v="4.8545999999999996"/>
        <n v="-13.938000000000001"/>
        <n v="-2.5247999999999999"/>
        <n v="8.0991"/>
        <n v="95.76"/>
        <n v="18.176400000000001"/>
        <n v="350.90820000000002"/>
        <n v="375.73500000000001"/>
        <n v="609.71569999999997"/>
        <n v="18.104399999999998"/>
        <n v="20.389800000000001"/>
        <n v="12.712"/>
        <n v="26.3934"/>
        <n v="24.143999999999998"/>
        <n v="-1.5264"/>
        <n v="3.8774999999999999"/>
        <n v="27.93"/>
        <n v="22.9954"/>
        <n v="25.221299999999999"/>
        <n v="41.133200000000002"/>
        <n v="113.6742"/>
        <n v="318.30160000000001"/>
        <n v="171.36"/>
        <n v="-1049.3406"/>
        <n v="6.4584000000000001"/>
        <n v="5.0220000000000002"/>
        <n v="-4.2987000000000002"/>
        <n v="-18.526199999999999"/>
        <n v="3.9830999999999999"/>
        <n v="14.563800000000001"/>
        <n v="12.231"/>
        <n v="15.5288"/>
        <n v="23.712"/>
        <n v="48.287999999999997"/>
        <n v="97.078400000000002"/>
        <n v="-240.78399999999999"/>
        <n v="63.984000000000002"/>
        <n v="102.18600000000001"/>
        <n v="59.4816"/>
        <n v="2.3220000000000001"/>
        <n v="9.0383999999999993"/>
        <n v="0.5998"/>
        <n v="-8.9963999999999995"/>
        <n v="-197.5752"/>
        <n v="25.172000000000001"/>
        <n v="24.4758"/>
        <n v="71.927999999999997"/>
        <n v="85.529700000000005"/>
        <n v="109.7544"/>
        <n v="38.396000000000001"/>
        <n v="177.19800000000001"/>
        <n v="-14.8704"/>
        <n v="181.17599999999999"/>
        <n v="275.47800000000001"/>
        <n v="-253.43369999999999"/>
        <n v="2.19"/>
        <n v="3.7128000000000001"/>
        <n v="4.9607999999999999"/>
        <n v="-11.417999999999999"/>
        <n v="7.56"/>
        <n v="2.4584999999999999"/>
        <n v="10.0725"/>
        <n v="17.8066"/>
        <n v="15.229200000000001"/>
        <n v="35.988"/>
        <n v="47.938499999999998"/>
        <n v="-42.951599999999999"/>
        <n v="51.2943"/>
        <n v="86.870400000000004"/>
        <n v="-6.3029999999999999"/>
        <n v="0.92820000000000003"/>
        <n v="20.732800000000001"/>
        <n v="-57.6312"/>
        <n v="314.27190000000002"/>
        <n v="0.55600000000000005"/>
        <n v="33.064799999999998"/>
        <n v="-58.861600000000003"/>
        <n v="26.224"/>
        <n v="4.4352"/>
        <n v="-1.8585"/>
        <n v="-0.3488"/>
        <n v="1.3595999999999999"/>
        <n v="3.2776000000000001"/>
        <n v="-15.4666"/>
        <n v="28.216999999999999"/>
        <n v="25.792000000000002"/>
        <n v="65.993399999999994"/>
        <n v="-54.881999999999998"/>
        <n v="44.868000000000002"/>
        <n v="-189.321"/>
        <n v="2.5895999999999999"/>
        <n v="3.9102000000000001"/>
        <n v="10.969799999999999"/>
        <n v="9.4391999999999996"/>
        <n v="7.4367999999999999"/>
        <n v="24.2285"/>
        <n v="16.3352"/>
        <n v="82.290599999999998"/>
        <n v="47.994"/>
        <n v="1.0114000000000001"/>
        <n v="-17.469000000000001"/>
        <n v="6.9741"/>
        <n v="45.001600000000003"/>
        <n v="27.3672"/>
        <n v="9.5031999999999996"/>
        <n v="21.997499999999999"/>
        <n v="60.49"/>
        <n v="767.20050000000003"/>
        <n v="0.50039999999999996"/>
        <n v="20.849399999999999"/>
        <n v="22.792000000000002"/>
        <n v="10.7037"/>
        <n v="42.045000000000002"/>
        <n v="56.7864"/>
        <n v="-384.71640000000002"/>
        <n v="32.301499999999997"/>
        <n v="204.76820000000001"/>
        <n v="-1002.7836"/>
        <n v="1.4112"/>
        <n v="4.1124000000000001"/>
        <n v="1.5690999999999999"/>
        <n v="5.9279999999999999"/>
        <n v="1.3284"/>
        <n v="-21.888000000000002"/>
        <n v="4.3956"/>
        <n v="-16.601199999999999"/>
        <n v="-56.059199999999997"/>
        <n v="3.4544000000000001"/>
        <n v="5.9363999999999999"/>
        <n v="-26.247599999999998"/>
        <n v="26.702999999999999"/>
        <n v="21.819199999999999"/>
        <n v="3.1160999999999999"/>
        <n v="1.1200000000000001"/>
        <n v="8.5914000000000001"/>
        <n v="26.972999999999999"/>
        <n v="43.9"/>
        <n v="3.2185999999999999"/>
        <n v="5.1588000000000003"/>
        <n v="2.4598"/>
        <n v="1351.9896000000001"/>
        <n v="4.1079999999999997"/>
        <n v="6.8540000000000001"/>
        <n v="13.473000000000001"/>
        <n v="7.2267999999999999"/>
        <n v="13.5626"/>
        <n v="66.073599999999999"/>
        <n v="32.662799999999997"/>
        <n v="115.18559999999999"/>
        <n v="10.347300000000001"/>
        <n v="1.8688"/>
        <n v="1.1970000000000001"/>
        <n v="22.235199999999999"/>
        <n v="-28.967400000000001"/>
        <n v="-36.111600000000003"/>
        <n v="16.678799999999999"/>
        <n v="65.325599999999994"/>
        <n v="200.8638"/>
        <n v="-6.36"/>
        <n v="-33.636000000000003"/>
        <n v="5.9175000000000004"/>
        <n v="11.6091"/>
        <n v="3.2391999999999999"/>
        <n v="115.1808"/>
        <n v="11.117599999999999"/>
        <n v="0.40679999999999999"/>
        <n v="-32.6646"/>
        <n v="-430.61700000000002"/>
        <n v="3.5152000000000001"/>
        <n v="8.9206000000000003"/>
        <n v="4.3254000000000001"/>
        <n v="6.1559999999999997"/>
        <n v="16.544"/>
        <n v="9.1776"/>
        <n v="5.8750999999999998"/>
        <n v="-42.652799999999999"/>
        <n v="-47.871600000000001"/>
        <n v="29.952000000000002"/>
        <n v="36.917000000000002"/>
        <n v="-18.186"/>
        <n v="27.715800000000002"/>
        <n v="130.75200000000001"/>
        <n v="-76.953599999999994"/>
        <n v="128.68049999999999"/>
        <n v="129.29400000000001"/>
        <n v="0.43559999999999999"/>
        <n v="1.5875999999999999"/>
        <n v="17.406400000000001"/>
        <n v="4.6811999999999996"/>
        <n v="-1.4994000000000001"/>
        <n v="-145.17599999999999"/>
        <n v="39.888599999999997"/>
        <n v="104.568"/>
        <n v="253.37200000000001"/>
        <n v="346.03960000000001"/>
        <n v="1906.4849999999999"/>
        <n v="4.0768000000000004"/>
        <n v="-6.8094000000000001"/>
        <n v="5.9071999999999996"/>
        <n v="5.9711999999999996"/>
        <n v="3.6894"/>
        <n v="-23.547999999999998"/>
        <n v="-42.463799999999999"/>
        <n v="18.453399999999998"/>
        <n v="15.2988"/>
        <n v="26.376000000000001"/>
        <n v="70.218999999999994"/>
        <n v="6.3780000000000001"/>
        <n v="9.3152000000000008"/>
        <n v="6.0030000000000001"/>
        <n v="57.384999999999998"/>
        <n v="111.5688"/>
        <n v="175.136"/>
        <n v="-479.988"/>
        <n v="-968.88329999999996"/>
        <n v="4.4004000000000003"/>
        <n v="2.7664"/>
        <n v="9.4923999999999999"/>
        <n v="4.6193"/>
        <n v="-67.543499999999995"/>
        <n v="9.2441999999999993"/>
        <n v="-56.755600000000001"/>
        <n v="-91.758600000000001"/>
        <n v="-1306.5504000000001"/>
        <n v="-3.5224000000000002"/>
        <n v="4.3007999999999997"/>
        <n v="10.3904"/>
        <n v="-3.3506"/>
        <n v="5.2125000000000004"/>
        <n v="8.5020000000000007"/>
        <n v="15.12"/>
        <n v="14.7056"/>
        <n v="70.007999999999996"/>
        <n v="-75.830399999999997"/>
        <n v="66.540800000000004"/>
        <n v="1.8"/>
        <n v="4.1416000000000004"/>
        <n v="1.3986000000000001"/>
        <n v="1.1120000000000001"/>
        <n v="2.5019999999999998"/>
        <n v="6.0411999999999999"/>
        <n v="4.4850000000000003"/>
        <n v="12.029500000000001"/>
        <n v="7.5864000000000003"/>
        <n v="16.1568"/>
        <n v="62.906399999999998"/>
        <n v="-76.997200000000007"/>
        <n v="47.847999999999999"/>
        <n v="42.747"/>
        <n v="9.0912000000000006"/>
        <n v="374.37920000000003"/>
        <n v="-6.5618999999999996"/>
        <n v="-4.9728000000000003"/>
        <n v="1.3715999999999999"/>
        <n v="6.7450000000000001"/>
        <n v="-62.379199999999997"/>
        <n v="5.1407999999999996"/>
        <n v="19.41"/>
        <n v="-4.4610000000000003"/>
        <n v="54.775599999999997"/>
        <n v="23.316299999999998"/>
        <n v="-28.956800000000001"/>
        <n v="647.89200000000005"/>
        <n v="3919.9888000000001"/>
        <n v="-2.5344000000000002"/>
        <n v="11.087999999999999"/>
        <n v="0.52990000000000004"/>
        <n v="-6.54"/>
        <n v="12.0252"/>
        <n v="50.563200000000002"/>
        <n v="-13.7568"/>
        <n v="-58.305599999999998"/>
        <n v="107.985"/>
        <n v="1.2004999999999999"/>
        <n v="0.66600000000000004"/>
        <n v="0.89880000000000004"/>
        <n v="-15.1311"/>
        <n v="10.0464"/>
        <n v="21.285599999999999"/>
        <n v="11.88"/>
        <n v="-2.0699999999999998"/>
        <n v="29.0136"/>
        <n v="-81.3065"/>
        <n v="19.774999999999999"/>
        <n v="113.211"/>
        <n v="60.664499999999997"/>
        <n v="4.9814999999999996"/>
        <n v="-27.734999999999999"/>
        <n v="-13.334099999999999"/>
        <n v="5.5616000000000003"/>
        <n v="-65.150400000000005"/>
        <n v="34.741999999999997"/>
        <n v="9.4787999999999997"/>
        <n v="-3.9249000000000001"/>
        <n v="5.5439999999999996"/>
        <n v="0.57540000000000002"/>
        <n v="2.0388000000000002"/>
        <n v="16.234200000000001"/>
        <n v="20.584199999999999"/>
        <n v="23.99"/>
        <n v="22.540800000000001"/>
        <n v="-6.0979999999999999"/>
        <n v="4.2392000000000003"/>
        <n v="27.734999999999999"/>
        <n v="37.996200000000002"/>
        <n v="-68.130200000000002"/>
        <n v="-55.3"/>
        <n v="-23.0352"/>
        <n v="510.63600000000002"/>
        <n v="3.6631999999999998"/>
        <n v="3.71"/>
        <n v="6.5670000000000002"/>
        <n v="-8.5007999999999999"/>
        <n v="0.98560000000000003"/>
        <n v="9.1638000000000002"/>
        <n v="5.2140000000000004"/>
        <n v="-2.5127999999999999"/>
        <n v="20.6142"/>
        <n v="-0.89990000000000003"/>
        <n v="4.0644"/>
        <n v="38.157600000000002"/>
        <n v="91.055999999999997"/>
        <n v="239.9058"/>
        <n v="16.7776"/>
        <n v="20.975000000000001"/>
        <n v="-35.513599999999997"/>
        <n v="-81.725800000000007"/>
        <n v="22.627500000000001"/>
        <n v="206.6232"/>
        <n v="-186.16"/>
        <n v="517.47929999999997"/>
        <n v="2.6067999999999998"/>
        <n v="10.7325"/>
        <n v="4.2240000000000002"/>
        <n v="0.66239999999999999"/>
        <n v="0.16739999999999999"/>
        <n v="1.2585"/>
        <n v="9.1674000000000007"/>
        <n v="10.5084"/>
        <n v="5.4336000000000002"/>
        <n v="38.29"/>
        <n v="65.734200000000001"/>
        <n v="26.874400000000001"/>
        <n v="36.477600000000002"/>
        <n v="311.9948"/>
        <n v="20.9148"/>
        <n v="5.2884000000000002"/>
        <n v="0.99950000000000006"/>
        <n v="-2.9964"/>
        <n v="5.9695999999999998"/>
        <n v="-7.782"/>
        <n v="0.50970000000000004"/>
        <n v="10.875"/>
        <n v="4.1988000000000003"/>
        <n v="14.148"/>
        <n v="15.5961"/>
        <n v="-32.383800000000001"/>
        <n v="-43.729199999999999"/>
        <n v="-192.04679999999999"/>
        <n v="118.9965"/>
        <n v="-3839.9904000000001"/>
        <n v="-2.3231999999999999"/>
        <n v="1.419"/>
        <n v="-13.188000000000001"/>
        <n v="-2.97"/>
        <n v="-6.4231999999999996"/>
        <n v="-12.528600000000001"/>
        <n v="31.187999999999999"/>
        <n v="3.9992000000000001"/>
        <n v="38.531999999999996"/>
        <n v="24.2012"/>
        <n v="55.5822"/>
        <n v="-66.599999999999994"/>
        <n v="30.498999999999999"/>
        <n v="171.93"/>
        <n v="55.436399999999999"/>
        <n v="2.0286"/>
        <n v="-1.8308"/>
        <n v="-25.648"/>
        <n v="32.688000000000002"/>
        <n v="-30.933199999999999"/>
        <n v="-51.827199999999998"/>
        <n v="149.91120000000001"/>
        <n v="-73.0548"/>
        <n v="43.7136"/>
        <n v="366.63479999999998"/>
        <n v="-1.9343999999999999"/>
        <n v="-3.7879999999999998"/>
        <n v="1.7607999999999999"/>
        <n v="6.3612000000000002"/>
        <n v="2.9681999999999999"/>
        <n v="-10.617599999999999"/>
        <n v="1.0169999999999999"/>
        <n v="12.0276"/>
        <n v="-19.864000000000001"/>
        <n v="33.310200000000002"/>
        <n v="43.675199999999997"/>
        <n v="-140.14080000000001"/>
        <n v="-71.994"/>
        <n v="145.13399999999999"/>
        <n v="66.635099999999994"/>
        <n v="2.5215999999999998"/>
        <n v="7.6272000000000002"/>
        <n v="19.079999999999998"/>
        <n v="13.793100000000001"/>
        <n v="32.97"/>
        <n v="112.422"/>
        <n v="40.5426"/>
        <n v="38.395200000000003"/>
        <n v="52.339199999999998"/>
        <n v="157.87020000000001"/>
        <n v="355.44659999999999"/>
        <n v="473.61059999999998"/>
        <n v="3.1779999999999999"/>
        <n v="43.598100000000002"/>
        <n v="-63.996000000000002"/>
        <n v="15.1188"/>
        <n v="-35.992800000000003"/>
        <n v="-36.2136"/>
        <n v="-427.45"/>
        <n v="112.224"/>
        <n v="124.9552"/>
        <n v="-146.1096"/>
        <n v="2.1059999999999999"/>
        <n v="10.077199999999999"/>
        <n v="9.5526"/>
        <n v="-7.68"/>
        <n v="-25.591999999999999"/>
        <n v="14.4495"/>
        <n v="39.520000000000003"/>
        <n v="130.2885"/>
        <n v="3.3929999999999998"/>
        <n v="8.5728000000000009"/>
        <n v="-32.088000000000001"/>
        <n v="6.63"/>
        <n v="2.8313999999999999"/>
        <n v="12.314399999999999"/>
        <n v="21.5824"/>
        <n v="11.8728"/>
        <n v="8.4990000000000006"/>
        <n v="-10.9116"/>
        <n v="-15.590400000000001"/>
        <n v="22.0748"/>
        <n v="-5.6783999999999999"/>
        <n v="-92.695499999999996"/>
        <n v="50.398800000000001"/>
        <n v="4.9055999999999997"/>
        <n v="-17.7072"/>
        <n v="3.0133999999999999"/>
        <n v="4.5815999999999999"/>
        <n v="5.3730000000000002"/>
        <n v="3.5255999999999998"/>
        <n v="13"/>
        <n v="-45.84"/>
        <n v="-0.55979999999999996"/>
        <n v="6.1791999999999998"/>
        <n v="30.99"/>
        <n v="70.502799999999993"/>
        <n v="-27.264600000000002"/>
        <n v="23.992000000000001"/>
        <n v="190.0206"/>
        <n v="163.78700000000001"/>
        <n v="-935.95950000000005"/>
        <n v="-63.005600000000001"/>
        <n v="150.29400000000001"/>
        <n v="0.15479999999999999"/>
        <n v="-7.48"/>
        <n v="-24.708600000000001"/>
        <n v="9.1295999999999999"/>
        <n v="25.053599999999999"/>
        <n v="15.992000000000001"/>
        <n v="-27.292200000000001"/>
        <n v="-2.7968000000000002"/>
        <n v="-32.984999999999999"/>
        <n v="9.9296000000000006"/>
        <n v="4.5039999999999996"/>
        <n v="55.015999999999998"/>
        <n v="23.988"/>
        <n v="5.9969999999999999"/>
        <n v="-1.7495000000000001"/>
        <n v="23.7864"/>
        <n v="24.3384"/>
        <n v="74.998500000000007"/>
        <n v="215.9973"/>
        <n v="-1.3984000000000001"/>
        <n v="7.9896000000000003"/>
        <n v="6.0735999999999999"/>
        <n v="0.97719999999999996"/>
        <n v="34.629600000000003"/>
        <n v="24.122399999999999"/>
        <n v="76.9816"/>
        <n v="83.986000000000004"/>
        <n v="93.884"/>
        <n v="-14.4588"/>
        <n v="107.79"/>
        <n v="349.33920000000001"/>
        <n v="5039.9856"/>
        <n v="6.6177000000000001"/>
        <n v="20.585999999999999"/>
        <n v="12.263999999999999"/>
        <n v="14.263199999999999"/>
        <n v="-19.323"/>
        <n v="9.5939999999999994"/>
        <n v="24.980399999999999"/>
        <n v="-25.4772"/>
        <n v="45.813600000000001"/>
        <n v="48.631999999999998"/>
        <n v="2.7353999999999998"/>
        <n v="1.4208000000000001"/>
        <n v="-0.66239999999999999"/>
        <n v="-16.185600000000001"/>
        <n v="20.844000000000001"/>
        <n v="15.5344"/>
        <n v="10.572800000000001"/>
        <n v="36.725499999999997"/>
        <n v="8.6744000000000003"/>
        <n v="-46.399799999999999"/>
        <n v="-131.44499999999999"/>
        <n v="-53.270400000000002"/>
        <n v="-8.7232000000000003"/>
        <n v="-71.811599999999999"/>
        <n v="213.68879999999999"/>
        <n v="626.18499999999995"/>
        <n v="-2287.7820000000002"/>
        <n v="-13.993"/>
        <n v="3.9119999999999999"/>
        <n v="8.3699999999999992"/>
        <n v="12.53"/>
        <n v="2.3976000000000002"/>
        <n v="10.760400000000001"/>
        <n v="7.1059999999999999"/>
        <n v="5.28"/>
        <n v="13.932"/>
        <n v="8.7384000000000004"/>
        <n v="-45.933300000000003"/>
        <n v="18.252500000000001"/>
        <n v="19.311599999999999"/>
        <n v="27.318200000000001"/>
        <n v="28.13"/>
        <n v="-25.2956"/>
        <n v="-23.5764"/>
        <n v="-46.137"/>
        <n v="170.99700000000001"/>
        <n v="1.3365"/>
        <n v="1.5713999999999999"/>
        <n v="2.6964000000000001"/>
        <n v="11.583600000000001"/>
        <n v="1.7955000000000001"/>
        <n v="9.68"/>
        <n v="9.1745999999999999"/>
        <n v="56.55"/>
        <n v="103.9992"/>
        <n v="2.2412000000000001"/>
        <n v="3.5177999999999998"/>
        <n v="11.2422"/>
        <n v="3.9296000000000002"/>
        <n v="14.7668"/>
        <n v="2.2320000000000002"/>
        <n v="17.601600000000001"/>
        <n v="-31.0335"/>
        <n v="138.20160000000001"/>
        <n v="0.1744"/>
        <n v="-4.04"/>
        <n v="-9.1560000000000006"/>
        <n v="-5.9808000000000003"/>
        <n v="11.076000000000001"/>
        <n v="2.0994000000000002"/>
        <n v="7.2144000000000004"/>
        <n v="24.318000000000001"/>
        <n v="39.549999999999997"/>
        <n v="-14.997999999999999"/>
        <n v="87.196200000000005"/>
        <n v="157.36320000000001"/>
        <n v="-16.078399999999998"/>
        <n v="9.1020000000000003"/>
        <n v="-41.587200000000003"/>
        <n v="173.74080000000001"/>
        <n v="375.42959999999999"/>
        <n v="2.5707"/>
        <n v="-15.1976"/>
        <n v="7.3710000000000004"/>
        <n v="2.8812000000000002"/>
        <n v="-24.771599999999999"/>
        <n v="-12.672000000000001"/>
        <n v="9.9936000000000007"/>
        <n v="-179.77600000000001"/>
        <n v="37.494999999999997"/>
        <n v="-29.605799999999999"/>
        <n v="168.47040000000001"/>
        <n v="-81.441000000000003"/>
        <n v="-24.398"/>
        <n v="2.8296000000000001"/>
        <n v="3.7376"/>
        <n v="3.4965000000000002"/>
        <n v="15.336"/>
        <n v="23.946300000000001"/>
        <n v="9.8010000000000002"/>
        <n v="43.190399999999997"/>
        <n v="32.670400000000001"/>
        <n v="-40.471200000000003"/>
        <n v="23.977799999999998"/>
        <n v="67.064400000000006"/>
        <n v="240.29400000000001"/>
        <n v="264.5865"/>
        <n v="545.1884"/>
        <n v="-53.708799999999997"/>
        <n v="12.172800000000001"/>
        <n v="14.682499999999999"/>
        <n v="41.120800000000003"/>
        <n v="36.255600000000001"/>
        <n v="56.054699999999997"/>
        <n v="59.817599999999999"/>
        <n v="72.808800000000005"/>
        <n v="224.07300000000001"/>
        <n v="0.76649999999999996"/>
        <n v="4.3583999999999996"/>
        <n v="19.2454"/>
        <n v="5.7568000000000001"/>
        <n v="29.445499999999999"/>
        <n v="35.981999999999999"/>
        <n v="-12.9122"/>
        <n v="75.542400000000001"/>
        <n v="494.97250000000003"/>
        <n v="-619.596"/>
        <n v="7.524"/>
        <n v="0.73799999999999999"/>
        <n v="19.035"/>
        <n v="48.795999999999999"/>
        <n v="1.6712"/>
        <n v="23.109300000000001"/>
        <n v="45.2226"/>
        <n v="43.45"/>
        <n v="5.3898000000000001"/>
        <n v="81.594899999999996"/>
        <n v="163.81800000000001"/>
        <n v="82.992000000000004"/>
        <n v="-15.418799999999999"/>
        <n v="262.39"/>
        <n v="-653.28340000000003"/>
        <n v="0.82879999999999998"/>
        <n v="9.5571000000000002"/>
        <n v="3.6796000000000002"/>
        <n v="31.0992"/>
        <n v="9.2385999999999999"/>
        <n v="35.329500000000003"/>
        <n v="41.168399999999998"/>
        <n v="35.634599999999999"/>
        <n v="24.727499999999999"/>
        <n v="6.6464999999999996"/>
        <n v="-28.498000000000001"/>
        <n v="30.477599999999999"/>
        <n v="5.4123999999999999"/>
        <n v="107.03879999999999"/>
        <n v="251.202"/>
        <n v="-4.7481"/>
        <n v="1.7352000000000001"/>
        <n v="6.1319999999999997"/>
        <n v="-5.6006999999999998"/>
        <n v="3.5045999999999999"/>
        <n v="6.9257999999999997"/>
        <n v="3.6714000000000002"/>
        <n v="2.3370000000000002"/>
        <n v="18.837"/>
        <n v="16.209900000000001"/>
        <n v="9.4436999999999998"/>
        <n v="22.2516"/>
        <n v="12.8574"/>
        <n v="-25.198"/>
        <n v="44.975000000000001"/>
        <n v="-363.52800000000002"/>
        <n v="80.320800000000006"/>
        <n v="-766.01199999999994"/>
        <n v="151.09739999999999"/>
        <n v="-462.86239999999998"/>
        <n v="68.001000000000005"/>
        <n v="284.18549999999999"/>
        <n v="43.464599999999997"/>
        <n v="743.98800000000006"/>
        <n v="1.7262"/>
        <n v="2.1280000000000001"/>
        <n v="2.4582000000000002"/>
        <n v="5.04"/>
        <n v="3.1583999999999999"/>
        <n v="-24.416"/>
        <n v="5.3213999999999997"/>
        <n v="-3.7195999999999998"/>
        <n v="4.1965000000000003"/>
        <n v="-14.34"/>
        <n v="-33.484000000000002"/>
        <n v="10.395"/>
        <n v="-45.24"/>
        <n v="-7.9984000000000002"/>
        <n v="29.372"/>
        <n v="10.5534"/>
        <n v="14.071199999999999"/>
        <n v="36.987299999999998"/>
        <n v="88.733199999999997"/>
        <n v="3.7410000000000001"/>
        <n v="4.6551999999999998"/>
        <n v="7.0128000000000004"/>
        <n v="-21.1068"/>
        <n v="-14.271599999999999"/>
        <n v="7.1988000000000003"/>
        <n v="5.915"/>
        <n v="4.5216000000000003"/>
        <n v="29.988"/>
        <n v="-2.6936"/>
        <n v="45.555"/>
        <n v="-10.284000000000001"/>
        <n v="-272.58"/>
        <n v="2.6960999999999999"/>
        <n v="-4.4550000000000001"/>
        <n v="2.552"/>
        <n v="8.6709999999999994"/>
        <n v="3.1806000000000001"/>
        <n v="4.6176000000000004"/>
        <n v="6.8460000000000001"/>
        <n v="60.463200000000001"/>
        <n v="67.659899999999993"/>
        <n v="39.979999999999997"/>
        <n v="68.822999999999993"/>
        <n v="8.3754000000000008"/>
        <n v="-7.0145999999999997"/>
        <n v="17.504999999999999"/>
        <n v="6.0726000000000004"/>
        <n v="18.190799999999999"/>
        <n v="25.537800000000001"/>
        <n v="25.596800000000002"/>
        <n v="89.779200000000003"/>
        <n v="46.796999999999997"/>
        <n v="1.2432000000000001"/>
        <n v="-2929.4845"/>
        <n v="23.4"/>
        <n v="25.02"/>
        <n v="40.443199999999997"/>
        <n v="-20.997"/>
        <n v="-18.454799999999999"/>
        <n v="15.468"/>
        <n v="37.789499999999997"/>
        <n v="32.059800000000003"/>
        <n v="-58.504800000000003"/>
        <n v="41.392800000000001"/>
        <n v="160.03980000000001"/>
        <n v="-112.95269999999999"/>
        <n v="305.13"/>
        <n v="434.99130000000002"/>
        <n v="31.454799999999999"/>
        <n v="3.6432000000000002"/>
        <n v="8.4090000000000007"/>
        <n v="13.3035"/>
        <n v="13.608000000000001"/>
        <n v="8.6390999999999991"/>
        <n v="12.6592"/>
        <n v="27.430199999999999"/>
        <n v="28.087599999999998"/>
        <n v="15.697800000000001"/>
        <n v="48.328499999999998"/>
        <n v="48.551400000000001"/>
        <n v="68.040000000000006"/>
        <n v="62.320999999999998"/>
        <n v="44.476799999999997"/>
        <n v="226.96440000000001"/>
        <n v="22.408200000000001"/>
        <n v="0.4264"/>
        <n v="5.0960000000000001"/>
        <n v="629.99099999999999"/>
        <n v="-5.8247999999999998"/>
        <n v="2.6496"/>
        <n v="0.60560000000000003"/>
        <n v="13.505599999999999"/>
        <n v="15.387"/>
        <n v="2.7240000000000002"/>
        <n v="-7.4416000000000002"/>
        <n v="19.523800000000001"/>
        <n v="15.511200000000001"/>
        <n v="-9.9704999999999995"/>
        <n v="15.385999999999999"/>
        <n v="23.315999999999999"/>
        <n v="123.76909999999999"/>
        <n v="257.9871"/>
        <n v="116.872"/>
        <n v="5.2896000000000001"/>
        <n v="-2.5093000000000001"/>
        <n v="3.3725000000000001"/>
        <n v="5.7312000000000003"/>
        <n v="22.0032"/>
        <n v="-16.552800000000001"/>
        <n v="23.2624"/>
        <n v="29.245000000000001"/>
        <n v="3.8654999999999999"/>
        <n v="-420"/>
        <n v="1.3584000000000001"/>
        <n v="3.4944000000000002"/>
        <n v="6.5975000000000001"/>
        <n v="-3.7584"/>
        <n v="2.1581999999999999"/>
        <n v="5.0462999999999996"/>
        <n v="7.8840000000000003"/>
        <n v="13.5932"/>
        <n v="-9.0980000000000008"/>
        <n v="18.09"/>
        <n v="-66.061999999999998"/>
        <n v="-12.147"/>
        <n v="54.280799999999999"/>
        <n v="7.1993999999999998"/>
        <n v="22.736000000000001"/>
        <n v="2.2155"/>
        <n v="24.9984"/>
        <n v="-26.755800000000001"/>
        <n v="28.497"/>
        <n v="20.539000000000001"/>
        <n v="-292.98719999999997"/>
        <n v="-52.658200000000001"/>
        <n v="-97.498800000000003"/>
        <n v="467.99220000000003"/>
        <n v="-1.3208"/>
        <n v="-4.9080000000000004"/>
        <n v="11.025"/>
        <n v="8.1216000000000008"/>
        <n v="1.0192000000000001"/>
        <n v="10.7301"/>
        <n v="9.7911000000000001"/>
        <n v="16.295999999999999"/>
        <n v="7.9450000000000003"/>
        <n v="45.588000000000001"/>
        <n v="5.1840000000000002"/>
        <n v="8.2080000000000002"/>
        <n v="10.43"/>
        <n v="2.2440000000000002"/>
        <n v="9.1763999999999992"/>
        <n v="-178.96680000000001"/>
        <n v="27.359200000000001"/>
        <n v="41.68"/>
        <n v="6.0857999999999999"/>
        <n v="8.4656000000000002"/>
        <n v="80.784000000000006"/>
        <n v="3.6347999999999998"/>
        <n v="5.1435000000000004"/>
        <n v="13.235200000000001"/>
        <n v="57.590400000000002"/>
        <n v="22.988499999999998"/>
        <n v="-12.6882"/>
        <n v="13.011200000000001"/>
        <n v="10.8558"/>
        <n v="139.5702"/>
        <n v="511.36799999999999"/>
        <n v="-6.03"/>
        <n v="1.4256"/>
        <n v="2.3380000000000001"/>
        <n v="1.7486999999999999"/>
        <n v="1.3759999999999999"/>
        <n v="17.469000000000001"/>
        <n v="-183.63239999999999"/>
        <n v="11.46"/>
        <n v="-17.607600000000001"/>
        <n v="33.312399999999997"/>
        <n v="4.008"/>
        <n v="2.3571"/>
        <n v="16.669799999999999"/>
        <n v="78.951599999999999"/>
        <n v="18.766999999999999"/>
        <n v="11.223599999999999"/>
        <n v="1.7052"/>
        <n v="7.0048000000000004"/>
        <n v="27.69"/>
        <n v="30.596399999999999"/>
        <n v="35.49"/>
        <n v="-135.08699999999999"/>
        <n v="50.825400000000002"/>
        <n v="142.48500000000001"/>
        <n v="97.203199999999995"/>
        <n v="94.493700000000004"/>
        <n v="34.758000000000003"/>
        <n v="218.2518"/>
        <n v="-249.32159999999999"/>
        <n v="-9.8115000000000006"/>
        <n v="412.5394"/>
        <n v="1.0842000000000001"/>
        <n v="2.9340000000000002"/>
        <n v="2.891"/>
        <n v="-1.3128"/>
        <n v="10.4496"/>
        <n v="1.962"/>
        <n v="7.79"/>
        <n v="7.6154000000000002"/>
        <n v="16.291"/>
        <n v="6.7039999999999997"/>
        <n v="26.558"/>
        <n v="63.753599999999999"/>
        <n v="38.209499999999998"/>
        <n v="85.981800000000007"/>
        <n v="-54.588000000000001"/>
        <n v="14.718400000000001"/>
        <n v="148.49100000000001"/>
        <n v="20.6816"/>
        <n v="1.0730999999999999"/>
        <n v="-22.143999999999998"/>
        <n v="5.9311999999999996"/>
        <n v="-74.745599999999996"/>
        <n v="17.371200000000002"/>
        <n v="19.084800000000001"/>
        <n v="60.5488"/>
        <n v="19.824000000000002"/>
        <n v="48.313600000000001"/>
        <n v="239.98500000000001"/>
        <n v="5.5875000000000004"/>
        <n v="105.297"/>
        <n v="4.8518999999999997"/>
        <n v="1007.9832"/>
        <n v="6.15"/>
        <n v="1.9224000000000001"/>
        <n v="6.8273999999999999"/>
        <n v="7.992"/>
        <n v="9.6957000000000004"/>
        <n v="-7.2"/>
        <n v="41.718600000000002"/>
        <n v="4.7995999999999999"/>
        <n v="2.7061999999999999"/>
        <n v="-104.673"/>
        <n v="76.112499999999997"/>
        <n v="-10.4184"/>
        <n v="-5.0688000000000004"/>
        <n v="13.673999999999999"/>
        <n v="1.3977999999999999"/>
        <n v="-65.567999999999998"/>
        <n v="2.3807999999999998"/>
        <n v="5.0274000000000001"/>
        <n v="-59.372999999999998"/>
        <n v="37.533999999999999"/>
        <n v="-2.61"/>
        <n v="5.6112000000000002"/>
        <n v="-35.617400000000004"/>
        <n v="34.776000000000003"/>
        <n v="-3.2391999999999999"/>
        <n v="-34.070399999999999"/>
        <n v="-1.4059999999999999"/>
        <n v="0.86799999999999999"/>
        <n v="3.0339999999999998"/>
        <n v="-2.6880000000000002"/>
        <n v="12.691000000000001"/>
        <n v="1.9259999999999999"/>
        <n v="-2.3904000000000001"/>
        <n v="2.7168000000000001"/>
        <n v="6.4215999999999998"/>
        <n v="4.0095000000000001"/>
        <n v="11.226599999999999"/>
        <n v="-11.596"/>
        <n v="37.414400000000001"/>
        <n v="100.65600000000001"/>
        <n v="77.625"/>
        <n v="87.284199999999998"/>
        <n v="-44.276400000000002"/>
        <n v="2.9546999999999999"/>
        <n v="314.03840000000002"/>
        <n v="5.8891"/>
        <n v="9.6039999999999992"/>
        <n v="20.538"/>
        <n v="2.7279"/>
        <n v="56.511000000000003"/>
        <n v="6.4749999999999996"/>
        <n v="12.117599999999999"/>
        <n v="-0.6048"/>
        <n v="19.791"/>
        <m/>
      </sharedItems>
    </cacheField>
  </cacheFields>
  <extLst>
    <ext xmlns:x14="http://schemas.microsoft.com/office/spreadsheetml/2009/9/main" uri="{725AE2AE-9491-48be-B2B4-4EB974FC3084}">
      <x14:pivotCacheDefinition pivotCacheId="277196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M" refreshedDate="45999.024518981481" createdVersion="8" refreshedVersion="8" minRefreshableVersion="3" recordCount="1331" xr:uid="{475D9955-04C0-4C40-AC6F-7520099733C3}">
  <cacheSource type="worksheet">
    <worksheetSource name="CustomerCount"/>
  </cacheSource>
  <cacheFields count="2">
    <cacheField name="Year" numFmtId="1">
      <sharedItems containsSemiMixedTypes="0" containsString="0" containsNumber="1" containsInteger="1" minValue="2019" maxValue="2020" count="2">
        <n v="2019"/>
        <n v="2020"/>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2">
  <r>
    <d v="2019-01-01T00:00:00"/>
    <x v="0"/>
    <x v="0"/>
    <x v="0"/>
    <x v="0"/>
    <x v="0"/>
    <x v="0"/>
    <x v="0"/>
    <x v="0"/>
    <n v="1"/>
    <x v="0"/>
  </r>
  <r>
    <d v="2019-01-02T00:00:00"/>
    <x v="0"/>
    <x v="0"/>
    <x v="0"/>
    <x v="0"/>
    <x v="0"/>
    <x v="0"/>
    <x v="0"/>
    <x v="1"/>
    <n v="3"/>
    <x v="1"/>
  </r>
  <r>
    <d v="2019-01-02T00:00:00"/>
    <x v="0"/>
    <x v="0"/>
    <x v="0"/>
    <x v="0"/>
    <x v="1"/>
    <x v="1"/>
    <x v="1"/>
    <x v="2"/>
    <n v="2"/>
    <x v="2"/>
  </r>
  <r>
    <d v="2019-01-03T00:00:00"/>
    <x v="0"/>
    <x v="0"/>
    <x v="1"/>
    <x v="1"/>
    <x v="2"/>
    <x v="2"/>
    <x v="2"/>
    <x v="3"/>
    <n v="2"/>
    <x v="3"/>
  </r>
  <r>
    <d v="2019-01-03T00:00:00"/>
    <x v="0"/>
    <x v="0"/>
    <x v="2"/>
    <x v="2"/>
    <x v="1"/>
    <x v="3"/>
    <x v="3"/>
    <x v="4"/>
    <n v="2"/>
    <x v="4"/>
  </r>
  <r>
    <d v="2019-01-03T00:00:00"/>
    <x v="0"/>
    <x v="0"/>
    <x v="2"/>
    <x v="2"/>
    <x v="1"/>
    <x v="3"/>
    <x v="4"/>
    <x v="5"/>
    <n v="3"/>
    <x v="5"/>
  </r>
  <r>
    <d v="2019-01-03T00:00:00"/>
    <x v="0"/>
    <x v="0"/>
    <x v="2"/>
    <x v="2"/>
    <x v="1"/>
    <x v="1"/>
    <x v="5"/>
    <x v="6"/>
    <n v="5"/>
    <x v="6"/>
  </r>
  <r>
    <d v="2019-01-03T00:00:00"/>
    <x v="0"/>
    <x v="0"/>
    <x v="3"/>
    <x v="3"/>
    <x v="0"/>
    <x v="4"/>
    <x v="6"/>
    <x v="7"/>
    <n v="7"/>
    <x v="7"/>
  </r>
  <r>
    <d v="2019-01-03T00:00:00"/>
    <x v="0"/>
    <x v="0"/>
    <x v="3"/>
    <x v="3"/>
    <x v="2"/>
    <x v="5"/>
    <x v="7"/>
    <x v="8"/>
    <n v="2"/>
    <x v="8"/>
  </r>
  <r>
    <d v="2019-01-04T00:00:00"/>
    <x v="0"/>
    <x v="0"/>
    <x v="4"/>
    <x v="4"/>
    <x v="1"/>
    <x v="6"/>
    <x v="8"/>
    <x v="9"/>
    <n v="4"/>
    <x v="9"/>
  </r>
  <r>
    <d v="2019-01-04T00:00:00"/>
    <x v="0"/>
    <x v="0"/>
    <x v="5"/>
    <x v="5"/>
    <x v="2"/>
    <x v="7"/>
    <x v="9"/>
    <x v="10"/>
    <n v="1"/>
    <x v="10"/>
  </r>
  <r>
    <d v="2019-01-04T00:00:00"/>
    <x v="0"/>
    <x v="0"/>
    <x v="5"/>
    <x v="5"/>
    <x v="2"/>
    <x v="5"/>
    <x v="10"/>
    <x v="11"/>
    <n v="6"/>
    <x v="11"/>
  </r>
  <r>
    <d v="2019-01-05T00:00:00"/>
    <x v="0"/>
    <x v="0"/>
    <x v="6"/>
    <x v="6"/>
    <x v="1"/>
    <x v="3"/>
    <x v="11"/>
    <x v="12"/>
    <n v="6"/>
    <x v="12"/>
  </r>
  <r>
    <d v="2019-01-05T00:00:00"/>
    <x v="0"/>
    <x v="0"/>
    <x v="6"/>
    <x v="6"/>
    <x v="2"/>
    <x v="7"/>
    <x v="12"/>
    <x v="13"/>
    <n v="2"/>
    <x v="13"/>
  </r>
  <r>
    <d v="2019-01-05T00:00:00"/>
    <x v="0"/>
    <x v="0"/>
    <x v="6"/>
    <x v="6"/>
    <x v="1"/>
    <x v="1"/>
    <x v="13"/>
    <x v="14"/>
    <n v="2"/>
    <x v="14"/>
  </r>
  <r>
    <d v="2019-01-07T00:00:00"/>
    <x v="0"/>
    <x v="0"/>
    <x v="7"/>
    <x v="1"/>
    <x v="2"/>
    <x v="7"/>
    <x v="14"/>
    <x v="15"/>
    <n v="1"/>
    <x v="15"/>
  </r>
  <r>
    <d v="2019-01-07T00:00:00"/>
    <x v="0"/>
    <x v="0"/>
    <x v="8"/>
    <x v="2"/>
    <x v="0"/>
    <x v="8"/>
    <x v="15"/>
    <x v="16"/>
    <n v="3"/>
    <x v="16"/>
  </r>
  <r>
    <d v="2019-01-07T00:00:00"/>
    <x v="0"/>
    <x v="0"/>
    <x v="8"/>
    <x v="2"/>
    <x v="2"/>
    <x v="9"/>
    <x v="16"/>
    <x v="17"/>
    <n v="5"/>
    <x v="17"/>
  </r>
  <r>
    <d v="2019-01-08T00:00:00"/>
    <x v="0"/>
    <x v="0"/>
    <x v="9"/>
    <x v="7"/>
    <x v="0"/>
    <x v="0"/>
    <x v="17"/>
    <x v="18"/>
    <n v="6"/>
    <x v="18"/>
  </r>
  <r>
    <d v="2019-01-08T00:00:00"/>
    <x v="0"/>
    <x v="0"/>
    <x v="9"/>
    <x v="7"/>
    <x v="2"/>
    <x v="5"/>
    <x v="18"/>
    <x v="19"/>
    <n v="7"/>
    <x v="19"/>
  </r>
  <r>
    <d v="2019-01-08T00:00:00"/>
    <x v="0"/>
    <x v="0"/>
    <x v="10"/>
    <x v="4"/>
    <x v="2"/>
    <x v="5"/>
    <x v="19"/>
    <x v="20"/>
    <n v="7"/>
    <x v="20"/>
  </r>
  <r>
    <d v="2019-01-08T00:00:00"/>
    <x v="0"/>
    <x v="0"/>
    <x v="10"/>
    <x v="4"/>
    <x v="2"/>
    <x v="7"/>
    <x v="20"/>
    <x v="21"/>
    <n v="3"/>
    <x v="21"/>
  </r>
  <r>
    <d v="2019-01-08T00:00:00"/>
    <x v="0"/>
    <x v="0"/>
    <x v="10"/>
    <x v="4"/>
    <x v="1"/>
    <x v="1"/>
    <x v="21"/>
    <x v="22"/>
    <n v="2"/>
    <x v="22"/>
  </r>
  <r>
    <d v="2019-01-09T00:00:00"/>
    <x v="0"/>
    <x v="0"/>
    <x v="11"/>
    <x v="1"/>
    <x v="1"/>
    <x v="3"/>
    <x v="22"/>
    <x v="23"/>
    <n v="5"/>
    <x v="23"/>
  </r>
  <r>
    <d v="2019-01-09T00:00:00"/>
    <x v="0"/>
    <x v="0"/>
    <x v="11"/>
    <x v="1"/>
    <x v="1"/>
    <x v="1"/>
    <x v="23"/>
    <x v="24"/>
    <n v="9"/>
    <x v="24"/>
  </r>
  <r>
    <d v="2019-01-09T00:00:00"/>
    <x v="0"/>
    <x v="0"/>
    <x v="12"/>
    <x v="8"/>
    <x v="0"/>
    <x v="8"/>
    <x v="24"/>
    <x v="25"/>
    <n v="2"/>
    <x v="25"/>
  </r>
  <r>
    <d v="2019-01-10T00:00:00"/>
    <x v="0"/>
    <x v="0"/>
    <x v="13"/>
    <x v="9"/>
    <x v="0"/>
    <x v="8"/>
    <x v="25"/>
    <x v="26"/>
    <n v="4"/>
    <x v="26"/>
  </r>
  <r>
    <d v="2019-01-10T00:00:00"/>
    <x v="0"/>
    <x v="0"/>
    <x v="13"/>
    <x v="9"/>
    <x v="1"/>
    <x v="3"/>
    <x v="26"/>
    <x v="27"/>
    <n v="2"/>
    <x v="27"/>
  </r>
  <r>
    <d v="2019-01-10T00:00:00"/>
    <x v="0"/>
    <x v="0"/>
    <x v="14"/>
    <x v="9"/>
    <x v="0"/>
    <x v="8"/>
    <x v="27"/>
    <x v="28"/>
    <n v="5"/>
    <x v="28"/>
  </r>
  <r>
    <d v="2019-01-11T00:00:00"/>
    <x v="0"/>
    <x v="0"/>
    <x v="15"/>
    <x v="8"/>
    <x v="2"/>
    <x v="9"/>
    <x v="28"/>
    <x v="29"/>
    <n v="3"/>
    <x v="29"/>
  </r>
  <r>
    <d v="2019-01-11T00:00:00"/>
    <x v="0"/>
    <x v="0"/>
    <x v="15"/>
    <x v="8"/>
    <x v="2"/>
    <x v="9"/>
    <x v="29"/>
    <x v="30"/>
    <n v="3"/>
    <x v="30"/>
  </r>
  <r>
    <d v="2019-01-11T00:00:00"/>
    <x v="0"/>
    <x v="0"/>
    <x v="15"/>
    <x v="8"/>
    <x v="1"/>
    <x v="1"/>
    <x v="30"/>
    <x v="31"/>
    <n v="2"/>
    <x v="31"/>
  </r>
  <r>
    <d v="2019-01-11T00:00:00"/>
    <x v="0"/>
    <x v="0"/>
    <x v="16"/>
    <x v="8"/>
    <x v="0"/>
    <x v="8"/>
    <x v="31"/>
    <x v="32"/>
    <n v="14"/>
    <x v="32"/>
  </r>
  <r>
    <d v="2019-01-14T00:00:00"/>
    <x v="0"/>
    <x v="0"/>
    <x v="17"/>
    <x v="4"/>
    <x v="2"/>
    <x v="9"/>
    <x v="32"/>
    <x v="33"/>
    <n v="2"/>
    <x v="33"/>
  </r>
  <r>
    <d v="2019-01-14T00:00:00"/>
    <x v="0"/>
    <x v="0"/>
    <x v="17"/>
    <x v="4"/>
    <x v="0"/>
    <x v="8"/>
    <x v="33"/>
    <x v="34"/>
    <n v="8"/>
    <x v="34"/>
  </r>
  <r>
    <d v="2019-01-15T00:00:00"/>
    <x v="0"/>
    <x v="0"/>
    <x v="18"/>
    <x v="10"/>
    <x v="2"/>
    <x v="10"/>
    <x v="34"/>
    <x v="35"/>
    <n v="2"/>
    <x v="35"/>
  </r>
  <r>
    <d v="2019-01-15T00:00:00"/>
    <x v="0"/>
    <x v="0"/>
    <x v="18"/>
    <x v="10"/>
    <x v="2"/>
    <x v="7"/>
    <x v="35"/>
    <x v="36"/>
    <n v="2"/>
    <x v="36"/>
  </r>
  <r>
    <d v="2019-01-15T00:00:00"/>
    <x v="0"/>
    <x v="0"/>
    <x v="18"/>
    <x v="10"/>
    <x v="1"/>
    <x v="3"/>
    <x v="36"/>
    <x v="37"/>
    <n v="3"/>
    <x v="37"/>
  </r>
  <r>
    <d v="2019-01-15T00:00:00"/>
    <x v="0"/>
    <x v="0"/>
    <x v="19"/>
    <x v="11"/>
    <x v="0"/>
    <x v="4"/>
    <x v="37"/>
    <x v="38"/>
    <n v="1"/>
    <x v="38"/>
  </r>
  <r>
    <d v="2019-01-15T00:00:00"/>
    <x v="0"/>
    <x v="0"/>
    <x v="20"/>
    <x v="12"/>
    <x v="2"/>
    <x v="10"/>
    <x v="38"/>
    <x v="39"/>
    <n v="4"/>
    <x v="39"/>
  </r>
  <r>
    <d v="2019-01-15T00:00:00"/>
    <x v="0"/>
    <x v="0"/>
    <x v="20"/>
    <x v="12"/>
    <x v="2"/>
    <x v="9"/>
    <x v="39"/>
    <x v="40"/>
    <n v="9"/>
    <x v="40"/>
  </r>
  <r>
    <d v="2019-01-15T00:00:00"/>
    <x v="0"/>
    <x v="0"/>
    <x v="20"/>
    <x v="12"/>
    <x v="2"/>
    <x v="5"/>
    <x v="40"/>
    <x v="41"/>
    <n v="3"/>
    <x v="41"/>
  </r>
  <r>
    <d v="2019-01-15T00:00:00"/>
    <x v="0"/>
    <x v="0"/>
    <x v="21"/>
    <x v="12"/>
    <x v="2"/>
    <x v="9"/>
    <x v="41"/>
    <x v="42"/>
    <n v="2"/>
    <x v="42"/>
  </r>
  <r>
    <d v="2019-01-16T00:00:00"/>
    <x v="0"/>
    <x v="0"/>
    <x v="22"/>
    <x v="1"/>
    <x v="2"/>
    <x v="5"/>
    <x v="42"/>
    <x v="43"/>
    <n v="2"/>
    <x v="43"/>
  </r>
  <r>
    <d v="2019-01-16T00:00:00"/>
    <x v="0"/>
    <x v="0"/>
    <x v="22"/>
    <x v="1"/>
    <x v="1"/>
    <x v="3"/>
    <x v="43"/>
    <x v="44"/>
    <n v="3"/>
    <x v="44"/>
  </r>
  <r>
    <d v="2019-01-17T00:00:00"/>
    <x v="0"/>
    <x v="0"/>
    <x v="23"/>
    <x v="13"/>
    <x v="0"/>
    <x v="8"/>
    <x v="44"/>
    <x v="45"/>
    <n v="3"/>
    <x v="45"/>
  </r>
  <r>
    <d v="2019-01-17T00:00:00"/>
    <x v="0"/>
    <x v="0"/>
    <x v="23"/>
    <x v="13"/>
    <x v="1"/>
    <x v="3"/>
    <x v="45"/>
    <x v="46"/>
    <n v="1"/>
    <x v="46"/>
  </r>
  <r>
    <d v="2019-01-17T00:00:00"/>
    <x v="0"/>
    <x v="0"/>
    <x v="23"/>
    <x v="13"/>
    <x v="1"/>
    <x v="3"/>
    <x v="46"/>
    <x v="47"/>
    <n v="3"/>
    <x v="47"/>
  </r>
  <r>
    <d v="2019-01-17T00:00:00"/>
    <x v="0"/>
    <x v="0"/>
    <x v="24"/>
    <x v="14"/>
    <x v="1"/>
    <x v="3"/>
    <x v="47"/>
    <x v="48"/>
    <n v="4"/>
    <x v="48"/>
  </r>
  <r>
    <d v="2019-01-21T00:00:00"/>
    <x v="0"/>
    <x v="0"/>
    <x v="25"/>
    <x v="1"/>
    <x v="0"/>
    <x v="11"/>
    <x v="48"/>
    <x v="49"/>
    <n v="2"/>
    <x v="49"/>
  </r>
  <r>
    <d v="2019-01-21T00:00:00"/>
    <x v="0"/>
    <x v="0"/>
    <x v="25"/>
    <x v="1"/>
    <x v="0"/>
    <x v="11"/>
    <x v="49"/>
    <x v="50"/>
    <n v="7"/>
    <x v="50"/>
  </r>
  <r>
    <d v="2019-01-22T00:00:00"/>
    <x v="0"/>
    <x v="0"/>
    <x v="26"/>
    <x v="10"/>
    <x v="2"/>
    <x v="12"/>
    <x v="50"/>
    <x v="51"/>
    <n v="6"/>
    <x v="51"/>
  </r>
  <r>
    <d v="2019-01-22T00:00:00"/>
    <x v="0"/>
    <x v="0"/>
    <x v="27"/>
    <x v="4"/>
    <x v="0"/>
    <x v="8"/>
    <x v="51"/>
    <x v="52"/>
    <n v="8"/>
    <x v="52"/>
  </r>
  <r>
    <d v="2019-01-22T00:00:00"/>
    <x v="0"/>
    <x v="0"/>
    <x v="27"/>
    <x v="4"/>
    <x v="0"/>
    <x v="0"/>
    <x v="52"/>
    <x v="53"/>
    <n v="4"/>
    <x v="53"/>
  </r>
  <r>
    <d v="2019-01-22T00:00:00"/>
    <x v="0"/>
    <x v="0"/>
    <x v="27"/>
    <x v="4"/>
    <x v="2"/>
    <x v="13"/>
    <x v="53"/>
    <x v="54"/>
    <n v="4"/>
    <x v="54"/>
  </r>
  <r>
    <d v="2019-01-22T00:00:00"/>
    <x v="0"/>
    <x v="0"/>
    <x v="6"/>
    <x v="9"/>
    <x v="0"/>
    <x v="8"/>
    <x v="54"/>
    <x v="55"/>
    <n v="5"/>
    <x v="55"/>
  </r>
  <r>
    <d v="2019-01-22T00:00:00"/>
    <x v="0"/>
    <x v="0"/>
    <x v="28"/>
    <x v="9"/>
    <x v="2"/>
    <x v="9"/>
    <x v="55"/>
    <x v="56"/>
    <n v="2"/>
    <x v="56"/>
  </r>
  <r>
    <d v="2019-01-22T00:00:00"/>
    <x v="0"/>
    <x v="0"/>
    <x v="29"/>
    <x v="1"/>
    <x v="2"/>
    <x v="14"/>
    <x v="56"/>
    <x v="57"/>
    <n v="3"/>
    <x v="57"/>
  </r>
  <r>
    <d v="2019-01-22T00:00:00"/>
    <x v="0"/>
    <x v="0"/>
    <x v="29"/>
    <x v="1"/>
    <x v="2"/>
    <x v="14"/>
    <x v="57"/>
    <x v="58"/>
    <n v="5"/>
    <x v="58"/>
  </r>
  <r>
    <d v="2019-01-22T00:00:00"/>
    <x v="0"/>
    <x v="0"/>
    <x v="30"/>
    <x v="8"/>
    <x v="1"/>
    <x v="1"/>
    <x v="58"/>
    <x v="59"/>
    <n v="4"/>
    <x v="59"/>
  </r>
  <r>
    <d v="2019-01-22T00:00:00"/>
    <x v="0"/>
    <x v="0"/>
    <x v="30"/>
    <x v="8"/>
    <x v="1"/>
    <x v="3"/>
    <x v="59"/>
    <x v="60"/>
    <n v="3"/>
    <x v="60"/>
  </r>
  <r>
    <d v="2019-01-22T00:00:00"/>
    <x v="0"/>
    <x v="0"/>
    <x v="31"/>
    <x v="12"/>
    <x v="2"/>
    <x v="5"/>
    <x v="60"/>
    <x v="61"/>
    <n v="4"/>
    <x v="61"/>
  </r>
  <r>
    <d v="2019-01-23T00:00:00"/>
    <x v="0"/>
    <x v="0"/>
    <x v="32"/>
    <x v="1"/>
    <x v="0"/>
    <x v="8"/>
    <x v="61"/>
    <x v="62"/>
    <n v="7"/>
    <x v="62"/>
  </r>
  <r>
    <d v="2019-01-23T00:00:00"/>
    <x v="0"/>
    <x v="0"/>
    <x v="33"/>
    <x v="15"/>
    <x v="1"/>
    <x v="3"/>
    <x v="62"/>
    <x v="63"/>
    <n v="2"/>
    <x v="63"/>
  </r>
  <r>
    <d v="2019-01-23T00:00:00"/>
    <x v="0"/>
    <x v="0"/>
    <x v="33"/>
    <x v="15"/>
    <x v="2"/>
    <x v="7"/>
    <x v="63"/>
    <x v="64"/>
    <n v="6"/>
    <x v="64"/>
  </r>
  <r>
    <d v="2019-01-23T00:00:00"/>
    <x v="0"/>
    <x v="0"/>
    <x v="33"/>
    <x v="15"/>
    <x v="2"/>
    <x v="2"/>
    <x v="64"/>
    <x v="65"/>
    <n v="13"/>
    <x v="65"/>
  </r>
  <r>
    <d v="2019-01-24T00:00:00"/>
    <x v="0"/>
    <x v="0"/>
    <x v="34"/>
    <x v="16"/>
    <x v="2"/>
    <x v="5"/>
    <x v="65"/>
    <x v="66"/>
    <n v="4"/>
    <x v="66"/>
  </r>
  <r>
    <d v="2019-01-25T00:00:00"/>
    <x v="0"/>
    <x v="0"/>
    <x v="35"/>
    <x v="10"/>
    <x v="2"/>
    <x v="7"/>
    <x v="66"/>
    <x v="67"/>
    <n v="3"/>
    <x v="67"/>
  </r>
  <r>
    <d v="2019-01-25T00:00:00"/>
    <x v="0"/>
    <x v="0"/>
    <x v="35"/>
    <x v="10"/>
    <x v="2"/>
    <x v="9"/>
    <x v="67"/>
    <x v="68"/>
    <n v="5"/>
    <x v="68"/>
  </r>
  <r>
    <d v="2019-01-25T00:00:00"/>
    <x v="0"/>
    <x v="0"/>
    <x v="36"/>
    <x v="12"/>
    <x v="2"/>
    <x v="5"/>
    <x v="68"/>
    <x v="69"/>
    <n v="5"/>
    <x v="69"/>
  </r>
  <r>
    <d v="2019-01-25T00:00:00"/>
    <x v="0"/>
    <x v="0"/>
    <x v="36"/>
    <x v="12"/>
    <x v="0"/>
    <x v="4"/>
    <x v="69"/>
    <x v="70"/>
    <n v="3"/>
    <x v="70"/>
  </r>
  <r>
    <d v="2019-01-25T00:00:00"/>
    <x v="0"/>
    <x v="0"/>
    <x v="36"/>
    <x v="12"/>
    <x v="0"/>
    <x v="8"/>
    <x v="70"/>
    <x v="71"/>
    <n v="1"/>
    <x v="71"/>
  </r>
  <r>
    <d v="2019-01-25T00:00:00"/>
    <x v="0"/>
    <x v="0"/>
    <x v="36"/>
    <x v="12"/>
    <x v="2"/>
    <x v="2"/>
    <x v="71"/>
    <x v="72"/>
    <n v="7"/>
    <x v="72"/>
  </r>
  <r>
    <d v="2019-01-28T00:00:00"/>
    <x v="0"/>
    <x v="0"/>
    <x v="34"/>
    <x v="1"/>
    <x v="2"/>
    <x v="7"/>
    <x v="72"/>
    <x v="73"/>
    <n v="2"/>
    <x v="73"/>
  </r>
  <r>
    <d v="2019-01-30T00:00:00"/>
    <x v="0"/>
    <x v="0"/>
    <x v="37"/>
    <x v="1"/>
    <x v="2"/>
    <x v="5"/>
    <x v="73"/>
    <x v="74"/>
    <n v="2"/>
    <x v="74"/>
  </r>
  <r>
    <d v="2019-01-30T00:00:00"/>
    <x v="0"/>
    <x v="0"/>
    <x v="38"/>
    <x v="1"/>
    <x v="2"/>
    <x v="2"/>
    <x v="74"/>
    <x v="75"/>
    <n v="9"/>
    <x v="75"/>
  </r>
  <r>
    <d v="2019-01-30T00:00:00"/>
    <x v="0"/>
    <x v="0"/>
    <x v="38"/>
    <x v="1"/>
    <x v="2"/>
    <x v="5"/>
    <x v="75"/>
    <x v="76"/>
    <n v="2"/>
    <x v="76"/>
  </r>
  <r>
    <d v="2019-01-30T00:00:00"/>
    <x v="0"/>
    <x v="0"/>
    <x v="38"/>
    <x v="1"/>
    <x v="2"/>
    <x v="14"/>
    <x v="76"/>
    <x v="77"/>
    <n v="9"/>
    <x v="77"/>
  </r>
  <r>
    <d v="2019-01-30T00:00:00"/>
    <x v="0"/>
    <x v="0"/>
    <x v="39"/>
    <x v="9"/>
    <x v="0"/>
    <x v="11"/>
    <x v="77"/>
    <x v="78"/>
    <n v="4"/>
    <x v="78"/>
  </r>
  <r>
    <d v="2019-01-30T00:00:00"/>
    <x v="0"/>
    <x v="0"/>
    <x v="39"/>
    <x v="9"/>
    <x v="0"/>
    <x v="0"/>
    <x v="78"/>
    <x v="79"/>
    <n v="1"/>
    <x v="79"/>
  </r>
  <r>
    <d v="2019-01-30T00:00:00"/>
    <x v="0"/>
    <x v="0"/>
    <x v="40"/>
    <x v="17"/>
    <x v="2"/>
    <x v="9"/>
    <x v="79"/>
    <x v="80"/>
    <n v="4"/>
    <x v="80"/>
  </r>
  <r>
    <d v="2019-01-30T00:00:00"/>
    <x v="0"/>
    <x v="0"/>
    <x v="41"/>
    <x v="17"/>
    <x v="1"/>
    <x v="1"/>
    <x v="80"/>
    <x v="81"/>
    <n v="4"/>
    <x v="81"/>
  </r>
  <r>
    <d v="2019-01-30T00:00:00"/>
    <x v="0"/>
    <x v="0"/>
    <x v="41"/>
    <x v="17"/>
    <x v="2"/>
    <x v="5"/>
    <x v="81"/>
    <x v="82"/>
    <n v="3"/>
    <x v="82"/>
  </r>
  <r>
    <d v="2019-01-30T00:00:00"/>
    <x v="0"/>
    <x v="0"/>
    <x v="41"/>
    <x v="17"/>
    <x v="0"/>
    <x v="4"/>
    <x v="82"/>
    <x v="83"/>
    <n v="3"/>
    <x v="83"/>
  </r>
  <r>
    <d v="2019-01-31T00:00:00"/>
    <x v="0"/>
    <x v="0"/>
    <x v="42"/>
    <x v="1"/>
    <x v="1"/>
    <x v="1"/>
    <x v="83"/>
    <x v="84"/>
    <n v="1"/>
    <x v="84"/>
  </r>
  <r>
    <d v="2019-01-31T00:00:00"/>
    <x v="0"/>
    <x v="0"/>
    <x v="42"/>
    <x v="1"/>
    <x v="2"/>
    <x v="9"/>
    <x v="84"/>
    <x v="85"/>
    <n v="5"/>
    <x v="85"/>
  </r>
  <r>
    <d v="2019-01-31T00:00:00"/>
    <x v="0"/>
    <x v="0"/>
    <x v="43"/>
    <x v="2"/>
    <x v="2"/>
    <x v="9"/>
    <x v="85"/>
    <x v="29"/>
    <n v="3"/>
    <x v="29"/>
  </r>
  <r>
    <d v="2019-01-31T00:00:00"/>
    <x v="0"/>
    <x v="0"/>
    <x v="44"/>
    <x v="10"/>
    <x v="2"/>
    <x v="10"/>
    <x v="86"/>
    <x v="86"/>
    <n v="2"/>
    <x v="86"/>
  </r>
  <r>
    <d v="2019-01-31T00:00:00"/>
    <x v="0"/>
    <x v="0"/>
    <x v="45"/>
    <x v="14"/>
    <x v="2"/>
    <x v="5"/>
    <x v="87"/>
    <x v="87"/>
    <n v="1"/>
    <x v="87"/>
  </r>
  <r>
    <d v="2019-01-31T00:00:00"/>
    <x v="0"/>
    <x v="0"/>
    <x v="45"/>
    <x v="14"/>
    <x v="2"/>
    <x v="10"/>
    <x v="88"/>
    <x v="88"/>
    <n v="8"/>
    <x v="88"/>
  </r>
  <r>
    <d v="2019-02-01T00:00:00"/>
    <x v="0"/>
    <x v="1"/>
    <x v="46"/>
    <x v="18"/>
    <x v="2"/>
    <x v="2"/>
    <x v="89"/>
    <x v="89"/>
    <n v="5"/>
    <x v="89"/>
  </r>
  <r>
    <d v="2019-02-01T00:00:00"/>
    <x v="0"/>
    <x v="1"/>
    <x v="47"/>
    <x v="1"/>
    <x v="2"/>
    <x v="9"/>
    <x v="90"/>
    <x v="90"/>
    <n v="4"/>
    <x v="90"/>
  </r>
  <r>
    <d v="2019-02-02T00:00:00"/>
    <x v="0"/>
    <x v="1"/>
    <x v="48"/>
    <x v="12"/>
    <x v="2"/>
    <x v="2"/>
    <x v="91"/>
    <x v="91"/>
    <n v="2"/>
    <x v="91"/>
  </r>
  <r>
    <d v="2019-02-02T00:00:00"/>
    <x v="0"/>
    <x v="1"/>
    <x v="49"/>
    <x v="18"/>
    <x v="1"/>
    <x v="15"/>
    <x v="92"/>
    <x v="92"/>
    <n v="5"/>
    <x v="92"/>
  </r>
  <r>
    <d v="2019-02-02T00:00:00"/>
    <x v="0"/>
    <x v="1"/>
    <x v="49"/>
    <x v="18"/>
    <x v="2"/>
    <x v="5"/>
    <x v="93"/>
    <x v="93"/>
    <n v="8"/>
    <x v="93"/>
  </r>
  <r>
    <d v="2019-02-02T00:00:00"/>
    <x v="0"/>
    <x v="1"/>
    <x v="49"/>
    <x v="18"/>
    <x v="0"/>
    <x v="8"/>
    <x v="94"/>
    <x v="94"/>
    <n v="7"/>
    <x v="94"/>
  </r>
  <r>
    <d v="2019-02-02T00:00:00"/>
    <x v="0"/>
    <x v="1"/>
    <x v="50"/>
    <x v="2"/>
    <x v="0"/>
    <x v="8"/>
    <x v="95"/>
    <x v="95"/>
    <n v="2"/>
    <x v="95"/>
  </r>
  <r>
    <d v="2019-02-03T00:00:00"/>
    <x v="0"/>
    <x v="1"/>
    <x v="51"/>
    <x v="19"/>
    <x v="0"/>
    <x v="11"/>
    <x v="96"/>
    <x v="96"/>
    <n v="4"/>
    <x v="96"/>
  </r>
  <r>
    <d v="2019-02-04T00:00:00"/>
    <x v="0"/>
    <x v="1"/>
    <x v="52"/>
    <x v="20"/>
    <x v="0"/>
    <x v="8"/>
    <x v="97"/>
    <x v="97"/>
    <n v="2"/>
    <x v="97"/>
  </r>
  <r>
    <d v="2019-02-04T00:00:00"/>
    <x v="0"/>
    <x v="1"/>
    <x v="53"/>
    <x v="0"/>
    <x v="1"/>
    <x v="1"/>
    <x v="5"/>
    <x v="98"/>
    <n v="2"/>
    <x v="98"/>
  </r>
  <r>
    <d v="2019-02-04T00:00:00"/>
    <x v="0"/>
    <x v="1"/>
    <x v="54"/>
    <x v="1"/>
    <x v="2"/>
    <x v="2"/>
    <x v="98"/>
    <x v="99"/>
    <n v="2"/>
    <x v="99"/>
  </r>
  <r>
    <d v="2019-02-05T00:00:00"/>
    <x v="0"/>
    <x v="1"/>
    <x v="55"/>
    <x v="14"/>
    <x v="2"/>
    <x v="2"/>
    <x v="99"/>
    <x v="100"/>
    <n v="1"/>
    <x v="100"/>
  </r>
  <r>
    <d v="2019-02-05T00:00:00"/>
    <x v="0"/>
    <x v="1"/>
    <x v="55"/>
    <x v="14"/>
    <x v="2"/>
    <x v="9"/>
    <x v="100"/>
    <x v="101"/>
    <n v="9"/>
    <x v="101"/>
  </r>
  <r>
    <d v="2019-02-05T00:00:00"/>
    <x v="0"/>
    <x v="1"/>
    <x v="55"/>
    <x v="14"/>
    <x v="2"/>
    <x v="12"/>
    <x v="101"/>
    <x v="102"/>
    <n v="5"/>
    <x v="102"/>
  </r>
  <r>
    <d v="2019-02-05T00:00:00"/>
    <x v="0"/>
    <x v="1"/>
    <x v="55"/>
    <x v="14"/>
    <x v="0"/>
    <x v="8"/>
    <x v="102"/>
    <x v="103"/>
    <n v="3"/>
    <x v="103"/>
  </r>
  <r>
    <d v="2019-02-05T00:00:00"/>
    <x v="0"/>
    <x v="1"/>
    <x v="55"/>
    <x v="14"/>
    <x v="0"/>
    <x v="0"/>
    <x v="103"/>
    <x v="104"/>
    <n v="2"/>
    <x v="104"/>
  </r>
  <r>
    <d v="2019-02-05T00:00:00"/>
    <x v="0"/>
    <x v="1"/>
    <x v="55"/>
    <x v="14"/>
    <x v="2"/>
    <x v="10"/>
    <x v="104"/>
    <x v="105"/>
    <n v="2"/>
    <x v="105"/>
  </r>
  <r>
    <d v="2019-02-05T00:00:00"/>
    <x v="0"/>
    <x v="1"/>
    <x v="55"/>
    <x v="14"/>
    <x v="1"/>
    <x v="1"/>
    <x v="105"/>
    <x v="106"/>
    <n v="3"/>
    <x v="106"/>
  </r>
  <r>
    <d v="2019-02-05T00:00:00"/>
    <x v="0"/>
    <x v="1"/>
    <x v="55"/>
    <x v="14"/>
    <x v="1"/>
    <x v="1"/>
    <x v="106"/>
    <x v="107"/>
    <n v="3"/>
    <x v="107"/>
  </r>
  <r>
    <d v="2019-02-05T00:00:00"/>
    <x v="0"/>
    <x v="1"/>
    <x v="55"/>
    <x v="14"/>
    <x v="2"/>
    <x v="9"/>
    <x v="107"/>
    <x v="108"/>
    <n v="3"/>
    <x v="108"/>
  </r>
  <r>
    <d v="2019-02-05T00:00:00"/>
    <x v="0"/>
    <x v="1"/>
    <x v="55"/>
    <x v="14"/>
    <x v="2"/>
    <x v="2"/>
    <x v="108"/>
    <x v="109"/>
    <n v="3"/>
    <x v="109"/>
  </r>
  <r>
    <d v="2019-02-05T00:00:00"/>
    <x v="0"/>
    <x v="1"/>
    <x v="55"/>
    <x v="14"/>
    <x v="2"/>
    <x v="9"/>
    <x v="79"/>
    <x v="110"/>
    <n v="7"/>
    <x v="110"/>
  </r>
  <r>
    <d v="2019-02-05T00:00:00"/>
    <x v="0"/>
    <x v="1"/>
    <x v="56"/>
    <x v="1"/>
    <x v="2"/>
    <x v="14"/>
    <x v="109"/>
    <x v="111"/>
    <n v="3"/>
    <x v="111"/>
  </r>
  <r>
    <d v="2019-02-05T00:00:00"/>
    <x v="0"/>
    <x v="1"/>
    <x v="56"/>
    <x v="1"/>
    <x v="2"/>
    <x v="2"/>
    <x v="110"/>
    <x v="112"/>
    <n v="3"/>
    <x v="112"/>
  </r>
  <r>
    <d v="2019-02-05T00:00:00"/>
    <x v="0"/>
    <x v="1"/>
    <x v="56"/>
    <x v="1"/>
    <x v="0"/>
    <x v="4"/>
    <x v="69"/>
    <x v="113"/>
    <n v="4"/>
    <x v="113"/>
  </r>
  <r>
    <d v="2019-02-05T00:00:00"/>
    <x v="0"/>
    <x v="1"/>
    <x v="56"/>
    <x v="1"/>
    <x v="1"/>
    <x v="1"/>
    <x v="111"/>
    <x v="114"/>
    <n v="4"/>
    <x v="114"/>
  </r>
  <r>
    <d v="2019-02-06T00:00:00"/>
    <x v="0"/>
    <x v="1"/>
    <x v="57"/>
    <x v="21"/>
    <x v="0"/>
    <x v="8"/>
    <x v="112"/>
    <x v="115"/>
    <n v="4"/>
    <x v="115"/>
  </r>
  <r>
    <d v="2019-02-07T00:00:00"/>
    <x v="0"/>
    <x v="1"/>
    <x v="58"/>
    <x v="18"/>
    <x v="1"/>
    <x v="3"/>
    <x v="113"/>
    <x v="116"/>
    <n v="4"/>
    <x v="116"/>
  </r>
  <r>
    <d v="2019-02-07T00:00:00"/>
    <x v="0"/>
    <x v="1"/>
    <x v="58"/>
    <x v="18"/>
    <x v="2"/>
    <x v="14"/>
    <x v="114"/>
    <x v="117"/>
    <n v="3"/>
    <x v="117"/>
  </r>
  <r>
    <d v="2019-02-07T00:00:00"/>
    <x v="0"/>
    <x v="1"/>
    <x v="59"/>
    <x v="8"/>
    <x v="2"/>
    <x v="9"/>
    <x v="115"/>
    <x v="118"/>
    <n v="2"/>
    <x v="118"/>
  </r>
  <r>
    <d v="2019-02-07T00:00:00"/>
    <x v="0"/>
    <x v="1"/>
    <x v="4"/>
    <x v="1"/>
    <x v="1"/>
    <x v="1"/>
    <x v="116"/>
    <x v="119"/>
    <n v="5"/>
    <x v="119"/>
  </r>
  <r>
    <d v="2019-02-08T00:00:00"/>
    <x v="0"/>
    <x v="1"/>
    <x v="60"/>
    <x v="4"/>
    <x v="1"/>
    <x v="1"/>
    <x v="117"/>
    <x v="120"/>
    <n v="3"/>
    <x v="120"/>
  </r>
  <r>
    <d v="2019-02-08T00:00:00"/>
    <x v="0"/>
    <x v="1"/>
    <x v="61"/>
    <x v="2"/>
    <x v="0"/>
    <x v="11"/>
    <x v="118"/>
    <x v="121"/>
    <n v="4"/>
    <x v="72"/>
  </r>
  <r>
    <d v="2019-02-09T00:00:00"/>
    <x v="0"/>
    <x v="1"/>
    <x v="62"/>
    <x v="1"/>
    <x v="1"/>
    <x v="3"/>
    <x v="45"/>
    <x v="122"/>
    <n v="3"/>
    <x v="121"/>
  </r>
  <r>
    <d v="2019-02-09T00:00:00"/>
    <x v="0"/>
    <x v="1"/>
    <x v="62"/>
    <x v="1"/>
    <x v="1"/>
    <x v="3"/>
    <x v="119"/>
    <x v="123"/>
    <n v="2"/>
    <x v="122"/>
  </r>
  <r>
    <d v="2019-02-11T00:00:00"/>
    <x v="0"/>
    <x v="1"/>
    <x v="63"/>
    <x v="3"/>
    <x v="1"/>
    <x v="1"/>
    <x v="120"/>
    <x v="124"/>
    <n v="7"/>
    <x v="123"/>
  </r>
  <r>
    <d v="2019-02-12T00:00:00"/>
    <x v="0"/>
    <x v="1"/>
    <x v="64"/>
    <x v="14"/>
    <x v="2"/>
    <x v="2"/>
    <x v="121"/>
    <x v="125"/>
    <n v="6"/>
    <x v="124"/>
  </r>
  <r>
    <d v="2019-02-12T00:00:00"/>
    <x v="0"/>
    <x v="1"/>
    <x v="64"/>
    <x v="14"/>
    <x v="2"/>
    <x v="5"/>
    <x v="122"/>
    <x v="126"/>
    <n v="4"/>
    <x v="125"/>
  </r>
  <r>
    <d v="2019-02-13T00:00:00"/>
    <x v="0"/>
    <x v="1"/>
    <x v="65"/>
    <x v="1"/>
    <x v="2"/>
    <x v="9"/>
    <x v="123"/>
    <x v="127"/>
    <n v="3"/>
    <x v="126"/>
  </r>
  <r>
    <d v="2019-02-14T00:00:00"/>
    <x v="0"/>
    <x v="1"/>
    <x v="66"/>
    <x v="0"/>
    <x v="2"/>
    <x v="9"/>
    <x v="124"/>
    <x v="128"/>
    <n v="1"/>
    <x v="127"/>
  </r>
  <r>
    <d v="2019-02-14T00:00:00"/>
    <x v="0"/>
    <x v="1"/>
    <x v="66"/>
    <x v="0"/>
    <x v="2"/>
    <x v="7"/>
    <x v="125"/>
    <x v="129"/>
    <n v="3"/>
    <x v="128"/>
  </r>
  <r>
    <d v="2019-02-14T00:00:00"/>
    <x v="0"/>
    <x v="1"/>
    <x v="66"/>
    <x v="0"/>
    <x v="0"/>
    <x v="4"/>
    <x v="126"/>
    <x v="130"/>
    <n v="3"/>
    <x v="129"/>
  </r>
  <r>
    <d v="2019-02-14T00:00:00"/>
    <x v="0"/>
    <x v="1"/>
    <x v="66"/>
    <x v="0"/>
    <x v="0"/>
    <x v="8"/>
    <x v="127"/>
    <x v="131"/>
    <n v="6"/>
    <x v="130"/>
  </r>
  <r>
    <d v="2019-02-14T00:00:00"/>
    <x v="0"/>
    <x v="1"/>
    <x v="67"/>
    <x v="16"/>
    <x v="2"/>
    <x v="7"/>
    <x v="128"/>
    <x v="132"/>
    <n v="7"/>
    <x v="131"/>
  </r>
  <r>
    <d v="2019-02-15T00:00:00"/>
    <x v="0"/>
    <x v="1"/>
    <x v="68"/>
    <x v="12"/>
    <x v="2"/>
    <x v="5"/>
    <x v="129"/>
    <x v="133"/>
    <n v="3"/>
    <x v="132"/>
  </r>
  <r>
    <d v="2019-02-15T00:00:00"/>
    <x v="0"/>
    <x v="1"/>
    <x v="68"/>
    <x v="12"/>
    <x v="2"/>
    <x v="12"/>
    <x v="130"/>
    <x v="134"/>
    <n v="4"/>
    <x v="133"/>
  </r>
  <r>
    <d v="2019-02-16T00:00:00"/>
    <x v="0"/>
    <x v="1"/>
    <x v="69"/>
    <x v="17"/>
    <x v="2"/>
    <x v="13"/>
    <x v="131"/>
    <x v="135"/>
    <n v="6"/>
    <x v="134"/>
  </r>
  <r>
    <d v="2019-02-16T00:00:00"/>
    <x v="0"/>
    <x v="1"/>
    <x v="69"/>
    <x v="17"/>
    <x v="2"/>
    <x v="12"/>
    <x v="130"/>
    <x v="136"/>
    <n v="4"/>
    <x v="135"/>
  </r>
  <r>
    <d v="2019-02-16T00:00:00"/>
    <x v="0"/>
    <x v="1"/>
    <x v="69"/>
    <x v="17"/>
    <x v="0"/>
    <x v="11"/>
    <x v="132"/>
    <x v="137"/>
    <n v="3"/>
    <x v="136"/>
  </r>
  <r>
    <d v="2019-02-16T00:00:00"/>
    <x v="0"/>
    <x v="1"/>
    <x v="69"/>
    <x v="17"/>
    <x v="2"/>
    <x v="9"/>
    <x v="133"/>
    <x v="138"/>
    <n v="1"/>
    <x v="137"/>
  </r>
  <r>
    <d v="2019-02-16T00:00:00"/>
    <x v="0"/>
    <x v="1"/>
    <x v="70"/>
    <x v="10"/>
    <x v="0"/>
    <x v="11"/>
    <x v="134"/>
    <x v="139"/>
    <n v="2"/>
    <x v="138"/>
  </r>
  <r>
    <d v="2019-02-16T00:00:00"/>
    <x v="0"/>
    <x v="1"/>
    <x v="71"/>
    <x v="19"/>
    <x v="0"/>
    <x v="8"/>
    <x v="135"/>
    <x v="140"/>
    <n v="4"/>
    <x v="139"/>
  </r>
  <r>
    <d v="2019-02-16T00:00:00"/>
    <x v="0"/>
    <x v="1"/>
    <x v="71"/>
    <x v="19"/>
    <x v="2"/>
    <x v="5"/>
    <x v="136"/>
    <x v="141"/>
    <n v="1"/>
    <x v="140"/>
  </r>
  <r>
    <d v="2019-02-16T00:00:00"/>
    <x v="0"/>
    <x v="1"/>
    <x v="72"/>
    <x v="12"/>
    <x v="0"/>
    <x v="11"/>
    <x v="137"/>
    <x v="142"/>
    <n v="3"/>
    <x v="141"/>
  </r>
  <r>
    <d v="2019-02-16T00:00:00"/>
    <x v="0"/>
    <x v="1"/>
    <x v="72"/>
    <x v="12"/>
    <x v="1"/>
    <x v="3"/>
    <x v="45"/>
    <x v="122"/>
    <n v="3"/>
    <x v="121"/>
  </r>
  <r>
    <d v="2019-02-19T00:00:00"/>
    <x v="0"/>
    <x v="1"/>
    <x v="73"/>
    <x v="12"/>
    <x v="0"/>
    <x v="8"/>
    <x v="138"/>
    <x v="143"/>
    <n v="2"/>
    <x v="142"/>
  </r>
  <r>
    <d v="2019-02-19T00:00:00"/>
    <x v="0"/>
    <x v="1"/>
    <x v="73"/>
    <x v="12"/>
    <x v="2"/>
    <x v="2"/>
    <x v="139"/>
    <x v="144"/>
    <n v="3"/>
    <x v="143"/>
  </r>
  <r>
    <d v="2019-02-19T00:00:00"/>
    <x v="0"/>
    <x v="1"/>
    <x v="46"/>
    <x v="12"/>
    <x v="2"/>
    <x v="14"/>
    <x v="140"/>
    <x v="145"/>
    <n v="3"/>
    <x v="144"/>
  </r>
  <r>
    <d v="2019-02-19T00:00:00"/>
    <x v="0"/>
    <x v="1"/>
    <x v="46"/>
    <x v="12"/>
    <x v="2"/>
    <x v="16"/>
    <x v="141"/>
    <x v="146"/>
    <n v="3"/>
    <x v="145"/>
  </r>
  <r>
    <d v="2019-02-19T00:00:00"/>
    <x v="0"/>
    <x v="1"/>
    <x v="73"/>
    <x v="1"/>
    <x v="2"/>
    <x v="9"/>
    <x v="142"/>
    <x v="147"/>
    <n v="2"/>
    <x v="146"/>
  </r>
  <r>
    <d v="2019-02-20T00:00:00"/>
    <x v="0"/>
    <x v="1"/>
    <x v="74"/>
    <x v="21"/>
    <x v="2"/>
    <x v="9"/>
    <x v="143"/>
    <x v="148"/>
    <n v="2"/>
    <x v="147"/>
  </r>
  <r>
    <d v="2019-02-21T00:00:00"/>
    <x v="0"/>
    <x v="1"/>
    <x v="75"/>
    <x v="1"/>
    <x v="1"/>
    <x v="3"/>
    <x v="144"/>
    <x v="149"/>
    <n v="1"/>
    <x v="148"/>
  </r>
  <r>
    <d v="2019-02-21T00:00:00"/>
    <x v="0"/>
    <x v="1"/>
    <x v="75"/>
    <x v="1"/>
    <x v="2"/>
    <x v="5"/>
    <x v="145"/>
    <x v="150"/>
    <n v="4"/>
    <x v="149"/>
  </r>
  <r>
    <d v="2019-02-21T00:00:00"/>
    <x v="0"/>
    <x v="1"/>
    <x v="75"/>
    <x v="1"/>
    <x v="2"/>
    <x v="2"/>
    <x v="146"/>
    <x v="151"/>
    <n v="5"/>
    <x v="150"/>
  </r>
  <r>
    <d v="2019-02-21T00:00:00"/>
    <x v="0"/>
    <x v="1"/>
    <x v="75"/>
    <x v="1"/>
    <x v="2"/>
    <x v="5"/>
    <x v="147"/>
    <x v="152"/>
    <n v="7"/>
    <x v="151"/>
  </r>
  <r>
    <d v="2019-02-21T00:00:00"/>
    <x v="0"/>
    <x v="1"/>
    <x v="76"/>
    <x v="12"/>
    <x v="0"/>
    <x v="8"/>
    <x v="148"/>
    <x v="153"/>
    <n v="5"/>
    <x v="152"/>
  </r>
  <r>
    <d v="2019-02-21T00:00:00"/>
    <x v="0"/>
    <x v="1"/>
    <x v="76"/>
    <x v="12"/>
    <x v="2"/>
    <x v="2"/>
    <x v="149"/>
    <x v="154"/>
    <n v="3"/>
    <x v="153"/>
  </r>
  <r>
    <d v="2019-02-21T00:00:00"/>
    <x v="0"/>
    <x v="1"/>
    <x v="76"/>
    <x v="12"/>
    <x v="1"/>
    <x v="1"/>
    <x v="150"/>
    <x v="155"/>
    <n v="2"/>
    <x v="154"/>
  </r>
  <r>
    <d v="2019-02-21T00:00:00"/>
    <x v="0"/>
    <x v="1"/>
    <x v="77"/>
    <x v="6"/>
    <x v="2"/>
    <x v="5"/>
    <x v="151"/>
    <x v="156"/>
    <n v="3"/>
    <x v="155"/>
  </r>
  <r>
    <d v="2019-02-21T00:00:00"/>
    <x v="0"/>
    <x v="1"/>
    <x v="77"/>
    <x v="6"/>
    <x v="2"/>
    <x v="5"/>
    <x v="10"/>
    <x v="157"/>
    <n v="2"/>
    <x v="156"/>
  </r>
  <r>
    <d v="2019-02-21T00:00:00"/>
    <x v="0"/>
    <x v="1"/>
    <x v="77"/>
    <x v="6"/>
    <x v="2"/>
    <x v="2"/>
    <x v="152"/>
    <x v="158"/>
    <n v="3"/>
    <x v="157"/>
  </r>
  <r>
    <d v="2019-02-21T00:00:00"/>
    <x v="0"/>
    <x v="1"/>
    <x v="69"/>
    <x v="12"/>
    <x v="0"/>
    <x v="8"/>
    <x v="153"/>
    <x v="159"/>
    <n v="7"/>
    <x v="158"/>
  </r>
  <r>
    <d v="2019-02-22T00:00:00"/>
    <x v="0"/>
    <x v="1"/>
    <x v="78"/>
    <x v="7"/>
    <x v="2"/>
    <x v="13"/>
    <x v="154"/>
    <x v="160"/>
    <n v="9"/>
    <x v="159"/>
  </r>
  <r>
    <d v="2019-02-22T00:00:00"/>
    <x v="0"/>
    <x v="1"/>
    <x v="79"/>
    <x v="1"/>
    <x v="1"/>
    <x v="1"/>
    <x v="155"/>
    <x v="161"/>
    <n v="5"/>
    <x v="160"/>
  </r>
  <r>
    <d v="2019-02-22T00:00:00"/>
    <x v="0"/>
    <x v="1"/>
    <x v="79"/>
    <x v="1"/>
    <x v="1"/>
    <x v="3"/>
    <x v="156"/>
    <x v="162"/>
    <n v="1"/>
    <x v="161"/>
  </r>
  <r>
    <d v="2019-02-22T00:00:00"/>
    <x v="0"/>
    <x v="1"/>
    <x v="79"/>
    <x v="1"/>
    <x v="2"/>
    <x v="12"/>
    <x v="157"/>
    <x v="163"/>
    <n v="3"/>
    <x v="162"/>
  </r>
  <r>
    <d v="2019-02-23T00:00:00"/>
    <x v="0"/>
    <x v="1"/>
    <x v="80"/>
    <x v="5"/>
    <x v="2"/>
    <x v="10"/>
    <x v="158"/>
    <x v="164"/>
    <n v="3"/>
    <x v="163"/>
  </r>
  <r>
    <d v="2019-02-25T00:00:00"/>
    <x v="0"/>
    <x v="1"/>
    <x v="81"/>
    <x v="8"/>
    <x v="2"/>
    <x v="10"/>
    <x v="86"/>
    <x v="165"/>
    <n v="5"/>
    <x v="164"/>
  </r>
  <r>
    <d v="2019-02-27T00:00:00"/>
    <x v="0"/>
    <x v="1"/>
    <x v="82"/>
    <x v="12"/>
    <x v="2"/>
    <x v="13"/>
    <x v="159"/>
    <x v="166"/>
    <n v="3"/>
    <x v="165"/>
  </r>
  <r>
    <d v="2019-02-27T00:00:00"/>
    <x v="0"/>
    <x v="1"/>
    <x v="83"/>
    <x v="7"/>
    <x v="2"/>
    <x v="5"/>
    <x v="160"/>
    <x v="167"/>
    <n v="3"/>
    <x v="166"/>
  </r>
  <r>
    <d v="2019-02-27T00:00:00"/>
    <x v="0"/>
    <x v="1"/>
    <x v="84"/>
    <x v="2"/>
    <x v="0"/>
    <x v="8"/>
    <x v="161"/>
    <x v="168"/>
    <n v="2"/>
    <x v="167"/>
  </r>
  <r>
    <d v="2019-02-28T00:00:00"/>
    <x v="0"/>
    <x v="1"/>
    <x v="85"/>
    <x v="8"/>
    <x v="2"/>
    <x v="7"/>
    <x v="162"/>
    <x v="169"/>
    <n v="7"/>
    <x v="168"/>
  </r>
  <r>
    <d v="2019-02-28T00:00:00"/>
    <x v="0"/>
    <x v="1"/>
    <x v="86"/>
    <x v="12"/>
    <x v="2"/>
    <x v="12"/>
    <x v="163"/>
    <x v="170"/>
    <n v="6"/>
    <x v="169"/>
  </r>
  <r>
    <d v="2019-03-01T00:00:00"/>
    <x v="0"/>
    <x v="2"/>
    <x v="87"/>
    <x v="12"/>
    <x v="0"/>
    <x v="4"/>
    <x v="69"/>
    <x v="171"/>
    <n v="8"/>
    <x v="170"/>
  </r>
  <r>
    <d v="2019-03-01T00:00:00"/>
    <x v="0"/>
    <x v="2"/>
    <x v="87"/>
    <x v="12"/>
    <x v="2"/>
    <x v="9"/>
    <x v="84"/>
    <x v="172"/>
    <n v="1"/>
    <x v="171"/>
  </r>
  <r>
    <d v="2019-03-01T00:00:00"/>
    <x v="0"/>
    <x v="2"/>
    <x v="87"/>
    <x v="12"/>
    <x v="2"/>
    <x v="2"/>
    <x v="164"/>
    <x v="173"/>
    <n v="2"/>
    <x v="172"/>
  </r>
  <r>
    <d v="2019-03-01T00:00:00"/>
    <x v="0"/>
    <x v="2"/>
    <x v="87"/>
    <x v="12"/>
    <x v="1"/>
    <x v="15"/>
    <x v="165"/>
    <x v="174"/>
    <n v="7"/>
    <x v="173"/>
  </r>
  <r>
    <d v="2019-03-01T00:00:00"/>
    <x v="0"/>
    <x v="2"/>
    <x v="88"/>
    <x v="22"/>
    <x v="1"/>
    <x v="1"/>
    <x v="166"/>
    <x v="175"/>
    <n v="2"/>
    <x v="174"/>
  </r>
  <r>
    <d v="2019-03-03T00:00:00"/>
    <x v="0"/>
    <x v="2"/>
    <x v="89"/>
    <x v="23"/>
    <x v="2"/>
    <x v="5"/>
    <x v="167"/>
    <x v="176"/>
    <n v="7"/>
    <x v="175"/>
  </r>
  <r>
    <d v="2019-03-03T00:00:00"/>
    <x v="0"/>
    <x v="2"/>
    <x v="89"/>
    <x v="23"/>
    <x v="1"/>
    <x v="1"/>
    <x v="168"/>
    <x v="177"/>
    <n v="5"/>
    <x v="176"/>
  </r>
  <r>
    <d v="2019-03-03T00:00:00"/>
    <x v="0"/>
    <x v="2"/>
    <x v="89"/>
    <x v="23"/>
    <x v="2"/>
    <x v="9"/>
    <x v="169"/>
    <x v="178"/>
    <n v="3"/>
    <x v="177"/>
  </r>
  <r>
    <d v="2019-03-03T00:00:00"/>
    <x v="0"/>
    <x v="2"/>
    <x v="90"/>
    <x v="2"/>
    <x v="2"/>
    <x v="9"/>
    <x v="170"/>
    <x v="179"/>
    <n v="7"/>
    <x v="178"/>
  </r>
  <r>
    <d v="2019-03-03T00:00:00"/>
    <x v="0"/>
    <x v="2"/>
    <x v="90"/>
    <x v="2"/>
    <x v="0"/>
    <x v="11"/>
    <x v="171"/>
    <x v="180"/>
    <n v="5"/>
    <x v="179"/>
  </r>
  <r>
    <d v="2019-03-03T00:00:00"/>
    <x v="0"/>
    <x v="2"/>
    <x v="91"/>
    <x v="24"/>
    <x v="1"/>
    <x v="1"/>
    <x v="172"/>
    <x v="181"/>
    <n v="3"/>
    <x v="180"/>
  </r>
  <r>
    <d v="2019-03-03T00:00:00"/>
    <x v="0"/>
    <x v="2"/>
    <x v="92"/>
    <x v="2"/>
    <x v="0"/>
    <x v="4"/>
    <x v="173"/>
    <x v="182"/>
    <n v="3"/>
    <x v="181"/>
  </r>
  <r>
    <d v="2019-03-03T00:00:00"/>
    <x v="0"/>
    <x v="2"/>
    <x v="92"/>
    <x v="2"/>
    <x v="1"/>
    <x v="15"/>
    <x v="174"/>
    <x v="183"/>
    <n v="3"/>
    <x v="182"/>
  </r>
  <r>
    <d v="2019-03-03T00:00:00"/>
    <x v="0"/>
    <x v="2"/>
    <x v="92"/>
    <x v="2"/>
    <x v="2"/>
    <x v="10"/>
    <x v="175"/>
    <x v="184"/>
    <n v="3"/>
    <x v="183"/>
  </r>
  <r>
    <d v="2019-03-03T00:00:00"/>
    <x v="0"/>
    <x v="2"/>
    <x v="93"/>
    <x v="1"/>
    <x v="2"/>
    <x v="16"/>
    <x v="176"/>
    <x v="185"/>
    <n v="3"/>
    <x v="184"/>
  </r>
  <r>
    <d v="2019-03-03T00:00:00"/>
    <x v="0"/>
    <x v="2"/>
    <x v="93"/>
    <x v="1"/>
    <x v="0"/>
    <x v="8"/>
    <x v="177"/>
    <x v="186"/>
    <n v="3"/>
    <x v="185"/>
  </r>
  <r>
    <d v="2019-03-03T00:00:00"/>
    <x v="0"/>
    <x v="2"/>
    <x v="94"/>
    <x v="2"/>
    <x v="2"/>
    <x v="16"/>
    <x v="178"/>
    <x v="187"/>
    <n v="3"/>
    <x v="186"/>
  </r>
  <r>
    <d v="2019-03-03T00:00:00"/>
    <x v="0"/>
    <x v="2"/>
    <x v="94"/>
    <x v="2"/>
    <x v="2"/>
    <x v="12"/>
    <x v="179"/>
    <x v="188"/>
    <n v="1"/>
    <x v="187"/>
  </r>
  <r>
    <d v="2019-03-03T00:00:00"/>
    <x v="0"/>
    <x v="2"/>
    <x v="94"/>
    <x v="2"/>
    <x v="1"/>
    <x v="1"/>
    <x v="180"/>
    <x v="189"/>
    <n v="3"/>
    <x v="188"/>
  </r>
  <r>
    <d v="2019-03-03T00:00:00"/>
    <x v="0"/>
    <x v="2"/>
    <x v="94"/>
    <x v="2"/>
    <x v="1"/>
    <x v="3"/>
    <x v="181"/>
    <x v="190"/>
    <n v="7"/>
    <x v="189"/>
  </r>
  <r>
    <d v="2019-03-04T00:00:00"/>
    <x v="0"/>
    <x v="2"/>
    <x v="95"/>
    <x v="1"/>
    <x v="2"/>
    <x v="7"/>
    <x v="182"/>
    <x v="191"/>
    <n v="1"/>
    <x v="190"/>
  </r>
  <r>
    <d v="2019-03-04T00:00:00"/>
    <x v="0"/>
    <x v="2"/>
    <x v="96"/>
    <x v="6"/>
    <x v="2"/>
    <x v="14"/>
    <x v="183"/>
    <x v="192"/>
    <n v="4"/>
    <x v="191"/>
  </r>
  <r>
    <d v="2019-03-04T00:00:00"/>
    <x v="0"/>
    <x v="2"/>
    <x v="97"/>
    <x v="24"/>
    <x v="2"/>
    <x v="5"/>
    <x v="184"/>
    <x v="193"/>
    <n v="3"/>
    <x v="192"/>
  </r>
  <r>
    <d v="2019-03-04T00:00:00"/>
    <x v="0"/>
    <x v="2"/>
    <x v="98"/>
    <x v="13"/>
    <x v="1"/>
    <x v="3"/>
    <x v="185"/>
    <x v="194"/>
    <n v="2"/>
    <x v="193"/>
  </r>
  <r>
    <d v="2019-03-05T00:00:00"/>
    <x v="0"/>
    <x v="2"/>
    <x v="99"/>
    <x v="2"/>
    <x v="2"/>
    <x v="10"/>
    <x v="186"/>
    <x v="195"/>
    <n v="3"/>
    <x v="194"/>
  </r>
  <r>
    <d v="2019-03-05T00:00:00"/>
    <x v="0"/>
    <x v="2"/>
    <x v="99"/>
    <x v="2"/>
    <x v="2"/>
    <x v="2"/>
    <x v="187"/>
    <x v="196"/>
    <n v="1"/>
    <x v="195"/>
  </r>
  <r>
    <d v="2019-03-06T00:00:00"/>
    <x v="0"/>
    <x v="2"/>
    <x v="100"/>
    <x v="5"/>
    <x v="1"/>
    <x v="1"/>
    <x v="188"/>
    <x v="197"/>
    <n v="2"/>
    <x v="196"/>
  </r>
  <r>
    <d v="2019-03-06T00:00:00"/>
    <x v="0"/>
    <x v="2"/>
    <x v="100"/>
    <x v="5"/>
    <x v="2"/>
    <x v="5"/>
    <x v="189"/>
    <x v="198"/>
    <n v="1"/>
    <x v="197"/>
  </r>
  <r>
    <d v="2019-03-06T00:00:00"/>
    <x v="0"/>
    <x v="2"/>
    <x v="100"/>
    <x v="5"/>
    <x v="1"/>
    <x v="1"/>
    <x v="190"/>
    <x v="199"/>
    <n v="3"/>
    <x v="198"/>
  </r>
  <r>
    <d v="2019-03-06T00:00:00"/>
    <x v="0"/>
    <x v="2"/>
    <x v="85"/>
    <x v="17"/>
    <x v="2"/>
    <x v="13"/>
    <x v="191"/>
    <x v="200"/>
    <n v="3"/>
    <x v="199"/>
  </r>
  <r>
    <d v="2019-03-06T00:00:00"/>
    <x v="0"/>
    <x v="2"/>
    <x v="85"/>
    <x v="17"/>
    <x v="2"/>
    <x v="5"/>
    <x v="192"/>
    <x v="82"/>
    <n v="4"/>
    <x v="200"/>
  </r>
  <r>
    <d v="2019-03-06T00:00:00"/>
    <x v="0"/>
    <x v="2"/>
    <x v="85"/>
    <x v="17"/>
    <x v="0"/>
    <x v="8"/>
    <x v="135"/>
    <x v="201"/>
    <n v="5"/>
    <x v="201"/>
  </r>
  <r>
    <d v="2019-03-06T00:00:00"/>
    <x v="0"/>
    <x v="2"/>
    <x v="85"/>
    <x v="17"/>
    <x v="0"/>
    <x v="4"/>
    <x v="193"/>
    <x v="202"/>
    <n v="2"/>
    <x v="202"/>
  </r>
  <r>
    <d v="2019-03-07T00:00:00"/>
    <x v="0"/>
    <x v="2"/>
    <x v="101"/>
    <x v="2"/>
    <x v="1"/>
    <x v="1"/>
    <x v="194"/>
    <x v="203"/>
    <n v="3"/>
    <x v="203"/>
  </r>
  <r>
    <d v="2019-03-08T00:00:00"/>
    <x v="0"/>
    <x v="2"/>
    <x v="102"/>
    <x v="6"/>
    <x v="1"/>
    <x v="1"/>
    <x v="195"/>
    <x v="204"/>
    <n v="5"/>
    <x v="204"/>
  </r>
  <r>
    <d v="2019-03-08T00:00:00"/>
    <x v="0"/>
    <x v="2"/>
    <x v="102"/>
    <x v="6"/>
    <x v="0"/>
    <x v="8"/>
    <x v="196"/>
    <x v="205"/>
    <n v="3"/>
    <x v="205"/>
  </r>
  <r>
    <d v="2019-03-08T00:00:00"/>
    <x v="0"/>
    <x v="2"/>
    <x v="68"/>
    <x v="20"/>
    <x v="2"/>
    <x v="5"/>
    <x v="68"/>
    <x v="206"/>
    <n v="3"/>
    <x v="206"/>
  </r>
  <r>
    <d v="2019-03-08T00:00:00"/>
    <x v="0"/>
    <x v="2"/>
    <x v="103"/>
    <x v="5"/>
    <x v="1"/>
    <x v="1"/>
    <x v="5"/>
    <x v="207"/>
    <n v="4"/>
    <x v="207"/>
  </r>
  <r>
    <d v="2019-03-08T00:00:00"/>
    <x v="0"/>
    <x v="2"/>
    <x v="103"/>
    <x v="5"/>
    <x v="2"/>
    <x v="12"/>
    <x v="197"/>
    <x v="208"/>
    <n v="2"/>
    <x v="208"/>
  </r>
  <r>
    <d v="2019-03-08T00:00:00"/>
    <x v="0"/>
    <x v="2"/>
    <x v="104"/>
    <x v="12"/>
    <x v="0"/>
    <x v="8"/>
    <x v="198"/>
    <x v="209"/>
    <n v="8"/>
    <x v="209"/>
  </r>
  <r>
    <d v="2019-03-08T00:00:00"/>
    <x v="0"/>
    <x v="2"/>
    <x v="104"/>
    <x v="12"/>
    <x v="2"/>
    <x v="9"/>
    <x v="199"/>
    <x v="56"/>
    <n v="2"/>
    <x v="210"/>
  </r>
  <r>
    <d v="2019-03-08T00:00:00"/>
    <x v="0"/>
    <x v="2"/>
    <x v="104"/>
    <x v="12"/>
    <x v="2"/>
    <x v="5"/>
    <x v="200"/>
    <x v="210"/>
    <n v="2"/>
    <x v="211"/>
  </r>
  <r>
    <d v="2019-03-08T00:00:00"/>
    <x v="0"/>
    <x v="2"/>
    <x v="105"/>
    <x v="2"/>
    <x v="2"/>
    <x v="5"/>
    <x v="201"/>
    <x v="211"/>
    <n v="9"/>
    <x v="212"/>
  </r>
  <r>
    <d v="2019-03-08T00:00:00"/>
    <x v="0"/>
    <x v="2"/>
    <x v="105"/>
    <x v="2"/>
    <x v="1"/>
    <x v="3"/>
    <x v="202"/>
    <x v="212"/>
    <n v="5"/>
    <x v="213"/>
  </r>
  <r>
    <d v="2019-03-08T00:00:00"/>
    <x v="0"/>
    <x v="2"/>
    <x v="105"/>
    <x v="2"/>
    <x v="2"/>
    <x v="10"/>
    <x v="203"/>
    <x v="213"/>
    <n v="3"/>
    <x v="214"/>
  </r>
  <r>
    <d v="2019-03-08T00:00:00"/>
    <x v="0"/>
    <x v="2"/>
    <x v="106"/>
    <x v="25"/>
    <x v="2"/>
    <x v="13"/>
    <x v="131"/>
    <x v="214"/>
    <n v="3"/>
    <x v="215"/>
  </r>
  <r>
    <d v="2019-03-08T00:00:00"/>
    <x v="0"/>
    <x v="2"/>
    <x v="106"/>
    <x v="25"/>
    <x v="2"/>
    <x v="7"/>
    <x v="204"/>
    <x v="215"/>
    <n v="5"/>
    <x v="216"/>
  </r>
  <r>
    <d v="2019-03-09T00:00:00"/>
    <x v="0"/>
    <x v="2"/>
    <x v="107"/>
    <x v="11"/>
    <x v="1"/>
    <x v="3"/>
    <x v="205"/>
    <x v="216"/>
    <n v="5"/>
    <x v="217"/>
  </r>
  <r>
    <d v="2019-03-09T00:00:00"/>
    <x v="0"/>
    <x v="2"/>
    <x v="108"/>
    <x v="26"/>
    <x v="2"/>
    <x v="2"/>
    <x v="206"/>
    <x v="217"/>
    <n v="1"/>
    <x v="218"/>
  </r>
  <r>
    <d v="2019-03-09T00:00:00"/>
    <x v="0"/>
    <x v="2"/>
    <x v="108"/>
    <x v="26"/>
    <x v="0"/>
    <x v="11"/>
    <x v="207"/>
    <x v="218"/>
    <n v="5"/>
    <x v="219"/>
  </r>
  <r>
    <d v="2019-03-09T00:00:00"/>
    <x v="0"/>
    <x v="2"/>
    <x v="108"/>
    <x v="26"/>
    <x v="2"/>
    <x v="9"/>
    <x v="208"/>
    <x v="219"/>
    <n v="3"/>
    <x v="220"/>
  </r>
  <r>
    <d v="2019-03-09T00:00:00"/>
    <x v="0"/>
    <x v="2"/>
    <x v="108"/>
    <x v="26"/>
    <x v="2"/>
    <x v="5"/>
    <x v="209"/>
    <x v="220"/>
    <n v="4"/>
    <x v="221"/>
  </r>
  <r>
    <d v="2019-03-10T00:00:00"/>
    <x v="0"/>
    <x v="2"/>
    <x v="109"/>
    <x v="12"/>
    <x v="0"/>
    <x v="0"/>
    <x v="210"/>
    <x v="221"/>
    <n v="1"/>
    <x v="222"/>
  </r>
  <r>
    <d v="2019-03-10T00:00:00"/>
    <x v="0"/>
    <x v="2"/>
    <x v="110"/>
    <x v="5"/>
    <x v="1"/>
    <x v="3"/>
    <x v="211"/>
    <x v="222"/>
    <n v="1"/>
    <x v="223"/>
  </r>
  <r>
    <d v="2019-03-10T00:00:00"/>
    <x v="0"/>
    <x v="2"/>
    <x v="111"/>
    <x v="1"/>
    <x v="2"/>
    <x v="9"/>
    <x v="212"/>
    <x v="223"/>
    <n v="5"/>
    <x v="224"/>
  </r>
  <r>
    <d v="2019-03-10T00:00:00"/>
    <x v="0"/>
    <x v="2"/>
    <x v="111"/>
    <x v="1"/>
    <x v="1"/>
    <x v="1"/>
    <x v="213"/>
    <x v="224"/>
    <n v="8"/>
    <x v="225"/>
  </r>
  <r>
    <d v="2019-03-10T00:00:00"/>
    <x v="0"/>
    <x v="2"/>
    <x v="112"/>
    <x v="1"/>
    <x v="1"/>
    <x v="3"/>
    <x v="214"/>
    <x v="225"/>
    <n v="3"/>
    <x v="226"/>
  </r>
  <r>
    <d v="2019-03-10T00:00:00"/>
    <x v="0"/>
    <x v="2"/>
    <x v="112"/>
    <x v="1"/>
    <x v="1"/>
    <x v="15"/>
    <x v="215"/>
    <x v="226"/>
    <n v="3"/>
    <x v="227"/>
  </r>
  <r>
    <d v="2019-03-10T00:00:00"/>
    <x v="0"/>
    <x v="2"/>
    <x v="113"/>
    <x v="20"/>
    <x v="2"/>
    <x v="2"/>
    <x v="216"/>
    <x v="227"/>
    <n v="1"/>
    <x v="228"/>
  </r>
  <r>
    <d v="2019-03-11T00:00:00"/>
    <x v="0"/>
    <x v="2"/>
    <x v="88"/>
    <x v="27"/>
    <x v="1"/>
    <x v="3"/>
    <x v="59"/>
    <x v="71"/>
    <n v="2"/>
    <x v="229"/>
  </r>
  <r>
    <d v="2019-03-11T00:00:00"/>
    <x v="0"/>
    <x v="2"/>
    <x v="88"/>
    <x v="27"/>
    <x v="2"/>
    <x v="5"/>
    <x v="217"/>
    <x v="228"/>
    <n v="2"/>
    <x v="230"/>
  </r>
  <r>
    <d v="2019-03-11T00:00:00"/>
    <x v="0"/>
    <x v="2"/>
    <x v="114"/>
    <x v="10"/>
    <x v="0"/>
    <x v="4"/>
    <x v="69"/>
    <x v="229"/>
    <n v="2"/>
    <x v="231"/>
  </r>
  <r>
    <d v="2019-03-11T00:00:00"/>
    <x v="0"/>
    <x v="2"/>
    <x v="115"/>
    <x v="14"/>
    <x v="0"/>
    <x v="8"/>
    <x v="15"/>
    <x v="230"/>
    <n v="4"/>
    <x v="232"/>
  </r>
  <r>
    <d v="2019-03-11T00:00:00"/>
    <x v="0"/>
    <x v="2"/>
    <x v="115"/>
    <x v="14"/>
    <x v="2"/>
    <x v="2"/>
    <x v="64"/>
    <x v="231"/>
    <n v="4"/>
    <x v="233"/>
  </r>
  <r>
    <d v="2019-03-11T00:00:00"/>
    <x v="0"/>
    <x v="2"/>
    <x v="116"/>
    <x v="5"/>
    <x v="0"/>
    <x v="8"/>
    <x v="218"/>
    <x v="232"/>
    <n v="4"/>
    <x v="234"/>
  </r>
  <r>
    <d v="2019-03-12T00:00:00"/>
    <x v="0"/>
    <x v="2"/>
    <x v="117"/>
    <x v="28"/>
    <x v="2"/>
    <x v="9"/>
    <x v="55"/>
    <x v="56"/>
    <n v="2"/>
    <x v="56"/>
  </r>
  <r>
    <d v="2019-03-12T00:00:00"/>
    <x v="0"/>
    <x v="2"/>
    <x v="118"/>
    <x v="12"/>
    <x v="2"/>
    <x v="10"/>
    <x v="86"/>
    <x v="233"/>
    <n v="3"/>
    <x v="235"/>
  </r>
  <r>
    <d v="2019-03-12T00:00:00"/>
    <x v="0"/>
    <x v="2"/>
    <x v="119"/>
    <x v="1"/>
    <x v="2"/>
    <x v="2"/>
    <x v="219"/>
    <x v="234"/>
    <n v="5"/>
    <x v="236"/>
  </r>
  <r>
    <d v="2019-03-12T00:00:00"/>
    <x v="0"/>
    <x v="2"/>
    <x v="119"/>
    <x v="1"/>
    <x v="2"/>
    <x v="13"/>
    <x v="220"/>
    <x v="235"/>
    <n v="5"/>
    <x v="237"/>
  </r>
  <r>
    <d v="2019-03-12T00:00:00"/>
    <x v="0"/>
    <x v="2"/>
    <x v="119"/>
    <x v="1"/>
    <x v="2"/>
    <x v="10"/>
    <x v="221"/>
    <x v="236"/>
    <n v="4"/>
    <x v="238"/>
  </r>
  <r>
    <d v="2019-03-12T00:00:00"/>
    <x v="0"/>
    <x v="2"/>
    <x v="119"/>
    <x v="1"/>
    <x v="0"/>
    <x v="11"/>
    <x v="222"/>
    <x v="237"/>
    <n v="3"/>
    <x v="239"/>
  </r>
  <r>
    <d v="2019-03-12T00:00:00"/>
    <x v="0"/>
    <x v="2"/>
    <x v="120"/>
    <x v="1"/>
    <x v="2"/>
    <x v="9"/>
    <x v="223"/>
    <x v="238"/>
    <n v="2"/>
    <x v="240"/>
  </r>
  <r>
    <d v="2019-03-13T00:00:00"/>
    <x v="0"/>
    <x v="2"/>
    <x v="121"/>
    <x v="20"/>
    <x v="2"/>
    <x v="13"/>
    <x v="224"/>
    <x v="239"/>
    <n v="5"/>
    <x v="241"/>
  </r>
  <r>
    <d v="2019-03-13T00:00:00"/>
    <x v="0"/>
    <x v="2"/>
    <x v="121"/>
    <x v="20"/>
    <x v="1"/>
    <x v="1"/>
    <x v="225"/>
    <x v="240"/>
    <n v="2"/>
    <x v="242"/>
  </r>
  <r>
    <d v="2019-03-13T00:00:00"/>
    <x v="0"/>
    <x v="2"/>
    <x v="122"/>
    <x v="2"/>
    <x v="2"/>
    <x v="9"/>
    <x v="226"/>
    <x v="241"/>
    <n v="5"/>
    <x v="243"/>
  </r>
  <r>
    <d v="2019-03-13T00:00:00"/>
    <x v="0"/>
    <x v="2"/>
    <x v="122"/>
    <x v="2"/>
    <x v="2"/>
    <x v="5"/>
    <x v="227"/>
    <x v="242"/>
    <n v="2"/>
    <x v="244"/>
  </r>
  <r>
    <d v="2019-03-13T00:00:00"/>
    <x v="0"/>
    <x v="2"/>
    <x v="122"/>
    <x v="2"/>
    <x v="0"/>
    <x v="4"/>
    <x v="228"/>
    <x v="243"/>
    <n v="5"/>
    <x v="72"/>
  </r>
  <r>
    <d v="2019-03-13T00:00:00"/>
    <x v="0"/>
    <x v="2"/>
    <x v="123"/>
    <x v="18"/>
    <x v="0"/>
    <x v="8"/>
    <x v="229"/>
    <x v="244"/>
    <n v="2"/>
    <x v="245"/>
  </r>
  <r>
    <d v="2019-03-13T00:00:00"/>
    <x v="0"/>
    <x v="2"/>
    <x v="123"/>
    <x v="18"/>
    <x v="2"/>
    <x v="13"/>
    <x v="230"/>
    <x v="245"/>
    <n v="2"/>
    <x v="246"/>
  </r>
  <r>
    <d v="2019-03-13T00:00:00"/>
    <x v="0"/>
    <x v="2"/>
    <x v="123"/>
    <x v="18"/>
    <x v="2"/>
    <x v="5"/>
    <x v="231"/>
    <x v="246"/>
    <n v="4"/>
    <x v="247"/>
  </r>
  <r>
    <d v="2019-03-13T00:00:00"/>
    <x v="0"/>
    <x v="2"/>
    <x v="124"/>
    <x v="1"/>
    <x v="0"/>
    <x v="8"/>
    <x v="232"/>
    <x v="247"/>
    <n v="2"/>
    <x v="248"/>
  </r>
  <r>
    <d v="2019-03-13T00:00:00"/>
    <x v="0"/>
    <x v="2"/>
    <x v="124"/>
    <x v="1"/>
    <x v="2"/>
    <x v="16"/>
    <x v="178"/>
    <x v="248"/>
    <n v="3"/>
    <x v="249"/>
  </r>
  <r>
    <d v="2019-03-13T00:00:00"/>
    <x v="0"/>
    <x v="2"/>
    <x v="125"/>
    <x v="5"/>
    <x v="0"/>
    <x v="11"/>
    <x v="233"/>
    <x v="249"/>
    <n v="2"/>
    <x v="250"/>
  </r>
  <r>
    <d v="2019-03-13T00:00:00"/>
    <x v="0"/>
    <x v="2"/>
    <x v="125"/>
    <x v="5"/>
    <x v="1"/>
    <x v="3"/>
    <x v="234"/>
    <x v="250"/>
    <n v="5"/>
    <x v="251"/>
  </r>
  <r>
    <d v="2019-03-13T00:00:00"/>
    <x v="0"/>
    <x v="2"/>
    <x v="125"/>
    <x v="5"/>
    <x v="1"/>
    <x v="1"/>
    <x v="235"/>
    <x v="251"/>
    <n v="3"/>
    <x v="252"/>
  </r>
  <r>
    <d v="2019-03-13T00:00:00"/>
    <x v="0"/>
    <x v="2"/>
    <x v="125"/>
    <x v="5"/>
    <x v="2"/>
    <x v="9"/>
    <x v="143"/>
    <x v="252"/>
    <n v="5"/>
    <x v="253"/>
  </r>
  <r>
    <d v="2019-03-13T00:00:00"/>
    <x v="0"/>
    <x v="2"/>
    <x v="125"/>
    <x v="5"/>
    <x v="2"/>
    <x v="5"/>
    <x v="236"/>
    <x v="253"/>
    <n v="1"/>
    <x v="254"/>
  </r>
  <r>
    <d v="2019-03-13T00:00:00"/>
    <x v="0"/>
    <x v="2"/>
    <x v="125"/>
    <x v="5"/>
    <x v="2"/>
    <x v="2"/>
    <x v="237"/>
    <x v="254"/>
    <n v="5"/>
    <x v="255"/>
  </r>
  <r>
    <d v="2019-03-13T00:00:00"/>
    <x v="0"/>
    <x v="2"/>
    <x v="125"/>
    <x v="5"/>
    <x v="2"/>
    <x v="5"/>
    <x v="238"/>
    <x v="255"/>
    <n v="5"/>
    <x v="256"/>
  </r>
  <r>
    <d v="2019-03-13T00:00:00"/>
    <x v="0"/>
    <x v="2"/>
    <x v="125"/>
    <x v="5"/>
    <x v="2"/>
    <x v="2"/>
    <x v="239"/>
    <x v="256"/>
    <n v="2"/>
    <x v="257"/>
  </r>
  <r>
    <d v="2019-03-13T00:00:00"/>
    <x v="0"/>
    <x v="2"/>
    <x v="125"/>
    <x v="5"/>
    <x v="1"/>
    <x v="15"/>
    <x v="240"/>
    <x v="257"/>
    <n v="3"/>
    <x v="258"/>
  </r>
  <r>
    <d v="2019-03-13T00:00:00"/>
    <x v="0"/>
    <x v="2"/>
    <x v="126"/>
    <x v="1"/>
    <x v="2"/>
    <x v="5"/>
    <x v="241"/>
    <x v="258"/>
    <n v="7"/>
    <x v="259"/>
  </r>
  <r>
    <d v="2019-03-14T00:00:00"/>
    <x v="0"/>
    <x v="2"/>
    <x v="127"/>
    <x v="8"/>
    <x v="0"/>
    <x v="8"/>
    <x v="242"/>
    <x v="259"/>
    <n v="5"/>
    <x v="260"/>
  </r>
  <r>
    <d v="2019-03-14T00:00:00"/>
    <x v="0"/>
    <x v="2"/>
    <x v="64"/>
    <x v="2"/>
    <x v="0"/>
    <x v="0"/>
    <x v="243"/>
    <x v="260"/>
    <n v="5"/>
    <x v="261"/>
  </r>
  <r>
    <d v="2019-03-14T00:00:00"/>
    <x v="0"/>
    <x v="2"/>
    <x v="64"/>
    <x v="2"/>
    <x v="2"/>
    <x v="9"/>
    <x v="199"/>
    <x v="138"/>
    <n v="1"/>
    <x v="262"/>
  </r>
  <r>
    <d v="2019-03-14T00:00:00"/>
    <x v="0"/>
    <x v="2"/>
    <x v="64"/>
    <x v="2"/>
    <x v="2"/>
    <x v="7"/>
    <x v="244"/>
    <x v="261"/>
    <n v="7"/>
    <x v="263"/>
  </r>
  <r>
    <d v="2019-03-14T00:00:00"/>
    <x v="0"/>
    <x v="2"/>
    <x v="128"/>
    <x v="9"/>
    <x v="0"/>
    <x v="11"/>
    <x v="245"/>
    <x v="262"/>
    <n v="2"/>
    <x v="264"/>
  </r>
  <r>
    <d v="2019-03-14T00:00:00"/>
    <x v="0"/>
    <x v="2"/>
    <x v="106"/>
    <x v="1"/>
    <x v="2"/>
    <x v="5"/>
    <x v="217"/>
    <x v="263"/>
    <n v="6"/>
    <x v="265"/>
  </r>
  <r>
    <d v="2019-03-14T00:00:00"/>
    <x v="0"/>
    <x v="2"/>
    <x v="129"/>
    <x v="7"/>
    <x v="0"/>
    <x v="8"/>
    <x v="246"/>
    <x v="264"/>
    <n v="2"/>
    <x v="266"/>
  </r>
  <r>
    <d v="2019-03-15T00:00:00"/>
    <x v="0"/>
    <x v="2"/>
    <x v="130"/>
    <x v="5"/>
    <x v="1"/>
    <x v="3"/>
    <x v="247"/>
    <x v="265"/>
    <n v="3"/>
    <x v="267"/>
  </r>
  <r>
    <d v="2019-03-15T00:00:00"/>
    <x v="0"/>
    <x v="2"/>
    <x v="131"/>
    <x v="1"/>
    <x v="2"/>
    <x v="5"/>
    <x v="248"/>
    <x v="266"/>
    <n v="2"/>
    <x v="268"/>
  </r>
  <r>
    <d v="2019-03-15T00:00:00"/>
    <x v="0"/>
    <x v="2"/>
    <x v="131"/>
    <x v="1"/>
    <x v="0"/>
    <x v="11"/>
    <x v="249"/>
    <x v="267"/>
    <n v="4"/>
    <x v="269"/>
  </r>
  <r>
    <d v="2019-03-15T00:00:00"/>
    <x v="0"/>
    <x v="2"/>
    <x v="105"/>
    <x v="16"/>
    <x v="2"/>
    <x v="9"/>
    <x v="250"/>
    <x v="268"/>
    <n v="14"/>
    <x v="270"/>
  </r>
  <r>
    <d v="2019-03-15T00:00:00"/>
    <x v="0"/>
    <x v="2"/>
    <x v="105"/>
    <x v="16"/>
    <x v="2"/>
    <x v="9"/>
    <x v="250"/>
    <x v="269"/>
    <n v="2"/>
    <x v="271"/>
  </r>
  <r>
    <d v="2019-03-15T00:00:00"/>
    <x v="0"/>
    <x v="2"/>
    <x v="132"/>
    <x v="2"/>
    <x v="0"/>
    <x v="11"/>
    <x v="251"/>
    <x v="270"/>
    <n v="5"/>
    <x v="272"/>
  </r>
  <r>
    <d v="2019-03-15T00:00:00"/>
    <x v="0"/>
    <x v="2"/>
    <x v="132"/>
    <x v="2"/>
    <x v="2"/>
    <x v="5"/>
    <x v="252"/>
    <x v="271"/>
    <n v="7"/>
    <x v="273"/>
  </r>
  <r>
    <d v="2019-03-17T00:00:00"/>
    <x v="0"/>
    <x v="2"/>
    <x v="133"/>
    <x v="26"/>
    <x v="2"/>
    <x v="7"/>
    <x v="72"/>
    <x v="73"/>
    <n v="2"/>
    <x v="73"/>
  </r>
  <r>
    <d v="2019-03-17T00:00:00"/>
    <x v="0"/>
    <x v="2"/>
    <x v="134"/>
    <x v="23"/>
    <x v="1"/>
    <x v="1"/>
    <x v="253"/>
    <x v="272"/>
    <n v="2"/>
    <x v="274"/>
  </r>
  <r>
    <d v="2019-03-17T00:00:00"/>
    <x v="0"/>
    <x v="2"/>
    <x v="134"/>
    <x v="23"/>
    <x v="2"/>
    <x v="5"/>
    <x v="254"/>
    <x v="273"/>
    <n v="2"/>
    <x v="275"/>
  </r>
  <r>
    <d v="2019-03-17T00:00:00"/>
    <x v="0"/>
    <x v="2"/>
    <x v="135"/>
    <x v="0"/>
    <x v="2"/>
    <x v="10"/>
    <x v="255"/>
    <x v="274"/>
    <n v="5"/>
    <x v="276"/>
  </r>
  <r>
    <d v="2019-03-17T00:00:00"/>
    <x v="0"/>
    <x v="2"/>
    <x v="135"/>
    <x v="0"/>
    <x v="2"/>
    <x v="13"/>
    <x v="256"/>
    <x v="275"/>
    <n v="3"/>
    <x v="277"/>
  </r>
  <r>
    <d v="2019-03-17T00:00:00"/>
    <x v="0"/>
    <x v="2"/>
    <x v="135"/>
    <x v="0"/>
    <x v="0"/>
    <x v="8"/>
    <x v="257"/>
    <x v="276"/>
    <n v="5"/>
    <x v="278"/>
  </r>
  <r>
    <d v="2019-03-17T00:00:00"/>
    <x v="0"/>
    <x v="2"/>
    <x v="136"/>
    <x v="1"/>
    <x v="1"/>
    <x v="1"/>
    <x v="258"/>
    <x v="277"/>
    <n v="2"/>
    <x v="279"/>
  </r>
  <r>
    <d v="2019-03-18T00:00:00"/>
    <x v="0"/>
    <x v="2"/>
    <x v="137"/>
    <x v="21"/>
    <x v="0"/>
    <x v="4"/>
    <x v="259"/>
    <x v="278"/>
    <n v="3"/>
    <x v="280"/>
  </r>
  <r>
    <d v="2019-03-18T00:00:00"/>
    <x v="0"/>
    <x v="2"/>
    <x v="138"/>
    <x v="21"/>
    <x v="2"/>
    <x v="13"/>
    <x v="260"/>
    <x v="279"/>
    <n v="3"/>
    <x v="281"/>
  </r>
  <r>
    <d v="2019-03-19T00:00:00"/>
    <x v="0"/>
    <x v="2"/>
    <x v="139"/>
    <x v="22"/>
    <x v="0"/>
    <x v="0"/>
    <x v="261"/>
    <x v="280"/>
    <n v="1"/>
    <x v="282"/>
  </r>
  <r>
    <d v="2019-03-19T00:00:00"/>
    <x v="0"/>
    <x v="2"/>
    <x v="140"/>
    <x v="12"/>
    <x v="0"/>
    <x v="8"/>
    <x v="262"/>
    <x v="281"/>
    <n v="1"/>
    <x v="283"/>
  </r>
  <r>
    <d v="2019-03-19T00:00:00"/>
    <x v="0"/>
    <x v="2"/>
    <x v="140"/>
    <x v="12"/>
    <x v="0"/>
    <x v="8"/>
    <x v="263"/>
    <x v="282"/>
    <n v="4"/>
    <x v="284"/>
  </r>
  <r>
    <d v="2019-03-19T00:00:00"/>
    <x v="0"/>
    <x v="2"/>
    <x v="141"/>
    <x v="21"/>
    <x v="2"/>
    <x v="5"/>
    <x v="264"/>
    <x v="283"/>
    <n v="3"/>
    <x v="285"/>
  </r>
  <r>
    <d v="2019-03-20T00:00:00"/>
    <x v="0"/>
    <x v="2"/>
    <x v="102"/>
    <x v="29"/>
    <x v="1"/>
    <x v="1"/>
    <x v="258"/>
    <x v="277"/>
    <n v="2"/>
    <x v="279"/>
  </r>
  <r>
    <d v="2019-03-20T00:00:00"/>
    <x v="0"/>
    <x v="2"/>
    <x v="102"/>
    <x v="29"/>
    <x v="2"/>
    <x v="9"/>
    <x v="265"/>
    <x v="284"/>
    <n v="4"/>
    <x v="286"/>
  </r>
  <r>
    <d v="2019-03-20T00:00:00"/>
    <x v="0"/>
    <x v="2"/>
    <x v="102"/>
    <x v="29"/>
    <x v="2"/>
    <x v="5"/>
    <x v="266"/>
    <x v="285"/>
    <n v="3"/>
    <x v="287"/>
  </r>
  <r>
    <d v="2019-03-20T00:00:00"/>
    <x v="0"/>
    <x v="2"/>
    <x v="102"/>
    <x v="29"/>
    <x v="2"/>
    <x v="9"/>
    <x v="267"/>
    <x v="286"/>
    <n v="2"/>
    <x v="288"/>
  </r>
  <r>
    <d v="2019-03-20T00:00:00"/>
    <x v="0"/>
    <x v="2"/>
    <x v="142"/>
    <x v="17"/>
    <x v="1"/>
    <x v="1"/>
    <x v="268"/>
    <x v="287"/>
    <n v="1"/>
    <x v="289"/>
  </r>
  <r>
    <d v="2019-03-20T00:00:00"/>
    <x v="0"/>
    <x v="2"/>
    <x v="143"/>
    <x v="30"/>
    <x v="0"/>
    <x v="4"/>
    <x v="69"/>
    <x v="288"/>
    <n v="4"/>
    <x v="290"/>
  </r>
  <r>
    <d v="2019-03-20T00:00:00"/>
    <x v="0"/>
    <x v="2"/>
    <x v="144"/>
    <x v="16"/>
    <x v="0"/>
    <x v="8"/>
    <x v="269"/>
    <x v="289"/>
    <n v="7"/>
    <x v="291"/>
  </r>
  <r>
    <d v="2019-03-21T00:00:00"/>
    <x v="0"/>
    <x v="2"/>
    <x v="145"/>
    <x v="17"/>
    <x v="2"/>
    <x v="5"/>
    <x v="270"/>
    <x v="290"/>
    <n v="2"/>
    <x v="292"/>
  </r>
  <r>
    <d v="2019-03-21T00:00:00"/>
    <x v="0"/>
    <x v="2"/>
    <x v="145"/>
    <x v="17"/>
    <x v="0"/>
    <x v="11"/>
    <x v="271"/>
    <x v="270"/>
    <n v="5"/>
    <x v="72"/>
  </r>
  <r>
    <d v="2019-03-21T00:00:00"/>
    <x v="0"/>
    <x v="2"/>
    <x v="145"/>
    <x v="17"/>
    <x v="2"/>
    <x v="7"/>
    <x v="272"/>
    <x v="291"/>
    <n v="3"/>
    <x v="293"/>
  </r>
  <r>
    <d v="2019-03-21T00:00:00"/>
    <x v="0"/>
    <x v="2"/>
    <x v="146"/>
    <x v="2"/>
    <x v="0"/>
    <x v="4"/>
    <x v="273"/>
    <x v="292"/>
    <n v="2"/>
    <x v="294"/>
  </r>
  <r>
    <d v="2019-03-21T00:00:00"/>
    <x v="0"/>
    <x v="2"/>
    <x v="146"/>
    <x v="2"/>
    <x v="2"/>
    <x v="7"/>
    <x v="274"/>
    <x v="293"/>
    <n v="1"/>
    <x v="295"/>
  </r>
  <r>
    <d v="2019-03-22T00:00:00"/>
    <x v="0"/>
    <x v="2"/>
    <x v="147"/>
    <x v="31"/>
    <x v="1"/>
    <x v="3"/>
    <x v="275"/>
    <x v="294"/>
    <n v="2"/>
    <x v="296"/>
  </r>
  <r>
    <d v="2019-03-22T00:00:00"/>
    <x v="0"/>
    <x v="2"/>
    <x v="28"/>
    <x v="9"/>
    <x v="0"/>
    <x v="11"/>
    <x v="132"/>
    <x v="295"/>
    <n v="7"/>
    <x v="297"/>
  </r>
  <r>
    <d v="2019-03-24T00:00:00"/>
    <x v="0"/>
    <x v="2"/>
    <x v="148"/>
    <x v="29"/>
    <x v="1"/>
    <x v="1"/>
    <x v="276"/>
    <x v="296"/>
    <n v="4"/>
    <x v="298"/>
  </r>
  <r>
    <d v="2019-03-24T00:00:00"/>
    <x v="0"/>
    <x v="2"/>
    <x v="149"/>
    <x v="24"/>
    <x v="2"/>
    <x v="9"/>
    <x v="277"/>
    <x v="297"/>
    <n v="1"/>
    <x v="299"/>
  </r>
  <r>
    <d v="2019-03-24T00:00:00"/>
    <x v="0"/>
    <x v="2"/>
    <x v="150"/>
    <x v="8"/>
    <x v="0"/>
    <x v="0"/>
    <x v="278"/>
    <x v="298"/>
    <n v="3"/>
    <x v="300"/>
  </r>
  <r>
    <d v="2019-03-24T00:00:00"/>
    <x v="0"/>
    <x v="2"/>
    <x v="150"/>
    <x v="8"/>
    <x v="2"/>
    <x v="7"/>
    <x v="279"/>
    <x v="299"/>
    <n v="2"/>
    <x v="301"/>
  </r>
  <r>
    <d v="2019-03-25T00:00:00"/>
    <x v="0"/>
    <x v="2"/>
    <x v="31"/>
    <x v="3"/>
    <x v="1"/>
    <x v="3"/>
    <x v="280"/>
    <x v="300"/>
    <n v="5"/>
    <x v="302"/>
  </r>
  <r>
    <d v="2019-03-25T00:00:00"/>
    <x v="0"/>
    <x v="2"/>
    <x v="151"/>
    <x v="12"/>
    <x v="2"/>
    <x v="7"/>
    <x v="20"/>
    <x v="301"/>
    <n v="3"/>
    <x v="303"/>
  </r>
  <r>
    <d v="2019-03-26T00:00:00"/>
    <x v="0"/>
    <x v="2"/>
    <x v="129"/>
    <x v="12"/>
    <x v="2"/>
    <x v="2"/>
    <x v="281"/>
    <x v="302"/>
    <n v="5"/>
    <x v="304"/>
  </r>
  <r>
    <d v="2019-03-26T00:00:00"/>
    <x v="0"/>
    <x v="2"/>
    <x v="152"/>
    <x v="4"/>
    <x v="2"/>
    <x v="2"/>
    <x v="282"/>
    <x v="303"/>
    <n v="5"/>
    <x v="305"/>
  </r>
  <r>
    <d v="2019-03-26T00:00:00"/>
    <x v="0"/>
    <x v="2"/>
    <x v="152"/>
    <x v="4"/>
    <x v="1"/>
    <x v="3"/>
    <x v="283"/>
    <x v="304"/>
    <n v="3"/>
    <x v="306"/>
  </r>
  <r>
    <d v="2019-03-26T00:00:00"/>
    <x v="0"/>
    <x v="2"/>
    <x v="153"/>
    <x v="32"/>
    <x v="2"/>
    <x v="9"/>
    <x v="284"/>
    <x v="305"/>
    <n v="3"/>
    <x v="307"/>
  </r>
  <r>
    <d v="2019-03-26T00:00:00"/>
    <x v="0"/>
    <x v="2"/>
    <x v="153"/>
    <x v="32"/>
    <x v="2"/>
    <x v="5"/>
    <x v="285"/>
    <x v="306"/>
    <n v="3"/>
    <x v="308"/>
  </r>
  <r>
    <d v="2019-03-27T00:00:00"/>
    <x v="0"/>
    <x v="2"/>
    <x v="154"/>
    <x v="14"/>
    <x v="0"/>
    <x v="8"/>
    <x v="161"/>
    <x v="307"/>
    <n v="1"/>
    <x v="309"/>
  </r>
  <r>
    <d v="2019-03-27T00:00:00"/>
    <x v="0"/>
    <x v="2"/>
    <x v="154"/>
    <x v="14"/>
    <x v="0"/>
    <x v="8"/>
    <x v="286"/>
    <x v="308"/>
    <n v="4"/>
    <x v="310"/>
  </r>
  <r>
    <d v="2019-03-27T00:00:00"/>
    <x v="0"/>
    <x v="2"/>
    <x v="154"/>
    <x v="14"/>
    <x v="2"/>
    <x v="5"/>
    <x v="254"/>
    <x v="273"/>
    <n v="2"/>
    <x v="275"/>
  </r>
  <r>
    <d v="2019-03-28T00:00:00"/>
    <x v="0"/>
    <x v="2"/>
    <x v="155"/>
    <x v="18"/>
    <x v="2"/>
    <x v="2"/>
    <x v="287"/>
    <x v="309"/>
    <n v="2"/>
    <x v="311"/>
  </r>
  <r>
    <d v="2019-03-28T00:00:00"/>
    <x v="0"/>
    <x v="2"/>
    <x v="92"/>
    <x v="1"/>
    <x v="2"/>
    <x v="2"/>
    <x v="288"/>
    <x v="310"/>
    <n v="4"/>
    <x v="312"/>
  </r>
  <r>
    <d v="2019-03-28T00:00:00"/>
    <x v="0"/>
    <x v="2"/>
    <x v="92"/>
    <x v="1"/>
    <x v="2"/>
    <x v="9"/>
    <x v="289"/>
    <x v="311"/>
    <n v="1"/>
    <x v="313"/>
  </r>
  <r>
    <d v="2019-03-29T00:00:00"/>
    <x v="0"/>
    <x v="2"/>
    <x v="156"/>
    <x v="17"/>
    <x v="2"/>
    <x v="9"/>
    <x v="290"/>
    <x v="312"/>
    <n v="3"/>
    <x v="314"/>
  </r>
  <r>
    <d v="2019-03-29T00:00:00"/>
    <x v="0"/>
    <x v="2"/>
    <x v="156"/>
    <x v="17"/>
    <x v="0"/>
    <x v="11"/>
    <x v="291"/>
    <x v="313"/>
    <n v="6"/>
    <x v="315"/>
  </r>
  <r>
    <d v="2019-03-29T00:00:00"/>
    <x v="0"/>
    <x v="2"/>
    <x v="156"/>
    <x v="17"/>
    <x v="1"/>
    <x v="1"/>
    <x v="225"/>
    <x v="314"/>
    <n v="8"/>
    <x v="316"/>
  </r>
  <r>
    <d v="2019-03-29T00:00:00"/>
    <x v="0"/>
    <x v="2"/>
    <x v="157"/>
    <x v="12"/>
    <x v="2"/>
    <x v="9"/>
    <x v="292"/>
    <x v="315"/>
    <n v="2"/>
    <x v="317"/>
  </r>
  <r>
    <d v="2019-03-29T00:00:00"/>
    <x v="0"/>
    <x v="2"/>
    <x v="157"/>
    <x v="12"/>
    <x v="2"/>
    <x v="5"/>
    <x v="293"/>
    <x v="316"/>
    <n v="5"/>
    <x v="318"/>
  </r>
  <r>
    <d v="2019-03-29T00:00:00"/>
    <x v="0"/>
    <x v="2"/>
    <x v="157"/>
    <x v="12"/>
    <x v="0"/>
    <x v="8"/>
    <x v="294"/>
    <x v="317"/>
    <n v="8"/>
    <x v="319"/>
  </r>
  <r>
    <d v="2019-03-29T00:00:00"/>
    <x v="0"/>
    <x v="2"/>
    <x v="157"/>
    <x v="12"/>
    <x v="2"/>
    <x v="5"/>
    <x v="295"/>
    <x v="318"/>
    <n v="7"/>
    <x v="320"/>
  </r>
  <r>
    <d v="2019-03-29T00:00:00"/>
    <x v="0"/>
    <x v="2"/>
    <x v="158"/>
    <x v="8"/>
    <x v="0"/>
    <x v="0"/>
    <x v="103"/>
    <x v="319"/>
    <n v="5"/>
    <x v="321"/>
  </r>
  <r>
    <d v="2019-03-29T00:00:00"/>
    <x v="0"/>
    <x v="2"/>
    <x v="158"/>
    <x v="8"/>
    <x v="1"/>
    <x v="1"/>
    <x v="296"/>
    <x v="320"/>
    <n v="4"/>
    <x v="322"/>
  </r>
  <r>
    <d v="2019-03-30T00:00:00"/>
    <x v="0"/>
    <x v="2"/>
    <x v="159"/>
    <x v="11"/>
    <x v="2"/>
    <x v="9"/>
    <x v="297"/>
    <x v="321"/>
    <n v="1"/>
    <x v="323"/>
  </r>
  <r>
    <d v="2019-03-31T00:00:00"/>
    <x v="0"/>
    <x v="2"/>
    <x v="160"/>
    <x v="5"/>
    <x v="1"/>
    <x v="1"/>
    <x v="298"/>
    <x v="322"/>
    <n v="3"/>
    <x v="324"/>
  </r>
  <r>
    <d v="2019-03-31T00:00:00"/>
    <x v="0"/>
    <x v="2"/>
    <x v="160"/>
    <x v="5"/>
    <x v="1"/>
    <x v="3"/>
    <x v="299"/>
    <x v="323"/>
    <n v="2"/>
    <x v="325"/>
  </r>
  <r>
    <d v="2019-03-31T00:00:00"/>
    <x v="0"/>
    <x v="2"/>
    <x v="161"/>
    <x v="12"/>
    <x v="0"/>
    <x v="11"/>
    <x v="300"/>
    <x v="324"/>
    <n v="6"/>
    <x v="326"/>
  </r>
  <r>
    <d v="2019-04-01T00:00:00"/>
    <x v="0"/>
    <x v="3"/>
    <x v="162"/>
    <x v="12"/>
    <x v="2"/>
    <x v="7"/>
    <x v="72"/>
    <x v="301"/>
    <n v="3"/>
    <x v="327"/>
  </r>
  <r>
    <d v="2019-04-01T00:00:00"/>
    <x v="0"/>
    <x v="3"/>
    <x v="162"/>
    <x v="12"/>
    <x v="2"/>
    <x v="2"/>
    <x v="301"/>
    <x v="325"/>
    <n v="3"/>
    <x v="328"/>
  </r>
  <r>
    <d v="2019-04-01T00:00:00"/>
    <x v="0"/>
    <x v="3"/>
    <x v="162"/>
    <x v="12"/>
    <x v="2"/>
    <x v="7"/>
    <x v="302"/>
    <x v="326"/>
    <n v="6"/>
    <x v="329"/>
  </r>
  <r>
    <d v="2019-04-01T00:00:00"/>
    <x v="0"/>
    <x v="3"/>
    <x v="162"/>
    <x v="12"/>
    <x v="2"/>
    <x v="7"/>
    <x v="303"/>
    <x v="327"/>
    <n v="3"/>
    <x v="330"/>
  </r>
  <r>
    <d v="2019-04-01T00:00:00"/>
    <x v="0"/>
    <x v="3"/>
    <x v="162"/>
    <x v="12"/>
    <x v="2"/>
    <x v="7"/>
    <x v="304"/>
    <x v="328"/>
    <n v="3"/>
    <x v="331"/>
  </r>
  <r>
    <d v="2019-04-01T00:00:00"/>
    <x v="0"/>
    <x v="3"/>
    <x v="162"/>
    <x v="12"/>
    <x v="1"/>
    <x v="1"/>
    <x v="194"/>
    <x v="329"/>
    <n v="4"/>
    <x v="332"/>
  </r>
  <r>
    <d v="2019-04-01T00:00:00"/>
    <x v="0"/>
    <x v="3"/>
    <x v="163"/>
    <x v="20"/>
    <x v="2"/>
    <x v="12"/>
    <x v="163"/>
    <x v="330"/>
    <n v="5"/>
    <x v="333"/>
  </r>
  <r>
    <d v="2019-04-01T00:00:00"/>
    <x v="0"/>
    <x v="3"/>
    <x v="163"/>
    <x v="20"/>
    <x v="2"/>
    <x v="13"/>
    <x v="305"/>
    <x v="331"/>
    <n v="2"/>
    <x v="334"/>
  </r>
  <r>
    <d v="2019-04-01T00:00:00"/>
    <x v="0"/>
    <x v="3"/>
    <x v="84"/>
    <x v="12"/>
    <x v="2"/>
    <x v="7"/>
    <x v="306"/>
    <x v="332"/>
    <n v="4"/>
    <x v="335"/>
  </r>
  <r>
    <d v="2019-04-01T00:00:00"/>
    <x v="0"/>
    <x v="3"/>
    <x v="164"/>
    <x v="12"/>
    <x v="2"/>
    <x v="14"/>
    <x v="307"/>
    <x v="333"/>
    <n v="2"/>
    <x v="336"/>
  </r>
  <r>
    <d v="2019-04-01T00:00:00"/>
    <x v="0"/>
    <x v="3"/>
    <x v="164"/>
    <x v="12"/>
    <x v="2"/>
    <x v="16"/>
    <x v="308"/>
    <x v="334"/>
    <n v="3"/>
    <x v="337"/>
  </r>
  <r>
    <d v="2019-04-01T00:00:00"/>
    <x v="0"/>
    <x v="3"/>
    <x v="164"/>
    <x v="12"/>
    <x v="2"/>
    <x v="5"/>
    <x v="309"/>
    <x v="335"/>
    <n v="3"/>
    <x v="338"/>
  </r>
  <r>
    <d v="2019-04-01T00:00:00"/>
    <x v="0"/>
    <x v="3"/>
    <x v="29"/>
    <x v="12"/>
    <x v="0"/>
    <x v="11"/>
    <x v="310"/>
    <x v="336"/>
    <n v="6"/>
    <x v="339"/>
  </r>
  <r>
    <d v="2019-04-01T00:00:00"/>
    <x v="0"/>
    <x v="3"/>
    <x v="29"/>
    <x v="12"/>
    <x v="2"/>
    <x v="16"/>
    <x v="311"/>
    <x v="337"/>
    <n v="8"/>
    <x v="340"/>
  </r>
  <r>
    <d v="2019-04-01T00:00:00"/>
    <x v="0"/>
    <x v="3"/>
    <x v="29"/>
    <x v="12"/>
    <x v="2"/>
    <x v="5"/>
    <x v="312"/>
    <x v="338"/>
    <n v="1"/>
    <x v="341"/>
  </r>
  <r>
    <d v="2019-04-01T00:00:00"/>
    <x v="0"/>
    <x v="3"/>
    <x v="165"/>
    <x v="14"/>
    <x v="0"/>
    <x v="8"/>
    <x v="127"/>
    <x v="339"/>
    <n v="4"/>
    <x v="342"/>
  </r>
  <r>
    <d v="2019-04-01T00:00:00"/>
    <x v="0"/>
    <x v="3"/>
    <x v="132"/>
    <x v="7"/>
    <x v="1"/>
    <x v="1"/>
    <x v="30"/>
    <x v="149"/>
    <n v="1"/>
    <x v="343"/>
  </r>
  <r>
    <d v="2019-04-02T00:00:00"/>
    <x v="0"/>
    <x v="3"/>
    <x v="166"/>
    <x v="7"/>
    <x v="0"/>
    <x v="11"/>
    <x v="313"/>
    <x v="340"/>
    <n v="5"/>
    <x v="344"/>
  </r>
  <r>
    <d v="2019-04-03T00:00:00"/>
    <x v="0"/>
    <x v="3"/>
    <x v="160"/>
    <x v="5"/>
    <x v="2"/>
    <x v="5"/>
    <x v="314"/>
    <x v="341"/>
    <n v="9"/>
    <x v="345"/>
  </r>
  <r>
    <d v="2019-04-03T00:00:00"/>
    <x v="0"/>
    <x v="3"/>
    <x v="167"/>
    <x v="24"/>
    <x v="0"/>
    <x v="8"/>
    <x v="315"/>
    <x v="342"/>
    <n v="4"/>
    <x v="346"/>
  </r>
  <r>
    <d v="2019-04-03T00:00:00"/>
    <x v="0"/>
    <x v="3"/>
    <x v="167"/>
    <x v="24"/>
    <x v="1"/>
    <x v="1"/>
    <x v="253"/>
    <x v="343"/>
    <n v="4"/>
    <x v="347"/>
  </r>
  <r>
    <d v="2019-04-03T00:00:00"/>
    <x v="0"/>
    <x v="3"/>
    <x v="168"/>
    <x v="2"/>
    <x v="2"/>
    <x v="9"/>
    <x v="316"/>
    <x v="344"/>
    <n v="3"/>
    <x v="348"/>
  </r>
  <r>
    <d v="2019-04-04T00:00:00"/>
    <x v="0"/>
    <x v="3"/>
    <x v="156"/>
    <x v="18"/>
    <x v="1"/>
    <x v="1"/>
    <x v="111"/>
    <x v="345"/>
    <n v="3"/>
    <x v="349"/>
  </r>
  <r>
    <d v="2019-04-04T00:00:00"/>
    <x v="0"/>
    <x v="3"/>
    <x v="156"/>
    <x v="18"/>
    <x v="2"/>
    <x v="9"/>
    <x v="317"/>
    <x v="346"/>
    <n v="3"/>
    <x v="350"/>
  </r>
  <r>
    <d v="2019-04-04T00:00:00"/>
    <x v="0"/>
    <x v="3"/>
    <x v="169"/>
    <x v="12"/>
    <x v="2"/>
    <x v="5"/>
    <x v="318"/>
    <x v="347"/>
    <n v="2"/>
    <x v="351"/>
  </r>
  <r>
    <d v="2019-04-04T00:00:00"/>
    <x v="0"/>
    <x v="3"/>
    <x v="170"/>
    <x v="12"/>
    <x v="0"/>
    <x v="8"/>
    <x v="112"/>
    <x v="348"/>
    <n v="2"/>
    <x v="352"/>
  </r>
  <r>
    <d v="2019-04-04T00:00:00"/>
    <x v="0"/>
    <x v="3"/>
    <x v="170"/>
    <x v="12"/>
    <x v="2"/>
    <x v="2"/>
    <x v="319"/>
    <x v="349"/>
    <n v="2"/>
    <x v="353"/>
  </r>
  <r>
    <d v="2019-04-04T00:00:00"/>
    <x v="0"/>
    <x v="3"/>
    <x v="170"/>
    <x v="12"/>
    <x v="1"/>
    <x v="3"/>
    <x v="320"/>
    <x v="122"/>
    <n v="3"/>
    <x v="354"/>
  </r>
  <r>
    <d v="2019-04-05T00:00:00"/>
    <x v="0"/>
    <x v="3"/>
    <x v="171"/>
    <x v="2"/>
    <x v="2"/>
    <x v="2"/>
    <x v="321"/>
    <x v="350"/>
    <n v="7"/>
    <x v="355"/>
  </r>
  <r>
    <d v="2019-04-05T00:00:00"/>
    <x v="0"/>
    <x v="3"/>
    <x v="172"/>
    <x v="5"/>
    <x v="1"/>
    <x v="1"/>
    <x v="296"/>
    <x v="351"/>
    <n v="3"/>
    <x v="356"/>
  </r>
  <r>
    <d v="2019-04-05T00:00:00"/>
    <x v="0"/>
    <x v="3"/>
    <x v="172"/>
    <x v="5"/>
    <x v="2"/>
    <x v="16"/>
    <x v="322"/>
    <x v="352"/>
    <n v="4"/>
    <x v="357"/>
  </r>
  <r>
    <d v="2019-04-06T00:00:00"/>
    <x v="0"/>
    <x v="3"/>
    <x v="173"/>
    <x v="15"/>
    <x v="1"/>
    <x v="1"/>
    <x v="323"/>
    <x v="353"/>
    <n v="5"/>
    <x v="358"/>
  </r>
  <r>
    <d v="2019-04-07T00:00:00"/>
    <x v="0"/>
    <x v="3"/>
    <x v="174"/>
    <x v="1"/>
    <x v="1"/>
    <x v="6"/>
    <x v="324"/>
    <x v="354"/>
    <n v="3"/>
    <x v="359"/>
  </r>
  <r>
    <d v="2019-04-07T00:00:00"/>
    <x v="0"/>
    <x v="3"/>
    <x v="175"/>
    <x v="12"/>
    <x v="0"/>
    <x v="11"/>
    <x v="310"/>
    <x v="355"/>
    <n v="3"/>
    <x v="360"/>
  </r>
  <r>
    <d v="2019-04-07T00:00:00"/>
    <x v="0"/>
    <x v="3"/>
    <x v="176"/>
    <x v="12"/>
    <x v="2"/>
    <x v="7"/>
    <x v="325"/>
    <x v="356"/>
    <n v="2"/>
    <x v="361"/>
  </r>
  <r>
    <d v="2019-04-07T00:00:00"/>
    <x v="0"/>
    <x v="3"/>
    <x v="177"/>
    <x v="10"/>
    <x v="2"/>
    <x v="9"/>
    <x v="326"/>
    <x v="357"/>
    <n v="2"/>
    <x v="362"/>
  </r>
  <r>
    <d v="2019-04-07T00:00:00"/>
    <x v="0"/>
    <x v="3"/>
    <x v="178"/>
    <x v="5"/>
    <x v="2"/>
    <x v="13"/>
    <x v="327"/>
    <x v="358"/>
    <n v="3"/>
    <x v="363"/>
  </r>
  <r>
    <d v="2019-04-07T00:00:00"/>
    <x v="0"/>
    <x v="3"/>
    <x v="178"/>
    <x v="5"/>
    <x v="2"/>
    <x v="2"/>
    <x v="328"/>
    <x v="359"/>
    <n v="3"/>
    <x v="364"/>
  </r>
  <r>
    <d v="2019-04-08T00:00:00"/>
    <x v="0"/>
    <x v="3"/>
    <x v="179"/>
    <x v="12"/>
    <x v="0"/>
    <x v="0"/>
    <x v="329"/>
    <x v="360"/>
    <n v="6"/>
    <x v="365"/>
  </r>
  <r>
    <d v="2019-04-08T00:00:00"/>
    <x v="0"/>
    <x v="3"/>
    <x v="179"/>
    <x v="12"/>
    <x v="2"/>
    <x v="10"/>
    <x v="38"/>
    <x v="361"/>
    <n v="2"/>
    <x v="366"/>
  </r>
  <r>
    <d v="2019-04-08T00:00:00"/>
    <x v="0"/>
    <x v="3"/>
    <x v="179"/>
    <x v="12"/>
    <x v="2"/>
    <x v="7"/>
    <x v="330"/>
    <x v="306"/>
    <n v="4"/>
    <x v="367"/>
  </r>
  <r>
    <d v="2019-04-08T00:00:00"/>
    <x v="0"/>
    <x v="3"/>
    <x v="179"/>
    <x v="12"/>
    <x v="2"/>
    <x v="9"/>
    <x v="331"/>
    <x v="362"/>
    <n v="5"/>
    <x v="368"/>
  </r>
  <r>
    <d v="2019-04-08T00:00:00"/>
    <x v="0"/>
    <x v="3"/>
    <x v="180"/>
    <x v="1"/>
    <x v="2"/>
    <x v="9"/>
    <x v="332"/>
    <x v="363"/>
    <n v="3"/>
    <x v="369"/>
  </r>
  <r>
    <d v="2019-04-08T00:00:00"/>
    <x v="0"/>
    <x v="3"/>
    <x v="180"/>
    <x v="1"/>
    <x v="2"/>
    <x v="2"/>
    <x v="333"/>
    <x v="364"/>
    <n v="2"/>
    <x v="370"/>
  </r>
  <r>
    <d v="2019-04-08T00:00:00"/>
    <x v="0"/>
    <x v="3"/>
    <x v="180"/>
    <x v="1"/>
    <x v="2"/>
    <x v="9"/>
    <x v="334"/>
    <x v="56"/>
    <n v="2"/>
    <x v="56"/>
  </r>
  <r>
    <d v="2019-04-08T00:00:00"/>
    <x v="0"/>
    <x v="3"/>
    <x v="102"/>
    <x v="2"/>
    <x v="1"/>
    <x v="3"/>
    <x v="335"/>
    <x v="365"/>
    <n v="9"/>
    <x v="371"/>
  </r>
  <r>
    <d v="2019-04-08T00:00:00"/>
    <x v="0"/>
    <x v="3"/>
    <x v="102"/>
    <x v="2"/>
    <x v="0"/>
    <x v="11"/>
    <x v="336"/>
    <x v="366"/>
    <n v="4"/>
    <x v="372"/>
  </r>
  <r>
    <d v="2019-04-08T00:00:00"/>
    <x v="0"/>
    <x v="3"/>
    <x v="102"/>
    <x v="2"/>
    <x v="2"/>
    <x v="5"/>
    <x v="337"/>
    <x v="367"/>
    <n v="4"/>
    <x v="373"/>
  </r>
  <r>
    <d v="2019-04-08T00:00:00"/>
    <x v="0"/>
    <x v="3"/>
    <x v="181"/>
    <x v="8"/>
    <x v="2"/>
    <x v="10"/>
    <x v="338"/>
    <x v="368"/>
    <n v="1"/>
    <x v="374"/>
  </r>
  <r>
    <d v="2019-04-08T00:00:00"/>
    <x v="0"/>
    <x v="3"/>
    <x v="181"/>
    <x v="8"/>
    <x v="2"/>
    <x v="5"/>
    <x v="339"/>
    <x v="369"/>
    <n v="6"/>
    <x v="375"/>
  </r>
  <r>
    <d v="2019-04-08T00:00:00"/>
    <x v="0"/>
    <x v="3"/>
    <x v="118"/>
    <x v="1"/>
    <x v="0"/>
    <x v="8"/>
    <x v="340"/>
    <x v="370"/>
    <n v="5"/>
    <x v="376"/>
  </r>
  <r>
    <d v="2019-04-08T00:00:00"/>
    <x v="0"/>
    <x v="3"/>
    <x v="68"/>
    <x v="14"/>
    <x v="2"/>
    <x v="10"/>
    <x v="341"/>
    <x v="371"/>
    <n v="4"/>
    <x v="377"/>
  </r>
  <r>
    <d v="2019-04-08T00:00:00"/>
    <x v="0"/>
    <x v="3"/>
    <x v="182"/>
    <x v="14"/>
    <x v="0"/>
    <x v="0"/>
    <x v="342"/>
    <x v="218"/>
    <n v="5"/>
    <x v="219"/>
  </r>
  <r>
    <d v="2019-04-08T00:00:00"/>
    <x v="0"/>
    <x v="3"/>
    <x v="183"/>
    <x v="33"/>
    <x v="2"/>
    <x v="12"/>
    <x v="343"/>
    <x v="372"/>
    <n v="6"/>
    <x v="378"/>
  </r>
  <r>
    <d v="2019-04-08T00:00:00"/>
    <x v="0"/>
    <x v="3"/>
    <x v="183"/>
    <x v="33"/>
    <x v="2"/>
    <x v="9"/>
    <x v="199"/>
    <x v="17"/>
    <n v="4"/>
    <x v="379"/>
  </r>
  <r>
    <d v="2019-04-08T00:00:00"/>
    <x v="0"/>
    <x v="3"/>
    <x v="183"/>
    <x v="33"/>
    <x v="0"/>
    <x v="8"/>
    <x v="344"/>
    <x v="373"/>
    <n v="4"/>
    <x v="380"/>
  </r>
  <r>
    <d v="2019-04-09T00:00:00"/>
    <x v="0"/>
    <x v="3"/>
    <x v="184"/>
    <x v="9"/>
    <x v="2"/>
    <x v="5"/>
    <x v="345"/>
    <x v="374"/>
    <n v="9"/>
    <x v="381"/>
  </r>
  <r>
    <d v="2019-04-09T00:00:00"/>
    <x v="0"/>
    <x v="3"/>
    <x v="185"/>
    <x v="25"/>
    <x v="1"/>
    <x v="1"/>
    <x v="323"/>
    <x v="375"/>
    <n v="2"/>
    <x v="382"/>
  </r>
  <r>
    <d v="2019-04-09T00:00:00"/>
    <x v="0"/>
    <x v="3"/>
    <x v="185"/>
    <x v="25"/>
    <x v="2"/>
    <x v="5"/>
    <x v="346"/>
    <x v="376"/>
    <n v="2"/>
    <x v="383"/>
  </r>
  <r>
    <d v="2019-04-09T00:00:00"/>
    <x v="0"/>
    <x v="3"/>
    <x v="186"/>
    <x v="1"/>
    <x v="0"/>
    <x v="0"/>
    <x v="347"/>
    <x v="377"/>
    <n v="5"/>
    <x v="384"/>
  </r>
  <r>
    <d v="2019-04-10T00:00:00"/>
    <x v="0"/>
    <x v="3"/>
    <x v="62"/>
    <x v="8"/>
    <x v="2"/>
    <x v="5"/>
    <x v="348"/>
    <x v="378"/>
    <n v="2"/>
    <x v="385"/>
  </r>
  <r>
    <d v="2019-04-10T00:00:00"/>
    <x v="0"/>
    <x v="3"/>
    <x v="187"/>
    <x v="1"/>
    <x v="2"/>
    <x v="9"/>
    <x v="349"/>
    <x v="56"/>
    <n v="2"/>
    <x v="56"/>
  </r>
  <r>
    <d v="2019-04-10T00:00:00"/>
    <x v="0"/>
    <x v="3"/>
    <x v="187"/>
    <x v="1"/>
    <x v="2"/>
    <x v="5"/>
    <x v="145"/>
    <x v="379"/>
    <n v="5"/>
    <x v="386"/>
  </r>
  <r>
    <d v="2019-04-10T00:00:00"/>
    <x v="0"/>
    <x v="3"/>
    <x v="188"/>
    <x v="1"/>
    <x v="2"/>
    <x v="13"/>
    <x v="350"/>
    <x v="380"/>
    <n v="3"/>
    <x v="387"/>
  </r>
  <r>
    <d v="2019-04-10T00:00:00"/>
    <x v="0"/>
    <x v="3"/>
    <x v="188"/>
    <x v="1"/>
    <x v="2"/>
    <x v="2"/>
    <x v="351"/>
    <x v="381"/>
    <n v="3"/>
    <x v="388"/>
  </r>
  <r>
    <d v="2019-04-10T00:00:00"/>
    <x v="0"/>
    <x v="3"/>
    <x v="188"/>
    <x v="1"/>
    <x v="2"/>
    <x v="2"/>
    <x v="352"/>
    <x v="382"/>
    <n v="9"/>
    <x v="389"/>
  </r>
  <r>
    <d v="2019-04-10T00:00:00"/>
    <x v="0"/>
    <x v="3"/>
    <x v="188"/>
    <x v="1"/>
    <x v="2"/>
    <x v="5"/>
    <x v="353"/>
    <x v="383"/>
    <n v="4"/>
    <x v="390"/>
  </r>
  <r>
    <d v="2019-04-10T00:00:00"/>
    <x v="0"/>
    <x v="3"/>
    <x v="189"/>
    <x v="17"/>
    <x v="2"/>
    <x v="7"/>
    <x v="354"/>
    <x v="384"/>
    <n v="4"/>
    <x v="391"/>
  </r>
  <r>
    <d v="2019-04-12T00:00:00"/>
    <x v="0"/>
    <x v="3"/>
    <x v="190"/>
    <x v="18"/>
    <x v="0"/>
    <x v="4"/>
    <x v="355"/>
    <x v="385"/>
    <n v="4"/>
    <x v="392"/>
  </r>
  <r>
    <d v="2019-04-12T00:00:00"/>
    <x v="0"/>
    <x v="3"/>
    <x v="190"/>
    <x v="18"/>
    <x v="2"/>
    <x v="9"/>
    <x v="356"/>
    <x v="386"/>
    <n v="1"/>
    <x v="393"/>
  </r>
  <r>
    <d v="2019-04-12T00:00:00"/>
    <x v="0"/>
    <x v="3"/>
    <x v="190"/>
    <x v="18"/>
    <x v="2"/>
    <x v="10"/>
    <x v="357"/>
    <x v="387"/>
    <n v="5"/>
    <x v="394"/>
  </r>
  <r>
    <d v="2019-04-12T00:00:00"/>
    <x v="0"/>
    <x v="3"/>
    <x v="191"/>
    <x v="1"/>
    <x v="0"/>
    <x v="11"/>
    <x v="134"/>
    <x v="388"/>
    <n v="7"/>
    <x v="395"/>
  </r>
  <r>
    <d v="2019-04-12T00:00:00"/>
    <x v="0"/>
    <x v="3"/>
    <x v="191"/>
    <x v="1"/>
    <x v="2"/>
    <x v="5"/>
    <x v="358"/>
    <x v="389"/>
    <n v="1"/>
    <x v="396"/>
  </r>
  <r>
    <d v="2019-04-12T00:00:00"/>
    <x v="0"/>
    <x v="3"/>
    <x v="192"/>
    <x v="1"/>
    <x v="2"/>
    <x v="9"/>
    <x v="133"/>
    <x v="390"/>
    <n v="3"/>
    <x v="397"/>
  </r>
  <r>
    <d v="2019-04-12T00:00:00"/>
    <x v="0"/>
    <x v="3"/>
    <x v="192"/>
    <x v="1"/>
    <x v="0"/>
    <x v="11"/>
    <x v="359"/>
    <x v="391"/>
    <n v="3"/>
    <x v="398"/>
  </r>
  <r>
    <d v="2019-04-12T00:00:00"/>
    <x v="0"/>
    <x v="3"/>
    <x v="192"/>
    <x v="1"/>
    <x v="2"/>
    <x v="5"/>
    <x v="360"/>
    <x v="392"/>
    <n v="3"/>
    <x v="399"/>
  </r>
  <r>
    <d v="2019-04-12T00:00:00"/>
    <x v="0"/>
    <x v="3"/>
    <x v="164"/>
    <x v="4"/>
    <x v="2"/>
    <x v="2"/>
    <x v="301"/>
    <x v="393"/>
    <n v="3"/>
    <x v="400"/>
  </r>
  <r>
    <d v="2019-04-12T00:00:00"/>
    <x v="0"/>
    <x v="3"/>
    <x v="164"/>
    <x v="4"/>
    <x v="2"/>
    <x v="2"/>
    <x v="361"/>
    <x v="394"/>
    <n v="1"/>
    <x v="401"/>
  </r>
  <r>
    <d v="2019-04-12T00:00:00"/>
    <x v="0"/>
    <x v="3"/>
    <x v="164"/>
    <x v="4"/>
    <x v="2"/>
    <x v="9"/>
    <x v="362"/>
    <x v="344"/>
    <n v="3"/>
    <x v="402"/>
  </r>
  <r>
    <d v="2019-04-13T00:00:00"/>
    <x v="0"/>
    <x v="3"/>
    <x v="193"/>
    <x v="1"/>
    <x v="2"/>
    <x v="10"/>
    <x v="363"/>
    <x v="395"/>
    <n v="3"/>
    <x v="403"/>
  </r>
  <r>
    <d v="2019-04-14T00:00:00"/>
    <x v="0"/>
    <x v="3"/>
    <x v="194"/>
    <x v="1"/>
    <x v="0"/>
    <x v="11"/>
    <x v="364"/>
    <x v="396"/>
    <n v="5"/>
    <x v="404"/>
  </r>
  <r>
    <d v="2019-04-14T00:00:00"/>
    <x v="0"/>
    <x v="3"/>
    <x v="145"/>
    <x v="20"/>
    <x v="0"/>
    <x v="11"/>
    <x v="365"/>
    <x v="397"/>
    <n v="4"/>
    <x v="405"/>
  </r>
  <r>
    <d v="2019-04-14T00:00:00"/>
    <x v="0"/>
    <x v="3"/>
    <x v="145"/>
    <x v="20"/>
    <x v="2"/>
    <x v="2"/>
    <x v="366"/>
    <x v="398"/>
    <n v="4"/>
    <x v="406"/>
  </r>
  <r>
    <d v="2019-04-14T00:00:00"/>
    <x v="0"/>
    <x v="3"/>
    <x v="195"/>
    <x v="18"/>
    <x v="2"/>
    <x v="2"/>
    <x v="187"/>
    <x v="399"/>
    <n v="5"/>
    <x v="407"/>
  </r>
  <r>
    <d v="2019-04-14T00:00:00"/>
    <x v="0"/>
    <x v="3"/>
    <x v="196"/>
    <x v="0"/>
    <x v="2"/>
    <x v="5"/>
    <x v="367"/>
    <x v="400"/>
    <n v="2"/>
    <x v="408"/>
  </r>
  <r>
    <d v="2019-04-15T00:00:00"/>
    <x v="0"/>
    <x v="3"/>
    <x v="197"/>
    <x v="4"/>
    <x v="2"/>
    <x v="5"/>
    <x v="368"/>
    <x v="401"/>
    <n v="2"/>
    <x v="409"/>
  </r>
  <r>
    <d v="2019-04-15T00:00:00"/>
    <x v="0"/>
    <x v="3"/>
    <x v="197"/>
    <x v="4"/>
    <x v="1"/>
    <x v="3"/>
    <x v="369"/>
    <x v="402"/>
    <n v="7"/>
    <x v="410"/>
  </r>
  <r>
    <d v="2019-04-15T00:00:00"/>
    <x v="0"/>
    <x v="3"/>
    <x v="197"/>
    <x v="4"/>
    <x v="1"/>
    <x v="3"/>
    <x v="369"/>
    <x v="403"/>
    <n v="5"/>
    <x v="411"/>
  </r>
  <r>
    <d v="2019-04-15T00:00:00"/>
    <x v="0"/>
    <x v="3"/>
    <x v="197"/>
    <x v="4"/>
    <x v="2"/>
    <x v="2"/>
    <x v="370"/>
    <x v="404"/>
    <n v="2"/>
    <x v="412"/>
  </r>
  <r>
    <d v="2019-04-15T00:00:00"/>
    <x v="0"/>
    <x v="3"/>
    <x v="198"/>
    <x v="1"/>
    <x v="0"/>
    <x v="11"/>
    <x v="371"/>
    <x v="405"/>
    <n v="2"/>
    <x v="72"/>
  </r>
  <r>
    <d v="2019-04-15T00:00:00"/>
    <x v="0"/>
    <x v="3"/>
    <x v="132"/>
    <x v="2"/>
    <x v="2"/>
    <x v="7"/>
    <x v="372"/>
    <x v="406"/>
    <n v="7"/>
    <x v="413"/>
  </r>
  <r>
    <d v="2019-04-15T00:00:00"/>
    <x v="0"/>
    <x v="3"/>
    <x v="132"/>
    <x v="2"/>
    <x v="2"/>
    <x v="12"/>
    <x v="373"/>
    <x v="64"/>
    <n v="5"/>
    <x v="414"/>
  </r>
  <r>
    <d v="2019-04-15T00:00:00"/>
    <x v="0"/>
    <x v="3"/>
    <x v="199"/>
    <x v="1"/>
    <x v="2"/>
    <x v="9"/>
    <x v="374"/>
    <x v="407"/>
    <n v="3"/>
    <x v="415"/>
  </r>
  <r>
    <d v="2019-04-16T00:00:00"/>
    <x v="0"/>
    <x v="3"/>
    <x v="200"/>
    <x v="14"/>
    <x v="2"/>
    <x v="7"/>
    <x v="375"/>
    <x v="408"/>
    <n v="3"/>
    <x v="416"/>
  </r>
  <r>
    <d v="2019-04-16T00:00:00"/>
    <x v="0"/>
    <x v="3"/>
    <x v="201"/>
    <x v="10"/>
    <x v="1"/>
    <x v="15"/>
    <x v="376"/>
    <x v="409"/>
    <n v="7"/>
    <x v="417"/>
  </r>
  <r>
    <d v="2019-04-16T00:00:00"/>
    <x v="0"/>
    <x v="3"/>
    <x v="201"/>
    <x v="10"/>
    <x v="0"/>
    <x v="8"/>
    <x v="377"/>
    <x v="410"/>
    <n v="2"/>
    <x v="418"/>
  </r>
  <r>
    <d v="2019-04-16T00:00:00"/>
    <x v="0"/>
    <x v="3"/>
    <x v="201"/>
    <x v="10"/>
    <x v="2"/>
    <x v="5"/>
    <x v="378"/>
    <x v="411"/>
    <n v="5"/>
    <x v="419"/>
  </r>
  <r>
    <d v="2019-04-16T00:00:00"/>
    <x v="0"/>
    <x v="3"/>
    <x v="202"/>
    <x v="9"/>
    <x v="2"/>
    <x v="16"/>
    <x v="379"/>
    <x v="412"/>
    <n v="3"/>
    <x v="420"/>
  </r>
  <r>
    <d v="2019-04-16T00:00:00"/>
    <x v="0"/>
    <x v="3"/>
    <x v="203"/>
    <x v="21"/>
    <x v="1"/>
    <x v="3"/>
    <x v="380"/>
    <x v="413"/>
    <n v="4"/>
    <x v="421"/>
  </r>
  <r>
    <d v="2019-04-16T00:00:00"/>
    <x v="0"/>
    <x v="3"/>
    <x v="203"/>
    <x v="21"/>
    <x v="2"/>
    <x v="9"/>
    <x v="381"/>
    <x v="414"/>
    <n v="7"/>
    <x v="422"/>
  </r>
  <r>
    <d v="2019-04-17T00:00:00"/>
    <x v="0"/>
    <x v="3"/>
    <x v="45"/>
    <x v="4"/>
    <x v="1"/>
    <x v="1"/>
    <x v="382"/>
    <x v="415"/>
    <n v="1"/>
    <x v="423"/>
  </r>
  <r>
    <d v="2019-04-17T00:00:00"/>
    <x v="0"/>
    <x v="3"/>
    <x v="45"/>
    <x v="4"/>
    <x v="0"/>
    <x v="8"/>
    <x v="383"/>
    <x v="416"/>
    <n v="8"/>
    <x v="424"/>
  </r>
  <r>
    <d v="2019-04-17T00:00:00"/>
    <x v="0"/>
    <x v="3"/>
    <x v="185"/>
    <x v="34"/>
    <x v="2"/>
    <x v="12"/>
    <x v="384"/>
    <x v="417"/>
    <n v="5"/>
    <x v="425"/>
  </r>
  <r>
    <d v="2019-04-17T00:00:00"/>
    <x v="0"/>
    <x v="3"/>
    <x v="204"/>
    <x v="1"/>
    <x v="0"/>
    <x v="0"/>
    <x v="385"/>
    <x v="418"/>
    <n v="3"/>
    <x v="426"/>
  </r>
  <r>
    <d v="2019-04-17T00:00:00"/>
    <x v="0"/>
    <x v="3"/>
    <x v="205"/>
    <x v="21"/>
    <x v="0"/>
    <x v="8"/>
    <x v="386"/>
    <x v="419"/>
    <n v="5"/>
    <x v="427"/>
  </r>
  <r>
    <d v="2019-04-18T00:00:00"/>
    <x v="0"/>
    <x v="3"/>
    <x v="206"/>
    <x v="17"/>
    <x v="2"/>
    <x v="2"/>
    <x v="387"/>
    <x v="420"/>
    <n v="3"/>
    <x v="428"/>
  </r>
  <r>
    <d v="2019-04-18T00:00:00"/>
    <x v="0"/>
    <x v="3"/>
    <x v="206"/>
    <x v="17"/>
    <x v="2"/>
    <x v="9"/>
    <x v="388"/>
    <x v="421"/>
    <n v="2"/>
    <x v="429"/>
  </r>
  <r>
    <d v="2019-04-18T00:00:00"/>
    <x v="0"/>
    <x v="3"/>
    <x v="207"/>
    <x v="18"/>
    <x v="2"/>
    <x v="13"/>
    <x v="389"/>
    <x v="422"/>
    <n v="4"/>
    <x v="430"/>
  </r>
  <r>
    <d v="2019-04-18T00:00:00"/>
    <x v="0"/>
    <x v="3"/>
    <x v="207"/>
    <x v="18"/>
    <x v="1"/>
    <x v="1"/>
    <x v="390"/>
    <x v="423"/>
    <n v="4"/>
    <x v="431"/>
  </r>
  <r>
    <d v="2019-04-18T00:00:00"/>
    <x v="0"/>
    <x v="3"/>
    <x v="208"/>
    <x v="2"/>
    <x v="0"/>
    <x v="11"/>
    <x v="245"/>
    <x v="424"/>
    <n v="4"/>
    <x v="432"/>
  </r>
  <r>
    <d v="2019-04-18T00:00:00"/>
    <x v="0"/>
    <x v="3"/>
    <x v="208"/>
    <x v="2"/>
    <x v="2"/>
    <x v="2"/>
    <x v="391"/>
    <x v="425"/>
    <n v="3"/>
    <x v="433"/>
  </r>
  <r>
    <d v="2019-04-18T00:00:00"/>
    <x v="0"/>
    <x v="3"/>
    <x v="208"/>
    <x v="2"/>
    <x v="0"/>
    <x v="8"/>
    <x v="392"/>
    <x v="244"/>
    <n v="5"/>
    <x v="434"/>
  </r>
  <r>
    <d v="2019-04-18T00:00:00"/>
    <x v="0"/>
    <x v="3"/>
    <x v="209"/>
    <x v="12"/>
    <x v="2"/>
    <x v="7"/>
    <x v="35"/>
    <x v="426"/>
    <n v="3"/>
    <x v="435"/>
  </r>
  <r>
    <d v="2019-04-18T00:00:00"/>
    <x v="0"/>
    <x v="3"/>
    <x v="209"/>
    <x v="12"/>
    <x v="2"/>
    <x v="16"/>
    <x v="393"/>
    <x v="427"/>
    <n v="1"/>
    <x v="436"/>
  </r>
  <r>
    <d v="2019-04-19T00:00:00"/>
    <x v="0"/>
    <x v="3"/>
    <x v="171"/>
    <x v="8"/>
    <x v="0"/>
    <x v="4"/>
    <x v="394"/>
    <x v="428"/>
    <n v="2"/>
    <x v="437"/>
  </r>
  <r>
    <d v="2019-04-19T00:00:00"/>
    <x v="0"/>
    <x v="3"/>
    <x v="171"/>
    <x v="8"/>
    <x v="2"/>
    <x v="9"/>
    <x v="395"/>
    <x v="429"/>
    <n v="5"/>
    <x v="438"/>
  </r>
  <r>
    <d v="2019-04-19T00:00:00"/>
    <x v="0"/>
    <x v="3"/>
    <x v="210"/>
    <x v="1"/>
    <x v="1"/>
    <x v="1"/>
    <x v="396"/>
    <x v="430"/>
    <n v="5"/>
    <x v="439"/>
  </r>
  <r>
    <d v="2019-04-19T00:00:00"/>
    <x v="0"/>
    <x v="3"/>
    <x v="210"/>
    <x v="1"/>
    <x v="2"/>
    <x v="7"/>
    <x v="397"/>
    <x v="431"/>
    <n v="3"/>
    <x v="440"/>
  </r>
  <r>
    <d v="2019-04-19T00:00:00"/>
    <x v="0"/>
    <x v="3"/>
    <x v="210"/>
    <x v="1"/>
    <x v="2"/>
    <x v="7"/>
    <x v="398"/>
    <x v="432"/>
    <n v="5"/>
    <x v="441"/>
  </r>
  <r>
    <d v="2019-04-19T00:00:00"/>
    <x v="0"/>
    <x v="3"/>
    <x v="210"/>
    <x v="1"/>
    <x v="2"/>
    <x v="5"/>
    <x v="399"/>
    <x v="433"/>
    <n v="1"/>
    <x v="442"/>
  </r>
  <r>
    <d v="2019-04-19T00:00:00"/>
    <x v="0"/>
    <x v="3"/>
    <x v="210"/>
    <x v="1"/>
    <x v="2"/>
    <x v="9"/>
    <x v="400"/>
    <x v="434"/>
    <n v="4"/>
    <x v="443"/>
  </r>
  <r>
    <d v="2019-04-19T00:00:00"/>
    <x v="0"/>
    <x v="3"/>
    <x v="210"/>
    <x v="1"/>
    <x v="2"/>
    <x v="5"/>
    <x v="401"/>
    <x v="435"/>
    <n v="3"/>
    <x v="444"/>
  </r>
  <r>
    <d v="2019-04-19T00:00:00"/>
    <x v="0"/>
    <x v="3"/>
    <x v="211"/>
    <x v="12"/>
    <x v="1"/>
    <x v="1"/>
    <x v="402"/>
    <x v="436"/>
    <n v="2"/>
    <x v="148"/>
  </r>
  <r>
    <d v="2019-04-19T00:00:00"/>
    <x v="0"/>
    <x v="3"/>
    <x v="211"/>
    <x v="12"/>
    <x v="2"/>
    <x v="7"/>
    <x v="403"/>
    <x v="437"/>
    <n v="2"/>
    <x v="445"/>
  </r>
  <r>
    <d v="2019-04-19T00:00:00"/>
    <x v="0"/>
    <x v="3"/>
    <x v="211"/>
    <x v="12"/>
    <x v="2"/>
    <x v="2"/>
    <x v="404"/>
    <x v="438"/>
    <n v="4"/>
    <x v="446"/>
  </r>
  <r>
    <d v="2019-04-19T00:00:00"/>
    <x v="0"/>
    <x v="3"/>
    <x v="211"/>
    <x v="12"/>
    <x v="2"/>
    <x v="16"/>
    <x v="405"/>
    <x v="439"/>
    <n v="2"/>
    <x v="447"/>
  </r>
  <r>
    <d v="2019-04-19T00:00:00"/>
    <x v="0"/>
    <x v="3"/>
    <x v="211"/>
    <x v="12"/>
    <x v="2"/>
    <x v="7"/>
    <x v="406"/>
    <x v="440"/>
    <n v="2"/>
    <x v="448"/>
  </r>
  <r>
    <d v="2019-04-19T00:00:00"/>
    <x v="0"/>
    <x v="3"/>
    <x v="211"/>
    <x v="12"/>
    <x v="2"/>
    <x v="16"/>
    <x v="407"/>
    <x v="441"/>
    <n v="5"/>
    <x v="449"/>
  </r>
  <r>
    <d v="2019-04-19T00:00:00"/>
    <x v="0"/>
    <x v="3"/>
    <x v="211"/>
    <x v="12"/>
    <x v="2"/>
    <x v="5"/>
    <x v="145"/>
    <x v="442"/>
    <n v="2"/>
    <x v="450"/>
  </r>
  <r>
    <d v="2019-04-21T00:00:00"/>
    <x v="0"/>
    <x v="3"/>
    <x v="129"/>
    <x v="17"/>
    <x v="2"/>
    <x v="2"/>
    <x v="408"/>
    <x v="443"/>
    <n v="4"/>
    <x v="451"/>
  </r>
  <r>
    <d v="2019-04-21T00:00:00"/>
    <x v="0"/>
    <x v="3"/>
    <x v="129"/>
    <x v="17"/>
    <x v="2"/>
    <x v="13"/>
    <x v="409"/>
    <x v="444"/>
    <n v="3"/>
    <x v="452"/>
  </r>
  <r>
    <d v="2019-04-21T00:00:00"/>
    <x v="0"/>
    <x v="3"/>
    <x v="129"/>
    <x v="17"/>
    <x v="2"/>
    <x v="5"/>
    <x v="410"/>
    <x v="445"/>
    <n v="8"/>
    <x v="453"/>
  </r>
  <r>
    <d v="2019-04-21T00:00:00"/>
    <x v="0"/>
    <x v="3"/>
    <x v="212"/>
    <x v="9"/>
    <x v="2"/>
    <x v="5"/>
    <x v="411"/>
    <x v="446"/>
    <n v="5"/>
    <x v="454"/>
  </r>
  <r>
    <d v="2019-04-21T00:00:00"/>
    <x v="0"/>
    <x v="3"/>
    <x v="188"/>
    <x v="11"/>
    <x v="2"/>
    <x v="7"/>
    <x v="412"/>
    <x v="447"/>
    <n v="3"/>
    <x v="455"/>
  </r>
  <r>
    <d v="2019-04-21T00:00:00"/>
    <x v="0"/>
    <x v="3"/>
    <x v="188"/>
    <x v="11"/>
    <x v="2"/>
    <x v="9"/>
    <x v="413"/>
    <x v="448"/>
    <n v="8"/>
    <x v="456"/>
  </r>
  <r>
    <d v="2019-04-22T00:00:00"/>
    <x v="0"/>
    <x v="3"/>
    <x v="213"/>
    <x v="20"/>
    <x v="0"/>
    <x v="8"/>
    <x v="414"/>
    <x v="449"/>
    <n v="5"/>
    <x v="457"/>
  </r>
  <r>
    <d v="2019-04-22T00:00:00"/>
    <x v="0"/>
    <x v="3"/>
    <x v="213"/>
    <x v="20"/>
    <x v="0"/>
    <x v="4"/>
    <x v="415"/>
    <x v="450"/>
    <n v="6"/>
    <x v="458"/>
  </r>
  <r>
    <d v="2019-04-22T00:00:00"/>
    <x v="0"/>
    <x v="3"/>
    <x v="213"/>
    <x v="20"/>
    <x v="2"/>
    <x v="5"/>
    <x v="416"/>
    <x v="451"/>
    <n v="5"/>
    <x v="459"/>
  </r>
  <r>
    <d v="2019-04-22T00:00:00"/>
    <x v="0"/>
    <x v="3"/>
    <x v="213"/>
    <x v="20"/>
    <x v="2"/>
    <x v="16"/>
    <x v="417"/>
    <x v="452"/>
    <n v="2"/>
    <x v="460"/>
  </r>
  <r>
    <d v="2019-04-22T00:00:00"/>
    <x v="0"/>
    <x v="3"/>
    <x v="213"/>
    <x v="20"/>
    <x v="2"/>
    <x v="13"/>
    <x v="418"/>
    <x v="453"/>
    <n v="2"/>
    <x v="461"/>
  </r>
  <r>
    <d v="2019-04-22T00:00:00"/>
    <x v="0"/>
    <x v="3"/>
    <x v="214"/>
    <x v="30"/>
    <x v="0"/>
    <x v="8"/>
    <x v="419"/>
    <x v="454"/>
    <n v="2"/>
    <x v="462"/>
  </r>
  <r>
    <d v="2019-04-22T00:00:00"/>
    <x v="0"/>
    <x v="3"/>
    <x v="215"/>
    <x v="17"/>
    <x v="2"/>
    <x v="2"/>
    <x v="420"/>
    <x v="455"/>
    <n v="2"/>
    <x v="463"/>
  </r>
  <r>
    <d v="2019-04-22T00:00:00"/>
    <x v="0"/>
    <x v="3"/>
    <x v="26"/>
    <x v="1"/>
    <x v="0"/>
    <x v="8"/>
    <x v="421"/>
    <x v="330"/>
    <n v="3"/>
    <x v="464"/>
  </r>
  <r>
    <d v="2019-04-22T00:00:00"/>
    <x v="0"/>
    <x v="3"/>
    <x v="216"/>
    <x v="12"/>
    <x v="2"/>
    <x v="7"/>
    <x v="422"/>
    <x v="456"/>
    <n v="9"/>
    <x v="465"/>
  </r>
  <r>
    <d v="2019-04-22T00:00:00"/>
    <x v="0"/>
    <x v="3"/>
    <x v="216"/>
    <x v="12"/>
    <x v="2"/>
    <x v="7"/>
    <x v="423"/>
    <x v="457"/>
    <n v="1"/>
    <x v="466"/>
  </r>
  <r>
    <d v="2019-04-23T00:00:00"/>
    <x v="0"/>
    <x v="3"/>
    <x v="217"/>
    <x v="1"/>
    <x v="2"/>
    <x v="5"/>
    <x v="424"/>
    <x v="458"/>
    <n v="6"/>
    <x v="467"/>
  </r>
  <r>
    <d v="2019-04-23T00:00:00"/>
    <x v="0"/>
    <x v="3"/>
    <x v="217"/>
    <x v="1"/>
    <x v="1"/>
    <x v="3"/>
    <x v="425"/>
    <x v="459"/>
    <n v="1"/>
    <x v="468"/>
  </r>
  <r>
    <d v="2019-04-23T00:00:00"/>
    <x v="0"/>
    <x v="3"/>
    <x v="218"/>
    <x v="4"/>
    <x v="2"/>
    <x v="9"/>
    <x v="426"/>
    <x v="162"/>
    <n v="5"/>
    <x v="469"/>
  </r>
  <r>
    <d v="2019-04-23T00:00:00"/>
    <x v="0"/>
    <x v="3"/>
    <x v="219"/>
    <x v="8"/>
    <x v="2"/>
    <x v="9"/>
    <x v="427"/>
    <x v="460"/>
    <n v="6"/>
    <x v="470"/>
  </r>
  <r>
    <d v="2019-04-23T00:00:00"/>
    <x v="0"/>
    <x v="3"/>
    <x v="219"/>
    <x v="8"/>
    <x v="2"/>
    <x v="2"/>
    <x v="428"/>
    <x v="461"/>
    <n v="5"/>
    <x v="471"/>
  </r>
  <r>
    <d v="2019-04-23T00:00:00"/>
    <x v="0"/>
    <x v="3"/>
    <x v="219"/>
    <x v="8"/>
    <x v="2"/>
    <x v="9"/>
    <x v="429"/>
    <x v="462"/>
    <n v="2"/>
    <x v="472"/>
  </r>
  <r>
    <d v="2019-04-23T00:00:00"/>
    <x v="0"/>
    <x v="3"/>
    <x v="220"/>
    <x v="1"/>
    <x v="2"/>
    <x v="5"/>
    <x v="430"/>
    <x v="463"/>
    <n v="7"/>
    <x v="473"/>
  </r>
  <r>
    <d v="2019-04-23T00:00:00"/>
    <x v="0"/>
    <x v="3"/>
    <x v="220"/>
    <x v="1"/>
    <x v="2"/>
    <x v="10"/>
    <x v="158"/>
    <x v="464"/>
    <n v="3"/>
    <x v="474"/>
  </r>
  <r>
    <d v="2019-04-24T00:00:00"/>
    <x v="0"/>
    <x v="3"/>
    <x v="221"/>
    <x v="2"/>
    <x v="1"/>
    <x v="3"/>
    <x v="431"/>
    <x v="465"/>
    <n v="3"/>
    <x v="475"/>
  </r>
  <r>
    <d v="2019-04-24T00:00:00"/>
    <x v="0"/>
    <x v="3"/>
    <x v="222"/>
    <x v="1"/>
    <x v="2"/>
    <x v="5"/>
    <x v="432"/>
    <x v="466"/>
    <n v="1"/>
    <x v="476"/>
  </r>
  <r>
    <d v="2019-04-24T00:00:00"/>
    <x v="0"/>
    <x v="3"/>
    <x v="223"/>
    <x v="22"/>
    <x v="2"/>
    <x v="9"/>
    <x v="433"/>
    <x v="29"/>
    <n v="3"/>
    <x v="29"/>
  </r>
  <r>
    <d v="2019-04-24T00:00:00"/>
    <x v="0"/>
    <x v="3"/>
    <x v="223"/>
    <x v="22"/>
    <x v="0"/>
    <x v="11"/>
    <x v="233"/>
    <x v="467"/>
    <n v="6"/>
    <x v="477"/>
  </r>
  <r>
    <d v="2019-04-24T00:00:00"/>
    <x v="0"/>
    <x v="3"/>
    <x v="223"/>
    <x v="22"/>
    <x v="2"/>
    <x v="5"/>
    <x v="434"/>
    <x v="468"/>
    <n v="2"/>
    <x v="478"/>
  </r>
  <r>
    <d v="2019-04-25T00:00:00"/>
    <x v="0"/>
    <x v="3"/>
    <x v="224"/>
    <x v="5"/>
    <x v="1"/>
    <x v="1"/>
    <x v="435"/>
    <x v="469"/>
    <n v="2"/>
    <x v="479"/>
  </r>
  <r>
    <d v="2019-04-25T00:00:00"/>
    <x v="0"/>
    <x v="3"/>
    <x v="224"/>
    <x v="5"/>
    <x v="2"/>
    <x v="5"/>
    <x v="264"/>
    <x v="470"/>
    <n v="2"/>
    <x v="480"/>
  </r>
  <r>
    <d v="2019-04-25T00:00:00"/>
    <x v="0"/>
    <x v="3"/>
    <x v="224"/>
    <x v="5"/>
    <x v="2"/>
    <x v="5"/>
    <x v="436"/>
    <x v="471"/>
    <n v="3"/>
    <x v="481"/>
  </r>
  <r>
    <d v="2019-04-26T00:00:00"/>
    <x v="0"/>
    <x v="3"/>
    <x v="126"/>
    <x v="12"/>
    <x v="0"/>
    <x v="11"/>
    <x v="171"/>
    <x v="472"/>
    <n v="3"/>
    <x v="482"/>
  </r>
  <r>
    <d v="2019-04-28T00:00:00"/>
    <x v="0"/>
    <x v="3"/>
    <x v="225"/>
    <x v="2"/>
    <x v="1"/>
    <x v="1"/>
    <x v="437"/>
    <x v="473"/>
    <n v="3"/>
    <x v="483"/>
  </r>
  <r>
    <d v="2019-04-28T00:00:00"/>
    <x v="0"/>
    <x v="3"/>
    <x v="225"/>
    <x v="2"/>
    <x v="2"/>
    <x v="14"/>
    <x v="438"/>
    <x v="474"/>
    <n v="4"/>
    <x v="484"/>
  </r>
  <r>
    <d v="2019-04-28T00:00:00"/>
    <x v="0"/>
    <x v="3"/>
    <x v="226"/>
    <x v="22"/>
    <x v="2"/>
    <x v="9"/>
    <x v="439"/>
    <x v="475"/>
    <n v="3"/>
    <x v="485"/>
  </r>
  <r>
    <d v="2019-04-28T00:00:00"/>
    <x v="0"/>
    <x v="3"/>
    <x v="3"/>
    <x v="1"/>
    <x v="0"/>
    <x v="11"/>
    <x v="440"/>
    <x v="476"/>
    <n v="2"/>
    <x v="486"/>
  </r>
  <r>
    <d v="2019-04-28T00:00:00"/>
    <x v="0"/>
    <x v="3"/>
    <x v="227"/>
    <x v="17"/>
    <x v="0"/>
    <x v="8"/>
    <x v="441"/>
    <x v="477"/>
    <n v="2"/>
    <x v="487"/>
  </r>
  <r>
    <d v="2019-04-30T00:00:00"/>
    <x v="0"/>
    <x v="3"/>
    <x v="228"/>
    <x v="12"/>
    <x v="2"/>
    <x v="5"/>
    <x v="442"/>
    <x v="478"/>
    <n v="2"/>
    <x v="488"/>
  </r>
  <r>
    <d v="2019-04-30T00:00:00"/>
    <x v="0"/>
    <x v="3"/>
    <x v="45"/>
    <x v="2"/>
    <x v="0"/>
    <x v="8"/>
    <x v="443"/>
    <x v="479"/>
    <n v="3"/>
    <x v="489"/>
  </r>
  <r>
    <d v="2019-04-30T00:00:00"/>
    <x v="0"/>
    <x v="3"/>
    <x v="229"/>
    <x v="20"/>
    <x v="0"/>
    <x v="8"/>
    <x v="444"/>
    <x v="480"/>
    <n v="7"/>
    <x v="490"/>
  </r>
  <r>
    <d v="2019-05-01T00:00:00"/>
    <x v="0"/>
    <x v="4"/>
    <x v="186"/>
    <x v="21"/>
    <x v="2"/>
    <x v="14"/>
    <x v="445"/>
    <x v="466"/>
    <n v="1"/>
    <x v="491"/>
  </r>
  <r>
    <d v="2019-05-01T00:00:00"/>
    <x v="0"/>
    <x v="4"/>
    <x v="186"/>
    <x v="21"/>
    <x v="0"/>
    <x v="4"/>
    <x v="446"/>
    <x v="481"/>
    <n v="3"/>
    <x v="492"/>
  </r>
  <r>
    <d v="2019-05-01T00:00:00"/>
    <x v="0"/>
    <x v="4"/>
    <x v="186"/>
    <x v="21"/>
    <x v="2"/>
    <x v="5"/>
    <x v="447"/>
    <x v="482"/>
    <n v="2"/>
    <x v="493"/>
  </r>
  <r>
    <d v="2019-05-01T00:00:00"/>
    <x v="0"/>
    <x v="4"/>
    <x v="230"/>
    <x v="33"/>
    <x v="2"/>
    <x v="9"/>
    <x v="448"/>
    <x v="483"/>
    <n v="2"/>
    <x v="494"/>
  </r>
  <r>
    <d v="2019-05-01T00:00:00"/>
    <x v="0"/>
    <x v="4"/>
    <x v="230"/>
    <x v="33"/>
    <x v="2"/>
    <x v="9"/>
    <x v="85"/>
    <x v="390"/>
    <n v="3"/>
    <x v="397"/>
  </r>
  <r>
    <d v="2019-05-01T00:00:00"/>
    <x v="0"/>
    <x v="4"/>
    <x v="230"/>
    <x v="33"/>
    <x v="2"/>
    <x v="7"/>
    <x v="449"/>
    <x v="484"/>
    <n v="2"/>
    <x v="266"/>
  </r>
  <r>
    <d v="2019-05-02T00:00:00"/>
    <x v="0"/>
    <x v="4"/>
    <x v="110"/>
    <x v="2"/>
    <x v="2"/>
    <x v="7"/>
    <x v="406"/>
    <x v="485"/>
    <n v="3"/>
    <x v="495"/>
  </r>
  <r>
    <d v="2019-05-02T00:00:00"/>
    <x v="0"/>
    <x v="4"/>
    <x v="231"/>
    <x v="12"/>
    <x v="2"/>
    <x v="2"/>
    <x v="450"/>
    <x v="486"/>
    <n v="3"/>
    <x v="496"/>
  </r>
  <r>
    <d v="2019-05-02T00:00:00"/>
    <x v="0"/>
    <x v="4"/>
    <x v="231"/>
    <x v="12"/>
    <x v="2"/>
    <x v="5"/>
    <x v="416"/>
    <x v="487"/>
    <n v="3"/>
    <x v="497"/>
  </r>
  <r>
    <d v="2019-05-02T00:00:00"/>
    <x v="0"/>
    <x v="4"/>
    <x v="82"/>
    <x v="4"/>
    <x v="0"/>
    <x v="11"/>
    <x v="440"/>
    <x v="488"/>
    <n v="9"/>
    <x v="498"/>
  </r>
  <r>
    <d v="2019-05-02T00:00:00"/>
    <x v="0"/>
    <x v="4"/>
    <x v="232"/>
    <x v="2"/>
    <x v="2"/>
    <x v="2"/>
    <x v="451"/>
    <x v="489"/>
    <n v="3"/>
    <x v="499"/>
  </r>
  <r>
    <d v="2019-05-02T00:00:00"/>
    <x v="0"/>
    <x v="4"/>
    <x v="232"/>
    <x v="2"/>
    <x v="2"/>
    <x v="2"/>
    <x v="452"/>
    <x v="490"/>
    <n v="3"/>
    <x v="500"/>
  </r>
  <r>
    <d v="2019-05-02T00:00:00"/>
    <x v="0"/>
    <x v="4"/>
    <x v="232"/>
    <x v="2"/>
    <x v="2"/>
    <x v="14"/>
    <x v="453"/>
    <x v="491"/>
    <n v="2"/>
    <x v="501"/>
  </r>
  <r>
    <d v="2019-05-02T00:00:00"/>
    <x v="0"/>
    <x v="4"/>
    <x v="233"/>
    <x v="2"/>
    <x v="0"/>
    <x v="11"/>
    <x v="454"/>
    <x v="492"/>
    <n v="4"/>
    <x v="502"/>
  </r>
  <r>
    <d v="2019-05-02T00:00:00"/>
    <x v="0"/>
    <x v="4"/>
    <x v="124"/>
    <x v="12"/>
    <x v="0"/>
    <x v="8"/>
    <x v="455"/>
    <x v="493"/>
    <n v="2"/>
    <x v="503"/>
  </r>
  <r>
    <d v="2019-05-02T00:00:00"/>
    <x v="0"/>
    <x v="4"/>
    <x v="124"/>
    <x v="12"/>
    <x v="2"/>
    <x v="5"/>
    <x v="456"/>
    <x v="98"/>
    <n v="3"/>
    <x v="504"/>
  </r>
  <r>
    <d v="2019-05-02T00:00:00"/>
    <x v="0"/>
    <x v="4"/>
    <x v="124"/>
    <x v="12"/>
    <x v="2"/>
    <x v="9"/>
    <x v="457"/>
    <x v="494"/>
    <n v="2"/>
    <x v="505"/>
  </r>
  <r>
    <d v="2019-05-02T00:00:00"/>
    <x v="0"/>
    <x v="4"/>
    <x v="124"/>
    <x v="12"/>
    <x v="0"/>
    <x v="8"/>
    <x v="458"/>
    <x v="495"/>
    <n v="5"/>
    <x v="506"/>
  </r>
  <r>
    <d v="2019-05-03T00:00:00"/>
    <x v="0"/>
    <x v="4"/>
    <x v="32"/>
    <x v="17"/>
    <x v="2"/>
    <x v="5"/>
    <x v="73"/>
    <x v="496"/>
    <n v="1"/>
    <x v="507"/>
  </r>
  <r>
    <d v="2019-05-03T00:00:00"/>
    <x v="0"/>
    <x v="4"/>
    <x v="32"/>
    <x v="17"/>
    <x v="2"/>
    <x v="7"/>
    <x v="459"/>
    <x v="497"/>
    <n v="7"/>
    <x v="508"/>
  </r>
  <r>
    <d v="2019-05-03T00:00:00"/>
    <x v="0"/>
    <x v="4"/>
    <x v="32"/>
    <x v="17"/>
    <x v="2"/>
    <x v="13"/>
    <x v="460"/>
    <x v="498"/>
    <n v="3"/>
    <x v="509"/>
  </r>
  <r>
    <d v="2019-05-03T00:00:00"/>
    <x v="0"/>
    <x v="4"/>
    <x v="234"/>
    <x v="8"/>
    <x v="1"/>
    <x v="3"/>
    <x v="461"/>
    <x v="499"/>
    <n v="5"/>
    <x v="510"/>
  </r>
  <r>
    <d v="2019-05-03T00:00:00"/>
    <x v="0"/>
    <x v="4"/>
    <x v="234"/>
    <x v="8"/>
    <x v="2"/>
    <x v="2"/>
    <x v="462"/>
    <x v="500"/>
    <n v="5"/>
    <x v="511"/>
  </r>
  <r>
    <d v="2019-05-03T00:00:00"/>
    <x v="0"/>
    <x v="4"/>
    <x v="234"/>
    <x v="8"/>
    <x v="0"/>
    <x v="8"/>
    <x v="463"/>
    <x v="501"/>
    <n v="2"/>
    <x v="512"/>
  </r>
  <r>
    <d v="2019-05-03T00:00:00"/>
    <x v="0"/>
    <x v="4"/>
    <x v="234"/>
    <x v="8"/>
    <x v="1"/>
    <x v="3"/>
    <x v="464"/>
    <x v="189"/>
    <n v="3"/>
    <x v="513"/>
  </r>
  <r>
    <d v="2019-05-03T00:00:00"/>
    <x v="0"/>
    <x v="4"/>
    <x v="234"/>
    <x v="8"/>
    <x v="1"/>
    <x v="15"/>
    <x v="465"/>
    <x v="502"/>
    <n v="3"/>
    <x v="514"/>
  </r>
  <r>
    <d v="2019-05-03T00:00:00"/>
    <x v="0"/>
    <x v="4"/>
    <x v="234"/>
    <x v="8"/>
    <x v="2"/>
    <x v="14"/>
    <x v="466"/>
    <x v="503"/>
    <n v="2"/>
    <x v="515"/>
  </r>
  <r>
    <d v="2019-05-05T00:00:00"/>
    <x v="0"/>
    <x v="4"/>
    <x v="235"/>
    <x v="19"/>
    <x v="2"/>
    <x v="9"/>
    <x v="467"/>
    <x v="504"/>
    <n v="3"/>
    <x v="516"/>
  </r>
  <r>
    <d v="2019-05-05T00:00:00"/>
    <x v="0"/>
    <x v="4"/>
    <x v="236"/>
    <x v="21"/>
    <x v="2"/>
    <x v="9"/>
    <x v="468"/>
    <x v="335"/>
    <n v="3"/>
    <x v="517"/>
  </r>
  <r>
    <d v="2019-05-05T00:00:00"/>
    <x v="0"/>
    <x v="4"/>
    <x v="237"/>
    <x v="1"/>
    <x v="2"/>
    <x v="2"/>
    <x v="469"/>
    <x v="311"/>
    <n v="1"/>
    <x v="518"/>
  </r>
  <r>
    <d v="2019-05-05T00:00:00"/>
    <x v="0"/>
    <x v="4"/>
    <x v="237"/>
    <x v="1"/>
    <x v="1"/>
    <x v="1"/>
    <x v="470"/>
    <x v="505"/>
    <n v="3"/>
    <x v="519"/>
  </r>
  <r>
    <d v="2019-05-05T00:00:00"/>
    <x v="0"/>
    <x v="4"/>
    <x v="238"/>
    <x v="1"/>
    <x v="2"/>
    <x v="5"/>
    <x v="471"/>
    <x v="506"/>
    <n v="5"/>
    <x v="520"/>
  </r>
  <r>
    <d v="2019-05-05T00:00:00"/>
    <x v="0"/>
    <x v="4"/>
    <x v="238"/>
    <x v="1"/>
    <x v="0"/>
    <x v="4"/>
    <x v="472"/>
    <x v="507"/>
    <n v="3"/>
    <x v="521"/>
  </r>
  <r>
    <d v="2019-05-05T00:00:00"/>
    <x v="0"/>
    <x v="4"/>
    <x v="167"/>
    <x v="21"/>
    <x v="0"/>
    <x v="8"/>
    <x v="473"/>
    <x v="508"/>
    <n v="5"/>
    <x v="522"/>
  </r>
  <r>
    <d v="2019-05-05T00:00:00"/>
    <x v="0"/>
    <x v="4"/>
    <x v="239"/>
    <x v="1"/>
    <x v="0"/>
    <x v="4"/>
    <x v="474"/>
    <x v="509"/>
    <n v="2"/>
    <x v="523"/>
  </r>
  <r>
    <d v="2019-05-05T00:00:00"/>
    <x v="0"/>
    <x v="4"/>
    <x v="240"/>
    <x v="31"/>
    <x v="0"/>
    <x v="4"/>
    <x v="475"/>
    <x v="510"/>
    <n v="6"/>
    <x v="524"/>
  </r>
  <r>
    <d v="2019-05-05T00:00:00"/>
    <x v="0"/>
    <x v="4"/>
    <x v="240"/>
    <x v="31"/>
    <x v="2"/>
    <x v="5"/>
    <x v="476"/>
    <x v="511"/>
    <n v="2"/>
    <x v="525"/>
  </r>
  <r>
    <d v="2019-05-05T00:00:00"/>
    <x v="0"/>
    <x v="4"/>
    <x v="107"/>
    <x v="6"/>
    <x v="2"/>
    <x v="9"/>
    <x v="477"/>
    <x v="512"/>
    <n v="4"/>
    <x v="526"/>
  </r>
  <r>
    <d v="2019-05-05T00:00:00"/>
    <x v="0"/>
    <x v="4"/>
    <x v="107"/>
    <x v="6"/>
    <x v="1"/>
    <x v="1"/>
    <x v="478"/>
    <x v="513"/>
    <n v="3"/>
    <x v="527"/>
  </r>
  <r>
    <d v="2019-05-06T00:00:00"/>
    <x v="0"/>
    <x v="4"/>
    <x v="241"/>
    <x v="8"/>
    <x v="2"/>
    <x v="12"/>
    <x v="479"/>
    <x v="514"/>
    <n v="2"/>
    <x v="528"/>
  </r>
  <r>
    <d v="2019-05-06T00:00:00"/>
    <x v="0"/>
    <x v="4"/>
    <x v="241"/>
    <x v="8"/>
    <x v="2"/>
    <x v="9"/>
    <x v="480"/>
    <x v="515"/>
    <n v="2"/>
    <x v="529"/>
  </r>
  <r>
    <d v="2019-05-06T00:00:00"/>
    <x v="0"/>
    <x v="4"/>
    <x v="241"/>
    <x v="8"/>
    <x v="0"/>
    <x v="8"/>
    <x v="481"/>
    <x v="516"/>
    <n v="7"/>
    <x v="530"/>
  </r>
  <r>
    <d v="2019-05-06T00:00:00"/>
    <x v="0"/>
    <x v="4"/>
    <x v="220"/>
    <x v="17"/>
    <x v="2"/>
    <x v="5"/>
    <x v="482"/>
    <x v="517"/>
    <n v="2"/>
    <x v="531"/>
  </r>
  <r>
    <d v="2019-05-06T00:00:00"/>
    <x v="0"/>
    <x v="4"/>
    <x v="220"/>
    <x v="17"/>
    <x v="1"/>
    <x v="3"/>
    <x v="483"/>
    <x v="518"/>
    <n v="2"/>
    <x v="532"/>
  </r>
  <r>
    <d v="2019-05-06T00:00:00"/>
    <x v="0"/>
    <x v="4"/>
    <x v="241"/>
    <x v="30"/>
    <x v="2"/>
    <x v="13"/>
    <x v="154"/>
    <x v="519"/>
    <n v="1"/>
    <x v="533"/>
  </r>
  <r>
    <d v="2019-05-06T00:00:00"/>
    <x v="0"/>
    <x v="4"/>
    <x v="242"/>
    <x v="1"/>
    <x v="0"/>
    <x v="8"/>
    <x v="484"/>
    <x v="520"/>
    <n v="4"/>
    <x v="534"/>
  </r>
  <r>
    <d v="2019-05-07T00:00:00"/>
    <x v="0"/>
    <x v="4"/>
    <x v="109"/>
    <x v="12"/>
    <x v="2"/>
    <x v="5"/>
    <x v="485"/>
    <x v="521"/>
    <n v="7"/>
    <x v="535"/>
  </r>
  <r>
    <d v="2019-05-07T00:00:00"/>
    <x v="0"/>
    <x v="4"/>
    <x v="109"/>
    <x v="12"/>
    <x v="2"/>
    <x v="14"/>
    <x v="486"/>
    <x v="57"/>
    <n v="3"/>
    <x v="57"/>
  </r>
  <r>
    <d v="2019-05-07T00:00:00"/>
    <x v="0"/>
    <x v="4"/>
    <x v="109"/>
    <x v="12"/>
    <x v="0"/>
    <x v="11"/>
    <x v="487"/>
    <x v="522"/>
    <n v="4"/>
    <x v="536"/>
  </r>
  <r>
    <d v="2019-05-07T00:00:00"/>
    <x v="0"/>
    <x v="4"/>
    <x v="109"/>
    <x v="12"/>
    <x v="1"/>
    <x v="15"/>
    <x v="488"/>
    <x v="523"/>
    <n v="5"/>
    <x v="537"/>
  </r>
  <r>
    <d v="2019-05-07T00:00:00"/>
    <x v="0"/>
    <x v="4"/>
    <x v="109"/>
    <x v="12"/>
    <x v="1"/>
    <x v="3"/>
    <x v="489"/>
    <x v="524"/>
    <n v="5"/>
    <x v="538"/>
  </r>
  <r>
    <d v="2019-05-07T00:00:00"/>
    <x v="0"/>
    <x v="4"/>
    <x v="109"/>
    <x v="12"/>
    <x v="0"/>
    <x v="8"/>
    <x v="490"/>
    <x v="525"/>
    <n v="8"/>
    <x v="539"/>
  </r>
  <r>
    <d v="2019-05-08T00:00:00"/>
    <x v="0"/>
    <x v="4"/>
    <x v="243"/>
    <x v="23"/>
    <x v="0"/>
    <x v="8"/>
    <x v="491"/>
    <x v="526"/>
    <n v="2"/>
    <x v="540"/>
  </r>
  <r>
    <d v="2019-05-08T00:00:00"/>
    <x v="0"/>
    <x v="4"/>
    <x v="244"/>
    <x v="8"/>
    <x v="2"/>
    <x v="2"/>
    <x v="492"/>
    <x v="527"/>
    <n v="3"/>
    <x v="541"/>
  </r>
  <r>
    <d v="2019-05-08T00:00:00"/>
    <x v="0"/>
    <x v="4"/>
    <x v="244"/>
    <x v="8"/>
    <x v="2"/>
    <x v="9"/>
    <x v="493"/>
    <x v="528"/>
    <n v="2"/>
    <x v="542"/>
  </r>
  <r>
    <d v="2019-05-08T00:00:00"/>
    <x v="0"/>
    <x v="4"/>
    <x v="244"/>
    <x v="8"/>
    <x v="2"/>
    <x v="9"/>
    <x v="494"/>
    <x v="286"/>
    <n v="2"/>
    <x v="288"/>
  </r>
  <r>
    <d v="2019-05-08T00:00:00"/>
    <x v="0"/>
    <x v="4"/>
    <x v="244"/>
    <x v="8"/>
    <x v="2"/>
    <x v="2"/>
    <x v="287"/>
    <x v="529"/>
    <n v="2"/>
    <x v="543"/>
  </r>
  <r>
    <d v="2019-05-08T00:00:00"/>
    <x v="0"/>
    <x v="4"/>
    <x v="244"/>
    <x v="8"/>
    <x v="1"/>
    <x v="3"/>
    <x v="495"/>
    <x v="530"/>
    <n v="2"/>
    <x v="544"/>
  </r>
  <r>
    <d v="2019-05-08T00:00:00"/>
    <x v="0"/>
    <x v="4"/>
    <x v="245"/>
    <x v="1"/>
    <x v="2"/>
    <x v="9"/>
    <x v="496"/>
    <x v="219"/>
    <n v="3"/>
    <x v="545"/>
  </r>
  <r>
    <d v="2019-05-09T00:00:00"/>
    <x v="0"/>
    <x v="4"/>
    <x v="246"/>
    <x v="9"/>
    <x v="1"/>
    <x v="3"/>
    <x v="497"/>
    <x v="531"/>
    <n v="2"/>
    <x v="546"/>
  </r>
  <r>
    <d v="2019-05-09T00:00:00"/>
    <x v="0"/>
    <x v="4"/>
    <x v="247"/>
    <x v="5"/>
    <x v="2"/>
    <x v="10"/>
    <x v="86"/>
    <x v="532"/>
    <n v="1"/>
    <x v="547"/>
  </r>
  <r>
    <d v="2019-05-09T00:00:00"/>
    <x v="0"/>
    <x v="4"/>
    <x v="247"/>
    <x v="5"/>
    <x v="2"/>
    <x v="7"/>
    <x v="20"/>
    <x v="533"/>
    <n v="5"/>
    <x v="548"/>
  </r>
  <r>
    <d v="2019-05-09T00:00:00"/>
    <x v="0"/>
    <x v="4"/>
    <x v="248"/>
    <x v="12"/>
    <x v="2"/>
    <x v="7"/>
    <x v="498"/>
    <x v="534"/>
    <n v="5"/>
    <x v="549"/>
  </r>
  <r>
    <d v="2019-05-09T00:00:00"/>
    <x v="0"/>
    <x v="4"/>
    <x v="249"/>
    <x v="1"/>
    <x v="2"/>
    <x v="9"/>
    <x v="499"/>
    <x v="535"/>
    <n v="4"/>
    <x v="550"/>
  </r>
  <r>
    <d v="2019-05-09T00:00:00"/>
    <x v="0"/>
    <x v="4"/>
    <x v="114"/>
    <x v="2"/>
    <x v="1"/>
    <x v="1"/>
    <x v="500"/>
    <x v="536"/>
    <n v="2"/>
    <x v="551"/>
  </r>
  <r>
    <d v="2019-05-09T00:00:00"/>
    <x v="0"/>
    <x v="4"/>
    <x v="250"/>
    <x v="18"/>
    <x v="2"/>
    <x v="7"/>
    <x v="501"/>
    <x v="537"/>
    <n v="7"/>
    <x v="552"/>
  </r>
  <r>
    <d v="2019-05-09T00:00:00"/>
    <x v="0"/>
    <x v="4"/>
    <x v="251"/>
    <x v="2"/>
    <x v="2"/>
    <x v="2"/>
    <x v="502"/>
    <x v="538"/>
    <n v="6"/>
    <x v="553"/>
  </r>
  <r>
    <d v="2019-05-09T00:00:00"/>
    <x v="0"/>
    <x v="4"/>
    <x v="251"/>
    <x v="2"/>
    <x v="2"/>
    <x v="5"/>
    <x v="503"/>
    <x v="539"/>
    <n v="4"/>
    <x v="554"/>
  </r>
  <r>
    <d v="2019-05-09T00:00:00"/>
    <x v="0"/>
    <x v="4"/>
    <x v="251"/>
    <x v="2"/>
    <x v="2"/>
    <x v="13"/>
    <x v="504"/>
    <x v="540"/>
    <n v="4"/>
    <x v="555"/>
  </r>
  <r>
    <d v="2019-05-09T00:00:00"/>
    <x v="0"/>
    <x v="4"/>
    <x v="251"/>
    <x v="2"/>
    <x v="2"/>
    <x v="9"/>
    <x v="374"/>
    <x v="541"/>
    <n v="2"/>
    <x v="556"/>
  </r>
  <r>
    <d v="2019-05-09T00:00:00"/>
    <x v="0"/>
    <x v="4"/>
    <x v="251"/>
    <x v="2"/>
    <x v="2"/>
    <x v="5"/>
    <x v="238"/>
    <x v="542"/>
    <n v="6"/>
    <x v="557"/>
  </r>
  <r>
    <d v="2019-05-10T00:00:00"/>
    <x v="0"/>
    <x v="4"/>
    <x v="252"/>
    <x v="9"/>
    <x v="2"/>
    <x v="9"/>
    <x v="468"/>
    <x v="543"/>
    <n v="2"/>
    <x v="413"/>
  </r>
  <r>
    <d v="2019-05-10T00:00:00"/>
    <x v="0"/>
    <x v="4"/>
    <x v="253"/>
    <x v="5"/>
    <x v="1"/>
    <x v="1"/>
    <x v="505"/>
    <x v="544"/>
    <n v="2"/>
    <x v="558"/>
  </r>
  <r>
    <d v="2019-05-10T00:00:00"/>
    <x v="0"/>
    <x v="4"/>
    <x v="242"/>
    <x v="17"/>
    <x v="2"/>
    <x v="10"/>
    <x v="506"/>
    <x v="545"/>
    <n v="2"/>
    <x v="559"/>
  </r>
  <r>
    <d v="2019-05-11T00:00:00"/>
    <x v="0"/>
    <x v="4"/>
    <x v="254"/>
    <x v="1"/>
    <x v="2"/>
    <x v="9"/>
    <x v="496"/>
    <x v="311"/>
    <n v="1"/>
    <x v="560"/>
  </r>
  <r>
    <d v="2019-05-12T00:00:00"/>
    <x v="0"/>
    <x v="4"/>
    <x v="149"/>
    <x v="18"/>
    <x v="2"/>
    <x v="7"/>
    <x v="507"/>
    <x v="546"/>
    <n v="4"/>
    <x v="561"/>
  </r>
  <r>
    <d v="2019-05-12T00:00:00"/>
    <x v="0"/>
    <x v="4"/>
    <x v="187"/>
    <x v="5"/>
    <x v="2"/>
    <x v="2"/>
    <x v="108"/>
    <x v="547"/>
    <n v="2"/>
    <x v="562"/>
  </r>
  <r>
    <d v="2019-05-12T00:00:00"/>
    <x v="0"/>
    <x v="4"/>
    <x v="196"/>
    <x v="9"/>
    <x v="2"/>
    <x v="10"/>
    <x v="508"/>
    <x v="441"/>
    <n v="5"/>
    <x v="563"/>
  </r>
  <r>
    <d v="2019-05-12T00:00:00"/>
    <x v="0"/>
    <x v="4"/>
    <x v="255"/>
    <x v="12"/>
    <x v="0"/>
    <x v="8"/>
    <x v="509"/>
    <x v="548"/>
    <n v="3"/>
    <x v="564"/>
  </r>
  <r>
    <d v="2019-05-12T00:00:00"/>
    <x v="0"/>
    <x v="4"/>
    <x v="255"/>
    <x v="12"/>
    <x v="1"/>
    <x v="1"/>
    <x v="510"/>
    <x v="549"/>
    <n v="4"/>
    <x v="565"/>
  </r>
  <r>
    <d v="2019-05-12T00:00:00"/>
    <x v="0"/>
    <x v="4"/>
    <x v="134"/>
    <x v="1"/>
    <x v="1"/>
    <x v="3"/>
    <x v="511"/>
    <x v="550"/>
    <n v="6"/>
    <x v="566"/>
  </r>
  <r>
    <d v="2019-05-12T00:00:00"/>
    <x v="0"/>
    <x v="4"/>
    <x v="134"/>
    <x v="1"/>
    <x v="2"/>
    <x v="13"/>
    <x v="512"/>
    <x v="145"/>
    <n v="1"/>
    <x v="567"/>
  </r>
  <r>
    <d v="2019-05-14T00:00:00"/>
    <x v="0"/>
    <x v="4"/>
    <x v="256"/>
    <x v="8"/>
    <x v="0"/>
    <x v="8"/>
    <x v="513"/>
    <x v="551"/>
    <n v="1"/>
    <x v="568"/>
  </r>
  <r>
    <d v="2019-05-14T00:00:00"/>
    <x v="0"/>
    <x v="4"/>
    <x v="257"/>
    <x v="6"/>
    <x v="2"/>
    <x v="5"/>
    <x v="514"/>
    <x v="552"/>
    <n v="3"/>
    <x v="569"/>
  </r>
  <r>
    <d v="2019-05-14T00:00:00"/>
    <x v="0"/>
    <x v="4"/>
    <x v="257"/>
    <x v="6"/>
    <x v="2"/>
    <x v="9"/>
    <x v="515"/>
    <x v="553"/>
    <n v="6"/>
    <x v="570"/>
  </r>
  <r>
    <d v="2019-05-14T00:00:00"/>
    <x v="0"/>
    <x v="4"/>
    <x v="257"/>
    <x v="6"/>
    <x v="0"/>
    <x v="8"/>
    <x v="516"/>
    <x v="554"/>
    <n v="3"/>
    <x v="571"/>
  </r>
  <r>
    <d v="2019-05-14T00:00:00"/>
    <x v="0"/>
    <x v="4"/>
    <x v="257"/>
    <x v="6"/>
    <x v="1"/>
    <x v="1"/>
    <x v="517"/>
    <x v="555"/>
    <n v="5"/>
    <x v="572"/>
  </r>
  <r>
    <d v="2019-05-14T00:00:00"/>
    <x v="0"/>
    <x v="4"/>
    <x v="257"/>
    <x v="6"/>
    <x v="2"/>
    <x v="7"/>
    <x v="518"/>
    <x v="404"/>
    <n v="2"/>
    <x v="573"/>
  </r>
  <r>
    <d v="2019-05-14T00:00:00"/>
    <x v="0"/>
    <x v="4"/>
    <x v="257"/>
    <x v="6"/>
    <x v="2"/>
    <x v="5"/>
    <x v="519"/>
    <x v="556"/>
    <n v="2"/>
    <x v="574"/>
  </r>
  <r>
    <d v="2019-05-14T00:00:00"/>
    <x v="0"/>
    <x v="4"/>
    <x v="257"/>
    <x v="6"/>
    <x v="2"/>
    <x v="5"/>
    <x v="147"/>
    <x v="291"/>
    <n v="8"/>
    <x v="575"/>
  </r>
  <r>
    <d v="2019-05-14T00:00:00"/>
    <x v="0"/>
    <x v="4"/>
    <x v="258"/>
    <x v="20"/>
    <x v="1"/>
    <x v="3"/>
    <x v="461"/>
    <x v="557"/>
    <n v="7"/>
    <x v="576"/>
  </r>
  <r>
    <d v="2019-05-15T00:00:00"/>
    <x v="0"/>
    <x v="4"/>
    <x v="259"/>
    <x v="16"/>
    <x v="2"/>
    <x v="5"/>
    <x v="514"/>
    <x v="558"/>
    <n v="8"/>
    <x v="577"/>
  </r>
  <r>
    <d v="2019-05-15T00:00:00"/>
    <x v="0"/>
    <x v="4"/>
    <x v="259"/>
    <x v="16"/>
    <x v="2"/>
    <x v="7"/>
    <x v="520"/>
    <x v="559"/>
    <n v="4"/>
    <x v="578"/>
  </r>
  <r>
    <d v="2019-05-15T00:00:00"/>
    <x v="0"/>
    <x v="4"/>
    <x v="259"/>
    <x v="16"/>
    <x v="2"/>
    <x v="7"/>
    <x v="521"/>
    <x v="560"/>
    <n v="3"/>
    <x v="579"/>
  </r>
  <r>
    <d v="2019-05-15T00:00:00"/>
    <x v="0"/>
    <x v="4"/>
    <x v="260"/>
    <x v="12"/>
    <x v="2"/>
    <x v="5"/>
    <x v="522"/>
    <x v="561"/>
    <n v="3"/>
    <x v="580"/>
  </r>
  <r>
    <d v="2019-05-15T00:00:00"/>
    <x v="0"/>
    <x v="4"/>
    <x v="261"/>
    <x v="6"/>
    <x v="2"/>
    <x v="5"/>
    <x v="523"/>
    <x v="562"/>
    <n v="4"/>
    <x v="581"/>
  </r>
  <r>
    <d v="2019-05-15T00:00:00"/>
    <x v="0"/>
    <x v="4"/>
    <x v="262"/>
    <x v="8"/>
    <x v="2"/>
    <x v="9"/>
    <x v="524"/>
    <x v="563"/>
    <n v="4"/>
    <x v="582"/>
  </r>
  <r>
    <d v="2019-05-16T00:00:00"/>
    <x v="0"/>
    <x v="4"/>
    <x v="263"/>
    <x v="11"/>
    <x v="2"/>
    <x v="2"/>
    <x v="237"/>
    <x v="254"/>
    <n v="4"/>
    <x v="72"/>
  </r>
  <r>
    <d v="2019-05-16T00:00:00"/>
    <x v="0"/>
    <x v="4"/>
    <x v="264"/>
    <x v="1"/>
    <x v="2"/>
    <x v="9"/>
    <x v="525"/>
    <x v="564"/>
    <n v="3"/>
    <x v="583"/>
  </r>
  <r>
    <d v="2019-05-16T00:00:00"/>
    <x v="0"/>
    <x v="4"/>
    <x v="265"/>
    <x v="1"/>
    <x v="0"/>
    <x v="8"/>
    <x v="526"/>
    <x v="565"/>
    <n v="4"/>
    <x v="584"/>
  </r>
  <r>
    <d v="2019-05-16T00:00:00"/>
    <x v="0"/>
    <x v="4"/>
    <x v="265"/>
    <x v="1"/>
    <x v="2"/>
    <x v="14"/>
    <x v="527"/>
    <x v="566"/>
    <n v="9"/>
    <x v="585"/>
  </r>
  <r>
    <d v="2019-05-17T00:00:00"/>
    <x v="0"/>
    <x v="4"/>
    <x v="266"/>
    <x v="6"/>
    <x v="2"/>
    <x v="5"/>
    <x v="201"/>
    <x v="567"/>
    <n v="2"/>
    <x v="586"/>
  </r>
  <r>
    <d v="2019-05-17T00:00:00"/>
    <x v="0"/>
    <x v="4"/>
    <x v="266"/>
    <x v="6"/>
    <x v="2"/>
    <x v="5"/>
    <x v="353"/>
    <x v="568"/>
    <n v="6"/>
    <x v="587"/>
  </r>
  <r>
    <d v="2019-05-17T00:00:00"/>
    <x v="0"/>
    <x v="4"/>
    <x v="267"/>
    <x v="11"/>
    <x v="2"/>
    <x v="16"/>
    <x v="528"/>
    <x v="569"/>
    <n v="7"/>
    <x v="588"/>
  </r>
  <r>
    <d v="2019-05-17T00:00:00"/>
    <x v="0"/>
    <x v="4"/>
    <x v="267"/>
    <x v="11"/>
    <x v="2"/>
    <x v="14"/>
    <x v="529"/>
    <x v="570"/>
    <n v="2"/>
    <x v="589"/>
  </r>
  <r>
    <d v="2019-05-17T00:00:00"/>
    <x v="0"/>
    <x v="4"/>
    <x v="267"/>
    <x v="11"/>
    <x v="0"/>
    <x v="8"/>
    <x v="419"/>
    <x v="571"/>
    <n v="4"/>
    <x v="590"/>
  </r>
  <r>
    <d v="2019-05-17T00:00:00"/>
    <x v="0"/>
    <x v="4"/>
    <x v="268"/>
    <x v="17"/>
    <x v="2"/>
    <x v="5"/>
    <x v="530"/>
    <x v="572"/>
    <n v="1"/>
    <x v="591"/>
  </r>
  <r>
    <d v="2019-05-17T00:00:00"/>
    <x v="0"/>
    <x v="4"/>
    <x v="268"/>
    <x v="17"/>
    <x v="2"/>
    <x v="12"/>
    <x v="531"/>
    <x v="573"/>
    <n v="3"/>
    <x v="592"/>
  </r>
  <r>
    <d v="2019-05-17T00:00:00"/>
    <x v="0"/>
    <x v="4"/>
    <x v="268"/>
    <x v="17"/>
    <x v="0"/>
    <x v="8"/>
    <x v="443"/>
    <x v="479"/>
    <n v="3"/>
    <x v="489"/>
  </r>
  <r>
    <d v="2019-05-17T00:00:00"/>
    <x v="0"/>
    <x v="4"/>
    <x v="268"/>
    <x v="17"/>
    <x v="2"/>
    <x v="9"/>
    <x v="124"/>
    <x v="574"/>
    <n v="8"/>
    <x v="593"/>
  </r>
  <r>
    <d v="2019-05-18T00:00:00"/>
    <x v="0"/>
    <x v="4"/>
    <x v="83"/>
    <x v="1"/>
    <x v="2"/>
    <x v="2"/>
    <x v="532"/>
    <x v="575"/>
    <n v="3"/>
    <x v="594"/>
  </r>
  <r>
    <d v="2019-05-18T00:00:00"/>
    <x v="0"/>
    <x v="4"/>
    <x v="83"/>
    <x v="1"/>
    <x v="2"/>
    <x v="9"/>
    <x v="533"/>
    <x v="219"/>
    <n v="3"/>
    <x v="220"/>
  </r>
  <r>
    <d v="2019-05-19T00:00:00"/>
    <x v="0"/>
    <x v="4"/>
    <x v="269"/>
    <x v="18"/>
    <x v="0"/>
    <x v="11"/>
    <x v="222"/>
    <x v="576"/>
    <n v="2"/>
    <x v="595"/>
  </r>
  <r>
    <d v="2019-05-19T00:00:00"/>
    <x v="0"/>
    <x v="4"/>
    <x v="270"/>
    <x v="12"/>
    <x v="2"/>
    <x v="13"/>
    <x v="534"/>
    <x v="577"/>
    <n v="5"/>
    <x v="596"/>
  </r>
  <r>
    <d v="2019-05-19T00:00:00"/>
    <x v="0"/>
    <x v="4"/>
    <x v="270"/>
    <x v="12"/>
    <x v="2"/>
    <x v="2"/>
    <x v="535"/>
    <x v="578"/>
    <n v="5"/>
    <x v="72"/>
  </r>
  <r>
    <d v="2019-05-19T00:00:00"/>
    <x v="0"/>
    <x v="4"/>
    <x v="270"/>
    <x v="12"/>
    <x v="0"/>
    <x v="8"/>
    <x v="97"/>
    <x v="579"/>
    <n v="4"/>
    <x v="597"/>
  </r>
  <r>
    <d v="2019-05-19T00:00:00"/>
    <x v="0"/>
    <x v="4"/>
    <x v="270"/>
    <x v="12"/>
    <x v="0"/>
    <x v="8"/>
    <x v="27"/>
    <x v="580"/>
    <n v="8"/>
    <x v="598"/>
  </r>
  <r>
    <d v="2019-05-19T00:00:00"/>
    <x v="0"/>
    <x v="4"/>
    <x v="270"/>
    <x v="12"/>
    <x v="2"/>
    <x v="5"/>
    <x v="536"/>
    <x v="581"/>
    <n v="4"/>
    <x v="599"/>
  </r>
  <r>
    <d v="2019-05-19T00:00:00"/>
    <x v="0"/>
    <x v="4"/>
    <x v="271"/>
    <x v="1"/>
    <x v="2"/>
    <x v="5"/>
    <x v="537"/>
    <x v="582"/>
    <n v="1"/>
    <x v="600"/>
  </r>
  <r>
    <d v="2019-05-19T00:00:00"/>
    <x v="0"/>
    <x v="4"/>
    <x v="266"/>
    <x v="24"/>
    <x v="2"/>
    <x v="7"/>
    <x v="375"/>
    <x v="583"/>
    <n v="5"/>
    <x v="601"/>
  </r>
  <r>
    <d v="2019-05-19T00:00:00"/>
    <x v="0"/>
    <x v="4"/>
    <x v="272"/>
    <x v="1"/>
    <x v="2"/>
    <x v="13"/>
    <x v="512"/>
    <x v="584"/>
    <n v="8"/>
    <x v="602"/>
  </r>
  <r>
    <d v="2019-05-20T00:00:00"/>
    <x v="0"/>
    <x v="4"/>
    <x v="107"/>
    <x v="1"/>
    <x v="0"/>
    <x v="8"/>
    <x v="538"/>
    <x v="585"/>
    <n v="5"/>
    <x v="603"/>
  </r>
  <r>
    <d v="2019-05-20T00:00:00"/>
    <x v="0"/>
    <x v="4"/>
    <x v="107"/>
    <x v="1"/>
    <x v="2"/>
    <x v="5"/>
    <x v="539"/>
    <x v="586"/>
    <n v="4"/>
    <x v="604"/>
  </r>
  <r>
    <d v="2019-05-20T00:00:00"/>
    <x v="0"/>
    <x v="4"/>
    <x v="273"/>
    <x v="4"/>
    <x v="1"/>
    <x v="1"/>
    <x v="195"/>
    <x v="204"/>
    <n v="5"/>
    <x v="204"/>
  </r>
  <r>
    <d v="2019-05-20T00:00:00"/>
    <x v="0"/>
    <x v="4"/>
    <x v="152"/>
    <x v="6"/>
    <x v="2"/>
    <x v="5"/>
    <x v="312"/>
    <x v="587"/>
    <n v="2"/>
    <x v="605"/>
  </r>
  <r>
    <d v="2019-05-20T00:00:00"/>
    <x v="0"/>
    <x v="4"/>
    <x v="181"/>
    <x v="22"/>
    <x v="2"/>
    <x v="5"/>
    <x v="540"/>
    <x v="588"/>
    <n v="7"/>
    <x v="606"/>
  </r>
  <r>
    <d v="2019-05-21T00:00:00"/>
    <x v="0"/>
    <x v="4"/>
    <x v="256"/>
    <x v="1"/>
    <x v="1"/>
    <x v="1"/>
    <x v="541"/>
    <x v="60"/>
    <n v="3"/>
    <x v="607"/>
  </r>
  <r>
    <d v="2019-05-21T00:00:00"/>
    <x v="0"/>
    <x v="4"/>
    <x v="256"/>
    <x v="1"/>
    <x v="1"/>
    <x v="3"/>
    <x v="461"/>
    <x v="589"/>
    <n v="2"/>
    <x v="608"/>
  </r>
  <r>
    <d v="2019-05-21T00:00:00"/>
    <x v="0"/>
    <x v="4"/>
    <x v="274"/>
    <x v="31"/>
    <x v="1"/>
    <x v="15"/>
    <x v="542"/>
    <x v="590"/>
    <n v="10"/>
    <x v="609"/>
  </r>
  <r>
    <d v="2019-05-21T00:00:00"/>
    <x v="0"/>
    <x v="4"/>
    <x v="275"/>
    <x v="35"/>
    <x v="2"/>
    <x v="9"/>
    <x v="84"/>
    <x v="591"/>
    <n v="2"/>
    <x v="610"/>
  </r>
  <r>
    <d v="2019-05-21T00:00:00"/>
    <x v="0"/>
    <x v="4"/>
    <x v="276"/>
    <x v="2"/>
    <x v="2"/>
    <x v="5"/>
    <x v="543"/>
    <x v="592"/>
    <n v="2"/>
    <x v="611"/>
  </r>
  <r>
    <d v="2019-05-21T00:00:00"/>
    <x v="0"/>
    <x v="4"/>
    <x v="276"/>
    <x v="2"/>
    <x v="2"/>
    <x v="9"/>
    <x v="544"/>
    <x v="593"/>
    <n v="9"/>
    <x v="612"/>
  </r>
  <r>
    <d v="2019-05-21T00:00:00"/>
    <x v="0"/>
    <x v="4"/>
    <x v="277"/>
    <x v="17"/>
    <x v="2"/>
    <x v="5"/>
    <x v="545"/>
    <x v="594"/>
    <n v="3"/>
    <x v="613"/>
  </r>
  <r>
    <d v="2019-05-22T00:00:00"/>
    <x v="0"/>
    <x v="4"/>
    <x v="220"/>
    <x v="10"/>
    <x v="1"/>
    <x v="1"/>
    <x v="435"/>
    <x v="595"/>
    <n v="5"/>
    <x v="614"/>
  </r>
  <r>
    <d v="2019-05-22T00:00:00"/>
    <x v="0"/>
    <x v="4"/>
    <x v="220"/>
    <x v="10"/>
    <x v="0"/>
    <x v="4"/>
    <x v="472"/>
    <x v="596"/>
    <n v="2"/>
    <x v="615"/>
  </r>
  <r>
    <d v="2019-05-22T00:00:00"/>
    <x v="0"/>
    <x v="4"/>
    <x v="220"/>
    <x v="10"/>
    <x v="2"/>
    <x v="13"/>
    <x v="546"/>
    <x v="597"/>
    <n v="4"/>
    <x v="616"/>
  </r>
  <r>
    <d v="2019-05-22T00:00:00"/>
    <x v="0"/>
    <x v="4"/>
    <x v="220"/>
    <x v="10"/>
    <x v="1"/>
    <x v="3"/>
    <x v="547"/>
    <x v="598"/>
    <n v="5"/>
    <x v="617"/>
  </r>
  <r>
    <d v="2019-05-22T00:00:00"/>
    <x v="0"/>
    <x v="4"/>
    <x v="220"/>
    <x v="10"/>
    <x v="2"/>
    <x v="10"/>
    <x v="341"/>
    <x v="599"/>
    <n v="6"/>
    <x v="618"/>
  </r>
  <r>
    <d v="2019-05-22T00:00:00"/>
    <x v="0"/>
    <x v="4"/>
    <x v="220"/>
    <x v="10"/>
    <x v="1"/>
    <x v="1"/>
    <x v="548"/>
    <x v="600"/>
    <n v="2"/>
    <x v="619"/>
  </r>
  <r>
    <d v="2019-05-22T00:00:00"/>
    <x v="0"/>
    <x v="4"/>
    <x v="37"/>
    <x v="14"/>
    <x v="2"/>
    <x v="14"/>
    <x v="438"/>
    <x v="111"/>
    <n v="3"/>
    <x v="111"/>
  </r>
  <r>
    <d v="2019-05-22T00:00:00"/>
    <x v="0"/>
    <x v="4"/>
    <x v="278"/>
    <x v="1"/>
    <x v="1"/>
    <x v="1"/>
    <x v="549"/>
    <x v="601"/>
    <n v="2"/>
    <x v="620"/>
  </r>
  <r>
    <d v="2019-05-23T00:00:00"/>
    <x v="0"/>
    <x v="4"/>
    <x v="279"/>
    <x v="1"/>
    <x v="0"/>
    <x v="8"/>
    <x v="269"/>
    <x v="602"/>
    <n v="3"/>
    <x v="621"/>
  </r>
  <r>
    <d v="2019-05-23T00:00:00"/>
    <x v="0"/>
    <x v="4"/>
    <x v="280"/>
    <x v="17"/>
    <x v="1"/>
    <x v="1"/>
    <x v="550"/>
    <x v="603"/>
    <n v="9"/>
    <x v="622"/>
  </r>
  <r>
    <d v="2019-05-23T00:00:00"/>
    <x v="0"/>
    <x v="4"/>
    <x v="281"/>
    <x v="36"/>
    <x v="2"/>
    <x v="9"/>
    <x v="551"/>
    <x v="604"/>
    <n v="1"/>
    <x v="623"/>
  </r>
  <r>
    <d v="2019-05-23T00:00:00"/>
    <x v="0"/>
    <x v="4"/>
    <x v="282"/>
    <x v="5"/>
    <x v="1"/>
    <x v="6"/>
    <x v="552"/>
    <x v="605"/>
    <n v="4"/>
    <x v="624"/>
  </r>
  <r>
    <d v="2019-05-23T00:00:00"/>
    <x v="0"/>
    <x v="4"/>
    <x v="282"/>
    <x v="5"/>
    <x v="2"/>
    <x v="5"/>
    <x v="553"/>
    <x v="606"/>
    <n v="1"/>
    <x v="625"/>
  </r>
  <r>
    <d v="2019-05-23T00:00:00"/>
    <x v="0"/>
    <x v="4"/>
    <x v="282"/>
    <x v="5"/>
    <x v="2"/>
    <x v="9"/>
    <x v="554"/>
    <x v="286"/>
    <n v="2"/>
    <x v="288"/>
  </r>
  <r>
    <d v="2019-05-23T00:00:00"/>
    <x v="0"/>
    <x v="4"/>
    <x v="282"/>
    <x v="5"/>
    <x v="1"/>
    <x v="1"/>
    <x v="21"/>
    <x v="607"/>
    <n v="3"/>
    <x v="626"/>
  </r>
  <r>
    <d v="2019-05-24T00:00:00"/>
    <x v="0"/>
    <x v="4"/>
    <x v="181"/>
    <x v="18"/>
    <x v="2"/>
    <x v="16"/>
    <x v="555"/>
    <x v="608"/>
    <n v="5"/>
    <x v="627"/>
  </r>
  <r>
    <d v="2019-05-24T00:00:00"/>
    <x v="0"/>
    <x v="4"/>
    <x v="181"/>
    <x v="18"/>
    <x v="2"/>
    <x v="9"/>
    <x v="374"/>
    <x v="609"/>
    <n v="4"/>
    <x v="628"/>
  </r>
  <r>
    <d v="2019-05-24T00:00:00"/>
    <x v="0"/>
    <x v="4"/>
    <x v="283"/>
    <x v="5"/>
    <x v="2"/>
    <x v="7"/>
    <x v="556"/>
    <x v="610"/>
    <n v="3"/>
    <x v="629"/>
  </r>
  <r>
    <d v="2019-05-25T00:00:00"/>
    <x v="0"/>
    <x v="4"/>
    <x v="100"/>
    <x v="14"/>
    <x v="0"/>
    <x v="8"/>
    <x v="557"/>
    <x v="611"/>
    <n v="4"/>
    <x v="630"/>
  </r>
  <r>
    <d v="2019-05-25T00:00:00"/>
    <x v="0"/>
    <x v="4"/>
    <x v="100"/>
    <x v="14"/>
    <x v="2"/>
    <x v="9"/>
    <x v="558"/>
    <x v="612"/>
    <n v="2"/>
    <x v="631"/>
  </r>
  <r>
    <d v="2019-05-25T00:00:00"/>
    <x v="0"/>
    <x v="4"/>
    <x v="100"/>
    <x v="14"/>
    <x v="2"/>
    <x v="2"/>
    <x v="559"/>
    <x v="613"/>
    <n v="9"/>
    <x v="632"/>
  </r>
  <r>
    <d v="2019-05-26T00:00:00"/>
    <x v="0"/>
    <x v="4"/>
    <x v="284"/>
    <x v="2"/>
    <x v="2"/>
    <x v="9"/>
    <x v="16"/>
    <x v="286"/>
    <n v="2"/>
    <x v="288"/>
  </r>
  <r>
    <d v="2019-05-26T00:00:00"/>
    <x v="0"/>
    <x v="4"/>
    <x v="284"/>
    <x v="2"/>
    <x v="0"/>
    <x v="11"/>
    <x v="560"/>
    <x v="614"/>
    <n v="5"/>
    <x v="633"/>
  </r>
  <r>
    <d v="2019-05-26T00:00:00"/>
    <x v="0"/>
    <x v="4"/>
    <x v="284"/>
    <x v="2"/>
    <x v="2"/>
    <x v="9"/>
    <x v="533"/>
    <x v="335"/>
    <n v="3"/>
    <x v="517"/>
  </r>
  <r>
    <d v="2019-05-26T00:00:00"/>
    <x v="0"/>
    <x v="4"/>
    <x v="284"/>
    <x v="2"/>
    <x v="1"/>
    <x v="3"/>
    <x v="561"/>
    <x v="615"/>
    <n v="1"/>
    <x v="634"/>
  </r>
  <r>
    <d v="2019-05-26T00:00:00"/>
    <x v="0"/>
    <x v="4"/>
    <x v="31"/>
    <x v="37"/>
    <x v="2"/>
    <x v="9"/>
    <x v="562"/>
    <x v="390"/>
    <n v="3"/>
    <x v="397"/>
  </r>
  <r>
    <d v="2019-05-26T00:00:00"/>
    <x v="0"/>
    <x v="4"/>
    <x v="31"/>
    <x v="37"/>
    <x v="2"/>
    <x v="5"/>
    <x v="539"/>
    <x v="616"/>
    <n v="2"/>
    <x v="635"/>
  </r>
  <r>
    <d v="2019-05-26T00:00:00"/>
    <x v="0"/>
    <x v="4"/>
    <x v="31"/>
    <x v="37"/>
    <x v="2"/>
    <x v="9"/>
    <x v="563"/>
    <x v="617"/>
    <n v="2"/>
    <x v="636"/>
  </r>
  <r>
    <d v="2019-05-26T00:00:00"/>
    <x v="0"/>
    <x v="4"/>
    <x v="31"/>
    <x v="37"/>
    <x v="0"/>
    <x v="8"/>
    <x v="148"/>
    <x v="618"/>
    <n v="3"/>
    <x v="637"/>
  </r>
  <r>
    <d v="2019-05-26T00:00:00"/>
    <x v="0"/>
    <x v="4"/>
    <x v="258"/>
    <x v="5"/>
    <x v="2"/>
    <x v="7"/>
    <x v="564"/>
    <x v="619"/>
    <n v="1"/>
    <x v="638"/>
  </r>
  <r>
    <d v="2019-05-26T00:00:00"/>
    <x v="0"/>
    <x v="4"/>
    <x v="258"/>
    <x v="5"/>
    <x v="2"/>
    <x v="13"/>
    <x v="565"/>
    <x v="620"/>
    <n v="2"/>
    <x v="639"/>
  </r>
  <r>
    <d v="2019-05-26T00:00:00"/>
    <x v="0"/>
    <x v="4"/>
    <x v="285"/>
    <x v="1"/>
    <x v="2"/>
    <x v="12"/>
    <x v="566"/>
    <x v="621"/>
    <n v="3"/>
    <x v="72"/>
  </r>
  <r>
    <d v="2019-05-26T00:00:00"/>
    <x v="0"/>
    <x v="4"/>
    <x v="285"/>
    <x v="1"/>
    <x v="2"/>
    <x v="9"/>
    <x v="567"/>
    <x v="622"/>
    <n v="7"/>
    <x v="640"/>
  </r>
  <r>
    <d v="2019-05-26T00:00:00"/>
    <x v="0"/>
    <x v="4"/>
    <x v="285"/>
    <x v="1"/>
    <x v="1"/>
    <x v="1"/>
    <x v="568"/>
    <x v="623"/>
    <n v="4"/>
    <x v="641"/>
  </r>
  <r>
    <d v="2019-05-26T00:00:00"/>
    <x v="0"/>
    <x v="4"/>
    <x v="285"/>
    <x v="1"/>
    <x v="0"/>
    <x v="11"/>
    <x v="569"/>
    <x v="624"/>
    <n v="6"/>
    <x v="642"/>
  </r>
  <r>
    <d v="2019-05-26T00:00:00"/>
    <x v="0"/>
    <x v="4"/>
    <x v="285"/>
    <x v="1"/>
    <x v="1"/>
    <x v="15"/>
    <x v="570"/>
    <x v="625"/>
    <n v="3"/>
    <x v="643"/>
  </r>
  <r>
    <d v="2019-05-26T00:00:00"/>
    <x v="0"/>
    <x v="4"/>
    <x v="159"/>
    <x v="6"/>
    <x v="2"/>
    <x v="2"/>
    <x v="571"/>
    <x v="626"/>
    <n v="6"/>
    <x v="644"/>
  </r>
  <r>
    <d v="2019-05-26T00:00:00"/>
    <x v="0"/>
    <x v="4"/>
    <x v="159"/>
    <x v="6"/>
    <x v="1"/>
    <x v="3"/>
    <x v="572"/>
    <x v="627"/>
    <n v="2"/>
    <x v="645"/>
  </r>
  <r>
    <d v="2019-05-26T00:00:00"/>
    <x v="0"/>
    <x v="4"/>
    <x v="230"/>
    <x v="7"/>
    <x v="0"/>
    <x v="8"/>
    <x v="97"/>
    <x v="628"/>
    <n v="3"/>
    <x v="646"/>
  </r>
  <r>
    <d v="2019-05-27T00:00:00"/>
    <x v="0"/>
    <x v="4"/>
    <x v="11"/>
    <x v="25"/>
    <x v="0"/>
    <x v="11"/>
    <x v="371"/>
    <x v="629"/>
    <n v="5"/>
    <x v="647"/>
  </r>
  <r>
    <d v="2019-05-27T00:00:00"/>
    <x v="0"/>
    <x v="4"/>
    <x v="11"/>
    <x v="25"/>
    <x v="2"/>
    <x v="9"/>
    <x v="573"/>
    <x v="630"/>
    <n v="3"/>
    <x v="648"/>
  </r>
  <r>
    <d v="2019-05-27T00:00:00"/>
    <x v="0"/>
    <x v="4"/>
    <x v="11"/>
    <x v="25"/>
    <x v="2"/>
    <x v="9"/>
    <x v="574"/>
    <x v="631"/>
    <n v="3"/>
    <x v="649"/>
  </r>
  <r>
    <d v="2019-05-27T00:00:00"/>
    <x v="0"/>
    <x v="4"/>
    <x v="286"/>
    <x v="17"/>
    <x v="0"/>
    <x v="8"/>
    <x v="575"/>
    <x v="632"/>
    <n v="3"/>
    <x v="650"/>
  </r>
  <r>
    <d v="2019-05-27T00:00:00"/>
    <x v="0"/>
    <x v="4"/>
    <x v="286"/>
    <x v="17"/>
    <x v="0"/>
    <x v="8"/>
    <x v="576"/>
    <x v="633"/>
    <n v="2"/>
    <x v="651"/>
  </r>
  <r>
    <d v="2019-05-27T00:00:00"/>
    <x v="0"/>
    <x v="4"/>
    <x v="286"/>
    <x v="17"/>
    <x v="2"/>
    <x v="2"/>
    <x v="152"/>
    <x v="634"/>
    <n v="9"/>
    <x v="652"/>
  </r>
  <r>
    <d v="2019-05-27T00:00:00"/>
    <x v="0"/>
    <x v="4"/>
    <x v="287"/>
    <x v="1"/>
    <x v="2"/>
    <x v="9"/>
    <x v="577"/>
    <x v="635"/>
    <n v="2"/>
    <x v="653"/>
  </r>
  <r>
    <d v="2019-05-28T00:00:00"/>
    <x v="0"/>
    <x v="4"/>
    <x v="288"/>
    <x v="16"/>
    <x v="2"/>
    <x v="7"/>
    <x v="578"/>
    <x v="636"/>
    <n v="6"/>
    <x v="654"/>
  </r>
  <r>
    <d v="2019-05-28T00:00:00"/>
    <x v="0"/>
    <x v="4"/>
    <x v="289"/>
    <x v="6"/>
    <x v="0"/>
    <x v="11"/>
    <x v="579"/>
    <x v="637"/>
    <n v="8"/>
    <x v="655"/>
  </r>
  <r>
    <d v="2019-05-28T00:00:00"/>
    <x v="0"/>
    <x v="4"/>
    <x v="289"/>
    <x v="6"/>
    <x v="2"/>
    <x v="9"/>
    <x v="580"/>
    <x v="638"/>
    <n v="13"/>
    <x v="656"/>
  </r>
  <r>
    <d v="2019-05-28T00:00:00"/>
    <x v="0"/>
    <x v="4"/>
    <x v="244"/>
    <x v="1"/>
    <x v="2"/>
    <x v="13"/>
    <x v="581"/>
    <x v="639"/>
    <n v="2"/>
    <x v="657"/>
  </r>
  <r>
    <d v="2019-05-28T00:00:00"/>
    <x v="0"/>
    <x v="4"/>
    <x v="244"/>
    <x v="1"/>
    <x v="2"/>
    <x v="9"/>
    <x v="582"/>
    <x v="640"/>
    <n v="8"/>
    <x v="658"/>
  </r>
  <r>
    <d v="2019-05-28T00:00:00"/>
    <x v="0"/>
    <x v="4"/>
    <x v="244"/>
    <x v="1"/>
    <x v="1"/>
    <x v="3"/>
    <x v="3"/>
    <x v="641"/>
    <n v="7"/>
    <x v="659"/>
  </r>
  <r>
    <d v="2019-05-28T00:00:00"/>
    <x v="0"/>
    <x v="4"/>
    <x v="244"/>
    <x v="1"/>
    <x v="2"/>
    <x v="5"/>
    <x v="285"/>
    <x v="434"/>
    <n v="4"/>
    <x v="660"/>
  </r>
  <r>
    <d v="2019-05-28T00:00:00"/>
    <x v="0"/>
    <x v="4"/>
    <x v="244"/>
    <x v="1"/>
    <x v="1"/>
    <x v="15"/>
    <x v="583"/>
    <x v="642"/>
    <n v="2"/>
    <x v="661"/>
  </r>
  <r>
    <d v="2019-05-28T00:00:00"/>
    <x v="0"/>
    <x v="4"/>
    <x v="124"/>
    <x v="12"/>
    <x v="2"/>
    <x v="16"/>
    <x v="407"/>
    <x v="441"/>
    <n v="5"/>
    <x v="449"/>
  </r>
  <r>
    <d v="2019-05-28T00:00:00"/>
    <x v="0"/>
    <x v="4"/>
    <x v="213"/>
    <x v="17"/>
    <x v="1"/>
    <x v="1"/>
    <x v="584"/>
    <x v="643"/>
    <n v="1"/>
    <x v="662"/>
  </r>
  <r>
    <d v="2019-05-29T00:00:00"/>
    <x v="0"/>
    <x v="4"/>
    <x v="290"/>
    <x v="36"/>
    <x v="1"/>
    <x v="1"/>
    <x v="585"/>
    <x v="644"/>
    <n v="5"/>
    <x v="663"/>
  </r>
  <r>
    <d v="2019-05-29T00:00:00"/>
    <x v="0"/>
    <x v="4"/>
    <x v="290"/>
    <x v="36"/>
    <x v="2"/>
    <x v="5"/>
    <x v="93"/>
    <x v="645"/>
    <n v="5"/>
    <x v="664"/>
  </r>
  <r>
    <d v="2019-05-29T00:00:00"/>
    <x v="0"/>
    <x v="4"/>
    <x v="162"/>
    <x v="21"/>
    <x v="2"/>
    <x v="5"/>
    <x v="367"/>
    <x v="646"/>
    <n v="3"/>
    <x v="665"/>
  </r>
  <r>
    <d v="2019-05-29T00:00:00"/>
    <x v="0"/>
    <x v="4"/>
    <x v="162"/>
    <x v="21"/>
    <x v="2"/>
    <x v="7"/>
    <x v="586"/>
    <x v="647"/>
    <n v="2"/>
    <x v="666"/>
  </r>
  <r>
    <d v="2019-05-29T00:00:00"/>
    <x v="0"/>
    <x v="4"/>
    <x v="162"/>
    <x v="21"/>
    <x v="0"/>
    <x v="8"/>
    <x v="587"/>
    <x v="648"/>
    <n v="3"/>
    <x v="667"/>
  </r>
  <r>
    <d v="2019-05-30T00:00:00"/>
    <x v="0"/>
    <x v="4"/>
    <x v="291"/>
    <x v="22"/>
    <x v="2"/>
    <x v="5"/>
    <x v="456"/>
    <x v="649"/>
    <n v="2"/>
    <x v="668"/>
  </r>
  <r>
    <d v="2019-05-30T00:00:00"/>
    <x v="0"/>
    <x v="4"/>
    <x v="291"/>
    <x v="22"/>
    <x v="2"/>
    <x v="5"/>
    <x v="588"/>
    <x v="650"/>
    <n v="2"/>
    <x v="669"/>
  </r>
  <r>
    <d v="2019-05-30T00:00:00"/>
    <x v="0"/>
    <x v="4"/>
    <x v="291"/>
    <x v="22"/>
    <x v="0"/>
    <x v="11"/>
    <x v="589"/>
    <x v="651"/>
    <n v="2"/>
    <x v="670"/>
  </r>
  <r>
    <d v="2019-05-30T00:00:00"/>
    <x v="0"/>
    <x v="4"/>
    <x v="291"/>
    <x v="22"/>
    <x v="2"/>
    <x v="5"/>
    <x v="346"/>
    <x v="652"/>
    <n v="3"/>
    <x v="671"/>
  </r>
  <r>
    <d v="2019-05-30T00:00:00"/>
    <x v="0"/>
    <x v="4"/>
    <x v="291"/>
    <x v="22"/>
    <x v="2"/>
    <x v="9"/>
    <x v="107"/>
    <x v="653"/>
    <n v="1"/>
    <x v="672"/>
  </r>
  <r>
    <d v="2019-05-30T00:00:00"/>
    <x v="0"/>
    <x v="4"/>
    <x v="292"/>
    <x v="4"/>
    <x v="2"/>
    <x v="5"/>
    <x v="590"/>
    <x v="654"/>
    <n v="2"/>
    <x v="673"/>
  </r>
  <r>
    <d v="2019-05-30T00:00:00"/>
    <x v="0"/>
    <x v="4"/>
    <x v="293"/>
    <x v="8"/>
    <x v="1"/>
    <x v="6"/>
    <x v="591"/>
    <x v="655"/>
    <n v="2"/>
    <x v="674"/>
  </r>
  <r>
    <d v="2019-05-30T00:00:00"/>
    <x v="0"/>
    <x v="4"/>
    <x v="272"/>
    <x v="18"/>
    <x v="0"/>
    <x v="4"/>
    <x v="592"/>
    <x v="656"/>
    <n v="10"/>
    <x v="675"/>
  </r>
  <r>
    <d v="2019-05-30T00:00:00"/>
    <x v="0"/>
    <x v="4"/>
    <x v="272"/>
    <x v="18"/>
    <x v="1"/>
    <x v="3"/>
    <x v="593"/>
    <x v="657"/>
    <n v="6"/>
    <x v="676"/>
  </r>
  <r>
    <d v="2019-05-30T00:00:00"/>
    <x v="0"/>
    <x v="4"/>
    <x v="272"/>
    <x v="18"/>
    <x v="2"/>
    <x v="14"/>
    <x v="307"/>
    <x v="658"/>
    <n v="6"/>
    <x v="677"/>
  </r>
  <r>
    <d v="2019-05-30T00:00:00"/>
    <x v="0"/>
    <x v="4"/>
    <x v="294"/>
    <x v="8"/>
    <x v="2"/>
    <x v="13"/>
    <x v="220"/>
    <x v="659"/>
    <n v="5"/>
    <x v="678"/>
  </r>
  <r>
    <d v="2019-05-30T00:00:00"/>
    <x v="0"/>
    <x v="4"/>
    <x v="295"/>
    <x v="1"/>
    <x v="2"/>
    <x v="9"/>
    <x v="594"/>
    <x v="660"/>
    <n v="6"/>
    <x v="679"/>
  </r>
  <r>
    <d v="2019-05-30T00:00:00"/>
    <x v="0"/>
    <x v="4"/>
    <x v="296"/>
    <x v="7"/>
    <x v="2"/>
    <x v="13"/>
    <x v="595"/>
    <x v="661"/>
    <n v="3"/>
    <x v="680"/>
  </r>
  <r>
    <d v="2019-05-30T00:00:00"/>
    <x v="0"/>
    <x v="4"/>
    <x v="296"/>
    <x v="7"/>
    <x v="0"/>
    <x v="8"/>
    <x v="218"/>
    <x v="662"/>
    <n v="5"/>
    <x v="681"/>
  </r>
  <r>
    <d v="2019-05-30T00:00:00"/>
    <x v="0"/>
    <x v="4"/>
    <x v="296"/>
    <x v="7"/>
    <x v="2"/>
    <x v="2"/>
    <x v="596"/>
    <x v="663"/>
    <n v="4"/>
    <x v="682"/>
  </r>
  <r>
    <d v="2019-05-30T00:00:00"/>
    <x v="0"/>
    <x v="4"/>
    <x v="296"/>
    <x v="7"/>
    <x v="2"/>
    <x v="7"/>
    <x v="586"/>
    <x v="664"/>
    <n v="2"/>
    <x v="683"/>
  </r>
  <r>
    <d v="2019-05-30T00:00:00"/>
    <x v="0"/>
    <x v="4"/>
    <x v="296"/>
    <x v="7"/>
    <x v="2"/>
    <x v="9"/>
    <x v="574"/>
    <x v="665"/>
    <n v="6"/>
    <x v="684"/>
  </r>
  <r>
    <d v="2019-05-30T00:00:00"/>
    <x v="0"/>
    <x v="4"/>
    <x v="296"/>
    <x v="7"/>
    <x v="2"/>
    <x v="7"/>
    <x v="597"/>
    <x v="666"/>
    <n v="5"/>
    <x v="685"/>
  </r>
  <r>
    <d v="2019-05-30T00:00:00"/>
    <x v="0"/>
    <x v="4"/>
    <x v="296"/>
    <x v="7"/>
    <x v="2"/>
    <x v="9"/>
    <x v="598"/>
    <x v="622"/>
    <n v="7"/>
    <x v="640"/>
  </r>
  <r>
    <d v="2019-05-30T00:00:00"/>
    <x v="0"/>
    <x v="4"/>
    <x v="296"/>
    <x v="7"/>
    <x v="1"/>
    <x v="1"/>
    <x v="599"/>
    <x v="667"/>
    <n v="1"/>
    <x v="686"/>
  </r>
  <r>
    <d v="2019-05-30T00:00:00"/>
    <x v="0"/>
    <x v="4"/>
    <x v="90"/>
    <x v="1"/>
    <x v="0"/>
    <x v="8"/>
    <x v="575"/>
    <x v="668"/>
    <n v="8"/>
    <x v="687"/>
  </r>
  <r>
    <d v="2019-05-30T00:00:00"/>
    <x v="0"/>
    <x v="4"/>
    <x v="184"/>
    <x v="18"/>
    <x v="2"/>
    <x v="10"/>
    <x v="600"/>
    <x v="669"/>
    <n v="9"/>
    <x v="688"/>
  </r>
  <r>
    <d v="2019-05-30T00:00:00"/>
    <x v="0"/>
    <x v="4"/>
    <x v="184"/>
    <x v="18"/>
    <x v="1"/>
    <x v="3"/>
    <x v="601"/>
    <x v="670"/>
    <n v="2"/>
    <x v="689"/>
  </r>
  <r>
    <d v="2019-05-30T00:00:00"/>
    <x v="0"/>
    <x v="4"/>
    <x v="297"/>
    <x v="2"/>
    <x v="1"/>
    <x v="1"/>
    <x v="602"/>
    <x v="671"/>
    <n v="5"/>
    <x v="690"/>
  </r>
  <r>
    <d v="2019-05-30T00:00:00"/>
    <x v="0"/>
    <x v="4"/>
    <x v="297"/>
    <x v="2"/>
    <x v="1"/>
    <x v="3"/>
    <x v="601"/>
    <x v="672"/>
    <n v="5"/>
    <x v="691"/>
  </r>
  <r>
    <d v="2019-05-31T00:00:00"/>
    <x v="0"/>
    <x v="4"/>
    <x v="191"/>
    <x v="17"/>
    <x v="0"/>
    <x v="8"/>
    <x v="603"/>
    <x v="673"/>
    <n v="3"/>
    <x v="692"/>
  </r>
  <r>
    <d v="2019-05-31T00:00:00"/>
    <x v="0"/>
    <x v="4"/>
    <x v="191"/>
    <x v="17"/>
    <x v="2"/>
    <x v="9"/>
    <x v="604"/>
    <x v="674"/>
    <n v="4"/>
    <x v="693"/>
  </r>
  <r>
    <d v="2019-05-31T00:00:00"/>
    <x v="0"/>
    <x v="4"/>
    <x v="191"/>
    <x v="17"/>
    <x v="0"/>
    <x v="11"/>
    <x v="605"/>
    <x v="675"/>
    <n v="3"/>
    <x v="694"/>
  </r>
  <r>
    <d v="2019-05-31T00:00:00"/>
    <x v="0"/>
    <x v="4"/>
    <x v="191"/>
    <x v="17"/>
    <x v="2"/>
    <x v="9"/>
    <x v="16"/>
    <x v="286"/>
    <n v="2"/>
    <x v="288"/>
  </r>
  <r>
    <d v="2019-05-31T00:00:00"/>
    <x v="0"/>
    <x v="4"/>
    <x v="8"/>
    <x v="12"/>
    <x v="2"/>
    <x v="5"/>
    <x v="606"/>
    <x v="676"/>
    <n v="3"/>
    <x v="695"/>
  </r>
  <r>
    <d v="2019-05-31T00:00:00"/>
    <x v="0"/>
    <x v="4"/>
    <x v="8"/>
    <x v="12"/>
    <x v="1"/>
    <x v="1"/>
    <x v="607"/>
    <x v="677"/>
    <n v="6"/>
    <x v="696"/>
  </r>
  <r>
    <d v="2019-06-02T00:00:00"/>
    <x v="0"/>
    <x v="5"/>
    <x v="298"/>
    <x v="5"/>
    <x v="2"/>
    <x v="2"/>
    <x v="139"/>
    <x v="678"/>
    <n v="1"/>
    <x v="697"/>
  </r>
  <r>
    <d v="2019-06-02T00:00:00"/>
    <x v="0"/>
    <x v="5"/>
    <x v="124"/>
    <x v="9"/>
    <x v="2"/>
    <x v="9"/>
    <x v="608"/>
    <x v="679"/>
    <n v="3"/>
    <x v="698"/>
  </r>
  <r>
    <d v="2019-06-02T00:00:00"/>
    <x v="0"/>
    <x v="5"/>
    <x v="124"/>
    <x v="9"/>
    <x v="2"/>
    <x v="5"/>
    <x v="609"/>
    <x v="680"/>
    <n v="12"/>
    <x v="699"/>
  </r>
  <r>
    <d v="2019-06-02T00:00:00"/>
    <x v="0"/>
    <x v="5"/>
    <x v="124"/>
    <x v="9"/>
    <x v="2"/>
    <x v="5"/>
    <x v="610"/>
    <x v="681"/>
    <n v="3"/>
    <x v="700"/>
  </r>
  <r>
    <d v="2019-06-03T00:00:00"/>
    <x v="0"/>
    <x v="5"/>
    <x v="275"/>
    <x v="1"/>
    <x v="0"/>
    <x v="4"/>
    <x v="474"/>
    <x v="509"/>
    <n v="2"/>
    <x v="523"/>
  </r>
  <r>
    <d v="2019-06-04T00:00:00"/>
    <x v="0"/>
    <x v="5"/>
    <x v="87"/>
    <x v="18"/>
    <x v="2"/>
    <x v="9"/>
    <x v="611"/>
    <x v="682"/>
    <n v="2"/>
    <x v="701"/>
  </r>
  <r>
    <d v="2019-06-04T00:00:00"/>
    <x v="0"/>
    <x v="5"/>
    <x v="280"/>
    <x v="17"/>
    <x v="2"/>
    <x v="9"/>
    <x v="612"/>
    <x v="17"/>
    <n v="5"/>
    <x v="702"/>
  </r>
  <r>
    <d v="2019-06-04T00:00:00"/>
    <x v="0"/>
    <x v="5"/>
    <x v="280"/>
    <x v="17"/>
    <x v="0"/>
    <x v="8"/>
    <x v="538"/>
    <x v="683"/>
    <n v="5"/>
    <x v="703"/>
  </r>
  <r>
    <d v="2019-06-04T00:00:00"/>
    <x v="0"/>
    <x v="5"/>
    <x v="280"/>
    <x v="17"/>
    <x v="0"/>
    <x v="8"/>
    <x v="490"/>
    <x v="684"/>
    <n v="3"/>
    <x v="704"/>
  </r>
  <r>
    <d v="2019-06-04T00:00:00"/>
    <x v="0"/>
    <x v="5"/>
    <x v="280"/>
    <x v="17"/>
    <x v="1"/>
    <x v="1"/>
    <x v="613"/>
    <x v="323"/>
    <n v="2"/>
    <x v="705"/>
  </r>
  <r>
    <d v="2019-06-04T00:00:00"/>
    <x v="0"/>
    <x v="5"/>
    <x v="280"/>
    <x v="17"/>
    <x v="0"/>
    <x v="4"/>
    <x v="614"/>
    <x v="685"/>
    <n v="5"/>
    <x v="706"/>
  </r>
  <r>
    <d v="2019-06-04T00:00:00"/>
    <x v="0"/>
    <x v="5"/>
    <x v="280"/>
    <x v="17"/>
    <x v="0"/>
    <x v="8"/>
    <x v="615"/>
    <x v="686"/>
    <n v="3"/>
    <x v="707"/>
  </r>
  <r>
    <d v="2019-06-04T00:00:00"/>
    <x v="0"/>
    <x v="5"/>
    <x v="280"/>
    <x v="17"/>
    <x v="2"/>
    <x v="7"/>
    <x v="616"/>
    <x v="687"/>
    <n v="2"/>
    <x v="708"/>
  </r>
  <r>
    <d v="2019-06-04T00:00:00"/>
    <x v="0"/>
    <x v="5"/>
    <x v="299"/>
    <x v="12"/>
    <x v="2"/>
    <x v="9"/>
    <x v="84"/>
    <x v="688"/>
    <n v="3"/>
    <x v="709"/>
  </r>
  <r>
    <d v="2019-06-04T00:00:00"/>
    <x v="0"/>
    <x v="5"/>
    <x v="299"/>
    <x v="12"/>
    <x v="1"/>
    <x v="15"/>
    <x v="617"/>
    <x v="689"/>
    <n v="3"/>
    <x v="710"/>
  </r>
  <r>
    <d v="2019-06-04T00:00:00"/>
    <x v="0"/>
    <x v="5"/>
    <x v="299"/>
    <x v="12"/>
    <x v="0"/>
    <x v="0"/>
    <x v="618"/>
    <x v="690"/>
    <n v="1"/>
    <x v="711"/>
  </r>
  <r>
    <d v="2019-06-04T00:00:00"/>
    <x v="0"/>
    <x v="5"/>
    <x v="299"/>
    <x v="12"/>
    <x v="0"/>
    <x v="8"/>
    <x v="619"/>
    <x v="691"/>
    <n v="4"/>
    <x v="712"/>
  </r>
  <r>
    <d v="2019-06-05T00:00:00"/>
    <x v="0"/>
    <x v="5"/>
    <x v="300"/>
    <x v="5"/>
    <x v="2"/>
    <x v="2"/>
    <x v="620"/>
    <x v="692"/>
    <n v="4"/>
    <x v="713"/>
  </r>
  <r>
    <d v="2019-06-05T00:00:00"/>
    <x v="0"/>
    <x v="5"/>
    <x v="300"/>
    <x v="5"/>
    <x v="2"/>
    <x v="14"/>
    <x v="453"/>
    <x v="51"/>
    <n v="3"/>
    <x v="714"/>
  </r>
  <r>
    <d v="2019-06-05T00:00:00"/>
    <x v="0"/>
    <x v="5"/>
    <x v="301"/>
    <x v="23"/>
    <x v="2"/>
    <x v="2"/>
    <x v="152"/>
    <x v="693"/>
    <n v="2"/>
    <x v="715"/>
  </r>
  <r>
    <d v="2019-06-05T00:00:00"/>
    <x v="0"/>
    <x v="5"/>
    <x v="301"/>
    <x v="23"/>
    <x v="2"/>
    <x v="7"/>
    <x v="621"/>
    <x v="484"/>
    <n v="2"/>
    <x v="716"/>
  </r>
  <r>
    <d v="2019-06-05T00:00:00"/>
    <x v="0"/>
    <x v="5"/>
    <x v="301"/>
    <x v="23"/>
    <x v="2"/>
    <x v="14"/>
    <x v="622"/>
    <x v="688"/>
    <n v="3"/>
    <x v="717"/>
  </r>
  <r>
    <d v="2019-06-05T00:00:00"/>
    <x v="0"/>
    <x v="5"/>
    <x v="302"/>
    <x v="1"/>
    <x v="2"/>
    <x v="5"/>
    <x v="312"/>
    <x v="694"/>
    <n v="6"/>
    <x v="718"/>
  </r>
  <r>
    <d v="2019-06-05T00:00:00"/>
    <x v="0"/>
    <x v="5"/>
    <x v="302"/>
    <x v="1"/>
    <x v="2"/>
    <x v="13"/>
    <x v="623"/>
    <x v="695"/>
    <n v="4"/>
    <x v="719"/>
  </r>
  <r>
    <d v="2019-06-05T00:00:00"/>
    <x v="0"/>
    <x v="5"/>
    <x v="303"/>
    <x v="9"/>
    <x v="2"/>
    <x v="16"/>
    <x v="624"/>
    <x v="696"/>
    <n v="6"/>
    <x v="720"/>
  </r>
  <r>
    <d v="2019-06-06T00:00:00"/>
    <x v="0"/>
    <x v="5"/>
    <x v="19"/>
    <x v="17"/>
    <x v="1"/>
    <x v="1"/>
    <x v="470"/>
    <x v="697"/>
    <n v="4"/>
    <x v="721"/>
  </r>
  <r>
    <d v="2019-06-06T00:00:00"/>
    <x v="0"/>
    <x v="5"/>
    <x v="138"/>
    <x v="26"/>
    <x v="2"/>
    <x v="2"/>
    <x v="625"/>
    <x v="698"/>
    <n v="5"/>
    <x v="722"/>
  </r>
  <r>
    <d v="2019-06-06T00:00:00"/>
    <x v="0"/>
    <x v="5"/>
    <x v="304"/>
    <x v="26"/>
    <x v="2"/>
    <x v="9"/>
    <x v="29"/>
    <x v="699"/>
    <n v="4"/>
    <x v="90"/>
  </r>
  <r>
    <d v="2019-06-06T00:00:00"/>
    <x v="0"/>
    <x v="5"/>
    <x v="118"/>
    <x v="33"/>
    <x v="1"/>
    <x v="3"/>
    <x v="320"/>
    <x v="700"/>
    <n v="6"/>
    <x v="723"/>
  </r>
  <r>
    <d v="2019-06-06T00:00:00"/>
    <x v="0"/>
    <x v="5"/>
    <x v="118"/>
    <x v="33"/>
    <x v="1"/>
    <x v="3"/>
    <x v="214"/>
    <x v="225"/>
    <n v="3"/>
    <x v="226"/>
  </r>
  <r>
    <d v="2019-06-06T00:00:00"/>
    <x v="0"/>
    <x v="5"/>
    <x v="118"/>
    <x v="33"/>
    <x v="1"/>
    <x v="3"/>
    <x v="431"/>
    <x v="701"/>
    <n v="3"/>
    <x v="724"/>
  </r>
  <r>
    <d v="2019-06-06T00:00:00"/>
    <x v="0"/>
    <x v="5"/>
    <x v="118"/>
    <x v="33"/>
    <x v="2"/>
    <x v="9"/>
    <x v="626"/>
    <x v="702"/>
    <n v="3"/>
    <x v="725"/>
  </r>
  <r>
    <d v="2019-06-06T00:00:00"/>
    <x v="0"/>
    <x v="5"/>
    <x v="118"/>
    <x v="33"/>
    <x v="2"/>
    <x v="5"/>
    <x v="627"/>
    <x v="703"/>
    <n v="3"/>
    <x v="726"/>
  </r>
  <r>
    <d v="2019-06-06T00:00:00"/>
    <x v="0"/>
    <x v="5"/>
    <x v="118"/>
    <x v="33"/>
    <x v="2"/>
    <x v="5"/>
    <x v="401"/>
    <x v="704"/>
    <n v="3"/>
    <x v="727"/>
  </r>
  <r>
    <d v="2019-06-06T00:00:00"/>
    <x v="0"/>
    <x v="5"/>
    <x v="118"/>
    <x v="33"/>
    <x v="2"/>
    <x v="9"/>
    <x v="628"/>
    <x v="56"/>
    <n v="2"/>
    <x v="56"/>
  </r>
  <r>
    <d v="2019-06-06T00:00:00"/>
    <x v="0"/>
    <x v="5"/>
    <x v="197"/>
    <x v="1"/>
    <x v="2"/>
    <x v="14"/>
    <x v="629"/>
    <x v="705"/>
    <n v="7"/>
    <x v="728"/>
  </r>
  <r>
    <d v="2019-06-06T00:00:00"/>
    <x v="0"/>
    <x v="5"/>
    <x v="197"/>
    <x v="1"/>
    <x v="2"/>
    <x v="9"/>
    <x v="630"/>
    <x v="706"/>
    <n v="5"/>
    <x v="729"/>
  </r>
  <r>
    <d v="2019-06-06T00:00:00"/>
    <x v="0"/>
    <x v="5"/>
    <x v="156"/>
    <x v="1"/>
    <x v="1"/>
    <x v="1"/>
    <x v="631"/>
    <x v="707"/>
    <n v="9"/>
    <x v="730"/>
  </r>
  <r>
    <d v="2019-06-06T00:00:00"/>
    <x v="0"/>
    <x v="5"/>
    <x v="156"/>
    <x v="1"/>
    <x v="1"/>
    <x v="3"/>
    <x v="632"/>
    <x v="708"/>
    <n v="2"/>
    <x v="731"/>
  </r>
  <r>
    <d v="2019-06-06T00:00:00"/>
    <x v="0"/>
    <x v="5"/>
    <x v="156"/>
    <x v="1"/>
    <x v="1"/>
    <x v="1"/>
    <x v="633"/>
    <x v="709"/>
    <n v="3"/>
    <x v="732"/>
  </r>
  <r>
    <d v="2019-06-06T00:00:00"/>
    <x v="0"/>
    <x v="5"/>
    <x v="305"/>
    <x v="8"/>
    <x v="0"/>
    <x v="8"/>
    <x v="257"/>
    <x v="710"/>
    <n v="3"/>
    <x v="733"/>
  </r>
  <r>
    <d v="2019-06-06T00:00:00"/>
    <x v="0"/>
    <x v="5"/>
    <x v="305"/>
    <x v="8"/>
    <x v="0"/>
    <x v="8"/>
    <x v="634"/>
    <x v="348"/>
    <n v="2"/>
    <x v="72"/>
  </r>
  <r>
    <d v="2019-06-07T00:00:00"/>
    <x v="0"/>
    <x v="5"/>
    <x v="65"/>
    <x v="12"/>
    <x v="2"/>
    <x v="9"/>
    <x v="433"/>
    <x v="711"/>
    <n v="5"/>
    <x v="734"/>
  </r>
  <r>
    <d v="2019-06-07T00:00:00"/>
    <x v="0"/>
    <x v="5"/>
    <x v="306"/>
    <x v="1"/>
    <x v="2"/>
    <x v="5"/>
    <x v="309"/>
    <x v="712"/>
    <n v="1"/>
    <x v="735"/>
  </r>
  <r>
    <d v="2019-06-07T00:00:00"/>
    <x v="0"/>
    <x v="5"/>
    <x v="306"/>
    <x v="1"/>
    <x v="2"/>
    <x v="9"/>
    <x v="635"/>
    <x v="713"/>
    <n v="1"/>
    <x v="736"/>
  </r>
  <r>
    <d v="2019-06-07T00:00:00"/>
    <x v="0"/>
    <x v="5"/>
    <x v="307"/>
    <x v="5"/>
    <x v="2"/>
    <x v="12"/>
    <x v="373"/>
    <x v="714"/>
    <n v="6"/>
    <x v="737"/>
  </r>
  <r>
    <d v="2019-06-09T00:00:00"/>
    <x v="0"/>
    <x v="5"/>
    <x v="308"/>
    <x v="1"/>
    <x v="1"/>
    <x v="1"/>
    <x v="478"/>
    <x v="513"/>
    <n v="3"/>
    <x v="527"/>
  </r>
  <r>
    <d v="2019-06-09T00:00:00"/>
    <x v="0"/>
    <x v="5"/>
    <x v="309"/>
    <x v="6"/>
    <x v="1"/>
    <x v="15"/>
    <x v="636"/>
    <x v="715"/>
    <n v="2"/>
    <x v="738"/>
  </r>
  <r>
    <d v="2019-06-09T00:00:00"/>
    <x v="0"/>
    <x v="5"/>
    <x v="152"/>
    <x v="1"/>
    <x v="0"/>
    <x v="11"/>
    <x v="637"/>
    <x v="716"/>
    <n v="3"/>
    <x v="739"/>
  </r>
  <r>
    <d v="2019-06-09T00:00:00"/>
    <x v="0"/>
    <x v="5"/>
    <x v="310"/>
    <x v="27"/>
    <x v="0"/>
    <x v="4"/>
    <x v="638"/>
    <x v="717"/>
    <n v="3"/>
    <x v="740"/>
  </r>
  <r>
    <d v="2019-06-10T00:00:00"/>
    <x v="0"/>
    <x v="5"/>
    <x v="311"/>
    <x v="1"/>
    <x v="2"/>
    <x v="14"/>
    <x v="307"/>
    <x v="333"/>
    <n v="2"/>
    <x v="336"/>
  </r>
  <r>
    <d v="2019-06-10T00:00:00"/>
    <x v="0"/>
    <x v="5"/>
    <x v="311"/>
    <x v="1"/>
    <x v="0"/>
    <x v="4"/>
    <x v="82"/>
    <x v="718"/>
    <n v="4"/>
    <x v="741"/>
  </r>
  <r>
    <d v="2019-06-10T00:00:00"/>
    <x v="0"/>
    <x v="5"/>
    <x v="311"/>
    <x v="1"/>
    <x v="2"/>
    <x v="9"/>
    <x v="433"/>
    <x v="711"/>
    <n v="5"/>
    <x v="734"/>
  </r>
  <r>
    <d v="2019-06-10T00:00:00"/>
    <x v="0"/>
    <x v="5"/>
    <x v="14"/>
    <x v="5"/>
    <x v="2"/>
    <x v="14"/>
    <x v="639"/>
    <x v="719"/>
    <n v="8"/>
    <x v="742"/>
  </r>
  <r>
    <d v="2019-06-11T00:00:00"/>
    <x v="0"/>
    <x v="5"/>
    <x v="312"/>
    <x v="2"/>
    <x v="2"/>
    <x v="5"/>
    <x v="471"/>
    <x v="293"/>
    <n v="4"/>
    <x v="743"/>
  </r>
  <r>
    <d v="2019-06-11T00:00:00"/>
    <x v="0"/>
    <x v="5"/>
    <x v="312"/>
    <x v="2"/>
    <x v="2"/>
    <x v="5"/>
    <x v="640"/>
    <x v="720"/>
    <n v="4"/>
    <x v="744"/>
  </r>
  <r>
    <d v="2019-06-11T00:00:00"/>
    <x v="0"/>
    <x v="5"/>
    <x v="312"/>
    <x v="2"/>
    <x v="0"/>
    <x v="8"/>
    <x v="641"/>
    <x v="721"/>
    <n v="7"/>
    <x v="745"/>
  </r>
  <r>
    <d v="2019-06-11T00:00:00"/>
    <x v="0"/>
    <x v="5"/>
    <x v="313"/>
    <x v="12"/>
    <x v="1"/>
    <x v="3"/>
    <x v="642"/>
    <x v="722"/>
    <n v="3"/>
    <x v="746"/>
  </r>
  <r>
    <d v="2019-06-11T00:00:00"/>
    <x v="0"/>
    <x v="5"/>
    <x v="49"/>
    <x v="9"/>
    <x v="2"/>
    <x v="14"/>
    <x v="643"/>
    <x v="570"/>
    <n v="2"/>
    <x v="589"/>
  </r>
  <r>
    <d v="2019-06-11T00:00:00"/>
    <x v="0"/>
    <x v="5"/>
    <x v="49"/>
    <x v="9"/>
    <x v="2"/>
    <x v="5"/>
    <x v="539"/>
    <x v="723"/>
    <n v="14"/>
    <x v="747"/>
  </r>
  <r>
    <d v="2019-06-11T00:00:00"/>
    <x v="0"/>
    <x v="5"/>
    <x v="49"/>
    <x v="9"/>
    <x v="1"/>
    <x v="3"/>
    <x v="644"/>
    <x v="724"/>
    <n v="3"/>
    <x v="748"/>
  </r>
  <r>
    <d v="2019-06-11T00:00:00"/>
    <x v="0"/>
    <x v="5"/>
    <x v="314"/>
    <x v="1"/>
    <x v="0"/>
    <x v="4"/>
    <x v="645"/>
    <x v="725"/>
    <n v="3"/>
    <x v="749"/>
  </r>
  <r>
    <d v="2019-06-12T00:00:00"/>
    <x v="0"/>
    <x v="5"/>
    <x v="315"/>
    <x v="1"/>
    <x v="2"/>
    <x v="14"/>
    <x v="646"/>
    <x v="570"/>
    <n v="2"/>
    <x v="589"/>
  </r>
  <r>
    <d v="2019-06-12T00:00:00"/>
    <x v="0"/>
    <x v="5"/>
    <x v="125"/>
    <x v="36"/>
    <x v="2"/>
    <x v="13"/>
    <x v="647"/>
    <x v="726"/>
    <n v="1"/>
    <x v="750"/>
  </r>
  <r>
    <d v="2019-06-12T00:00:00"/>
    <x v="0"/>
    <x v="5"/>
    <x v="125"/>
    <x v="36"/>
    <x v="2"/>
    <x v="5"/>
    <x v="147"/>
    <x v="264"/>
    <n v="3"/>
    <x v="751"/>
  </r>
  <r>
    <d v="2019-06-12T00:00:00"/>
    <x v="0"/>
    <x v="5"/>
    <x v="38"/>
    <x v="23"/>
    <x v="0"/>
    <x v="8"/>
    <x v="648"/>
    <x v="727"/>
    <n v="3"/>
    <x v="752"/>
  </r>
  <r>
    <d v="2019-06-12T00:00:00"/>
    <x v="0"/>
    <x v="5"/>
    <x v="38"/>
    <x v="23"/>
    <x v="2"/>
    <x v="5"/>
    <x v="649"/>
    <x v="728"/>
    <n v="4"/>
    <x v="753"/>
  </r>
  <r>
    <d v="2019-06-12T00:00:00"/>
    <x v="0"/>
    <x v="5"/>
    <x v="38"/>
    <x v="23"/>
    <x v="2"/>
    <x v="2"/>
    <x v="650"/>
    <x v="729"/>
    <n v="6"/>
    <x v="754"/>
  </r>
  <r>
    <d v="2019-06-12T00:00:00"/>
    <x v="0"/>
    <x v="5"/>
    <x v="38"/>
    <x v="23"/>
    <x v="2"/>
    <x v="10"/>
    <x v="357"/>
    <x v="730"/>
    <n v="9"/>
    <x v="755"/>
  </r>
  <r>
    <d v="2019-06-12T00:00:00"/>
    <x v="0"/>
    <x v="5"/>
    <x v="38"/>
    <x v="23"/>
    <x v="1"/>
    <x v="1"/>
    <x v="651"/>
    <x v="731"/>
    <n v="7"/>
    <x v="756"/>
  </r>
  <r>
    <d v="2019-06-12T00:00:00"/>
    <x v="0"/>
    <x v="5"/>
    <x v="316"/>
    <x v="17"/>
    <x v="1"/>
    <x v="15"/>
    <x v="652"/>
    <x v="732"/>
    <n v="3"/>
    <x v="757"/>
  </r>
  <r>
    <d v="2019-06-12T00:00:00"/>
    <x v="0"/>
    <x v="5"/>
    <x v="316"/>
    <x v="17"/>
    <x v="2"/>
    <x v="9"/>
    <x v="653"/>
    <x v="733"/>
    <n v="7"/>
    <x v="758"/>
  </r>
  <r>
    <d v="2019-06-12T00:00:00"/>
    <x v="0"/>
    <x v="5"/>
    <x v="317"/>
    <x v="17"/>
    <x v="2"/>
    <x v="9"/>
    <x v="654"/>
    <x v="734"/>
    <n v="5"/>
    <x v="759"/>
  </r>
  <r>
    <d v="2019-06-12T00:00:00"/>
    <x v="0"/>
    <x v="5"/>
    <x v="32"/>
    <x v="12"/>
    <x v="2"/>
    <x v="9"/>
    <x v="655"/>
    <x v="735"/>
    <n v="3"/>
    <x v="760"/>
  </r>
  <r>
    <d v="2019-06-12T00:00:00"/>
    <x v="0"/>
    <x v="5"/>
    <x v="32"/>
    <x v="12"/>
    <x v="2"/>
    <x v="13"/>
    <x v="656"/>
    <x v="736"/>
    <n v="3"/>
    <x v="761"/>
  </r>
  <r>
    <d v="2019-06-12T00:00:00"/>
    <x v="0"/>
    <x v="5"/>
    <x v="69"/>
    <x v="1"/>
    <x v="2"/>
    <x v="9"/>
    <x v="655"/>
    <x v="636"/>
    <n v="6"/>
    <x v="762"/>
  </r>
  <r>
    <d v="2019-06-12T00:00:00"/>
    <x v="0"/>
    <x v="5"/>
    <x v="69"/>
    <x v="1"/>
    <x v="2"/>
    <x v="9"/>
    <x v="594"/>
    <x v="56"/>
    <n v="2"/>
    <x v="56"/>
  </r>
  <r>
    <d v="2019-06-12T00:00:00"/>
    <x v="0"/>
    <x v="5"/>
    <x v="318"/>
    <x v="2"/>
    <x v="2"/>
    <x v="13"/>
    <x v="657"/>
    <x v="737"/>
    <n v="4"/>
    <x v="763"/>
  </r>
  <r>
    <d v="2019-06-12T00:00:00"/>
    <x v="0"/>
    <x v="5"/>
    <x v="318"/>
    <x v="2"/>
    <x v="0"/>
    <x v="8"/>
    <x v="658"/>
    <x v="738"/>
    <n v="2"/>
    <x v="764"/>
  </r>
  <r>
    <d v="2019-06-12T00:00:00"/>
    <x v="0"/>
    <x v="5"/>
    <x v="318"/>
    <x v="2"/>
    <x v="2"/>
    <x v="7"/>
    <x v="659"/>
    <x v="739"/>
    <n v="8"/>
    <x v="765"/>
  </r>
  <r>
    <d v="2019-06-12T00:00:00"/>
    <x v="0"/>
    <x v="5"/>
    <x v="318"/>
    <x v="2"/>
    <x v="2"/>
    <x v="9"/>
    <x v="660"/>
    <x v="29"/>
    <n v="3"/>
    <x v="766"/>
  </r>
  <r>
    <d v="2019-06-12T00:00:00"/>
    <x v="0"/>
    <x v="5"/>
    <x v="318"/>
    <x v="2"/>
    <x v="0"/>
    <x v="11"/>
    <x v="661"/>
    <x v="740"/>
    <n v="2"/>
    <x v="767"/>
  </r>
  <r>
    <d v="2019-06-12T00:00:00"/>
    <x v="0"/>
    <x v="5"/>
    <x v="318"/>
    <x v="2"/>
    <x v="2"/>
    <x v="2"/>
    <x v="662"/>
    <x v="741"/>
    <n v="9"/>
    <x v="768"/>
  </r>
  <r>
    <d v="2019-06-12T00:00:00"/>
    <x v="0"/>
    <x v="5"/>
    <x v="318"/>
    <x v="2"/>
    <x v="2"/>
    <x v="5"/>
    <x v="663"/>
    <x v="742"/>
    <n v="2"/>
    <x v="769"/>
  </r>
  <r>
    <d v="2019-06-13T00:00:00"/>
    <x v="0"/>
    <x v="5"/>
    <x v="42"/>
    <x v="25"/>
    <x v="1"/>
    <x v="1"/>
    <x v="664"/>
    <x v="743"/>
    <n v="3"/>
    <x v="770"/>
  </r>
  <r>
    <d v="2019-06-13T00:00:00"/>
    <x v="0"/>
    <x v="5"/>
    <x v="246"/>
    <x v="38"/>
    <x v="2"/>
    <x v="14"/>
    <x v="665"/>
    <x v="744"/>
    <n v="3"/>
    <x v="771"/>
  </r>
  <r>
    <d v="2019-06-13T00:00:00"/>
    <x v="0"/>
    <x v="5"/>
    <x v="73"/>
    <x v="12"/>
    <x v="2"/>
    <x v="5"/>
    <x v="666"/>
    <x v="745"/>
    <n v="2"/>
    <x v="687"/>
  </r>
  <r>
    <d v="2019-06-14T00:00:00"/>
    <x v="0"/>
    <x v="5"/>
    <x v="78"/>
    <x v="1"/>
    <x v="2"/>
    <x v="7"/>
    <x v="667"/>
    <x v="339"/>
    <n v="4"/>
    <x v="772"/>
  </r>
  <r>
    <d v="2019-06-14T00:00:00"/>
    <x v="0"/>
    <x v="5"/>
    <x v="78"/>
    <x v="1"/>
    <x v="0"/>
    <x v="8"/>
    <x v="383"/>
    <x v="746"/>
    <n v="3"/>
    <x v="773"/>
  </r>
  <r>
    <d v="2019-06-14T00:00:00"/>
    <x v="0"/>
    <x v="5"/>
    <x v="78"/>
    <x v="1"/>
    <x v="1"/>
    <x v="3"/>
    <x v="275"/>
    <x v="747"/>
    <n v="1"/>
    <x v="774"/>
  </r>
  <r>
    <d v="2019-06-14T00:00:00"/>
    <x v="0"/>
    <x v="5"/>
    <x v="78"/>
    <x v="1"/>
    <x v="2"/>
    <x v="7"/>
    <x v="668"/>
    <x v="748"/>
    <n v="3"/>
    <x v="775"/>
  </r>
  <r>
    <d v="2019-06-14T00:00:00"/>
    <x v="0"/>
    <x v="5"/>
    <x v="319"/>
    <x v="1"/>
    <x v="0"/>
    <x v="0"/>
    <x v="669"/>
    <x v="749"/>
    <n v="5"/>
    <x v="776"/>
  </r>
  <r>
    <d v="2019-06-14T00:00:00"/>
    <x v="0"/>
    <x v="5"/>
    <x v="101"/>
    <x v="1"/>
    <x v="0"/>
    <x v="4"/>
    <x v="638"/>
    <x v="750"/>
    <n v="7"/>
    <x v="777"/>
  </r>
  <r>
    <d v="2019-06-14T00:00:00"/>
    <x v="0"/>
    <x v="5"/>
    <x v="320"/>
    <x v="5"/>
    <x v="0"/>
    <x v="4"/>
    <x v="475"/>
    <x v="751"/>
    <n v="2"/>
    <x v="778"/>
  </r>
  <r>
    <d v="2019-06-14T00:00:00"/>
    <x v="0"/>
    <x v="5"/>
    <x v="134"/>
    <x v="6"/>
    <x v="2"/>
    <x v="5"/>
    <x v="670"/>
    <x v="752"/>
    <n v="4"/>
    <x v="779"/>
  </r>
  <r>
    <d v="2019-06-14T00:00:00"/>
    <x v="0"/>
    <x v="5"/>
    <x v="134"/>
    <x v="6"/>
    <x v="1"/>
    <x v="3"/>
    <x v="671"/>
    <x v="753"/>
    <n v="2"/>
    <x v="780"/>
  </r>
  <r>
    <d v="2019-06-14T00:00:00"/>
    <x v="0"/>
    <x v="5"/>
    <x v="321"/>
    <x v="9"/>
    <x v="0"/>
    <x v="4"/>
    <x v="228"/>
    <x v="754"/>
    <n v="7"/>
    <x v="781"/>
  </r>
  <r>
    <d v="2019-06-15T00:00:00"/>
    <x v="0"/>
    <x v="5"/>
    <x v="287"/>
    <x v="2"/>
    <x v="2"/>
    <x v="9"/>
    <x v="672"/>
    <x v="755"/>
    <n v="7"/>
    <x v="782"/>
  </r>
  <r>
    <d v="2019-06-16T00:00:00"/>
    <x v="0"/>
    <x v="5"/>
    <x v="198"/>
    <x v="1"/>
    <x v="2"/>
    <x v="9"/>
    <x v="317"/>
    <x v="756"/>
    <n v="5"/>
    <x v="783"/>
  </r>
  <r>
    <d v="2019-06-16T00:00:00"/>
    <x v="0"/>
    <x v="5"/>
    <x v="322"/>
    <x v="21"/>
    <x v="1"/>
    <x v="15"/>
    <x v="673"/>
    <x v="757"/>
    <n v="1"/>
    <x v="784"/>
  </r>
  <r>
    <d v="2019-06-16T00:00:00"/>
    <x v="0"/>
    <x v="5"/>
    <x v="323"/>
    <x v="23"/>
    <x v="2"/>
    <x v="14"/>
    <x v="183"/>
    <x v="102"/>
    <n v="3"/>
    <x v="785"/>
  </r>
  <r>
    <d v="2019-06-17T00:00:00"/>
    <x v="0"/>
    <x v="5"/>
    <x v="324"/>
    <x v="12"/>
    <x v="2"/>
    <x v="2"/>
    <x v="532"/>
    <x v="758"/>
    <n v="6"/>
    <x v="786"/>
  </r>
  <r>
    <d v="2019-06-17T00:00:00"/>
    <x v="0"/>
    <x v="5"/>
    <x v="324"/>
    <x v="12"/>
    <x v="2"/>
    <x v="9"/>
    <x v="674"/>
    <x v="711"/>
    <n v="5"/>
    <x v="734"/>
  </r>
  <r>
    <d v="2019-06-17T00:00:00"/>
    <x v="0"/>
    <x v="5"/>
    <x v="324"/>
    <x v="12"/>
    <x v="0"/>
    <x v="11"/>
    <x v="675"/>
    <x v="759"/>
    <n v="5"/>
    <x v="787"/>
  </r>
  <r>
    <d v="2019-06-17T00:00:00"/>
    <x v="0"/>
    <x v="5"/>
    <x v="324"/>
    <x v="12"/>
    <x v="2"/>
    <x v="9"/>
    <x v="676"/>
    <x v="760"/>
    <n v="2"/>
    <x v="788"/>
  </r>
  <r>
    <d v="2019-06-17T00:00:00"/>
    <x v="0"/>
    <x v="5"/>
    <x v="324"/>
    <x v="12"/>
    <x v="1"/>
    <x v="3"/>
    <x v="677"/>
    <x v="372"/>
    <n v="2"/>
    <x v="789"/>
  </r>
  <r>
    <d v="2019-06-17T00:00:00"/>
    <x v="0"/>
    <x v="5"/>
    <x v="324"/>
    <x v="12"/>
    <x v="2"/>
    <x v="5"/>
    <x v="18"/>
    <x v="761"/>
    <n v="4"/>
    <x v="790"/>
  </r>
  <r>
    <d v="2019-06-17T00:00:00"/>
    <x v="0"/>
    <x v="5"/>
    <x v="324"/>
    <x v="12"/>
    <x v="2"/>
    <x v="7"/>
    <x v="274"/>
    <x v="762"/>
    <n v="1"/>
    <x v="791"/>
  </r>
  <r>
    <d v="2019-06-17T00:00:00"/>
    <x v="0"/>
    <x v="5"/>
    <x v="325"/>
    <x v="1"/>
    <x v="2"/>
    <x v="9"/>
    <x v="678"/>
    <x v="591"/>
    <n v="2"/>
    <x v="610"/>
  </r>
  <r>
    <d v="2019-06-17T00:00:00"/>
    <x v="0"/>
    <x v="5"/>
    <x v="67"/>
    <x v="12"/>
    <x v="2"/>
    <x v="2"/>
    <x v="679"/>
    <x v="763"/>
    <n v="3"/>
    <x v="792"/>
  </r>
  <r>
    <d v="2019-06-17T00:00:00"/>
    <x v="0"/>
    <x v="5"/>
    <x v="326"/>
    <x v="1"/>
    <x v="0"/>
    <x v="0"/>
    <x v="669"/>
    <x v="764"/>
    <n v="2"/>
    <x v="793"/>
  </r>
  <r>
    <d v="2019-06-17T00:00:00"/>
    <x v="0"/>
    <x v="5"/>
    <x v="326"/>
    <x v="1"/>
    <x v="2"/>
    <x v="14"/>
    <x v="466"/>
    <x v="765"/>
    <n v="6"/>
    <x v="794"/>
  </r>
  <r>
    <d v="2019-06-17T00:00:00"/>
    <x v="0"/>
    <x v="5"/>
    <x v="326"/>
    <x v="1"/>
    <x v="2"/>
    <x v="9"/>
    <x v="448"/>
    <x v="766"/>
    <n v="4"/>
    <x v="795"/>
  </r>
  <r>
    <d v="2019-06-17T00:00:00"/>
    <x v="0"/>
    <x v="5"/>
    <x v="327"/>
    <x v="22"/>
    <x v="0"/>
    <x v="8"/>
    <x v="680"/>
    <x v="767"/>
    <n v="3"/>
    <x v="796"/>
  </r>
  <r>
    <d v="2019-06-17T00:00:00"/>
    <x v="0"/>
    <x v="5"/>
    <x v="327"/>
    <x v="22"/>
    <x v="0"/>
    <x v="11"/>
    <x v="681"/>
    <x v="768"/>
    <n v="4"/>
    <x v="797"/>
  </r>
  <r>
    <d v="2019-06-17T00:00:00"/>
    <x v="0"/>
    <x v="5"/>
    <x v="275"/>
    <x v="11"/>
    <x v="2"/>
    <x v="5"/>
    <x v="682"/>
    <x v="769"/>
    <n v="2"/>
    <x v="798"/>
  </r>
  <r>
    <d v="2019-06-17T00:00:00"/>
    <x v="0"/>
    <x v="5"/>
    <x v="275"/>
    <x v="11"/>
    <x v="1"/>
    <x v="1"/>
    <x v="683"/>
    <x v="770"/>
    <n v="3"/>
    <x v="799"/>
  </r>
  <r>
    <d v="2019-06-17T00:00:00"/>
    <x v="0"/>
    <x v="5"/>
    <x v="275"/>
    <x v="11"/>
    <x v="2"/>
    <x v="7"/>
    <x v="684"/>
    <x v="328"/>
    <n v="3"/>
    <x v="331"/>
  </r>
  <r>
    <d v="2019-06-17T00:00:00"/>
    <x v="0"/>
    <x v="5"/>
    <x v="328"/>
    <x v="12"/>
    <x v="0"/>
    <x v="4"/>
    <x v="685"/>
    <x v="771"/>
    <n v="3"/>
    <x v="800"/>
  </r>
  <r>
    <d v="2019-06-18T00:00:00"/>
    <x v="0"/>
    <x v="5"/>
    <x v="139"/>
    <x v="17"/>
    <x v="2"/>
    <x v="9"/>
    <x v="686"/>
    <x v="772"/>
    <n v="2"/>
    <x v="801"/>
  </r>
  <r>
    <d v="2019-06-18T00:00:00"/>
    <x v="0"/>
    <x v="5"/>
    <x v="125"/>
    <x v="5"/>
    <x v="2"/>
    <x v="9"/>
    <x v="687"/>
    <x v="773"/>
    <n v="2"/>
    <x v="802"/>
  </r>
  <r>
    <d v="2019-06-18T00:00:00"/>
    <x v="0"/>
    <x v="5"/>
    <x v="125"/>
    <x v="5"/>
    <x v="2"/>
    <x v="5"/>
    <x v="649"/>
    <x v="774"/>
    <n v="2"/>
    <x v="803"/>
  </r>
  <r>
    <d v="2019-06-18T00:00:00"/>
    <x v="0"/>
    <x v="5"/>
    <x v="125"/>
    <x v="5"/>
    <x v="2"/>
    <x v="13"/>
    <x v="688"/>
    <x v="775"/>
    <n v="3"/>
    <x v="804"/>
  </r>
  <r>
    <d v="2019-06-19T00:00:00"/>
    <x v="0"/>
    <x v="5"/>
    <x v="298"/>
    <x v="1"/>
    <x v="2"/>
    <x v="9"/>
    <x v="689"/>
    <x v="776"/>
    <n v="2"/>
    <x v="805"/>
  </r>
  <r>
    <d v="2019-06-20T00:00:00"/>
    <x v="0"/>
    <x v="5"/>
    <x v="329"/>
    <x v="23"/>
    <x v="1"/>
    <x v="3"/>
    <x v="677"/>
    <x v="777"/>
    <n v="3"/>
    <x v="806"/>
  </r>
  <r>
    <d v="2019-06-20T00:00:00"/>
    <x v="0"/>
    <x v="5"/>
    <x v="329"/>
    <x v="23"/>
    <x v="1"/>
    <x v="1"/>
    <x v="517"/>
    <x v="778"/>
    <n v="2"/>
    <x v="807"/>
  </r>
  <r>
    <d v="2019-06-20T00:00:00"/>
    <x v="0"/>
    <x v="5"/>
    <x v="330"/>
    <x v="1"/>
    <x v="2"/>
    <x v="7"/>
    <x v="690"/>
    <x v="779"/>
    <n v="2"/>
    <x v="808"/>
  </r>
  <r>
    <d v="2019-06-20T00:00:00"/>
    <x v="0"/>
    <x v="5"/>
    <x v="330"/>
    <x v="1"/>
    <x v="2"/>
    <x v="9"/>
    <x v="691"/>
    <x v="660"/>
    <n v="6"/>
    <x v="679"/>
  </r>
  <r>
    <d v="2019-06-20T00:00:00"/>
    <x v="0"/>
    <x v="5"/>
    <x v="331"/>
    <x v="5"/>
    <x v="2"/>
    <x v="9"/>
    <x v="692"/>
    <x v="780"/>
    <n v="8"/>
    <x v="809"/>
  </r>
  <r>
    <d v="2019-06-20T00:00:00"/>
    <x v="0"/>
    <x v="5"/>
    <x v="331"/>
    <x v="5"/>
    <x v="2"/>
    <x v="5"/>
    <x v="358"/>
    <x v="781"/>
    <n v="6"/>
    <x v="810"/>
  </r>
  <r>
    <d v="2019-06-20T00:00:00"/>
    <x v="0"/>
    <x v="5"/>
    <x v="331"/>
    <x v="5"/>
    <x v="2"/>
    <x v="9"/>
    <x v="691"/>
    <x v="29"/>
    <n v="3"/>
    <x v="29"/>
  </r>
  <r>
    <d v="2019-06-20T00:00:00"/>
    <x v="0"/>
    <x v="5"/>
    <x v="331"/>
    <x v="5"/>
    <x v="2"/>
    <x v="13"/>
    <x v="693"/>
    <x v="782"/>
    <n v="2"/>
    <x v="811"/>
  </r>
  <r>
    <d v="2019-06-20T00:00:00"/>
    <x v="0"/>
    <x v="5"/>
    <x v="19"/>
    <x v="1"/>
    <x v="2"/>
    <x v="9"/>
    <x v="493"/>
    <x v="783"/>
    <n v="7"/>
    <x v="812"/>
  </r>
  <r>
    <d v="2019-06-20T00:00:00"/>
    <x v="0"/>
    <x v="5"/>
    <x v="19"/>
    <x v="1"/>
    <x v="2"/>
    <x v="5"/>
    <x v="295"/>
    <x v="784"/>
    <n v="3"/>
    <x v="813"/>
  </r>
  <r>
    <d v="2019-06-20T00:00:00"/>
    <x v="0"/>
    <x v="5"/>
    <x v="19"/>
    <x v="1"/>
    <x v="2"/>
    <x v="13"/>
    <x v="694"/>
    <x v="785"/>
    <n v="2"/>
    <x v="814"/>
  </r>
  <r>
    <d v="2019-06-20T00:00:00"/>
    <x v="0"/>
    <x v="5"/>
    <x v="19"/>
    <x v="1"/>
    <x v="2"/>
    <x v="2"/>
    <x v="301"/>
    <x v="325"/>
    <n v="3"/>
    <x v="328"/>
  </r>
  <r>
    <d v="2019-06-20T00:00:00"/>
    <x v="0"/>
    <x v="5"/>
    <x v="19"/>
    <x v="1"/>
    <x v="0"/>
    <x v="11"/>
    <x v="695"/>
    <x v="786"/>
    <n v="2"/>
    <x v="815"/>
  </r>
  <r>
    <d v="2019-06-20T00:00:00"/>
    <x v="0"/>
    <x v="5"/>
    <x v="69"/>
    <x v="2"/>
    <x v="1"/>
    <x v="3"/>
    <x v="320"/>
    <x v="787"/>
    <n v="4"/>
    <x v="816"/>
  </r>
  <r>
    <d v="2019-06-20T00:00:00"/>
    <x v="0"/>
    <x v="5"/>
    <x v="69"/>
    <x v="2"/>
    <x v="2"/>
    <x v="9"/>
    <x v="133"/>
    <x v="286"/>
    <n v="2"/>
    <x v="288"/>
  </r>
  <r>
    <d v="2019-06-20T00:00:00"/>
    <x v="0"/>
    <x v="5"/>
    <x v="201"/>
    <x v="3"/>
    <x v="1"/>
    <x v="3"/>
    <x v="696"/>
    <x v="788"/>
    <n v="1"/>
    <x v="817"/>
  </r>
  <r>
    <d v="2019-06-20T00:00:00"/>
    <x v="0"/>
    <x v="5"/>
    <x v="201"/>
    <x v="3"/>
    <x v="0"/>
    <x v="8"/>
    <x v="15"/>
    <x v="789"/>
    <n v="3"/>
    <x v="818"/>
  </r>
  <r>
    <d v="2019-06-21T00:00:00"/>
    <x v="0"/>
    <x v="5"/>
    <x v="232"/>
    <x v="12"/>
    <x v="2"/>
    <x v="5"/>
    <x v="697"/>
    <x v="790"/>
    <n v="5"/>
    <x v="819"/>
  </r>
  <r>
    <d v="2019-06-21T00:00:00"/>
    <x v="0"/>
    <x v="5"/>
    <x v="232"/>
    <x v="12"/>
    <x v="2"/>
    <x v="5"/>
    <x v="698"/>
    <x v="791"/>
    <n v="6"/>
    <x v="820"/>
  </r>
  <r>
    <d v="2019-06-21T00:00:00"/>
    <x v="0"/>
    <x v="5"/>
    <x v="232"/>
    <x v="12"/>
    <x v="0"/>
    <x v="0"/>
    <x v="210"/>
    <x v="792"/>
    <n v="2"/>
    <x v="821"/>
  </r>
  <r>
    <d v="2019-06-21T00:00:00"/>
    <x v="0"/>
    <x v="5"/>
    <x v="303"/>
    <x v="17"/>
    <x v="2"/>
    <x v="5"/>
    <x v="151"/>
    <x v="793"/>
    <n v="1"/>
    <x v="822"/>
  </r>
  <r>
    <d v="2019-06-23T00:00:00"/>
    <x v="0"/>
    <x v="5"/>
    <x v="332"/>
    <x v="12"/>
    <x v="2"/>
    <x v="14"/>
    <x v="699"/>
    <x v="794"/>
    <n v="4"/>
    <x v="823"/>
  </r>
  <r>
    <d v="2019-06-23T00:00:00"/>
    <x v="0"/>
    <x v="5"/>
    <x v="332"/>
    <x v="12"/>
    <x v="2"/>
    <x v="14"/>
    <x v="700"/>
    <x v="795"/>
    <n v="5"/>
    <x v="824"/>
  </r>
  <r>
    <d v="2019-06-23T00:00:00"/>
    <x v="0"/>
    <x v="5"/>
    <x v="332"/>
    <x v="12"/>
    <x v="2"/>
    <x v="2"/>
    <x v="361"/>
    <x v="796"/>
    <n v="5"/>
    <x v="825"/>
  </r>
  <r>
    <d v="2019-06-23T00:00:00"/>
    <x v="0"/>
    <x v="5"/>
    <x v="332"/>
    <x v="12"/>
    <x v="2"/>
    <x v="9"/>
    <x v="701"/>
    <x v="797"/>
    <n v="3"/>
    <x v="826"/>
  </r>
  <r>
    <d v="2019-06-23T00:00:00"/>
    <x v="0"/>
    <x v="5"/>
    <x v="332"/>
    <x v="12"/>
    <x v="2"/>
    <x v="12"/>
    <x v="702"/>
    <x v="798"/>
    <n v="2"/>
    <x v="827"/>
  </r>
  <r>
    <d v="2019-06-23T00:00:00"/>
    <x v="0"/>
    <x v="5"/>
    <x v="333"/>
    <x v="12"/>
    <x v="2"/>
    <x v="16"/>
    <x v="703"/>
    <x v="799"/>
    <n v="7"/>
    <x v="828"/>
  </r>
  <r>
    <d v="2019-06-23T00:00:00"/>
    <x v="0"/>
    <x v="5"/>
    <x v="334"/>
    <x v="1"/>
    <x v="2"/>
    <x v="2"/>
    <x v="704"/>
    <x v="800"/>
    <n v="4"/>
    <x v="829"/>
  </r>
  <r>
    <d v="2019-06-23T00:00:00"/>
    <x v="0"/>
    <x v="5"/>
    <x v="334"/>
    <x v="1"/>
    <x v="2"/>
    <x v="14"/>
    <x v="705"/>
    <x v="801"/>
    <n v="3"/>
    <x v="830"/>
  </r>
  <r>
    <d v="2019-06-23T00:00:00"/>
    <x v="0"/>
    <x v="5"/>
    <x v="334"/>
    <x v="1"/>
    <x v="1"/>
    <x v="1"/>
    <x v="437"/>
    <x v="802"/>
    <n v="7"/>
    <x v="831"/>
  </r>
  <r>
    <d v="2019-06-23T00:00:00"/>
    <x v="0"/>
    <x v="5"/>
    <x v="334"/>
    <x v="1"/>
    <x v="2"/>
    <x v="9"/>
    <x v="706"/>
    <x v="238"/>
    <n v="1"/>
    <x v="832"/>
  </r>
  <r>
    <d v="2019-06-23T00:00:00"/>
    <x v="0"/>
    <x v="5"/>
    <x v="335"/>
    <x v="12"/>
    <x v="2"/>
    <x v="14"/>
    <x v="639"/>
    <x v="803"/>
    <n v="7"/>
    <x v="833"/>
  </r>
  <r>
    <d v="2019-06-24T00:00:00"/>
    <x v="0"/>
    <x v="5"/>
    <x v="198"/>
    <x v="1"/>
    <x v="1"/>
    <x v="1"/>
    <x v="707"/>
    <x v="804"/>
    <n v="4"/>
    <x v="834"/>
  </r>
  <r>
    <d v="2019-06-24T00:00:00"/>
    <x v="0"/>
    <x v="5"/>
    <x v="336"/>
    <x v="24"/>
    <x v="1"/>
    <x v="1"/>
    <x v="708"/>
    <x v="805"/>
    <n v="9"/>
    <x v="835"/>
  </r>
  <r>
    <d v="2019-06-24T00:00:00"/>
    <x v="0"/>
    <x v="5"/>
    <x v="337"/>
    <x v="2"/>
    <x v="2"/>
    <x v="13"/>
    <x v="565"/>
    <x v="806"/>
    <n v="2"/>
    <x v="836"/>
  </r>
  <r>
    <d v="2019-06-24T00:00:00"/>
    <x v="0"/>
    <x v="5"/>
    <x v="219"/>
    <x v="1"/>
    <x v="1"/>
    <x v="15"/>
    <x v="215"/>
    <x v="807"/>
    <n v="4"/>
    <x v="837"/>
  </r>
  <r>
    <d v="2019-06-24T00:00:00"/>
    <x v="0"/>
    <x v="5"/>
    <x v="219"/>
    <x v="1"/>
    <x v="2"/>
    <x v="9"/>
    <x v="395"/>
    <x v="106"/>
    <n v="1"/>
    <x v="838"/>
  </r>
  <r>
    <d v="2019-06-24T00:00:00"/>
    <x v="0"/>
    <x v="5"/>
    <x v="219"/>
    <x v="1"/>
    <x v="2"/>
    <x v="13"/>
    <x v="657"/>
    <x v="808"/>
    <n v="3"/>
    <x v="839"/>
  </r>
  <r>
    <d v="2019-06-25T00:00:00"/>
    <x v="0"/>
    <x v="5"/>
    <x v="93"/>
    <x v="5"/>
    <x v="0"/>
    <x v="11"/>
    <x v="291"/>
    <x v="809"/>
    <n v="3"/>
    <x v="840"/>
  </r>
  <r>
    <d v="2019-06-25T00:00:00"/>
    <x v="0"/>
    <x v="5"/>
    <x v="93"/>
    <x v="5"/>
    <x v="2"/>
    <x v="5"/>
    <x v="75"/>
    <x v="810"/>
    <n v="4"/>
    <x v="841"/>
  </r>
  <r>
    <d v="2019-06-25T00:00:00"/>
    <x v="0"/>
    <x v="5"/>
    <x v="93"/>
    <x v="5"/>
    <x v="2"/>
    <x v="2"/>
    <x v="709"/>
    <x v="811"/>
    <n v="6"/>
    <x v="842"/>
  </r>
  <r>
    <d v="2019-06-25T00:00:00"/>
    <x v="0"/>
    <x v="5"/>
    <x v="178"/>
    <x v="1"/>
    <x v="2"/>
    <x v="13"/>
    <x v="53"/>
    <x v="812"/>
    <n v="3"/>
    <x v="843"/>
  </r>
  <r>
    <d v="2019-06-25T00:00:00"/>
    <x v="0"/>
    <x v="5"/>
    <x v="180"/>
    <x v="2"/>
    <x v="0"/>
    <x v="11"/>
    <x v="710"/>
    <x v="813"/>
    <n v="2"/>
    <x v="844"/>
  </r>
  <r>
    <d v="2019-06-25T00:00:00"/>
    <x v="0"/>
    <x v="5"/>
    <x v="180"/>
    <x v="2"/>
    <x v="0"/>
    <x v="8"/>
    <x v="711"/>
    <x v="814"/>
    <n v="2"/>
    <x v="845"/>
  </r>
  <r>
    <d v="2019-06-26T00:00:00"/>
    <x v="0"/>
    <x v="5"/>
    <x v="338"/>
    <x v="12"/>
    <x v="2"/>
    <x v="7"/>
    <x v="712"/>
    <x v="666"/>
    <n v="5"/>
    <x v="846"/>
  </r>
  <r>
    <d v="2019-06-26T00:00:00"/>
    <x v="0"/>
    <x v="5"/>
    <x v="338"/>
    <x v="12"/>
    <x v="2"/>
    <x v="2"/>
    <x v="559"/>
    <x v="815"/>
    <n v="5"/>
    <x v="847"/>
  </r>
  <r>
    <d v="2019-06-26T00:00:00"/>
    <x v="0"/>
    <x v="5"/>
    <x v="242"/>
    <x v="35"/>
    <x v="2"/>
    <x v="2"/>
    <x v="370"/>
    <x v="223"/>
    <n v="5"/>
    <x v="848"/>
  </r>
  <r>
    <d v="2019-06-26T00:00:00"/>
    <x v="0"/>
    <x v="5"/>
    <x v="339"/>
    <x v="2"/>
    <x v="1"/>
    <x v="3"/>
    <x v="713"/>
    <x v="816"/>
    <n v="2"/>
    <x v="849"/>
  </r>
  <r>
    <d v="2019-06-26T00:00:00"/>
    <x v="0"/>
    <x v="5"/>
    <x v="212"/>
    <x v="1"/>
    <x v="0"/>
    <x v="8"/>
    <x v="714"/>
    <x v="817"/>
    <n v="3"/>
    <x v="813"/>
  </r>
  <r>
    <d v="2019-06-26T00:00:00"/>
    <x v="0"/>
    <x v="5"/>
    <x v="340"/>
    <x v="17"/>
    <x v="2"/>
    <x v="7"/>
    <x v="715"/>
    <x v="818"/>
    <n v="3"/>
    <x v="850"/>
  </r>
  <r>
    <d v="2019-06-26T00:00:00"/>
    <x v="0"/>
    <x v="5"/>
    <x v="341"/>
    <x v="25"/>
    <x v="2"/>
    <x v="9"/>
    <x v="107"/>
    <x v="819"/>
    <n v="9"/>
    <x v="851"/>
  </r>
  <r>
    <d v="2019-06-26T00:00:00"/>
    <x v="0"/>
    <x v="5"/>
    <x v="341"/>
    <x v="25"/>
    <x v="2"/>
    <x v="5"/>
    <x v="482"/>
    <x v="820"/>
    <n v="1"/>
    <x v="852"/>
  </r>
  <r>
    <d v="2019-06-26T00:00:00"/>
    <x v="0"/>
    <x v="5"/>
    <x v="341"/>
    <x v="25"/>
    <x v="2"/>
    <x v="2"/>
    <x v="716"/>
    <x v="821"/>
    <n v="4"/>
    <x v="853"/>
  </r>
  <r>
    <d v="2019-06-26T00:00:00"/>
    <x v="0"/>
    <x v="5"/>
    <x v="342"/>
    <x v="1"/>
    <x v="2"/>
    <x v="16"/>
    <x v="417"/>
    <x v="822"/>
    <n v="2"/>
    <x v="854"/>
  </r>
  <r>
    <d v="2019-06-26T00:00:00"/>
    <x v="0"/>
    <x v="5"/>
    <x v="342"/>
    <x v="1"/>
    <x v="2"/>
    <x v="12"/>
    <x v="717"/>
    <x v="823"/>
    <n v="5"/>
    <x v="855"/>
  </r>
  <r>
    <d v="2019-06-26T00:00:00"/>
    <x v="0"/>
    <x v="5"/>
    <x v="342"/>
    <x v="1"/>
    <x v="2"/>
    <x v="9"/>
    <x v="718"/>
    <x v="824"/>
    <n v="2"/>
    <x v="856"/>
  </r>
  <r>
    <d v="2019-06-26T00:00:00"/>
    <x v="0"/>
    <x v="5"/>
    <x v="343"/>
    <x v="12"/>
    <x v="1"/>
    <x v="3"/>
    <x v="719"/>
    <x v="825"/>
    <n v="3"/>
    <x v="857"/>
  </r>
  <r>
    <d v="2019-06-26T00:00:00"/>
    <x v="0"/>
    <x v="5"/>
    <x v="343"/>
    <x v="12"/>
    <x v="1"/>
    <x v="3"/>
    <x v="720"/>
    <x v="826"/>
    <n v="4"/>
    <x v="858"/>
  </r>
  <r>
    <d v="2019-06-26T00:00:00"/>
    <x v="0"/>
    <x v="5"/>
    <x v="343"/>
    <x v="12"/>
    <x v="0"/>
    <x v="8"/>
    <x v="721"/>
    <x v="827"/>
    <n v="3"/>
    <x v="859"/>
  </r>
  <r>
    <d v="2019-06-26T00:00:00"/>
    <x v="0"/>
    <x v="5"/>
    <x v="344"/>
    <x v="14"/>
    <x v="1"/>
    <x v="1"/>
    <x v="722"/>
    <x v="828"/>
    <n v="1"/>
    <x v="860"/>
  </r>
  <r>
    <d v="2019-06-27T00:00:00"/>
    <x v="0"/>
    <x v="5"/>
    <x v="345"/>
    <x v="17"/>
    <x v="2"/>
    <x v="9"/>
    <x v="577"/>
    <x v="829"/>
    <n v="7"/>
    <x v="861"/>
  </r>
  <r>
    <d v="2019-06-27T00:00:00"/>
    <x v="0"/>
    <x v="5"/>
    <x v="345"/>
    <x v="17"/>
    <x v="0"/>
    <x v="11"/>
    <x v="723"/>
    <x v="830"/>
    <n v="3"/>
    <x v="862"/>
  </r>
  <r>
    <d v="2019-06-27T00:00:00"/>
    <x v="0"/>
    <x v="5"/>
    <x v="136"/>
    <x v="1"/>
    <x v="1"/>
    <x v="1"/>
    <x v="664"/>
    <x v="831"/>
    <n v="2"/>
    <x v="863"/>
  </r>
  <r>
    <d v="2019-06-28T00:00:00"/>
    <x v="0"/>
    <x v="5"/>
    <x v="346"/>
    <x v="17"/>
    <x v="1"/>
    <x v="1"/>
    <x v="724"/>
    <x v="832"/>
    <n v="3"/>
    <x v="864"/>
  </r>
  <r>
    <d v="2019-06-28T00:00:00"/>
    <x v="0"/>
    <x v="5"/>
    <x v="347"/>
    <x v="1"/>
    <x v="2"/>
    <x v="5"/>
    <x v="430"/>
    <x v="833"/>
    <n v="3"/>
    <x v="865"/>
  </r>
  <r>
    <d v="2019-06-28T00:00:00"/>
    <x v="0"/>
    <x v="5"/>
    <x v="347"/>
    <x v="1"/>
    <x v="2"/>
    <x v="5"/>
    <x v="725"/>
    <x v="745"/>
    <n v="2"/>
    <x v="687"/>
  </r>
  <r>
    <d v="2019-06-28T00:00:00"/>
    <x v="0"/>
    <x v="5"/>
    <x v="348"/>
    <x v="10"/>
    <x v="0"/>
    <x v="11"/>
    <x v="726"/>
    <x v="834"/>
    <n v="2"/>
    <x v="866"/>
  </r>
  <r>
    <d v="2019-06-28T00:00:00"/>
    <x v="0"/>
    <x v="5"/>
    <x v="348"/>
    <x v="10"/>
    <x v="2"/>
    <x v="13"/>
    <x v="727"/>
    <x v="835"/>
    <n v="2"/>
    <x v="867"/>
  </r>
  <r>
    <d v="2019-06-28T00:00:00"/>
    <x v="0"/>
    <x v="5"/>
    <x v="348"/>
    <x v="10"/>
    <x v="2"/>
    <x v="9"/>
    <x v="728"/>
    <x v="836"/>
    <n v="2"/>
    <x v="868"/>
  </r>
  <r>
    <d v="2019-06-28T00:00:00"/>
    <x v="0"/>
    <x v="5"/>
    <x v="348"/>
    <x v="10"/>
    <x v="2"/>
    <x v="5"/>
    <x v="682"/>
    <x v="769"/>
    <n v="2"/>
    <x v="798"/>
  </r>
  <r>
    <d v="2019-06-28T00:00:00"/>
    <x v="0"/>
    <x v="5"/>
    <x v="348"/>
    <x v="10"/>
    <x v="2"/>
    <x v="13"/>
    <x v="729"/>
    <x v="837"/>
    <n v="4"/>
    <x v="869"/>
  </r>
  <r>
    <d v="2019-06-29T00:00:00"/>
    <x v="0"/>
    <x v="5"/>
    <x v="349"/>
    <x v="39"/>
    <x v="2"/>
    <x v="2"/>
    <x v="408"/>
    <x v="838"/>
    <n v="6"/>
    <x v="870"/>
  </r>
  <r>
    <d v="2019-06-30T00:00:00"/>
    <x v="0"/>
    <x v="5"/>
    <x v="350"/>
    <x v="14"/>
    <x v="2"/>
    <x v="7"/>
    <x v="730"/>
    <x v="839"/>
    <n v="3"/>
    <x v="871"/>
  </r>
  <r>
    <d v="2019-06-30T00:00:00"/>
    <x v="0"/>
    <x v="5"/>
    <x v="350"/>
    <x v="14"/>
    <x v="0"/>
    <x v="0"/>
    <x v="731"/>
    <x v="840"/>
    <n v="7"/>
    <x v="872"/>
  </r>
  <r>
    <d v="2019-06-30T00:00:00"/>
    <x v="0"/>
    <x v="5"/>
    <x v="351"/>
    <x v="17"/>
    <x v="1"/>
    <x v="3"/>
    <x v="214"/>
    <x v="841"/>
    <n v="7"/>
    <x v="873"/>
  </r>
  <r>
    <d v="2019-07-01T00:00:00"/>
    <x v="0"/>
    <x v="6"/>
    <x v="352"/>
    <x v="39"/>
    <x v="2"/>
    <x v="5"/>
    <x v="285"/>
    <x v="842"/>
    <n v="2"/>
    <x v="874"/>
  </r>
  <r>
    <d v="2019-07-01T00:00:00"/>
    <x v="0"/>
    <x v="6"/>
    <x v="352"/>
    <x v="39"/>
    <x v="2"/>
    <x v="9"/>
    <x v="732"/>
    <x v="56"/>
    <n v="2"/>
    <x v="56"/>
  </r>
  <r>
    <d v="2019-07-01T00:00:00"/>
    <x v="0"/>
    <x v="6"/>
    <x v="352"/>
    <x v="39"/>
    <x v="2"/>
    <x v="5"/>
    <x v="733"/>
    <x v="843"/>
    <n v="2"/>
    <x v="875"/>
  </r>
  <r>
    <d v="2019-07-01T00:00:00"/>
    <x v="0"/>
    <x v="6"/>
    <x v="296"/>
    <x v="40"/>
    <x v="1"/>
    <x v="6"/>
    <x v="8"/>
    <x v="844"/>
    <n v="5"/>
    <x v="876"/>
  </r>
  <r>
    <d v="2019-07-01T00:00:00"/>
    <x v="0"/>
    <x v="6"/>
    <x v="353"/>
    <x v="12"/>
    <x v="2"/>
    <x v="14"/>
    <x v="734"/>
    <x v="845"/>
    <n v="1"/>
    <x v="877"/>
  </r>
  <r>
    <d v="2019-07-01T00:00:00"/>
    <x v="0"/>
    <x v="6"/>
    <x v="353"/>
    <x v="12"/>
    <x v="1"/>
    <x v="3"/>
    <x v="735"/>
    <x v="728"/>
    <n v="3"/>
    <x v="878"/>
  </r>
  <r>
    <d v="2019-07-01T00:00:00"/>
    <x v="0"/>
    <x v="6"/>
    <x v="353"/>
    <x v="12"/>
    <x v="2"/>
    <x v="9"/>
    <x v="736"/>
    <x v="846"/>
    <n v="9"/>
    <x v="879"/>
  </r>
  <r>
    <d v="2019-07-01T00:00:00"/>
    <x v="0"/>
    <x v="6"/>
    <x v="354"/>
    <x v="9"/>
    <x v="2"/>
    <x v="5"/>
    <x v="737"/>
    <x v="847"/>
    <n v="1"/>
    <x v="880"/>
  </r>
  <r>
    <d v="2019-07-02T00:00:00"/>
    <x v="0"/>
    <x v="6"/>
    <x v="243"/>
    <x v="1"/>
    <x v="0"/>
    <x v="11"/>
    <x v="738"/>
    <x v="848"/>
    <n v="1"/>
    <x v="881"/>
  </r>
  <r>
    <d v="2019-07-02T00:00:00"/>
    <x v="0"/>
    <x v="6"/>
    <x v="355"/>
    <x v="18"/>
    <x v="2"/>
    <x v="7"/>
    <x v="739"/>
    <x v="849"/>
    <n v="2"/>
    <x v="882"/>
  </r>
  <r>
    <d v="2019-07-02T00:00:00"/>
    <x v="0"/>
    <x v="6"/>
    <x v="69"/>
    <x v="2"/>
    <x v="0"/>
    <x v="11"/>
    <x v="271"/>
    <x v="270"/>
    <n v="5"/>
    <x v="72"/>
  </r>
  <r>
    <d v="2019-07-02T00:00:00"/>
    <x v="0"/>
    <x v="6"/>
    <x v="69"/>
    <x v="2"/>
    <x v="2"/>
    <x v="9"/>
    <x v="740"/>
    <x v="850"/>
    <n v="8"/>
    <x v="883"/>
  </r>
  <r>
    <d v="2019-07-03T00:00:00"/>
    <x v="0"/>
    <x v="6"/>
    <x v="356"/>
    <x v="1"/>
    <x v="2"/>
    <x v="9"/>
    <x v="741"/>
    <x v="56"/>
    <n v="2"/>
    <x v="56"/>
  </r>
  <r>
    <d v="2019-07-03T00:00:00"/>
    <x v="0"/>
    <x v="6"/>
    <x v="356"/>
    <x v="1"/>
    <x v="2"/>
    <x v="12"/>
    <x v="742"/>
    <x v="798"/>
    <n v="2"/>
    <x v="884"/>
  </r>
  <r>
    <d v="2019-07-03T00:00:00"/>
    <x v="0"/>
    <x v="6"/>
    <x v="119"/>
    <x v="12"/>
    <x v="2"/>
    <x v="13"/>
    <x v="743"/>
    <x v="851"/>
    <n v="7"/>
    <x v="885"/>
  </r>
  <r>
    <d v="2019-07-03T00:00:00"/>
    <x v="0"/>
    <x v="6"/>
    <x v="187"/>
    <x v="5"/>
    <x v="2"/>
    <x v="9"/>
    <x v="744"/>
    <x v="659"/>
    <n v="5"/>
    <x v="886"/>
  </r>
  <r>
    <d v="2019-07-04T00:00:00"/>
    <x v="0"/>
    <x v="6"/>
    <x v="357"/>
    <x v="1"/>
    <x v="0"/>
    <x v="8"/>
    <x v="263"/>
    <x v="852"/>
    <n v="5"/>
    <x v="887"/>
  </r>
  <r>
    <d v="2019-07-04T00:00:00"/>
    <x v="0"/>
    <x v="6"/>
    <x v="357"/>
    <x v="1"/>
    <x v="2"/>
    <x v="10"/>
    <x v="745"/>
    <x v="853"/>
    <n v="2"/>
    <x v="888"/>
  </r>
  <r>
    <d v="2019-07-04T00:00:00"/>
    <x v="0"/>
    <x v="6"/>
    <x v="357"/>
    <x v="1"/>
    <x v="0"/>
    <x v="0"/>
    <x v="746"/>
    <x v="854"/>
    <n v="5"/>
    <x v="889"/>
  </r>
  <r>
    <d v="2019-07-04T00:00:00"/>
    <x v="0"/>
    <x v="6"/>
    <x v="357"/>
    <x v="1"/>
    <x v="2"/>
    <x v="2"/>
    <x v="747"/>
    <x v="855"/>
    <n v="4"/>
    <x v="890"/>
  </r>
  <r>
    <d v="2019-07-04T00:00:00"/>
    <x v="0"/>
    <x v="6"/>
    <x v="107"/>
    <x v="9"/>
    <x v="0"/>
    <x v="8"/>
    <x v="263"/>
    <x v="852"/>
    <n v="5"/>
    <x v="887"/>
  </r>
  <r>
    <d v="2019-07-04T00:00:00"/>
    <x v="0"/>
    <x v="6"/>
    <x v="107"/>
    <x v="9"/>
    <x v="1"/>
    <x v="1"/>
    <x v="478"/>
    <x v="513"/>
    <n v="3"/>
    <x v="527"/>
  </r>
  <r>
    <d v="2019-07-04T00:00:00"/>
    <x v="0"/>
    <x v="6"/>
    <x v="107"/>
    <x v="9"/>
    <x v="1"/>
    <x v="1"/>
    <x v="748"/>
    <x v="856"/>
    <n v="3"/>
    <x v="891"/>
  </r>
  <r>
    <d v="2019-07-07T00:00:00"/>
    <x v="0"/>
    <x v="6"/>
    <x v="358"/>
    <x v="6"/>
    <x v="2"/>
    <x v="16"/>
    <x v="749"/>
    <x v="857"/>
    <n v="7"/>
    <x v="892"/>
  </r>
  <r>
    <d v="2019-07-07T00:00:00"/>
    <x v="0"/>
    <x v="6"/>
    <x v="182"/>
    <x v="1"/>
    <x v="0"/>
    <x v="8"/>
    <x v="750"/>
    <x v="858"/>
    <n v="5"/>
    <x v="893"/>
  </r>
  <r>
    <d v="2019-07-07T00:00:00"/>
    <x v="0"/>
    <x v="6"/>
    <x v="359"/>
    <x v="17"/>
    <x v="0"/>
    <x v="8"/>
    <x v="443"/>
    <x v="859"/>
    <n v="8"/>
    <x v="894"/>
  </r>
  <r>
    <d v="2019-07-07T00:00:00"/>
    <x v="0"/>
    <x v="6"/>
    <x v="359"/>
    <x v="17"/>
    <x v="2"/>
    <x v="12"/>
    <x v="531"/>
    <x v="860"/>
    <n v="1"/>
    <x v="895"/>
  </r>
  <r>
    <d v="2019-07-07T00:00:00"/>
    <x v="0"/>
    <x v="6"/>
    <x v="359"/>
    <x v="17"/>
    <x v="2"/>
    <x v="9"/>
    <x v="751"/>
    <x v="861"/>
    <n v="9"/>
    <x v="896"/>
  </r>
  <r>
    <d v="2019-07-07T00:00:00"/>
    <x v="0"/>
    <x v="6"/>
    <x v="359"/>
    <x v="17"/>
    <x v="0"/>
    <x v="11"/>
    <x v="49"/>
    <x v="862"/>
    <n v="2"/>
    <x v="897"/>
  </r>
  <r>
    <d v="2019-07-07T00:00:00"/>
    <x v="0"/>
    <x v="6"/>
    <x v="282"/>
    <x v="1"/>
    <x v="0"/>
    <x v="11"/>
    <x v="752"/>
    <x v="863"/>
    <n v="4"/>
    <x v="898"/>
  </r>
  <r>
    <d v="2019-07-07T00:00:00"/>
    <x v="0"/>
    <x v="6"/>
    <x v="282"/>
    <x v="1"/>
    <x v="1"/>
    <x v="6"/>
    <x v="753"/>
    <x v="864"/>
    <n v="5"/>
    <x v="899"/>
  </r>
  <r>
    <d v="2019-07-07T00:00:00"/>
    <x v="0"/>
    <x v="6"/>
    <x v="282"/>
    <x v="1"/>
    <x v="2"/>
    <x v="9"/>
    <x v="429"/>
    <x v="865"/>
    <n v="1"/>
    <x v="900"/>
  </r>
  <r>
    <d v="2019-07-07T00:00:00"/>
    <x v="0"/>
    <x v="6"/>
    <x v="360"/>
    <x v="5"/>
    <x v="2"/>
    <x v="14"/>
    <x v="754"/>
    <x v="192"/>
    <n v="2"/>
    <x v="901"/>
  </r>
  <r>
    <d v="2019-07-07T00:00:00"/>
    <x v="0"/>
    <x v="6"/>
    <x v="360"/>
    <x v="5"/>
    <x v="1"/>
    <x v="1"/>
    <x v="755"/>
    <x v="866"/>
    <n v="1"/>
    <x v="902"/>
  </r>
  <r>
    <d v="2019-07-07T00:00:00"/>
    <x v="0"/>
    <x v="6"/>
    <x v="360"/>
    <x v="5"/>
    <x v="2"/>
    <x v="5"/>
    <x v="663"/>
    <x v="867"/>
    <n v="5"/>
    <x v="903"/>
  </r>
  <r>
    <d v="2019-07-07T00:00:00"/>
    <x v="0"/>
    <x v="6"/>
    <x v="360"/>
    <x v="5"/>
    <x v="2"/>
    <x v="5"/>
    <x v="756"/>
    <x v="868"/>
    <n v="5"/>
    <x v="904"/>
  </r>
  <r>
    <d v="2019-07-07T00:00:00"/>
    <x v="0"/>
    <x v="6"/>
    <x v="219"/>
    <x v="40"/>
    <x v="2"/>
    <x v="9"/>
    <x v="433"/>
    <x v="56"/>
    <n v="2"/>
    <x v="56"/>
  </r>
  <r>
    <d v="2019-07-07T00:00:00"/>
    <x v="0"/>
    <x v="6"/>
    <x v="219"/>
    <x v="40"/>
    <x v="2"/>
    <x v="7"/>
    <x v="520"/>
    <x v="71"/>
    <n v="2"/>
    <x v="905"/>
  </r>
  <r>
    <d v="2019-07-08T00:00:00"/>
    <x v="0"/>
    <x v="6"/>
    <x v="304"/>
    <x v="2"/>
    <x v="1"/>
    <x v="1"/>
    <x v="757"/>
    <x v="869"/>
    <n v="9"/>
    <x v="906"/>
  </r>
  <r>
    <d v="2019-07-08T00:00:00"/>
    <x v="0"/>
    <x v="6"/>
    <x v="304"/>
    <x v="2"/>
    <x v="2"/>
    <x v="7"/>
    <x v="72"/>
    <x v="21"/>
    <n v="3"/>
    <x v="907"/>
  </r>
  <r>
    <d v="2019-07-08T00:00:00"/>
    <x v="0"/>
    <x v="6"/>
    <x v="361"/>
    <x v="22"/>
    <x v="2"/>
    <x v="5"/>
    <x v="670"/>
    <x v="870"/>
    <n v="2"/>
    <x v="908"/>
  </r>
  <r>
    <d v="2019-07-08T00:00:00"/>
    <x v="0"/>
    <x v="6"/>
    <x v="361"/>
    <x v="22"/>
    <x v="2"/>
    <x v="2"/>
    <x v="469"/>
    <x v="406"/>
    <n v="7"/>
    <x v="909"/>
  </r>
  <r>
    <d v="2019-07-08T00:00:00"/>
    <x v="0"/>
    <x v="6"/>
    <x v="361"/>
    <x v="22"/>
    <x v="2"/>
    <x v="5"/>
    <x v="42"/>
    <x v="871"/>
    <n v="4"/>
    <x v="910"/>
  </r>
  <r>
    <d v="2019-07-08T00:00:00"/>
    <x v="0"/>
    <x v="6"/>
    <x v="361"/>
    <x v="22"/>
    <x v="0"/>
    <x v="11"/>
    <x v="233"/>
    <x v="872"/>
    <n v="3"/>
    <x v="911"/>
  </r>
  <r>
    <d v="2019-07-08T00:00:00"/>
    <x v="0"/>
    <x v="6"/>
    <x v="92"/>
    <x v="9"/>
    <x v="1"/>
    <x v="1"/>
    <x v="758"/>
    <x v="873"/>
    <n v="1"/>
    <x v="912"/>
  </r>
  <r>
    <d v="2019-07-08T00:00:00"/>
    <x v="0"/>
    <x v="6"/>
    <x v="92"/>
    <x v="9"/>
    <x v="2"/>
    <x v="5"/>
    <x v="759"/>
    <x v="874"/>
    <n v="3"/>
    <x v="913"/>
  </r>
  <r>
    <d v="2019-07-08T00:00:00"/>
    <x v="0"/>
    <x v="6"/>
    <x v="167"/>
    <x v="6"/>
    <x v="1"/>
    <x v="1"/>
    <x v="760"/>
    <x v="875"/>
    <n v="5"/>
    <x v="914"/>
  </r>
  <r>
    <d v="2019-07-08T00:00:00"/>
    <x v="0"/>
    <x v="6"/>
    <x v="167"/>
    <x v="6"/>
    <x v="2"/>
    <x v="9"/>
    <x v="761"/>
    <x v="876"/>
    <n v="2"/>
    <x v="915"/>
  </r>
  <r>
    <d v="2019-07-08T00:00:00"/>
    <x v="0"/>
    <x v="6"/>
    <x v="208"/>
    <x v="35"/>
    <x v="2"/>
    <x v="9"/>
    <x v="762"/>
    <x v="56"/>
    <n v="2"/>
    <x v="56"/>
  </r>
  <r>
    <d v="2019-07-09T00:00:00"/>
    <x v="0"/>
    <x v="6"/>
    <x v="36"/>
    <x v="12"/>
    <x v="0"/>
    <x v="11"/>
    <x v="763"/>
    <x v="877"/>
    <n v="2"/>
    <x v="916"/>
  </r>
  <r>
    <d v="2019-07-09T00:00:00"/>
    <x v="0"/>
    <x v="6"/>
    <x v="36"/>
    <x v="12"/>
    <x v="0"/>
    <x v="8"/>
    <x v="112"/>
    <x v="878"/>
    <n v="4"/>
    <x v="917"/>
  </r>
  <r>
    <d v="2019-07-10T00:00:00"/>
    <x v="0"/>
    <x v="6"/>
    <x v="362"/>
    <x v="20"/>
    <x v="2"/>
    <x v="2"/>
    <x v="764"/>
    <x v="879"/>
    <n v="2"/>
    <x v="918"/>
  </r>
  <r>
    <d v="2019-07-10T00:00:00"/>
    <x v="0"/>
    <x v="6"/>
    <x v="256"/>
    <x v="2"/>
    <x v="2"/>
    <x v="2"/>
    <x v="559"/>
    <x v="880"/>
    <n v="3"/>
    <x v="919"/>
  </r>
  <r>
    <d v="2019-07-10T00:00:00"/>
    <x v="0"/>
    <x v="6"/>
    <x v="256"/>
    <x v="2"/>
    <x v="2"/>
    <x v="7"/>
    <x v="765"/>
    <x v="881"/>
    <n v="4"/>
    <x v="920"/>
  </r>
  <r>
    <d v="2019-07-10T00:00:00"/>
    <x v="0"/>
    <x v="6"/>
    <x v="354"/>
    <x v="20"/>
    <x v="2"/>
    <x v="5"/>
    <x v="588"/>
    <x v="882"/>
    <n v="6"/>
    <x v="921"/>
  </r>
  <r>
    <d v="2019-07-10T00:00:00"/>
    <x v="0"/>
    <x v="6"/>
    <x v="69"/>
    <x v="5"/>
    <x v="1"/>
    <x v="15"/>
    <x v="766"/>
    <x v="883"/>
    <n v="3"/>
    <x v="922"/>
  </r>
  <r>
    <d v="2019-07-12T00:00:00"/>
    <x v="0"/>
    <x v="6"/>
    <x v="363"/>
    <x v="1"/>
    <x v="1"/>
    <x v="1"/>
    <x v="767"/>
    <x v="884"/>
    <n v="6"/>
    <x v="923"/>
  </r>
  <r>
    <d v="2019-07-14T00:00:00"/>
    <x v="0"/>
    <x v="6"/>
    <x v="177"/>
    <x v="20"/>
    <x v="1"/>
    <x v="1"/>
    <x v="768"/>
    <x v="885"/>
    <n v="8"/>
    <x v="924"/>
  </r>
  <r>
    <d v="2019-07-14T00:00:00"/>
    <x v="0"/>
    <x v="6"/>
    <x v="364"/>
    <x v="5"/>
    <x v="2"/>
    <x v="16"/>
    <x v="769"/>
    <x v="886"/>
    <n v="2"/>
    <x v="925"/>
  </r>
  <r>
    <d v="2019-07-14T00:00:00"/>
    <x v="0"/>
    <x v="6"/>
    <x v="365"/>
    <x v="12"/>
    <x v="2"/>
    <x v="2"/>
    <x v="206"/>
    <x v="217"/>
    <n v="1"/>
    <x v="218"/>
  </r>
  <r>
    <d v="2019-07-14T00:00:00"/>
    <x v="0"/>
    <x v="6"/>
    <x v="365"/>
    <x v="12"/>
    <x v="2"/>
    <x v="5"/>
    <x v="770"/>
    <x v="887"/>
    <n v="3"/>
    <x v="926"/>
  </r>
  <r>
    <d v="2019-07-14T00:00:00"/>
    <x v="0"/>
    <x v="6"/>
    <x v="365"/>
    <x v="12"/>
    <x v="2"/>
    <x v="12"/>
    <x v="373"/>
    <x v="888"/>
    <n v="7"/>
    <x v="927"/>
  </r>
  <r>
    <d v="2019-07-14T00:00:00"/>
    <x v="0"/>
    <x v="6"/>
    <x v="365"/>
    <x v="12"/>
    <x v="2"/>
    <x v="7"/>
    <x v="771"/>
    <x v="889"/>
    <n v="7"/>
    <x v="928"/>
  </r>
  <r>
    <d v="2019-07-14T00:00:00"/>
    <x v="0"/>
    <x v="6"/>
    <x v="365"/>
    <x v="12"/>
    <x v="2"/>
    <x v="5"/>
    <x v="772"/>
    <x v="890"/>
    <n v="2"/>
    <x v="929"/>
  </r>
  <r>
    <d v="2019-07-14T00:00:00"/>
    <x v="0"/>
    <x v="6"/>
    <x v="365"/>
    <x v="12"/>
    <x v="0"/>
    <x v="0"/>
    <x v="731"/>
    <x v="891"/>
    <n v="4"/>
    <x v="930"/>
  </r>
  <r>
    <d v="2019-07-14T00:00:00"/>
    <x v="0"/>
    <x v="6"/>
    <x v="202"/>
    <x v="2"/>
    <x v="1"/>
    <x v="1"/>
    <x v="773"/>
    <x v="892"/>
    <n v="7"/>
    <x v="931"/>
  </r>
  <r>
    <d v="2019-07-14T00:00:00"/>
    <x v="0"/>
    <x v="6"/>
    <x v="148"/>
    <x v="12"/>
    <x v="2"/>
    <x v="5"/>
    <x v="774"/>
    <x v="893"/>
    <n v="2"/>
    <x v="932"/>
  </r>
  <r>
    <d v="2019-07-14T00:00:00"/>
    <x v="0"/>
    <x v="6"/>
    <x v="366"/>
    <x v="36"/>
    <x v="1"/>
    <x v="3"/>
    <x v="775"/>
    <x v="894"/>
    <n v="2"/>
    <x v="933"/>
  </r>
  <r>
    <d v="2019-07-14T00:00:00"/>
    <x v="0"/>
    <x v="6"/>
    <x v="367"/>
    <x v="12"/>
    <x v="2"/>
    <x v="12"/>
    <x v="531"/>
    <x v="895"/>
    <n v="9"/>
    <x v="934"/>
  </r>
  <r>
    <d v="2019-07-14T00:00:00"/>
    <x v="0"/>
    <x v="6"/>
    <x v="64"/>
    <x v="2"/>
    <x v="2"/>
    <x v="9"/>
    <x v="448"/>
    <x v="766"/>
    <n v="5"/>
    <x v="935"/>
  </r>
  <r>
    <d v="2019-07-14T00:00:00"/>
    <x v="0"/>
    <x v="6"/>
    <x v="368"/>
    <x v="14"/>
    <x v="2"/>
    <x v="5"/>
    <x v="776"/>
    <x v="93"/>
    <n v="5"/>
    <x v="936"/>
  </r>
  <r>
    <d v="2019-07-14T00:00:00"/>
    <x v="0"/>
    <x v="6"/>
    <x v="368"/>
    <x v="14"/>
    <x v="0"/>
    <x v="8"/>
    <x v="294"/>
    <x v="896"/>
    <n v="1"/>
    <x v="937"/>
  </r>
  <r>
    <d v="2019-07-14T00:00:00"/>
    <x v="0"/>
    <x v="6"/>
    <x v="162"/>
    <x v="1"/>
    <x v="1"/>
    <x v="1"/>
    <x v="58"/>
    <x v="59"/>
    <n v="3"/>
    <x v="938"/>
  </r>
  <r>
    <d v="2019-07-14T00:00:00"/>
    <x v="0"/>
    <x v="6"/>
    <x v="162"/>
    <x v="1"/>
    <x v="2"/>
    <x v="13"/>
    <x v="777"/>
    <x v="897"/>
    <n v="7"/>
    <x v="939"/>
  </r>
  <r>
    <d v="2019-07-14T00:00:00"/>
    <x v="0"/>
    <x v="6"/>
    <x v="162"/>
    <x v="1"/>
    <x v="0"/>
    <x v="8"/>
    <x v="778"/>
    <x v="898"/>
    <n v="4"/>
    <x v="940"/>
  </r>
  <r>
    <d v="2019-07-15T00:00:00"/>
    <x v="0"/>
    <x v="6"/>
    <x v="112"/>
    <x v="40"/>
    <x v="2"/>
    <x v="16"/>
    <x v="779"/>
    <x v="57"/>
    <n v="5"/>
    <x v="941"/>
  </r>
  <r>
    <d v="2019-07-15T00:00:00"/>
    <x v="0"/>
    <x v="6"/>
    <x v="369"/>
    <x v="29"/>
    <x v="0"/>
    <x v="11"/>
    <x v="364"/>
    <x v="899"/>
    <n v="3"/>
    <x v="942"/>
  </r>
  <r>
    <d v="2019-07-15T00:00:00"/>
    <x v="0"/>
    <x v="6"/>
    <x v="369"/>
    <x v="29"/>
    <x v="2"/>
    <x v="9"/>
    <x v="467"/>
    <x v="699"/>
    <n v="5"/>
    <x v="943"/>
  </r>
  <r>
    <d v="2019-07-16T00:00:00"/>
    <x v="0"/>
    <x v="6"/>
    <x v="370"/>
    <x v="2"/>
    <x v="2"/>
    <x v="2"/>
    <x v="780"/>
    <x v="900"/>
    <n v="3"/>
    <x v="944"/>
  </r>
  <r>
    <d v="2019-07-16T00:00:00"/>
    <x v="0"/>
    <x v="6"/>
    <x v="370"/>
    <x v="2"/>
    <x v="2"/>
    <x v="9"/>
    <x v="736"/>
    <x v="901"/>
    <n v="3"/>
    <x v="945"/>
  </r>
  <r>
    <d v="2019-07-16T00:00:00"/>
    <x v="0"/>
    <x v="6"/>
    <x v="302"/>
    <x v="5"/>
    <x v="1"/>
    <x v="1"/>
    <x v="781"/>
    <x v="902"/>
    <n v="3"/>
    <x v="946"/>
  </r>
  <r>
    <d v="2019-07-16T00:00:00"/>
    <x v="0"/>
    <x v="6"/>
    <x v="302"/>
    <x v="5"/>
    <x v="1"/>
    <x v="1"/>
    <x v="782"/>
    <x v="903"/>
    <n v="4"/>
    <x v="947"/>
  </r>
  <r>
    <d v="2019-07-16T00:00:00"/>
    <x v="0"/>
    <x v="6"/>
    <x v="302"/>
    <x v="5"/>
    <x v="2"/>
    <x v="16"/>
    <x v="308"/>
    <x v="433"/>
    <n v="2"/>
    <x v="948"/>
  </r>
  <r>
    <d v="2019-07-16T00:00:00"/>
    <x v="0"/>
    <x v="6"/>
    <x v="369"/>
    <x v="2"/>
    <x v="0"/>
    <x v="8"/>
    <x v="490"/>
    <x v="904"/>
    <n v="3"/>
    <x v="949"/>
  </r>
  <r>
    <d v="2019-07-16T00:00:00"/>
    <x v="0"/>
    <x v="6"/>
    <x v="36"/>
    <x v="39"/>
    <x v="2"/>
    <x v="10"/>
    <x v="363"/>
    <x v="905"/>
    <n v="5"/>
    <x v="950"/>
  </r>
  <r>
    <d v="2019-07-16T00:00:00"/>
    <x v="0"/>
    <x v="6"/>
    <x v="36"/>
    <x v="39"/>
    <x v="2"/>
    <x v="7"/>
    <x v="783"/>
    <x v="906"/>
    <n v="3"/>
    <x v="951"/>
  </r>
  <r>
    <d v="2019-07-16T00:00:00"/>
    <x v="0"/>
    <x v="6"/>
    <x v="36"/>
    <x v="39"/>
    <x v="2"/>
    <x v="5"/>
    <x v="539"/>
    <x v="907"/>
    <n v="5"/>
    <x v="952"/>
  </r>
  <r>
    <d v="2019-07-16T00:00:00"/>
    <x v="0"/>
    <x v="6"/>
    <x v="36"/>
    <x v="39"/>
    <x v="1"/>
    <x v="3"/>
    <x v="784"/>
    <x v="908"/>
    <n v="2"/>
    <x v="953"/>
  </r>
  <r>
    <d v="2019-07-16T00:00:00"/>
    <x v="0"/>
    <x v="6"/>
    <x v="36"/>
    <x v="39"/>
    <x v="2"/>
    <x v="5"/>
    <x v="430"/>
    <x v="909"/>
    <n v="2"/>
    <x v="954"/>
  </r>
  <r>
    <d v="2019-07-16T00:00:00"/>
    <x v="0"/>
    <x v="6"/>
    <x v="36"/>
    <x v="39"/>
    <x v="2"/>
    <x v="9"/>
    <x v="785"/>
    <x v="40"/>
    <n v="9"/>
    <x v="40"/>
  </r>
  <r>
    <d v="2019-07-17T00:00:00"/>
    <x v="0"/>
    <x v="6"/>
    <x v="371"/>
    <x v="1"/>
    <x v="2"/>
    <x v="2"/>
    <x v="620"/>
    <x v="910"/>
    <n v="2"/>
    <x v="955"/>
  </r>
  <r>
    <d v="2019-07-17T00:00:00"/>
    <x v="0"/>
    <x v="6"/>
    <x v="372"/>
    <x v="10"/>
    <x v="2"/>
    <x v="13"/>
    <x v="409"/>
    <x v="911"/>
    <n v="2"/>
    <x v="956"/>
  </r>
  <r>
    <d v="2019-07-17T00:00:00"/>
    <x v="0"/>
    <x v="6"/>
    <x v="372"/>
    <x v="10"/>
    <x v="1"/>
    <x v="1"/>
    <x v="633"/>
    <x v="912"/>
    <n v="3"/>
    <x v="957"/>
  </r>
  <r>
    <d v="2019-07-17T00:00:00"/>
    <x v="0"/>
    <x v="6"/>
    <x v="372"/>
    <x v="10"/>
    <x v="2"/>
    <x v="9"/>
    <x v="786"/>
    <x v="913"/>
    <n v="1"/>
    <x v="958"/>
  </r>
  <r>
    <d v="2019-07-17T00:00:00"/>
    <x v="0"/>
    <x v="6"/>
    <x v="373"/>
    <x v="30"/>
    <x v="2"/>
    <x v="9"/>
    <x v="787"/>
    <x v="801"/>
    <n v="3"/>
    <x v="959"/>
  </r>
  <r>
    <d v="2019-07-17T00:00:00"/>
    <x v="0"/>
    <x v="6"/>
    <x v="373"/>
    <x v="30"/>
    <x v="2"/>
    <x v="2"/>
    <x v="99"/>
    <x v="144"/>
    <n v="3"/>
    <x v="960"/>
  </r>
  <r>
    <d v="2019-07-17T00:00:00"/>
    <x v="0"/>
    <x v="6"/>
    <x v="373"/>
    <x v="30"/>
    <x v="2"/>
    <x v="9"/>
    <x v="170"/>
    <x v="914"/>
    <n v="1"/>
    <x v="961"/>
  </r>
  <r>
    <d v="2019-07-17T00:00:00"/>
    <x v="0"/>
    <x v="6"/>
    <x v="373"/>
    <x v="30"/>
    <x v="2"/>
    <x v="9"/>
    <x v="199"/>
    <x v="448"/>
    <n v="8"/>
    <x v="962"/>
  </r>
  <r>
    <d v="2019-07-17T00:00:00"/>
    <x v="0"/>
    <x v="6"/>
    <x v="373"/>
    <x v="30"/>
    <x v="2"/>
    <x v="2"/>
    <x v="788"/>
    <x v="915"/>
    <n v="1"/>
    <x v="963"/>
  </r>
  <r>
    <d v="2019-07-17T00:00:00"/>
    <x v="0"/>
    <x v="6"/>
    <x v="374"/>
    <x v="9"/>
    <x v="0"/>
    <x v="8"/>
    <x v="789"/>
    <x v="916"/>
    <n v="3"/>
    <x v="964"/>
  </r>
  <r>
    <d v="2019-07-17T00:00:00"/>
    <x v="0"/>
    <x v="6"/>
    <x v="374"/>
    <x v="9"/>
    <x v="1"/>
    <x v="3"/>
    <x v="790"/>
    <x v="917"/>
    <n v="3"/>
    <x v="965"/>
  </r>
  <r>
    <d v="2019-07-17T00:00:00"/>
    <x v="0"/>
    <x v="6"/>
    <x v="374"/>
    <x v="9"/>
    <x v="0"/>
    <x v="8"/>
    <x v="791"/>
    <x v="918"/>
    <n v="5"/>
    <x v="966"/>
  </r>
  <r>
    <d v="2019-07-17T00:00:00"/>
    <x v="0"/>
    <x v="6"/>
    <x v="374"/>
    <x v="9"/>
    <x v="2"/>
    <x v="14"/>
    <x v="792"/>
    <x v="919"/>
    <n v="7"/>
    <x v="967"/>
  </r>
  <r>
    <d v="2019-07-17T00:00:00"/>
    <x v="0"/>
    <x v="6"/>
    <x v="374"/>
    <x v="9"/>
    <x v="2"/>
    <x v="2"/>
    <x v="532"/>
    <x v="920"/>
    <n v="2"/>
    <x v="968"/>
  </r>
  <r>
    <d v="2019-07-17T00:00:00"/>
    <x v="0"/>
    <x v="6"/>
    <x v="374"/>
    <x v="9"/>
    <x v="1"/>
    <x v="1"/>
    <x v="30"/>
    <x v="921"/>
    <n v="2"/>
    <x v="969"/>
  </r>
  <r>
    <d v="2019-07-17T00:00:00"/>
    <x v="0"/>
    <x v="6"/>
    <x v="374"/>
    <x v="9"/>
    <x v="2"/>
    <x v="5"/>
    <x v="793"/>
    <x v="922"/>
    <n v="3"/>
    <x v="970"/>
  </r>
  <r>
    <d v="2019-07-17T00:00:00"/>
    <x v="0"/>
    <x v="6"/>
    <x v="297"/>
    <x v="12"/>
    <x v="2"/>
    <x v="13"/>
    <x v="794"/>
    <x v="923"/>
    <n v="2"/>
    <x v="971"/>
  </r>
  <r>
    <d v="2019-07-18T00:00:00"/>
    <x v="0"/>
    <x v="6"/>
    <x v="375"/>
    <x v="22"/>
    <x v="0"/>
    <x v="11"/>
    <x v="763"/>
    <x v="924"/>
    <n v="3"/>
    <x v="972"/>
  </r>
  <r>
    <d v="2019-07-18T00:00:00"/>
    <x v="0"/>
    <x v="6"/>
    <x v="375"/>
    <x v="22"/>
    <x v="2"/>
    <x v="5"/>
    <x v="411"/>
    <x v="925"/>
    <n v="3"/>
    <x v="973"/>
  </r>
  <r>
    <d v="2019-07-18T00:00:00"/>
    <x v="0"/>
    <x v="6"/>
    <x v="375"/>
    <x v="22"/>
    <x v="0"/>
    <x v="11"/>
    <x v="795"/>
    <x v="926"/>
    <n v="3"/>
    <x v="974"/>
  </r>
  <r>
    <d v="2019-07-18T00:00:00"/>
    <x v="0"/>
    <x v="6"/>
    <x v="375"/>
    <x v="22"/>
    <x v="2"/>
    <x v="2"/>
    <x v="796"/>
    <x v="927"/>
    <n v="2"/>
    <x v="72"/>
  </r>
  <r>
    <d v="2019-07-18T00:00:00"/>
    <x v="0"/>
    <x v="6"/>
    <x v="375"/>
    <x v="22"/>
    <x v="2"/>
    <x v="2"/>
    <x v="559"/>
    <x v="880"/>
    <n v="3"/>
    <x v="919"/>
  </r>
  <r>
    <d v="2019-07-18T00:00:00"/>
    <x v="0"/>
    <x v="6"/>
    <x v="345"/>
    <x v="19"/>
    <x v="0"/>
    <x v="11"/>
    <x v="797"/>
    <x v="928"/>
    <n v="1"/>
    <x v="975"/>
  </r>
  <r>
    <d v="2019-07-18T00:00:00"/>
    <x v="0"/>
    <x v="6"/>
    <x v="376"/>
    <x v="20"/>
    <x v="2"/>
    <x v="16"/>
    <x v="176"/>
    <x v="929"/>
    <n v="5"/>
    <x v="976"/>
  </r>
  <r>
    <d v="2019-07-18T00:00:00"/>
    <x v="0"/>
    <x v="6"/>
    <x v="140"/>
    <x v="2"/>
    <x v="1"/>
    <x v="3"/>
    <x v="798"/>
    <x v="930"/>
    <n v="3"/>
    <x v="977"/>
  </r>
  <r>
    <d v="2019-07-18T00:00:00"/>
    <x v="0"/>
    <x v="6"/>
    <x v="377"/>
    <x v="20"/>
    <x v="1"/>
    <x v="1"/>
    <x v="799"/>
    <x v="931"/>
    <n v="1"/>
    <x v="978"/>
  </r>
  <r>
    <d v="2019-07-18T00:00:00"/>
    <x v="0"/>
    <x v="6"/>
    <x v="378"/>
    <x v="5"/>
    <x v="2"/>
    <x v="7"/>
    <x v="667"/>
    <x v="739"/>
    <n v="8"/>
    <x v="979"/>
  </r>
  <r>
    <d v="2019-07-18T00:00:00"/>
    <x v="0"/>
    <x v="6"/>
    <x v="378"/>
    <x v="5"/>
    <x v="2"/>
    <x v="2"/>
    <x v="800"/>
    <x v="932"/>
    <n v="10"/>
    <x v="980"/>
  </r>
  <r>
    <d v="2019-07-18T00:00:00"/>
    <x v="0"/>
    <x v="6"/>
    <x v="378"/>
    <x v="5"/>
    <x v="2"/>
    <x v="9"/>
    <x v="525"/>
    <x v="674"/>
    <n v="4"/>
    <x v="693"/>
  </r>
  <r>
    <d v="2019-07-19T00:00:00"/>
    <x v="0"/>
    <x v="6"/>
    <x v="379"/>
    <x v="16"/>
    <x v="0"/>
    <x v="8"/>
    <x v="801"/>
    <x v="933"/>
    <n v="6"/>
    <x v="981"/>
  </r>
  <r>
    <d v="2019-07-19T00:00:00"/>
    <x v="0"/>
    <x v="6"/>
    <x v="379"/>
    <x v="16"/>
    <x v="2"/>
    <x v="5"/>
    <x v="698"/>
    <x v="934"/>
    <n v="2"/>
    <x v="982"/>
  </r>
  <r>
    <d v="2019-07-19T00:00:00"/>
    <x v="0"/>
    <x v="6"/>
    <x v="379"/>
    <x v="16"/>
    <x v="2"/>
    <x v="2"/>
    <x v="288"/>
    <x v="310"/>
    <n v="4"/>
    <x v="312"/>
  </r>
  <r>
    <d v="2019-07-19T00:00:00"/>
    <x v="0"/>
    <x v="6"/>
    <x v="379"/>
    <x v="16"/>
    <x v="2"/>
    <x v="9"/>
    <x v="41"/>
    <x v="935"/>
    <n v="6"/>
    <x v="983"/>
  </r>
  <r>
    <d v="2019-07-19T00:00:00"/>
    <x v="0"/>
    <x v="6"/>
    <x v="379"/>
    <x v="16"/>
    <x v="2"/>
    <x v="5"/>
    <x v="802"/>
    <x v="936"/>
    <n v="1"/>
    <x v="984"/>
  </r>
  <r>
    <d v="2019-07-19T00:00:00"/>
    <x v="0"/>
    <x v="6"/>
    <x v="379"/>
    <x v="16"/>
    <x v="0"/>
    <x v="0"/>
    <x v="803"/>
    <x v="937"/>
    <n v="5"/>
    <x v="985"/>
  </r>
  <r>
    <d v="2019-07-19T00:00:00"/>
    <x v="0"/>
    <x v="6"/>
    <x v="380"/>
    <x v="1"/>
    <x v="1"/>
    <x v="1"/>
    <x v="804"/>
    <x v="938"/>
    <n v="2"/>
    <x v="986"/>
  </r>
  <r>
    <d v="2019-07-19T00:00:00"/>
    <x v="0"/>
    <x v="6"/>
    <x v="380"/>
    <x v="1"/>
    <x v="1"/>
    <x v="3"/>
    <x v="644"/>
    <x v="724"/>
    <n v="3"/>
    <x v="748"/>
  </r>
  <r>
    <d v="2019-07-20T00:00:00"/>
    <x v="0"/>
    <x v="6"/>
    <x v="381"/>
    <x v="12"/>
    <x v="1"/>
    <x v="1"/>
    <x v="805"/>
    <x v="939"/>
    <n v="5"/>
    <x v="987"/>
  </r>
  <r>
    <d v="2019-07-21T00:00:00"/>
    <x v="0"/>
    <x v="6"/>
    <x v="141"/>
    <x v="5"/>
    <x v="2"/>
    <x v="5"/>
    <x v="523"/>
    <x v="940"/>
    <n v="1"/>
    <x v="988"/>
  </r>
  <r>
    <d v="2019-07-21T00:00:00"/>
    <x v="0"/>
    <x v="6"/>
    <x v="90"/>
    <x v="8"/>
    <x v="2"/>
    <x v="7"/>
    <x v="806"/>
    <x v="299"/>
    <n v="2"/>
    <x v="989"/>
  </r>
  <r>
    <d v="2019-07-21T00:00:00"/>
    <x v="0"/>
    <x v="6"/>
    <x v="90"/>
    <x v="8"/>
    <x v="2"/>
    <x v="5"/>
    <x v="807"/>
    <x v="941"/>
    <n v="7"/>
    <x v="990"/>
  </r>
  <r>
    <d v="2019-07-21T00:00:00"/>
    <x v="0"/>
    <x v="6"/>
    <x v="90"/>
    <x v="8"/>
    <x v="2"/>
    <x v="2"/>
    <x v="808"/>
    <x v="942"/>
    <n v="1"/>
    <x v="991"/>
  </r>
  <r>
    <d v="2019-07-21T00:00:00"/>
    <x v="0"/>
    <x v="6"/>
    <x v="90"/>
    <x v="8"/>
    <x v="2"/>
    <x v="2"/>
    <x v="110"/>
    <x v="943"/>
    <n v="2"/>
    <x v="992"/>
  </r>
  <r>
    <d v="2019-07-21T00:00:00"/>
    <x v="0"/>
    <x v="6"/>
    <x v="191"/>
    <x v="4"/>
    <x v="2"/>
    <x v="14"/>
    <x v="809"/>
    <x v="944"/>
    <n v="3"/>
    <x v="993"/>
  </r>
  <r>
    <d v="2019-07-21T00:00:00"/>
    <x v="0"/>
    <x v="6"/>
    <x v="191"/>
    <x v="4"/>
    <x v="0"/>
    <x v="11"/>
    <x v="810"/>
    <x v="945"/>
    <n v="5"/>
    <x v="72"/>
  </r>
  <r>
    <d v="2019-07-21T00:00:00"/>
    <x v="0"/>
    <x v="6"/>
    <x v="151"/>
    <x v="1"/>
    <x v="2"/>
    <x v="10"/>
    <x v="104"/>
    <x v="946"/>
    <n v="5"/>
    <x v="994"/>
  </r>
  <r>
    <d v="2019-07-21T00:00:00"/>
    <x v="0"/>
    <x v="6"/>
    <x v="151"/>
    <x v="1"/>
    <x v="2"/>
    <x v="14"/>
    <x v="811"/>
    <x v="947"/>
    <n v="1"/>
    <x v="995"/>
  </r>
  <r>
    <d v="2019-07-22T00:00:00"/>
    <x v="0"/>
    <x v="6"/>
    <x v="24"/>
    <x v="1"/>
    <x v="2"/>
    <x v="14"/>
    <x v="811"/>
    <x v="948"/>
    <n v="2"/>
    <x v="996"/>
  </r>
  <r>
    <d v="2019-07-22T00:00:00"/>
    <x v="0"/>
    <x v="6"/>
    <x v="109"/>
    <x v="5"/>
    <x v="2"/>
    <x v="7"/>
    <x v="812"/>
    <x v="949"/>
    <n v="2"/>
    <x v="997"/>
  </r>
  <r>
    <d v="2019-07-22T00:00:00"/>
    <x v="0"/>
    <x v="6"/>
    <x v="109"/>
    <x v="5"/>
    <x v="0"/>
    <x v="8"/>
    <x v="813"/>
    <x v="43"/>
    <n v="2"/>
    <x v="998"/>
  </r>
  <r>
    <d v="2019-07-22T00:00:00"/>
    <x v="0"/>
    <x v="6"/>
    <x v="374"/>
    <x v="25"/>
    <x v="1"/>
    <x v="3"/>
    <x v="814"/>
    <x v="950"/>
    <n v="1"/>
    <x v="999"/>
  </r>
  <r>
    <d v="2019-07-22T00:00:00"/>
    <x v="0"/>
    <x v="6"/>
    <x v="374"/>
    <x v="25"/>
    <x v="2"/>
    <x v="2"/>
    <x v="351"/>
    <x v="951"/>
    <n v="5"/>
    <x v="1000"/>
  </r>
  <r>
    <d v="2019-07-22T00:00:00"/>
    <x v="0"/>
    <x v="6"/>
    <x v="374"/>
    <x v="25"/>
    <x v="2"/>
    <x v="7"/>
    <x v="815"/>
    <x v="952"/>
    <n v="5"/>
    <x v="1001"/>
  </r>
  <r>
    <d v="2019-07-22T00:00:00"/>
    <x v="0"/>
    <x v="6"/>
    <x v="374"/>
    <x v="25"/>
    <x v="2"/>
    <x v="9"/>
    <x v="816"/>
    <x v="711"/>
    <n v="5"/>
    <x v="734"/>
  </r>
  <r>
    <d v="2019-07-22T00:00:00"/>
    <x v="0"/>
    <x v="6"/>
    <x v="382"/>
    <x v="31"/>
    <x v="2"/>
    <x v="16"/>
    <x v="817"/>
    <x v="953"/>
    <n v="5"/>
    <x v="1002"/>
  </r>
  <r>
    <d v="2019-07-22T00:00:00"/>
    <x v="0"/>
    <x v="6"/>
    <x v="12"/>
    <x v="0"/>
    <x v="2"/>
    <x v="13"/>
    <x v="305"/>
    <x v="954"/>
    <n v="2"/>
    <x v="1003"/>
  </r>
  <r>
    <d v="2019-07-22T00:00:00"/>
    <x v="0"/>
    <x v="6"/>
    <x v="12"/>
    <x v="0"/>
    <x v="2"/>
    <x v="9"/>
    <x v="818"/>
    <x v="448"/>
    <n v="8"/>
    <x v="456"/>
  </r>
  <r>
    <d v="2019-07-22T00:00:00"/>
    <x v="0"/>
    <x v="6"/>
    <x v="12"/>
    <x v="0"/>
    <x v="0"/>
    <x v="8"/>
    <x v="819"/>
    <x v="955"/>
    <n v="3"/>
    <x v="1004"/>
  </r>
  <r>
    <d v="2019-07-22T00:00:00"/>
    <x v="0"/>
    <x v="6"/>
    <x v="12"/>
    <x v="0"/>
    <x v="2"/>
    <x v="5"/>
    <x v="820"/>
    <x v="956"/>
    <n v="3"/>
    <x v="1005"/>
  </r>
  <r>
    <d v="2019-07-23T00:00:00"/>
    <x v="0"/>
    <x v="6"/>
    <x v="54"/>
    <x v="6"/>
    <x v="2"/>
    <x v="7"/>
    <x v="306"/>
    <x v="957"/>
    <n v="2"/>
    <x v="1006"/>
  </r>
  <r>
    <d v="2019-07-23T00:00:00"/>
    <x v="0"/>
    <x v="6"/>
    <x v="54"/>
    <x v="6"/>
    <x v="2"/>
    <x v="13"/>
    <x v="821"/>
    <x v="958"/>
    <n v="2"/>
    <x v="1007"/>
  </r>
  <r>
    <d v="2019-07-23T00:00:00"/>
    <x v="0"/>
    <x v="6"/>
    <x v="54"/>
    <x v="6"/>
    <x v="1"/>
    <x v="15"/>
    <x v="822"/>
    <x v="959"/>
    <n v="1"/>
    <x v="1008"/>
  </r>
  <r>
    <d v="2019-07-23T00:00:00"/>
    <x v="0"/>
    <x v="6"/>
    <x v="383"/>
    <x v="17"/>
    <x v="2"/>
    <x v="5"/>
    <x v="823"/>
    <x v="960"/>
    <n v="4"/>
    <x v="1009"/>
  </r>
  <r>
    <d v="2019-07-23T00:00:00"/>
    <x v="0"/>
    <x v="6"/>
    <x v="302"/>
    <x v="2"/>
    <x v="2"/>
    <x v="7"/>
    <x v="824"/>
    <x v="647"/>
    <n v="2"/>
    <x v="666"/>
  </r>
  <r>
    <d v="2019-07-23T00:00:00"/>
    <x v="0"/>
    <x v="6"/>
    <x v="302"/>
    <x v="2"/>
    <x v="2"/>
    <x v="9"/>
    <x v="825"/>
    <x v="138"/>
    <n v="1"/>
    <x v="137"/>
  </r>
  <r>
    <d v="2019-07-23T00:00:00"/>
    <x v="0"/>
    <x v="6"/>
    <x v="302"/>
    <x v="2"/>
    <x v="2"/>
    <x v="7"/>
    <x v="302"/>
    <x v="961"/>
    <n v="5"/>
    <x v="1010"/>
  </r>
  <r>
    <d v="2019-07-23T00:00:00"/>
    <x v="0"/>
    <x v="6"/>
    <x v="302"/>
    <x v="2"/>
    <x v="2"/>
    <x v="5"/>
    <x v="7"/>
    <x v="962"/>
    <n v="4"/>
    <x v="1011"/>
  </r>
  <r>
    <d v="2019-07-23T00:00:00"/>
    <x v="0"/>
    <x v="6"/>
    <x v="302"/>
    <x v="2"/>
    <x v="2"/>
    <x v="16"/>
    <x v="826"/>
    <x v="963"/>
    <n v="2"/>
    <x v="1012"/>
  </r>
  <r>
    <d v="2019-07-23T00:00:00"/>
    <x v="0"/>
    <x v="6"/>
    <x v="384"/>
    <x v="2"/>
    <x v="1"/>
    <x v="1"/>
    <x v="827"/>
    <x v="964"/>
    <n v="8"/>
    <x v="1013"/>
  </r>
  <r>
    <d v="2019-07-24T00:00:00"/>
    <x v="0"/>
    <x v="6"/>
    <x v="385"/>
    <x v="12"/>
    <x v="0"/>
    <x v="11"/>
    <x v="828"/>
    <x v="965"/>
    <n v="2"/>
    <x v="1014"/>
  </r>
  <r>
    <d v="2019-07-24T00:00:00"/>
    <x v="0"/>
    <x v="6"/>
    <x v="386"/>
    <x v="28"/>
    <x v="2"/>
    <x v="7"/>
    <x v="398"/>
    <x v="432"/>
    <n v="5"/>
    <x v="441"/>
  </r>
  <r>
    <d v="2019-07-25T00:00:00"/>
    <x v="0"/>
    <x v="6"/>
    <x v="265"/>
    <x v="1"/>
    <x v="2"/>
    <x v="5"/>
    <x v="266"/>
    <x v="966"/>
    <n v="8"/>
    <x v="1015"/>
  </r>
  <r>
    <d v="2019-07-25T00:00:00"/>
    <x v="0"/>
    <x v="6"/>
    <x v="265"/>
    <x v="1"/>
    <x v="0"/>
    <x v="8"/>
    <x v="229"/>
    <x v="967"/>
    <n v="4"/>
    <x v="1016"/>
  </r>
  <r>
    <d v="2019-07-25T00:00:00"/>
    <x v="0"/>
    <x v="6"/>
    <x v="265"/>
    <x v="1"/>
    <x v="0"/>
    <x v="11"/>
    <x v="829"/>
    <x v="968"/>
    <n v="2"/>
    <x v="1017"/>
  </r>
  <r>
    <d v="2019-07-25T00:00:00"/>
    <x v="0"/>
    <x v="6"/>
    <x v="265"/>
    <x v="1"/>
    <x v="0"/>
    <x v="8"/>
    <x v="778"/>
    <x v="969"/>
    <n v="9"/>
    <x v="1018"/>
  </r>
  <r>
    <d v="2019-07-25T00:00:00"/>
    <x v="0"/>
    <x v="6"/>
    <x v="32"/>
    <x v="8"/>
    <x v="1"/>
    <x v="6"/>
    <x v="830"/>
    <x v="970"/>
    <n v="4"/>
    <x v="1019"/>
  </r>
  <r>
    <d v="2019-07-25T00:00:00"/>
    <x v="0"/>
    <x v="6"/>
    <x v="387"/>
    <x v="1"/>
    <x v="2"/>
    <x v="12"/>
    <x v="717"/>
    <x v="971"/>
    <n v="6"/>
    <x v="1020"/>
  </r>
  <r>
    <d v="2019-07-25T00:00:00"/>
    <x v="0"/>
    <x v="6"/>
    <x v="86"/>
    <x v="8"/>
    <x v="2"/>
    <x v="13"/>
    <x v="831"/>
    <x v="972"/>
    <n v="5"/>
    <x v="1021"/>
  </r>
  <r>
    <d v="2019-07-25T00:00:00"/>
    <x v="0"/>
    <x v="6"/>
    <x v="388"/>
    <x v="2"/>
    <x v="2"/>
    <x v="14"/>
    <x v="438"/>
    <x v="474"/>
    <n v="4"/>
    <x v="484"/>
  </r>
  <r>
    <d v="2019-07-25T00:00:00"/>
    <x v="0"/>
    <x v="6"/>
    <x v="389"/>
    <x v="16"/>
    <x v="2"/>
    <x v="2"/>
    <x v="451"/>
    <x v="973"/>
    <n v="1"/>
    <x v="1022"/>
  </r>
  <r>
    <d v="2019-07-25T00:00:00"/>
    <x v="0"/>
    <x v="6"/>
    <x v="389"/>
    <x v="16"/>
    <x v="2"/>
    <x v="9"/>
    <x v="832"/>
    <x v="974"/>
    <n v="5"/>
    <x v="1023"/>
  </r>
  <r>
    <d v="2019-07-25T00:00:00"/>
    <x v="0"/>
    <x v="6"/>
    <x v="389"/>
    <x v="16"/>
    <x v="0"/>
    <x v="4"/>
    <x v="173"/>
    <x v="975"/>
    <n v="8"/>
    <x v="1024"/>
  </r>
  <r>
    <d v="2019-07-25T00:00:00"/>
    <x v="0"/>
    <x v="6"/>
    <x v="390"/>
    <x v="18"/>
    <x v="2"/>
    <x v="5"/>
    <x v="833"/>
    <x v="976"/>
    <n v="1"/>
    <x v="1025"/>
  </r>
  <r>
    <d v="2019-07-25T00:00:00"/>
    <x v="0"/>
    <x v="6"/>
    <x v="21"/>
    <x v="2"/>
    <x v="2"/>
    <x v="10"/>
    <x v="34"/>
    <x v="977"/>
    <n v="1"/>
    <x v="1026"/>
  </r>
  <r>
    <d v="2019-07-25T00:00:00"/>
    <x v="0"/>
    <x v="6"/>
    <x v="170"/>
    <x v="1"/>
    <x v="2"/>
    <x v="7"/>
    <x v="834"/>
    <x v="978"/>
    <n v="9"/>
    <x v="122"/>
  </r>
  <r>
    <d v="2019-07-25T00:00:00"/>
    <x v="0"/>
    <x v="6"/>
    <x v="277"/>
    <x v="7"/>
    <x v="2"/>
    <x v="9"/>
    <x v="143"/>
    <x v="979"/>
    <n v="2"/>
    <x v="1027"/>
  </r>
  <r>
    <d v="2019-07-25T00:00:00"/>
    <x v="0"/>
    <x v="6"/>
    <x v="277"/>
    <x v="7"/>
    <x v="1"/>
    <x v="3"/>
    <x v="835"/>
    <x v="980"/>
    <n v="7"/>
    <x v="1028"/>
  </r>
  <r>
    <d v="2019-07-25T00:00:00"/>
    <x v="0"/>
    <x v="6"/>
    <x v="277"/>
    <x v="7"/>
    <x v="1"/>
    <x v="1"/>
    <x v="768"/>
    <x v="981"/>
    <n v="5"/>
    <x v="1029"/>
  </r>
  <r>
    <d v="2019-07-25T00:00:00"/>
    <x v="0"/>
    <x v="6"/>
    <x v="277"/>
    <x v="7"/>
    <x v="0"/>
    <x v="11"/>
    <x v="836"/>
    <x v="982"/>
    <n v="4"/>
    <x v="1030"/>
  </r>
  <r>
    <d v="2019-07-25T00:00:00"/>
    <x v="0"/>
    <x v="6"/>
    <x v="277"/>
    <x v="7"/>
    <x v="0"/>
    <x v="8"/>
    <x v="837"/>
    <x v="983"/>
    <n v="5"/>
    <x v="1031"/>
  </r>
  <r>
    <d v="2019-07-28T00:00:00"/>
    <x v="0"/>
    <x v="6"/>
    <x v="391"/>
    <x v="25"/>
    <x v="2"/>
    <x v="12"/>
    <x v="163"/>
    <x v="984"/>
    <n v="7"/>
    <x v="1032"/>
  </r>
  <r>
    <d v="2019-07-28T00:00:00"/>
    <x v="0"/>
    <x v="6"/>
    <x v="391"/>
    <x v="25"/>
    <x v="2"/>
    <x v="9"/>
    <x v="838"/>
    <x v="483"/>
    <n v="2"/>
    <x v="494"/>
  </r>
  <r>
    <d v="2019-07-28T00:00:00"/>
    <x v="0"/>
    <x v="6"/>
    <x v="392"/>
    <x v="1"/>
    <x v="2"/>
    <x v="14"/>
    <x v="839"/>
    <x v="744"/>
    <n v="3"/>
    <x v="771"/>
  </r>
  <r>
    <d v="2019-07-28T00:00:00"/>
    <x v="0"/>
    <x v="6"/>
    <x v="311"/>
    <x v="5"/>
    <x v="0"/>
    <x v="0"/>
    <x v="243"/>
    <x v="985"/>
    <n v="5"/>
    <x v="1033"/>
  </r>
  <r>
    <d v="2019-07-28T00:00:00"/>
    <x v="0"/>
    <x v="6"/>
    <x v="311"/>
    <x v="5"/>
    <x v="2"/>
    <x v="5"/>
    <x v="840"/>
    <x v="986"/>
    <n v="6"/>
    <x v="1034"/>
  </r>
  <r>
    <d v="2019-07-28T00:00:00"/>
    <x v="0"/>
    <x v="6"/>
    <x v="311"/>
    <x v="5"/>
    <x v="2"/>
    <x v="13"/>
    <x v="841"/>
    <x v="987"/>
    <n v="3"/>
    <x v="1035"/>
  </r>
  <r>
    <d v="2019-07-28T00:00:00"/>
    <x v="0"/>
    <x v="6"/>
    <x v="237"/>
    <x v="2"/>
    <x v="0"/>
    <x v="8"/>
    <x v="269"/>
    <x v="370"/>
    <n v="5"/>
    <x v="1036"/>
  </r>
  <r>
    <d v="2019-07-28T00:00:00"/>
    <x v="0"/>
    <x v="6"/>
    <x v="237"/>
    <x v="2"/>
    <x v="0"/>
    <x v="8"/>
    <x v="842"/>
    <x v="988"/>
    <n v="5"/>
    <x v="1037"/>
  </r>
  <r>
    <d v="2019-07-29T00:00:00"/>
    <x v="0"/>
    <x v="6"/>
    <x v="9"/>
    <x v="5"/>
    <x v="2"/>
    <x v="2"/>
    <x v="709"/>
    <x v="277"/>
    <n v="2"/>
    <x v="1038"/>
  </r>
  <r>
    <d v="2019-07-29T00:00:00"/>
    <x v="0"/>
    <x v="6"/>
    <x v="393"/>
    <x v="6"/>
    <x v="2"/>
    <x v="5"/>
    <x v="843"/>
    <x v="989"/>
    <n v="3"/>
    <x v="1039"/>
  </r>
  <r>
    <d v="2019-07-29T00:00:00"/>
    <x v="0"/>
    <x v="6"/>
    <x v="394"/>
    <x v="4"/>
    <x v="2"/>
    <x v="2"/>
    <x v="844"/>
    <x v="990"/>
    <n v="5"/>
    <x v="1040"/>
  </r>
  <r>
    <d v="2019-07-29T00:00:00"/>
    <x v="0"/>
    <x v="6"/>
    <x v="394"/>
    <x v="4"/>
    <x v="2"/>
    <x v="5"/>
    <x v="845"/>
    <x v="991"/>
    <n v="3"/>
    <x v="1041"/>
  </r>
  <r>
    <d v="2019-07-30T00:00:00"/>
    <x v="0"/>
    <x v="6"/>
    <x v="395"/>
    <x v="2"/>
    <x v="2"/>
    <x v="5"/>
    <x v="238"/>
    <x v="992"/>
    <n v="3"/>
    <x v="1042"/>
  </r>
  <r>
    <d v="2019-07-30T00:00:00"/>
    <x v="0"/>
    <x v="6"/>
    <x v="355"/>
    <x v="17"/>
    <x v="2"/>
    <x v="14"/>
    <x v="846"/>
    <x v="993"/>
    <n v="4"/>
    <x v="1043"/>
  </r>
  <r>
    <d v="2019-07-30T00:00:00"/>
    <x v="0"/>
    <x v="6"/>
    <x v="355"/>
    <x v="17"/>
    <x v="2"/>
    <x v="2"/>
    <x v="391"/>
    <x v="994"/>
    <n v="2"/>
    <x v="1044"/>
  </r>
  <r>
    <d v="2019-07-30T00:00:00"/>
    <x v="0"/>
    <x v="6"/>
    <x v="99"/>
    <x v="1"/>
    <x v="2"/>
    <x v="13"/>
    <x v="847"/>
    <x v="995"/>
    <n v="2"/>
    <x v="1045"/>
  </r>
  <r>
    <d v="2019-07-31T00:00:00"/>
    <x v="0"/>
    <x v="6"/>
    <x v="280"/>
    <x v="25"/>
    <x v="2"/>
    <x v="13"/>
    <x v="848"/>
    <x v="996"/>
    <n v="4"/>
    <x v="1046"/>
  </r>
  <r>
    <d v="2019-07-31T00:00:00"/>
    <x v="0"/>
    <x v="6"/>
    <x v="280"/>
    <x v="25"/>
    <x v="1"/>
    <x v="1"/>
    <x v="849"/>
    <x v="997"/>
    <n v="4"/>
    <x v="1047"/>
  </r>
  <r>
    <d v="2019-07-31T00:00:00"/>
    <x v="0"/>
    <x v="6"/>
    <x v="280"/>
    <x v="25"/>
    <x v="1"/>
    <x v="1"/>
    <x v="850"/>
    <x v="998"/>
    <n v="1"/>
    <x v="1048"/>
  </r>
  <r>
    <d v="2019-07-31T00:00:00"/>
    <x v="0"/>
    <x v="6"/>
    <x v="280"/>
    <x v="25"/>
    <x v="0"/>
    <x v="8"/>
    <x v="851"/>
    <x v="999"/>
    <n v="3"/>
    <x v="1049"/>
  </r>
  <r>
    <d v="2019-07-31T00:00:00"/>
    <x v="0"/>
    <x v="6"/>
    <x v="272"/>
    <x v="1"/>
    <x v="0"/>
    <x v="4"/>
    <x v="852"/>
    <x v="1000"/>
    <n v="7"/>
    <x v="1050"/>
  </r>
  <r>
    <d v="2019-08-01T00:00:00"/>
    <x v="0"/>
    <x v="7"/>
    <x v="396"/>
    <x v="2"/>
    <x v="2"/>
    <x v="9"/>
    <x v="84"/>
    <x v="1001"/>
    <n v="2"/>
    <x v="1051"/>
  </r>
  <r>
    <d v="2019-08-01T00:00:00"/>
    <x v="0"/>
    <x v="7"/>
    <x v="397"/>
    <x v="1"/>
    <x v="1"/>
    <x v="1"/>
    <x v="213"/>
    <x v="1002"/>
    <n v="2"/>
    <x v="1052"/>
  </r>
  <r>
    <d v="2019-08-01T00:00:00"/>
    <x v="0"/>
    <x v="7"/>
    <x v="397"/>
    <x v="1"/>
    <x v="2"/>
    <x v="13"/>
    <x v="794"/>
    <x v="923"/>
    <n v="2"/>
    <x v="971"/>
  </r>
  <r>
    <d v="2019-08-01T00:00:00"/>
    <x v="0"/>
    <x v="7"/>
    <x v="392"/>
    <x v="5"/>
    <x v="0"/>
    <x v="8"/>
    <x v="853"/>
    <x v="1003"/>
    <n v="2"/>
    <x v="1053"/>
  </r>
  <r>
    <d v="2019-08-02T00:00:00"/>
    <x v="0"/>
    <x v="7"/>
    <x v="359"/>
    <x v="1"/>
    <x v="0"/>
    <x v="4"/>
    <x v="854"/>
    <x v="1004"/>
    <n v="2"/>
    <x v="1054"/>
  </r>
  <r>
    <d v="2019-08-02T00:00:00"/>
    <x v="0"/>
    <x v="7"/>
    <x v="359"/>
    <x v="1"/>
    <x v="1"/>
    <x v="1"/>
    <x v="549"/>
    <x v="1005"/>
    <n v="3"/>
    <x v="1055"/>
  </r>
  <r>
    <d v="2019-08-02T00:00:00"/>
    <x v="0"/>
    <x v="7"/>
    <x v="359"/>
    <x v="1"/>
    <x v="2"/>
    <x v="5"/>
    <x v="65"/>
    <x v="721"/>
    <n v="2"/>
    <x v="1056"/>
  </r>
  <r>
    <d v="2019-08-03T00:00:00"/>
    <x v="0"/>
    <x v="7"/>
    <x v="398"/>
    <x v="3"/>
    <x v="2"/>
    <x v="10"/>
    <x v="855"/>
    <x v="1006"/>
    <n v="3"/>
    <x v="1057"/>
  </r>
  <r>
    <d v="2019-08-03T00:00:00"/>
    <x v="0"/>
    <x v="7"/>
    <x v="398"/>
    <x v="3"/>
    <x v="1"/>
    <x v="3"/>
    <x v="856"/>
    <x v="1007"/>
    <n v="12"/>
    <x v="1058"/>
  </r>
  <r>
    <d v="2019-08-04T00:00:00"/>
    <x v="0"/>
    <x v="7"/>
    <x v="399"/>
    <x v="18"/>
    <x v="2"/>
    <x v="16"/>
    <x v="857"/>
    <x v="1008"/>
    <n v="2"/>
    <x v="1059"/>
  </r>
  <r>
    <d v="2019-08-04T00:00:00"/>
    <x v="0"/>
    <x v="7"/>
    <x v="399"/>
    <x v="18"/>
    <x v="2"/>
    <x v="14"/>
    <x v="57"/>
    <x v="1009"/>
    <n v="1"/>
    <x v="1060"/>
  </r>
  <r>
    <d v="2019-08-04T00:00:00"/>
    <x v="0"/>
    <x v="7"/>
    <x v="399"/>
    <x v="18"/>
    <x v="0"/>
    <x v="8"/>
    <x v="858"/>
    <x v="1010"/>
    <n v="9"/>
    <x v="1061"/>
  </r>
  <r>
    <d v="2019-08-04T00:00:00"/>
    <x v="0"/>
    <x v="7"/>
    <x v="399"/>
    <x v="18"/>
    <x v="2"/>
    <x v="14"/>
    <x v="859"/>
    <x v="1011"/>
    <n v="2"/>
    <x v="1062"/>
  </r>
  <r>
    <d v="2019-08-04T00:00:00"/>
    <x v="0"/>
    <x v="7"/>
    <x v="400"/>
    <x v="17"/>
    <x v="2"/>
    <x v="5"/>
    <x v="682"/>
    <x v="1012"/>
    <n v="5"/>
    <x v="1063"/>
  </r>
  <r>
    <d v="2019-08-04T00:00:00"/>
    <x v="0"/>
    <x v="7"/>
    <x v="274"/>
    <x v="1"/>
    <x v="1"/>
    <x v="1"/>
    <x v="860"/>
    <x v="1013"/>
    <n v="2"/>
    <x v="1064"/>
  </r>
  <r>
    <d v="2019-08-04T00:00:00"/>
    <x v="0"/>
    <x v="7"/>
    <x v="274"/>
    <x v="1"/>
    <x v="2"/>
    <x v="5"/>
    <x v="217"/>
    <x v="1014"/>
    <n v="3"/>
    <x v="1065"/>
  </r>
  <r>
    <d v="2019-08-04T00:00:00"/>
    <x v="0"/>
    <x v="7"/>
    <x v="274"/>
    <x v="1"/>
    <x v="2"/>
    <x v="5"/>
    <x v="543"/>
    <x v="1015"/>
    <n v="3"/>
    <x v="1066"/>
  </r>
  <r>
    <d v="2019-08-05T00:00:00"/>
    <x v="0"/>
    <x v="7"/>
    <x v="12"/>
    <x v="36"/>
    <x v="2"/>
    <x v="7"/>
    <x v="861"/>
    <x v="1016"/>
    <n v="7"/>
    <x v="1067"/>
  </r>
  <r>
    <d v="2019-08-06T00:00:00"/>
    <x v="0"/>
    <x v="7"/>
    <x v="272"/>
    <x v="12"/>
    <x v="2"/>
    <x v="9"/>
    <x v="84"/>
    <x v="147"/>
    <n v="2"/>
    <x v="146"/>
  </r>
  <r>
    <d v="2019-08-06T00:00:00"/>
    <x v="0"/>
    <x v="7"/>
    <x v="401"/>
    <x v="1"/>
    <x v="1"/>
    <x v="1"/>
    <x v="862"/>
    <x v="623"/>
    <n v="4"/>
    <x v="1068"/>
  </r>
  <r>
    <d v="2019-08-06T00:00:00"/>
    <x v="0"/>
    <x v="7"/>
    <x v="402"/>
    <x v="12"/>
    <x v="2"/>
    <x v="7"/>
    <x v="330"/>
    <x v="1017"/>
    <n v="9"/>
    <x v="1069"/>
  </r>
  <r>
    <d v="2019-08-07T00:00:00"/>
    <x v="0"/>
    <x v="7"/>
    <x v="403"/>
    <x v="9"/>
    <x v="1"/>
    <x v="3"/>
    <x v="863"/>
    <x v="1018"/>
    <n v="3"/>
    <x v="1070"/>
  </r>
  <r>
    <d v="2019-08-08T00:00:00"/>
    <x v="0"/>
    <x v="7"/>
    <x v="72"/>
    <x v="2"/>
    <x v="2"/>
    <x v="12"/>
    <x v="864"/>
    <x v="1019"/>
    <n v="4"/>
    <x v="1071"/>
  </r>
  <r>
    <d v="2019-08-08T00:00:00"/>
    <x v="0"/>
    <x v="7"/>
    <x v="72"/>
    <x v="2"/>
    <x v="2"/>
    <x v="9"/>
    <x v="277"/>
    <x v="1020"/>
    <n v="3"/>
    <x v="1072"/>
  </r>
  <r>
    <d v="2019-08-08T00:00:00"/>
    <x v="0"/>
    <x v="7"/>
    <x v="404"/>
    <x v="16"/>
    <x v="2"/>
    <x v="12"/>
    <x v="865"/>
    <x v="1021"/>
    <n v="3"/>
    <x v="1073"/>
  </r>
  <r>
    <d v="2019-08-08T00:00:00"/>
    <x v="0"/>
    <x v="7"/>
    <x v="221"/>
    <x v="1"/>
    <x v="0"/>
    <x v="4"/>
    <x v="866"/>
    <x v="1022"/>
    <n v="2"/>
    <x v="1074"/>
  </r>
  <r>
    <d v="2019-08-08T00:00:00"/>
    <x v="0"/>
    <x v="7"/>
    <x v="221"/>
    <x v="1"/>
    <x v="2"/>
    <x v="13"/>
    <x v="409"/>
    <x v="1023"/>
    <n v="6"/>
    <x v="1075"/>
  </r>
  <r>
    <d v="2019-08-08T00:00:00"/>
    <x v="0"/>
    <x v="7"/>
    <x v="221"/>
    <x v="1"/>
    <x v="2"/>
    <x v="5"/>
    <x v="770"/>
    <x v="1024"/>
    <n v="5"/>
    <x v="1076"/>
  </r>
  <r>
    <d v="2019-08-08T00:00:00"/>
    <x v="0"/>
    <x v="7"/>
    <x v="405"/>
    <x v="3"/>
    <x v="2"/>
    <x v="9"/>
    <x v="867"/>
    <x v="131"/>
    <n v="2"/>
    <x v="1077"/>
  </r>
  <r>
    <d v="2019-08-09T00:00:00"/>
    <x v="0"/>
    <x v="7"/>
    <x v="406"/>
    <x v="4"/>
    <x v="2"/>
    <x v="9"/>
    <x v="868"/>
    <x v="1025"/>
    <n v="9"/>
    <x v="1078"/>
  </r>
  <r>
    <d v="2019-08-09T00:00:00"/>
    <x v="0"/>
    <x v="7"/>
    <x v="406"/>
    <x v="4"/>
    <x v="1"/>
    <x v="1"/>
    <x v="869"/>
    <x v="1026"/>
    <n v="2"/>
    <x v="1079"/>
  </r>
  <r>
    <d v="2019-08-09T00:00:00"/>
    <x v="0"/>
    <x v="7"/>
    <x v="406"/>
    <x v="4"/>
    <x v="2"/>
    <x v="13"/>
    <x v="870"/>
    <x v="1027"/>
    <n v="4"/>
    <x v="1080"/>
  </r>
  <r>
    <d v="2019-08-09T00:00:00"/>
    <x v="0"/>
    <x v="7"/>
    <x v="407"/>
    <x v="21"/>
    <x v="2"/>
    <x v="5"/>
    <x v="442"/>
    <x v="1028"/>
    <n v="3"/>
    <x v="1081"/>
  </r>
  <r>
    <d v="2019-08-09T00:00:00"/>
    <x v="0"/>
    <x v="7"/>
    <x v="407"/>
    <x v="21"/>
    <x v="2"/>
    <x v="5"/>
    <x v="270"/>
    <x v="8"/>
    <n v="5"/>
    <x v="1082"/>
  </r>
  <r>
    <d v="2019-08-11T00:00:00"/>
    <x v="0"/>
    <x v="7"/>
    <x v="408"/>
    <x v="3"/>
    <x v="2"/>
    <x v="9"/>
    <x v="691"/>
    <x v="711"/>
    <n v="5"/>
    <x v="734"/>
  </r>
  <r>
    <d v="2019-08-11T00:00:00"/>
    <x v="0"/>
    <x v="7"/>
    <x v="408"/>
    <x v="3"/>
    <x v="2"/>
    <x v="5"/>
    <x v="309"/>
    <x v="889"/>
    <n v="7"/>
    <x v="1083"/>
  </r>
  <r>
    <d v="2019-08-11T00:00:00"/>
    <x v="0"/>
    <x v="7"/>
    <x v="408"/>
    <x v="3"/>
    <x v="2"/>
    <x v="5"/>
    <x v="698"/>
    <x v="934"/>
    <n v="2"/>
    <x v="982"/>
  </r>
  <r>
    <d v="2019-08-12T00:00:00"/>
    <x v="0"/>
    <x v="7"/>
    <x v="85"/>
    <x v="41"/>
    <x v="2"/>
    <x v="9"/>
    <x v="554"/>
    <x v="1029"/>
    <n v="1"/>
    <x v="1084"/>
  </r>
  <r>
    <d v="2019-08-12T00:00:00"/>
    <x v="0"/>
    <x v="7"/>
    <x v="230"/>
    <x v="2"/>
    <x v="1"/>
    <x v="3"/>
    <x v="871"/>
    <x v="1030"/>
    <n v="7"/>
    <x v="1085"/>
  </r>
  <r>
    <d v="2019-08-12T00:00:00"/>
    <x v="0"/>
    <x v="7"/>
    <x v="170"/>
    <x v="12"/>
    <x v="0"/>
    <x v="11"/>
    <x v="359"/>
    <x v="1031"/>
    <n v="2"/>
    <x v="1086"/>
  </r>
  <r>
    <d v="2019-08-12T00:00:00"/>
    <x v="0"/>
    <x v="7"/>
    <x v="209"/>
    <x v="6"/>
    <x v="0"/>
    <x v="4"/>
    <x v="872"/>
    <x v="1032"/>
    <n v="7"/>
    <x v="1087"/>
  </r>
  <r>
    <d v="2019-08-12T00:00:00"/>
    <x v="0"/>
    <x v="7"/>
    <x v="409"/>
    <x v="12"/>
    <x v="0"/>
    <x v="4"/>
    <x v="69"/>
    <x v="1033"/>
    <n v="2"/>
    <x v="1088"/>
  </r>
  <r>
    <d v="2019-08-12T00:00:00"/>
    <x v="0"/>
    <x v="7"/>
    <x v="409"/>
    <x v="12"/>
    <x v="2"/>
    <x v="2"/>
    <x v="788"/>
    <x v="1034"/>
    <n v="6"/>
    <x v="1089"/>
  </r>
  <r>
    <d v="2019-08-12T00:00:00"/>
    <x v="0"/>
    <x v="7"/>
    <x v="410"/>
    <x v="5"/>
    <x v="2"/>
    <x v="7"/>
    <x v="806"/>
    <x v="1035"/>
    <n v="4"/>
    <x v="1090"/>
  </r>
  <r>
    <d v="2019-08-13T00:00:00"/>
    <x v="0"/>
    <x v="7"/>
    <x v="411"/>
    <x v="4"/>
    <x v="2"/>
    <x v="5"/>
    <x v="610"/>
    <x v="681"/>
    <n v="8"/>
    <x v="1091"/>
  </r>
  <r>
    <d v="2019-08-13T00:00:00"/>
    <x v="0"/>
    <x v="7"/>
    <x v="411"/>
    <x v="4"/>
    <x v="2"/>
    <x v="9"/>
    <x v="84"/>
    <x v="344"/>
    <n v="3"/>
    <x v="348"/>
  </r>
  <r>
    <d v="2019-08-13T00:00:00"/>
    <x v="0"/>
    <x v="7"/>
    <x v="93"/>
    <x v="7"/>
    <x v="0"/>
    <x v="0"/>
    <x v="873"/>
    <x v="1036"/>
    <n v="2"/>
    <x v="1092"/>
  </r>
  <r>
    <d v="2019-08-13T00:00:00"/>
    <x v="0"/>
    <x v="7"/>
    <x v="93"/>
    <x v="7"/>
    <x v="2"/>
    <x v="5"/>
    <x v="248"/>
    <x v="1037"/>
    <n v="3"/>
    <x v="1093"/>
  </r>
  <r>
    <d v="2019-08-13T00:00:00"/>
    <x v="0"/>
    <x v="7"/>
    <x v="412"/>
    <x v="28"/>
    <x v="2"/>
    <x v="13"/>
    <x v="512"/>
    <x v="564"/>
    <n v="2"/>
    <x v="1094"/>
  </r>
  <r>
    <d v="2019-08-13T00:00:00"/>
    <x v="0"/>
    <x v="7"/>
    <x v="412"/>
    <x v="28"/>
    <x v="1"/>
    <x v="3"/>
    <x v="874"/>
    <x v="1038"/>
    <n v="2"/>
    <x v="1095"/>
  </r>
  <r>
    <d v="2019-08-13T00:00:00"/>
    <x v="0"/>
    <x v="7"/>
    <x v="207"/>
    <x v="18"/>
    <x v="2"/>
    <x v="5"/>
    <x v="147"/>
    <x v="906"/>
    <n v="4"/>
    <x v="1096"/>
  </r>
  <r>
    <d v="2019-08-13T00:00:00"/>
    <x v="0"/>
    <x v="7"/>
    <x v="207"/>
    <x v="18"/>
    <x v="2"/>
    <x v="14"/>
    <x v="486"/>
    <x v="1039"/>
    <n v="7"/>
    <x v="1097"/>
  </r>
  <r>
    <d v="2019-08-13T00:00:00"/>
    <x v="0"/>
    <x v="7"/>
    <x v="413"/>
    <x v="2"/>
    <x v="2"/>
    <x v="16"/>
    <x v="417"/>
    <x v="452"/>
    <n v="2"/>
    <x v="460"/>
  </r>
  <r>
    <d v="2019-08-13T00:00:00"/>
    <x v="0"/>
    <x v="7"/>
    <x v="413"/>
    <x v="2"/>
    <x v="2"/>
    <x v="13"/>
    <x v="875"/>
    <x v="1040"/>
    <n v="1"/>
    <x v="1098"/>
  </r>
  <r>
    <d v="2019-08-14T00:00:00"/>
    <x v="0"/>
    <x v="7"/>
    <x v="196"/>
    <x v="1"/>
    <x v="2"/>
    <x v="9"/>
    <x v="876"/>
    <x v="1041"/>
    <n v="3"/>
    <x v="1099"/>
  </r>
  <r>
    <d v="2019-08-14T00:00:00"/>
    <x v="0"/>
    <x v="7"/>
    <x v="196"/>
    <x v="1"/>
    <x v="1"/>
    <x v="15"/>
    <x v="877"/>
    <x v="1042"/>
    <n v="6"/>
    <x v="1100"/>
  </r>
  <r>
    <d v="2019-08-14T00:00:00"/>
    <x v="0"/>
    <x v="7"/>
    <x v="414"/>
    <x v="21"/>
    <x v="2"/>
    <x v="9"/>
    <x v="741"/>
    <x v="29"/>
    <n v="3"/>
    <x v="29"/>
  </r>
  <r>
    <d v="2019-08-14T00:00:00"/>
    <x v="0"/>
    <x v="7"/>
    <x v="106"/>
    <x v="8"/>
    <x v="1"/>
    <x v="1"/>
    <x v="878"/>
    <x v="1043"/>
    <n v="2"/>
    <x v="1101"/>
  </r>
  <r>
    <d v="2019-08-14T00:00:00"/>
    <x v="0"/>
    <x v="7"/>
    <x v="106"/>
    <x v="8"/>
    <x v="1"/>
    <x v="1"/>
    <x v="879"/>
    <x v="1044"/>
    <n v="2"/>
    <x v="1102"/>
  </r>
  <r>
    <d v="2019-08-14T00:00:00"/>
    <x v="0"/>
    <x v="7"/>
    <x v="106"/>
    <x v="8"/>
    <x v="1"/>
    <x v="3"/>
    <x v="22"/>
    <x v="1045"/>
    <n v="5"/>
    <x v="1103"/>
  </r>
  <r>
    <d v="2019-08-15T00:00:00"/>
    <x v="0"/>
    <x v="7"/>
    <x v="415"/>
    <x v="22"/>
    <x v="2"/>
    <x v="5"/>
    <x v="666"/>
    <x v="1046"/>
    <n v="3"/>
    <x v="1104"/>
  </r>
  <r>
    <d v="2019-08-15T00:00:00"/>
    <x v="0"/>
    <x v="7"/>
    <x v="415"/>
    <x v="22"/>
    <x v="2"/>
    <x v="13"/>
    <x v="880"/>
    <x v="1047"/>
    <n v="3"/>
    <x v="1105"/>
  </r>
  <r>
    <d v="2019-08-15T00:00:00"/>
    <x v="0"/>
    <x v="7"/>
    <x v="416"/>
    <x v="1"/>
    <x v="1"/>
    <x v="1"/>
    <x v="881"/>
    <x v="856"/>
    <n v="3"/>
    <x v="1106"/>
  </r>
  <r>
    <d v="2019-08-15T00:00:00"/>
    <x v="0"/>
    <x v="7"/>
    <x v="416"/>
    <x v="1"/>
    <x v="2"/>
    <x v="14"/>
    <x v="629"/>
    <x v="947"/>
    <n v="1"/>
    <x v="995"/>
  </r>
  <r>
    <d v="2019-08-15T00:00:00"/>
    <x v="0"/>
    <x v="7"/>
    <x v="417"/>
    <x v="6"/>
    <x v="1"/>
    <x v="1"/>
    <x v="882"/>
    <x v="1048"/>
    <n v="7"/>
    <x v="1107"/>
  </r>
  <r>
    <d v="2019-08-15T00:00:00"/>
    <x v="0"/>
    <x v="7"/>
    <x v="282"/>
    <x v="4"/>
    <x v="0"/>
    <x v="11"/>
    <x v="797"/>
    <x v="1049"/>
    <n v="2"/>
    <x v="1108"/>
  </r>
  <r>
    <d v="2019-08-15T00:00:00"/>
    <x v="0"/>
    <x v="7"/>
    <x v="198"/>
    <x v="1"/>
    <x v="0"/>
    <x v="8"/>
    <x v="883"/>
    <x v="1050"/>
    <n v="3"/>
    <x v="1109"/>
  </r>
  <r>
    <d v="2019-08-15T00:00:00"/>
    <x v="0"/>
    <x v="7"/>
    <x v="198"/>
    <x v="1"/>
    <x v="2"/>
    <x v="2"/>
    <x v="469"/>
    <x v="219"/>
    <n v="3"/>
    <x v="1110"/>
  </r>
  <r>
    <d v="2019-08-15T00:00:00"/>
    <x v="0"/>
    <x v="7"/>
    <x v="198"/>
    <x v="1"/>
    <x v="1"/>
    <x v="1"/>
    <x v="435"/>
    <x v="5"/>
    <n v="3"/>
    <x v="1111"/>
  </r>
  <r>
    <d v="2019-08-15T00:00:00"/>
    <x v="0"/>
    <x v="7"/>
    <x v="198"/>
    <x v="1"/>
    <x v="2"/>
    <x v="9"/>
    <x v="884"/>
    <x v="1051"/>
    <n v="4"/>
    <x v="1112"/>
  </r>
  <r>
    <d v="2019-08-16T00:00:00"/>
    <x v="0"/>
    <x v="7"/>
    <x v="203"/>
    <x v="1"/>
    <x v="2"/>
    <x v="10"/>
    <x v="885"/>
    <x v="1052"/>
    <n v="3"/>
    <x v="1113"/>
  </r>
  <r>
    <d v="2019-08-16T00:00:00"/>
    <x v="0"/>
    <x v="7"/>
    <x v="418"/>
    <x v="1"/>
    <x v="0"/>
    <x v="4"/>
    <x v="886"/>
    <x v="1053"/>
    <n v="2"/>
    <x v="1114"/>
  </r>
  <r>
    <d v="2019-08-16T00:00:00"/>
    <x v="0"/>
    <x v="7"/>
    <x v="419"/>
    <x v="1"/>
    <x v="2"/>
    <x v="9"/>
    <x v="334"/>
    <x v="711"/>
    <n v="5"/>
    <x v="734"/>
  </r>
  <r>
    <d v="2019-08-17T00:00:00"/>
    <x v="0"/>
    <x v="7"/>
    <x v="8"/>
    <x v="9"/>
    <x v="2"/>
    <x v="5"/>
    <x v="345"/>
    <x v="474"/>
    <n v="4"/>
    <x v="484"/>
  </r>
  <r>
    <d v="2019-08-18T00:00:00"/>
    <x v="0"/>
    <x v="7"/>
    <x v="420"/>
    <x v="12"/>
    <x v="2"/>
    <x v="13"/>
    <x v="887"/>
    <x v="1054"/>
    <n v="9"/>
    <x v="1115"/>
  </r>
  <r>
    <d v="2019-08-18T00:00:00"/>
    <x v="0"/>
    <x v="7"/>
    <x v="421"/>
    <x v="12"/>
    <x v="1"/>
    <x v="1"/>
    <x v="888"/>
    <x v="1055"/>
    <n v="1"/>
    <x v="1116"/>
  </r>
  <r>
    <d v="2019-08-18T00:00:00"/>
    <x v="0"/>
    <x v="7"/>
    <x v="422"/>
    <x v="2"/>
    <x v="2"/>
    <x v="5"/>
    <x v="640"/>
    <x v="1056"/>
    <n v="1"/>
    <x v="1117"/>
  </r>
  <r>
    <d v="2019-08-18T00:00:00"/>
    <x v="0"/>
    <x v="7"/>
    <x v="422"/>
    <x v="2"/>
    <x v="2"/>
    <x v="9"/>
    <x v="832"/>
    <x v="1057"/>
    <n v="8"/>
    <x v="1118"/>
  </r>
  <r>
    <d v="2019-08-18T00:00:00"/>
    <x v="0"/>
    <x v="7"/>
    <x v="423"/>
    <x v="2"/>
    <x v="0"/>
    <x v="8"/>
    <x v="490"/>
    <x v="904"/>
    <n v="3"/>
    <x v="949"/>
  </r>
  <r>
    <d v="2019-08-18T00:00:00"/>
    <x v="0"/>
    <x v="7"/>
    <x v="423"/>
    <x v="2"/>
    <x v="0"/>
    <x v="8"/>
    <x v="509"/>
    <x v="1058"/>
    <n v="4"/>
    <x v="1119"/>
  </r>
  <r>
    <d v="2019-08-19T00:00:00"/>
    <x v="0"/>
    <x v="7"/>
    <x v="424"/>
    <x v="12"/>
    <x v="2"/>
    <x v="5"/>
    <x v="889"/>
    <x v="1059"/>
    <n v="6"/>
    <x v="1120"/>
  </r>
  <r>
    <d v="2019-08-19T00:00:00"/>
    <x v="0"/>
    <x v="7"/>
    <x v="424"/>
    <x v="12"/>
    <x v="2"/>
    <x v="5"/>
    <x v="236"/>
    <x v="1060"/>
    <n v="2"/>
    <x v="1121"/>
  </r>
  <r>
    <d v="2019-08-19T00:00:00"/>
    <x v="0"/>
    <x v="7"/>
    <x v="424"/>
    <x v="12"/>
    <x v="2"/>
    <x v="5"/>
    <x v="545"/>
    <x v="1061"/>
    <n v="5"/>
    <x v="1122"/>
  </r>
  <r>
    <d v="2019-08-20T00:00:00"/>
    <x v="0"/>
    <x v="7"/>
    <x v="7"/>
    <x v="25"/>
    <x v="1"/>
    <x v="1"/>
    <x v="390"/>
    <x v="1062"/>
    <n v="2"/>
    <x v="1123"/>
  </r>
  <r>
    <d v="2019-08-21T00:00:00"/>
    <x v="0"/>
    <x v="7"/>
    <x v="353"/>
    <x v="4"/>
    <x v="2"/>
    <x v="14"/>
    <x v="890"/>
    <x v="1063"/>
    <n v="4"/>
    <x v="1124"/>
  </r>
  <r>
    <d v="2019-08-21T00:00:00"/>
    <x v="0"/>
    <x v="7"/>
    <x v="353"/>
    <x v="4"/>
    <x v="2"/>
    <x v="16"/>
    <x v="857"/>
    <x v="1064"/>
    <n v="2"/>
    <x v="1125"/>
  </r>
  <r>
    <d v="2019-08-21T00:00:00"/>
    <x v="0"/>
    <x v="7"/>
    <x v="107"/>
    <x v="5"/>
    <x v="0"/>
    <x v="4"/>
    <x v="891"/>
    <x v="1065"/>
    <n v="9"/>
    <x v="1126"/>
  </r>
  <r>
    <d v="2019-08-21T00:00:00"/>
    <x v="0"/>
    <x v="7"/>
    <x v="304"/>
    <x v="1"/>
    <x v="2"/>
    <x v="5"/>
    <x v="270"/>
    <x v="490"/>
    <n v="2"/>
    <x v="1077"/>
  </r>
  <r>
    <d v="2019-08-21T00:00:00"/>
    <x v="0"/>
    <x v="7"/>
    <x v="304"/>
    <x v="1"/>
    <x v="1"/>
    <x v="1"/>
    <x v="541"/>
    <x v="559"/>
    <n v="5"/>
    <x v="1127"/>
  </r>
  <r>
    <d v="2019-08-21T00:00:00"/>
    <x v="0"/>
    <x v="7"/>
    <x v="304"/>
    <x v="1"/>
    <x v="1"/>
    <x v="3"/>
    <x v="36"/>
    <x v="37"/>
    <n v="3"/>
    <x v="37"/>
  </r>
  <r>
    <d v="2019-08-21T00:00:00"/>
    <x v="0"/>
    <x v="7"/>
    <x v="304"/>
    <x v="1"/>
    <x v="1"/>
    <x v="1"/>
    <x v="892"/>
    <x v="323"/>
    <n v="2"/>
    <x v="1128"/>
  </r>
  <r>
    <d v="2019-08-21T00:00:00"/>
    <x v="0"/>
    <x v="7"/>
    <x v="304"/>
    <x v="1"/>
    <x v="0"/>
    <x v="4"/>
    <x v="893"/>
    <x v="1066"/>
    <n v="9"/>
    <x v="1129"/>
  </r>
  <r>
    <d v="2019-08-21T00:00:00"/>
    <x v="0"/>
    <x v="7"/>
    <x v="304"/>
    <x v="1"/>
    <x v="2"/>
    <x v="9"/>
    <x v="894"/>
    <x v="56"/>
    <n v="2"/>
    <x v="56"/>
  </r>
  <r>
    <d v="2019-08-21T00:00:00"/>
    <x v="0"/>
    <x v="7"/>
    <x v="304"/>
    <x v="1"/>
    <x v="2"/>
    <x v="9"/>
    <x v="895"/>
    <x v="1067"/>
    <n v="9"/>
    <x v="1130"/>
  </r>
  <r>
    <d v="2019-08-21T00:00:00"/>
    <x v="0"/>
    <x v="7"/>
    <x v="425"/>
    <x v="9"/>
    <x v="2"/>
    <x v="5"/>
    <x v="151"/>
    <x v="1068"/>
    <n v="10"/>
    <x v="1131"/>
  </r>
  <r>
    <d v="2019-08-21T00:00:00"/>
    <x v="0"/>
    <x v="7"/>
    <x v="426"/>
    <x v="12"/>
    <x v="0"/>
    <x v="11"/>
    <x v="810"/>
    <x v="1069"/>
    <n v="7"/>
    <x v="1132"/>
  </r>
  <r>
    <d v="2019-08-22T00:00:00"/>
    <x v="0"/>
    <x v="7"/>
    <x v="317"/>
    <x v="8"/>
    <x v="2"/>
    <x v="13"/>
    <x v="896"/>
    <x v="1070"/>
    <n v="2"/>
    <x v="1133"/>
  </r>
  <r>
    <d v="2019-08-22T00:00:00"/>
    <x v="0"/>
    <x v="7"/>
    <x v="317"/>
    <x v="8"/>
    <x v="2"/>
    <x v="5"/>
    <x v="897"/>
    <x v="1071"/>
    <n v="2"/>
    <x v="1134"/>
  </r>
  <r>
    <d v="2019-08-22T00:00:00"/>
    <x v="0"/>
    <x v="7"/>
    <x v="317"/>
    <x v="8"/>
    <x v="2"/>
    <x v="10"/>
    <x v="898"/>
    <x v="1072"/>
    <n v="2"/>
    <x v="1135"/>
  </r>
  <r>
    <d v="2019-08-22T00:00:00"/>
    <x v="0"/>
    <x v="7"/>
    <x v="427"/>
    <x v="2"/>
    <x v="2"/>
    <x v="5"/>
    <x v="68"/>
    <x v="1073"/>
    <n v="2"/>
    <x v="1136"/>
  </r>
  <r>
    <d v="2019-08-22T00:00:00"/>
    <x v="0"/>
    <x v="7"/>
    <x v="428"/>
    <x v="29"/>
    <x v="2"/>
    <x v="5"/>
    <x v="899"/>
    <x v="1074"/>
    <n v="8"/>
    <x v="1137"/>
  </r>
  <r>
    <d v="2019-08-22T00:00:00"/>
    <x v="0"/>
    <x v="7"/>
    <x v="429"/>
    <x v="9"/>
    <x v="2"/>
    <x v="9"/>
    <x v="691"/>
    <x v="390"/>
    <n v="3"/>
    <x v="397"/>
  </r>
  <r>
    <d v="2019-08-22T00:00:00"/>
    <x v="0"/>
    <x v="7"/>
    <x v="430"/>
    <x v="22"/>
    <x v="0"/>
    <x v="8"/>
    <x v="900"/>
    <x v="1075"/>
    <n v="3"/>
    <x v="1138"/>
  </r>
  <r>
    <d v="2019-08-22T00:00:00"/>
    <x v="0"/>
    <x v="7"/>
    <x v="431"/>
    <x v="1"/>
    <x v="2"/>
    <x v="7"/>
    <x v="668"/>
    <x v="1076"/>
    <n v="2"/>
    <x v="1139"/>
  </r>
  <r>
    <d v="2019-08-23T00:00:00"/>
    <x v="0"/>
    <x v="7"/>
    <x v="432"/>
    <x v="2"/>
    <x v="2"/>
    <x v="2"/>
    <x v="901"/>
    <x v="1077"/>
    <n v="8"/>
    <x v="1140"/>
  </r>
  <r>
    <d v="2019-08-23T00:00:00"/>
    <x v="0"/>
    <x v="7"/>
    <x v="432"/>
    <x v="2"/>
    <x v="0"/>
    <x v="8"/>
    <x v="443"/>
    <x v="479"/>
    <n v="3"/>
    <x v="489"/>
  </r>
  <r>
    <d v="2019-08-23T00:00:00"/>
    <x v="0"/>
    <x v="7"/>
    <x v="432"/>
    <x v="2"/>
    <x v="1"/>
    <x v="3"/>
    <x v="902"/>
    <x v="1078"/>
    <n v="7"/>
    <x v="1141"/>
  </r>
  <r>
    <d v="2019-08-23T00:00:00"/>
    <x v="0"/>
    <x v="7"/>
    <x v="433"/>
    <x v="9"/>
    <x v="1"/>
    <x v="15"/>
    <x v="583"/>
    <x v="1079"/>
    <n v="3"/>
    <x v="1142"/>
  </r>
  <r>
    <d v="2019-08-23T00:00:00"/>
    <x v="0"/>
    <x v="7"/>
    <x v="433"/>
    <x v="9"/>
    <x v="2"/>
    <x v="10"/>
    <x v="855"/>
    <x v="1080"/>
    <n v="5"/>
    <x v="1143"/>
  </r>
  <r>
    <d v="2019-08-23T00:00:00"/>
    <x v="0"/>
    <x v="7"/>
    <x v="433"/>
    <x v="9"/>
    <x v="2"/>
    <x v="9"/>
    <x v="654"/>
    <x v="1081"/>
    <n v="6"/>
    <x v="1144"/>
  </r>
  <r>
    <d v="2019-08-23T00:00:00"/>
    <x v="0"/>
    <x v="7"/>
    <x v="433"/>
    <x v="9"/>
    <x v="0"/>
    <x v="11"/>
    <x v="560"/>
    <x v="1082"/>
    <n v="6"/>
    <x v="1145"/>
  </r>
  <r>
    <d v="2019-08-23T00:00:00"/>
    <x v="0"/>
    <x v="7"/>
    <x v="433"/>
    <x v="9"/>
    <x v="2"/>
    <x v="13"/>
    <x v="903"/>
    <x v="1083"/>
    <n v="5"/>
    <x v="1146"/>
  </r>
  <r>
    <d v="2019-08-23T00:00:00"/>
    <x v="0"/>
    <x v="7"/>
    <x v="433"/>
    <x v="9"/>
    <x v="2"/>
    <x v="16"/>
    <x v="904"/>
    <x v="1084"/>
    <n v="4"/>
    <x v="1147"/>
  </r>
  <r>
    <d v="2019-08-23T00:00:00"/>
    <x v="0"/>
    <x v="7"/>
    <x v="376"/>
    <x v="12"/>
    <x v="2"/>
    <x v="7"/>
    <x v="330"/>
    <x v="1085"/>
    <n v="5"/>
    <x v="1148"/>
  </r>
  <r>
    <d v="2019-08-23T00:00:00"/>
    <x v="0"/>
    <x v="7"/>
    <x v="376"/>
    <x v="12"/>
    <x v="2"/>
    <x v="13"/>
    <x v="647"/>
    <x v="1086"/>
    <n v="5"/>
    <x v="1149"/>
  </r>
  <r>
    <d v="2019-08-23T00:00:00"/>
    <x v="0"/>
    <x v="7"/>
    <x v="376"/>
    <x v="12"/>
    <x v="2"/>
    <x v="7"/>
    <x v="905"/>
    <x v="233"/>
    <n v="6"/>
    <x v="1150"/>
  </r>
  <r>
    <d v="2019-08-23T00:00:00"/>
    <x v="0"/>
    <x v="7"/>
    <x v="423"/>
    <x v="7"/>
    <x v="2"/>
    <x v="14"/>
    <x v="754"/>
    <x v="1087"/>
    <n v="4"/>
    <x v="1151"/>
  </r>
  <r>
    <d v="2019-08-23T00:00:00"/>
    <x v="0"/>
    <x v="7"/>
    <x v="423"/>
    <x v="7"/>
    <x v="2"/>
    <x v="14"/>
    <x v="906"/>
    <x v="1088"/>
    <n v="3"/>
    <x v="1152"/>
  </r>
  <r>
    <d v="2019-08-23T00:00:00"/>
    <x v="0"/>
    <x v="7"/>
    <x v="423"/>
    <x v="7"/>
    <x v="2"/>
    <x v="2"/>
    <x v="420"/>
    <x v="1089"/>
    <n v="1"/>
    <x v="1153"/>
  </r>
  <r>
    <d v="2019-08-23T00:00:00"/>
    <x v="0"/>
    <x v="7"/>
    <x v="423"/>
    <x v="7"/>
    <x v="1"/>
    <x v="3"/>
    <x v="907"/>
    <x v="1090"/>
    <n v="2"/>
    <x v="1154"/>
  </r>
  <r>
    <d v="2019-08-26T00:00:00"/>
    <x v="0"/>
    <x v="7"/>
    <x v="346"/>
    <x v="1"/>
    <x v="2"/>
    <x v="12"/>
    <x v="908"/>
    <x v="1091"/>
    <n v="3"/>
    <x v="1155"/>
  </r>
  <r>
    <d v="2019-08-26T00:00:00"/>
    <x v="0"/>
    <x v="7"/>
    <x v="346"/>
    <x v="1"/>
    <x v="2"/>
    <x v="9"/>
    <x v="909"/>
    <x v="235"/>
    <n v="5"/>
    <x v="1156"/>
  </r>
  <r>
    <d v="2019-08-26T00:00:00"/>
    <x v="0"/>
    <x v="7"/>
    <x v="274"/>
    <x v="2"/>
    <x v="1"/>
    <x v="3"/>
    <x v="910"/>
    <x v="175"/>
    <n v="2"/>
    <x v="1157"/>
  </r>
  <r>
    <d v="2019-08-26T00:00:00"/>
    <x v="0"/>
    <x v="7"/>
    <x v="274"/>
    <x v="2"/>
    <x v="0"/>
    <x v="11"/>
    <x v="738"/>
    <x v="1092"/>
    <n v="6"/>
    <x v="1158"/>
  </r>
  <r>
    <d v="2019-08-26T00:00:00"/>
    <x v="0"/>
    <x v="7"/>
    <x v="405"/>
    <x v="9"/>
    <x v="2"/>
    <x v="9"/>
    <x v="334"/>
    <x v="1029"/>
    <n v="1"/>
    <x v="1084"/>
  </r>
  <r>
    <d v="2019-08-26T00:00:00"/>
    <x v="0"/>
    <x v="7"/>
    <x v="434"/>
    <x v="1"/>
    <x v="0"/>
    <x v="11"/>
    <x v="589"/>
    <x v="1093"/>
    <n v="4"/>
    <x v="1159"/>
  </r>
  <r>
    <d v="2019-08-26T00:00:00"/>
    <x v="0"/>
    <x v="7"/>
    <x v="149"/>
    <x v="5"/>
    <x v="2"/>
    <x v="7"/>
    <x v="911"/>
    <x v="1094"/>
    <n v="3"/>
    <x v="1160"/>
  </r>
  <r>
    <d v="2019-08-26T00:00:00"/>
    <x v="0"/>
    <x v="7"/>
    <x v="149"/>
    <x v="5"/>
    <x v="1"/>
    <x v="3"/>
    <x v="320"/>
    <x v="1095"/>
    <n v="2"/>
    <x v="46"/>
  </r>
  <r>
    <d v="2019-08-26T00:00:00"/>
    <x v="0"/>
    <x v="7"/>
    <x v="435"/>
    <x v="1"/>
    <x v="2"/>
    <x v="7"/>
    <x v="912"/>
    <x v="361"/>
    <n v="2"/>
    <x v="366"/>
  </r>
  <r>
    <d v="2019-08-26T00:00:00"/>
    <x v="0"/>
    <x v="7"/>
    <x v="148"/>
    <x v="12"/>
    <x v="1"/>
    <x v="1"/>
    <x v="913"/>
    <x v="1096"/>
    <n v="6"/>
    <x v="1161"/>
  </r>
  <r>
    <d v="2019-08-26T00:00:00"/>
    <x v="0"/>
    <x v="7"/>
    <x v="148"/>
    <x v="12"/>
    <x v="1"/>
    <x v="3"/>
    <x v="211"/>
    <x v="1097"/>
    <n v="5"/>
    <x v="1162"/>
  </r>
  <r>
    <d v="2019-08-26T00:00:00"/>
    <x v="0"/>
    <x v="7"/>
    <x v="436"/>
    <x v="7"/>
    <x v="1"/>
    <x v="3"/>
    <x v="914"/>
    <x v="1098"/>
    <n v="3"/>
    <x v="1163"/>
  </r>
  <r>
    <d v="2019-08-26T00:00:00"/>
    <x v="0"/>
    <x v="7"/>
    <x v="373"/>
    <x v="25"/>
    <x v="2"/>
    <x v="9"/>
    <x v="915"/>
    <x v="1099"/>
    <n v="2"/>
    <x v="1164"/>
  </r>
  <r>
    <d v="2019-08-26T00:00:00"/>
    <x v="0"/>
    <x v="7"/>
    <x v="373"/>
    <x v="25"/>
    <x v="1"/>
    <x v="1"/>
    <x v="916"/>
    <x v="1100"/>
    <n v="3"/>
    <x v="1165"/>
  </r>
  <r>
    <d v="2019-08-26T00:00:00"/>
    <x v="0"/>
    <x v="7"/>
    <x v="373"/>
    <x v="25"/>
    <x v="0"/>
    <x v="4"/>
    <x v="917"/>
    <x v="1101"/>
    <n v="4"/>
    <x v="1166"/>
  </r>
  <r>
    <d v="2019-08-26T00:00:00"/>
    <x v="0"/>
    <x v="7"/>
    <x v="373"/>
    <x v="25"/>
    <x v="1"/>
    <x v="3"/>
    <x v="918"/>
    <x v="1102"/>
    <n v="3"/>
    <x v="1167"/>
  </r>
  <r>
    <d v="2019-08-26T00:00:00"/>
    <x v="0"/>
    <x v="7"/>
    <x v="373"/>
    <x v="25"/>
    <x v="2"/>
    <x v="7"/>
    <x v="919"/>
    <x v="748"/>
    <n v="3"/>
    <x v="775"/>
  </r>
  <r>
    <d v="2019-08-26T00:00:00"/>
    <x v="0"/>
    <x v="7"/>
    <x v="437"/>
    <x v="14"/>
    <x v="0"/>
    <x v="8"/>
    <x v="920"/>
    <x v="112"/>
    <n v="3"/>
    <x v="1168"/>
  </r>
  <r>
    <d v="2019-08-26T00:00:00"/>
    <x v="0"/>
    <x v="7"/>
    <x v="229"/>
    <x v="12"/>
    <x v="2"/>
    <x v="5"/>
    <x v="921"/>
    <x v="1059"/>
    <n v="8"/>
    <x v="1169"/>
  </r>
  <r>
    <d v="2019-08-26T00:00:00"/>
    <x v="0"/>
    <x v="7"/>
    <x v="438"/>
    <x v="6"/>
    <x v="2"/>
    <x v="9"/>
    <x v="922"/>
    <x v="1103"/>
    <n v="1"/>
    <x v="1170"/>
  </r>
  <r>
    <d v="2019-08-27T00:00:00"/>
    <x v="0"/>
    <x v="7"/>
    <x v="439"/>
    <x v="2"/>
    <x v="2"/>
    <x v="16"/>
    <x v="923"/>
    <x v="1104"/>
    <n v="5"/>
    <x v="1171"/>
  </r>
  <r>
    <d v="2019-08-27T00:00:00"/>
    <x v="0"/>
    <x v="7"/>
    <x v="439"/>
    <x v="2"/>
    <x v="2"/>
    <x v="9"/>
    <x v="924"/>
    <x v="1105"/>
    <n v="1"/>
    <x v="1172"/>
  </r>
  <r>
    <d v="2019-08-27T00:00:00"/>
    <x v="0"/>
    <x v="7"/>
    <x v="439"/>
    <x v="2"/>
    <x v="2"/>
    <x v="9"/>
    <x v="525"/>
    <x v="1106"/>
    <n v="1"/>
    <x v="1173"/>
  </r>
  <r>
    <d v="2019-08-27T00:00:00"/>
    <x v="0"/>
    <x v="7"/>
    <x v="439"/>
    <x v="2"/>
    <x v="2"/>
    <x v="16"/>
    <x v="817"/>
    <x v="1107"/>
    <n v="4"/>
    <x v="1174"/>
  </r>
  <r>
    <d v="2019-08-27T00:00:00"/>
    <x v="0"/>
    <x v="7"/>
    <x v="324"/>
    <x v="26"/>
    <x v="2"/>
    <x v="9"/>
    <x v="925"/>
    <x v="108"/>
    <n v="3"/>
    <x v="108"/>
  </r>
  <r>
    <d v="2019-08-27T00:00:00"/>
    <x v="0"/>
    <x v="7"/>
    <x v="324"/>
    <x v="26"/>
    <x v="0"/>
    <x v="4"/>
    <x v="926"/>
    <x v="1108"/>
    <n v="1"/>
    <x v="1175"/>
  </r>
  <r>
    <d v="2019-08-27T00:00:00"/>
    <x v="0"/>
    <x v="7"/>
    <x v="324"/>
    <x v="26"/>
    <x v="1"/>
    <x v="1"/>
    <x v="613"/>
    <x v="1109"/>
    <n v="3"/>
    <x v="1176"/>
  </r>
  <r>
    <d v="2019-08-27T00:00:00"/>
    <x v="0"/>
    <x v="7"/>
    <x v="324"/>
    <x v="26"/>
    <x v="2"/>
    <x v="9"/>
    <x v="426"/>
    <x v="1006"/>
    <n v="9"/>
    <x v="1177"/>
  </r>
  <r>
    <d v="2019-08-27T00:00:00"/>
    <x v="0"/>
    <x v="7"/>
    <x v="324"/>
    <x v="26"/>
    <x v="2"/>
    <x v="12"/>
    <x v="163"/>
    <x v="1110"/>
    <n v="4"/>
    <x v="1178"/>
  </r>
  <r>
    <d v="2019-08-27T00:00:00"/>
    <x v="0"/>
    <x v="7"/>
    <x v="324"/>
    <x v="26"/>
    <x v="2"/>
    <x v="5"/>
    <x v="145"/>
    <x v="894"/>
    <n v="5"/>
    <x v="1179"/>
  </r>
  <r>
    <d v="2019-08-27T00:00:00"/>
    <x v="0"/>
    <x v="7"/>
    <x v="35"/>
    <x v="2"/>
    <x v="2"/>
    <x v="2"/>
    <x v="927"/>
    <x v="893"/>
    <n v="1"/>
    <x v="1180"/>
  </r>
  <r>
    <d v="2019-08-27T00:00:00"/>
    <x v="0"/>
    <x v="7"/>
    <x v="35"/>
    <x v="2"/>
    <x v="2"/>
    <x v="9"/>
    <x v="928"/>
    <x v="26"/>
    <n v="5"/>
    <x v="1181"/>
  </r>
  <r>
    <d v="2019-08-27T00:00:00"/>
    <x v="0"/>
    <x v="7"/>
    <x v="440"/>
    <x v="6"/>
    <x v="2"/>
    <x v="14"/>
    <x v="929"/>
    <x v="1063"/>
    <n v="4"/>
    <x v="1124"/>
  </r>
  <r>
    <d v="2019-08-28T00:00:00"/>
    <x v="0"/>
    <x v="7"/>
    <x v="441"/>
    <x v="22"/>
    <x v="2"/>
    <x v="9"/>
    <x v="930"/>
    <x v="447"/>
    <n v="3"/>
    <x v="1182"/>
  </r>
  <r>
    <d v="2019-08-28T00:00:00"/>
    <x v="0"/>
    <x v="7"/>
    <x v="441"/>
    <x v="22"/>
    <x v="1"/>
    <x v="1"/>
    <x v="5"/>
    <x v="207"/>
    <n v="3"/>
    <x v="1183"/>
  </r>
  <r>
    <d v="2019-08-28T00:00:00"/>
    <x v="0"/>
    <x v="7"/>
    <x v="442"/>
    <x v="2"/>
    <x v="2"/>
    <x v="5"/>
    <x v="399"/>
    <x v="1111"/>
    <n v="9"/>
    <x v="1184"/>
  </r>
  <r>
    <d v="2019-08-28T00:00:00"/>
    <x v="0"/>
    <x v="7"/>
    <x v="442"/>
    <x v="2"/>
    <x v="2"/>
    <x v="5"/>
    <x v="367"/>
    <x v="1112"/>
    <n v="4"/>
    <x v="1185"/>
  </r>
  <r>
    <d v="2019-08-28T00:00:00"/>
    <x v="0"/>
    <x v="7"/>
    <x v="442"/>
    <x v="2"/>
    <x v="0"/>
    <x v="0"/>
    <x v="931"/>
    <x v="1113"/>
    <n v="2"/>
    <x v="1186"/>
  </r>
  <r>
    <d v="2019-08-28T00:00:00"/>
    <x v="0"/>
    <x v="7"/>
    <x v="184"/>
    <x v="8"/>
    <x v="2"/>
    <x v="5"/>
    <x v="932"/>
    <x v="1114"/>
    <n v="8"/>
    <x v="1187"/>
  </r>
  <r>
    <d v="2019-08-29T00:00:00"/>
    <x v="0"/>
    <x v="7"/>
    <x v="107"/>
    <x v="17"/>
    <x v="2"/>
    <x v="9"/>
    <x v="933"/>
    <x v="1115"/>
    <n v="7"/>
    <x v="1188"/>
  </r>
  <r>
    <d v="2019-08-29T00:00:00"/>
    <x v="0"/>
    <x v="7"/>
    <x v="107"/>
    <x v="17"/>
    <x v="1"/>
    <x v="3"/>
    <x v="489"/>
    <x v="1116"/>
    <n v="3"/>
    <x v="1189"/>
  </r>
  <r>
    <d v="2019-08-29T00:00:00"/>
    <x v="0"/>
    <x v="7"/>
    <x v="107"/>
    <x v="17"/>
    <x v="2"/>
    <x v="5"/>
    <x v="606"/>
    <x v="1117"/>
    <n v="3"/>
    <x v="1190"/>
  </r>
  <r>
    <d v="2019-08-29T00:00:00"/>
    <x v="0"/>
    <x v="7"/>
    <x v="123"/>
    <x v="13"/>
    <x v="2"/>
    <x v="16"/>
    <x v="528"/>
    <x v="1118"/>
    <n v="3"/>
    <x v="1191"/>
  </r>
  <r>
    <d v="2019-08-29T00:00:00"/>
    <x v="0"/>
    <x v="7"/>
    <x v="443"/>
    <x v="12"/>
    <x v="1"/>
    <x v="1"/>
    <x v="913"/>
    <x v="1119"/>
    <n v="4"/>
    <x v="1192"/>
  </r>
  <r>
    <d v="2019-08-29T00:00:00"/>
    <x v="0"/>
    <x v="7"/>
    <x v="243"/>
    <x v="5"/>
    <x v="0"/>
    <x v="4"/>
    <x v="886"/>
    <x v="1120"/>
    <n v="4"/>
    <x v="1193"/>
  </r>
  <r>
    <d v="2019-08-29T00:00:00"/>
    <x v="0"/>
    <x v="7"/>
    <x v="243"/>
    <x v="5"/>
    <x v="0"/>
    <x v="0"/>
    <x v="934"/>
    <x v="1121"/>
    <n v="4"/>
    <x v="1194"/>
  </r>
  <r>
    <d v="2019-08-29T00:00:00"/>
    <x v="0"/>
    <x v="7"/>
    <x v="243"/>
    <x v="5"/>
    <x v="2"/>
    <x v="5"/>
    <x v="935"/>
    <x v="1122"/>
    <n v="2"/>
    <x v="1195"/>
  </r>
  <r>
    <d v="2019-08-29T00:00:00"/>
    <x v="0"/>
    <x v="7"/>
    <x v="243"/>
    <x v="5"/>
    <x v="2"/>
    <x v="12"/>
    <x v="101"/>
    <x v="1123"/>
    <n v="7"/>
    <x v="1196"/>
  </r>
  <r>
    <d v="2019-08-30T00:00:00"/>
    <x v="0"/>
    <x v="7"/>
    <x v="444"/>
    <x v="5"/>
    <x v="1"/>
    <x v="1"/>
    <x v="106"/>
    <x v="1124"/>
    <n v="3"/>
    <x v="1197"/>
  </r>
  <r>
    <d v="2019-08-30T00:00:00"/>
    <x v="0"/>
    <x v="7"/>
    <x v="444"/>
    <x v="5"/>
    <x v="2"/>
    <x v="2"/>
    <x v="74"/>
    <x v="1125"/>
    <n v="2"/>
    <x v="1198"/>
  </r>
  <r>
    <d v="2019-08-30T00:00:00"/>
    <x v="0"/>
    <x v="7"/>
    <x v="444"/>
    <x v="5"/>
    <x v="0"/>
    <x v="11"/>
    <x v="936"/>
    <x v="1126"/>
    <n v="4"/>
    <x v="1199"/>
  </r>
  <r>
    <d v="2019-08-30T00:00:00"/>
    <x v="0"/>
    <x v="7"/>
    <x v="444"/>
    <x v="5"/>
    <x v="2"/>
    <x v="14"/>
    <x v="792"/>
    <x v="1127"/>
    <n v="10"/>
    <x v="1200"/>
  </r>
  <r>
    <d v="2019-08-30T00:00:00"/>
    <x v="0"/>
    <x v="7"/>
    <x v="444"/>
    <x v="5"/>
    <x v="2"/>
    <x v="5"/>
    <x v="725"/>
    <x v="1128"/>
    <n v="6"/>
    <x v="1201"/>
  </r>
  <r>
    <d v="2019-08-30T00:00:00"/>
    <x v="0"/>
    <x v="7"/>
    <x v="445"/>
    <x v="1"/>
    <x v="0"/>
    <x v="8"/>
    <x v="177"/>
    <x v="727"/>
    <n v="4"/>
    <x v="1202"/>
  </r>
  <r>
    <d v="2019-08-30T00:00:00"/>
    <x v="0"/>
    <x v="7"/>
    <x v="445"/>
    <x v="1"/>
    <x v="1"/>
    <x v="1"/>
    <x v="937"/>
    <x v="1129"/>
    <n v="5"/>
    <x v="1203"/>
  </r>
  <r>
    <d v="2019-08-31T00:00:00"/>
    <x v="0"/>
    <x v="7"/>
    <x v="364"/>
    <x v="2"/>
    <x v="2"/>
    <x v="2"/>
    <x v="450"/>
    <x v="1130"/>
    <n v="2"/>
    <x v="1204"/>
  </r>
  <r>
    <d v="2019-09-01T00:00:00"/>
    <x v="0"/>
    <x v="8"/>
    <x v="123"/>
    <x v="12"/>
    <x v="1"/>
    <x v="3"/>
    <x v="938"/>
    <x v="1131"/>
    <n v="1"/>
    <x v="1205"/>
  </r>
  <r>
    <d v="2019-09-01T00:00:00"/>
    <x v="0"/>
    <x v="8"/>
    <x v="123"/>
    <x v="12"/>
    <x v="2"/>
    <x v="9"/>
    <x v="439"/>
    <x v="1132"/>
    <n v="2"/>
    <x v="1206"/>
  </r>
  <r>
    <d v="2019-09-01T00:00:00"/>
    <x v="0"/>
    <x v="8"/>
    <x v="123"/>
    <x v="12"/>
    <x v="2"/>
    <x v="5"/>
    <x v="770"/>
    <x v="1133"/>
    <n v="1"/>
    <x v="1207"/>
  </r>
  <r>
    <d v="2019-09-01T00:00:00"/>
    <x v="0"/>
    <x v="8"/>
    <x v="123"/>
    <x v="12"/>
    <x v="2"/>
    <x v="9"/>
    <x v="439"/>
    <x v="1134"/>
    <n v="4"/>
    <x v="1208"/>
  </r>
  <r>
    <d v="2019-09-01T00:00:00"/>
    <x v="0"/>
    <x v="8"/>
    <x v="123"/>
    <x v="12"/>
    <x v="2"/>
    <x v="5"/>
    <x v="337"/>
    <x v="1135"/>
    <n v="4"/>
    <x v="1209"/>
  </r>
  <r>
    <d v="2019-09-01T00:00:00"/>
    <x v="0"/>
    <x v="8"/>
    <x v="251"/>
    <x v="1"/>
    <x v="2"/>
    <x v="10"/>
    <x v="939"/>
    <x v="259"/>
    <n v="2"/>
    <x v="1210"/>
  </r>
  <r>
    <d v="2019-09-01T00:00:00"/>
    <x v="0"/>
    <x v="8"/>
    <x v="119"/>
    <x v="5"/>
    <x v="2"/>
    <x v="9"/>
    <x v="563"/>
    <x v="327"/>
    <n v="6"/>
    <x v="1211"/>
  </r>
  <r>
    <d v="2019-09-01T00:00:00"/>
    <x v="0"/>
    <x v="8"/>
    <x v="119"/>
    <x v="5"/>
    <x v="1"/>
    <x v="1"/>
    <x v="602"/>
    <x v="1136"/>
    <n v="2"/>
    <x v="1212"/>
  </r>
  <r>
    <d v="2019-09-01T00:00:00"/>
    <x v="0"/>
    <x v="8"/>
    <x v="119"/>
    <x v="5"/>
    <x v="2"/>
    <x v="12"/>
    <x v="163"/>
    <x v="1137"/>
    <n v="7"/>
    <x v="1213"/>
  </r>
  <r>
    <d v="2019-09-01T00:00:00"/>
    <x v="0"/>
    <x v="8"/>
    <x v="68"/>
    <x v="12"/>
    <x v="1"/>
    <x v="3"/>
    <x v="940"/>
    <x v="1138"/>
    <n v="6"/>
    <x v="1214"/>
  </r>
  <r>
    <d v="2019-09-01T00:00:00"/>
    <x v="0"/>
    <x v="8"/>
    <x v="68"/>
    <x v="12"/>
    <x v="1"/>
    <x v="3"/>
    <x v="156"/>
    <x v="1139"/>
    <n v="2"/>
    <x v="1215"/>
  </r>
  <r>
    <d v="2019-09-01T00:00:00"/>
    <x v="0"/>
    <x v="8"/>
    <x v="68"/>
    <x v="12"/>
    <x v="2"/>
    <x v="16"/>
    <x v="308"/>
    <x v="334"/>
    <n v="3"/>
    <x v="337"/>
  </r>
  <r>
    <d v="2019-09-01T00:00:00"/>
    <x v="0"/>
    <x v="8"/>
    <x v="68"/>
    <x v="12"/>
    <x v="0"/>
    <x v="8"/>
    <x v="229"/>
    <x v="1140"/>
    <n v="3"/>
    <x v="1216"/>
  </r>
  <r>
    <d v="2019-09-01T00:00:00"/>
    <x v="0"/>
    <x v="8"/>
    <x v="446"/>
    <x v="25"/>
    <x v="2"/>
    <x v="5"/>
    <x v="539"/>
    <x v="907"/>
    <n v="5"/>
    <x v="952"/>
  </r>
  <r>
    <d v="2019-09-01T00:00:00"/>
    <x v="0"/>
    <x v="8"/>
    <x v="446"/>
    <x v="25"/>
    <x v="1"/>
    <x v="1"/>
    <x v="194"/>
    <x v="1141"/>
    <n v="1"/>
    <x v="1217"/>
  </r>
  <r>
    <d v="2019-09-01T00:00:00"/>
    <x v="0"/>
    <x v="8"/>
    <x v="446"/>
    <x v="25"/>
    <x v="2"/>
    <x v="13"/>
    <x v="941"/>
    <x v="1142"/>
    <n v="4"/>
    <x v="1218"/>
  </r>
  <r>
    <d v="2019-09-01T00:00:00"/>
    <x v="0"/>
    <x v="8"/>
    <x v="446"/>
    <x v="25"/>
    <x v="2"/>
    <x v="5"/>
    <x v="295"/>
    <x v="1143"/>
    <n v="4"/>
    <x v="1219"/>
  </r>
  <r>
    <d v="2019-09-01T00:00:00"/>
    <x v="0"/>
    <x v="8"/>
    <x v="446"/>
    <x v="25"/>
    <x v="2"/>
    <x v="7"/>
    <x v="771"/>
    <x v="543"/>
    <n v="2"/>
    <x v="1220"/>
  </r>
  <r>
    <d v="2019-09-01T00:00:00"/>
    <x v="0"/>
    <x v="8"/>
    <x v="446"/>
    <x v="25"/>
    <x v="2"/>
    <x v="5"/>
    <x v="807"/>
    <x v="1144"/>
    <n v="5"/>
    <x v="1221"/>
  </r>
  <r>
    <d v="2019-09-01T00:00:00"/>
    <x v="0"/>
    <x v="8"/>
    <x v="447"/>
    <x v="1"/>
    <x v="2"/>
    <x v="10"/>
    <x v="357"/>
    <x v="1145"/>
    <n v="1"/>
    <x v="1222"/>
  </r>
  <r>
    <d v="2019-09-02T00:00:00"/>
    <x v="0"/>
    <x v="8"/>
    <x v="87"/>
    <x v="12"/>
    <x v="2"/>
    <x v="7"/>
    <x v="128"/>
    <x v="1146"/>
    <n v="2"/>
    <x v="1223"/>
  </r>
  <r>
    <d v="2019-09-02T00:00:00"/>
    <x v="0"/>
    <x v="8"/>
    <x v="87"/>
    <x v="12"/>
    <x v="0"/>
    <x v="8"/>
    <x v="942"/>
    <x v="155"/>
    <n v="2"/>
    <x v="1224"/>
  </r>
  <r>
    <d v="2019-09-02T00:00:00"/>
    <x v="0"/>
    <x v="8"/>
    <x v="246"/>
    <x v="7"/>
    <x v="2"/>
    <x v="12"/>
    <x v="943"/>
    <x v="1147"/>
    <n v="1"/>
    <x v="1225"/>
  </r>
  <r>
    <d v="2019-09-02T00:00:00"/>
    <x v="0"/>
    <x v="8"/>
    <x v="246"/>
    <x v="7"/>
    <x v="2"/>
    <x v="5"/>
    <x v="944"/>
    <x v="361"/>
    <n v="2"/>
    <x v="1226"/>
  </r>
  <r>
    <d v="2019-09-02T00:00:00"/>
    <x v="0"/>
    <x v="8"/>
    <x v="448"/>
    <x v="1"/>
    <x v="2"/>
    <x v="2"/>
    <x v="319"/>
    <x v="1148"/>
    <n v="3"/>
    <x v="1227"/>
  </r>
  <r>
    <d v="2019-09-02T00:00:00"/>
    <x v="0"/>
    <x v="8"/>
    <x v="290"/>
    <x v="17"/>
    <x v="2"/>
    <x v="14"/>
    <x v="646"/>
    <x v="1149"/>
    <n v="5"/>
    <x v="1228"/>
  </r>
  <r>
    <d v="2019-09-02T00:00:00"/>
    <x v="0"/>
    <x v="8"/>
    <x v="290"/>
    <x v="17"/>
    <x v="2"/>
    <x v="2"/>
    <x v="288"/>
    <x v="413"/>
    <n v="2"/>
    <x v="1229"/>
  </r>
  <r>
    <d v="2019-09-02T00:00:00"/>
    <x v="0"/>
    <x v="8"/>
    <x v="290"/>
    <x v="17"/>
    <x v="1"/>
    <x v="15"/>
    <x v="945"/>
    <x v="1150"/>
    <n v="3"/>
    <x v="1230"/>
  </r>
  <r>
    <d v="2019-09-02T00:00:00"/>
    <x v="0"/>
    <x v="8"/>
    <x v="449"/>
    <x v="17"/>
    <x v="0"/>
    <x v="8"/>
    <x v="946"/>
    <x v="1151"/>
    <n v="2"/>
    <x v="1231"/>
  </r>
  <r>
    <d v="2019-09-02T00:00:00"/>
    <x v="0"/>
    <x v="8"/>
    <x v="361"/>
    <x v="4"/>
    <x v="2"/>
    <x v="5"/>
    <x v="73"/>
    <x v="1152"/>
    <n v="7"/>
    <x v="1232"/>
  </r>
  <r>
    <d v="2019-09-02T00:00:00"/>
    <x v="0"/>
    <x v="8"/>
    <x v="361"/>
    <x v="4"/>
    <x v="2"/>
    <x v="13"/>
    <x v="947"/>
    <x v="1153"/>
    <n v="9"/>
    <x v="1233"/>
  </r>
  <r>
    <d v="2019-09-02T00:00:00"/>
    <x v="0"/>
    <x v="8"/>
    <x v="361"/>
    <x v="4"/>
    <x v="2"/>
    <x v="7"/>
    <x v="948"/>
    <x v="1154"/>
    <n v="4"/>
    <x v="1234"/>
  </r>
  <r>
    <d v="2019-09-02T00:00:00"/>
    <x v="0"/>
    <x v="8"/>
    <x v="361"/>
    <x v="4"/>
    <x v="0"/>
    <x v="4"/>
    <x v="949"/>
    <x v="1155"/>
    <n v="3"/>
    <x v="1235"/>
  </r>
  <r>
    <d v="2019-09-02T00:00:00"/>
    <x v="0"/>
    <x v="8"/>
    <x v="361"/>
    <x v="4"/>
    <x v="1"/>
    <x v="3"/>
    <x v="950"/>
    <x v="1156"/>
    <n v="3"/>
    <x v="1236"/>
  </r>
  <r>
    <d v="2019-09-02T00:00:00"/>
    <x v="0"/>
    <x v="8"/>
    <x v="361"/>
    <x v="4"/>
    <x v="2"/>
    <x v="5"/>
    <x v="951"/>
    <x v="1157"/>
    <n v="5"/>
    <x v="1237"/>
  </r>
  <r>
    <d v="2019-09-02T00:00:00"/>
    <x v="0"/>
    <x v="8"/>
    <x v="450"/>
    <x v="9"/>
    <x v="1"/>
    <x v="6"/>
    <x v="324"/>
    <x v="1158"/>
    <n v="2"/>
    <x v="1238"/>
  </r>
  <r>
    <d v="2019-09-02T00:00:00"/>
    <x v="0"/>
    <x v="8"/>
    <x v="65"/>
    <x v="2"/>
    <x v="2"/>
    <x v="5"/>
    <x v="952"/>
    <x v="1159"/>
    <n v="8"/>
    <x v="1239"/>
  </r>
  <r>
    <d v="2019-09-02T00:00:00"/>
    <x v="0"/>
    <x v="8"/>
    <x v="65"/>
    <x v="2"/>
    <x v="1"/>
    <x v="3"/>
    <x v="11"/>
    <x v="1160"/>
    <n v="5"/>
    <x v="1240"/>
  </r>
  <r>
    <d v="2019-09-02T00:00:00"/>
    <x v="0"/>
    <x v="8"/>
    <x v="451"/>
    <x v="9"/>
    <x v="0"/>
    <x v="11"/>
    <x v="752"/>
    <x v="1161"/>
    <n v="3"/>
    <x v="1241"/>
  </r>
  <r>
    <d v="2019-09-02T00:00:00"/>
    <x v="0"/>
    <x v="8"/>
    <x v="451"/>
    <x v="9"/>
    <x v="2"/>
    <x v="10"/>
    <x v="745"/>
    <x v="1162"/>
    <n v="3"/>
    <x v="1242"/>
  </r>
  <r>
    <d v="2019-09-02T00:00:00"/>
    <x v="0"/>
    <x v="8"/>
    <x v="1"/>
    <x v="1"/>
    <x v="0"/>
    <x v="8"/>
    <x v="421"/>
    <x v="1163"/>
    <n v="9"/>
    <x v="1243"/>
  </r>
  <r>
    <d v="2019-09-02T00:00:00"/>
    <x v="0"/>
    <x v="8"/>
    <x v="1"/>
    <x v="1"/>
    <x v="2"/>
    <x v="2"/>
    <x v="451"/>
    <x v="1164"/>
    <n v="3"/>
    <x v="1244"/>
  </r>
  <r>
    <d v="2019-09-02T00:00:00"/>
    <x v="0"/>
    <x v="8"/>
    <x v="1"/>
    <x v="1"/>
    <x v="1"/>
    <x v="1"/>
    <x v="195"/>
    <x v="1165"/>
    <n v="4"/>
    <x v="1245"/>
  </r>
  <r>
    <d v="2019-09-02T00:00:00"/>
    <x v="0"/>
    <x v="8"/>
    <x v="1"/>
    <x v="1"/>
    <x v="2"/>
    <x v="7"/>
    <x v="953"/>
    <x v="94"/>
    <n v="7"/>
    <x v="1246"/>
  </r>
  <r>
    <d v="2019-09-02T00:00:00"/>
    <x v="0"/>
    <x v="8"/>
    <x v="1"/>
    <x v="1"/>
    <x v="0"/>
    <x v="4"/>
    <x v="954"/>
    <x v="1166"/>
    <n v="3"/>
    <x v="1247"/>
  </r>
  <r>
    <d v="2019-09-02T00:00:00"/>
    <x v="0"/>
    <x v="8"/>
    <x v="1"/>
    <x v="1"/>
    <x v="2"/>
    <x v="5"/>
    <x v="697"/>
    <x v="1167"/>
    <n v="1"/>
    <x v="1248"/>
  </r>
  <r>
    <d v="2019-09-03T00:00:00"/>
    <x v="0"/>
    <x v="8"/>
    <x v="452"/>
    <x v="5"/>
    <x v="2"/>
    <x v="5"/>
    <x v="840"/>
    <x v="1168"/>
    <n v="5"/>
    <x v="1249"/>
  </r>
  <r>
    <d v="2019-09-03T00:00:00"/>
    <x v="0"/>
    <x v="8"/>
    <x v="452"/>
    <x v="5"/>
    <x v="1"/>
    <x v="1"/>
    <x v="955"/>
    <x v="322"/>
    <n v="3"/>
    <x v="1250"/>
  </r>
  <r>
    <d v="2019-09-03T00:00:00"/>
    <x v="0"/>
    <x v="8"/>
    <x v="199"/>
    <x v="17"/>
    <x v="0"/>
    <x v="8"/>
    <x v="956"/>
    <x v="1169"/>
    <n v="3"/>
    <x v="1251"/>
  </r>
  <r>
    <d v="2019-09-03T00:00:00"/>
    <x v="0"/>
    <x v="8"/>
    <x v="160"/>
    <x v="17"/>
    <x v="2"/>
    <x v="5"/>
    <x v="19"/>
    <x v="1170"/>
    <n v="3"/>
    <x v="1252"/>
  </r>
  <r>
    <d v="2019-09-03T00:00:00"/>
    <x v="0"/>
    <x v="8"/>
    <x v="187"/>
    <x v="11"/>
    <x v="2"/>
    <x v="9"/>
    <x v="331"/>
    <x v="1171"/>
    <n v="7"/>
    <x v="1253"/>
  </r>
  <r>
    <d v="2019-09-03T00:00:00"/>
    <x v="0"/>
    <x v="8"/>
    <x v="323"/>
    <x v="7"/>
    <x v="2"/>
    <x v="2"/>
    <x v="957"/>
    <x v="1172"/>
    <n v="5"/>
    <x v="1254"/>
  </r>
  <r>
    <d v="2019-09-03T00:00:00"/>
    <x v="0"/>
    <x v="8"/>
    <x v="416"/>
    <x v="28"/>
    <x v="2"/>
    <x v="5"/>
    <x v="73"/>
    <x v="1173"/>
    <n v="8"/>
    <x v="1255"/>
  </r>
  <r>
    <d v="2019-09-03T00:00:00"/>
    <x v="0"/>
    <x v="8"/>
    <x v="186"/>
    <x v="0"/>
    <x v="0"/>
    <x v="0"/>
    <x v="931"/>
    <x v="1174"/>
    <n v="3"/>
    <x v="1256"/>
  </r>
  <r>
    <d v="2019-09-03T00:00:00"/>
    <x v="0"/>
    <x v="8"/>
    <x v="186"/>
    <x v="0"/>
    <x v="0"/>
    <x v="8"/>
    <x v="714"/>
    <x v="1175"/>
    <n v="2"/>
    <x v="1257"/>
  </r>
  <r>
    <d v="2019-09-03T00:00:00"/>
    <x v="0"/>
    <x v="8"/>
    <x v="186"/>
    <x v="0"/>
    <x v="2"/>
    <x v="5"/>
    <x v="958"/>
    <x v="1176"/>
    <n v="2"/>
    <x v="1258"/>
  </r>
  <r>
    <d v="2019-09-03T00:00:00"/>
    <x v="0"/>
    <x v="8"/>
    <x v="186"/>
    <x v="0"/>
    <x v="2"/>
    <x v="14"/>
    <x v="643"/>
    <x v="1177"/>
    <n v="8"/>
    <x v="1259"/>
  </r>
  <r>
    <d v="2019-09-03T00:00:00"/>
    <x v="0"/>
    <x v="8"/>
    <x v="227"/>
    <x v="17"/>
    <x v="0"/>
    <x v="0"/>
    <x v="959"/>
    <x v="1178"/>
    <n v="4"/>
    <x v="72"/>
  </r>
  <r>
    <d v="2019-09-03T00:00:00"/>
    <x v="0"/>
    <x v="8"/>
    <x v="453"/>
    <x v="8"/>
    <x v="2"/>
    <x v="9"/>
    <x v="930"/>
    <x v="1179"/>
    <n v="6"/>
    <x v="1260"/>
  </r>
  <r>
    <d v="2019-09-04T00:00:00"/>
    <x v="0"/>
    <x v="8"/>
    <x v="384"/>
    <x v="2"/>
    <x v="2"/>
    <x v="7"/>
    <x v="960"/>
    <x v="1180"/>
    <n v="1"/>
    <x v="1261"/>
  </r>
  <r>
    <d v="2019-09-04T00:00:00"/>
    <x v="0"/>
    <x v="8"/>
    <x v="384"/>
    <x v="2"/>
    <x v="2"/>
    <x v="7"/>
    <x v="244"/>
    <x v="1181"/>
    <n v="3"/>
    <x v="1262"/>
  </r>
  <r>
    <d v="2019-09-04T00:00:00"/>
    <x v="0"/>
    <x v="8"/>
    <x v="454"/>
    <x v="12"/>
    <x v="0"/>
    <x v="8"/>
    <x v="392"/>
    <x v="1182"/>
    <n v="1"/>
    <x v="1263"/>
  </r>
  <r>
    <d v="2019-09-04T00:00:00"/>
    <x v="0"/>
    <x v="8"/>
    <x v="454"/>
    <x v="12"/>
    <x v="2"/>
    <x v="5"/>
    <x v="18"/>
    <x v="1183"/>
    <n v="5"/>
    <x v="1264"/>
  </r>
  <r>
    <d v="2019-09-04T00:00:00"/>
    <x v="0"/>
    <x v="8"/>
    <x v="454"/>
    <x v="12"/>
    <x v="2"/>
    <x v="16"/>
    <x v="961"/>
    <x v="434"/>
    <n v="4"/>
    <x v="1265"/>
  </r>
  <r>
    <d v="2019-09-04T00:00:00"/>
    <x v="0"/>
    <x v="8"/>
    <x v="455"/>
    <x v="21"/>
    <x v="2"/>
    <x v="9"/>
    <x v="962"/>
    <x v="1184"/>
    <n v="3"/>
    <x v="1266"/>
  </r>
  <r>
    <d v="2019-09-04T00:00:00"/>
    <x v="0"/>
    <x v="8"/>
    <x v="455"/>
    <x v="21"/>
    <x v="2"/>
    <x v="13"/>
    <x v="154"/>
    <x v="1185"/>
    <n v="2"/>
    <x v="1267"/>
  </r>
  <r>
    <d v="2019-09-04T00:00:00"/>
    <x v="0"/>
    <x v="8"/>
    <x v="455"/>
    <x v="21"/>
    <x v="2"/>
    <x v="7"/>
    <x v="963"/>
    <x v="1186"/>
    <n v="2"/>
    <x v="168"/>
  </r>
  <r>
    <d v="2019-09-04T00:00:00"/>
    <x v="0"/>
    <x v="8"/>
    <x v="357"/>
    <x v="19"/>
    <x v="0"/>
    <x v="8"/>
    <x v="198"/>
    <x v="1187"/>
    <n v="3"/>
    <x v="1268"/>
  </r>
  <r>
    <d v="2019-09-04T00:00:00"/>
    <x v="0"/>
    <x v="8"/>
    <x v="357"/>
    <x v="19"/>
    <x v="2"/>
    <x v="5"/>
    <x v="416"/>
    <x v="1188"/>
    <n v="6"/>
    <x v="1269"/>
  </r>
  <r>
    <d v="2019-09-04T00:00:00"/>
    <x v="0"/>
    <x v="8"/>
    <x v="357"/>
    <x v="19"/>
    <x v="2"/>
    <x v="2"/>
    <x v="333"/>
    <x v="1189"/>
    <n v="4"/>
    <x v="1270"/>
  </r>
  <r>
    <d v="2019-09-04T00:00:00"/>
    <x v="0"/>
    <x v="8"/>
    <x v="357"/>
    <x v="19"/>
    <x v="2"/>
    <x v="7"/>
    <x v="659"/>
    <x v="376"/>
    <n v="3"/>
    <x v="1271"/>
  </r>
  <r>
    <d v="2019-09-04T00:00:00"/>
    <x v="0"/>
    <x v="8"/>
    <x v="266"/>
    <x v="27"/>
    <x v="2"/>
    <x v="2"/>
    <x v="502"/>
    <x v="1190"/>
    <n v="3"/>
    <x v="1272"/>
  </r>
  <r>
    <d v="2019-09-04T00:00:00"/>
    <x v="0"/>
    <x v="8"/>
    <x v="114"/>
    <x v="30"/>
    <x v="2"/>
    <x v="10"/>
    <x v="86"/>
    <x v="1191"/>
    <n v="2"/>
    <x v="1273"/>
  </r>
  <r>
    <d v="2019-09-04T00:00:00"/>
    <x v="0"/>
    <x v="8"/>
    <x v="114"/>
    <x v="30"/>
    <x v="1"/>
    <x v="3"/>
    <x v="601"/>
    <x v="1192"/>
    <n v="5"/>
    <x v="1274"/>
  </r>
  <r>
    <d v="2019-09-04T00:00:00"/>
    <x v="0"/>
    <x v="8"/>
    <x v="419"/>
    <x v="33"/>
    <x v="2"/>
    <x v="9"/>
    <x v="964"/>
    <x v="1193"/>
    <n v="5"/>
    <x v="1275"/>
  </r>
  <r>
    <d v="2019-09-04T00:00:00"/>
    <x v="0"/>
    <x v="8"/>
    <x v="456"/>
    <x v="1"/>
    <x v="0"/>
    <x v="8"/>
    <x v="965"/>
    <x v="1194"/>
    <n v="3"/>
    <x v="1276"/>
  </r>
  <r>
    <d v="2019-09-04T00:00:00"/>
    <x v="0"/>
    <x v="8"/>
    <x v="456"/>
    <x v="1"/>
    <x v="1"/>
    <x v="6"/>
    <x v="753"/>
    <x v="864"/>
    <n v="5"/>
    <x v="899"/>
  </r>
  <r>
    <d v="2019-09-05T00:00:00"/>
    <x v="0"/>
    <x v="8"/>
    <x v="36"/>
    <x v="5"/>
    <x v="0"/>
    <x v="8"/>
    <x v="294"/>
    <x v="469"/>
    <n v="2"/>
    <x v="1111"/>
  </r>
  <r>
    <d v="2019-09-05T00:00:00"/>
    <x v="0"/>
    <x v="8"/>
    <x v="203"/>
    <x v="25"/>
    <x v="0"/>
    <x v="8"/>
    <x v="966"/>
    <x v="1195"/>
    <n v="1"/>
    <x v="1277"/>
  </r>
  <r>
    <d v="2019-09-05T00:00:00"/>
    <x v="0"/>
    <x v="8"/>
    <x v="203"/>
    <x v="25"/>
    <x v="2"/>
    <x v="2"/>
    <x v="361"/>
    <x v="1196"/>
    <n v="3"/>
    <x v="1278"/>
  </r>
  <r>
    <d v="2019-09-05T00:00:00"/>
    <x v="0"/>
    <x v="8"/>
    <x v="203"/>
    <x v="25"/>
    <x v="2"/>
    <x v="2"/>
    <x v="967"/>
    <x v="1197"/>
    <n v="3"/>
    <x v="1279"/>
  </r>
  <r>
    <d v="2019-09-05T00:00:00"/>
    <x v="0"/>
    <x v="8"/>
    <x v="203"/>
    <x v="25"/>
    <x v="2"/>
    <x v="9"/>
    <x v="968"/>
    <x v="1198"/>
    <n v="4"/>
    <x v="1280"/>
  </r>
  <r>
    <d v="2019-09-05T00:00:00"/>
    <x v="0"/>
    <x v="8"/>
    <x v="203"/>
    <x v="25"/>
    <x v="0"/>
    <x v="11"/>
    <x v="969"/>
    <x v="144"/>
    <n v="3"/>
    <x v="1281"/>
  </r>
  <r>
    <d v="2019-09-05T00:00:00"/>
    <x v="0"/>
    <x v="8"/>
    <x v="203"/>
    <x v="25"/>
    <x v="2"/>
    <x v="14"/>
    <x v="970"/>
    <x v="705"/>
    <n v="7"/>
    <x v="728"/>
  </r>
  <r>
    <d v="2019-09-05T00:00:00"/>
    <x v="0"/>
    <x v="8"/>
    <x v="414"/>
    <x v="41"/>
    <x v="1"/>
    <x v="1"/>
    <x v="971"/>
    <x v="1199"/>
    <n v="3"/>
    <x v="1282"/>
  </r>
  <r>
    <d v="2019-09-05T00:00:00"/>
    <x v="0"/>
    <x v="8"/>
    <x v="241"/>
    <x v="38"/>
    <x v="2"/>
    <x v="7"/>
    <x v="406"/>
    <x v="1200"/>
    <n v="3"/>
    <x v="1283"/>
  </r>
  <r>
    <d v="2019-09-05T00:00:00"/>
    <x v="0"/>
    <x v="8"/>
    <x v="321"/>
    <x v="2"/>
    <x v="0"/>
    <x v="11"/>
    <x v="207"/>
    <x v="1201"/>
    <n v="7"/>
    <x v="1284"/>
  </r>
  <r>
    <d v="2019-09-05T00:00:00"/>
    <x v="0"/>
    <x v="8"/>
    <x v="457"/>
    <x v="1"/>
    <x v="1"/>
    <x v="3"/>
    <x v="775"/>
    <x v="1202"/>
    <n v="8"/>
    <x v="1285"/>
  </r>
  <r>
    <d v="2019-09-05T00:00:00"/>
    <x v="0"/>
    <x v="8"/>
    <x v="458"/>
    <x v="5"/>
    <x v="2"/>
    <x v="5"/>
    <x v="972"/>
    <x v="1203"/>
    <n v="5"/>
    <x v="1286"/>
  </r>
  <r>
    <d v="2019-09-05T00:00:00"/>
    <x v="0"/>
    <x v="8"/>
    <x v="238"/>
    <x v="21"/>
    <x v="2"/>
    <x v="10"/>
    <x v="86"/>
    <x v="1204"/>
    <n v="3"/>
    <x v="1287"/>
  </r>
  <r>
    <d v="2019-09-05T00:00:00"/>
    <x v="0"/>
    <x v="8"/>
    <x v="238"/>
    <x v="21"/>
    <x v="2"/>
    <x v="5"/>
    <x v="973"/>
    <x v="1205"/>
    <n v="7"/>
    <x v="1288"/>
  </r>
  <r>
    <d v="2019-09-05T00:00:00"/>
    <x v="0"/>
    <x v="8"/>
    <x v="238"/>
    <x v="21"/>
    <x v="1"/>
    <x v="1"/>
    <x v="974"/>
    <x v="22"/>
    <n v="2"/>
    <x v="1289"/>
  </r>
  <r>
    <d v="2019-09-05T00:00:00"/>
    <x v="0"/>
    <x v="8"/>
    <x v="238"/>
    <x v="21"/>
    <x v="2"/>
    <x v="9"/>
    <x v="975"/>
    <x v="344"/>
    <n v="3"/>
    <x v="348"/>
  </r>
  <r>
    <d v="2019-09-05T00:00:00"/>
    <x v="0"/>
    <x v="8"/>
    <x v="407"/>
    <x v="2"/>
    <x v="2"/>
    <x v="13"/>
    <x v="941"/>
    <x v="1206"/>
    <n v="3"/>
    <x v="1290"/>
  </r>
  <r>
    <d v="2019-09-05T00:00:00"/>
    <x v="0"/>
    <x v="8"/>
    <x v="407"/>
    <x v="2"/>
    <x v="2"/>
    <x v="12"/>
    <x v="976"/>
    <x v="1207"/>
    <n v="9"/>
    <x v="1291"/>
  </r>
  <r>
    <d v="2019-09-05T00:00:00"/>
    <x v="0"/>
    <x v="8"/>
    <x v="459"/>
    <x v="1"/>
    <x v="2"/>
    <x v="9"/>
    <x v="977"/>
    <x v="1208"/>
    <n v="2"/>
    <x v="1292"/>
  </r>
  <r>
    <d v="2019-09-05T00:00:00"/>
    <x v="0"/>
    <x v="8"/>
    <x v="459"/>
    <x v="1"/>
    <x v="2"/>
    <x v="5"/>
    <x v="399"/>
    <x v="1110"/>
    <n v="2"/>
    <x v="1293"/>
  </r>
  <r>
    <d v="2019-09-05T00:00:00"/>
    <x v="0"/>
    <x v="8"/>
    <x v="459"/>
    <x v="1"/>
    <x v="2"/>
    <x v="12"/>
    <x v="130"/>
    <x v="1209"/>
    <n v="2"/>
    <x v="1294"/>
  </r>
  <r>
    <d v="2019-09-05T00:00:00"/>
    <x v="0"/>
    <x v="8"/>
    <x v="460"/>
    <x v="2"/>
    <x v="2"/>
    <x v="9"/>
    <x v="691"/>
    <x v="17"/>
    <n v="5"/>
    <x v="17"/>
  </r>
  <r>
    <d v="2019-09-05T00:00:00"/>
    <x v="0"/>
    <x v="8"/>
    <x v="460"/>
    <x v="2"/>
    <x v="2"/>
    <x v="12"/>
    <x v="163"/>
    <x v="1210"/>
    <n v="8"/>
    <x v="1295"/>
  </r>
  <r>
    <d v="2019-09-05T00:00:00"/>
    <x v="0"/>
    <x v="8"/>
    <x v="460"/>
    <x v="2"/>
    <x v="2"/>
    <x v="9"/>
    <x v="978"/>
    <x v="286"/>
    <n v="2"/>
    <x v="1296"/>
  </r>
  <r>
    <d v="2019-09-05T00:00:00"/>
    <x v="0"/>
    <x v="8"/>
    <x v="153"/>
    <x v="12"/>
    <x v="2"/>
    <x v="9"/>
    <x v="979"/>
    <x v="1211"/>
    <n v="4"/>
    <x v="1297"/>
  </r>
  <r>
    <d v="2019-09-05T00:00:00"/>
    <x v="0"/>
    <x v="8"/>
    <x v="461"/>
    <x v="2"/>
    <x v="2"/>
    <x v="2"/>
    <x v="620"/>
    <x v="1212"/>
    <n v="3"/>
    <x v="1298"/>
  </r>
  <r>
    <d v="2019-09-05T00:00:00"/>
    <x v="0"/>
    <x v="8"/>
    <x v="216"/>
    <x v="18"/>
    <x v="2"/>
    <x v="14"/>
    <x v="980"/>
    <x v="400"/>
    <n v="2"/>
    <x v="408"/>
  </r>
  <r>
    <d v="2019-09-05T00:00:00"/>
    <x v="0"/>
    <x v="8"/>
    <x v="216"/>
    <x v="18"/>
    <x v="0"/>
    <x v="4"/>
    <x v="981"/>
    <x v="1213"/>
    <n v="3"/>
    <x v="1299"/>
  </r>
  <r>
    <d v="2019-09-05T00:00:00"/>
    <x v="0"/>
    <x v="8"/>
    <x v="353"/>
    <x v="17"/>
    <x v="2"/>
    <x v="9"/>
    <x v="525"/>
    <x v="993"/>
    <n v="2"/>
    <x v="1300"/>
  </r>
  <r>
    <d v="2019-09-05T00:00:00"/>
    <x v="0"/>
    <x v="8"/>
    <x v="462"/>
    <x v="8"/>
    <x v="2"/>
    <x v="5"/>
    <x v="536"/>
    <x v="1214"/>
    <n v="2"/>
    <x v="1301"/>
  </r>
  <r>
    <d v="2019-09-05T00:00:00"/>
    <x v="0"/>
    <x v="8"/>
    <x v="462"/>
    <x v="8"/>
    <x v="2"/>
    <x v="5"/>
    <x v="201"/>
    <x v="211"/>
    <n v="6"/>
    <x v="1302"/>
  </r>
  <r>
    <d v="2019-09-05T00:00:00"/>
    <x v="0"/>
    <x v="8"/>
    <x v="462"/>
    <x v="8"/>
    <x v="0"/>
    <x v="11"/>
    <x v="982"/>
    <x v="813"/>
    <n v="2"/>
    <x v="1303"/>
  </r>
  <r>
    <d v="2019-09-05T00:00:00"/>
    <x v="0"/>
    <x v="8"/>
    <x v="440"/>
    <x v="2"/>
    <x v="0"/>
    <x v="8"/>
    <x v="983"/>
    <x v="1215"/>
    <n v="3"/>
    <x v="1304"/>
  </r>
  <r>
    <d v="2019-09-05T00:00:00"/>
    <x v="0"/>
    <x v="8"/>
    <x v="152"/>
    <x v="5"/>
    <x v="0"/>
    <x v="8"/>
    <x v="965"/>
    <x v="1216"/>
    <n v="9"/>
    <x v="1305"/>
  </r>
  <r>
    <d v="2019-09-05T00:00:00"/>
    <x v="0"/>
    <x v="8"/>
    <x v="152"/>
    <x v="5"/>
    <x v="0"/>
    <x v="11"/>
    <x v="984"/>
    <x v="1217"/>
    <n v="2"/>
    <x v="1306"/>
  </r>
  <r>
    <d v="2019-09-05T00:00:00"/>
    <x v="0"/>
    <x v="8"/>
    <x v="152"/>
    <x v="5"/>
    <x v="2"/>
    <x v="7"/>
    <x v="985"/>
    <x v="1218"/>
    <n v="3"/>
    <x v="13"/>
  </r>
  <r>
    <d v="2019-09-05T00:00:00"/>
    <x v="0"/>
    <x v="8"/>
    <x v="152"/>
    <x v="5"/>
    <x v="0"/>
    <x v="11"/>
    <x v="249"/>
    <x v="1219"/>
    <n v="3"/>
    <x v="1307"/>
  </r>
  <r>
    <d v="2019-09-05T00:00:00"/>
    <x v="0"/>
    <x v="8"/>
    <x v="463"/>
    <x v="12"/>
    <x v="1"/>
    <x v="1"/>
    <x v="517"/>
    <x v="555"/>
    <n v="4"/>
    <x v="1308"/>
  </r>
  <r>
    <d v="2019-09-06T00:00:00"/>
    <x v="0"/>
    <x v="8"/>
    <x v="464"/>
    <x v="27"/>
    <x v="2"/>
    <x v="13"/>
    <x v="986"/>
    <x v="910"/>
    <n v="6"/>
    <x v="1309"/>
  </r>
  <r>
    <d v="2019-09-06T00:00:00"/>
    <x v="0"/>
    <x v="8"/>
    <x v="465"/>
    <x v="12"/>
    <x v="1"/>
    <x v="3"/>
    <x v="119"/>
    <x v="123"/>
    <n v="2"/>
    <x v="122"/>
  </r>
  <r>
    <d v="2019-09-06T00:00:00"/>
    <x v="0"/>
    <x v="8"/>
    <x v="465"/>
    <x v="12"/>
    <x v="0"/>
    <x v="0"/>
    <x v="746"/>
    <x v="1220"/>
    <n v="3"/>
    <x v="1310"/>
  </r>
  <r>
    <d v="2019-09-06T00:00:00"/>
    <x v="0"/>
    <x v="8"/>
    <x v="466"/>
    <x v="4"/>
    <x v="2"/>
    <x v="10"/>
    <x v="255"/>
    <x v="1221"/>
    <n v="3"/>
    <x v="1311"/>
  </r>
  <r>
    <d v="2019-09-06T00:00:00"/>
    <x v="0"/>
    <x v="8"/>
    <x v="466"/>
    <x v="4"/>
    <x v="2"/>
    <x v="5"/>
    <x v="772"/>
    <x v="1222"/>
    <n v="2"/>
    <x v="1312"/>
  </r>
  <r>
    <d v="2019-09-06T00:00:00"/>
    <x v="0"/>
    <x v="8"/>
    <x v="445"/>
    <x v="2"/>
    <x v="2"/>
    <x v="2"/>
    <x v="987"/>
    <x v="1223"/>
    <n v="1"/>
    <x v="1313"/>
  </r>
  <r>
    <d v="2019-09-06T00:00:00"/>
    <x v="0"/>
    <x v="8"/>
    <x v="174"/>
    <x v="2"/>
    <x v="2"/>
    <x v="9"/>
    <x v="832"/>
    <x v="1224"/>
    <n v="4"/>
    <x v="1314"/>
  </r>
  <r>
    <d v="2019-09-06T00:00:00"/>
    <x v="0"/>
    <x v="8"/>
    <x v="174"/>
    <x v="2"/>
    <x v="1"/>
    <x v="1"/>
    <x v="988"/>
    <x v="1225"/>
    <n v="2"/>
    <x v="1315"/>
  </r>
  <r>
    <d v="2019-09-08T00:00:00"/>
    <x v="0"/>
    <x v="8"/>
    <x v="17"/>
    <x v="2"/>
    <x v="2"/>
    <x v="2"/>
    <x v="450"/>
    <x v="1226"/>
    <n v="3"/>
    <x v="1316"/>
  </r>
  <r>
    <d v="2019-09-08T00:00:00"/>
    <x v="0"/>
    <x v="8"/>
    <x v="17"/>
    <x v="2"/>
    <x v="0"/>
    <x v="0"/>
    <x v="989"/>
    <x v="1227"/>
    <n v="4"/>
    <x v="1317"/>
  </r>
  <r>
    <d v="2019-09-08T00:00:00"/>
    <x v="0"/>
    <x v="8"/>
    <x v="17"/>
    <x v="2"/>
    <x v="2"/>
    <x v="2"/>
    <x v="990"/>
    <x v="1228"/>
    <n v="4"/>
    <x v="1318"/>
  </r>
  <r>
    <d v="2019-09-08T00:00:00"/>
    <x v="0"/>
    <x v="8"/>
    <x v="17"/>
    <x v="2"/>
    <x v="1"/>
    <x v="3"/>
    <x v="874"/>
    <x v="1229"/>
    <n v="2"/>
    <x v="1319"/>
  </r>
  <r>
    <d v="2019-09-08T00:00:00"/>
    <x v="0"/>
    <x v="8"/>
    <x v="173"/>
    <x v="1"/>
    <x v="2"/>
    <x v="5"/>
    <x v="40"/>
    <x v="1230"/>
    <n v="2"/>
    <x v="1320"/>
  </r>
  <r>
    <d v="2019-09-08T00:00:00"/>
    <x v="0"/>
    <x v="8"/>
    <x v="173"/>
    <x v="1"/>
    <x v="2"/>
    <x v="5"/>
    <x v="666"/>
    <x v="1231"/>
    <n v="4"/>
    <x v="1321"/>
  </r>
  <r>
    <d v="2019-09-08T00:00:00"/>
    <x v="0"/>
    <x v="8"/>
    <x v="281"/>
    <x v="26"/>
    <x v="0"/>
    <x v="0"/>
    <x v="991"/>
    <x v="1"/>
    <n v="3"/>
    <x v="1322"/>
  </r>
  <r>
    <d v="2019-09-08T00:00:00"/>
    <x v="0"/>
    <x v="8"/>
    <x v="281"/>
    <x v="26"/>
    <x v="2"/>
    <x v="14"/>
    <x v="700"/>
    <x v="1175"/>
    <n v="4"/>
    <x v="1323"/>
  </r>
  <r>
    <d v="2019-09-08T00:00:00"/>
    <x v="0"/>
    <x v="8"/>
    <x v="49"/>
    <x v="17"/>
    <x v="0"/>
    <x v="8"/>
    <x v="983"/>
    <x v="1232"/>
    <n v="2"/>
    <x v="1324"/>
  </r>
  <r>
    <d v="2019-09-08T00:00:00"/>
    <x v="0"/>
    <x v="8"/>
    <x v="49"/>
    <x v="17"/>
    <x v="0"/>
    <x v="4"/>
    <x v="893"/>
    <x v="1233"/>
    <n v="3"/>
    <x v="1325"/>
  </r>
  <r>
    <d v="2019-09-08T00:00:00"/>
    <x v="0"/>
    <x v="8"/>
    <x v="467"/>
    <x v="12"/>
    <x v="2"/>
    <x v="13"/>
    <x v="992"/>
    <x v="1234"/>
    <n v="1"/>
    <x v="1326"/>
  </r>
  <r>
    <d v="2019-09-08T00:00:00"/>
    <x v="0"/>
    <x v="8"/>
    <x v="13"/>
    <x v="2"/>
    <x v="2"/>
    <x v="7"/>
    <x v="302"/>
    <x v="1235"/>
    <n v="2"/>
    <x v="1327"/>
  </r>
  <r>
    <d v="2019-09-08T00:00:00"/>
    <x v="0"/>
    <x v="8"/>
    <x v="13"/>
    <x v="2"/>
    <x v="1"/>
    <x v="1"/>
    <x v="993"/>
    <x v="1236"/>
    <n v="5"/>
    <x v="1328"/>
  </r>
  <r>
    <d v="2019-09-08T00:00:00"/>
    <x v="0"/>
    <x v="8"/>
    <x v="196"/>
    <x v="4"/>
    <x v="1"/>
    <x v="3"/>
    <x v="380"/>
    <x v="413"/>
    <n v="4"/>
    <x v="421"/>
  </r>
  <r>
    <d v="2019-09-08T00:00:00"/>
    <x v="0"/>
    <x v="8"/>
    <x v="196"/>
    <x v="4"/>
    <x v="2"/>
    <x v="9"/>
    <x v="994"/>
    <x v="1237"/>
    <n v="3"/>
    <x v="1329"/>
  </r>
  <r>
    <d v="2019-09-08T00:00:00"/>
    <x v="0"/>
    <x v="8"/>
    <x v="381"/>
    <x v="1"/>
    <x v="0"/>
    <x v="4"/>
    <x v="995"/>
    <x v="1238"/>
    <n v="1"/>
    <x v="1330"/>
  </r>
  <r>
    <d v="2019-09-08T00:00:00"/>
    <x v="0"/>
    <x v="8"/>
    <x v="414"/>
    <x v="9"/>
    <x v="0"/>
    <x v="8"/>
    <x v="750"/>
    <x v="1239"/>
    <n v="1"/>
    <x v="1331"/>
  </r>
  <r>
    <d v="2019-09-08T00:00:00"/>
    <x v="0"/>
    <x v="8"/>
    <x v="414"/>
    <x v="9"/>
    <x v="2"/>
    <x v="9"/>
    <x v="924"/>
    <x v="1240"/>
    <n v="7"/>
    <x v="1332"/>
  </r>
  <r>
    <d v="2019-09-08T00:00:00"/>
    <x v="0"/>
    <x v="8"/>
    <x v="305"/>
    <x v="1"/>
    <x v="2"/>
    <x v="7"/>
    <x v="783"/>
    <x v="1241"/>
    <n v="2"/>
    <x v="1333"/>
  </r>
  <r>
    <d v="2019-09-08T00:00:00"/>
    <x v="0"/>
    <x v="8"/>
    <x v="305"/>
    <x v="1"/>
    <x v="2"/>
    <x v="9"/>
    <x v="687"/>
    <x v="1242"/>
    <n v="8"/>
    <x v="1334"/>
  </r>
  <r>
    <d v="2019-09-08T00:00:00"/>
    <x v="0"/>
    <x v="8"/>
    <x v="305"/>
    <x v="1"/>
    <x v="2"/>
    <x v="2"/>
    <x v="216"/>
    <x v="1243"/>
    <n v="2"/>
    <x v="1335"/>
  </r>
  <r>
    <d v="2019-09-09T00:00:00"/>
    <x v="0"/>
    <x v="8"/>
    <x v="468"/>
    <x v="12"/>
    <x v="2"/>
    <x v="5"/>
    <x v="241"/>
    <x v="1244"/>
    <n v="2"/>
    <x v="1336"/>
  </r>
  <r>
    <d v="2019-09-09T00:00:00"/>
    <x v="0"/>
    <x v="8"/>
    <x v="297"/>
    <x v="1"/>
    <x v="2"/>
    <x v="5"/>
    <x v="996"/>
    <x v="1245"/>
    <n v="4"/>
    <x v="1337"/>
  </r>
  <r>
    <d v="2019-09-09T00:00:00"/>
    <x v="0"/>
    <x v="8"/>
    <x v="165"/>
    <x v="2"/>
    <x v="0"/>
    <x v="8"/>
    <x v="997"/>
    <x v="1246"/>
    <n v="4"/>
    <x v="1338"/>
  </r>
  <r>
    <d v="2019-09-10T00:00:00"/>
    <x v="0"/>
    <x v="8"/>
    <x v="469"/>
    <x v="12"/>
    <x v="2"/>
    <x v="2"/>
    <x v="998"/>
    <x v="1247"/>
    <n v="2"/>
    <x v="1339"/>
  </r>
  <r>
    <d v="2019-09-10T00:00:00"/>
    <x v="0"/>
    <x v="8"/>
    <x v="469"/>
    <x v="12"/>
    <x v="2"/>
    <x v="9"/>
    <x v="577"/>
    <x v="1248"/>
    <n v="1"/>
    <x v="1340"/>
  </r>
  <r>
    <d v="2019-09-10T00:00:00"/>
    <x v="0"/>
    <x v="8"/>
    <x v="331"/>
    <x v="21"/>
    <x v="2"/>
    <x v="7"/>
    <x v="861"/>
    <x v="1249"/>
    <n v="3"/>
    <x v="1341"/>
  </r>
  <r>
    <d v="2019-09-10T00:00:00"/>
    <x v="0"/>
    <x v="8"/>
    <x v="470"/>
    <x v="2"/>
    <x v="0"/>
    <x v="4"/>
    <x v="355"/>
    <x v="1250"/>
    <n v="5"/>
    <x v="1342"/>
  </r>
  <r>
    <d v="2019-09-10T00:00:00"/>
    <x v="0"/>
    <x v="8"/>
    <x v="470"/>
    <x v="2"/>
    <x v="1"/>
    <x v="1"/>
    <x v="180"/>
    <x v="1251"/>
    <n v="5"/>
    <x v="1343"/>
  </r>
  <r>
    <d v="2019-09-10T00:00:00"/>
    <x v="0"/>
    <x v="8"/>
    <x v="358"/>
    <x v="6"/>
    <x v="1"/>
    <x v="1"/>
    <x v="971"/>
    <x v="1252"/>
    <n v="7"/>
    <x v="1344"/>
  </r>
  <r>
    <d v="2019-09-10T00:00:00"/>
    <x v="0"/>
    <x v="8"/>
    <x v="110"/>
    <x v="9"/>
    <x v="2"/>
    <x v="14"/>
    <x v="639"/>
    <x v="1253"/>
    <n v="2"/>
    <x v="1345"/>
  </r>
  <r>
    <d v="2019-09-10T00:00:00"/>
    <x v="0"/>
    <x v="8"/>
    <x v="110"/>
    <x v="9"/>
    <x v="2"/>
    <x v="5"/>
    <x v="7"/>
    <x v="1254"/>
    <n v="3"/>
    <x v="1346"/>
  </r>
  <r>
    <d v="2019-09-10T00:00:00"/>
    <x v="0"/>
    <x v="8"/>
    <x v="110"/>
    <x v="9"/>
    <x v="2"/>
    <x v="9"/>
    <x v="356"/>
    <x v="42"/>
    <n v="2"/>
    <x v="42"/>
  </r>
  <r>
    <d v="2019-09-10T00:00:00"/>
    <x v="0"/>
    <x v="8"/>
    <x v="110"/>
    <x v="9"/>
    <x v="2"/>
    <x v="5"/>
    <x v="358"/>
    <x v="1255"/>
    <n v="3"/>
    <x v="1347"/>
  </r>
  <r>
    <d v="2019-09-10T00:00:00"/>
    <x v="0"/>
    <x v="8"/>
    <x v="471"/>
    <x v="1"/>
    <x v="2"/>
    <x v="5"/>
    <x v="236"/>
    <x v="1060"/>
    <n v="2"/>
    <x v="1121"/>
  </r>
  <r>
    <d v="2019-09-11T00:00:00"/>
    <x v="0"/>
    <x v="8"/>
    <x v="472"/>
    <x v="1"/>
    <x v="2"/>
    <x v="9"/>
    <x v="999"/>
    <x v="1256"/>
    <n v="1"/>
    <x v="1348"/>
  </r>
  <r>
    <d v="2019-09-11T00:00:00"/>
    <x v="0"/>
    <x v="8"/>
    <x v="472"/>
    <x v="1"/>
    <x v="1"/>
    <x v="3"/>
    <x v="280"/>
    <x v="1257"/>
    <n v="13"/>
    <x v="1349"/>
  </r>
  <r>
    <d v="2019-09-11T00:00:00"/>
    <x v="0"/>
    <x v="8"/>
    <x v="473"/>
    <x v="5"/>
    <x v="2"/>
    <x v="9"/>
    <x v="1000"/>
    <x v="1258"/>
    <n v="2"/>
    <x v="1350"/>
  </r>
  <r>
    <d v="2019-09-11T00:00:00"/>
    <x v="0"/>
    <x v="8"/>
    <x v="473"/>
    <x v="5"/>
    <x v="1"/>
    <x v="1"/>
    <x v="1001"/>
    <x v="1259"/>
    <n v="9"/>
    <x v="1351"/>
  </r>
  <r>
    <d v="2019-09-11T00:00:00"/>
    <x v="0"/>
    <x v="8"/>
    <x v="354"/>
    <x v="8"/>
    <x v="2"/>
    <x v="5"/>
    <x v="588"/>
    <x v="1260"/>
    <n v="3"/>
    <x v="1352"/>
  </r>
  <r>
    <d v="2019-09-11T00:00:00"/>
    <x v="0"/>
    <x v="8"/>
    <x v="354"/>
    <x v="8"/>
    <x v="2"/>
    <x v="2"/>
    <x v="662"/>
    <x v="1051"/>
    <n v="5"/>
    <x v="1353"/>
  </r>
  <r>
    <d v="2019-09-11T00:00:00"/>
    <x v="0"/>
    <x v="8"/>
    <x v="72"/>
    <x v="18"/>
    <x v="1"/>
    <x v="6"/>
    <x v="1002"/>
    <x v="1261"/>
    <n v="8"/>
    <x v="1354"/>
  </r>
  <r>
    <d v="2019-09-11T00:00:00"/>
    <x v="0"/>
    <x v="8"/>
    <x v="72"/>
    <x v="18"/>
    <x v="2"/>
    <x v="10"/>
    <x v="338"/>
    <x v="1262"/>
    <n v="1"/>
    <x v="1355"/>
  </r>
  <r>
    <d v="2019-09-11T00:00:00"/>
    <x v="0"/>
    <x v="8"/>
    <x v="474"/>
    <x v="1"/>
    <x v="2"/>
    <x v="2"/>
    <x v="1003"/>
    <x v="1263"/>
    <n v="3"/>
    <x v="1356"/>
  </r>
  <r>
    <d v="2019-09-11T00:00:00"/>
    <x v="0"/>
    <x v="8"/>
    <x v="474"/>
    <x v="1"/>
    <x v="2"/>
    <x v="5"/>
    <x v="588"/>
    <x v="1264"/>
    <n v="2"/>
    <x v="1357"/>
  </r>
  <r>
    <d v="2019-09-11T00:00:00"/>
    <x v="0"/>
    <x v="8"/>
    <x v="245"/>
    <x v="38"/>
    <x v="1"/>
    <x v="1"/>
    <x v="172"/>
    <x v="1265"/>
    <n v="5"/>
    <x v="1358"/>
  </r>
  <r>
    <d v="2019-09-11T00:00:00"/>
    <x v="0"/>
    <x v="8"/>
    <x v="232"/>
    <x v="17"/>
    <x v="2"/>
    <x v="14"/>
    <x v="1004"/>
    <x v="503"/>
    <n v="2"/>
    <x v="515"/>
  </r>
  <r>
    <d v="2019-09-11T00:00:00"/>
    <x v="0"/>
    <x v="8"/>
    <x v="232"/>
    <x v="17"/>
    <x v="2"/>
    <x v="5"/>
    <x v="227"/>
    <x v="1266"/>
    <n v="3"/>
    <x v="1359"/>
  </r>
  <r>
    <d v="2019-09-11T00:00:00"/>
    <x v="0"/>
    <x v="8"/>
    <x v="274"/>
    <x v="20"/>
    <x v="2"/>
    <x v="7"/>
    <x v="1005"/>
    <x v="1267"/>
    <n v="2"/>
    <x v="1360"/>
  </r>
  <r>
    <d v="2019-09-11T00:00:00"/>
    <x v="0"/>
    <x v="8"/>
    <x v="274"/>
    <x v="20"/>
    <x v="2"/>
    <x v="9"/>
    <x v="1006"/>
    <x v="284"/>
    <n v="4"/>
    <x v="286"/>
  </r>
  <r>
    <d v="2019-09-11T00:00:00"/>
    <x v="0"/>
    <x v="8"/>
    <x v="274"/>
    <x v="20"/>
    <x v="2"/>
    <x v="9"/>
    <x v="580"/>
    <x v="1268"/>
    <n v="2"/>
    <x v="1220"/>
  </r>
  <r>
    <d v="2019-09-11T00:00:00"/>
    <x v="0"/>
    <x v="8"/>
    <x v="475"/>
    <x v="2"/>
    <x v="2"/>
    <x v="10"/>
    <x v="186"/>
    <x v="1269"/>
    <n v="2"/>
    <x v="1361"/>
  </r>
  <r>
    <d v="2019-09-12T00:00:00"/>
    <x v="0"/>
    <x v="8"/>
    <x v="5"/>
    <x v="22"/>
    <x v="0"/>
    <x v="8"/>
    <x v="1007"/>
    <x v="1270"/>
    <n v="4"/>
    <x v="1362"/>
  </r>
  <r>
    <d v="2019-09-12T00:00:00"/>
    <x v="0"/>
    <x v="8"/>
    <x v="5"/>
    <x v="22"/>
    <x v="0"/>
    <x v="11"/>
    <x v="365"/>
    <x v="1271"/>
    <n v="2"/>
    <x v="1363"/>
  </r>
  <r>
    <d v="2019-09-12T00:00:00"/>
    <x v="0"/>
    <x v="8"/>
    <x v="5"/>
    <x v="22"/>
    <x v="0"/>
    <x v="8"/>
    <x v="837"/>
    <x v="563"/>
    <n v="1"/>
    <x v="1364"/>
  </r>
  <r>
    <d v="2019-09-12T00:00:00"/>
    <x v="0"/>
    <x v="8"/>
    <x v="5"/>
    <x v="22"/>
    <x v="2"/>
    <x v="14"/>
    <x v="1008"/>
    <x v="944"/>
    <n v="3"/>
    <x v="993"/>
  </r>
  <r>
    <d v="2019-09-12T00:00:00"/>
    <x v="0"/>
    <x v="8"/>
    <x v="176"/>
    <x v="9"/>
    <x v="2"/>
    <x v="12"/>
    <x v="864"/>
    <x v="1272"/>
    <n v="3"/>
    <x v="1365"/>
  </r>
  <r>
    <d v="2019-09-12T00:00:00"/>
    <x v="0"/>
    <x v="8"/>
    <x v="176"/>
    <x v="9"/>
    <x v="2"/>
    <x v="14"/>
    <x v="639"/>
    <x v="1273"/>
    <n v="3"/>
    <x v="1366"/>
  </r>
  <r>
    <d v="2019-09-12T00:00:00"/>
    <x v="0"/>
    <x v="8"/>
    <x v="176"/>
    <x v="9"/>
    <x v="2"/>
    <x v="5"/>
    <x v="523"/>
    <x v="1274"/>
    <n v="4"/>
    <x v="1367"/>
  </r>
  <r>
    <d v="2019-09-12T00:00:00"/>
    <x v="0"/>
    <x v="8"/>
    <x v="6"/>
    <x v="18"/>
    <x v="1"/>
    <x v="3"/>
    <x v="696"/>
    <x v="333"/>
    <n v="3"/>
    <x v="1368"/>
  </r>
  <r>
    <d v="2019-09-12T00:00:00"/>
    <x v="0"/>
    <x v="8"/>
    <x v="6"/>
    <x v="18"/>
    <x v="2"/>
    <x v="12"/>
    <x v="163"/>
    <x v="321"/>
    <n v="3"/>
    <x v="1369"/>
  </r>
  <r>
    <d v="2019-09-12T00:00:00"/>
    <x v="0"/>
    <x v="8"/>
    <x v="6"/>
    <x v="18"/>
    <x v="2"/>
    <x v="2"/>
    <x v="679"/>
    <x v="1275"/>
    <n v="5"/>
    <x v="1370"/>
  </r>
  <r>
    <d v="2019-09-12T00:00:00"/>
    <x v="0"/>
    <x v="8"/>
    <x v="6"/>
    <x v="18"/>
    <x v="0"/>
    <x v="11"/>
    <x v="1009"/>
    <x v="1276"/>
    <n v="4"/>
    <x v="1371"/>
  </r>
  <r>
    <d v="2019-09-12T00:00:00"/>
    <x v="0"/>
    <x v="8"/>
    <x v="358"/>
    <x v="25"/>
    <x v="2"/>
    <x v="9"/>
    <x v="582"/>
    <x v="1277"/>
    <n v="3"/>
    <x v="1372"/>
  </r>
  <r>
    <d v="2019-09-12T00:00:00"/>
    <x v="0"/>
    <x v="8"/>
    <x v="316"/>
    <x v="22"/>
    <x v="1"/>
    <x v="1"/>
    <x v="1010"/>
    <x v="1278"/>
    <n v="3"/>
    <x v="1373"/>
  </r>
  <r>
    <d v="2019-09-12T00:00:00"/>
    <x v="0"/>
    <x v="8"/>
    <x v="316"/>
    <x v="22"/>
    <x v="0"/>
    <x v="11"/>
    <x v="440"/>
    <x v="1279"/>
    <n v="4"/>
    <x v="1374"/>
  </r>
  <r>
    <d v="2019-09-12T00:00:00"/>
    <x v="0"/>
    <x v="8"/>
    <x v="372"/>
    <x v="12"/>
    <x v="0"/>
    <x v="8"/>
    <x v="1011"/>
    <x v="1280"/>
    <n v="2"/>
    <x v="1375"/>
  </r>
  <r>
    <d v="2019-09-13T00:00:00"/>
    <x v="0"/>
    <x v="8"/>
    <x v="476"/>
    <x v="34"/>
    <x v="2"/>
    <x v="2"/>
    <x v="679"/>
    <x v="763"/>
    <n v="3"/>
    <x v="792"/>
  </r>
  <r>
    <d v="2019-09-13T00:00:00"/>
    <x v="0"/>
    <x v="8"/>
    <x v="476"/>
    <x v="34"/>
    <x v="2"/>
    <x v="14"/>
    <x v="890"/>
    <x v="1281"/>
    <n v="5"/>
    <x v="1376"/>
  </r>
  <r>
    <d v="2019-09-13T00:00:00"/>
    <x v="0"/>
    <x v="8"/>
    <x v="476"/>
    <x v="34"/>
    <x v="1"/>
    <x v="1"/>
    <x v="1012"/>
    <x v="1282"/>
    <n v="5"/>
    <x v="1377"/>
  </r>
  <r>
    <d v="2019-09-13T00:00:00"/>
    <x v="0"/>
    <x v="8"/>
    <x v="476"/>
    <x v="34"/>
    <x v="2"/>
    <x v="16"/>
    <x v="176"/>
    <x v="1283"/>
    <n v="2"/>
    <x v="1378"/>
  </r>
  <r>
    <d v="2019-09-13T00:00:00"/>
    <x v="0"/>
    <x v="8"/>
    <x v="476"/>
    <x v="34"/>
    <x v="2"/>
    <x v="9"/>
    <x v="1013"/>
    <x v="1284"/>
    <n v="3"/>
    <x v="1379"/>
  </r>
  <r>
    <d v="2019-09-13T00:00:00"/>
    <x v="0"/>
    <x v="8"/>
    <x v="476"/>
    <x v="34"/>
    <x v="2"/>
    <x v="13"/>
    <x v="688"/>
    <x v="1285"/>
    <n v="2"/>
    <x v="1380"/>
  </r>
  <r>
    <d v="2019-09-13T00:00:00"/>
    <x v="0"/>
    <x v="8"/>
    <x v="476"/>
    <x v="34"/>
    <x v="2"/>
    <x v="9"/>
    <x v="284"/>
    <x v="305"/>
    <n v="3"/>
    <x v="307"/>
  </r>
  <r>
    <d v="2019-09-13T00:00:00"/>
    <x v="0"/>
    <x v="8"/>
    <x v="476"/>
    <x v="34"/>
    <x v="2"/>
    <x v="2"/>
    <x v="110"/>
    <x v="1286"/>
    <n v="6"/>
    <x v="1381"/>
  </r>
  <r>
    <d v="2019-09-13T00:00:00"/>
    <x v="0"/>
    <x v="8"/>
    <x v="476"/>
    <x v="34"/>
    <x v="0"/>
    <x v="8"/>
    <x v="1014"/>
    <x v="1287"/>
    <n v="14"/>
    <x v="1382"/>
  </r>
  <r>
    <d v="2019-09-13T00:00:00"/>
    <x v="0"/>
    <x v="8"/>
    <x v="476"/>
    <x v="34"/>
    <x v="1"/>
    <x v="1"/>
    <x v="120"/>
    <x v="1288"/>
    <n v="3"/>
    <x v="1383"/>
  </r>
  <r>
    <d v="2019-09-14T00:00:00"/>
    <x v="0"/>
    <x v="8"/>
    <x v="469"/>
    <x v="39"/>
    <x v="2"/>
    <x v="9"/>
    <x v="554"/>
    <x v="17"/>
    <n v="4"/>
    <x v="1384"/>
  </r>
  <r>
    <d v="2019-09-14T00:00:00"/>
    <x v="0"/>
    <x v="8"/>
    <x v="244"/>
    <x v="12"/>
    <x v="1"/>
    <x v="1"/>
    <x v="1015"/>
    <x v="1289"/>
    <n v="3"/>
    <x v="1385"/>
  </r>
  <r>
    <d v="2019-09-14T00:00:00"/>
    <x v="0"/>
    <x v="8"/>
    <x v="244"/>
    <x v="12"/>
    <x v="2"/>
    <x v="5"/>
    <x v="1016"/>
    <x v="1290"/>
    <n v="2"/>
    <x v="1386"/>
  </r>
  <r>
    <d v="2019-09-15T00:00:00"/>
    <x v="0"/>
    <x v="8"/>
    <x v="152"/>
    <x v="5"/>
    <x v="2"/>
    <x v="9"/>
    <x v="1017"/>
    <x v="1058"/>
    <n v="1"/>
    <x v="1387"/>
  </r>
  <r>
    <d v="2019-09-15T00:00:00"/>
    <x v="0"/>
    <x v="8"/>
    <x v="342"/>
    <x v="12"/>
    <x v="2"/>
    <x v="5"/>
    <x v="1018"/>
    <x v="1291"/>
    <n v="2"/>
    <x v="1388"/>
  </r>
  <r>
    <d v="2019-09-15T00:00:00"/>
    <x v="0"/>
    <x v="8"/>
    <x v="227"/>
    <x v="9"/>
    <x v="2"/>
    <x v="9"/>
    <x v="362"/>
    <x v="583"/>
    <n v="5"/>
    <x v="1389"/>
  </r>
  <r>
    <d v="2019-09-15T00:00:00"/>
    <x v="0"/>
    <x v="8"/>
    <x v="227"/>
    <x v="9"/>
    <x v="2"/>
    <x v="5"/>
    <x v="1019"/>
    <x v="1292"/>
    <n v="7"/>
    <x v="1390"/>
  </r>
  <r>
    <d v="2019-09-15T00:00:00"/>
    <x v="0"/>
    <x v="8"/>
    <x v="477"/>
    <x v="32"/>
    <x v="2"/>
    <x v="5"/>
    <x v="1020"/>
    <x v="1293"/>
    <n v="4"/>
    <x v="1391"/>
  </r>
  <r>
    <d v="2019-09-15T00:00:00"/>
    <x v="0"/>
    <x v="8"/>
    <x v="477"/>
    <x v="32"/>
    <x v="0"/>
    <x v="4"/>
    <x v="645"/>
    <x v="1294"/>
    <n v="3"/>
    <x v="1392"/>
  </r>
  <r>
    <d v="2019-09-15T00:00:00"/>
    <x v="0"/>
    <x v="8"/>
    <x v="478"/>
    <x v="9"/>
    <x v="2"/>
    <x v="7"/>
    <x v="1021"/>
    <x v="1295"/>
    <n v="5"/>
    <x v="1393"/>
  </r>
  <r>
    <d v="2019-09-16T00:00:00"/>
    <x v="0"/>
    <x v="8"/>
    <x v="170"/>
    <x v="1"/>
    <x v="2"/>
    <x v="9"/>
    <x v="1022"/>
    <x v="56"/>
    <n v="2"/>
    <x v="210"/>
  </r>
  <r>
    <d v="2019-09-16T00:00:00"/>
    <x v="0"/>
    <x v="8"/>
    <x v="479"/>
    <x v="1"/>
    <x v="0"/>
    <x v="0"/>
    <x v="1023"/>
    <x v="1296"/>
    <n v="2"/>
    <x v="1394"/>
  </r>
  <r>
    <d v="2019-09-16T00:00:00"/>
    <x v="0"/>
    <x v="8"/>
    <x v="479"/>
    <x v="1"/>
    <x v="2"/>
    <x v="13"/>
    <x v="1024"/>
    <x v="1297"/>
    <n v="4"/>
    <x v="1395"/>
  </r>
  <r>
    <d v="2019-09-16T00:00:00"/>
    <x v="0"/>
    <x v="8"/>
    <x v="480"/>
    <x v="14"/>
    <x v="0"/>
    <x v="11"/>
    <x v="710"/>
    <x v="1298"/>
    <n v="2"/>
    <x v="1396"/>
  </r>
  <r>
    <d v="2019-09-17T00:00:00"/>
    <x v="0"/>
    <x v="8"/>
    <x v="320"/>
    <x v="1"/>
    <x v="2"/>
    <x v="7"/>
    <x v="1025"/>
    <x v="1299"/>
    <n v="3"/>
    <x v="1397"/>
  </r>
  <r>
    <d v="2019-09-17T00:00:00"/>
    <x v="0"/>
    <x v="8"/>
    <x v="320"/>
    <x v="1"/>
    <x v="1"/>
    <x v="1"/>
    <x v="58"/>
    <x v="1300"/>
    <n v="2"/>
    <x v="1398"/>
  </r>
  <r>
    <d v="2019-09-17T00:00:00"/>
    <x v="0"/>
    <x v="8"/>
    <x v="320"/>
    <x v="1"/>
    <x v="2"/>
    <x v="9"/>
    <x v="1026"/>
    <x v="1029"/>
    <n v="1"/>
    <x v="1084"/>
  </r>
  <r>
    <d v="2019-09-17T00:00:00"/>
    <x v="0"/>
    <x v="8"/>
    <x v="481"/>
    <x v="14"/>
    <x v="1"/>
    <x v="15"/>
    <x v="1027"/>
    <x v="1301"/>
    <n v="4"/>
    <x v="1399"/>
  </r>
  <r>
    <d v="2019-09-17T00:00:00"/>
    <x v="0"/>
    <x v="8"/>
    <x v="11"/>
    <x v="42"/>
    <x v="1"/>
    <x v="1"/>
    <x v="1015"/>
    <x v="1289"/>
    <n v="3"/>
    <x v="1385"/>
  </r>
  <r>
    <d v="2019-09-17T00:00:00"/>
    <x v="0"/>
    <x v="8"/>
    <x v="11"/>
    <x v="42"/>
    <x v="0"/>
    <x v="8"/>
    <x v="1028"/>
    <x v="1302"/>
    <n v="2"/>
    <x v="1400"/>
  </r>
  <r>
    <d v="2019-09-17T00:00:00"/>
    <x v="0"/>
    <x v="8"/>
    <x v="105"/>
    <x v="9"/>
    <x v="0"/>
    <x v="11"/>
    <x v="1029"/>
    <x v="1303"/>
    <n v="2"/>
    <x v="1401"/>
  </r>
  <r>
    <d v="2019-09-17T00:00:00"/>
    <x v="0"/>
    <x v="8"/>
    <x v="105"/>
    <x v="9"/>
    <x v="1"/>
    <x v="1"/>
    <x v="1030"/>
    <x v="1304"/>
    <n v="2"/>
    <x v="1402"/>
  </r>
  <r>
    <d v="2019-09-17T00:00:00"/>
    <x v="0"/>
    <x v="8"/>
    <x v="268"/>
    <x v="12"/>
    <x v="2"/>
    <x v="5"/>
    <x v="10"/>
    <x v="1305"/>
    <n v="5"/>
    <x v="1403"/>
  </r>
  <r>
    <d v="2019-09-17T00:00:00"/>
    <x v="0"/>
    <x v="8"/>
    <x v="482"/>
    <x v="24"/>
    <x v="2"/>
    <x v="7"/>
    <x v="1031"/>
    <x v="1306"/>
    <n v="5"/>
    <x v="1404"/>
  </r>
  <r>
    <d v="2019-09-17T00:00:00"/>
    <x v="0"/>
    <x v="8"/>
    <x v="483"/>
    <x v="26"/>
    <x v="0"/>
    <x v="8"/>
    <x v="340"/>
    <x v="1307"/>
    <n v="3"/>
    <x v="1405"/>
  </r>
  <r>
    <d v="2019-09-17T00:00:00"/>
    <x v="0"/>
    <x v="8"/>
    <x v="483"/>
    <x v="26"/>
    <x v="0"/>
    <x v="8"/>
    <x v="229"/>
    <x v="1140"/>
    <n v="3"/>
    <x v="1216"/>
  </r>
  <r>
    <d v="2019-09-17T00:00:00"/>
    <x v="0"/>
    <x v="8"/>
    <x v="468"/>
    <x v="8"/>
    <x v="2"/>
    <x v="2"/>
    <x v="1032"/>
    <x v="1308"/>
    <n v="5"/>
    <x v="1406"/>
  </r>
  <r>
    <d v="2019-09-17T00:00:00"/>
    <x v="0"/>
    <x v="8"/>
    <x v="23"/>
    <x v="9"/>
    <x v="2"/>
    <x v="14"/>
    <x v="527"/>
    <x v="1309"/>
    <n v="4"/>
    <x v="1407"/>
  </r>
  <r>
    <d v="2019-09-18T00:00:00"/>
    <x v="0"/>
    <x v="8"/>
    <x v="484"/>
    <x v="12"/>
    <x v="2"/>
    <x v="5"/>
    <x v="1033"/>
    <x v="1310"/>
    <n v="1"/>
    <x v="1408"/>
  </r>
  <r>
    <d v="2019-09-18T00:00:00"/>
    <x v="0"/>
    <x v="8"/>
    <x v="225"/>
    <x v="6"/>
    <x v="0"/>
    <x v="4"/>
    <x v="69"/>
    <x v="1311"/>
    <n v="4"/>
    <x v="1409"/>
  </r>
  <r>
    <d v="2019-09-18T00:00:00"/>
    <x v="0"/>
    <x v="8"/>
    <x v="485"/>
    <x v="36"/>
    <x v="0"/>
    <x v="11"/>
    <x v="1034"/>
    <x v="1312"/>
    <n v="1"/>
    <x v="1410"/>
  </r>
  <r>
    <d v="2019-09-18T00:00:00"/>
    <x v="0"/>
    <x v="8"/>
    <x v="485"/>
    <x v="36"/>
    <x v="2"/>
    <x v="9"/>
    <x v="457"/>
    <x v="494"/>
    <n v="2"/>
    <x v="505"/>
  </r>
  <r>
    <d v="2019-09-18T00:00:00"/>
    <x v="0"/>
    <x v="8"/>
    <x v="485"/>
    <x v="36"/>
    <x v="2"/>
    <x v="2"/>
    <x v="121"/>
    <x v="1313"/>
    <n v="4"/>
    <x v="1411"/>
  </r>
  <r>
    <d v="2019-09-18T00:00:00"/>
    <x v="0"/>
    <x v="8"/>
    <x v="314"/>
    <x v="8"/>
    <x v="0"/>
    <x v="8"/>
    <x v="51"/>
    <x v="1314"/>
    <n v="3"/>
    <x v="1412"/>
  </r>
  <r>
    <d v="2019-09-18T00:00:00"/>
    <x v="0"/>
    <x v="8"/>
    <x v="314"/>
    <x v="8"/>
    <x v="0"/>
    <x v="11"/>
    <x v="207"/>
    <x v="292"/>
    <n v="2"/>
    <x v="1413"/>
  </r>
  <r>
    <d v="2019-09-18T00:00:00"/>
    <x v="0"/>
    <x v="8"/>
    <x v="314"/>
    <x v="8"/>
    <x v="2"/>
    <x v="7"/>
    <x v="1035"/>
    <x v="1315"/>
    <n v="1"/>
    <x v="1414"/>
  </r>
  <r>
    <d v="2019-09-18T00:00:00"/>
    <x v="0"/>
    <x v="8"/>
    <x v="486"/>
    <x v="12"/>
    <x v="0"/>
    <x v="11"/>
    <x v="1036"/>
    <x v="1316"/>
    <n v="2"/>
    <x v="1415"/>
  </r>
  <r>
    <d v="2019-09-18T00:00:00"/>
    <x v="0"/>
    <x v="8"/>
    <x v="486"/>
    <x v="12"/>
    <x v="0"/>
    <x v="8"/>
    <x v="161"/>
    <x v="1317"/>
    <n v="3"/>
    <x v="1416"/>
  </r>
  <r>
    <d v="2019-09-18T00:00:00"/>
    <x v="0"/>
    <x v="8"/>
    <x v="444"/>
    <x v="6"/>
    <x v="2"/>
    <x v="14"/>
    <x v="1037"/>
    <x v="1318"/>
    <n v="1"/>
    <x v="1417"/>
  </r>
  <r>
    <d v="2019-09-18T00:00:00"/>
    <x v="0"/>
    <x v="8"/>
    <x v="487"/>
    <x v="1"/>
    <x v="0"/>
    <x v="11"/>
    <x v="589"/>
    <x v="651"/>
    <n v="2"/>
    <x v="670"/>
  </r>
  <r>
    <d v="2019-09-18T00:00:00"/>
    <x v="0"/>
    <x v="8"/>
    <x v="487"/>
    <x v="1"/>
    <x v="2"/>
    <x v="9"/>
    <x v="356"/>
    <x v="819"/>
    <n v="9"/>
    <x v="851"/>
  </r>
  <r>
    <d v="2019-09-18T00:00:00"/>
    <x v="0"/>
    <x v="8"/>
    <x v="487"/>
    <x v="1"/>
    <x v="0"/>
    <x v="11"/>
    <x v="245"/>
    <x v="1319"/>
    <n v="9"/>
    <x v="1418"/>
  </r>
  <r>
    <d v="2019-09-18T00:00:00"/>
    <x v="0"/>
    <x v="8"/>
    <x v="198"/>
    <x v="1"/>
    <x v="1"/>
    <x v="1"/>
    <x v="724"/>
    <x v="1320"/>
    <n v="2"/>
    <x v="1419"/>
  </r>
  <r>
    <d v="2019-09-19T00:00:00"/>
    <x v="0"/>
    <x v="8"/>
    <x v="181"/>
    <x v="17"/>
    <x v="0"/>
    <x v="11"/>
    <x v="589"/>
    <x v="1321"/>
    <n v="2"/>
    <x v="1420"/>
  </r>
  <r>
    <d v="2019-09-19T00:00:00"/>
    <x v="0"/>
    <x v="8"/>
    <x v="181"/>
    <x v="17"/>
    <x v="2"/>
    <x v="5"/>
    <x v="1033"/>
    <x v="1322"/>
    <n v="2"/>
    <x v="1421"/>
  </r>
  <r>
    <d v="2019-09-19T00:00:00"/>
    <x v="0"/>
    <x v="8"/>
    <x v="112"/>
    <x v="35"/>
    <x v="2"/>
    <x v="2"/>
    <x v="502"/>
    <x v="1323"/>
    <n v="9"/>
    <x v="1422"/>
  </r>
  <r>
    <d v="2019-09-19T00:00:00"/>
    <x v="0"/>
    <x v="8"/>
    <x v="112"/>
    <x v="35"/>
    <x v="2"/>
    <x v="9"/>
    <x v="400"/>
    <x v="306"/>
    <n v="3"/>
    <x v="1423"/>
  </r>
  <r>
    <d v="2019-09-19T00:00:00"/>
    <x v="0"/>
    <x v="8"/>
    <x v="112"/>
    <x v="35"/>
    <x v="2"/>
    <x v="5"/>
    <x v="358"/>
    <x v="1324"/>
    <n v="3"/>
    <x v="1424"/>
  </r>
  <r>
    <d v="2019-09-19T00:00:00"/>
    <x v="0"/>
    <x v="8"/>
    <x v="112"/>
    <x v="35"/>
    <x v="0"/>
    <x v="11"/>
    <x v="1038"/>
    <x v="1325"/>
    <n v="4"/>
    <x v="1425"/>
  </r>
  <r>
    <d v="2019-09-19T00:00:00"/>
    <x v="0"/>
    <x v="8"/>
    <x v="120"/>
    <x v="1"/>
    <x v="2"/>
    <x v="9"/>
    <x v="968"/>
    <x v="1326"/>
    <n v="7"/>
    <x v="1426"/>
  </r>
  <r>
    <d v="2019-09-19T00:00:00"/>
    <x v="0"/>
    <x v="8"/>
    <x v="488"/>
    <x v="10"/>
    <x v="2"/>
    <x v="5"/>
    <x v="1039"/>
    <x v="1327"/>
    <n v="6"/>
    <x v="1427"/>
  </r>
  <r>
    <d v="2019-09-19T00:00:00"/>
    <x v="0"/>
    <x v="8"/>
    <x v="488"/>
    <x v="10"/>
    <x v="2"/>
    <x v="16"/>
    <x v="528"/>
    <x v="1118"/>
    <n v="3"/>
    <x v="1191"/>
  </r>
  <r>
    <d v="2019-09-19T00:00:00"/>
    <x v="0"/>
    <x v="8"/>
    <x v="364"/>
    <x v="14"/>
    <x v="2"/>
    <x v="16"/>
    <x v="1040"/>
    <x v="491"/>
    <n v="2"/>
    <x v="1428"/>
  </r>
  <r>
    <d v="2019-09-19T00:00:00"/>
    <x v="0"/>
    <x v="8"/>
    <x v="364"/>
    <x v="14"/>
    <x v="1"/>
    <x v="3"/>
    <x v="62"/>
    <x v="1097"/>
    <n v="5"/>
    <x v="1429"/>
  </r>
  <r>
    <d v="2019-09-19T00:00:00"/>
    <x v="0"/>
    <x v="8"/>
    <x v="281"/>
    <x v="5"/>
    <x v="0"/>
    <x v="8"/>
    <x v="1041"/>
    <x v="1328"/>
    <n v="3"/>
    <x v="1430"/>
  </r>
  <r>
    <d v="2019-09-19T00:00:00"/>
    <x v="0"/>
    <x v="8"/>
    <x v="23"/>
    <x v="1"/>
    <x v="2"/>
    <x v="5"/>
    <x v="432"/>
    <x v="1329"/>
    <n v="3"/>
    <x v="1431"/>
  </r>
  <r>
    <d v="2019-09-19T00:00:00"/>
    <x v="0"/>
    <x v="8"/>
    <x v="23"/>
    <x v="1"/>
    <x v="2"/>
    <x v="16"/>
    <x v="1042"/>
    <x v="1330"/>
    <n v="3"/>
    <x v="1432"/>
  </r>
  <r>
    <d v="2019-09-19T00:00:00"/>
    <x v="0"/>
    <x v="8"/>
    <x v="118"/>
    <x v="35"/>
    <x v="2"/>
    <x v="2"/>
    <x v="532"/>
    <x v="920"/>
    <n v="2"/>
    <x v="968"/>
  </r>
  <r>
    <d v="2019-09-19T00:00:00"/>
    <x v="0"/>
    <x v="8"/>
    <x v="489"/>
    <x v="1"/>
    <x v="2"/>
    <x v="5"/>
    <x v="147"/>
    <x v="1331"/>
    <n v="2"/>
    <x v="1433"/>
  </r>
  <r>
    <d v="2019-09-20T00:00:00"/>
    <x v="0"/>
    <x v="8"/>
    <x v="490"/>
    <x v="1"/>
    <x v="2"/>
    <x v="9"/>
    <x v="787"/>
    <x v="1332"/>
    <n v="9"/>
    <x v="1434"/>
  </r>
  <r>
    <d v="2019-09-20T00:00:00"/>
    <x v="0"/>
    <x v="8"/>
    <x v="490"/>
    <x v="1"/>
    <x v="2"/>
    <x v="5"/>
    <x v="1043"/>
    <x v="1333"/>
    <n v="2"/>
    <x v="1435"/>
  </r>
  <r>
    <d v="2019-09-20T00:00:00"/>
    <x v="0"/>
    <x v="8"/>
    <x v="490"/>
    <x v="1"/>
    <x v="2"/>
    <x v="7"/>
    <x v="597"/>
    <x v="1334"/>
    <n v="4"/>
    <x v="1436"/>
  </r>
  <r>
    <d v="2019-09-20T00:00:00"/>
    <x v="0"/>
    <x v="8"/>
    <x v="490"/>
    <x v="1"/>
    <x v="2"/>
    <x v="9"/>
    <x v="922"/>
    <x v="1335"/>
    <n v="2"/>
    <x v="1437"/>
  </r>
  <r>
    <d v="2019-09-20T00:00:00"/>
    <x v="0"/>
    <x v="8"/>
    <x v="490"/>
    <x v="1"/>
    <x v="2"/>
    <x v="5"/>
    <x v="1044"/>
    <x v="1336"/>
    <n v="2"/>
    <x v="1438"/>
  </r>
  <r>
    <d v="2019-09-20T00:00:00"/>
    <x v="0"/>
    <x v="8"/>
    <x v="187"/>
    <x v="4"/>
    <x v="0"/>
    <x v="8"/>
    <x v="1045"/>
    <x v="1337"/>
    <n v="2"/>
    <x v="1439"/>
  </r>
  <r>
    <d v="2019-09-20T00:00:00"/>
    <x v="0"/>
    <x v="8"/>
    <x v="187"/>
    <x v="4"/>
    <x v="0"/>
    <x v="11"/>
    <x v="245"/>
    <x v="1338"/>
    <n v="1"/>
    <x v="1440"/>
  </r>
  <r>
    <d v="2019-09-20T00:00:00"/>
    <x v="0"/>
    <x v="8"/>
    <x v="491"/>
    <x v="12"/>
    <x v="2"/>
    <x v="13"/>
    <x v="848"/>
    <x v="1339"/>
    <n v="5"/>
    <x v="1441"/>
  </r>
  <r>
    <d v="2019-09-20T00:00:00"/>
    <x v="0"/>
    <x v="8"/>
    <x v="299"/>
    <x v="25"/>
    <x v="2"/>
    <x v="5"/>
    <x v="1046"/>
    <x v="1340"/>
    <n v="5"/>
    <x v="1442"/>
  </r>
  <r>
    <d v="2019-09-20T00:00:00"/>
    <x v="0"/>
    <x v="8"/>
    <x v="492"/>
    <x v="9"/>
    <x v="0"/>
    <x v="0"/>
    <x v="934"/>
    <x v="1121"/>
    <n v="2"/>
    <x v="1443"/>
  </r>
  <r>
    <d v="2019-09-22T00:00:00"/>
    <x v="0"/>
    <x v="8"/>
    <x v="277"/>
    <x v="21"/>
    <x v="2"/>
    <x v="7"/>
    <x v="182"/>
    <x v="1341"/>
    <n v="3"/>
    <x v="1444"/>
  </r>
  <r>
    <d v="2019-09-22T00:00:00"/>
    <x v="0"/>
    <x v="8"/>
    <x v="277"/>
    <x v="21"/>
    <x v="1"/>
    <x v="1"/>
    <x v="1047"/>
    <x v="1342"/>
    <n v="8"/>
    <x v="1445"/>
  </r>
  <r>
    <d v="2019-09-22T00:00:00"/>
    <x v="0"/>
    <x v="8"/>
    <x v="393"/>
    <x v="5"/>
    <x v="2"/>
    <x v="7"/>
    <x v="1048"/>
    <x v="1218"/>
    <n v="3"/>
    <x v="1446"/>
  </r>
  <r>
    <d v="2019-09-22T00:00:00"/>
    <x v="0"/>
    <x v="8"/>
    <x v="493"/>
    <x v="6"/>
    <x v="2"/>
    <x v="5"/>
    <x v="1049"/>
    <x v="1343"/>
    <n v="9"/>
    <x v="1447"/>
  </r>
  <r>
    <d v="2019-09-22T00:00:00"/>
    <x v="0"/>
    <x v="8"/>
    <x v="493"/>
    <x v="6"/>
    <x v="2"/>
    <x v="14"/>
    <x v="1050"/>
    <x v="1191"/>
    <n v="2"/>
    <x v="1448"/>
  </r>
  <r>
    <d v="2019-09-22T00:00:00"/>
    <x v="0"/>
    <x v="8"/>
    <x v="494"/>
    <x v="19"/>
    <x v="0"/>
    <x v="8"/>
    <x v="1051"/>
    <x v="1344"/>
    <n v="2"/>
    <x v="1449"/>
  </r>
  <r>
    <d v="2019-09-22T00:00:00"/>
    <x v="0"/>
    <x v="8"/>
    <x v="143"/>
    <x v="5"/>
    <x v="2"/>
    <x v="14"/>
    <x v="57"/>
    <x v="39"/>
    <n v="5"/>
    <x v="1450"/>
  </r>
  <r>
    <d v="2019-09-22T00:00:00"/>
    <x v="0"/>
    <x v="8"/>
    <x v="448"/>
    <x v="12"/>
    <x v="2"/>
    <x v="2"/>
    <x v="1052"/>
    <x v="1345"/>
    <n v="6"/>
    <x v="1451"/>
  </r>
  <r>
    <d v="2019-09-22T00:00:00"/>
    <x v="0"/>
    <x v="8"/>
    <x v="136"/>
    <x v="24"/>
    <x v="2"/>
    <x v="9"/>
    <x v="1053"/>
    <x v="1346"/>
    <n v="6"/>
    <x v="1452"/>
  </r>
  <r>
    <d v="2019-09-22T00:00:00"/>
    <x v="0"/>
    <x v="8"/>
    <x v="47"/>
    <x v="22"/>
    <x v="0"/>
    <x v="8"/>
    <x v="966"/>
    <x v="1347"/>
    <n v="7"/>
    <x v="1453"/>
  </r>
  <r>
    <d v="2019-09-22T00:00:00"/>
    <x v="0"/>
    <x v="8"/>
    <x v="347"/>
    <x v="7"/>
    <x v="0"/>
    <x v="8"/>
    <x v="24"/>
    <x v="1348"/>
    <n v="2"/>
    <x v="1454"/>
  </r>
  <r>
    <d v="2019-09-22T00:00:00"/>
    <x v="0"/>
    <x v="8"/>
    <x v="495"/>
    <x v="8"/>
    <x v="2"/>
    <x v="10"/>
    <x v="255"/>
    <x v="1349"/>
    <n v="2"/>
    <x v="1455"/>
  </r>
  <r>
    <d v="2019-09-22T00:00:00"/>
    <x v="0"/>
    <x v="8"/>
    <x v="475"/>
    <x v="25"/>
    <x v="2"/>
    <x v="9"/>
    <x v="962"/>
    <x v="1350"/>
    <n v="7"/>
    <x v="1456"/>
  </r>
  <r>
    <d v="2019-09-22T00:00:00"/>
    <x v="0"/>
    <x v="8"/>
    <x v="475"/>
    <x v="25"/>
    <x v="1"/>
    <x v="1"/>
    <x v="708"/>
    <x v="1351"/>
    <n v="2"/>
    <x v="1457"/>
  </r>
  <r>
    <d v="2019-09-23T00:00:00"/>
    <x v="0"/>
    <x v="8"/>
    <x v="496"/>
    <x v="8"/>
    <x v="0"/>
    <x v="8"/>
    <x v="680"/>
    <x v="1082"/>
    <n v="6"/>
    <x v="1458"/>
  </r>
  <r>
    <d v="2019-09-23T00:00:00"/>
    <x v="0"/>
    <x v="8"/>
    <x v="496"/>
    <x v="8"/>
    <x v="2"/>
    <x v="7"/>
    <x v="66"/>
    <x v="1352"/>
    <n v="2"/>
    <x v="1459"/>
  </r>
  <r>
    <d v="2019-09-23T00:00:00"/>
    <x v="0"/>
    <x v="8"/>
    <x v="497"/>
    <x v="14"/>
    <x v="2"/>
    <x v="2"/>
    <x v="967"/>
    <x v="1353"/>
    <n v="5"/>
    <x v="1460"/>
  </r>
  <r>
    <d v="2019-09-23T00:00:00"/>
    <x v="0"/>
    <x v="8"/>
    <x v="497"/>
    <x v="14"/>
    <x v="0"/>
    <x v="11"/>
    <x v="487"/>
    <x v="1354"/>
    <n v="3"/>
    <x v="1461"/>
  </r>
  <r>
    <d v="2019-09-23T00:00:00"/>
    <x v="0"/>
    <x v="8"/>
    <x v="498"/>
    <x v="9"/>
    <x v="2"/>
    <x v="16"/>
    <x v="1054"/>
    <x v="1355"/>
    <n v="2"/>
    <x v="1462"/>
  </r>
  <r>
    <d v="2019-09-23T00:00:00"/>
    <x v="0"/>
    <x v="8"/>
    <x v="315"/>
    <x v="1"/>
    <x v="2"/>
    <x v="10"/>
    <x v="363"/>
    <x v="1356"/>
    <n v="2"/>
    <x v="1463"/>
  </r>
  <r>
    <d v="2019-09-23T00:00:00"/>
    <x v="0"/>
    <x v="8"/>
    <x v="315"/>
    <x v="1"/>
    <x v="2"/>
    <x v="14"/>
    <x v="665"/>
    <x v="744"/>
    <n v="3"/>
    <x v="771"/>
  </r>
  <r>
    <d v="2019-09-23T00:00:00"/>
    <x v="0"/>
    <x v="8"/>
    <x v="206"/>
    <x v="12"/>
    <x v="2"/>
    <x v="5"/>
    <x v="1055"/>
    <x v="1357"/>
    <n v="7"/>
    <x v="1464"/>
  </r>
  <r>
    <d v="2019-09-23T00:00:00"/>
    <x v="0"/>
    <x v="8"/>
    <x v="300"/>
    <x v="8"/>
    <x v="2"/>
    <x v="9"/>
    <x v="1056"/>
    <x v="1329"/>
    <n v="3"/>
    <x v="1465"/>
  </r>
  <r>
    <d v="2019-09-23T00:00:00"/>
    <x v="0"/>
    <x v="8"/>
    <x v="300"/>
    <x v="8"/>
    <x v="0"/>
    <x v="8"/>
    <x v="1057"/>
    <x v="1358"/>
    <n v="4"/>
    <x v="1466"/>
  </r>
  <r>
    <d v="2019-09-23T00:00:00"/>
    <x v="0"/>
    <x v="8"/>
    <x v="300"/>
    <x v="8"/>
    <x v="2"/>
    <x v="5"/>
    <x v="935"/>
    <x v="1359"/>
    <n v="7"/>
    <x v="1467"/>
  </r>
  <r>
    <d v="2019-09-23T00:00:00"/>
    <x v="0"/>
    <x v="8"/>
    <x v="330"/>
    <x v="9"/>
    <x v="2"/>
    <x v="5"/>
    <x v="944"/>
    <x v="1360"/>
    <n v="4"/>
    <x v="1468"/>
  </r>
  <r>
    <d v="2019-09-23T00:00:00"/>
    <x v="0"/>
    <x v="8"/>
    <x v="330"/>
    <x v="9"/>
    <x v="0"/>
    <x v="11"/>
    <x v="1058"/>
    <x v="1361"/>
    <n v="3"/>
    <x v="1469"/>
  </r>
  <r>
    <d v="2019-09-24T00:00:00"/>
    <x v="0"/>
    <x v="8"/>
    <x v="203"/>
    <x v="8"/>
    <x v="0"/>
    <x v="11"/>
    <x v="1059"/>
    <x v="1362"/>
    <n v="2"/>
    <x v="796"/>
  </r>
  <r>
    <d v="2019-09-24T00:00:00"/>
    <x v="0"/>
    <x v="8"/>
    <x v="11"/>
    <x v="1"/>
    <x v="2"/>
    <x v="2"/>
    <x v="1060"/>
    <x v="1363"/>
    <n v="2"/>
    <x v="1470"/>
  </r>
  <r>
    <d v="2019-09-24T00:00:00"/>
    <x v="0"/>
    <x v="8"/>
    <x v="11"/>
    <x v="1"/>
    <x v="2"/>
    <x v="9"/>
    <x v="1061"/>
    <x v="1364"/>
    <n v="5"/>
    <x v="1471"/>
  </r>
  <r>
    <d v="2019-09-24T00:00:00"/>
    <x v="0"/>
    <x v="8"/>
    <x v="184"/>
    <x v="1"/>
    <x v="0"/>
    <x v="8"/>
    <x v="1062"/>
    <x v="1365"/>
    <n v="5"/>
    <x v="1472"/>
  </r>
  <r>
    <d v="2019-09-24T00:00:00"/>
    <x v="0"/>
    <x v="8"/>
    <x v="223"/>
    <x v="22"/>
    <x v="0"/>
    <x v="8"/>
    <x v="1063"/>
    <x v="1366"/>
    <n v="2"/>
    <x v="1473"/>
  </r>
  <r>
    <d v="2019-09-24T00:00:00"/>
    <x v="0"/>
    <x v="8"/>
    <x v="223"/>
    <x v="22"/>
    <x v="2"/>
    <x v="2"/>
    <x v="1064"/>
    <x v="1367"/>
    <n v="9"/>
    <x v="1474"/>
  </r>
  <r>
    <d v="2019-09-24T00:00:00"/>
    <x v="0"/>
    <x v="8"/>
    <x v="499"/>
    <x v="3"/>
    <x v="2"/>
    <x v="5"/>
    <x v="1020"/>
    <x v="1368"/>
    <n v="1"/>
    <x v="1475"/>
  </r>
  <r>
    <d v="2019-09-24T00:00:00"/>
    <x v="0"/>
    <x v="8"/>
    <x v="499"/>
    <x v="3"/>
    <x v="2"/>
    <x v="9"/>
    <x v="674"/>
    <x v="1029"/>
    <n v="1"/>
    <x v="1084"/>
  </r>
  <r>
    <d v="2019-09-24T00:00:00"/>
    <x v="0"/>
    <x v="8"/>
    <x v="334"/>
    <x v="24"/>
    <x v="0"/>
    <x v="8"/>
    <x v="196"/>
    <x v="1369"/>
    <n v="3"/>
    <x v="1476"/>
  </r>
  <r>
    <d v="2019-09-24T00:00:00"/>
    <x v="0"/>
    <x v="8"/>
    <x v="257"/>
    <x v="17"/>
    <x v="2"/>
    <x v="5"/>
    <x v="368"/>
    <x v="1370"/>
    <n v="7"/>
    <x v="1477"/>
  </r>
  <r>
    <d v="2019-09-24T00:00:00"/>
    <x v="0"/>
    <x v="8"/>
    <x v="124"/>
    <x v="1"/>
    <x v="2"/>
    <x v="10"/>
    <x v="203"/>
    <x v="1371"/>
    <n v="5"/>
    <x v="1478"/>
  </r>
  <r>
    <d v="2019-09-24T00:00:00"/>
    <x v="0"/>
    <x v="8"/>
    <x v="124"/>
    <x v="1"/>
    <x v="0"/>
    <x v="11"/>
    <x v="797"/>
    <x v="1372"/>
    <n v="5"/>
    <x v="1479"/>
  </r>
  <r>
    <d v="2019-09-25T00:00:00"/>
    <x v="0"/>
    <x v="8"/>
    <x v="48"/>
    <x v="20"/>
    <x v="0"/>
    <x v="4"/>
    <x v="126"/>
    <x v="1373"/>
    <n v="3"/>
    <x v="1480"/>
  </r>
  <r>
    <d v="2019-09-25T00:00:00"/>
    <x v="0"/>
    <x v="8"/>
    <x v="500"/>
    <x v="2"/>
    <x v="2"/>
    <x v="14"/>
    <x v="445"/>
    <x v="1374"/>
    <n v="4"/>
    <x v="1481"/>
  </r>
  <r>
    <d v="2019-09-25T00:00:00"/>
    <x v="0"/>
    <x v="8"/>
    <x v="501"/>
    <x v="29"/>
    <x v="2"/>
    <x v="9"/>
    <x v="1061"/>
    <x v="1375"/>
    <n v="9"/>
    <x v="1482"/>
  </r>
  <r>
    <d v="2019-09-25T00:00:00"/>
    <x v="0"/>
    <x v="8"/>
    <x v="501"/>
    <x v="29"/>
    <x v="2"/>
    <x v="5"/>
    <x v="1046"/>
    <x v="1376"/>
    <n v="1"/>
    <x v="1483"/>
  </r>
  <r>
    <d v="2019-09-25T00:00:00"/>
    <x v="0"/>
    <x v="8"/>
    <x v="247"/>
    <x v="1"/>
    <x v="2"/>
    <x v="7"/>
    <x v="1065"/>
    <x v="1191"/>
    <n v="4"/>
    <x v="1484"/>
  </r>
  <r>
    <d v="2019-09-25T00:00:00"/>
    <x v="0"/>
    <x v="8"/>
    <x v="358"/>
    <x v="7"/>
    <x v="1"/>
    <x v="3"/>
    <x v="425"/>
    <x v="1377"/>
    <n v="5"/>
    <x v="1485"/>
  </r>
  <r>
    <d v="2019-09-25T00:00:00"/>
    <x v="0"/>
    <x v="8"/>
    <x v="358"/>
    <x v="7"/>
    <x v="2"/>
    <x v="7"/>
    <x v="1066"/>
    <x v="1378"/>
    <n v="1"/>
    <x v="1486"/>
  </r>
  <r>
    <d v="2019-09-25T00:00:00"/>
    <x v="0"/>
    <x v="8"/>
    <x v="358"/>
    <x v="7"/>
    <x v="0"/>
    <x v="11"/>
    <x v="1067"/>
    <x v="1379"/>
    <n v="2"/>
    <x v="1487"/>
  </r>
  <r>
    <d v="2019-09-25T00:00:00"/>
    <x v="0"/>
    <x v="8"/>
    <x v="358"/>
    <x v="7"/>
    <x v="0"/>
    <x v="8"/>
    <x v="557"/>
    <x v="1380"/>
    <n v="11"/>
    <x v="1488"/>
  </r>
  <r>
    <d v="2019-09-25T00:00:00"/>
    <x v="0"/>
    <x v="8"/>
    <x v="502"/>
    <x v="8"/>
    <x v="2"/>
    <x v="13"/>
    <x v="847"/>
    <x v="1381"/>
    <n v="1"/>
    <x v="1489"/>
  </r>
  <r>
    <d v="2019-09-25T00:00:00"/>
    <x v="0"/>
    <x v="8"/>
    <x v="502"/>
    <x v="8"/>
    <x v="2"/>
    <x v="2"/>
    <x v="1068"/>
    <x v="1382"/>
    <n v="2"/>
    <x v="1490"/>
  </r>
  <r>
    <d v="2019-09-25T00:00:00"/>
    <x v="0"/>
    <x v="8"/>
    <x v="502"/>
    <x v="8"/>
    <x v="2"/>
    <x v="2"/>
    <x v="237"/>
    <x v="1383"/>
    <n v="3"/>
    <x v="1491"/>
  </r>
  <r>
    <d v="2019-09-25T00:00:00"/>
    <x v="0"/>
    <x v="8"/>
    <x v="155"/>
    <x v="1"/>
    <x v="0"/>
    <x v="0"/>
    <x v="1069"/>
    <x v="1384"/>
    <n v="2"/>
    <x v="1492"/>
  </r>
  <r>
    <d v="2019-09-25T00:00:00"/>
    <x v="0"/>
    <x v="8"/>
    <x v="82"/>
    <x v="1"/>
    <x v="2"/>
    <x v="9"/>
    <x v="1070"/>
    <x v="1385"/>
    <n v="5"/>
    <x v="1493"/>
  </r>
  <r>
    <d v="2019-09-25T00:00:00"/>
    <x v="0"/>
    <x v="8"/>
    <x v="82"/>
    <x v="1"/>
    <x v="2"/>
    <x v="14"/>
    <x v="486"/>
    <x v="1386"/>
    <n v="2"/>
    <x v="1494"/>
  </r>
  <r>
    <d v="2019-09-25T00:00:00"/>
    <x v="0"/>
    <x v="8"/>
    <x v="82"/>
    <x v="1"/>
    <x v="2"/>
    <x v="14"/>
    <x v="1071"/>
    <x v="604"/>
    <n v="1"/>
    <x v="1495"/>
  </r>
  <r>
    <d v="2019-09-25T00:00:00"/>
    <x v="0"/>
    <x v="8"/>
    <x v="82"/>
    <x v="1"/>
    <x v="1"/>
    <x v="6"/>
    <x v="1002"/>
    <x v="1387"/>
    <n v="3"/>
    <x v="1496"/>
  </r>
  <r>
    <d v="2019-09-25T00:00:00"/>
    <x v="0"/>
    <x v="8"/>
    <x v="82"/>
    <x v="1"/>
    <x v="1"/>
    <x v="1"/>
    <x v="1072"/>
    <x v="1388"/>
    <n v="8"/>
    <x v="1497"/>
  </r>
  <r>
    <d v="2019-09-25T00:00:00"/>
    <x v="0"/>
    <x v="8"/>
    <x v="82"/>
    <x v="1"/>
    <x v="2"/>
    <x v="7"/>
    <x v="668"/>
    <x v="1076"/>
    <n v="2"/>
    <x v="1139"/>
  </r>
  <r>
    <d v="2019-09-25T00:00:00"/>
    <x v="0"/>
    <x v="8"/>
    <x v="82"/>
    <x v="1"/>
    <x v="0"/>
    <x v="11"/>
    <x v="271"/>
    <x v="768"/>
    <n v="4"/>
    <x v="1498"/>
  </r>
  <r>
    <d v="2019-09-26T00:00:00"/>
    <x v="0"/>
    <x v="8"/>
    <x v="422"/>
    <x v="17"/>
    <x v="0"/>
    <x v="11"/>
    <x v="795"/>
    <x v="1389"/>
    <n v="3"/>
    <x v="1499"/>
  </r>
  <r>
    <d v="2019-09-26T00:00:00"/>
    <x v="0"/>
    <x v="8"/>
    <x v="422"/>
    <x v="17"/>
    <x v="2"/>
    <x v="10"/>
    <x v="86"/>
    <x v="1331"/>
    <n v="2"/>
    <x v="1500"/>
  </r>
  <r>
    <d v="2019-09-26T00:00:00"/>
    <x v="0"/>
    <x v="8"/>
    <x v="277"/>
    <x v="1"/>
    <x v="0"/>
    <x v="0"/>
    <x v="1073"/>
    <x v="1390"/>
    <n v="5"/>
    <x v="1501"/>
  </r>
  <r>
    <d v="2019-09-26T00:00:00"/>
    <x v="0"/>
    <x v="8"/>
    <x v="259"/>
    <x v="9"/>
    <x v="2"/>
    <x v="13"/>
    <x v="887"/>
    <x v="1391"/>
    <n v="6"/>
    <x v="1502"/>
  </r>
  <r>
    <d v="2019-09-26T00:00:00"/>
    <x v="0"/>
    <x v="8"/>
    <x v="259"/>
    <x v="9"/>
    <x v="2"/>
    <x v="9"/>
    <x v="533"/>
    <x v="1392"/>
    <n v="5"/>
    <x v="1503"/>
  </r>
  <r>
    <d v="2019-09-26T00:00:00"/>
    <x v="0"/>
    <x v="8"/>
    <x v="259"/>
    <x v="9"/>
    <x v="1"/>
    <x v="3"/>
    <x v="113"/>
    <x v="116"/>
    <n v="4"/>
    <x v="116"/>
  </r>
  <r>
    <d v="2019-09-26T00:00:00"/>
    <x v="0"/>
    <x v="8"/>
    <x v="205"/>
    <x v="41"/>
    <x v="2"/>
    <x v="9"/>
    <x v="223"/>
    <x v="1393"/>
    <n v="1"/>
    <x v="1504"/>
  </r>
  <r>
    <d v="2019-09-26T00:00:00"/>
    <x v="0"/>
    <x v="8"/>
    <x v="503"/>
    <x v="1"/>
    <x v="2"/>
    <x v="2"/>
    <x v="1074"/>
    <x v="1394"/>
    <n v="3"/>
    <x v="1505"/>
  </r>
  <r>
    <d v="2019-09-26T00:00:00"/>
    <x v="0"/>
    <x v="8"/>
    <x v="503"/>
    <x v="1"/>
    <x v="2"/>
    <x v="14"/>
    <x v="809"/>
    <x v="117"/>
    <n v="3"/>
    <x v="117"/>
  </r>
  <r>
    <d v="2019-09-26T00:00:00"/>
    <x v="0"/>
    <x v="8"/>
    <x v="503"/>
    <x v="1"/>
    <x v="2"/>
    <x v="7"/>
    <x v="1021"/>
    <x v="1295"/>
    <n v="5"/>
    <x v="1393"/>
  </r>
  <r>
    <d v="2019-09-26T00:00:00"/>
    <x v="0"/>
    <x v="8"/>
    <x v="503"/>
    <x v="1"/>
    <x v="2"/>
    <x v="9"/>
    <x v="580"/>
    <x v="1392"/>
    <n v="5"/>
    <x v="1506"/>
  </r>
  <r>
    <d v="2019-09-26T00:00:00"/>
    <x v="0"/>
    <x v="8"/>
    <x v="403"/>
    <x v="1"/>
    <x v="2"/>
    <x v="9"/>
    <x v="1075"/>
    <x v="56"/>
    <n v="2"/>
    <x v="56"/>
  </r>
  <r>
    <d v="2019-09-26T00:00:00"/>
    <x v="0"/>
    <x v="8"/>
    <x v="213"/>
    <x v="6"/>
    <x v="1"/>
    <x v="3"/>
    <x v="464"/>
    <x v="189"/>
    <n v="3"/>
    <x v="513"/>
  </r>
  <r>
    <d v="2019-09-26T00:00:00"/>
    <x v="0"/>
    <x v="8"/>
    <x v="504"/>
    <x v="2"/>
    <x v="2"/>
    <x v="5"/>
    <x v="1076"/>
    <x v="1395"/>
    <n v="2"/>
    <x v="1507"/>
  </r>
  <r>
    <d v="2019-09-26T00:00:00"/>
    <x v="0"/>
    <x v="8"/>
    <x v="505"/>
    <x v="2"/>
    <x v="2"/>
    <x v="13"/>
    <x v="1077"/>
    <x v="1396"/>
    <n v="2"/>
    <x v="1508"/>
  </r>
  <r>
    <d v="2019-09-26T00:00:00"/>
    <x v="0"/>
    <x v="8"/>
    <x v="505"/>
    <x v="2"/>
    <x v="0"/>
    <x v="11"/>
    <x v="1078"/>
    <x v="1397"/>
    <n v="5"/>
    <x v="1509"/>
  </r>
  <r>
    <d v="2019-09-26T00:00:00"/>
    <x v="0"/>
    <x v="8"/>
    <x v="453"/>
    <x v="2"/>
    <x v="2"/>
    <x v="5"/>
    <x v="1079"/>
    <x v="1398"/>
    <n v="2"/>
    <x v="1510"/>
  </r>
  <r>
    <d v="2019-09-27T00:00:00"/>
    <x v="0"/>
    <x v="8"/>
    <x v="255"/>
    <x v="2"/>
    <x v="0"/>
    <x v="0"/>
    <x v="1080"/>
    <x v="1399"/>
    <n v="7"/>
    <x v="1511"/>
  </r>
  <r>
    <d v="2019-09-27T00:00:00"/>
    <x v="0"/>
    <x v="8"/>
    <x v="506"/>
    <x v="8"/>
    <x v="2"/>
    <x v="5"/>
    <x v="430"/>
    <x v="1400"/>
    <n v="3"/>
    <x v="1512"/>
  </r>
  <r>
    <d v="2019-09-27T00:00:00"/>
    <x v="0"/>
    <x v="8"/>
    <x v="507"/>
    <x v="9"/>
    <x v="1"/>
    <x v="1"/>
    <x v="1081"/>
    <x v="1401"/>
    <n v="2"/>
    <x v="1513"/>
  </r>
  <r>
    <d v="2019-09-27T00:00:00"/>
    <x v="0"/>
    <x v="8"/>
    <x v="386"/>
    <x v="14"/>
    <x v="2"/>
    <x v="9"/>
    <x v="468"/>
    <x v="219"/>
    <n v="3"/>
    <x v="220"/>
  </r>
  <r>
    <d v="2019-09-27T00:00:00"/>
    <x v="0"/>
    <x v="8"/>
    <x v="386"/>
    <x v="14"/>
    <x v="2"/>
    <x v="7"/>
    <x v="616"/>
    <x v="1402"/>
    <n v="3"/>
    <x v="1514"/>
  </r>
  <r>
    <d v="2019-09-28T00:00:00"/>
    <x v="0"/>
    <x v="8"/>
    <x v="128"/>
    <x v="17"/>
    <x v="2"/>
    <x v="9"/>
    <x v="728"/>
    <x v="1403"/>
    <n v="4"/>
    <x v="1515"/>
  </r>
  <r>
    <d v="2019-09-29T00:00:00"/>
    <x v="0"/>
    <x v="8"/>
    <x v="375"/>
    <x v="5"/>
    <x v="2"/>
    <x v="14"/>
    <x v="1082"/>
    <x v="1374"/>
    <n v="4"/>
    <x v="1481"/>
  </r>
  <r>
    <d v="2019-09-29T00:00:00"/>
    <x v="0"/>
    <x v="8"/>
    <x v="360"/>
    <x v="24"/>
    <x v="2"/>
    <x v="7"/>
    <x v="1083"/>
    <x v="1404"/>
    <n v="7"/>
    <x v="1516"/>
  </r>
  <r>
    <d v="2019-09-29T00:00:00"/>
    <x v="0"/>
    <x v="8"/>
    <x v="108"/>
    <x v="1"/>
    <x v="2"/>
    <x v="9"/>
    <x v="1084"/>
    <x v="1405"/>
    <n v="1"/>
    <x v="1517"/>
  </r>
  <r>
    <d v="2019-09-29T00:00:00"/>
    <x v="0"/>
    <x v="8"/>
    <x v="273"/>
    <x v="36"/>
    <x v="1"/>
    <x v="3"/>
    <x v="22"/>
    <x v="1100"/>
    <n v="3"/>
    <x v="1518"/>
  </r>
  <r>
    <d v="2019-09-29T00:00:00"/>
    <x v="0"/>
    <x v="8"/>
    <x v="273"/>
    <x v="36"/>
    <x v="2"/>
    <x v="5"/>
    <x v="666"/>
    <x v="1406"/>
    <n v="3"/>
    <x v="1519"/>
  </r>
  <r>
    <d v="2019-09-29T00:00:00"/>
    <x v="0"/>
    <x v="8"/>
    <x v="273"/>
    <x v="36"/>
    <x v="2"/>
    <x v="7"/>
    <x v="1085"/>
    <x v="17"/>
    <n v="9"/>
    <x v="1520"/>
  </r>
  <r>
    <d v="2019-09-29T00:00:00"/>
    <x v="0"/>
    <x v="8"/>
    <x v="508"/>
    <x v="1"/>
    <x v="2"/>
    <x v="5"/>
    <x v="189"/>
    <x v="1407"/>
    <n v="5"/>
    <x v="1521"/>
  </r>
  <r>
    <d v="2019-09-29T00:00:00"/>
    <x v="0"/>
    <x v="8"/>
    <x v="146"/>
    <x v="20"/>
    <x v="2"/>
    <x v="7"/>
    <x v="1086"/>
    <x v="1408"/>
    <n v="4"/>
    <x v="1522"/>
  </r>
  <r>
    <d v="2019-09-29T00:00:00"/>
    <x v="0"/>
    <x v="8"/>
    <x v="177"/>
    <x v="29"/>
    <x v="1"/>
    <x v="1"/>
    <x v="584"/>
    <x v="1409"/>
    <n v="3"/>
    <x v="1523"/>
  </r>
  <r>
    <d v="2019-09-29T00:00:00"/>
    <x v="0"/>
    <x v="8"/>
    <x v="509"/>
    <x v="1"/>
    <x v="1"/>
    <x v="3"/>
    <x v="156"/>
    <x v="162"/>
    <n v="1"/>
    <x v="161"/>
  </r>
  <r>
    <d v="2019-09-30T00:00:00"/>
    <x v="0"/>
    <x v="8"/>
    <x v="510"/>
    <x v="17"/>
    <x v="2"/>
    <x v="5"/>
    <x v="543"/>
    <x v="592"/>
    <n v="2"/>
    <x v="611"/>
  </r>
  <r>
    <d v="2019-09-30T00:00:00"/>
    <x v="0"/>
    <x v="8"/>
    <x v="308"/>
    <x v="12"/>
    <x v="0"/>
    <x v="0"/>
    <x v="1087"/>
    <x v="1410"/>
    <n v="5"/>
    <x v="1524"/>
  </r>
  <r>
    <d v="2019-10-01T00:00:00"/>
    <x v="0"/>
    <x v="9"/>
    <x v="103"/>
    <x v="1"/>
    <x v="0"/>
    <x v="11"/>
    <x v="710"/>
    <x v="1411"/>
    <n v="4"/>
    <x v="1525"/>
  </r>
  <r>
    <d v="2019-10-01T00:00:00"/>
    <x v="0"/>
    <x v="9"/>
    <x v="92"/>
    <x v="24"/>
    <x v="1"/>
    <x v="1"/>
    <x v="105"/>
    <x v="1412"/>
    <n v="2"/>
    <x v="1526"/>
  </r>
  <r>
    <d v="2019-10-01T00:00:00"/>
    <x v="0"/>
    <x v="9"/>
    <x v="92"/>
    <x v="24"/>
    <x v="0"/>
    <x v="8"/>
    <x v="246"/>
    <x v="1413"/>
    <n v="5"/>
    <x v="1527"/>
  </r>
  <r>
    <d v="2019-10-01T00:00:00"/>
    <x v="0"/>
    <x v="9"/>
    <x v="308"/>
    <x v="12"/>
    <x v="0"/>
    <x v="4"/>
    <x v="981"/>
    <x v="1414"/>
    <n v="1"/>
    <x v="1528"/>
  </r>
  <r>
    <d v="2019-10-01T00:00:00"/>
    <x v="0"/>
    <x v="9"/>
    <x v="412"/>
    <x v="2"/>
    <x v="1"/>
    <x v="3"/>
    <x v="461"/>
    <x v="1415"/>
    <n v="3"/>
    <x v="1529"/>
  </r>
  <r>
    <d v="2019-10-01T00:00:00"/>
    <x v="0"/>
    <x v="9"/>
    <x v="412"/>
    <x v="2"/>
    <x v="2"/>
    <x v="9"/>
    <x v="84"/>
    <x v="1416"/>
    <n v="1"/>
    <x v="1530"/>
  </r>
  <r>
    <d v="2019-10-01T00:00:00"/>
    <x v="0"/>
    <x v="9"/>
    <x v="511"/>
    <x v="6"/>
    <x v="2"/>
    <x v="5"/>
    <x v="312"/>
    <x v="1417"/>
    <n v="4"/>
    <x v="1531"/>
  </r>
  <r>
    <d v="2019-10-01T00:00:00"/>
    <x v="0"/>
    <x v="9"/>
    <x v="511"/>
    <x v="6"/>
    <x v="2"/>
    <x v="7"/>
    <x v="1088"/>
    <x v="1418"/>
    <n v="8"/>
    <x v="1532"/>
  </r>
  <r>
    <d v="2019-10-02T00:00:00"/>
    <x v="0"/>
    <x v="9"/>
    <x v="512"/>
    <x v="12"/>
    <x v="2"/>
    <x v="13"/>
    <x v="1089"/>
    <x v="1419"/>
    <n v="3"/>
    <x v="1533"/>
  </r>
  <r>
    <d v="2019-10-02T00:00:00"/>
    <x v="0"/>
    <x v="9"/>
    <x v="305"/>
    <x v="20"/>
    <x v="2"/>
    <x v="5"/>
    <x v="845"/>
    <x v="1420"/>
    <n v="6"/>
    <x v="1534"/>
  </r>
  <r>
    <d v="2019-10-02T00:00:00"/>
    <x v="0"/>
    <x v="9"/>
    <x v="513"/>
    <x v="24"/>
    <x v="2"/>
    <x v="2"/>
    <x v="187"/>
    <x v="1421"/>
    <n v="2"/>
    <x v="1535"/>
  </r>
  <r>
    <d v="2019-10-02T00:00:00"/>
    <x v="0"/>
    <x v="9"/>
    <x v="513"/>
    <x v="24"/>
    <x v="1"/>
    <x v="6"/>
    <x v="552"/>
    <x v="1377"/>
    <n v="5"/>
    <x v="1536"/>
  </r>
  <r>
    <d v="2019-10-02T00:00:00"/>
    <x v="0"/>
    <x v="9"/>
    <x v="513"/>
    <x v="24"/>
    <x v="2"/>
    <x v="5"/>
    <x v="318"/>
    <x v="1422"/>
    <n v="2"/>
    <x v="1537"/>
  </r>
  <r>
    <d v="2019-10-02T00:00:00"/>
    <x v="0"/>
    <x v="9"/>
    <x v="513"/>
    <x v="24"/>
    <x v="2"/>
    <x v="5"/>
    <x v="345"/>
    <x v="1423"/>
    <n v="7"/>
    <x v="1538"/>
  </r>
  <r>
    <d v="2019-10-02T00:00:00"/>
    <x v="0"/>
    <x v="9"/>
    <x v="513"/>
    <x v="24"/>
    <x v="2"/>
    <x v="7"/>
    <x v="1090"/>
    <x v="1424"/>
    <n v="2"/>
    <x v="1539"/>
  </r>
  <r>
    <d v="2019-10-03T00:00:00"/>
    <x v="0"/>
    <x v="9"/>
    <x v="336"/>
    <x v="2"/>
    <x v="2"/>
    <x v="10"/>
    <x v="86"/>
    <x v="1425"/>
    <n v="2"/>
    <x v="1540"/>
  </r>
  <r>
    <d v="2019-10-03T00:00:00"/>
    <x v="0"/>
    <x v="9"/>
    <x v="514"/>
    <x v="12"/>
    <x v="0"/>
    <x v="11"/>
    <x v="1059"/>
    <x v="1426"/>
    <n v="6"/>
    <x v="1541"/>
  </r>
  <r>
    <d v="2019-10-03T00:00:00"/>
    <x v="0"/>
    <x v="9"/>
    <x v="515"/>
    <x v="2"/>
    <x v="0"/>
    <x v="8"/>
    <x v="837"/>
    <x v="1427"/>
    <n v="5"/>
    <x v="1542"/>
  </r>
  <r>
    <d v="2019-10-03T00:00:00"/>
    <x v="0"/>
    <x v="9"/>
    <x v="165"/>
    <x v="1"/>
    <x v="2"/>
    <x v="14"/>
    <x v="1091"/>
    <x v="1428"/>
    <n v="2"/>
    <x v="1543"/>
  </r>
  <r>
    <d v="2019-10-03T00:00:00"/>
    <x v="0"/>
    <x v="9"/>
    <x v="165"/>
    <x v="1"/>
    <x v="0"/>
    <x v="11"/>
    <x v="1092"/>
    <x v="1429"/>
    <n v="4"/>
    <x v="1544"/>
  </r>
  <r>
    <d v="2019-10-03T00:00:00"/>
    <x v="0"/>
    <x v="9"/>
    <x v="165"/>
    <x v="1"/>
    <x v="2"/>
    <x v="9"/>
    <x v="687"/>
    <x v="1430"/>
    <n v="2"/>
    <x v="1545"/>
  </r>
  <r>
    <d v="2019-10-03T00:00:00"/>
    <x v="0"/>
    <x v="9"/>
    <x v="165"/>
    <x v="1"/>
    <x v="2"/>
    <x v="9"/>
    <x v="1093"/>
    <x v="1431"/>
    <n v="2"/>
    <x v="1546"/>
  </r>
  <r>
    <d v="2019-10-04T00:00:00"/>
    <x v="0"/>
    <x v="9"/>
    <x v="465"/>
    <x v="2"/>
    <x v="2"/>
    <x v="10"/>
    <x v="1094"/>
    <x v="1432"/>
    <n v="7"/>
    <x v="1547"/>
  </r>
  <r>
    <d v="2019-10-04T00:00:00"/>
    <x v="0"/>
    <x v="9"/>
    <x v="516"/>
    <x v="35"/>
    <x v="2"/>
    <x v="5"/>
    <x v="1044"/>
    <x v="1433"/>
    <n v="1"/>
    <x v="1548"/>
  </r>
  <r>
    <d v="2019-10-04T00:00:00"/>
    <x v="0"/>
    <x v="9"/>
    <x v="516"/>
    <x v="35"/>
    <x v="1"/>
    <x v="6"/>
    <x v="830"/>
    <x v="1434"/>
    <n v="9"/>
    <x v="1549"/>
  </r>
  <r>
    <d v="2019-10-04T00:00:00"/>
    <x v="0"/>
    <x v="9"/>
    <x v="516"/>
    <x v="35"/>
    <x v="2"/>
    <x v="2"/>
    <x v="1095"/>
    <x v="1435"/>
    <n v="3"/>
    <x v="1550"/>
  </r>
  <r>
    <d v="2019-10-04T00:00:00"/>
    <x v="0"/>
    <x v="9"/>
    <x v="517"/>
    <x v="0"/>
    <x v="0"/>
    <x v="4"/>
    <x v="394"/>
    <x v="1436"/>
    <n v="2"/>
    <x v="1551"/>
  </r>
  <r>
    <d v="2019-10-04T00:00:00"/>
    <x v="0"/>
    <x v="9"/>
    <x v="272"/>
    <x v="6"/>
    <x v="1"/>
    <x v="1"/>
    <x v="1096"/>
    <x v="1437"/>
    <n v="3"/>
    <x v="1552"/>
  </r>
  <r>
    <d v="2019-10-04T00:00:00"/>
    <x v="0"/>
    <x v="9"/>
    <x v="272"/>
    <x v="6"/>
    <x v="0"/>
    <x v="8"/>
    <x v="1097"/>
    <x v="1438"/>
    <n v="3"/>
    <x v="1553"/>
  </r>
  <r>
    <d v="2019-10-06T00:00:00"/>
    <x v="0"/>
    <x v="9"/>
    <x v="518"/>
    <x v="3"/>
    <x v="2"/>
    <x v="5"/>
    <x v="1033"/>
    <x v="1439"/>
    <n v="5"/>
    <x v="1554"/>
  </r>
  <r>
    <d v="2019-10-06T00:00:00"/>
    <x v="0"/>
    <x v="9"/>
    <x v="447"/>
    <x v="22"/>
    <x v="1"/>
    <x v="15"/>
    <x v="1098"/>
    <x v="1440"/>
    <n v="6"/>
    <x v="1555"/>
  </r>
  <r>
    <d v="2019-10-06T00:00:00"/>
    <x v="0"/>
    <x v="9"/>
    <x v="447"/>
    <x v="22"/>
    <x v="2"/>
    <x v="5"/>
    <x v="536"/>
    <x v="1441"/>
    <n v="4"/>
    <x v="1556"/>
  </r>
  <r>
    <d v="2019-10-06T00:00:00"/>
    <x v="0"/>
    <x v="9"/>
    <x v="447"/>
    <x v="22"/>
    <x v="2"/>
    <x v="5"/>
    <x v="1099"/>
    <x v="1442"/>
    <n v="4"/>
    <x v="1557"/>
  </r>
  <r>
    <d v="2019-10-06T00:00:00"/>
    <x v="0"/>
    <x v="9"/>
    <x v="447"/>
    <x v="22"/>
    <x v="1"/>
    <x v="3"/>
    <x v="1100"/>
    <x v="1443"/>
    <n v="5"/>
    <x v="1558"/>
  </r>
  <r>
    <d v="2019-10-07T00:00:00"/>
    <x v="0"/>
    <x v="9"/>
    <x v="39"/>
    <x v="1"/>
    <x v="2"/>
    <x v="5"/>
    <x v="1079"/>
    <x v="1444"/>
    <n v="2"/>
    <x v="1559"/>
  </r>
  <r>
    <d v="2019-10-07T00:00:00"/>
    <x v="0"/>
    <x v="9"/>
    <x v="24"/>
    <x v="9"/>
    <x v="1"/>
    <x v="15"/>
    <x v="583"/>
    <x v="1079"/>
    <n v="3"/>
    <x v="1142"/>
  </r>
  <r>
    <d v="2019-10-07T00:00:00"/>
    <x v="0"/>
    <x v="9"/>
    <x v="231"/>
    <x v="1"/>
    <x v="2"/>
    <x v="9"/>
    <x v="1101"/>
    <x v="131"/>
    <n v="2"/>
    <x v="1560"/>
  </r>
  <r>
    <d v="2019-10-07T00:00:00"/>
    <x v="0"/>
    <x v="9"/>
    <x v="318"/>
    <x v="5"/>
    <x v="2"/>
    <x v="14"/>
    <x v="1102"/>
    <x v="1445"/>
    <n v="2"/>
    <x v="1561"/>
  </r>
  <r>
    <d v="2019-10-07T00:00:00"/>
    <x v="0"/>
    <x v="9"/>
    <x v="519"/>
    <x v="9"/>
    <x v="2"/>
    <x v="12"/>
    <x v="865"/>
    <x v="1446"/>
    <n v="12"/>
    <x v="1562"/>
  </r>
  <r>
    <d v="2019-10-08T00:00:00"/>
    <x v="0"/>
    <x v="9"/>
    <x v="520"/>
    <x v="2"/>
    <x v="0"/>
    <x v="8"/>
    <x v="1103"/>
    <x v="1447"/>
    <n v="8"/>
    <x v="1563"/>
  </r>
  <r>
    <d v="2019-10-08T00:00:00"/>
    <x v="0"/>
    <x v="9"/>
    <x v="521"/>
    <x v="1"/>
    <x v="2"/>
    <x v="9"/>
    <x v="744"/>
    <x v="836"/>
    <n v="2"/>
    <x v="868"/>
  </r>
  <r>
    <d v="2019-10-08T00:00:00"/>
    <x v="0"/>
    <x v="9"/>
    <x v="522"/>
    <x v="2"/>
    <x v="2"/>
    <x v="14"/>
    <x v="980"/>
    <x v="1448"/>
    <n v="6"/>
    <x v="1564"/>
  </r>
  <r>
    <d v="2019-10-08T00:00:00"/>
    <x v="0"/>
    <x v="9"/>
    <x v="523"/>
    <x v="4"/>
    <x v="2"/>
    <x v="2"/>
    <x v="1104"/>
    <x v="1449"/>
    <n v="5"/>
    <x v="1565"/>
  </r>
  <r>
    <d v="2019-10-09T00:00:00"/>
    <x v="0"/>
    <x v="9"/>
    <x v="524"/>
    <x v="8"/>
    <x v="1"/>
    <x v="1"/>
    <x v="120"/>
    <x v="1450"/>
    <n v="4"/>
    <x v="1566"/>
  </r>
  <r>
    <d v="2019-10-09T00:00:00"/>
    <x v="0"/>
    <x v="9"/>
    <x v="129"/>
    <x v="5"/>
    <x v="2"/>
    <x v="9"/>
    <x v="1105"/>
    <x v="536"/>
    <n v="4"/>
    <x v="1567"/>
  </r>
  <r>
    <d v="2019-10-09T00:00:00"/>
    <x v="0"/>
    <x v="9"/>
    <x v="129"/>
    <x v="5"/>
    <x v="0"/>
    <x v="8"/>
    <x v="883"/>
    <x v="1451"/>
    <n v="4"/>
    <x v="1568"/>
  </r>
  <r>
    <d v="2019-10-09T00:00:00"/>
    <x v="0"/>
    <x v="9"/>
    <x v="525"/>
    <x v="20"/>
    <x v="2"/>
    <x v="7"/>
    <x v="1106"/>
    <x v="1452"/>
    <n v="1"/>
    <x v="1569"/>
  </r>
  <r>
    <d v="2019-10-09T00:00:00"/>
    <x v="0"/>
    <x v="9"/>
    <x v="525"/>
    <x v="20"/>
    <x v="0"/>
    <x v="8"/>
    <x v="491"/>
    <x v="1453"/>
    <n v="2"/>
    <x v="72"/>
  </r>
  <r>
    <d v="2019-10-10T00:00:00"/>
    <x v="0"/>
    <x v="9"/>
    <x v="4"/>
    <x v="4"/>
    <x v="2"/>
    <x v="16"/>
    <x v="923"/>
    <x v="1454"/>
    <n v="2"/>
    <x v="1570"/>
  </r>
  <r>
    <d v="2019-10-10T00:00:00"/>
    <x v="0"/>
    <x v="9"/>
    <x v="4"/>
    <x v="4"/>
    <x v="2"/>
    <x v="5"/>
    <x v="93"/>
    <x v="1455"/>
    <n v="3"/>
    <x v="1571"/>
  </r>
  <r>
    <d v="2019-10-10T00:00:00"/>
    <x v="0"/>
    <x v="9"/>
    <x v="141"/>
    <x v="22"/>
    <x v="0"/>
    <x v="0"/>
    <x v="1107"/>
    <x v="1456"/>
    <n v="3"/>
    <x v="1572"/>
  </r>
  <r>
    <d v="2019-10-10T00:00:00"/>
    <x v="0"/>
    <x v="9"/>
    <x v="141"/>
    <x v="22"/>
    <x v="1"/>
    <x v="1"/>
    <x v="150"/>
    <x v="1457"/>
    <n v="1"/>
    <x v="1573"/>
  </r>
  <r>
    <d v="2019-10-10T00:00:00"/>
    <x v="0"/>
    <x v="9"/>
    <x v="141"/>
    <x v="22"/>
    <x v="0"/>
    <x v="11"/>
    <x v="681"/>
    <x v="1458"/>
    <n v="1"/>
    <x v="1574"/>
  </r>
  <r>
    <d v="2019-10-10T00:00:00"/>
    <x v="0"/>
    <x v="9"/>
    <x v="20"/>
    <x v="2"/>
    <x v="0"/>
    <x v="8"/>
    <x v="1057"/>
    <x v="1459"/>
    <n v="4"/>
    <x v="1575"/>
  </r>
  <r>
    <d v="2019-10-10T00:00:00"/>
    <x v="0"/>
    <x v="9"/>
    <x v="20"/>
    <x v="2"/>
    <x v="2"/>
    <x v="5"/>
    <x v="973"/>
    <x v="1460"/>
    <n v="2"/>
    <x v="1576"/>
  </r>
  <r>
    <d v="2019-10-11T00:00:00"/>
    <x v="0"/>
    <x v="9"/>
    <x v="526"/>
    <x v="17"/>
    <x v="2"/>
    <x v="7"/>
    <x v="1108"/>
    <x v="1058"/>
    <n v="2"/>
    <x v="1577"/>
  </r>
  <r>
    <d v="2019-10-11T00:00:00"/>
    <x v="0"/>
    <x v="9"/>
    <x v="526"/>
    <x v="17"/>
    <x v="2"/>
    <x v="7"/>
    <x v="1109"/>
    <x v="566"/>
    <n v="3"/>
    <x v="1578"/>
  </r>
  <r>
    <d v="2019-10-13T00:00:00"/>
    <x v="0"/>
    <x v="9"/>
    <x v="327"/>
    <x v="1"/>
    <x v="2"/>
    <x v="9"/>
    <x v="1110"/>
    <x v="363"/>
    <n v="3"/>
    <x v="369"/>
  </r>
  <r>
    <d v="2019-10-13T00:00:00"/>
    <x v="0"/>
    <x v="9"/>
    <x v="327"/>
    <x v="1"/>
    <x v="2"/>
    <x v="9"/>
    <x v="142"/>
    <x v="1461"/>
    <n v="1"/>
    <x v="1579"/>
  </r>
  <r>
    <d v="2019-10-13T00:00:00"/>
    <x v="0"/>
    <x v="9"/>
    <x v="327"/>
    <x v="1"/>
    <x v="2"/>
    <x v="7"/>
    <x v="1085"/>
    <x v="1462"/>
    <n v="4"/>
    <x v="1580"/>
  </r>
  <r>
    <d v="2019-10-13T00:00:00"/>
    <x v="0"/>
    <x v="9"/>
    <x v="327"/>
    <x v="1"/>
    <x v="2"/>
    <x v="12"/>
    <x v="373"/>
    <x v="1463"/>
    <n v="2"/>
    <x v="1581"/>
  </r>
  <r>
    <d v="2019-10-13T00:00:00"/>
    <x v="0"/>
    <x v="9"/>
    <x v="327"/>
    <x v="1"/>
    <x v="2"/>
    <x v="5"/>
    <x v="75"/>
    <x v="1464"/>
    <n v="3"/>
    <x v="1582"/>
  </r>
  <r>
    <d v="2019-10-13T00:00:00"/>
    <x v="0"/>
    <x v="9"/>
    <x v="327"/>
    <x v="1"/>
    <x v="2"/>
    <x v="16"/>
    <x v="407"/>
    <x v="1465"/>
    <n v="6"/>
    <x v="1583"/>
  </r>
  <r>
    <d v="2019-10-13T00:00:00"/>
    <x v="0"/>
    <x v="9"/>
    <x v="327"/>
    <x v="1"/>
    <x v="0"/>
    <x v="8"/>
    <x v="1111"/>
    <x v="69"/>
    <n v="14"/>
    <x v="1584"/>
  </r>
  <r>
    <d v="2019-10-13T00:00:00"/>
    <x v="0"/>
    <x v="9"/>
    <x v="527"/>
    <x v="22"/>
    <x v="0"/>
    <x v="4"/>
    <x v="1112"/>
    <x v="1466"/>
    <n v="5"/>
    <x v="1585"/>
  </r>
  <r>
    <d v="2019-10-13T00:00:00"/>
    <x v="0"/>
    <x v="9"/>
    <x v="527"/>
    <x v="22"/>
    <x v="0"/>
    <x v="8"/>
    <x v="484"/>
    <x v="611"/>
    <n v="3"/>
    <x v="1586"/>
  </r>
  <r>
    <d v="2019-10-13T00:00:00"/>
    <x v="0"/>
    <x v="9"/>
    <x v="406"/>
    <x v="2"/>
    <x v="1"/>
    <x v="3"/>
    <x v="642"/>
    <x v="1467"/>
    <n v="3"/>
    <x v="1587"/>
  </r>
  <r>
    <d v="2019-10-13T00:00:00"/>
    <x v="0"/>
    <x v="9"/>
    <x v="406"/>
    <x v="2"/>
    <x v="2"/>
    <x v="9"/>
    <x v="876"/>
    <x v="1468"/>
    <n v="2"/>
    <x v="1588"/>
  </r>
  <r>
    <d v="2019-10-13T00:00:00"/>
    <x v="0"/>
    <x v="9"/>
    <x v="406"/>
    <x v="2"/>
    <x v="0"/>
    <x v="8"/>
    <x v="956"/>
    <x v="1469"/>
    <n v="5"/>
    <x v="1589"/>
  </r>
  <r>
    <d v="2019-10-13T00:00:00"/>
    <x v="0"/>
    <x v="9"/>
    <x v="406"/>
    <x v="2"/>
    <x v="2"/>
    <x v="7"/>
    <x v="1113"/>
    <x v="1470"/>
    <n v="1"/>
    <x v="1590"/>
  </r>
  <r>
    <d v="2019-10-13T00:00:00"/>
    <x v="0"/>
    <x v="9"/>
    <x v="406"/>
    <x v="2"/>
    <x v="2"/>
    <x v="5"/>
    <x v="312"/>
    <x v="1471"/>
    <n v="7"/>
    <x v="1591"/>
  </r>
  <r>
    <d v="2019-10-13T00:00:00"/>
    <x v="0"/>
    <x v="9"/>
    <x v="520"/>
    <x v="12"/>
    <x v="2"/>
    <x v="7"/>
    <x v="556"/>
    <x v="1472"/>
    <n v="5"/>
    <x v="1592"/>
  </r>
  <r>
    <d v="2019-10-13T00:00:00"/>
    <x v="0"/>
    <x v="9"/>
    <x v="520"/>
    <x v="12"/>
    <x v="2"/>
    <x v="2"/>
    <x v="1114"/>
    <x v="1473"/>
    <n v="3"/>
    <x v="1593"/>
  </r>
  <r>
    <d v="2019-10-13T00:00:00"/>
    <x v="0"/>
    <x v="9"/>
    <x v="520"/>
    <x v="12"/>
    <x v="2"/>
    <x v="9"/>
    <x v="290"/>
    <x v="357"/>
    <n v="2"/>
    <x v="362"/>
  </r>
  <r>
    <d v="2019-10-13T00:00:00"/>
    <x v="0"/>
    <x v="9"/>
    <x v="520"/>
    <x v="12"/>
    <x v="2"/>
    <x v="14"/>
    <x v="622"/>
    <x v="1474"/>
    <n v="5"/>
    <x v="1594"/>
  </r>
  <r>
    <d v="2019-10-13T00:00:00"/>
    <x v="0"/>
    <x v="9"/>
    <x v="520"/>
    <x v="12"/>
    <x v="0"/>
    <x v="8"/>
    <x v="1115"/>
    <x v="1475"/>
    <n v="3"/>
    <x v="1595"/>
  </r>
  <r>
    <d v="2019-10-14T00:00:00"/>
    <x v="0"/>
    <x v="9"/>
    <x v="275"/>
    <x v="9"/>
    <x v="1"/>
    <x v="3"/>
    <x v="1116"/>
    <x v="1476"/>
    <n v="3"/>
    <x v="1596"/>
  </r>
  <r>
    <d v="2019-10-14T00:00:00"/>
    <x v="0"/>
    <x v="9"/>
    <x v="528"/>
    <x v="4"/>
    <x v="0"/>
    <x v="11"/>
    <x v="1117"/>
    <x v="1477"/>
    <n v="1"/>
    <x v="1597"/>
  </r>
  <r>
    <d v="2019-10-14T00:00:00"/>
    <x v="0"/>
    <x v="9"/>
    <x v="528"/>
    <x v="4"/>
    <x v="1"/>
    <x v="3"/>
    <x v="1118"/>
    <x v="1478"/>
    <n v="1"/>
    <x v="1598"/>
  </r>
  <r>
    <d v="2019-10-14T00:00:00"/>
    <x v="0"/>
    <x v="9"/>
    <x v="528"/>
    <x v="4"/>
    <x v="2"/>
    <x v="9"/>
    <x v="922"/>
    <x v="1479"/>
    <n v="3"/>
    <x v="1599"/>
  </r>
  <r>
    <d v="2019-10-14T00:00:00"/>
    <x v="0"/>
    <x v="9"/>
    <x v="528"/>
    <x v="4"/>
    <x v="2"/>
    <x v="16"/>
    <x v="311"/>
    <x v="1480"/>
    <n v="2"/>
    <x v="1600"/>
  </r>
  <r>
    <d v="2019-10-14T00:00:00"/>
    <x v="0"/>
    <x v="9"/>
    <x v="528"/>
    <x v="4"/>
    <x v="2"/>
    <x v="10"/>
    <x v="939"/>
    <x v="1481"/>
    <n v="4"/>
    <x v="1601"/>
  </r>
  <r>
    <d v="2019-10-14T00:00:00"/>
    <x v="0"/>
    <x v="9"/>
    <x v="528"/>
    <x v="4"/>
    <x v="2"/>
    <x v="9"/>
    <x v="1119"/>
    <x v="1482"/>
    <n v="1"/>
    <x v="1602"/>
  </r>
  <r>
    <d v="2019-10-14T00:00:00"/>
    <x v="0"/>
    <x v="9"/>
    <x v="431"/>
    <x v="12"/>
    <x v="1"/>
    <x v="1"/>
    <x v="116"/>
    <x v="1483"/>
    <n v="7"/>
    <x v="1603"/>
  </r>
  <r>
    <d v="2019-10-14T00:00:00"/>
    <x v="0"/>
    <x v="9"/>
    <x v="431"/>
    <x v="12"/>
    <x v="2"/>
    <x v="9"/>
    <x v="653"/>
    <x v="591"/>
    <n v="2"/>
    <x v="610"/>
  </r>
  <r>
    <d v="2019-10-14T00:00:00"/>
    <x v="0"/>
    <x v="9"/>
    <x v="59"/>
    <x v="7"/>
    <x v="1"/>
    <x v="3"/>
    <x v="593"/>
    <x v="1484"/>
    <n v="5"/>
    <x v="1604"/>
  </r>
  <r>
    <d v="2019-10-15T00:00:00"/>
    <x v="0"/>
    <x v="9"/>
    <x v="529"/>
    <x v="40"/>
    <x v="2"/>
    <x v="9"/>
    <x v="1120"/>
    <x v="269"/>
    <n v="2"/>
    <x v="271"/>
  </r>
  <r>
    <d v="2019-10-15T00:00:00"/>
    <x v="0"/>
    <x v="9"/>
    <x v="529"/>
    <x v="40"/>
    <x v="2"/>
    <x v="9"/>
    <x v="1121"/>
    <x v="40"/>
    <n v="9"/>
    <x v="40"/>
  </r>
  <r>
    <d v="2019-10-15T00:00:00"/>
    <x v="0"/>
    <x v="9"/>
    <x v="529"/>
    <x v="40"/>
    <x v="2"/>
    <x v="5"/>
    <x v="1122"/>
    <x v="190"/>
    <n v="5"/>
    <x v="1605"/>
  </r>
  <r>
    <d v="2019-10-15T00:00:00"/>
    <x v="0"/>
    <x v="9"/>
    <x v="529"/>
    <x v="40"/>
    <x v="2"/>
    <x v="9"/>
    <x v="1123"/>
    <x v="1485"/>
    <n v="8"/>
    <x v="1606"/>
  </r>
  <r>
    <d v="2019-10-15T00:00:00"/>
    <x v="0"/>
    <x v="9"/>
    <x v="530"/>
    <x v="3"/>
    <x v="2"/>
    <x v="14"/>
    <x v="890"/>
    <x v="1486"/>
    <n v="7"/>
    <x v="1607"/>
  </r>
  <r>
    <d v="2019-10-15T00:00:00"/>
    <x v="0"/>
    <x v="9"/>
    <x v="530"/>
    <x v="3"/>
    <x v="2"/>
    <x v="14"/>
    <x v="109"/>
    <x v="1487"/>
    <n v="6"/>
    <x v="1608"/>
  </r>
  <r>
    <d v="2019-10-15T00:00:00"/>
    <x v="0"/>
    <x v="9"/>
    <x v="530"/>
    <x v="3"/>
    <x v="2"/>
    <x v="13"/>
    <x v="1124"/>
    <x v="1488"/>
    <n v="3"/>
    <x v="1609"/>
  </r>
  <r>
    <d v="2019-10-15T00:00:00"/>
    <x v="0"/>
    <x v="9"/>
    <x v="530"/>
    <x v="3"/>
    <x v="2"/>
    <x v="9"/>
    <x v="1125"/>
    <x v="56"/>
    <n v="2"/>
    <x v="56"/>
  </r>
  <r>
    <d v="2019-10-15T00:00:00"/>
    <x v="0"/>
    <x v="9"/>
    <x v="530"/>
    <x v="3"/>
    <x v="1"/>
    <x v="1"/>
    <x v="913"/>
    <x v="1489"/>
    <n v="1"/>
    <x v="1610"/>
  </r>
  <r>
    <d v="2019-10-15T00:00:00"/>
    <x v="0"/>
    <x v="9"/>
    <x v="530"/>
    <x v="3"/>
    <x v="2"/>
    <x v="5"/>
    <x v="1044"/>
    <x v="1490"/>
    <n v="4"/>
    <x v="1611"/>
  </r>
  <r>
    <d v="2019-10-15T00:00:00"/>
    <x v="0"/>
    <x v="9"/>
    <x v="189"/>
    <x v="18"/>
    <x v="2"/>
    <x v="5"/>
    <x v="670"/>
    <x v="1491"/>
    <n v="7"/>
    <x v="1612"/>
  </r>
  <r>
    <d v="2019-10-15T00:00:00"/>
    <x v="0"/>
    <x v="9"/>
    <x v="189"/>
    <x v="18"/>
    <x v="2"/>
    <x v="10"/>
    <x v="338"/>
    <x v="1492"/>
    <n v="6"/>
    <x v="1613"/>
  </r>
  <r>
    <d v="2019-10-15T00:00:00"/>
    <x v="0"/>
    <x v="9"/>
    <x v="189"/>
    <x v="18"/>
    <x v="2"/>
    <x v="13"/>
    <x v="1126"/>
    <x v="1493"/>
    <n v="3"/>
    <x v="1614"/>
  </r>
  <r>
    <d v="2019-10-16T00:00:00"/>
    <x v="0"/>
    <x v="9"/>
    <x v="225"/>
    <x v="12"/>
    <x v="0"/>
    <x v="4"/>
    <x v="954"/>
    <x v="1494"/>
    <n v="1"/>
    <x v="1615"/>
  </r>
  <r>
    <d v="2019-10-17T00:00:00"/>
    <x v="0"/>
    <x v="9"/>
    <x v="378"/>
    <x v="1"/>
    <x v="2"/>
    <x v="5"/>
    <x v="1127"/>
    <x v="1495"/>
    <n v="5"/>
    <x v="1616"/>
  </r>
  <r>
    <d v="2019-10-17T00:00:00"/>
    <x v="0"/>
    <x v="9"/>
    <x v="95"/>
    <x v="1"/>
    <x v="0"/>
    <x v="0"/>
    <x v="959"/>
    <x v="1496"/>
    <n v="2"/>
    <x v="1617"/>
  </r>
  <r>
    <d v="2019-10-17T00:00:00"/>
    <x v="0"/>
    <x v="9"/>
    <x v="531"/>
    <x v="30"/>
    <x v="1"/>
    <x v="1"/>
    <x v="1128"/>
    <x v="1497"/>
    <n v="3"/>
    <x v="1618"/>
  </r>
  <r>
    <d v="2019-10-17T00:00:00"/>
    <x v="0"/>
    <x v="9"/>
    <x v="531"/>
    <x v="30"/>
    <x v="2"/>
    <x v="13"/>
    <x v="1129"/>
    <x v="1498"/>
    <n v="7"/>
    <x v="1619"/>
  </r>
  <r>
    <d v="2019-10-17T00:00:00"/>
    <x v="0"/>
    <x v="9"/>
    <x v="233"/>
    <x v="10"/>
    <x v="0"/>
    <x v="0"/>
    <x v="873"/>
    <x v="1499"/>
    <n v="1"/>
    <x v="1620"/>
  </r>
  <r>
    <d v="2019-10-17T00:00:00"/>
    <x v="0"/>
    <x v="9"/>
    <x v="233"/>
    <x v="10"/>
    <x v="2"/>
    <x v="5"/>
    <x v="368"/>
    <x v="1500"/>
    <n v="1"/>
    <x v="1621"/>
  </r>
  <r>
    <d v="2019-10-18T00:00:00"/>
    <x v="0"/>
    <x v="9"/>
    <x v="526"/>
    <x v="20"/>
    <x v="0"/>
    <x v="11"/>
    <x v="1058"/>
    <x v="1501"/>
    <n v="5"/>
    <x v="1622"/>
  </r>
  <r>
    <d v="2019-10-20T00:00:00"/>
    <x v="0"/>
    <x v="9"/>
    <x v="532"/>
    <x v="8"/>
    <x v="2"/>
    <x v="7"/>
    <x v="1130"/>
    <x v="676"/>
    <n v="3"/>
    <x v="1623"/>
  </r>
  <r>
    <d v="2019-10-20T00:00:00"/>
    <x v="0"/>
    <x v="9"/>
    <x v="503"/>
    <x v="2"/>
    <x v="2"/>
    <x v="9"/>
    <x v="1131"/>
    <x v="1502"/>
    <n v="7"/>
    <x v="1624"/>
  </r>
  <r>
    <d v="2019-10-20T00:00:00"/>
    <x v="0"/>
    <x v="9"/>
    <x v="503"/>
    <x v="2"/>
    <x v="2"/>
    <x v="12"/>
    <x v="163"/>
    <x v="1503"/>
    <n v="4"/>
    <x v="1625"/>
  </r>
  <r>
    <d v="2019-10-20T00:00:00"/>
    <x v="0"/>
    <x v="9"/>
    <x v="503"/>
    <x v="2"/>
    <x v="0"/>
    <x v="11"/>
    <x v="969"/>
    <x v="1504"/>
    <n v="1"/>
    <x v="1626"/>
  </r>
  <r>
    <d v="2019-10-20T00:00:00"/>
    <x v="0"/>
    <x v="9"/>
    <x v="379"/>
    <x v="25"/>
    <x v="1"/>
    <x v="1"/>
    <x v="1132"/>
    <x v="1505"/>
    <n v="6"/>
    <x v="1627"/>
  </r>
  <r>
    <d v="2019-10-20T00:00:00"/>
    <x v="0"/>
    <x v="9"/>
    <x v="379"/>
    <x v="25"/>
    <x v="1"/>
    <x v="1"/>
    <x v="168"/>
    <x v="1506"/>
    <n v="2"/>
    <x v="1628"/>
  </r>
  <r>
    <d v="2019-10-20T00:00:00"/>
    <x v="0"/>
    <x v="9"/>
    <x v="379"/>
    <x v="25"/>
    <x v="2"/>
    <x v="2"/>
    <x v="370"/>
    <x v="1507"/>
    <n v="7"/>
    <x v="1629"/>
  </r>
  <r>
    <d v="2019-10-20T00:00:00"/>
    <x v="0"/>
    <x v="9"/>
    <x v="533"/>
    <x v="1"/>
    <x v="2"/>
    <x v="5"/>
    <x v="759"/>
    <x v="874"/>
    <n v="3"/>
    <x v="913"/>
  </r>
  <r>
    <d v="2019-10-20T00:00:00"/>
    <x v="0"/>
    <x v="9"/>
    <x v="77"/>
    <x v="18"/>
    <x v="0"/>
    <x v="8"/>
    <x v="966"/>
    <x v="1508"/>
    <n v="5"/>
    <x v="1630"/>
  </r>
  <r>
    <d v="2019-10-20T00:00:00"/>
    <x v="0"/>
    <x v="9"/>
    <x v="132"/>
    <x v="1"/>
    <x v="0"/>
    <x v="11"/>
    <x v="137"/>
    <x v="1509"/>
    <n v="4"/>
    <x v="1631"/>
  </r>
  <r>
    <d v="2019-10-21T00:00:00"/>
    <x v="0"/>
    <x v="9"/>
    <x v="257"/>
    <x v="11"/>
    <x v="2"/>
    <x v="5"/>
    <x v="136"/>
    <x v="379"/>
    <n v="4"/>
    <x v="1632"/>
  </r>
  <r>
    <d v="2019-10-21T00:00:00"/>
    <x v="0"/>
    <x v="9"/>
    <x v="257"/>
    <x v="11"/>
    <x v="2"/>
    <x v="16"/>
    <x v="311"/>
    <x v="1510"/>
    <n v="2"/>
    <x v="1633"/>
  </r>
  <r>
    <d v="2019-10-21T00:00:00"/>
    <x v="0"/>
    <x v="9"/>
    <x v="257"/>
    <x v="11"/>
    <x v="2"/>
    <x v="2"/>
    <x v="420"/>
    <x v="1511"/>
    <n v="7"/>
    <x v="1634"/>
  </r>
  <r>
    <d v="2019-10-21T00:00:00"/>
    <x v="0"/>
    <x v="9"/>
    <x v="257"/>
    <x v="11"/>
    <x v="0"/>
    <x v="0"/>
    <x v="17"/>
    <x v="1512"/>
    <n v="4"/>
    <x v="1635"/>
  </r>
  <r>
    <d v="2019-10-21T00:00:00"/>
    <x v="0"/>
    <x v="9"/>
    <x v="8"/>
    <x v="1"/>
    <x v="2"/>
    <x v="9"/>
    <x v="170"/>
    <x v="1513"/>
    <n v="3"/>
    <x v="1636"/>
  </r>
  <r>
    <d v="2019-10-21T00:00:00"/>
    <x v="0"/>
    <x v="9"/>
    <x v="521"/>
    <x v="1"/>
    <x v="2"/>
    <x v="2"/>
    <x v="108"/>
    <x v="109"/>
    <n v="3"/>
    <x v="109"/>
  </r>
  <r>
    <d v="2019-10-21T00:00:00"/>
    <x v="0"/>
    <x v="9"/>
    <x v="132"/>
    <x v="23"/>
    <x v="2"/>
    <x v="5"/>
    <x v="1133"/>
    <x v="1514"/>
    <n v="4"/>
    <x v="1637"/>
  </r>
  <r>
    <d v="2019-10-21T00:00:00"/>
    <x v="0"/>
    <x v="9"/>
    <x v="534"/>
    <x v="0"/>
    <x v="1"/>
    <x v="3"/>
    <x v="483"/>
    <x v="1515"/>
    <n v="6"/>
    <x v="1638"/>
  </r>
  <r>
    <d v="2019-10-21T00:00:00"/>
    <x v="0"/>
    <x v="9"/>
    <x v="140"/>
    <x v="8"/>
    <x v="1"/>
    <x v="1"/>
    <x v="708"/>
    <x v="1516"/>
    <n v="8"/>
    <x v="1639"/>
  </r>
  <r>
    <d v="2019-10-21T00:00:00"/>
    <x v="0"/>
    <x v="9"/>
    <x v="535"/>
    <x v="8"/>
    <x v="0"/>
    <x v="4"/>
    <x v="981"/>
    <x v="1517"/>
    <n v="2"/>
    <x v="1640"/>
  </r>
  <r>
    <d v="2019-10-21T00:00:00"/>
    <x v="0"/>
    <x v="9"/>
    <x v="283"/>
    <x v="31"/>
    <x v="2"/>
    <x v="7"/>
    <x v="128"/>
    <x v="1518"/>
    <n v="3"/>
    <x v="1641"/>
  </r>
  <r>
    <d v="2019-10-21T00:00:00"/>
    <x v="0"/>
    <x v="9"/>
    <x v="283"/>
    <x v="31"/>
    <x v="2"/>
    <x v="9"/>
    <x v="208"/>
    <x v="1346"/>
    <n v="6"/>
    <x v="1642"/>
  </r>
  <r>
    <d v="2019-10-21T00:00:00"/>
    <x v="0"/>
    <x v="9"/>
    <x v="283"/>
    <x v="31"/>
    <x v="2"/>
    <x v="5"/>
    <x v="1134"/>
    <x v="1519"/>
    <n v="3"/>
    <x v="1643"/>
  </r>
  <r>
    <d v="2019-10-21T00:00:00"/>
    <x v="0"/>
    <x v="9"/>
    <x v="71"/>
    <x v="21"/>
    <x v="2"/>
    <x v="2"/>
    <x v="1135"/>
    <x v="1520"/>
    <n v="9"/>
    <x v="1644"/>
  </r>
  <r>
    <d v="2019-10-21T00:00:00"/>
    <x v="0"/>
    <x v="9"/>
    <x v="72"/>
    <x v="2"/>
    <x v="1"/>
    <x v="3"/>
    <x v="1136"/>
    <x v="1521"/>
    <n v="6"/>
    <x v="1645"/>
  </r>
  <r>
    <d v="2019-10-21T00:00:00"/>
    <x v="0"/>
    <x v="9"/>
    <x v="160"/>
    <x v="1"/>
    <x v="0"/>
    <x v="11"/>
    <x v="836"/>
    <x v="1522"/>
    <n v="3"/>
    <x v="1646"/>
  </r>
  <r>
    <d v="2019-10-21T00:00:00"/>
    <x v="0"/>
    <x v="9"/>
    <x v="160"/>
    <x v="1"/>
    <x v="2"/>
    <x v="7"/>
    <x v="912"/>
    <x v="1523"/>
    <n v="3"/>
    <x v="1647"/>
  </r>
  <r>
    <d v="2019-10-21T00:00:00"/>
    <x v="0"/>
    <x v="9"/>
    <x v="160"/>
    <x v="1"/>
    <x v="0"/>
    <x v="8"/>
    <x v="286"/>
    <x v="1524"/>
    <n v="2"/>
    <x v="1648"/>
  </r>
  <r>
    <d v="2019-10-21T00:00:00"/>
    <x v="0"/>
    <x v="9"/>
    <x v="160"/>
    <x v="1"/>
    <x v="2"/>
    <x v="2"/>
    <x v="901"/>
    <x v="1525"/>
    <n v="3"/>
    <x v="1649"/>
  </r>
  <r>
    <d v="2019-10-21T00:00:00"/>
    <x v="0"/>
    <x v="9"/>
    <x v="281"/>
    <x v="6"/>
    <x v="0"/>
    <x v="8"/>
    <x v="1137"/>
    <x v="1526"/>
    <n v="2"/>
    <x v="1650"/>
  </r>
  <r>
    <d v="2019-10-21T00:00:00"/>
    <x v="0"/>
    <x v="9"/>
    <x v="281"/>
    <x v="6"/>
    <x v="2"/>
    <x v="5"/>
    <x v="537"/>
    <x v="1527"/>
    <n v="8"/>
    <x v="1651"/>
  </r>
  <r>
    <d v="2019-10-22T00:00:00"/>
    <x v="0"/>
    <x v="9"/>
    <x v="522"/>
    <x v="25"/>
    <x v="0"/>
    <x v="8"/>
    <x v="455"/>
    <x v="309"/>
    <n v="5"/>
    <x v="1652"/>
  </r>
  <r>
    <d v="2019-10-22T00:00:00"/>
    <x v="0"/>
    <x v="9"/>
    <x v="83"/>
    <x v="18"/>
    <x v="0"/>
    <x v="8"/>
    <x v="286"/>
    <x v="308"/>
    <n v="4"/>
    <x v="310"/>
  </r>
  <r>
    <d v="2019-10-22T00:00:00"/>
    <x v="0"/>
    <x v="9"/>
    <x v="536"/>
    <x v="9"/>
    <x v="2"/>
    <x v="9"/>
    <x v="1121"/>
    <x v="1528"/>
    <n v="1"/>
    <x v="1653"/>
  </r>
  <r>
    <d v="2019-10-22T00:00:00"/>
    <x v="0"/>
    <x v="9"/>
    <x v="536"/>
    <x v="9"/>
    <x v="2"/>
    <x v="7"/>
    <x v="204"/>
    <x v="560"/>
    <n v="3"/>
    <x v="1654"/>
  </r>
  <r>
    <d v="2019-10-22T00:00:00"/>
    <x v="0"/>
    <x v="9"/>
    <x v="536"/>
    <x v="9"/>
    <x v="0"/>
    <x v="8"/>
    <x v="1138"/>
    <x v="1529"/>
    <n v="3"/>
    <x v="1655"/>
  </r>
  <r>
    <d v="2019-10-23T00:00:00"/>
    <x v="0"/>
    <x v="9"/>
    <x v="168"/>
    <x v="12"/>
    <x v="2"/>
    <x v="9"/>
    <x v="611"/>
    <x v="1530"/>
    <n v="10"/>
    <x v="1656"/>
  </r>
  <r>
    <d v="2019-10-23T00:00:00"/>
    <x v="0"/>
    <x v="9"/>
    <x v="218"/>
    <x v="17"/>
    <x v="0"/>
    <x v="8"/>
    <x v="1139"/>
    <x v="1531"/>
    <n v="7"/>
    <x v="1657"/>
  </r>
  <r>
    <d v="2019-10-23T00:00:00"/>
    <x v="0"/>
    <x v="9"/>
    <x v="218"/>
    <x v="17"/>
    <x v="2"/>
    <x v="9"/>
    <x v="1140"/>
    <x v="1532"/>
    <n v="3"/>
    <x v="1658"/>
  </r>
  <r>
    <d v="2019-10-23T00:00:00"/>
    <x v="0"/>
    <x v="9"/>
    <x v="339"/>
    <x v="9"/>
    <x v="2"/>
    <x v="12"/>
    <x v="908"/>
    <x v="1533"/>
    <n v="5"/>
    <x v="1659"/>
  </r>
  <r>
    <d v="2019-10-24T00:00:00"/>
    <x v="0"/>
    <x v="9"/>
    <x v="535"/>
    <x v="1"/>
    <x v="1"/>
    <x v="3"/>
    <x v="113"/>
    <x v="116"/>
    <n v="4"/>
    <x v="116"/>
  </r>
  <r>
    <d v="2019-10-24T00:00:00"/>
    <x v="0"/>
    <x v="9"/>
    <x v="535"/>
    <x v="1"/>
    <x v="1"/>
    <x v="3"/>
    <x v="464"/>
    <x v="1534"/>
    <n v="2"/>
    <x v="1660"/>
  </r>
  <r>
    <d v="2019-10-24T00:00:00"/>
    <x v="0"/>
    <x v="9"/>
    <x v="331"/>
    <x v="21"/>
    <x v="1"/>
    <x v="1"/>
    <x v="1141"/>
    <x v="1535"/>
    <n v="3"/>
    <x v="1661"/>
  </r>
  <r>
    <d v="2019-10-24T00:00:00"/>
    <x v="0"/>
    <x v="9"/>
    <x v="246"/>
    <x v="1"/>
    <x v="1"/>
    <x v="3"/>
    <x v="1142"/>
    <x v="1536"/>
    <n v="1"/>
    <x v="1662"/>
  </r>
  <r>
    <d v="2019-10-24T00:00:00"/>
    <x v="0"/>
    <x v="9"/>
    <x v="376"/>
    <x v="2"/>
    <x v="2"/>
    <x v="9"/>
    <x v="1143"/>
    <x v="29"/>
    <n v="3"/>
    <x v="29"/>
  </r>
  <r>
    <d v="2019-10-24T00:00:00"/>
    <x v="0"/>
    <x v="9"/>
    <x v="537"/>
    <x v="1"/>
    <x v="1"/>
    <x v="3"/>
    <x v="1144"/>
    <x v="1537"/>
    <n v="5"/>
    <x v="1663"/>
  </r>
  <r>
    <d v="2019-10-25T00:00:00"/>
    <x v="0"/>
    <x v="9"/>
    <x v="538"/>
    <x v="6"/>
    <x v="1"/>
    <x v="1"/>
    <x v="585"/>
    <x v="1538"/>
    <n v="5"/>
    <x v="1664"/>
  </r>
  <r>
    <d v="2019-10-27T00:00:00"/>
    <x v="0"/>
    <x v="9"/>
    <x v="539"/>
    <x v="12"/>
    <x v="0"/>
    <x v="8"/>
    <x v="1063"/>
    <x v="1539"/>
    <n v="3"/>
    <x v="1665"/>
  </r>
  <r>
    <d v="2019-10-27T00:00:00"/>
    <x v="0"/>
    <x v="9"/>
    <x v="540"/>
    <x v="1"/>
    <x v="2"/>
    <x v="13"/>
    <x v="512"/>
    <x v="1540"/>
    <n v="4"/>
    <x v="1666"/>
  </r>
  <r>
    <d v="2019-10-27T00:00:00"/>
    <x v="0"/>
    <x v="9"/>
    <x v="540"/>
    <x v="1"/>
    <x v="2"/>
    <x v="5"/>
    <x v="1122"/>
    <x v="1541"/>
    <n v="3"/>
    <x v="1667"/>
  </r>
  <r>
    <d v="2019-10-27T00:00:00"/>
    <x v="0"/>
    <x v="9"/>
    <x v="541"/>
    <x v="18"/>
    <x v="0"/>
    <x v="11"/>
    <x v="313"/>
    <x v="1542"/>
    <n v="1"/>
    <x v="1668"/>
  </r>
  <r>
    <d v="2019-10-27T00:00:00"/>
    <x v="0"/>
    <x v="9"/>
    <x v="542"/>
    <x v="1"/>
    <x v="2"/>
    <x v="5"/>
    <x v="553"/>
    <x v="1231"/>
    <n v="4"/>
    <x v="1669"/>
  </r>
  <r>
    <d v="2019-10-27T00:00:00"/>
    <x v="0"/>
    <x v="9"/>
    <x v="541"/>
    <x v="12"/>
    <x v="0"/>
    <x v="11"/>
    <x v="1145"/>
    <x v="1543"/>
    <n v="14"/>
    <x v="1670"/>
  </r>
  <r>
    <d v="2019-10-27T00:00:00"/>
    <x v="0"/>
    <x v="9"/>
    <x v="541"/>
    <x v="12"/>
    <x v="2"/>
    <x v="12"/>
    <x v="384"/>
    <x v="1544"/>
    <n v="7"/>
    <x v="1671"/>
  </r>
  <r>
    <d v="2019-10-27T00:00:00"/>
    <x v="0"/>
    <x v="9"/>
    <x v="541"/>
    <x v="12"/>
    <x v="2"/>
    <x v="2"/>
    <x v="352"/>
    <x v="1545"/>
    <n v="2"/>
    <x v="1672"/>
  </r>
  <r>
    <d v="2019-10-27T00:00:00"/>
    <x v="0"/>
    <x v="9"/>
    <x v="541"/>
    <x v="12"/>
    <x v="2"/>
    <x v="5"/>
    <x v="1146"/>
    <x v="1546"/>
    <n v="2"/>
    <x v="1673"/>
  </r>
  <r>
    <d v="2019-10-28T00:00:00"/>
    <x v="0"/>
    <x v="9"/>
    <x v="518"/>
    <x v="1"/>
    <x v="2"/>
    <x v="2"/>
    <x v="780"/>
    <x v="1547"/>
    <n v="6"/>
    <x v="1674"/>
  </r>
  <r>
    <d v="2019-10-28T00:00:00"/>
    <x v="0"/>
    <x v="9"/>
    <x v="518"/>
    <x v="1"/>
    <x v="1"/>
    <x v="1"/>
    <x v="1147"/>
    <x v="1548"/>
    <n v="3"/>
    <x v="1675"/>
  </r>
  <r>
    <d v="2019-10-28T00:00:00"/>
    <x v="0"/>
    <x v="9"/>
    <x v="36"/>
    <x v="10"/>
    <x v="2"/>
    <x v="9"/>
    <x v="1148"/>
    <x v="711"/>
    <n v="5"/>
    <x v="734"/>
  </r>
  <r>
    <d v="2019-10-28T00:00:00"/>
    <x v="0"/>
    <x v="9"/>
    <x v="36"/>
    <x v="10"/>
    <x v="2"/>
    <x v="2"/>
    <x v="219"/>
    <x v="1549"/>
    <n v="8"/>
    <x v="1676"/>
  </r>
  <r>
    <d v="2019-10-28T00:00:00"/>
    <x v="0"/>
    <x v="9"/>
    <x v="36"/>
    <x v="10"/>
    <x v="2"/>
    <x v="9"/>
    <x v="326"/>
    <x v="1550"/>
    <n v="3"/>
    <x v="1677"/>
  </r>
  <r>
    <d v="2019-10-28T00:00:00"/>
    <x v="0"/>
    <x v="9"/>
    <x v="36"/>
    <x v="10"/>
    <x v="0"/>
    <x v="8"/>
    <x v="153"/>
    <x v="1551"/>
    <n v="4"/>
    <x v="1678"/>
  </r>
  <r>
    <d v="2019-10-28T00:00:00"/>
    <x v="0"/>
    <x v="9"/>
    <x v="36"/>
    <x v="10"/>
    <x v="2"/>
    <x v="5"/>
    <x v="1149"/>
    <x v="1552"/>
    <n v="1"/>
    <x v="1679"/>
  </r>
  <r>
    <d v="2019-10-28T00:00:00"/>
    <x v="0"/>
    <x v="9"/>
    <x v="276"/>
    <x v="1"/>
    <x v="2"/>
    <x v="9"/>
    <x v="1150"/>
    <x v="1553"/>
    <n v="7"/>
    <x v="1680"/>
  </r>
  <r>
    <d v="2019-10-28T00:00:00"/>
    <x v="0"/>
    <x v="9"/>
    <x v="276"/>
    <x v="1"/>
    <x v="2"/>
    <x v="5"/>
    <x v="40"/>
    <x v="41"/>
    <n v="3"/>
    <x v="41"/>
  </r>
  <r>
    <d v="2019-10-28T00:00:00"/>
    <x v="0"/>
    <x v="9"/>
    <x v="68"/>
    <x v="6"/>
    <x v="0"/>
    <x v="8"/>
    <x v="25"/>
    <x v="1554"/>
    <n v="3"/>
    <x v="1681"/>
  </r>
  <r>
    <d v="2019-10-28T00:00:00"/>
    <x v="0"/>
    <x v="9"/>
    <x v="68"/>
    <x v="6"/>
    <x v="2"/>
    <x v="5"/>
    <x v="1151"/>
    <x v="1555"/>
    <n v="5"/>
    <x v="1682"/>
  </r>
  <r>
    <d v="2019-10-28T00:00:00"/>
    <x v="0"/>
    <x v="9"/>
    <x v="68"/>
    <x v="6"/>
    <x v="0"/>
    <x v="8"/>
    <x v="344"/>
    <x v="1349"/>
    <n v="2"/>
    <x v="72"/>
  </r>
  <r>
    <d v="2019-10-28T00:00:00"/>
    <x v="0"/>
    <x v="9"/>
    <x v="68"/>
    <x v="6"/>
    <x v="0"/>
    <x v="8"/>
    <x v="1152"/>
    <x v="1556"/>
    <n v="3"/>
    <x v="1683"/>
  </r>
  <r>
    <d v="2019-10-28T00:00:00"/>
    <x v="0"/>
    <x v="9"/>
    <x v="47"/>
    <x v="4"/>
    <x v="2"/>
    <x v="5"/>
    <x v="19"/>
    <x v="1557"/>
    <n v="4"/>
    <x v="1684"/>
  </r>
  <r>
    <d v="2019-10-28T00:00:00"/>
    <x v="0"/>
    <x v="9"/>
    <x v="526"/>
    <x v="6"/>
    <x v="2"/>
    <x v="5"/>
    <x v="1153"/>
    <x v="1558"/>
    <n v="5"/>
    <x v="1685"/>
  </r>
  <r>
    <d v="2019-10-28T00:00:00"/>
    <x v="0"/>
    <x v="9"/>
    <x v="543"/>
    <x v="12"/>
    <x v="2"/>
    <x v="7"/>
    <x v="1065"/>
    <x v="916"/>
    <n v="3"/>
    <x v="1369"/>
  </r>
  <r>
    <d v="2019-10-28T00:00:00"/>
    <x v="0"/>
    <x v="9"/>
    <x v="544"/>
    <x v="12"/>
    <x v="0"/>
    <x v="8"/>
    <x v="842"/>
    <x v="1559"/>
    <n v="5"/>
    <x v="1686"/>
  </r>
  <r>
    <d v="2019-10-29T00:00:00"/>
    <x v="0"/>
    <x v="9"/>
    <x v="545"/>
    <x v="10"/>
    <x v="2"/>
    <x v="2"/>
    <x v="679"/>
    <x v="763"/>
    <n v="3"/>
    <x v="792"/>
  </r>
  <r>
    <d v="2019-10-29T00:00:00"/>
    <x v="0"/>
    <x v="9"/>
    <x v="545"/>
    <x v="10"/>
    <x v="2"/>
    <x v="13"/>
    <x v="191"/>
    <x v="704"/>
    <n v="3"/>
    <x v="1687"/>
  </r>
  <r>
    <d v="2019-10-29T00:00:00"/>
    <x v="0"/>
    <x v="9"/>
    <x v="546"/>
    <x v="25"/>
    <x v="0"/>
    <x v="8"/>
    <x v="1063"/>
    <x v="1560"/>
    <n v="5"/>
    <x v="1688"/>
  </r>
  <r>
    <d v="2019-10-29T00:00:00"/>
    <x v="0"/>
    <x v="9"/>
    <x v="256"/>
    <x v="1"/>
    <x v="2"/>
    <x v="5"/>
    <x v="19"/>
    <x v="1561"/>
    <n v="1"/>
    <x v="1689"/>
  </r>
  <r>
    <d v="2019-10-30T00:00:00"/>
    <x v="0"/>
    <x v="9"/>
    <x v="192"/>
    <x v="25"/>
    <x v="2"/>
    <x v="7"/>
    <x v="9"/>
    <x v="1110"/>
    <n v="2"/>
    <x v="547"/>
  </r>
  <r>
    <d v="2019-10-30T00:00:00"/>
    <x v="0"/>
    <x v="9"/>
    <x v="124"/>
    <x v="12"/>
    <x v="2"/>
    <x v="5"/>
    <x v="537"/>
    <x v="1527"/>
    <n v="3"/>
    <x v="1690"/>
  </r>
  <r>
    <d v="2019-10-30T00:00:00"/>
    <x v="0"/>
    <x v="9"/>
    <x v="124"/>
    <x v="12"/>
    <x v="2"/>
    <x v="7"/>
    <x v="520"/>
    <x v="1562"/>
    <n v="5"/>
    <x v="1691"/>
  </r>
  <r>
    <d v="2019-10-30T00:00:00"/>
    <x v="0"/>
    <x v="9"/>
    <x v="193"/>
    <x v="1"/>
    <x v="2"/>
    <x v="12"/>
    <x v="1154"/>
    <x v="1563"/>
    <n v="2"/>
    <x v="1692"/>
  </r>
  <r>
    <d v="2019-10-31T00:00:00"/>
    <x v="0"/>
    <x v="9"/>
    <x v="198"/>
    <x v="5"/>
    <x v="0"/>
    <x v="11"/>
    <x v="797"/>
    <x v="1564"/>
    <n v="5"/>
    <x v="1693"/>
  </r>
  <r>
    <d v="2019-10-31T00:00:00"/>
    <x v="0"/>
    <x v="9"/>
    <x v="36"/>
    <x v="1"/>
    <x v="2"/>
    <x v="2"/>
    <x v="1155"/>
    <x v="1565"/>
    <n v="7"/>
    <x v="1694"/>
  </r>
  <r>
    <d v="2019-10-31T00:00:00"/>
    <x v="0"/>
    <x v="9"/>
    <x v="547"/>
    <x v="6"/>
    <x v="2"/>
    <x v="9"/>
    <x v="493"/>
    <x v="673"/>
    <n v="6"/>
    <x v="1695"/>
  </r>
  <r>
    <d v="2019-10-31T00:00:00"/>
    <x v="0"/>
    <x v="9"/>
    <x v="420"/>
    <x v="3"/>
    <x v="2"/>
    <x v="16"/>
    <x v="407"/>
    <x v="1566"/>
    <n v="2"/>
    <x v="1696"/>
  </r>
  <r>
    <d v="2019-10-31T00:00:00"/>
    <x v="0"/>
    <x v="9"/>
    <x v="420"/>
    <x v="3"/>
    <x v="0"/>
    <x v="11"/>
    <x v="487"/>
    <x v="1354"/>
    <n v="3"/>
    <x v="1461"/>
  </r>
  <r>
    <d v="2019-10-31T00:00:00"/>
    <x v="0"/>
    <x v="9"/>
    <x v="420"/>
    <x v="3"/>
    <x v="2"/>
    <x v="7"/>
    <x v="1156"/>
    <x v="1523"/>
    <n v="3"/>
    <x v="1697"/>
  </r>
  <r>
    <d v="2019-10-31T00:00:00"/>
    <x v="0"/>
    <x v="9"/>
    <x v="420"/>
    <x v="3"/>
    <x v="2"/>
    <x v="2"/>
    <x v="1157"/>
    <x v="1263"/>
    <n v="3"/>
    <x v="1698"/>
  </r>
  <r>
    <d v="2019-10-31T00:00:00"/>
    <x v="0"/>
    <x v="9"/>
    <x v="548"/>
    <x v="1"/>
    <x v="0"/>
    <x v="11"/>
    <x v="1034"/>
    <x v="1567"/>
    <n v="5"/>
    <x v="1699"/>
  </r>
  <r>
    <d v="2019-11-01T00:00:00"/>
    <x v="0"/>
    <x v="10"/>
    <x v="390"/>
    <x v="18"/>
    <x v="1"/>
    <x v="1"/>
    <x v="517"/>
    <x v="778"/>
    <n v="2"/>
    <x v="807"/>
  </r>
  <r>
    <d v="2019-11-01T00:00:00"/>
    <x v="0"/>
    <x v="10"/>
    <x v="390"/>
    <x v="18"/>
    <x v="2"/>
    <x v="10"/>
    <x v="898"/>
    <x v="1568"/>
    <n v="3"/>
    <x v="1700"/>
  </r>
  <r>
    <d v="2019-11-01T00:00:00"/>
    <x v="0"/>
    <x v="10"/>
    <x v="209"/>
    <x v="2"/>
    <x v="2"/>
    <x v="2"/>
    <x v="1135"/>
    <x v="1520"/>
    <n v="9"/>
    <x v="1644"/>
  </r>
  <r>
    <d v="2019-11-01T00:00:00"/>
    <x v="0"/>
    <x v="10"/>
    <x v="437"/>
    <x v="17"/>
    <x v="1"/>
    <x v="3"/>
    <x v="1118"/>
    <x v="1569"/>
    <n v="3"/>
    <x v="1701"/>
  </r>
  <r>
    <d v="2019-11-03T00:00:00"/>
    <x v="0"/>
    <x v="10"/>
    <x v="244"/>
    <x v="41"/>
    <x v="2"/>
    <x v="7"/>
    <x v="1158"/>
    <x v="1570"/>
    <n v="2"/>
    <x v="1702"/>
  </r>
  <r>
    <d v="2019-11-03T00:00:00"/>
    <x v="0"/>
    <x v="10"/>
    <x v="244"/>
    <x v="41"/>
    <x v="2"/>
    <x v="5"/>
    <x v="1127"/>
    <x v="1407"/>
    <n v="6"/>
    <x v="1703"/>
  </r>
  <r>
    <d v="2019-11-03T00:00:00"/>
    <x v="0"/>
    <x v="10"/>
    <x v="176"/>
    <x v="9"/>
    <x v="2"/>
    <x v="7"/>
    <x v="1159"/>
    <x v="1571"/>
    <n v="3"/>
    <x v="1704"/>
  </r>
  <r>
    <d v="2019-11-03T00:00:00"/>
    <x v="0"/>
    <x v="10"/>
    <x v="344"/>
    <x v="1"/>
    <x v="0"/>
    <x v="11"/>
    <x v="77"/>
    <x v="1572"/>
    <n v="2"/>
    <x v="1705"/>
  </r>
  <r>
    <d v="2019-11-03T00:00:00"/>
    <x v="0"/>
    <x v="10"/>
    <x v="344"/>
    <x v="1"/>
    <x v="1"/>
    <x v="3"/>
    <x v="1160"/>
    <x v="1573"/>
    <n v="5"/>
    <x v="1706"/>
  </r>
  <r>
    <d v="2019-11-03T00:00:00"/>
    <x v="0"/>
    <x v="10"/>
    <x v="344"/>
    <x v="1"/>
    <x v="2"/>
    <x v="14"/>
    <x v="980"/>
    <x v="919"/>
    <n v="7"/>
    <x v="967"/>
  </r>
  <r>
    <d v="2019-11-03T00:00:00"/>
    <x v="0"/>
    <x v="10"/>
    <x v="344"/>
    <x v="1"/>
    <x v="2"/>
    <x v="13"/>
    <x v="1129"/>
    <x v="1574"/>
    <n v="4"/>
    <x v="1707"/>
  </r>
  <r>
    <d v="2019-11-03T00:00:00"/>
    <x v="0"/>
    <x v="10"/>
    <x v="200"/>
    <x v="19"/>
    <x v="2"/>
    <x v="12"/>
    <x v="343"/>
    <x v="1575"/>
    <n v="4"/>
    <x v="1708"/>
  </r>
  <r>
    <d v="2019-11-03T00:00:00"/>
    <x v="0"/>
    <x v="10"/>
    <x v="200"/>
    <x v="19"/>
    <x v="2"/>
    <x v="7"/>
    <x v="125"/>
    <x v="129"/>
    <n v="3"/>
    <x v="128"/>
  </r>
  <r>
    <d v="2019-11-03T00:00:00"/>
    <x v="0"/>
    <x v="10"/>
    <x v="200"/>
    <x v="19"/>
    <x v="0"/>
    <x v="8"/>
    <x v="1097"/>
    <x v="907"/>
    <n v="5"/>
    <x v="1709"/>
  </r>
  <r>
    <d v="2019-11-03T00:00:00"/>
    <x v="0"/>
    <x v="10"/>
    <x v="200"/>
    <x v="19"/>
    <x v="2"/>
    <x v="7"/>
    <x v="1161"/>
    <x v="1576"/>
    <n v="1"/>
    <x v="1710"/>
  </r>
  <r>
    <d v="2019-11-03T00:00:00"/>
    <x v="0"/>
    <x v="10"/>
    <x v="200"/>
    <x v="19"/>
    <x v="0"/>
    <x v="4"/>
    <x v="475"/>
    <x v="1577"/>
    <n v="3"/>
    <x v="1711"/>
  </r>
  <r>
    <d v="2019-11-03T00:00:00"/>
    <x v="0"/>
    <x v="10"/>
    <x v="437"/>
    <x v="1"/>
    <x v="2"/>
    <x v="12"/>
    <x v="1162"/>
    <x v="1578"/>
    <n v="7"/>
    <x v="1712"/>
  </r>
  <r>
    <d v="2019-11-03T00:00:00"/>
    <x v="0"/>
    <x v="10"/>
    <x v="437"/>
    <x v="1"/>
    <x v="2"/>
    <x v="13"/>
    <x v="777"/>
    <x v="1579"/>
    <n v="2"/>
    <x v="1713"/>
  </r>
  <r>
    <d v="2019-11-03T00:00:00"/>
    <x v="0"/>
    <x v="10"/>
    <x v="437"/>
    <x v="1"/>
    <x v="2"/>
    <x v="5"/>
    <x v="1127"/>
    <x v="1580"/>
    <n v="12"/>
    <x v="1714"/>
  </r>
  <r>
    <d v="2019-11-03T00:00:00"/>
    <x v="0"/>
    <x v="10"/>
    <x v="437"/>
    <x v="1"/>
    <x v="2"/>
    <x v="9"/>
    <x v="1163"/>
    <x v="1581"/>
    <n v="3"/>
    <x v="1715"/>
  </r>
  <r>
    <d v="2019-11-03T00:00:00"/>
    <x v="0"/>
    <x v="10"/>
    <x v="437"/>
    <x v="1"/>
    <x v="2"/>
    <x v="5"/>
    <x v="935"/>
    <x v="1582"/>
    <n v="2"/>
    <x v="1716"/>
  </r>
  <r>
    <d v="2019-11-03T00:00:00"/>
    <x v="0"/>
    <x v="10"/>
    <x v="437"/>
    <x v="1"/>
    <x v="2"/>
    <x v="9"/>
    <x v="1164"/>
    <x v="390"/>
    <n v="3"/>
    <x v="397"/>
  </r>
  <r>
    <d v="2019-11-03T00:00:00"/>
    <x v="0"/>
    <x v="10"/>
    <x v="437"/>
    <x v="1"/>
    <x v="2"/>
    <x v="9"/>
    <x v="1165"/>
    <x v="631"/>
    <n v="3"/>
    <x v="649"/>
  </r>
  <r>
    <d v="2019-11-03T00:00:00"/>
    <x v="0"/>
    <x v="10"/>
    <x v="236"/>
    <x v="2"/>
    <x v="2"/>
    <x v="9"/>
    <x v="654"/>
    <x v="993"/>
    <n v="2"/>
    <x v="1300"/>
  </r>
  <r>
    <d v="2019-11-03T00:00:00"/>
    <x v="0"/>
    <x v="10"/>
    <x v="549"/>
    <x v="29"/>
    <x v="2"/>
    <x v="5"/>
    <x v="1133"/>
    <x v="1583"/>
    <n v="7"/>
    <x v="1717"/>
  </r>
  <r>
    <d v="2019-11-03T00:00:00"/>
    <x v="0"/>
    <x v="10"/>
    <x v="549"/>
    <x v="29"/>
    <x v="1"/>
    <x v="15"/>
    <x v="1166"/>
    <x v="1584"/>
    <n v="3"/>
    <x v="1718"/>
  </r>
  <r>
    <d v="2019-11-03T00:00:00"/>
    <x v="0"/>
    <x v="10"/>
    <x v="115"/>
    <x v="5"/>
    <x v="1"/>
    <x v="3"/>
    <x v="1144"/>
    <x v="1585"/>
    <n v="1"/>
    <x v="378"/>
  </r>
  <r>
    <d v="2019-11-03T00:00:00"/>
    <x v="0"/>
    <x v="10"/>
    <x v="115"/>
    <x v="5"/>
    <x v="0"/>
    <x v="11"/>
    <x v="364"/>
    <x v="1586"/>
    <n v="7"/>
    <x v="1719"/>
  </r>
  <r>
    <d v="2019-11-04T00:00:00"/>
    <x v="0"/>
    <x v="10"/>
    <x v="19"/>
    <x v="19"/>
    <x v="2"/>
    <x v="12"/>
    <x v="1167"/>
    <x v="1587"/>
    <n v="3"/>
    <x v="1720"/>
  </r>
  <r>
    <d v="2019-11-04T00:00:00"/>
    <x v="0"/>
    <x v="10"/>
    <x v="276"/>
    <x v="9"/>
    <x v="0"/>
    <x v="8"/>
    <x v="956"/>
    <x v="1588"/>
    <n v="3"/>
    <x v="1721"/>
  </r>
  <r>
    <d v="2019-11-04T00:00:00"/>
    <x v="0"/>
    <x v="10"/>
    <x v="550"/>
    <x v="1"/>
    <x v="0"/>
    <x v="8"/>
    <x v="242"/>
    <x v="1589"/>
    <n v="7"/>
    <x v="1722"/>
  </r>
  <r>
    <d v="2019-11-04T00:00:00"/>
    <x v="0"/>
    <x v="10"/>
    <x v="260"/>
    <x v="1"/>
    <x v="2"/>
    <x v="7"/>
    <x v="765"/>
    <x v="1590"/>
    <n v="4"/>
    <x v="1723"/>
  </r>
  <r>
    <d v="2019-11-04T00:00:00"/>
    <x v="0"/>
    <x v="10"/>
    <x v="515"/>
    <x v="29"/>
    <x v="2"/>
    <x v="16"/>
    <x v="1168"/>
    <x v="1591"/>
    <n v="7"/>
    <x v="1724"/>
  </r>
  <r>
    <d v="2019-11-04T00:00:00"/>
    <x v="0"/>
    <x v="10"/>
    <x v="515"/>
    <x v="29"/>
    <x v="0"/>
    <x v="11"/>
    <x v="454"/>
    <x v="1592"/>
    <n v="1"/>
    <x v="1725"/>
  </r>
  <r>
    <d v="2019-11-04T00:00:00"/>
    <x v="0"/>
    <x v="10"/>
    <x v="515"/>
    <x v="29"/>
    <x v="2"/>
    <x v="9"/>
    <x v="928"/>
    <x v="1554"/>
    <n v="3"/>
    <x v="1726"/>
  </r>
  <r>
    <d v="2019-11-04T00:00:00"/>
    <x v="0"/>
    <x v="10"/>
    <x v="515"/>
    <x v="29"/>
    <x v="0"/>
    <x v="11"/>
    <x v="661"/>
    <x v="1593"/>
    <n v="3"/>
    <x v="1727"/>
  </r>
  <r>
    <d v="2019-11-04T00:00:00"/>
    <x v="0"/>
    <x v="10"/>
    <x v="515"/>
    <x v="29"/>
    <x v="2"/>
    <x v="14"/>
    <x v="1169"/>
    <x v="1594"/>
    <n v="8"/>
    <x v="1728"/>
  </r>
  <r>
    <d v="2019-11-04T00:00:00"/>
    <x v="0"/>
    <x v="10"/>
    <x v="515"/>
    <x v="29"/>
    <x v="2"/>
    <x v="9"/>
    <x v="1084"/>
    <x v="1595"/>
    <n v="1"/>
    <x v="1729"/>
  </r>
  <r>
    <d v="2019-11-04T00:00:00"/>
    <x v="0"/>
    <x v="10"/>
    <x v="12"/>
    <x v="6"/>
    <x v="0"/>
    <x v="8"/>
    <x v="421"/>
    <x v="1596"/>
    <n v="6"/>
    <x v="1730"/>
  </r>
  <r>
    <d v="2019-11-04T00:00:00"/>
    <x v="0"/>
    <x v="10"/>
    <x v="551"/>
    <x v="1"/>
    <x v="2"/>
    <x v="5"/>
    <x v="442"/>
    <x v="478"/>
    <n v="2"/>
    <x v="488"/>
  </r>
  <r>
    <d v="2019-11-04T00:00:00"/>
    <x v="0"/>
    <x v="10"/>
    <x v="551"/>
    <x v="1"/>
    <x v="2"/>
    <x v="5"/>
    <x v="1170"/>
    <x v="1597"/>
    <n v="1"/>
    <x v="1731"/>
  </r>
  <r>
    <d v="2019-11-04T00:00:00"/>
    <x v="0"/>
    <x v="10"/>
    <x v="551"/>
    <x v="1"/>
    <x v="2"/>
    <x v="9"/>
    <x v="1171"/>
    <x v="660"/>
    <n v="6"/>
    <x v="679"/>
  </r>
  <r>
    <d v="2019-11-04T00:00:00"/>
    <x v="0"/>
    <x v="10"/>
    <x v="464"/>
    <x v="4"/>
    <x v="2"/>
    <x v="2"/>
    <x v="321"/>
    <x v="1598"/>
    <n v="2"/>
    <x v="1732"/>
  </r>
  <r>
    <d v="2019-11-04T00:00:00"/>
    <x v="0"/>
    <x v="10"/>
    <x v="464"/>
    <x v="4"/>
    <x v="0"/>
    <x v="4"/>
    <x v="872"/>
    <x v="1599"/>
    <n v="10"/>
    <x v="1733"/>
  </r>
  <r>
    <d v="2019-11-04T00:00:00"/>
    <x v="0"/>
    <x v="10"/>
    <x v="464"/>
    <x v="4"/>
    <x v="2"/>
    <x v="16"/>
    <x v="417"/>
    <x v="452"/>
    <n v="2"/>
    <x v="460"/>
  </r>
  <r>
    <d v="2019-11-04T00:00:00"/>
    <x v="0"/>
    <x v="10"/>
    <x v="231"/>
    <x v="1"/>
    <x v="1"/>
    <x v="15"/>
    <x v="1172"/>
    <x v="1600"/>
    <n v="2"/>
    <x v="1734"/>
  </r>
  <r>
    <d v="2019-11-04T00:00:00"/>
    <x v="0"/>
    <x v="10"/>
    <x v="335"/>
    <x v="2"/>
    <x v="0"/>
    <x v="8"/>
    <x v="24"/>
    <x v="1601"/>
    <n v="3"/>
    <x v="1735"/>
  </r>
  <r>
    <d v="2019-11-04T00:00:00"/>
    <x v="0"/>
    <x v="10"/>
    <x v="335"/>
    <x v="2"/>
    <x v="0"/>
    <x v="8"/>
    <x v="112"/>
    <x v="1602"/>
    <n v="4"/>
    <x v="1736"/>
  </r>
  <r>
    <d v="2019-11-05T00:00:00"/>
    <x v="0"/>
    <x v="10"/>
    <x v="253"/>
    <x v="1"/>
    <x v="2"/>
    <x v="5"/>
    <x v="776"/>
    <x v="1603"/>
    <n v="5"/>
    <x v="1737"/>
  </r>
  <r>
    <d v="2019-11-05T00:00:00"/>
    <x v="0"/>
    <x v="10"/>
    <x v="276"/>
    <x v="5"/>
    <x v="1"/>
    <x v="1"/>
    <x v="892"/>
    <x v="1136"/>
    <n v="2"/>
    <x v="1738"/>
  </r>
  <r>
    <d v="2019-11-05T00:00:00"/>
    <x v="0"/>
    <x v="10"/>
    <x v="526"/>
    <x v="2"/>
    <x v="0"/>
    <x v="4"/>
    <x v="852"/>
    <x v="1000"/>
    <n v="8"/>
    <x v="1739"/>
  </r>
  <r>
    <d v="2019-11-05T00:00:00"/>
    <x v="0"/>
    <x v="10"/>
    <x v="526"/>
    <x v="2"/>
    <x v="2"/>
    <x v="5"/>
    <x v="7"/>
    <x v="1604"/>
    <n v="3"/>
    <x v="1740"/>
  </r>
  <r>
    <d v="2019-11-05T00:00:00"/>
    <x v="0"/>
    <x v="10"/>
    <x v="526"/>
    <x v="2"/>
    <x v="0"/>
    <x v="0"/>
    <x v="1080"/>
    <x v="1399"/>
    <n v="7"/>
    <x v="1511"/>
  </r>
  <r>
    <d v="2019-11-05T00:00:00"/>
    <x v="0"/>
    <x v="10"/>
    <x v="526"/>
    <x v="2"/>
    <x v="2"/>
    <x v="5"/>
    <x v="666"/>
    <x v="1605"/>
    <n v="3"/>
    <x v="1741"/>
  </r>
  <r>
    <d v="2019-11-05T00:00:00"/>
    <x v="0"/>
    <x v="10"/>
    <x v="526"/>
    <x v="2"/>
    <x v="1"/>
    <x v="3"/>
    <x v="1173"/>
    <x v="1606"/>
    <n v="5"/>
    <x v="1742"/>
  </r>
  <r>
    <d v="2019-11-05T00:00:00"/>
    <x v="0"/>
    <x v="10"/>
    <x v="552"/>
    <x v="24"/>
    <x v="2"/>
    <x v="5"/>
    <x v="666"/>
    <x v="1607"/>
    <n v="5"/>
    <x v="1743"/>
  </r>
  <r>
    <d v="2019-11-05T00:00:00"/>
    <x v="0"/>
    <x v="10"/>
    <x v="552"/>
    <x v="24"/>
    <x v="2"/>
    <x v="7"/>
    <x v="963"/>
    <x v="73"/>
    <n v="2"/>
    <x v="1744"/>
  </r>
  <r>
    <d v="2019-11-05T00:00:00"/>
    <x v="0"/>
    <x v="10"/>
    <x v="552"/>
    <x v="24"/>
    <x v="2"/>
    <x v="14"/>
    <x v="1174"/>
    <x v="896"/>
    <n v="5"/>
    <x v="1745"/>
  </r>
  <r>
    <d v="2019-11-05T00:00:00"/>
    <x v="0"/>
    <x v="10"/>
    <x v="459"/>
    <x v="1"/>
    <x v="2"/>
    <x v="5"/>
    <x v="670"/>
    <x v="1608"/>
    <n v="2"/>
    <x v="1746"/>
  </r>
  <r>
    <d v="2019-11-05T00:00:00"/>
    <x v="0"/>
    <x v="10"/>
    <x v="553"/>
    <x v="2"/>
    <x v="2"/>
    <x v="14"/>
    <x v="1175"/>
    <x v="1609"/>
    <n v="1"/>
    <x v="1747"/>
  </r>
  <r>
    <d v="2019-11-05T00:00:00"/>
    <x v="0"/>
    <x v="10"/>
    <x v="409"/>
    <x v="9"/>
    <x v="1"/>
    <x v="3"/>
    <x v="1176"/>
    <x v="1610"/>
    <n v="4"/>
    <x v="1748"/>
  </r>
  <r>
    <d v="2019-11-05T00:00:00"/>
    <x v="0"/>
    <x v="10"/>
    <x v="256"/>
    <x v="1"/>
    <x v="1"/>
    <x v="3"/>
    <x v="1177"/>
    <x v="1585"/>
    <n v="4"/>
    <x v="1749"/>
  </r>
  <r>
    <d v="2019-11-05T00:00:00"/>
    <x v="0"/>
    <x v="10"/>
    <x v="256"/>
    <x v="1"/>
    <x v="0"/>
    <x v="11"/>
    <x v="1029"/>
    <x v="1303"/>
    <n v="2"/>
    <x v="1401"/>
  </r>
  <r>
    <d v="2019-11-05T00:00:00"/>
    <x v="0"/>
    <x v="10"/>
    <x v="256"/>
    <x v="1"/>
    <x v="2"/>
    <x v="10"/>
    <x v="1178"/>
    <x v="1611"/>
    <n v="3"/>
    <x v="1750"/>
  </r>
  <r>
    <d v="2019-11-05T00:00:00"/>
    <x v="0"/>
    <x v="10"/>
    <x v="554"/>
    <x v="18"/>
    <x v="0"/>
    <x v="8"/>
    <x v="1179"/>
    <x v="1612"/>
    <n v="2"/>
    <x v="1751"/>
  </r>
  <r>
    <d v="2019-11-05T00:00:00"/>
    <x v="0"/>
    <x v="10"/>
    <x v="554"/>
    <x v="18"/>
    <x v="1"/>
    <x v="3"/>
    <x v="1180"/>
    <x v="122"/>
    <n v="3"/>
    <x v="1752"/>
  </r>
  <r>
    <d v="2019-11-05T00:00:00"/>
    <x v="0"/>
    <x v="10"/>
    <x v="554"/>
    <x v="18"/>
    <x v="0"/>
    <x v="8"/>
    <x v="842"/>
    <x v="1559"/>
    <n v="5"/>
    <x v="1686"/>
  </r>
  <r>
    <d v="2019-11-06T00:00:00"/>
    <x v="0"/>
    <x v="10"/>
    <x v="395"/>
    <x v="1"/>
    <x v="0"/>
    <x v="11"/>
    <x v="984"/>
    <x v="1613"/>
    <n v="2"/>
    <x v="1753"/>
  </r>
  <r>
    <d v="2019-11-06T00:00:00"/>
    <x v="0"/>
    <x v="10"/>
    <x v="395"/>
    <x v="1"/>
    <x v="0"/>
    <x v="8"/>
    <x v="135"/>
    <x v="1614"/>
    <n v="3"/>
    <x v="1754"/>
  </r>
  <r>
    <d v="2019-11-06T00:00:00"/>
    <x v="0"/>
    <x v="10"/>
    <x v="496"/>
    <x v="6"/>
    <x v="0"/>
    <x v="11"/>
    <x v="1078"/>
    <x v="1615"/>
    <n v="2"/>
    <x v="1755"/>
  </r>
  <r>
    <d v="2019-11-06T00:00:00"/>
    <x v="0"/>
    <x v="10"/>
    <x v="496"/>
    <x v="6"/>
    <x v="2"/>
    <x v="9"/>
    <x v="427"/>
    <x v="1616"/>
    <n v="2"/>
    <x v="1756"/>
  </r>
  <r>
    <d v="2019-11-06T00:00:00"/>
    <x v="0"/>
    <x v="10"/>
    <x v="496"/>
    <x v="6"/>
    <x v="0"/>
    <x v="8"/>
    <x v="138"/>
    <x v="1617"/>
    <n v="2"/>
    <x v="1757"/>
  </r>
  <r>
    <d v="2019-11-06T00:00:00"/>
    <x v="0"/>
    <x v="10"/>
    <x v="496"/>
    <x v="6"/>
    <x v="2"/>
    <x v="9"/>
    <x v="786"/>
    <x v="1618"/>
    <n v="2"/>
    <x v="1758"/>
  </r>
  <r>
    <d v="2019-11-06T00:00:00"/>
    <x v="0"/>
    <x v="10"/>
    <x v="332"/>
    <x v="1"/>
    <x v="2"/>
    <x v="2"/>
    <x v="321"/>
    <x v="1619"/>
    <n v="3"/>
    <x v="1759"/>
  </r>
  <r>
    <d v="2019-11-07T00:00:00"/>
    <x v="0"/>
    <x v="10"/>
    <x v="219"/>
    <x v="9"/>
    <x v="2"/>
    <x v="5"/>
    <x v="519"/>
    <x v="1620"/>
    <n v="2"/>
    <x v="1760"/>
  </r>
  <r>
    <d v="2019-11-07T00:00:00"/>
    <x v="0"/>
    <x v="10"/>
    <x v="555"/>
    <x v="1"/>
    <x v="2"/>
    <x v="5"/>
    <x v="1181"/>
    <x v="1621"/>
    <n v="4"/>
    <x v="1761"/>
  </r>
  <r>
    <d v="2019-11-07T00:00:00"/>
    <x v="0"/>
    <x v="10"/>
    <x v="555"/>
    <x v="1"/>
    <x v="2"/>
    <x v="5"/>
    <x v="1182"/>
    <x v="1622"/>
    <n v="4"/>
    <x v="1762"/>
  </r>
  <r>
    <d v="2019-11-07T00:00:00"/>
    <x v="0"/>
    <x v="10"/>
    <x v="555"/>
    <x v="1"/>
    <x v="2"/>
    <x v="16"/>
    <x v="961"/>
    <x v="1623"/>
    <n v="2"/>
    <x v="1763"/>
  </r>
  <r>
    <d v="2019-11-07T00:00:00"/>
    <x v="0"/>
    <x v="10"/>
    <x v="555"/>
    <x v="1"/>
    <x v="2"/>
    <x v="14"/>
    <x v="643"/>
    <x v="570"/>
    <n v="2"/>
    <x v="589"/>
  </r>
  <r>
    <d v="2019-11-07T00:00:00"/>
    <x v="0"/>
    <x v="10"/>
    <x v="33"/>
    <x v="1"/>
    <x v="0"/>
    <x v="8"/>
    <x v="340"/>
    <x v="1307"/>
    <n v="3"/>
    <x v="1405"/>
  </r>
  <r>
    <d v="2019-11-07T00:00:00"/>
    <x v="0"/>
    <x v="10"/>
    <x v="328"/>
    <x v="8"/>
    <x v="1"/>
    <x v="3"/>
    <x v="211"/>
    <x v="304"/>
    <n v="3"/>
    <x v="1764"/>
  </r>
  <r>
    <d v="2019-11-07T00:00:00"/>
    <x v="0"/>
    <x v="10"/>
    <x v="231"/>
    <x v="10"/>
    <x v="2"/>
    <x v="12"/>
    <x v="197"/>
    <x v="1624"/>
    <n v="4"/>
    <x v="1765"/>
  </r>
  <r>
    <d v="2019-11-07T00:00:00"/>
    <x v="0"/>
    <x v="10"/>
    <x v="556"/>
    <x v="1"/>
    <x v="2"/>
    <x v="9"/>
    <x v="930"/>
    <x v="1625"/>
    <n v="2"/>
    <x v="1766"/>
  </r>
  <r>
    <d v="2019-11-07T00:00:00"/>
    <x v="0"/>
    <x v="10"/>
    <x v="552"/>
    <x v="43"/>
    <x v="0"/>
    <x v="11"/>
    <x v="589"/>
    <x v="1093"/>
    <n v="4"/>
    <x v="1159"/>
  </r>
  <r>
    <d v="2019-11-07T00:00:00"/>
    <x v="0"/>
    <x v="10"/>
    <x v="268"/>
    <x v="12"/>
    <x v="1"/>
    <x v="1"/>
    <x v="1183"/>
    <x v="1626"/>
    <n v="4"/>
    <x v="1767"/>
  </r>
  <r>
    <d v="2019-11-07T00:00:00"/>
    <x v="0"/>
    <x v="10"/>
    <x v="268"/>
    <x v="12"/>
    <x v="1"/>
    <x v="1"/>
    <x v="1184"/>
    <x v="1627"/>
    <n v="3"/>
    <x v="1768"/>
  </r>
  <r>
    <d v="2019-11-07T00:00:00"/>
    <x v="0"/>
    <x v="10"/>
    <x v="268"/>
    <x v="12"/>
    <x v="2"/>
    <x v="9"/>
    <x v="515"/>
    <x v="56"/>
    <n v="2"/>
    <x v="56"/>
  </r>
  <r>
    <d v="2019-11-07T00:00:00"/>
    <x v="0"/>
    <x v="10"/>
    <x v="268"/>
    <x v="12"/>
    <x v="2"/>
    <x v="2"/>
    <x v="620"/>
    <x v="1628"/>
    <n v="3"/>
    <x v="1769"/>
  </r>
  <r>
    <d v="2019-11-07T00:00:00"/>
    <x v="0"/>
    <x v="10"/>
    <x v="268"/>
    <x v="12"/>
    <x v="2"/>
    <x v="5"/>
    <x v="236"/>
    <x v="1060"/>
    <n v="2"/>
    <x v="1121"/>
  </r>
  <r>
    <d v="2019-11-07T00:00:00"/>
    <x v="0"/>
    <x v="10"/>
    <x v="557"/>
    <x v="2"/>
    <x v="0"/>
    <x v="8"/>
    <x v="1185"/>
    <x v="143"/>
    <n v="5"/>
    <x v="1770"/>
  </r>
  <r>
    <d v="2019-11-07T00:00:00"/>
    <x v="0"/>
    <x v="10"/>
    <x v="557"/>
    <x v="2"/>
    <x v="2"/>
    <x v="2"/>
    <x v="216"/>
    <x v="1629"/>
    <n v="3"/>
    <x v="1771"/>
  </r>
  <r>
    <d v="2019-11-07T00:00:00"/>
    <x v="0"/>
    <x v="10"/>
    <x v="457"/>
    <x v="1"/>
    <x v="1"/>
    <x v="3"/>
    <x v="918"/>
    <x v="1102"/>
    <n v="3"/>
    <x v="1167"/>
  </r>
  <r>
    <d v="2019-11-07T00:00:00"/>
    <x v="0"/>
    <x v="10"/>
    <x v="279"/>
    <x v="1"/>
    <x v="2"/>
    <x v="5"/>
    <x v="1186"/>
    <x v="1229"/>
    <n v="2"/>
    <x v="1772"/>
  </r>
  <r>
    <d v="2019-11-08T00:00:00"/>
    <x v="0"/>
    <x v="10"/>
    <x v="558"/>
    <x v="19"/>
    <x v="0"/>
    <x v="0"/>
    <x v="347"/>
    <x v="1630"/>
    <n v="2"/>
    <x v="1773"/>
  </r>
  <r>
    <d v="2019-11-08T00:00:00"/>
    <x v="0"/>
    <x v="10"/>
    <x v="558"/>
    <x v="19"/>
    <x v="0"/>
    <x v="11"/>
    <x v="310"/>
    <x v="1631"/>
    <n v="3"/>
    <x v="1774"/>
  </r>
  <r>
    <d v="2019-11-09T00:00:00"/>
    <x v="0"/>
    <x v="10"/>
    <x v="350"/>
    <x v="1"/>
    <x v="1"/>
    <x v="3"/>
    <x v="1187"/>
    <x v="1102"/>
    <n v="3"/>
    <x v="1775"/>
  </r>
  <r>
    <d v="2019-11-10T00:00:00"/>
    <x v="0"/>
    <x v="10"/>
    <x v="559"/>
    <x v="1"/>
    <x v="2"/>
    <x v="2"/>
    <x v="1188"/>
    <x v="1632"/>
    <n v="7"/>
    <x v="1776"/>
  </r>
  <r>
    <d v="2019-11-10T00:00:00"/>
    <x v="0"/>
    <x v="10"/>
    <x v="559"/>
    <x v="1"/>
    <x v="2"/>
    <x v="5"/>
    <x v="733"/>
    <x v="1633"/>
    <n v="3"/>
    <x v="1777"/>
  </r>
  <r>
    <d v="2019-11-10T00:00:00"/>
    <x v="0"/>
    <x v="10"/>
    <x v="23"/>
    <x v="1"/>
    <x v="2"/>
    <x v="5"/>
    <x v="944"/>
    <x v="1360"/>
    <n v="4"/>
    <x v="1468"/>
  </r>
  <r>
    <d v="2019-11-10T00:00:00"/>
    <x v="0"/>
    <x v="10"/>
    <x v="23"/>
    <x v="1"/>
    <x v="2"/>
    <x v="9"/>
    <x v="1189"/>
    <x v="711"/>
    <n v="5"/>
    <x v="734"/>
  </r>
  <r>
    <d v="2019-11-10T00:00:00"/>
    <x v="0"/>
    <x v="10"/>
    <x v="560"/>
    <x v="14"/>
    <x v="2"/>
    <x v="7"/>
    <x v="771"/>
    <x v="889"/>
    <n v="7"/>
    <x v="928"/>
  </r>
  <r>
    <d v="2019-11-10T00:00:00"/>
    <x v="0"/>
    <x v="10"/>
    <x v="561"/>
    <x v="8"/>
    <x v="2"/>
    <x v="16"/>
    <x v="311"/>
    <x v="1634"/>
    <n v="5"/>
    <x v="1778"/>
  </r>
  <r>
    <d v="2019-11-10T00:00:00"/>
    <x v="0"/>
    <x v="10"/>
    <x v="561"/>
    <x v="8"/>
    <x v="2"/>
    <x v="2"/>
    <x v="187"/>
    <x v="1635"/>
    <n v="3"/>
    <x v="1779"/>
  </r>
  <r>
    <d v="2019-11-10T00:00:00"/>
    <x v="0"/>
    <x v="10"/>
    <x v="55"/>
    <x v="8"/>
    <x v="2"/>
    <x v="14"/>
    <x v="1190"/>
    <x v="1063"/>
    <n v="4"/>
    <x v="1124"/>
  </r>
  <r>
    <d v="2019-11-10T00:00:00"/>
    <x v="0"/>
    <x v="10"/>
    <x v="55"/>
    <x v="8"/>
    <x v="1"/>
    <x v="1"/>
    <x v="1191"/>
    <x v="1636"/>
    <n v="7"/>
    <x v="1780"/>
  </r>
  <r>
    <d v="2019-11-10T00:00:00"/>
    <x v="0"/>
    <x v="10"/>
    <x v="55"/>
    <x v="8"/>
    <x v="2"/>
    <x v="9"/>
    <x v="32"/>
    <x v="33"/>
    <n v="2"/>
    <x v="33"/>
  </r>
  <r>
    <d v="2019-11-10T00:00:00"/>
    <x v="0"/>
    <x v="10"/>
    <x v="55"/>
    <x v="8"/>
    <x v="2"/>
    <x v="9"/>
    <x v="317"/>
    <x v="1637"/>
    <n v="3"/>
    <x v="1781"/>
  </r>
  <r>
    <d v="2019-11-10T00:00:00"/>
    <x v="0"/>
    <x v="10"/>
    <x v="55"/>
    <x v="8"/>
    <x v="2"/>
    <x v="13"/>
    <x v="941"/>
    <x v="1638"/>
    <n v="4"/>
    <x v="1782"/>
  </r>
  <r>
    <d v="2019-11-10T00:00:00"/>
    <x v="0"/>
    <x v="10"/>
    <x v="55"/>
    <x v="8"/>
    <x v="0"/>
    <x v="8"/>
    <x v="1192"/>
    <x v="1639"/>
    <n v="7"/>
    <x v="1783"/>
  </r>
  <r>
    <d v="2019-11-10T00:00:00"/>
    <x v="0"/>
    <x v="10"/>
    <x v="55"/>
    <x v="8"/>
    <x v="2"/>
    <x v="9"/>
    <x v="1193"/>
    <x v="1106"/>
    <n v="1"/>
    <x v="1173"/>
  </r>
  <r>
    <d v="2019-11-10T00:00:00"/>
    <x v="0"/>
    <x v="10"/>
    <x v="55"/>
    <x v="8"/>
    <x v="1"/>
    <x v="3"/>
    <x v="1194"/>
    <x v="1640"/>
    <n v="7"/>
    <x v="1784"/>
  </r>
  <r>
    <d v="2019-11-10T00:00:00"/>
    <x v="0"/>
    <x v="10"/>
    <x v="55"/>
    <x v="8"/>
    <x v="2"/>
    <x v="5"/>
    <x v="670"/>
    <x v="1641"/>
    <n v="7"/>
    <x v="1785"/>
  </r>
  <r>
    <d v="2019-11-10T00:00:00"/>
    <x v="0"/>
    <x v="10"/>
    <x v="433"/>
    <x v="2"/>
    <x v="1"/>
    <x v="3"/>
    <x v="1195"/>
    <x v="1642"/>
    <n v="7"/>
    <x v="1786"/>
  </r>
  <r>
    <d v="2019-11-10T00:00:00"/>
    <x v="0"/>
    <x v="10"/>
    <x v="562"/>
    <x v="30"/>
    <x v="0"/>
    <x v="8"/>
    <x v="587"/>
    <x v="1643"/>
    <n v="2"/>
    <x v="1787"/>
  </r>
  <r>
    <d v="2019-11-10T00:00:00"/>
    <x v="0"/>
    <x v="10"/>
    <x v="562"/>
    <x v="30"/>
    <x v="2"/>
    <x v="5"/>
    <x v="973"/>
    <x v="1644"/>
    <n v="2"/>
    <x v="1788"/>
  </r>
  <r>
    <d v="2019-11-10T00:00:00"/>
    <x v="0"/>
    <x v="10"/>
    <x v="277"/>
    <x v="12"/>
    <x v="2"/>
    <x v="5"/>
    <x v="1153"/>
    <x v="1645"/>
    <n v="1"/>
    <x v="1789"/>
  </r>
  <r>
    <d v="2019-11-10T00:00:00"/>
    <x v="0"/>
    <x v="10"/>
    <x v="277"/>
    <x v="12"/>
    <x v="2"/>
    <x v="5"/>
    <x v="1196"/>
    <x v="1646"/>
    <n v="3"/>
    <x v="1790"/>
  </r>
  <r>
    <d v="2019-11-10T00:00:00"/>
    <x v="0"/>
    <x v="10"/>
    <x v="563"/>
    <x v="1"/>
    <x v="2"/>
    <x v="9"/>
    <x v="427"/>
    <x v="1647"/>
    <n v="3"/>
    <x v="1791"/>
  </r>
  <r>
    <d v="2019-11-10T00:00:00"/>
    <x v="0"/>
    <x v="10"/>
    <x v="563"/>
    <x v="1"/>
    <x v="2"/>
    <x v="13"/>
    <x v="1197"/>
    <x v="1189"/>
    <n v="4"/>
    <x v="1792"/>
  </r>
  <r>
    <d v="2019-11-10T00:00:00"/>
    <x v="0"/>
    <x v="10"/>
    <x v="563"/>
    <x v="1"/>
    <x v="0"/>
    <x v="8"/>
    <x v="1198"/>
    <x v="1648"/>
    <n v="9"/>
    <x v="1793"/>
  </r>
  <r>
    <d v="2019-11-10T00:00:00"/>
    <x v="0"/>
    <x v="10"/>
    <x v="563"/>
    <x v="1"/>
    <x v="2"/>
    <x v="9"/>
    <x v="1199"/>
    <x v="1649"/>
    <n v="5"/>
    <x v="1794"/>
  </r>
  <r>
    <d v="2019-11-10T00:00:00"/>
    <x v="0"/>
    <x v="10"/>
    <x v="563"/>
    <x v="1"/>
    <x v="2"/>
    <x v="2"/>
    <x v="152"/>
    <x v="1650"/>
    <n v="4"/>
    <x v="1795"/>
  </r>
  <r>
    <d v="2019-11-10T00:00:00"/>
    <x v="0"/>
    <x v="10"/>
    <x v="563"/>
    <x v="1"/>
    <x v="2"/>
    <x v="5"/>
    <x v="192"/>
    <x v="138"/>
    <n v="3"/>
    <x v="137"/>
  </r>
  <r>
    <d v="2019-11-10T00:00:00"/>
    <x v="0"/>
    <x v="10"/>
    <x v="563"/>
    <x v="1"/>
    <x v="2"/>
    <x v="7"/>
    <x v="1200"/>
    <x v="666"/>
    <n v="5"/>
    <x v="685"/>
  </r>
  <r>
    <d v="2019-11-10T00:00:00"/>
    <x v="0"/>
    <x v="10"/>
    <x v="45"/>
    <x v="1"/>
    <x v="0"/>
    <x v="8"/>
    <x v="286"/>
    <x v="1651"/>
    <n v="1"/>
    <x v="1796"/>
  </r>
  <r>
    <d v="2019-11-10T00:00:00"/>
    <x v="0"/>
    <x v="10"/>
    <x v="137"/>
    <x v="1"/>
    <x v="2"/>
    <x v="2"/>
    <x v="998"/>
    <x v="1652"/>
    <n v="1"/>
    <x v="1797"/>
  </r>
  <r>
    <d v="2019-11-10T00:00:00"/>
    <x v="0"/>
    <x v="10"/>
    <x v="314"/>
    <x v="8"/>
    <x v="2"/>
    <x v="9"/>
    <x v="349"/>
    <x v="553"/>
    <n v="6"/>
    <x v="570"/>
  </r>
  <r>
    <d v="2019-11-10T00:00:00"/>
    <x v="0"/>
    <x v="10"/>
    <x v="564"/>
    <x v="3"/>
    <x v="1"/>
    <x v="1"/>
    <x v="1201"/>
    <x v="1653"/>
    <n v="2"/>
    <x v="1798"/>
  </r>
  <r>
    <d v="2019-11-10T00:00:00"/>
    <x v="0"/>
    <x v="10"/>
    <x v="564"/>
    <x v="3"/>
    <x v="0"/>
    <x v="0"/>
    <x v="1202"/>
    <x v="1654"/>
    <n v="2"/>
    <x v="1799"/>
  </r>
  <r>
    <d v="2019-11-10T00:00:00"/>
    <x v="0"/>
    <x v="10"/>
    <x v="565"/>
    <x v="12"/>
    <x v="2"/>
    <x v="5"/>
    <x v="93"/>
    <x v="356"/>
    <n v="1"/>
    <x v="1800"/>
  </r>
  <r>
    <d v="2019-11-10T00:00:00"/>
    <x v="0"/>
    <x v="10"/>
    <x v="565"/>
    <x v="12"/>
    <x v="1"/>
    <x v="1"/>
    <x v="276"/>
    <x v="1655"/>
    <n v="7"/>
    <x v="1801"/>
  </r>
  <r>
    <d v="2019-11-11T00:00:00"/>
    <x v="0"/>
    <x v="10"/>
    <x v="110"/>
    <x v="12"/>
    <x v="1"/>
    <x v="3"/>
    <x v="1203"/>
    <x v="1109"/>
    <n v="3"/>
    <x v="1802"/>
  </r>
  <r>
    <d v="2019-11-11T00:00:00"/>
    <x v="0"/>
    <x v="10"/>
    <x v="110"/>
    <x v="12"/>
    <x v="2"/>
    <x v="2"/>
    <x v="808"/>
    <x v="1656"/>
    <n v="1"/>
    <x v="1803"/>
  </r>
  <r>
    <d v="2019-11-11T00:00:00"/>
    <x v="0"/>
    <x v="10"/>
    <x v="566"/>
    <x v="17"/>
    <x v="1"/>
    <x v="3"/>
    <x v="1204"/>
    <x v="787"/>
    <n v="4"/>
    <x v="1804"/>
  </r>
  <r>
    <d v="2019-11-11T00:00:00"/>
    <x v="0"/>
    <x v="10"/>
    <x v="566"/>
    <x v="17"/>
    <x v="0"/>
    <x v="11"/>
    <x v="336"/>
    <x v="1657"/>
    <n v="2"/>
    <x v="1805"/>
  </r>
  <r>
    <d v="2019-11-11T00:00:00"/>
    <x v="0"/>
    <x v="10"/>
    <x v="279"/>
    <x v="25"/>
    <x v="1"/>
    <x v="1"/>
    <x v="548"/>
    <x v="600"/>
    <n v="2"/>
    <x v="619"/>
  </r>
  <r>
    <d v="2019-11-11T00:00:00"/>
    <x v="0"/>
    <x v="10"/>
    <x v="567"/>
    <x v="1"/>
    <x v="0"/>
    <x v="8"/>
    <x v="1205"/>
    <x v="1658"/>
    <n v="4"/>
    <x v="1806"/>
  </r>
  <r>
    <d v="2019-11-11T00:00:00"/>
    <x v="0"/>
    <x v="10"/>
    <x v="447"/>
    <x v="6"/>
    <x v="2"/>
    <x v="5"/>
    <x v="503"/>
    <x v="1659"/>
    <n v="2"/>
    <x v="1807"/>
  </r>
  <r>
    <d v="2019-11-11T00:00:00"/>
    <x v="0"/>
    <x v="10"/>
    <x v="447"/>
    <x v="6"/>
    <x v="2"/>
    <x v="13"/>
    <x v="693"/>
    <x v="1660"/>
    <n v="3"/>
    <x v="112"/>
  </r>
  <r>
    <d v="2019-11-11T00:00:00"/>
    <x v="0"/>
    <x v="10"/>
    <x v="184"/>
    <x v="12"/>
    <x v="2"/>
    <x v="2"/>
    <x v="662"/>
    <x v="1661"/>
    <n v="3"/>
    <x v="1808"/>
  </r>
  <r>
    <d v="2019-11-11T00:00:00"/>
    <x v="0"/>
    <x v="10"/>
    <x v="184"/>
    <x v="12"/>
    <x v="1"/>
    <x v="3"/>
    <x v="1177"/>
    <x v="1662"/>
    <n v="2"/>
    <x v="1809"/>
  </r>
  <r>
    <d v="2019-11-11T00:00:00"/>
    <x v="0"/>
    <x v="10"/>
    <x v="184"/>
    <x v="12"/>
    <x v="2"/>
    <x v="7"/>
    <x v="578"/>
    <x v="735"/>
    <n v="3"/>
    <x v="1810"/>
  </r>
  <r>
    <d v="2019-11-11T00:00:00"/>
    <x v="0"/>
    <x v="10"/>
    <x v="184"/>
    <x v="12"/>
    <x v="0"/>
    <x v="11"/>
    <x v="1206"/>
    <x v="1663"/>
    <n v="3"/>
    <x v="1811"/>
  </r>
  <r>
    <d v="2019-11-11T00:00:00"/>
    <x v="0"/>
    <x v="10"/>
    <x v="184"/>
    <x v="12"/>
    <x v="2"/>
    <x v="5"/>
    <x v="921"/>
    <x v="1664"/>
    <n v="3"/>
    <x v="1812"/>
  </r>
  <r>
    <d v="2019-11-11T00:00:00"/>
    <x v="0"/>
    <x v="10"/>
    <x v="184"/>
    <x v="12"/>
    <x v="2"/>
    <x v="5"/>
    <x v="19"/>
    <x v="1665"/>
    <n v="3"/>
    <x v="1813"/>
  </r>
  <r>
    <d v="2019-11-11T00:00:00"/>
    <x v="0"/>
    <x v="10"/>
    <x v="568"/>
    <x v="1"/>
    <x v="0"/>
    <x v="8"/>
    <x v="1207"/>
    <x v="1363"/>
    <n v="2"/>
    <x v="1814"/>
  </r>
  <r>
    <d v="2019-11-11T00:00:00"/>
    <x v="0"/>
    <x v="10"/>
    <x v="568"/>
    <x v="1"/>
    <x v="0"/>
    <x v="11"/>
    <x v="1208"/>
    <x v="1666"/>
    <n v="3"/>
    <x v="72"/>
  </r>
  <r>
    <d v="2019-11-11T00:00:00"/>
    <x v="0"/>
    <x v="10"/>
    <x v="568"/>
    <x v="1"/>
    <x v="2"/>
    <x v="5"/>
    <x v="476"/>
    <x v="1667"/>
    <n v="11"/>
    <x v="1815"/>
  </r>
  <r>
    <d v="2019-11-11T00:00:00"/>
    <x v="0"/>
    <x v="10"/>
    <x v="276"/>
    <x v="24"/>
    <x v="0"/>
    <x v="4"/>
    <x v="1209"/>
    <x v="1668"/>
    <n v="6"/>
    <x v="1816"/>
  </r>
  <r>
    <d v="2019-11-11T00:00:00"/>
    <x v="0"/>
    <x v="10"/>
    <x v="569"/>
    <x v="17"/>
    <x v="2"/>
    <x v="7"/>
    <x v="1159"/>
    <x v="1669"/>
    <n v="6"/>
    <x v="1817"/>
  </r>
  <r>
    <d v="2019-11-12T00:00:00"/>
    <x v="0"/>
    <x v="10"/>
    <x v="284"/>
    <x v="20"/>
    <x v="2"/>
    <x v="5"/>
    <x v="151"/>
    <x v="1670"/>
    <n v="5"/>
    <x v="1818"/>
  </r>
  <r>
    <d v="2019-11-12T00:00:00"/>
    <x v="0"/>
    <x v="10"/>
    <x v="284"/>
    <x v="20"/>
    <x v="2"/>
    <x v="5"/>
    <x v="411"/>
    <x v="1671"/>
    <n v="7"/>
    <x v="1819"/>
  </r>
  <r>
    <d v="2019-11-12T00:00:00"/>
    <x v="0"/>
    <x v="10"/>
    <x v="284"/>
    <x v="20"/>
    <x v="1"/>
    <x v="3"/>
    <x v="1203"/>
    <x v="323"/>
    <n v="2"/>
    <x v="154"/>
  </r>
  <r>
    <d v="2019-11-12T00:00:00"/>
    <x v="0"/>
    <x v="10"/>
    <x v="489"/>
    <x v="24"/>
    <x v="2"/>
    <x v="10"/>
    <x v="1210"/>
    <x v="1672"/>
    <n v="8"/>
    <x v="1820"/>
  </r>
  <r>
    <d v="2019-11-12T00:00:00"/>
    <x v="0"/>
    <x v="10"/>
    <x v="489"/>
    <x v="24"/>
    <x v="2"/>
    <x v="13"/>
    <x v="305"/>
    <x v="954"/>
    <n v="2"/>
    <x v="1003"/>
  </r>
  <r>
    <d v="2019-11-12T00:00:00"/>
    <x v="0"/>
    <x v="10"/>
    <x v="489"/>
    <x v="24"/>
    <x v="2"/>
    <x v="9"/>
    <x v="1211"/>
    <x v="238"/>
    <n v="2"/>
    <x v="240"/>
  </r>
  <r>
    <d v="2019-11-12T00:00:00"/>
    <x v="0"/>
    <x v="10"/>
    <x v="489"/>
    <x v="24"/>
    <x v="2"/>
    <x v="7"/>
    <x v="1159"/>
    <x v="1673"/>
    <n v="7"/>
    <x v="323"/>
  </r>
  <r>
    <d v="2019-11-12T00:00:00"/>
    <x v="0"/>
    <x v="10"/>
    <x v="489"/>
    <x v="24"/>
    <x v="2"/>
    <x v="5"/>
    <x v="1212"/>
    <x v="1674"/>
    <n v="2"/>
    <x v="1821"/>
  </r>
  <r>
    <d v="2019-11-12T00:00:00"/>
    <x v="0"/>
    <x v="10"/>
    <x v="193"/>
    <x v="8"/>
    <x v="0"/>
    <x v="11"/>
    <x v="1213"/>
    <x v="1675"/>
    <n v="7"/>
    <x v="1822"/>
  </r>
  <r>
    <d v="2019-11-12T00:00:00"/>
    <x v="0"/>
    <x v="10"/>
    <x v="193"/>
    <x v="8"/>
    <x v="2"/>
    <x v="13"/>
    <x v="729"/>
    <x v="1676"/>
    <n v="2"/>
    <x v="1823"/>
  </r>
  <r>
    <d v="2019-11-12T00:00:00"/>
    <x v="0"/>
    <x v="10"/>
    <x v="193"/>
    <x v="8"/>
    <x v="2"/>
    <x v="12"/>
    <x v="864"/>
    <x v="1677"/>
    <n v="6"/>
    <x v="1824"/>
  </r>
  <r>
    <d v="2019-11-12T00:00:00"/>
    <x v="0"/>
    <x v="10"/>
    <x v="193"/>
    <x v="8"/>
    <x v="0"/>
    <x v="11"/>
    <x v="310"/>
    <x v="1678"/>
    <n v="9"/>
    <x v="72"/>
  </r>
  <r>
    <d v="2019-11-12T00:00:00"/>
    <x v="0"/>
    <x v="10"/>
    <x v="193"/>
    <x v="8"/>
    <x v="0"/>
    <x v="11"/>
    <x v="222"/>
    <x v="1679"/>
    <n v="2"/>
    <x v="1825"/>
  </r>
  <r>
    <d v="2019-11-12T00:00:00"/>
    <x v="0"/>
    <x v="10"/>
    <x v="7"/>
    <x v="1"/>
    <x v="1"/>
    <x v="1"/>
    <x v="937"/>
    <x v="1680"/>
    <n v="3"/>
    <x v="1826"/>
  </r>
  <r>
    <d v="2019-11-12T00:00:00"/>
    <x v="0"/>
    <x v="10"/>
    <x v="7"/>
    <x v="1"/>
    <x v="0"/>
    <x v="4"/>
    <x v="475"/>
    <x v="1681"/>
    <n v="3"/>
    <x v="1827"/>
  </r>
  <r>
    <d v="2019-11-12T00:00:00"/>
    <x v="0"/>
    <x v="10"/>
    <x v="106"/>
    <x v="17"/>
    <x v="0"/>
    <x v="8"/>
    <x v="218"/>
    <x v="1682"/>
    <n v="6"/>
    <x v="1828"/>
  </r>
  <r>
    <d v="2019-11-13T00:00:00"/>
    <x v="0"/>
    <x v="10"/>
    <x v="306"/>
    <x v="9"/>
    <x v="2"/>
    <x v="7"/>
    <x v="306"/>
    <x v="1683"/>
    <n v="2"/>
    <x v="1829"/>
  </r>
  <r>
    <d v="2019-11-13T00:00:00"/>
    <x v="0"/>
    <x v="10"/>
    <x v="481"/>
    <x v="4"/>
    <x v="2"/>
    <x v="16"/>
    <x v="528"/>
    <x v="1684"/>
    <n v="7"/>
    <x v="1830"/>
  </r>
  <r>
    <d v="2019-11-13T00:00:00"/>
    <x v="0"/>
    <x v="10"/>
    <x v="570"/>
    <x v="9"/>
    <x v="0"/>
    <x v="8"/>
    <x v="473"/>
    <x v="1685"/>
    <n v="1"/>
    <x v="1831"/>
  </r>
  <r>
    <d v="2019-11-13T00:00:00"/>
    <x v="0"/>
    <x v="10"/>
    <x v="23"/>
    <x v="5"/>
    <x v="2"/>
    <x v="9"/>
    <x v="100"/>
    <x v="1686"/>
    <n v="7"/>
    <x v="1832"/>
  </r>
  <r>
    <d v="2019-11-13T00:00:00"/>
    <x v="0"/>
    <x v="10"/>
    <x v="447"/>
    <x v="17"/>
    <x v="2"/>
    <x v="5"/>
    <x v="65"/>
    <x v="1687"/>
    <n v="2"/>
    <x v="1833"/>
  </r>
  <r>
    <d v="2019-11-13T00:00:00"/>
    <x v="0"/>
    <x v="10"/>
    <x v="46"/>
    <x v="12"/>
    <x v="2"/>
    <x v="2"/>
    <x v="319"/>
    <x v="1688"/>
    <n v="5"/>
    <x v="1834"/>
  </r>
  <r>
    <d v="2019-11-13T00:00:00"/>
    <x v="0"/>
    <x v="10"/>
    <x v="46"/>
    <x v="12"/>
    <x v="2"/>
    <x v="2"/>
    <x v="596"/>
    <x v="1689"/>
    <n v="2"/>
    <x v="1835"/>
  </r>
  <r>
    <d v="2019-11-13T00:00:00"/>
    <x v="0"/>
    <x v="10"/>
    <x v="46"/>
    <x v="12"/>
    <x v="2"/>
    <x v="7"/>
    <x v="1214"/>
    <x v="1690"/>
    <n v="5"/>
    <x v="1836"/>
  </r>
  <r>
    <d v="2019-11-13T00:00:00"/>
    <x v="0"/>
    <x v="10"/>
    <x v="46"/>
    <x v="12"/>
    <x v="2"/>
    <x v="2"/>
    <x v="1215"/>
    <x v="1691"/>
    <n v="3"/>
    <x v="1837"/>
  </r>
  <r>
    <d v="2019-11-13T00:00:00"/>
    <x v="0"/>
    <x v="10"/>
    <x v="435"/>
    <x v="3"/>
    <x v="0"/>
    <x v="8"/>
    <x v="1216"/>
    <x v="1692"/>
    <n v="4"/>
    <x v="1838"/>
  </r>
  <r>
    <d v="2019-11-13T00:00:00"/>
    <x v="0"/>
    <x v="10"/>
    <x v="404"/>
    <x v="12"/>
    <x v="1"/>
    <x v="1"/>
    <x v="1217"/>
    <x v="1693"/>
    <n v="4"/>
    <x v="1839"/>
  </r>
  <r>
    <d v="2019-11-13T00:00:00"/>
    <x v="0"/>
    <x v="10"/>
    <x v="404"/>
    <x v="12"/>
    <x v="2"/>
    <x v="14"/>
    <x v="445"/>
    <x v="688"/>
    <n v="3"/>
    <x v="717"/>
  </r>
  <r>
    <d v="2019-11-13T00:00:00"/>
    <x v="0"/>
    <x v="10"/>
    <x v="316"/>
    <x v="9"/>
    <x v="0"/>
    <x v="8"/>
    <x v="481"/>
    <x v="1694"/>
    <n v="2"/>
    <x v="1840"/>
  </r>
  <r>
    <d v="2019-11-14T00:00:00"/>
    <x v="0"/>
    <x v="10"/>
    <x v="362"/>
    <x v="14"/>
    <x v="1"/>
    <x v="3"/>
    <x v="871"/>
    <x v="1695"/>
    <n v="2"/>
    <x v="1841"/>
  </r>
  <r>
    <d v="2019-11-14T00:00:00"/>
    <x v="0"/>
    <x v="10"/>
    <x v="362"/>
    <x v="14"/>
    <x v="2"/>
    <x v="9"/>
    <x v="1218"/>
    <x v="376"/>
    <n v="1"/>
    <x v="1842"/>
  </r>
  <r>
    <d v="2019-11-14T00:00:00"/>
    <x v="0"/>
    <x v="10"/>
    <x v="362"/>
    <x v="14"/>
    <x v="2"/>
    <x v="5"/>
    <x v="944"/>
    <x v="361"/>
    <n v="2"/>
    <x v="1226"/>
  </r>
  <r>
    <d v="2019-11-14T00:00:00"/>
    <x v="0"/>
    <x v="10"/>
    <x v="571"/>
    <x v="1"/>
    <x v="2"/>
    <x v="14"/>
    <x v="700"/>
    <x v="1253"/>
    <n v="2"/>
    <x v="1345"/>
  </r>
  <r>
    <d v="2019-11-14T00:00:00"/>
    <x v="0"/>
    <x v="10"/>
    <x v="472"/>
    <x v="2"/>
    <x v="2"/>
    <x v="5"/>
    <x v="522"/>
    <x v="1696"/>
    <n v="2"/>
    <x v="1843"/>
  </r>
  <r>
    <d v="2019-11-14T00:00:00"/>
    <x v="0"/>
    <x v="10"/>
    <x v="572"/>
    <x v="12"/>
    <x v="0"/>
    <x v="11"/>
    <x v="763"/>
    <x v="877"/>
    <n v="2"/>
    <x v="916"/>
  </r>
  <r>
    <d v="2019-11-14T00:00:00"/>
    <x v="0"/>
    <x v="10"/>
    <x v="572"/>
    <x v="12"/>
    <x v="2"/>
    <x v="2"/>
    <x v="987"/>
    <x v="1697"/>
    <n v="3"/>
    <x v="1844"/>
  </r>
  <r>
    <d v="2019-11-14T00:00:00"/>
    <x v="0"/>
    <x v="10"/>
    <x v="474"/>
    <x v="5"/>
    <x v="0"/>
    <x v="11"/>
    <x v="49"/>
    <x v="1698"/>
    <n v="3"/>
    <x v="1845"/>
  </r>
  <r>
    <d v="2019-11-14T00:00:00"/>
    <x v="0"/>
    <x v="10"/>
    <x v="474"/>
    <x v="5"/>
    <x v="1"/>
    <x v="6"/>
    <x v="1219"/>
    <x v="354"/>
    <n v="4"/>
    <x v="1846"/>
  </r>
  <r>
    <d v="2019-11-14T00:00:00"/>
    <x v="0"/>
    <x v="10"/>
    <x v="474"/>
    <x v="5"/>
    <x v="0"/>
    <x v="8"/>
    <x v="1011"/>
    <x v="1699"/>
    <n v="3"/>
    <x v="1847"/>
  </r>
  <r>
    <d v="2019-11-14T00:00:00"/>
    <x v="0"/>
    <x v="10"/>
    <x v="39"/>
    <x v="1"/>
    <x v="2"/>
    <x v="7"/>
    <x v="684"/>
    <x v="328"/>
    <n v="3"/>
    <x v="331"/>
  </r>
  <r>
    <d v="2019-11-14T00:00:00"/>
    <x v="0"/>
    <x v="10"/>
    <x v="294"/>
    <x v="23"/>
    <x v="2"/>
    <x v="9"/>
    <x v="751"/>
    <x v="1700"/>
    <n v="5"/>
    <x v="1848"/>
  </r>
  <r>
    <d v="2019-11-14T00:00:00"/>
    <x v="0"/>
    <x v="10"/>
    <x v="294"/>
    <x v="23"/>
    <x v="0"/>
    <x v="8"/>
    <x v="377"/>
    <x v="1701"/>
    <n v="4"/>
    <x v="1849"/>
  </r>
  <r>
    <d v="2019-11-14T00:00:00"/>
    <x v="0"/>
    <x v="10"/>
    <x v="475"/>
    <x v="0"/>
    <x v="1"/>
    <x v="1"/>
    <x v="1012"/>
    <x v="122"/>
    <n v="3"/>
    <x v="1850"/>
  </r>
  <r>
    <d v="2019-11-14T00:00:00"/>
    <x v="0"/>
    <x v="10"/>
    <x v="261"/>
    <x v="12"/>
    <x v="1"/>
    <x v="1"/>
    <x v="1072"/>
    <x v="1702"/>
    <n v="2"/>
    <x v="1851"/>
  </r>
  <r>
    <d v="2019-11-14T00:00:00"/>
    <x v="0"/>
    <x v="10"/>
    <x v="261"/>
    <x v="12"/>
    <x v="2"/>
    <x v="7"/>
    <x v="1220"/>
    <x v="1703"/>
    <n v="1"/>
    <x v="1852"/>
  </r>
  <r>
    <d v="2019-11-15T00:00:00"/>
    <x v="0"/>
    <x v="10"/>
    <x v="125"/>
    <x v="1"/>
    <x v="1"/>
    <x v="3"/>
    <x v="461"/>
    <x v="1704"/>
    <n v="3"/>
    <x v="1853"/>
  </r>
  <r>
    <d v="2019-11-15T00:00:00"/>
    <x v="0"/>
    <x v="10"/>
    <x v="450"/>
    <x v="1"/>
    <x v="2"/>
    <x v="5"/>
    <x v="87"/>
    <x v="1705"/>
    <n v="1"/>
    <x v="1854"/>
  </r>
  <r>
    <d v="2019-11-15T00:00:00"/>
    <x v="0"/>
    <x v="10"/>
    <x v="450"/>
    <x v="1"/>
    <x v="2"/>
    <x v="5"/>
    <x v="189"/>
    <x v="1706"/>
    <n v="7"/>
    <x v="1703"/>
  </r>
  <r>
    <d v="2019-11-15T00:00:00"/>
    <x v="0"/>
    <x v="10"/>
    <x v="272"/>
    <x v="1"/>
    <x v="1"/>
    <x v="1"/>
    <x v="1221"/>
    <x v="1707"/>
    <n v="2"/>
    <x v="1855"/>
  </r>
  <r>
    <d v="2019-11-15T00:00:00"/>
    <x v="0"/>
    <x v="10"/>
    <x v="88"/>
    <x v="4"/>
    <x v="0"/>
    <x v="4"/>
    <x v="949"/>
    <x v="1708"/>
    <n v="4"/>
    <x v="1856"/>
  </r>
  <r>
    <d v="2019-11-16T00:00:00"/>
    <x v="0"/>
    <x v="10"/>
    <x v="334"/>
    <x v="44"/>
    <x v="2"/>
    <x v="10"/>
    <x v="86"/>
    <x v="1709"/>
    <n v="5"/>
    <x v="1857"/>
  </r>
  <r>
    <d v="2019-11-16T00:00:00"/>
    <x v="0"/>
    <x v="10"/>
    <x v="456"/>
    <x v="1"/>
    <x v="2"/>
    <x v="5"/>
    <x v="411"/>
    <x v="446"/>
    <n v="5"/>
    <x v="454"/>
  </r>
  <r>
    <d v="2019-11-17T00:00:00"/>
    <x v="0"/>
    <x v="10"/>
    <x v="53"/>
    <x v="44"/>
    <x v="2"/>
    <x v="5"/>
    <x v="312"/>
    <x v="1710"/>
    <n v="3"/>
    <x v="1858"/>
  </r>
  <r>
    <d v="2019-11-17T00:00:00"/>
    <x v="0"/>
    <x v="10"/>
    <x v="573"/>
    <x v="2"/>
    <x v="1"/>
    <x v="1"/>
    <x v="869"/>
    <x v="1711"/>
    <n v="3"/>
    <x v="1859"/>
  </r>
  <r>
    <d v="2019-11-17T00:00:00"/>
    <x v="0"/>
    <x v="10"/>
    <x v="573"/>
    <x v="2"/>
    <x v="2"/>
    <x v="9"/>
    <x v="524"/>
    <x v="563"/>
    <n v="4"/>
    <x v="582"/>
  </r>
  <r>
    <d v="2019-11-17T00:00:00"/>
    <x v="0"/>
    <x v="10"/>
    <x v="492"/>
    <x v="1"/>
    <x v="2"/>
    <x v="16"/>
    <x v="1222"/>
    <x v="1712"/>
    <n v="5"/>
    <x v="1860"/>
  </r>
  <r>
    <d v="2019-11-18T00:00:00"/>
    <x v="0"/>
    <x v="10"/>
    <x v="318"/>
    <x v="3"/>
    <x v="2"/>
    <x v="2"/>
    <x v="1223"/>
    <x v="1713"/>
    <n v="4"/>
    <x v="1861"/>
  </r>
  <r>
    <d v="2019-11-18T00:00:00"/>
    <x v="0"/>
    <x v="10"/>
    <x v="259"/>
    <x v="2"/>
    <x v="2"/>
    <x v="7"/>
    <x v="501"/>
    <x v="1714"/>
    <n v="2"/>
    <x v="1862"/>
  </r>
  <r>
    <d v="2019-11-18T00:00:00"/>
    <x v="0"/>
    <x v="10"/>
    <x v="259"/>
    <x v="2"/>
    <x v="2"/>
    <x v="14"/>
    <x v="699"/>
    <x v="1715"/>
    <n v="2"/>
    <x v="1863"/>
  </r>
  <r>
    <d v="2019-11-18T00:00:00"/>
    <x v="0"/>
    <x v="10"/>
    <x v="259"/>
    <x v="2"/>
    <x v="2"/>
    <x v="9"/>
    <x v="439"/>
    <x v="1001"/>
    <n v="2"/>
    <x v="1051"/>
  </r>
  <r>
    <d v="2019-11-18T00:00:00"/>
    <x v="0"/>
    <x v="10"/>
    <x v="259"/>
    <x v="2"/>
    <x v="0"/>
    <x v="11"/>
    <x v="300"/>
    <x v="1716"/>
    <n v="6"/>
    <x v="1864"/>
  </r>
  <r>
    <d v="2019-11-18T00:00:00"/>
    <x v="0"/>
    <x v="10"/>
    <x v="574"/>
    <x v="8"/>
    <x v="2"/>
    <x v="13"/>
    <x v="777"/>
    <x v="1717"/>
    <n v="6"/>
    <x v="1865"/>
  </r>
  <r>
    <d v="2019-11-18T00:00:00"/>
    <x v="0"/>
    <x v="10"/>
    <x v="380"/>
    <x v="1"/>
    <x v="1"/>
    <x v="1"/>
    <x v="1224"/>
    <x v="1718"/>
    <n v="1"/>
    <x v="1866"/>
  </r>
  <r>
    <d v="2019-11-18T00:00:00"/>
    <x v="0"/>
    <x v="10"/>
    <x v="380"/>
    <x v="1"/>
    <x v="2"/>
    <x v="13"/>
    <x v="1225"/>
    <x v="1719"/>
    <n v="1"/>
    <x v="1867"/>
  </r>
  <r>
    <d v="2019-11-18T00:00:00"/>
    <x v="0"/>
    <x v="10"/>
    <x v="575"/>
    <x v="25"/>
    <x v="0"/>
    <x v="11"/>
    <x v="251"/>
    <x v="1720"/>
    <n v="2"/>
    <x v="1868"/>
  </r>
  <r>
    <d v="2019-11-18T00:00:00"/>
    <x v="0"/>
    <x v="10"/>
    <x v="298"/>
    <x v="36"/>
    <x v="1"/>
    <x v="3"/>
    <x v="1226"/>
    <x v="1721"/>
    <n v="4"/>
    <x v="1869"/>
  </r>
  <r>
    <d v="2019-11-18T00:00:00"/>
    <x v="0"/>
    <x v="10"/>
    <x v="68"/>
    <x v="1"/>
    <x v="1"/>
    <x v="3"/>
    <x v="902"/>
    <x v="1722"/>
    <n v="5"/>
    <x v="1870"/>
  </r>
  <r>
    <d v="2019-11-18T00:00:00"/>
    <x v="0"/>
    <x v="10"/>
    <x v="59"/>
    <x v="1"/>
    <x v="2"/>
    <x v="5"/>
    <x v="1227"/>
    <x v="691"/>
    <n v="5"/>
    <x v="1871"/>
  </r>
  <r>
    <d v="2019-11-19T00:00:00"/>
    <x v="0"/>
    <x v="10"/>
    <x v="576"/>
    <x v="12"/>
    <x v="2"/>
    <x v="5"/>
    <x v="309"/>
    <x v="335"/>
    <n v="3"/>
    <x v="338"/>
  </r>
  <r>
    <d v="2019-11-19T00:00:00"/>
    <x v="0"/>
    <x v="10"/>
    <x v="576"/>
    <x v="12"/>
    <x v="2"/>
    <x v="2"/>
    <x v="333"/>
    <x v="364"/>
    <n v="2"/>
    <x v="370"/>
  </r>
  <r>
    <d v="2019-11-19T00:00:00"/>
    <x v="0"/>
    <x v="10"/>
    <x v="576"/>
    <x v="12"/>
    <x v="2"/>
    <x v="2"/>
    <x v="1074"/>
    <x v="1723"/>
    <n v="4"/>
    <x v="1872"/>
  </r>
  <r>
    <d v="2019-11-19T00:00:00"/>
    <x v="0"/>
    <x v="10"/>
    <x v="22"/>
    <x v="2"/>
    <x v="2"/>
    <x v="2"/>
    <x v="1060"/>
    <x v="1724"/>
    <n v="6"/>
    <x v="1873"/>
  </r>
  <r>
    <d v="2019-11-19T00:00:00"/>
    <x v="0"/>
    <x v="10"/>
    <x v="22"/>
    <x v="2"/>
    <x v="0"/>
    <x v="8"/>
    <x v="383"/>
    <x v="1725"/>
    <n v="2"/>
    <x v="1874"/>
  </r>
  <r>
    <d v="2019-11-19T00:00:00"/>
    <x v="0"/>
    <x v="10"/>
    <x v="22"/>
    <x v="2"/>
    <x v="2"/>
    <x v="5"/>
    <x v="68"/>
    <x v="1726"/>
    <n v="5"/>
    <x v="1875"/>
  </r>
  <r>
    <d v="2019-11-19T00:00:00"/>
    <x v="0"/>
    <x v="10"/>
    <x v="22"/>
    <x v="2"/>
    <x v="2"/>
    <x v="12"/>
    <x v="163"/>
    <x v="1727"/>
    <n v="12"/>
    <x v="1876"/>
  </r>
  <r>
    <d v="2019-11-19T00:00:00"/>
    <x v="0"/>
    <x v="10"/>
    <x v="22"/>
    <x v="2"/>
    <x v="2"/>
    <x v="10"/>
    <x v="1228"/>
    <x v="1728"/>
    <n v="3"/>
    <x v="1877"/>
  </r>
  <r>
    <d v="2019-11-19T00:00:00"/>
    <x v="0"/>
    <x v="10"/>
    <x v="22"/>
    <x v="2"/>
    <x v="1"/>
    <x v="1"/>
    <x v="805"/>
    <x v="440"/>
    <n v="5"/>
    <x v="1878"/>
  </r>
  <r>
    <d v="2019-11-19T00:00:00"/>
    <x v="0"/>
    <x v="10"/>
    <x v="22"/>
    <x v="2"/>
    <x v="2"/>
    <x v="9"/>
    <x v="1075"/>
    <x v="286"/>
    <n v="2"/>
    <x v="288"/>
  </r>
  <r>
    <d v="2019-11-19T00:00:00"/>
    <x v="0"/>
    <x v="10"/>
    <x v="22"/>
    <x v="2"/>
    <x v="2"/>
    <x v="5"/>
    <x v="606"/>
    <x v="1729"/>
    <n v="2"/>
    <x v="1879"/>
  </r>
  <r>
    <d v="2019-11-19T00:00:00"/>
    <x v="0"/>
    <x v="10"/>
    <x v="495"/>
    <x v="12"/>
    <x v="2"/>
    <x v="7"/>
    <x v="1229"/>
    <x v="1730"/>
    <n v="6"/>
    <x v="1880"/>
  </r>
  <r>
    <d v="2019-11-19T00:00:00"/>
    <x v="0"/>
    <x v="10"/>
    <x v="495"/>
    <x v="12"/>
    <x v="2"/>
    <x v="5"/>
    <x v="295"/>
    <x v="784"/>
    <n v="3"/>
    <x v="813"/>
  </r>
  <r>
    <d v="2019-11-19T00:00:00"/>
    <x v="0"/>
    <x v="10"/>
    <x v="512"/>
    <x v="24"/>
    <x v="2"/>
    <x v="13"/>
    <x v="1230"/>
    <x v="1731"/>
    <n v="3"/>
    <x v="1881"/>
  </r>
  <r>
    <d v="2019-11-19T00:00:00"/>
    <x v="0"/>
    <x v="10"/>
    <x v="122"/>
    <x v="4"/>
    <x v="2"/>
    <x v="7"/>
    <x v="1231"/>
    <x v="1732"/>
    <n v="2"/>
    <x v="1882"/>
  </r>
  <r>
    <d v="2019-11-19T00:00:00"/>
    <x v="0"/>
    <x v="10"/>
    <x v="235"/>
    <x v="12"/>
    <x v="2"/>
    <x v="13"/>
    <x v="727"/>
    <x v="835"/>
    <n v="2"/>
    <x v="867"/>
  </r>
  <r>
    <d v="2019-11-19T00:00:00"/>
    <x v="0"/>
    <x v="10"/>
    <x v="235"/>
    <x v="12"/>
    <x v="2"/>
    <x v="9"/>
    <x v="1123"/>
    <x v="1733"/>
    <n v="5"/>
    <x v="1883"/>
  </r>
  <r>
    <d v="2019-11-19T00:00:00"/>
    <x v="0"/>
    <x v="10"/>
    <x v="577"/>
    <x v="9"/>
    <x v="0"/>
    <x v="8"/>
    <x v="1232"/>
    <x v="1734"/>
    <n v="2"/>
    <x v="1884"/>
  </r>
  <r>
    <d v="2019-11-20T00:00:00"/>
    <x v="0"/>
    <x v="10"/>
    <x v="377"/>
    <x v="3"/>
    <x v="2"/>
    <x v="14"/>
    <x v="529"/>
    <x v="570"/>
    <n v="2"/>
    <x v="589"/>
  </r>
  <r>
    <d v="2019-11-20T00:00:00"/>
    <x v="0"/>
    <x v="10"/>
    <x v="377"/>
    <x v="3"/>
    <x v="1"/>
    <x v="1"/>
    <x v="1233"/>
    <x v="1735"/>
    <n v="7"/>
    <x v="1885"/>
  </r>
  <r>
    <d v="2019-11-20T00:00:00"/>
    <x v="0"/>
    <x v="10"/>
    <x v="354"/>
    <x v="8"/>
    <x v="2"/>
    <x v="12"/>
    <x v="908"/>
    <x v="1736"/>
    <n v="7"/>
    <x v="1886"/>
  </r>
  <r>
    <d v="2019-11-20T00:00:00"/>
    <x v="0"/>
    <x v="10"/>
    <x v="354"/>
    <x v="8"/>
    <x v="2"/>
    <x v="14"/>
    <x v="76"/>
    <x v="674"/>
    <n v="8"/>
    <x v="1887"/>
  </r>
  <r>
    <d v="2019-11-20T00:00:00"/>
    <x v="0"/>
    <x v="10"/>
    <x v="354"/>
    <x v="8"/>
    <x v="1"/>
    <x v="3"/>
    <x v="1187"/>
    <x v="1737"/>
    <n v="2"/>
    <x v="1888"/>
  </r>
  <r>
    <d v="2019-11-20T00:00:00"/>
    <x v="0"/>
    <x v="10"/>
    <x v="354"/>
    <x v="8"/>
    <x v="0"/>
    <x v="0"/>
    <x v="0"/>
    <x v="1738"/>
    <n v="3"/>
    <x v="1889"/>
  </r>
  <r>
    <d v="2019-11-20T00:00:00"/>
    <x v="0"/>
    <x v="10"/>
    <x v="578"/>
    <x v="8"/>
    <x v="2"/>
    <x v="9"/>
    <x v="1234"/>
    <x v="1739"/>
    <n v="3"/>
    <x v="1890"/>
  </r>
  <r>
    <d v="2019-11-20T00:00:00"/>
    <x v="0"/>
    <x v="10"/>
    <x v="578"/>
    <x v="8"/>
    <x v="2"/>
    <x v="5"/>
    <x v="1235"/>
    <x v="1740"/>
    <n v="2"/>
    <x v="1891"/>
  </r>
  <r>
    <d v="2019-11-20T00:00:00"/>
    <x v="0"/>
    <x v="10"/>
    <x v="578"/>
    <x v="8"/>
    <x v="2"/>
    <x v="5"/>
    <x v="1236"/>
    <x v="1741"/>
    <n v="3"/>
    <x v="1892"/>
  </r>
  <r>
    <d v="2019-11-20T00:00:00"/>
    <x v="0"/>
    <x v="10"/>
    <x v="579"/>
    <x v="2"/>
    <x v="0"/>
    <x v="11"/>
    <x v="1206"/>
    <x v="1742"/>
    <n v="5"/>
    <x v="1893"/>
  </r>
  <r>
    <d v="2019-11-20T00:00:00"/>
    <x v="0"/>
    <x v="10"/>
    <x v="579"/>
    <x v="2"/>
    <x v="1"/>
    <x v="1"/>
    <x v="1096"/>
    <x v="1743"/>
    <n v="7"/>
    <x v="1894"/>
  </r>
  <r>
    <d v="2019-11-20T00:00:00"/>
    <x v="0"/>
    <x v="10"/>
    <x v="579"/>
    <x v="2"/>
    <x v="0"/>
    <x v="8"/>
    <x v="414"/>
    <x v="1744"/>
    <n v="3"/>
    <x v="1895"/>
  </r>
  <r>
    <d v="2019-11-20T00:00:00"/>
    <x v="0"/>
    <x v="10"/>
    <x v="580"/>
    <x v="24"/>
    <x v="2"/>
    <x v="9"/>
    <x v="1237"/>
    <x v="1745"/>
    <n v="2"/>
    <x v="1896"/>
  </r>
  <r>
    <d v="2019-11-20T00:00:00"/>
    <x v="0"/>
    <x v="10"/>
    <x v="580"/>
    <x v="24"/>
    <x v="2"/>
    <x v="9"/>
    <x v="395"/>
    <x v="631"/>
    <n v="3"/>
    <x v="649"/>
  </r>
  <r>
    <d v="2019-11-20T00:00:00"/>
    <x v="0"/>
    <x v="10"/>
    <x v="580"/>
    <x v="24"/>
    <x v="2"/>
    <x v="5"/>
    <x v="543"/>
    <x v="1746"/>
    <n v="1"/>
    <x v="1897"/>
  </r>
  <r>
    <d v="2019-11-20T00:00:00"/>
    <x v="0"/>
    <x v="10"/>
    <x v="161"/>
    <x v="2"/>
    <x v="1"/>
    <x v="1"/>
    <x v="683"/>
    <x v="1747"/>
    <n v="1"/>
    <x v="1898"/>
  </r>
  <r>
    <d v="2019-11-20T00:00:00"/>
    <x v="0"/>
    <x v="10"/>
    <x v="581"/>
    <x v="1"/>
    <x v="2"/>
    <x v="13"/>
    <x v="1238"/>
    <x v="1748"/>
    <n v="12"/>
    <x v="1899"/>
  </r>
  <r>
    <d v="2019-11-20T00:00:00"/>
    <x v="0"/>
    <x v="10"/>
    <x v="582"/>
    <x v="23"/>
    <x v="2"/>
    <x v="5"/>
    <x v="1239"/>
    <x v="193"/>
    <n v="3"/>
    <x v="1900"/>
  </r>
  <r>
    <d v="2019-11-20T00:00:00"/>
    <x v="0"/>
    <x v="10"/>
    <x v="583"/>
    <x v="6"/>
    <x v="0"/>
    <x v="0"/>
    <x v="731"/>
    <x v="1749"/>
    <n v="2"/>
    <x v="1901"/>
  </r>
  <r>
    <d v="2019-11-20T00:00:00"/>
    <x v="0"/>
    <x v="10"/>
    <x v="583"/>
    <x v="6"/>
    <x v="2"/>
    <x v="2"/>
    <x v="1240"/>
    <x v="1750"/>
    <n v="5"/>
    <x v="1902"/>
  </r>
  <r>
    <d v="2019-11-20T00:00:00"/>
    <x v="0"/>
    <x v="10"/>
    <x v="583"/>
    <x v="6"/>
    <x v="1"/>
    <x v="1"/>
    <x v="1224"/>
    <x v="1751"/>
    <n v="4"/>
    <x v="1903"/>
  </r>
  <r>
    <d v="2019-11-20T00:00:00"/>
    <x v="0"/>
    <x v="10"/>
    <x v="0"/>
    <x v="1"/>
    <x v="1"/>
    <x v="3"/>
    <x v="856"/>
    <x v="1752"/>
    <n v="2"/>
    <x v="1904"/>
  </r>
  <r>
    <d v="2019-11-21T00:00:00"/>
    <x v="0"/>
    <x v="10"/>
    <x v="172"/>
    <x v="29"/>
    <x v="0"/>
    <x v="11"/>
    <x v="579"/>
    <x v="1753"/>
    <n v="4"/>
    <x v="1905"/>
  </r>
  <r>
    <d v="2019-11-21T00:00:00"/>
    <x v="0"/>
    <x v="10"/>
    <x v="328"/>
    <x v="41"/>
    <x v="2"/>
    <x v="9"/>
    <x v="1241"/>
    <x v="1754"/>
    <n v="7"/>
    <x v="1906"/>
  </r>
  <r>
    <d v="2019-11-21T00:00:00"/>
    <x v="0"/>
    <x v="10"/>
    <x v="328"/>
    <x v="41"/>
    <x v="1"/>
    <x v="1"/>
    <x v="758"/>
    <x v="1755"/>
    <n v="3"/>
    <x v="1907"/>
  </r>
  <r>
    <d v="2019-11-21T00:00:00"/>
    <x v="0"/>
    <x v="10"/>
    <x v="302"/>
    <x v="8"/>
    <x v="1"/>
    <x v="15"/>
    <x v="1242"/>
    <x v="1756"/>
    <n v="7"/>
    <x v="1908"/>
  </r>
  <r>
    <d v="2019-11-21T00:00:00"/>
    <x v="0"/>
    <x v="10"/>
    <x v="302"/>
    <x v="8"/>
    <x v="0"/>
    <x v="11"/>
    <x v="300"/>
    <x v="1757"/>
    <n v="3"/>
    <x v="1909"/>
  </r>
  <r>
    <d v="2019-11-21T00:00:00"/>
    <x v="0"/>
    <x v="10"/>
    <x v="302"/>
    <x v="8"/>
    <x v="0"/>
    <x v="8"/>
    <x v="463"/>
    <x v="1758"/>
    <n v="3"/>
    <x v="1910"/>
  </r>
  <r>
    <d v="2019-11-21T00:00:00"/>
    <x v="0"/>
    <x v="10"/>
    <x v="252"/>
    <x v="17"/>
    <x v="2"/>
    <x v="9"/>
    <x v="573"/>
    <x v="1759"/>
    <n v="1"/>
    <x v="1911"/>
  </r>
  <r>
    <d v="2019-11-21T00:00:00"/>
    <x v="0"/>
    <x v="10"/>
    <x v="252"/>
    <x v="17"/>
    <x v="2"/>
    <x v="2"/>
    <x v="987"/>
    <x v="1760"/>
    <n v="2"/>
    <x v="1912"/>
  </r>
  <r>
    <d v="2019-11-21T00:00:00"/>
    <x v="0"/>
    <x v="10"/>
    <x v="252"/>
    <x v="17"/>
    <x v="1"/>
    <x v="3"/>
    <x v="1243"/>
    <x v="1761"/>
    <n v="3"/>
    <x v="1913"/>
  </r>
  <r>
    <d v="2019-11-21T00:00:00"/>
    <x v="0"/>
    <x v="10"/>
    <x v="326"/>
    <x v="12"/>
    <x v="2"/>
    <x v="9"/>
    <x v="660"/>
    <x v="56"/>
    <n v="2"/>
    <x v="210"/>
  </r>
  <r>
    <d v="2019-11-21T00:00:00"/>
    <x v="0"/>
    <x v="10"/>
    <x v="199"/>
    <x v="12"/>
    <x v="0"/>
    <x v="0"/>
    <x v="1244"/>
    <x v="1762"/>
    <n v="2"/>
    <x v="1914"/>
  </r>
  <r>
    <d v="2019-11-21T00:00:00"/>
    <x v="0"/>
    <x v="10"/>
    <x v="258"/>
    <x v="1"/>
    <x v="2"/>
    <x v="9"/>
    <x v="494"/>
    <x v="711"/>
    <n v="5"/>
    <x v="734"/>
  </r>
  <r>
    <d v="2019-11-22T00:00:00"/>
    <x v="0"/>
    <x v="10"/>
    <x v="35"/>
    <x v="12"/>
    <x v="0"/>
    <x v="8"/>
    <x v="1245"/>
    <x v="1763"/>
    <n v="2"/>
    <x v="1915"/>
  </r>
  <r>
    <d v="2019-11-22T00:00:00"/>
    <x v="0"/>
    <x v="10"/>
    <x v="35"/>
    <x v="12"/>
    <x v="2"/>
    <x v="5"/>
    <x v="1246"/>
    <x v="1184"/>
    <n v="4"/>
    <x v="1266"/>
  </r>
  <r>
    <d v="2019-11-22T00:00:00"/>
    <x v="0"/>
    <x v="10"/>
    <x v="35"/>
    <x v="12"/>
    <x v="2"/>
    <x v="7"/>
    <x v="556"/>
    <x v="1764"/>
    <n v="3"/>
    <x v="1916"/>
  </r>
  <r>
    <d v="2019-11-22T00:00:00"/>
    <x v="0"/>
    <x v="10"/>
    <x v="584"/>
    <x v="25"/>
    <x v="2"/>
    <x v="5"/>
    <x v="503"/>
    <x v="1765"/>
    <n v="3"/>
    <x v="1917"/>
  </r>
  <r>
    <d v="2019-11-22T00:00:00"/>
    <x v="0"/>
    <x v="10"/>
    <x v="539"/>
    <x v="2"/>
    <x v="2"/>
    <x v="5"/>
    <x v="434"/>
    <x v="1766"/>
    <n v="6"/>
    <x v="1918"/>
  </r>
  <r>
    <d v="2019-11-22T00:00:00"/>
    <x v="0"/>
    <x v="10"/>
    <x v="539"/>
    <x v="2"/>
    <x v="2"/>
    <x v="7"/>
    <x v="1048"/>
    <x v="719"/>
    <n v="9"/>
    <x v="1919"/>
  </r>
  <r>
    <d v="2019-11-22T00:00:00"/>
    <x v="0"/>
    <x v="10"/>
    <x v="539"/>
    <x v="2"/>
    <x v="1"/>
    <x v="3"/>
    <x v="1247"/>
    <x v="1767"/>
    <n v="2"/>
    <x v="1920"/>
  </r>
  <r>
    <d v="2019-11-22T00:00:00"/>
    <x v="0"/>
    <x v="10"/>
    <x v="539"/>
    <x v="2"/>
    <x v="2"/>
    <x v="14"/>
    <x v="809"/>
    <x v="1768"/>
    <n v="1"/>
    <x v="1921"/>
  </r>
  <r>
    <d v="2019-11-22T00:00:00"/>
    <x v="0"/>
    <x v="10"/>
    <x v="539"/>
    <x v="2"/>
    <x v="2"/>
    <x v="5"/>
    <x v="1248"/>
    <x v="1769"/>
    <n v="6"/>
    <x v="1922"/>
  </r>
  <r>
    <d v="2019-11-22T00:00:00"/>
    <x v="0"/>
    <x v="10"/>
    <x v="221"/>
    <x v="12"/>
    <x v="2"/>
    <x v="5"/>
    <x v="725"/>
    <x v="1770"/>
    <n v="8"/>
    <x v="1923"/>
  </r>
  <r>
    <d v="2019-11-23T00:00:00"/>
    <x v="0"/>
    <x v="10"/>
    <x v="585"/>
    <x v="5"/>
    <x v="2"/>
    <x v="12"/>
    <x v="976"/>
    <x v="1771"/>
    <n v="5"/>
    <x v="1924"/>
  </r>
  <r>
    <d v="2019-11-23T00:00:00"/>
    <x v="0"/>
    <x v="10"/>
    <x v="585"/>
    <x v="5"/>
    <x v="0"/>
    <x v="8"/>
    <x v="97"/>
    <x v="97"/>
    <n v="2"/>
    <x v="97"/>
  </r>
  <r>
    <d v="2019-11-23T00:00:00"/>
    <x v="0"/>
    <x v="10"/>
    <x v="585"/>
    <x v="5"/>
    <x v="0"/>
    <x v="8"/>
    <x v="721"/>
    <x v="1772"/>
    <n v="7"/>
    <x v="1925"/>
  </r>
  <r>
    <d v="2019-11-24T00:00:00"/>
    <x v="0"/>
    <x v="10"/>
    <x v="586"/>
    <x v="5"/>
    <x v="2"/>
    <x v="12"/>
    <x v="1249"/>
    <x v="1773"/>
    <n v="3"/>
    <x v="1926"/>
  </r>
  <r>
    <d v="2019-11-24T00:00:00"/>
    <x v="0"/>
    <x v="10"/>
    <x v="587"/>
    <x v="12"/>
    <x v="2"/>
    <x v="5"/>
    <x v="1250"/>
    <x v="1774"/>
    <n v="4"/>
    <x v="1927"/>
  </r>
  <r>
    <d v="2019-11-24T00:00:00"/>
    <x v="0"/>
    <x v="10"/>
    <x v="587"/>
    <x v="12"/>
    <x v="2"/>
    <x v="9"/>
    <x v="525"/>
    <x v="1099"/>
    <n v="2"/>
    <x v="1164"/>
  </r>
  <r>
    <d v="2019-11-24T00:00:00"/>
    <x v="0"/>
    <x v="10"/>
    <x v="587"/>
    <x v="12"/>
    <x v="1"/>
    <x v="3"/>
    <x v="1136"/>
    <x v="1775"/>
    <n v="4"/>
    <x v="1928"/>
  </r>
  <r>
    <d v="2019-11-24T00:00:00"/>
    <x v="0"/>
    <x v="10"/>
    <x v="587"/>
    <x v="12"/>
    <x v="2"/>
    <x v="9"/>
    <x v="598"/>
    <x v="1029"/>
    <n v="1"/>
    <x v="1084"/>
  </r>
  <r>
    <d v="2019-11-24T00:00:00"/>
    <x v="0"/>
    <x v="10"/>
    <x v="588"/>
    <x v="1"/>
    <x v="1"/>
    <x v="1"/>
    <x v="1132"/>
    <x v="1776"/>
    <n v="2"/>
    <x v="1929"/>
  </r>
  <r>
    <d v="2019-11-24T00:00:00"/>
    <x v="0"/>
    <x v="10"/>
    <x v="588"/>
    <x v="1"/>
    <x v="0"/>
    <x v="8"/>
    <x v="27"/>
    <x v="1777"/>
    <n v="2"/>
    <x v="1930"/>
  </r>
  <r>
    <d v="2019-11-24T00:00:00"/>
    <x v="0"/>
    <x v="10"/>
    <x v="589"/>
    <x v="2"/>
    <x v="2"/>
    <x v="2"/>
    <x v="764"/>
    <x v="1224"/>
    <n v="5"/>
    <x v="1931"/>
  </r>
  <r>
    <d v="2019-11-24T00:00:00"/>
    <x v="0"/>
    <x v="10"/>
    <x v="589"/>
    <x v="2"/>
    <x v="1"/>
    <x v="3"/>
    <x v="46"/>
    <x v="1778"/>
    <n v="3"/>
    <x v="1932"/>
  </r>
  <r>
    <d v="2019-11-24T00:00:00"/>
    <x v="0"/>
    <x v="10"/>
    <x v="589"/>
    <x v="2"/>
    <x v="2"/>
    <x v="12"/>
    <x v="943"/>
    <x v="1779"/>
    <n v="3"/>
    <x v="1933"/>
  </r>
  <r>
    <d v="2019-11-24T00:00:00"/>
    <x v="0"/>
    <x v="10"/>
    <x v="589"/>
    <x v="2"/>
    <x v="1"/>
    <x v="3"/>
    <x v="1251"/>
    <x v="1780"/>
    <n v="2"/>
    <x v="1934"/>
  </r>
  <r>
    <d v="2019-11-24T00:00:00"/>
    <x v="0"/>
    <x v="10"/>
    <x v="589"/>
    <x v="2"/>
    <x v="2"/>
    <x v="9"/>
    <x v="744"/>
    <x v="1781"/>
    <n v="3"/>
    <x v="1935"/>
  </r>
  <r>
    <d v="2019-11-24T00:00:00"/>
    <x v="0"/>
    <x v="10"/>
    <x v="589"/>
    <x v="2"/>
    <x v="2"/>
    <x v="7"/>
    <x v="1252"/>
    <x v="1782"/>
    <n v="3"/>
    <x v="1936"/>
  </r>
  <r>
    <d v="2019-11-24T00:00:00"/>
    <x v="0"/>
    <x v="10"/>
    <x v="590"/>
    <x v="29"/>
    <x v="2"/>
    <x v="9"/>
    <x v="655"/>
    <x v="1783"/>
    <n v="1"/>
    <x v="1937"/>
  </r>
  <r>
    <d v="2019-11-24T00:00:00"/>
    <x v="0"/>
    <x v="10"/>
    <x v="591"/>
    <x v="2"/>
    <x v="1"/>
    <x v="1"/>
    <x v="83"/>
    <x v="1784"/>
    <n v="6"/>
    <x v="1938"/>
  </r>
  <r>
    <d v="2019-11-24T00:00:00"/>
    <x v="0"/>
    <x v="10"/>
    <x v="592"/>
    <x v="1"/>
    <x v="1"/>
    <x v="3"/>
    <x v="593"/>
    <x v="1785"/>
    <n v="2"/>
    <x v="1939"/>
  </r>
  <r>
    <d v="2019-11-24T00:00:00"/>
    <x v="0"/>
    <x v="10"/>
    <x v="592"/>
    <x v="1"/>
    <x v="0"/>
    <x v="11"/>
    <x v="1036"/>
    <x v="1786"/>
    <n v="6"/>
    <x v="1940"/>
  </r>
  <r>
    <d v="2019-11-24T00:00:00"/>
    <x v="0"/>
    <x v="10"/>
    <x v="592"/>
    <x v="1"/>
    <x v="1"/>
    <x v="3"/>
    <x v="22"/>
    <x v="1787"/>
    <n v="8"/>
    <x v="1941"/>
  </r>
  <r>
    <d v="2019-11-24T00:00:00"/>
    <x v="0"/>
    <x v="10"/>
    <x v="493"/>
    <x v="9"/>
    <x v="2"/>
    <x v="5"/>
    <x v="1253"/>
    <x v="1788"/>
    <n v="5"/>
    <x v="1942"/>
  </r>
  <r>
    <d v="2019-11-24T00:00:00"/>
    <x v="0"/>
    <x v="10"/>
    <x v="11"/>
    <x v="0"/>
    <x v="0"/>
    <x v="8"/>
    <x v="1198"/>
    <x v="1789"/>
    <n v="4"/>
    <x v="1943"/>
  </r>
  <r>
    <d v="2019-11-24T00:00:00"/>
    <x v="0"/>
    <x v="10"/>
    <x v="221"/>
    <x v="8"/>
    <x v="2"/>
    <x v="10"/>
    <x v="1254"/>
    <x v="1790"/>
    <n v="3"/>
    <x v="1944"/>
  </r>
  <r>
    <d v="2019-11-24T00:00:00"/>
    <x v="0"/>
    <x v="10"/>
    <x v="221"/>
    <x v="8"/>
    <x v="1"/>
    <x v="3"/>
    <x v="247"/>
    <x v="826"/>
    <n v="5"/>
    <x v="1945"/>
  </r>
  <r>
    <d v="2019-11-24T00:00:00"/>
    <x v="0"/>
    <x v="10"/>
    <x v="206"/>
    <x v="9"/>
    <x v="2"/>
    <x v="16"/>
    <x v="176"/>
    <x v="185"/>
    <n v="3"/>
    <x v="184"/>
  </r>
  <r>
    <d v="2019-11-24T00:00:00"/>
    <x v="0"/>
    <x v="10"/>
    <x v="391"/>
    <x v="9"/>
    <x v="0"/>
    <x v="8"/>
    <x v="1115"/>
    <x v="1475"/>
    <n v="3"/>
    <x v="1595"/>
  </r>
  <r>
    <d v="2019-11-24T00:00:00"/>
    <x v="0"/>
    <x v="10"/>
    <x v="42"/>
    <x v="6"/>
    <x v="0"/>
    <x v="0"/>
    <x v="1255"/>
    <x v="1791"/>
    <n v="5"/>
    <x v="1946"/>
  </r>
  <r>
    <d v="2019-11-24T00:00:00"/>
    <x v="0"/>
    <x v="10"/>
    <x v="42"/>
    <x v="6"/>
    <x v="2"/>
    <x v="9"/>
    <x v="751"/>
    <x v="1357"/>
    <n v="4"/>
    <x v="1947"/>
  </r>
  <r>
    <d v="2019-11-24T00:00:00"/>
    <x v="0"/>
    <x v="10"/>
    <x v="42"/>
    <x v="6"/>
    <x v="2"/>
    <x v="13"/>
    <x v="1256"/>
    <x v="1792"/>
    <n v="2"/>
    <x v="1948"/>
  </r>
  <r>
    <d v="2019-11-25T00:00:00"/>
    <x v="0"/>
    <x v="10"/>
    <x v="492"/>
    <x v="6"/>
    <x v="2"/>
    <x v="9"/>
    <x v="563"/>
    <x v="1793"/>
    <n v="1"/>
    <x v="1949"/>
  </r>
  <r>
    <d v="2019-11-25T00:00:00"/>
    <x v="0"/>
    <x v="10"/>
    <x v="593"/>
    <x v="10"/>
    <x v="2"/>
    <x v="2"/>
    <x v="559"/>
    <x v="1794"/>
    <n v="4"/>
    <x v="1950"/>
  </r>
  <r>
    <d v="2019-11-25T00:00:00"/>
    <x v="0"/>
    <x v="10"/>
    <x v="593"/>
    <x v="10"/>
    <x v="1"/>
    <x v="15"/>
    <x v="1257"/>
    <x v="1795"/>
    <n v="8"/>
    <x v="1951"/>
  </r>
  <r>
    <d v="2019-11-25T00:00:00"/>
    <x v="0"/>
    <x v="10"/>
    <x v="526"/>
    <x v="33"/>
    <x v="1"/>
    <x v="1"/>
    <x v="748"/>
    <x v="1796"/>
    <n v="2"/>
    <x v="1952"/>
  </r>
  <r>
    <d v="2019-11-25T00:00:00"/>
    <x v="0"/>
    <x v="10"/>
    <x v="566"/>
    <x v="25"/>
    <x v="0"/>
    <x v="4"/>
    <x v="69"/>
    <x v="1797"/>
    <n v="9"/>
    <x v="1953"/>
  </r>
  <r>
    <d v="2019-11-25T00:00:00"/>
    <x v="0"/>
    <x v="10"/>
    <x v="566"/>
    <x v="25"/>
    <x v="2"/>
    <x v="5"/>
    <x v="519"/>
    <x v="1798"/>
    <n v="1"/>
    <x v="1954"/>
  </r>
  <r>
    <d v="2019-11-25T00:00:00"/>
    <x v="0"/>
    <x v="10"/>
    <x v="566"/>
    <x v="25"/>
    <x v="1"/>
    <x v="3"/>
    <x v="511"/>
    <x v="1799"/>
    <n v="8"/>
    <x v="1955"/>
  </r>
  <r>
    <d v="2019-11-25T00:00:00"/>
    <x v="0"/>
    <x v="10"/>
    <x v="481"/>
    <x v="8"/>
    <x v="2"/>
    <x v="5"/>
    <x v="840"/>
    <x v="1800"/>
    <n v="2"/>
    <x v="1956"/>
  </r>
  <r>
    <d v="2019-11-25T00:00:00"/>
    <x v="0"/>
    <x v="10"/>
    <x v="481"/>
    <x v="8"/>
    <x v="1"/>
    <x v="15"/>
    <x v="1258"/>
    <x v="1801"/>
    <n v="5"/>
    <x v="1957"/>
  </r>
  <r>
    <d v="2019-11-25T00:00:00"/>
    <x v="0"/>
    <x v="10"/>
    <x v="481"/>
    <x v="8"/>
    <x v="1"/>
    <x v="3"/>
    <x v="1259"/>
    <x v="1802"/>
    <n v="3"/>
    <x v="185"/>
  </r>
  <r>
    <d v="2019-11-25T00:00:00"/>
    <x v="0"/>
    <x v="10"/>
    <x v="426"/>
    <x v="36"/>
    <x v="2"/>
    <x v="2"/>
    <x v="764"/>
    <x v="1803"/>
    <n v="7"/>
    <x v="1958"/>
  </r>
  <r>
    <d v="2019-11-25T00:00:00"/>
    <x v="0"/>
    <x v="10"/>
    <x v="594"/>
    <x v="1"/>
    <x v="0"/>
    <x v="11"/>
    <x v="1260"/>
    <x v="391"/>
    <n v="3"/>
    <x v="1959"/>
  </r>
  <r>
    <d v="2019-11-26T00:00:00"/>
    <x v="0"/>
    <x v="10"/>
    <x v="369"/>
    <x v="36"/>
    <x v="2"/>
    <x v="9"/>
    <x v="84"/>
    <x v="1804"/>
    <n v="7"/>
    <x v="1960"/>
  </r>
  <r>
    <d v="2019-11-26T00:00:00"/>
    <x v="0"/>
    <x v="10"/>
    <x v="369"/>
    <x v="36"/>
    <x v="2"/>
    <x v="5"/>
    <x v="889"/>
    <x v="1805"/>
    <n v="3"/>
    <x v="1169"/>
  </r>
  <r>
    <d v="2019-11-26T00:00:00"/>
    <x v="0"/>
    <x v="10"/>
    <x v="369"/>
    <x v="36"/>
    <x v="2"/>
    <x v="5"/>
    <x v="1261"/>
    <x v="1806"/>
    <n v="5"/>
    <x v="1961"/>
  </r>
  <r>
    <d v="2019-11-26T00:00:00"/>
    <x v="0"/>
    <x v="10"/>
    <x v="369"/>
    <x v="36"/>
    <x v="1"/>
    <x v="15"/>
    <x v="1262"/>
    <x v="1807"/>
    <n v="8"/>
    <x v="1962"/>
  </r>
  <r>
    <d v="2019-11-26T00:00:00"/>
    <x v="0"/>
    <x v="10"/>
    <x v="513"/>
    <x v="9"/>
    <x v="2"/>
    <x v="5"/>
    <x v="447"/>
    <x v="1167"/>
    <n v="2"/>
    <x v="1248"/>
  </r>
  <r>
    <d v="2019-11-26T00:00:00"/>
    <x v="0"/>
    <x v="10"/>
    <x v="413"/>
    <x v="5"/>
    <x v="1"/>
    <x v="1"/>
    <x v="550"/>
    <x v="1808"/>
    <n v="3"/>
    <x v="1963"/>
  </r>
  <r>
    <d v="2019-11-26T00:00:00"/>
    <x v="0"/>
    <x v="10"/>
    <x v="542"/>
    <x v="6"/>
    <x v="2"/>
    <x v="5"/>
    <x v="737"/>
    <x v="1809"/>
    <n v="4"/>
    <x v="1964"/>
  </r>
  <r>
    <d v="2019-11-26T00:00:00"/>
    <x v="0"/>
    <x v="10"/>
    <x v="119"/>
    <x v="12"/>
    <x v="0"/>
    <x v="4"/>
    <x v="1263"/>
    <x v="1810"/>
    <n v="2"/>
    <x v="1965"/>
  </r>
  <r>
    <d v="2019-11-26T00:00:00"/>
    <x v="0"/>
    <x v="10"/>
    <x v="591"/>
    <x v="2"/>
    <x v="2"/>
    <x v="7"/>
    <x v="449"/>
    <x v="1811"/>
    <n v="4"/>
    <x v="1966"/>
  </r>
  <r>
    <d v="2019-11-26T00:00:00"/>
    <x v="0"/>
    <x v="10"/>
    <x v="530"/>
    <x v="11"/>
    <x v="1"/>
    <x v="3"/>
    <x v="1203"/>
    <x v="1109"/>
    <n v="3"/>
    <x v="1802"/>
  </r>
  <r>
    <d v="2019-11-26T00:00:00"/>
    <x v="0"/>
    <x v="10"/>
    <x v="530"/>
    <x v="11"/>
    <x v="2"/>
    <x v="9"/>
    <x v="39"/>
    <x v="1812"/>
    <n v="2"/>
    <x v="1967"/>
  </r>
  <r>
    <d v="2019-11-26T00:00:00"/>
    <x v="0"/>
    <x v="10"/>
    <x v="22"/>
    <x v="5"/>
    <x v="2"/>
    <x v="5"/>
    <x v="733"/>
    <x v="1813"/>
    <n v="9"/>
    <x v="1968"/>
  </r>
  <r>
    <d v="2019-11-26T00:00:00"/>
    <x v="0"/>
    <x v="10"/>
    <x v="53"/>
    <x v="1"/>
    <x v="0"/>
    <x v="0"/>
    <x v="1264"/>
    <x v="1814"/>
    <n v="8"/>
    <x v="1969"/>
  </r>
  <r>
    <d v="2019-11-26T00:00:00"/>
    <x v="0"/>
    <x v="10"/>
    <x v="53"/>
    <x v="1"/>
    <x v="2"/>
    <x v="7"/>
    <x v="1156"/>
    <x v="978"/>
    <n v="9"/>
    <x v="1970"/>
  </r>
  <r>
    <d v="2019-11-26T00:00:00"/>
    <x v="0"/>
    <x v="10"/>
    <x v="53"/>
    <x v="1"/>
    <x v="2"/>
    <x v="13"/>
    <x v="1197"/>
    <x v="364"/>
    <n v="2"/>
    <x v="1971"/>
  </r>
  <r>
    <d v="2019-11-26T00:00:00"/>
    <x v="0"/>
    <x v="10"/>
    <x v="53"/>
    <x v="1"/>
    <x v="0"/>
    <x v="8"/>
    <x v="513"/>
    <x v="1815"/>
    <n v="6"/>
    <x v="1972"/>
  </r>
  <r>
    <d v="2019-11-27T00:00:00"/>
    <x v="0"/>
    <x v="10"/>
    <x v="421"/>
    <x v="17"/>
    <x v="2"/>
    <x v="2"/>
    <x v="71"/>
    <x v="1816"/>
    <n v="2"/>
    <x v="1973"/>
  </r>
  <r>
    <d v="2019-11-27T00:00:00"/>
    <x v="0"/>
    <x v="10"/>
    <x v="421"/>
    <x v="17"/>
    <x v="1"/>
    <x v="3"/>
    <x v="1265"/>
    <x v="1817"/>
    <n v="6"/>
    <x v="1974"/>
  </r>
  <r>
    <d v="2019-11-27T00:00:00"/>
    <x v="0"/>
    <x v="10"/>
    <x v="91"/>
    <x v="20"/>
    <x v="1"/>
    <x v="1"/>
    <x v="1266"/>
    <x v="1818"/>
    <n v="1"/>
    <x v="1975"/>
  </r>
  <r>
    <d v="2019-11-27T00:00:00"/>
    <x v="0"/>
    <x v="10"/>
    <x v="544"/>
    <x v="25"/>
    <x v="2"/>
    <x v="13"/>
    <x v="220"/>
    <x v="1819"/>
    <n v="6"/>
    <x v="1976"/>
  </r>
  <r>
    <d v="2019-11-27T00:00:00"/>
    <x v="0"/>
    <x v="10"/>
    <x v="99"/>
    <x v="38"/>
    <x v="1"/>
    <x v="3"/>
    <x v="202"/>
    <x v="1820"/>
    <n v="5"/>
    <x v="1977"/>
  </r>
  <r>
    <d v="2019-11-27T00:00:00"/>
    <x v="0"/>
    <x v="10"/>
    <x v="99"/>
    <x v="38"/>
    <x v="2"/>
    <x v="5"/>
    <x v="1044"/>
    <x v="1821"/>
    <n v="5"/>
    <x v="1978"/>
  </r>
  <r>
    <d v="2019-11-27T00:00:00"/>
    <x v="0"/>
    <x v="10"/>
    <x v="559"/>
    <x v="10"/>
    <x v="0"/>
    <x v="8"/>
    <x v="421"/>
    <x v="330"/>
    <n v="3"/>
    <x v="464"/>
  </r>
  <r>
    <d v="2019-11-27T00:00:00"/>
    <x v="0"/>
    <x v="10"/>
    <x v="186"/>
    <x v="6"/>
    <x v="1"/>
    <x v="1"/>
    <x v="1015"/>
    <x v="1822"/>
    <n v="1"/>
    <x v="1979"/>
  </r>
  <r>
    <d v="2019-11-27T00:00:00"/>
    <x v="0"/>
    <x v="10"/>
    <x v="186"/>
    <x v="6"/>
    <x v="0"/>
    <x v="4"/>
    <x v="355"/>
    <x v="1823"/>
    <n v="7"/>
    <x v="1980"/>
  </r>
  <r>
    <d v="2019-11-27T00:00:00"/>
    <x v="0"/>
    <x v="10"/>
    <x v="230"/>
    <x v="20"/>
    <x v="2"/>
    <x v="2"/>
    <x v="596"/>
    <x v="1824"/>
    <n v="4"/>
    <x v="1981"/>
  </r>
  <r>
    <d v="2019-11-27T00:00:00"/>
    <x v="0"/>
    <x v="10"/>
    <x v="595"/>
    <x v="10"/>
    <x v="2"/>
    <x v="9"/>
    <x v="1267"/>
    <x v="17"/>
    <n v="4"/>
    <x v="1384"/>
  </r>
  <r>
    <d v="2019-11-27T00:00:00"/>
    <x v="0"/>
    <x v="10"/>
    <x v="595"/>
    <x v="10"/>
    <x v="2"/>
    <x v="7"/>
    <x v="1268"/>
    <x v="1825"/>
    <n v="3"/>
    <x v="1982"/>
  </r>
  <r>
    <d v="2019-11-27T00:00:00"/>
    <x v="0"/>
    <x v="10"/>
    <x v="595"/>
    <x v="10"/>
    <x v="2"/>
    <x v="9"/>
    <x v="356"/>
    <x v="1826"/>
    <n v="5"/>
    <x v="1983"/>
  </r>
  <r>
    <d v="2019-11-27T00:00:00"/>
    <x v="0"/>
    <x v="10"/>
    <x v="595"/>
    <x v="10"/>
    <x v="2"/>
    <x v="5"/>
    <x v="252"/>
    <x v="1827"/>
    <n v="5"/>
    <x v="1984"/>
  </r>
  <r>
    <d v="2019-11-28T00:00:00"/>
    <x v="0"/>
    <x v="10"/>
    <x v="596"/>
    <x v="11"/>
    <x v="2"/>
    <x v="5"/>
    <x v="476"/>
    <x v="1828"/>
    <n v="2"/>
    <x v="1985"/>
  </r>
  <r>
    <d v="2019-11-28T00:00:00"/>
    <x v="0"/>
    <x v="10"/>
    <x v="597"/>
    <x v="6"/>
    <x v="2"/>
    <x v="5"/>
    <x v="1269"/>
    <x v="1829"/>
    <n v="6"/>
    <x v="1986"/>
  </r>
  <r>
    <d v="2019-11-28T00:00:00"/>
    <x v="0"/>
    <x v="10"/>
    <x v="96"/>
    <x v="14"/>
    <x v="0"/>
    <x v="11"/>
    <x v="982"/>
    <x v="1830"/>
    <n v="3"/>
    <x v="1987"/>
  </r>
  <r>
    <d v="2019-11-28T00:00:00"/>
    <x v="0"/>
    <x v="10"/>
    <x v="96"/>
    <x v="14"/>
    <x v="1"/>
    <x v="3"/>
    <x v="1270"/>
    <x v="1831"/>
    <n v="6"/>
    <x v="1988"/>
  </r>
  <r>
    <d v="2019-11-28T00:00:00"/>
    <x v="0"/>
    <x v="10"/>
    <x v="96"/>
    <x v="14"/>
    <x v="2"/>
    <x v="2"/>
    <x v="1271"/>
    <x v="1832"/>
    <n v="3"/>
    <x v="1989"/>
  </r>
  <r>
    <d v="2019-11-28T00:00:00"/>
    <x v="0"/>
    <x v="10"/>
    <x v="96"/>
    <x v="14"/>
    <x v="2"/>
    <x v="2"/>
    <x v="1272"/>
    <x v="1833"/>
    <n v="6"/>
    <x v="1990"/>
  </r>
  <r>
    <d v="2019-11-28T00:00:00"/>
    <x v="0"/>
    <x v="10"/>
    <x v="154"/>
    <x v="5"/>
    <x v="1"/>
    <x v="1"/>
    <x v="683"/>
    <x v="1834"/>
    <n v="3"/>
    <x v="1991"/>
  </r>
  <r>
    <d v="2019-11-28T00:00:00"/>
    <x v="0"/>
    <x v="10"/>
    <x v="154"/>
    <x v="5"/>
    <x v="2"/>
    <x v="12"/>
    <x v="702"/>
    <x v="490"/>
    <n v="8"/>
    <x v="1992"/>
  </r>
  <r>
    <d v="2019-11-28T00:00:00"/>
    <x v="0"/>
    <x v="10"/>
    <x v="154"/>
    <x v="5"/>
    <x v="2"/>
    <x v="5"/>
    <x v="951"/>
    <x v="1835"/>
    <n v="2"/>
    <x v="1993"/>
  </r>
  <r>
    <d v="2019-11-28T00:00:00"/>
    <x v="0"/>
    <x v="10"/>
    <x v="154"/>
    <x v="5"/>
    <x v="2"/>
    <x v="2"/>
    <x v="1273"/>
    <x v="1836"/>
    <n v="2"/>
    <x v="1994"/>
  </r>
  <r>
    <d v="2019-11-28T00:00:00"/>
    <x v="0"/>
    <x v="10"/>
    <x v="154"/>
    <x v="5"/>
    <x v="0"/>
    <x v="11"/>
    <x v="207"/>
    <x v="1201"/>
    <n v="7"/>
    <x v="1284"/>
  </r>
  <r>
    <d v="2019-11-29T00:00:00"/>
    <x v="0"/>
    <x v="10"/>
    <x v="598"/>
    <x v="2"/>
    <x v="1"/>
    <x v="3"/>
    <x v="1274"/>
    <x v="1837"/>
    <n v="2"/>
    <x v="1995"/>
  </r>
  <r>
    <d v="2019-11-29T00:00:00"/>
    <x v="0"/>
    <x v="10"/>
    <x v="516"/>
    <x v="17"/>
    <x v="0"/>
    <x v="8"/>
    <x v="842"/>
    <x v="1838"/>
    <n v="4"/>
    <x v="1996"/>
  </r>
  <r>
    <d v="2019-11-30T00:00:00"/>
    <x v="0"/>
    <x v="10"/>
    <x v="152"/>
    <x v="4"/>
    <x v="1"/>
    <x v="1"/>
    <x v="5"/>
    <x v="1839"/>
    <n v="1"/>
    <x v="1997"/>
  </r>
  <r>
    <d v="2019-11-30T00:00:00"/>
    <x v="0"/>
    <x v="10"/>
    <x v="599"/>
    <x v="25"/>
    <x v="2"/>
    <x v="9"/>
    <x v="1061"/>
    <x v="1840"/>
    <n v="4"/>
    <x v="1998"/>
  </r>
  <r>
    <d v="2019-11-30T00:00:00"/>
    <x v="0"/>
    <x v="10"/>
    <x v="599"/>
    <x v="25"/>
    <x v="2"/>
    <x v="9"/>
    <x v="331"/>
    <x v="1841"/>
    <n v="2"/>
    <x v="1999"/>
  </r>
  <r>
    <d v="2019-11-30T00:00:00"/>
    <x v="0"/>
    <x v="10"/>
    <x v="599"/>
    <x v="25"/>
    <x v="2"/>
    <x v="2"/>
    <x v="1064"/>
    <x v="1842"/>
    <n v="7"/>
    <x v="2000"/>
  </r>
  <r>
    <d v="2019-11-30T00:00:00"/>
    <x v="0"/>
    <x v="10"/>
    <x v="599"/>
    <x v="25"/>
    <x v="0"/>
    <x v="11"/>
    <x v="1078"/>
    <x v="724"/>
    <n v="3"/>
    <x v="2001"/>
  </r>
  <r>
    <d v="2019-12-01T00:00:00"/>
    <x v="0"/>
    <x v="11"/>
    <x v="36"/>
    <x v="18"/>
    <x v="2"/>
    <x v="13"/>
    <x v="256"/>
    <x v="1843"/>
    <n v="7"/>
    <x v="2002"/>
  </r>
  <r>
    <d v="2019-12-01T00:00:00"/>
    <x v="0"/>
    <x v="11"/>
    <x v="447"/>
    <x v="1"/>
    <x v="2"/>
    <x v="2"/>
    <x v="796"/>
    <x v="1844"/>
    <n v="3"/>
    <x v="2003"/>
  </r>
  <r>
    <d v="2019-12-01T00:00:00"/>
    <x v="0"/>
    <x v="11"/>
    <x v="600"/>
    <x v="26"/>
    <x v="2"/>
    <x v="13"/>
    <x v="256"/>
    <x v="275"/>
    <n v="3"/>
    <x v="277"/>
  </r>
  <r>
    <d v="2019-12-01T00:00:00"/>
    <x v="0"/>
    <x v="11"/>
    <x v="326"/>
    <x v="4"/>
    <x v="1"/>
    <x v="1"/>
    <x v="1184"/>
    <x v="1845"/>
    <n v="9"/>
    <x v="2004"/>
  </r>
  <r>
    <d v="2019-12-01T00:00:00"/>
    <x v="0"/>
    <x v="11"/>
    <x v="582"/>
    <x v="11"/>
    <x v="0"/>
    <x v="11"/>
    <x v="1208"/>
    <x v="1846"/>
    <n v="4"/>
    <x v="2005"/>
  </r>
  <r>
    <d v="2019-12-01T00:00:00"/>
    <x v="0"/>
    <x v="11"/>
    <x v="600"/>
    <x v="26"/>
    <x v="0"/>
    <x v="4"/>
    <x v="69"/>
    <x v="1847"/>
    <n v="3"/>
    <x v="2006"/>
  </r>
  <r>
    <d v="2019-12-01T00:00:00"/>
    <x v="0"/>
    <x v="11"/>
    <x v="601"/>
    <x v="2"/>
    <x v="0"/>
    <x v="11"/>
    <x v="207"/>
    <x v="1848"/>
    <n v="5"/>
    <x v="2007"/>
  </r>
  <r>
    <d v="2019-12-01T00:00:00"/>
    <x v="0"/>
    <x v="11"/>
    <x v="521"/>
    <x v="0"/>
    <x v="1"/>
    <x v="1"/>
    <x v="1275"/>
    <x v="1018"/>
    <n v="3"/>
    <x v="2008"/>
  </r>
  <r>
    <d v="2019-12-01T00:00:00"/>
    <x v="0"/>
    <x v="11"/>
    <x v="521"/>
    <x v="0"/>
    <x v="0"/>
    <x v="11"/>
    <x v="118"/>
    <x v="1849"/>
    <n v="2"/>
    <x v="2009"/>
  </r>
  <r>
    <d v="2019-12-01T00:00:00"/>
    <x v="0"/>
    <x v="11"/>
    <x v="600"/>
    <x v="26"/>
    <x v="1"/>
    <x v="1"/>
    <x v="1276"/>
    <x v="1850"/>
    <n v="3"/>
    <x v="2010"/>
  </r>
  <r>
    <d v="2019-12-01T00:00:00"/>
    <x v="0"/>
    <x v="11"/>
    <x v="600"/>
    <x v="26"/>
    <x v="0"/>
    <x v="8"/>
    <x v="1277"/>
    <x v="1851"/>
    <n v="5"/>
    <x v="2011"/>
  </r>
  <r>
    <d v="2019-12-01T00:00:00"/>
    <x v="0"/>
    <x v="11"/>
    <x v="582"/>
    <x v="11"/>
    <x v="2"/>
    <x v="5"/>
    <x v="19"/>
    <x v="1852"/>
    <n v="6"/>
    <x v="2012"/>
  </r>
  <r>
    <d v="2019-12-01T00:00:00"/>
    <x v="0"/>
    <x v="11"/>
    <x v="601"/>
    <x v="2"/>
    <x v="0"/>
    <x v="11"/>
    <x v="982"/>
    <x v="813"/>
    <n v="2"/>
    <x v="1303"/>
  </r>
  <r>
    <d v="2019-12-01T00:00:00"/>
    <x v="0"/>
    <x v="11"/>
    <x v="447"/>
    <x v="1"/>
    <x v="2"/>
    <x v="9"/>
    <x v="964"/>
    <x v="1853"/>
    <n v="1"/>
    <x v="2013"/>
  </r>
  <r>
    <d v="2019-12-01T00:00:00"/>
    <x v="0"/>
    <x v="11"/>
    <x v="36"/>
    <x v="18"/>
    <x v="2"/>
    <x v="16"/>
    <x v="749"/>
    <x v="1854"/>
    <n v="5"/>
    <x v="2014"/>
  </r>
  <r>
    <d v="2019-12-01T00:00:00"/>
    <x v="0"/>
    <x v="11"/>
    <x v="447"/>
    <x v="1"/>
    <x v="0"/>
    <x v="8"/>
    <x v="1232"/>
    <x v="1734"/>
    <n v="2"/>
    <x v="1884"/>
  </r>
  <r>
    <d v="2019-12-01T00:00:00"/>
    <x v="0"/>
    <x v="11"/>
    <x v="135"/>
    <x v="27"/>
    <x v="2"/>
    <x v="9"/>
    <x v="533"/>
    <x v="1855"/>
    <n v="4"/>
    <x v="2015"/>
  </r>
  <r>
    <d v="2019-12-01T00:00:00"/>
    <x v="0"/>
    <x v="11"/>
    <x v="602"/>
    <x v="1"/>
    <x v="2"/>
    <x v="7"/>
    <x v="1085"/>
    <x v="1856"/>
    <n v="8"/>
    <x v="2016"/>
  </r>
  <r>
    <d v="2019-12-01T00:00:00"/>
    <x v="0"/>
    <x v="11"/>
    <x v="447"/>
    <x v="1"/>
    <x v="2"/>
    <x v="10"/>
    <x v="1278"/>
    <x v="1513"/>
    <n v="3"/>
    <x v="1636"/>
  </r>
  <r>
    <d v="2019-12-01T00:00:00"/>
    <x v="0"/>
    <x v="11"/>
    <x v="97"/>
    <x v="24"/>
    <x v="0"/>
    <x v="8"/>
    <x v="1139"/>
    <x v="1857"/>
    <n v="3"/>
    <x v="2017"/>
  </r>
  <r>
    <d v="2019-12-01T00:00:00"/>
    <x v="0"/>
    <x v="11"/>
    <x v="603"/>
    <x v="1"/>
    <x v="0"/>
    <x v="8"/>
    <x v="246"/>
    <x v="264"/>
    <n v="2"/>
    <x v="266"/>
  </r>
  <r>
    <d v="2019-12-01T00:00:00"/>
    <x v="0"/>
    <x v="11"/>
    <x v="601"/>
    <x v="2"/>
    <x v="2"/>
    <x v="13"/>
    <x v="623"/>
    <x v="43"/>
    <n v="4"/>
    <x v="2018"/>
  </r>
  <r>
    <d v="2019-12-01T00:00:00"/>
    <x v="0"/>
    <x v="11"/>
    <x v="578"/>
    <x v="21"/>
    <x v="2"/>
    <x v="7"/>
    <x v="597"/>
    <x v="1858"/>
    <n v="2"/>
    <x v="2019"/>
  </r>
  <r>
    <d v="2019-12-02T00:00:00"/>
    <x v="0"/>
    <x v="11"/>
    <x v="410"/>
    <x v="35"/>
    <x v="2"/>
    <x v="2"/>
    <x v="1279"/>
    <x v="1859"/>
    <n v="5"/>
    <x v="2020"/>
  </r>
  <r>
    <d v="2019-12-02T00:00:00"/>
    <x v="0"/>
    <x v="11"/>
    <x v="132"/>
    <x v="2"/>
    <x v="0"/>
    <x v="0"/>
    <x v="1280"/>
    <x v="1860"/>
    <n v="10"/>
    <x v="2021"/>
  </r>
  <r>
    <d v="2019-12-02T00:00:00"/>
    <x v="0"/>
    <x v="11"/>
    <x v="410"/>
    <x v="35"/>
    <x v="1"/>
    <x v="1"/>
    <x v="599"/>
    <x v="1861"/>
    <n v="5"/>
    <x v="2022"/>
  </r>
  <r>
    <d v="2019-12-02T00:00:00"/>
    <x v="0"/>
    <x v="11"/>
    <x v="604"/>
    <x v="12"/>
    <x v="2"/>
    <x v="5"/>
    <x v="236"/>
    <x v="1862"/>
    <n v="3"/>
    <x v="2023"/>
  </r>
  <r>
    <d v="2019-12-02T00:00:00"/>
    <x v="0"/>
    <x v="11"/>
    <x v="605"/>
    <x v="22"/>
    <x v="1"/>
    <x v="3"/>
    <x v="4"/>
    <x v="5"/>
    <n v="3"/>
    <x v="5"/>
  </r>
  <r>
    <d v="2019-12-02T00:00:00"/>
    <x v="0"/>
    <x v="11"/>
    <x v="431"/>
    <x v="41"/>
    <x v="2"/>
    <x v="5"/>
    <x v="1281"/>
    <x v="1863"/>
    <n v="8"/>
    <x v="2024"/>
  </r>
  <r>
    <d v="2019-12-02T00:00:00"/>
    <x v="0"/>
    <x v="11"/>
    <x v="479"/>
    <x v="1"/>
    <x v="2"/>
    <x v="5"/>
    <x v="200"/>
    <x v="1864"/>
    <n v="3"/>
    <x v="2025"/>
  </r>
  <r>
    <d v="2019-12-02T00:00:00"/>
    <x v="0"/>
    <x v="11"/>
    <x v="410"/>
    <x v="35"/>
    <x v="0"/>
    <x v="8"/>
    <x v="853"/>
    <x v="1865"/>
    <n v="6"/>
    <x v="2026"/>
  </r>
  <r>
    <d v="2019-12-02T00:00:00"/>
    <x v="0"/>
    <x v="11"/>
    <x v="479"/>
    <x v="1"/>
    <x v="2"/>
    <x v="13"/>
    <x v="1282"/>
    <x v="1866"/>
    <n v="3"/>
    <x v="2027"/>
  </r>
  <r>
    <d v="2019-12-02T00:00:00"/>
    <x v="0"/>
    <x v="11"/>
    <x v="604"/>
    <x v="12"/>
    <x v="2"/>
    <x v="9"/>
    <x v="1283"/>
    <x v="1731"/>
    <n v="1"/>
    <x v="2028"/>
  </r>
  <r>
    <d v="2019-12-02T00:00:00"/>
    <x v="0"/>
    <x v="11"/>
    <x v="606"/>
    <x v="1"/>
    <x v="2"/>
    <x v="9"/>
    <x v="1284"/>
    <x v="1754"/>
    <n v="7"/>
    <x v="1906"/>
  </r>
  <r>
    <d v="2019-12-02T00:00:00"/>
    <x v="0"/>
    <x v="11"/>
    <x v="604"/>
    <x v="12"/>
    <x v="2"/>
    <x v="5"/>
    <x v="19"/>
    <x v="1665"/>
    <n v="3"/>
    <x v="1813"/>
  </r>
  <r>
    <d v="2019-12-02T00:00:00"/>
    <x v="0"/>
    <x v="11"/>
    <x v="606"/>
    <x v="1"/>
    <x v="2"/>
    <x v="2"/>
    <x v="89"/>
    <x v="1867"/>
    <n v="3"/>
    <x v="2029"/>
  </r>
  <r>
    <d v="2019-12-02T00:00:00"/>
    <x v="0"/>
    <x v="11"/>
    <x v="132"/>
    <x v="2"/>
    <x v="2"/>
    <x v="9"/>
    <x v="316"/>
    <x v="1025"/>
    <n v="9"/>
    <x v="1078"/>
  </r>
  <r>
    <d v="2019-12-02T00:00:00"/>
    <x v="0"/>
    <x v="11"/>
    <x v="606"/>
    <x v="1"/>
    <x v="2"/>
    <x v="9"/>
    <x v="816"/>
    <x v="17"/>
    <n v="4"/>
    <x v="1384"/>
  </r>
  <r>
    <d v="2019-12-02T00:00:00"/>
    <x v="0"/>
    <x v="11"/>
    <x v="479"/>
    <x v="1"/>
    <x v="2"/>
    <x v="5"/>
    <x v="238"/>
    <x v="1868"/>
    <n v="2"/>
    <x v="2030"/>
  </r>
  <r>
    <d v="2019-12-02T00:00:00"/>
    <x v="0"/>
    <x v="11"/>
    <x v="479"/>
    <x v="1"/>
    <x v="0"/>
    <x v="8"/>
    <x v="1285"/>
    <x v="1869"/>
    <n v="3"/>
    <x v="814"/>
  </r>
  <r>
    <d v="2019-12-03T00:00:00"/>
    <x v="0"/>
    <x v="11"/>
    <x v="8"/>
    <x v="1"/>
    <x v="1"/>
    <x v="3"/>
    <x v="1226"/>
    <x v="1870"/>
    <n v="5"/>
    <x v="2031"/>
  </r>
  <r>
    <d v="2019-12-03T00:00:00"/>
    <x v="0"/>
    <x v="11"/>
    <x v="607"/>
    <x v="1"/>
    <x v="2"/>
    <x v="2"/>
    <x v="351"/>
    <x v="1871"/>
    <n v="4"/>
    <x v="2032"/>
  </r>
  <r>
    <d v="2019-12-03T00:00:00"/>
    <x v="0"/>
    <x v="11"/>
    <x v="216"/>
    <x v="24"/>
    <x v="0"/>
    <x v="4"/>
    <x v="1112"/>
    <x v="1872"/>
    <n v="2"/>
    <x v="2033"/>
  </r>
  <r>
    <d v="2019-12-03T00:00:00"/>
    <x v="0"/>
    <x v="11"/>
    <x v="608"/>
    <x v="12"/>
    <x v="0"/>
    <x v="11"/>
    <x v="291"/>
    <x v="1873"/>
    <n v="3"/>
    <x v="2034"/>
  </r>
  <r>
    <d v="2019-12-03T00:00:00"/>
    <x v="0"/>
    <x v="11"/>
    <x v="608"/>
    <x v="12"/>
    <x v="0"/>
    <x v="4"/>
    <x v="1286"/>
    <x v="1874"/>
    <n v="2"/>
    <x v="2035"/>
  </r>
  <r>
    <d v="2019-12-03T00:00:00"/>
    <x v="0"/>
    <x v="11"/>
    <x v="109"/>
    <x v="5"/>
    <x v="2"/>
    <x v="13"/>
    <x v="1287"/>
    <x v="1875"/>
    <n v="4"/>
    <x v="2036"/>
  </r>
  <r>
    <d v="2019-12-03T00:00:00"/>
    <x v="0"/>
    <x v="11"/>
    <x v="252"/>
    <x v="1"/>
    <x v="0"/>
    <x v="4"/>
    <x v="917"/>
    <x v="1876"/>
    <n v="3"/>
    <x v="1859"/>
  </r>
  <r>
    <d v="2019-12-03T00:00:00"/>
    <x v="0"/>
    <x v="11"/>
    <x v="252"/>
    <x v="1"/>
    <x v="0"/>
    <x v="0"/>
    <x v="873"/>
    <x v="1877"/>
    <n v="2"/>
    <x v="2037"/>
  </r>
  <r>
    <d v="2019-12-03T00:00:00"/>
    <x v="0"/>
    <x v="11"/>
    <x v="608"/>
    <x v="12"/>
    <x v="2"/>
    <x v="9"/>
    <x v="250"/>
    <x v="640"/>
    <n v="8"/>
    <x v="658"/>
  </r>
  <r>
    <d v="2019-12-03T00:00:00"/>
    <x v="0"/>
    <x v="11"/>
    <x v="8"/>
    <x v="1"/>
    <x v="0"/>
    <x v="8"/>
    <x v="587"/>
    <x v="1878"/>
    <n v="6"/>
    <x v="2038"/>
  </r>
  <r>
    <d v="2019-12-03T00:00:00"/>
    <x v="0"/>
    <x v="11"/>
    <x v="252"/>
    <x v="1"/>
    <x v="2"/>
    <x v="2"/>
    <x v="187"/>
    <x v="1879"/>
    <n v="3"/>
    <x v="2039"/>
  </r>
  <r>
    <d v="2019-12-03T00:00:00"/>
    <x v="0"/>
    <x v="11"/>
    <x v="608"/>
    <x v="12"/>
    <x v="2"/>
    <x v="2"/>
    <x v="206"/>
    <x v="1880"/>
    <n v="3"/>
    <x v="2040"/>
  </r>
  <r>
    <d v="2019-12-03T00:00:00"/>
    <x v="0"/>
    <x v="11"/>
    <x v="216"/>
    <x v="24"/>
    <x v="0"/>
    <x v="11"/>
    <x v="132"/>
    <x v="1881"/>
    <n v="1"/>
    <x v="2041"/>
  </r>
  <r>
    <d v="2019-12-03T00:00:00"/>
    <x v="0"/>
    <x v="11"/>
    <x v="252"/>
    <x v="1"/>
    <x v="2"/>
    <x v="7"/>
    <x v="507"/>
    <x v="1882"/>
    <n v="8"/>
    <x v="2042"/>
  </r>
  <r>
    <d v="2019-12-03T00:00:00"/>
    <x v="0"/>
    <x v="11"/>
    <x v="109"/>
    <x v="5"/>
    <x v="2"/>
    <x v="5"/>
    <x v="1288"/>
    <x v="1883"/>
    <n v="4"/>
    <x v="2043"/>
  </r>
  <r>
    <d v="2019-12-03T00:00:00"/>
    <x v="0"/>
    <x v="11"/>
    <x v="608"/>
    <x v="12"/>
    <x v="2"/>
    <x v="14"/>
    <x v="970"/>
    <x v="948"/>
    <n v="2"/>
    <x v="996"/>
  </r>
  <r>
    <d v="2019-12-04T00:00:00"/>
    <x v="0"/>
    <x v="11"/>
    <x v="609"/>
    <x v="12"/>
    <x v="2"/>
    <x v="2"/>
    <x v="1289"/>
    <x v="1884"/>
    <n v="6"/>
    <x v="72"/>
  </r>
  <r>
    <d v="2019-12-04T00:00:00"/>
    <x v="0"/>
    <x v="11"/>
    <x v="451"/>
    <x v="12"/>
    <x v="2"/>
    <x v="2"/>
    <x v="1104"/>
    <x v="1885"/>
    <n v="2"/>
    <x v="2044"/>
  </r>
  <r>
    <d v="2019-12-04T00:00:00"/>
    <x v="0"/>
    <x v="11"/>
    <x v="451"/>
    <x v="12"/>
    <x v="2"/>
    <x v="2"/>
    <x v="1290"/>
    <x v="1886"/>
    <n v="3"/>
    <x v="2045"/>
  </r>
  <r>
    <d v="2019-12-04T00:00:00"/>
    <x v="0"/>
    <x v="11"/>
    <x v="451"/>
    <x v="12"/>
    <x v="0"/>
    <x v="8"/>
    <x v="441"/>
    <x v="1887"/>
    <n v="3"/>
    <x v="2046"/>
  </r>
  <r>
    <d v="2019-12-04T00:00:00"/>
    <x v="0"/>
    <x v="11"/>
    <x v="145"/>
    <x v="1"/>
    <x v="2"/>
    <x v="9"/>
    <x v="574"/>
    <x v="106"/>
    <n v="1"/>
    <x v="838"/>
  </r>
  <r>
    <d v="2019-12-04T00:00:00"/>
    <x v="0"/>
    <x v="11"/>
    <x v="451"/>
    <x v="12"/>
    <x v="1"/>
    <x v="3"/>
    <x v="940"/>
    <x v="1888"/>
    <n v="1"/>
    <x v="2047"/>
  </r>
  <r>
    <d v="2019-12-04T00:00:00"/>
    <x v="0"/>
    <x v="11"/>
    <x v="451"/>
    <x v="12"/>
    <x v="2"/>
    <x v="9"/>
    <x v="84"/>
    <x v="1889"/>
    <n v="4"/>
    <x v="2048"/>
  </r>
  <r>
    <d v="2019-12-04T00:00:00"/>
    <x v="0"/>
    <x v="11"/>
    <x v="402"/>
    <x v="12"/>
    <x v="2"/>
    <x v="5"/>
    <x v="523"/>
    <x v="1890"/>
    <n v="3"/>
    <x v="2049"/>
  </r>
  <r>
    <d v="2019-12-04T00:00:00"/>
    <x v="0"/>
    <x v="11"/>
    <x v="451"/>
    <x v="12"/>
    <x v="2"/>
    <x v="5"/>
    <x v="192"/>
    <x v="82"/>
    <n v="1"/>
    <x v="2050"/>
  </r>
  <r>
    <d v="2019-12-05T00:00:00"/>
    <x v="0"/>
    <x v="11"/>
    <x v="610"/>
    <x v="7"/>
    <x v="0"/>
    <x v="11"/>
    <x v="310"/>
    <x v="1891"/>
    <n v="8"/>
    <x v="2051"/>
  </r>
  <r>
    <d v="2019-12-05T00:00:00"/>
    <x v="0"/>
    <x v="11"/>
    <x v="364"/>
    <x v="19"/>
    <x v="1"/>
    <x v="1"/>
    <x v="1291"/>
    <x v="1892"/>
    <n v="2"/>
    <x v="2052"/>
  </r>
  <r>
    <d v="2019-12-05T00:00:00"/>
    <x v="0"/>
    <x v="11"/>
    <x v="364"/>
    <x v="19"/>
    <x v="2"/>
    <x v="2"/>
    <x v="361"/>
    <x v="1893"/>
    <n v="9"/>
    <x v="2053"/>
  </r>
  <r>
    <d v="2019-12-05T00:00:00"/>
    <x v="0"/>
    <x v="11"/>
    <x v="386"/>
    <x v="12"/>
    <x v="2"/>
    <x v="2"/>
    <x v="1155"/>
    <x v="1894"/>
    <n v="3"/>
    <x v="2054"/>
  </r>
  <r>
    <d v="2019-12-05T00:00:00"/>
    <x v="0"/>
    <x v="11"/>
    <x v="332"/>
    <x v="9"/>
    <x v="2"/>
    <x v="5"/>
    <x v="1043"/>
    <x v="1895"/>
    <n v="3"/>
    <x v="2055"/>
  </r>
  <r>
    <d v="2019-12-05T00:00:00"/>
    <x v="0"/>
    <x v="11"/>
    <x v="610"/>
    <x v="7"/>
    <x v="1"/>
    <x v="1"/>
    <x v="105"/>
    <x v="1896"/>
    <n v="11"/>
    <x v="2056"/>
  </r>
  <r>
    <d v="2019-12-05T00:00:00"/>
    <x v="0"/>
    <x v="11"/>
    <x v="386"/>
    <x v="19"/>
    <x v="0"/>
    <x v="8"/>
    <x v="392"/>
    <x v="1140"/>
    <n v="3"/>
    <x v="2057"/>
  </r>
  <r>
    <d v="2019-12-05T00:00:00"/>
    <x v="0"/>
    <x v="11"/>
    <x v="610"/>
    <x v="7"/>
    <x v="2"/>
    <x v="5"/>
    <x v="1292"/>
    <x v="1897"/>
    <n v="5"/>
    <x v="2058"/>
  </r>
  <r>
    <d v="2019-12-05T00:00:00"/>
    <x v="0"/>
    <x v="11"/>
    <x v="610"/>
    <x v="7"/>
    <x v="1"/>
    <x v="1"/>
    <x v="111"/>
    <x v="345"/>
    <n v="3"/>
    <x v="349"/>
  </r>
  <r>
    <d v="2019-12-05T00:00:00"/>
    <x v="0"/>
    <x v="11"/>
    <x v="40"/>
    <x v="23"/>
    <x v="2"/>
    <x v="10"/>
    <x v="88"/>
    <x v="1898"/>
    <n v="7"/>
    <x v="2059"/>
  </r>
  <r>
    <d v="2019-12-05T00:00:00"/>
    <x v="0"/>
    <x v="11"/>
    <x v="611"/>
    <x v="26"/>
    <x v="0"/>
    <x v="0"/>
    <x v="934"/>
    <x v="1899"/>
    <n v="1"/>
    <x v="2060"/>
  </r>
  <r>
    <d v="2019-12-05T00:00:00"/>
    <x v="0"/>
    <x v="11"/>
    <x v="430"/>
    <x v="37"/>
    <x v="2"/>
    <x v="7"/>
    <x v="354"/>
    <x v="1900"/>
    <n v="8"/>
    <x v="2061"/>
  </r>
  <r>
    <d v="2019-12-05T00:00:00"/>
    <x v="0"/>
    <x v="11"/>
    <x v="40"/>
    <x v="23"/>
    <x v="0"/>
    <x v="8"/>
    <x v="1063"/>
    <x v="1901"/>
    <n v="1"/>
    <x v="2062"/>
  </r>
  <r>
    <d v="2019-12-05T00:00:00"/>
    <x v="0"/>
    <x v="11"/>
    <x v="96"/>
    <x v="17"/>
    <x v="2"/>
    <x v="14"/>
    <x v="1082"/>
    <x v="1329"/>
    <n v="3"/>
    <x v="2063"/>
  </r>
  <r>
    <d v="2019-12-05T00:00:00"/>
    <x v="0"/>
    <x v="11"/>
    <x v="40"/>
    <x v="23"/>
    <x v="2"/>
    <x v="9"/>
    <x v="84"/>
    <x v="604"/>
    <n v="1"/>
    <x v="2064"/>
  </r>
  <r>
    <d v="2019-12-05T00:00:00"/>
    <x v="0"/>
    <x v="11"/>
    <x v="612"/>
    <x v="17"/>
    <x v="2"/>
    <x v="7"/>
    <x v="715"/>
    <x v="1902"/>
    <n v="2"/>
    <x v="2065"/>
  </r>
  <r>
    <d v="2019-12-06T00:00:00"/>
    <x v="0"/>
    <x v="11"/>
    <x v="330"/>
    <x v="12"/>
    <x v="2"/>
    <x v="5"/>
    <x v="236"/>
    <x v="1903"/>
    <n v="7"/>
    <x v="2066"/>
  </r>
  <r>
    <d v="2019-12-06T00:00:00"/>
    <x v="0"/>
    <x v="11"/>
    <x v="330"/>
    <x v="12"/>
    <x v="1"/>
    <x v="6"/>
    <x v="1293"/>
    <x v="1904"/>
    <n v="2"/>
    <x v="2067"/>
  </r>
  <r>
    <d v="2019-12-06T00:00:00"/>
    <x v="0"/>
    <x v="11"/>
    <x v="281"/>
    <x v="1"/>
    <x v="2"/>
    <x v="5"/>
    <x v="1076"/>
    <x v="1905"/>
    <n v="14"/>
    <x v="2068"/>
  </r>
  <r>
    <d v="2019-12-06T00:00:00"/>
    <x v="0"/>
    <x v="11"/>
    <x v="73"/>
    <x v="9"/>
    <x v="1"/>
    <x v="1"/>
    <x v="1294"/>
    <x v="189"/>
    <n v="3"/>
    <x v="2069"/>
  </r>
  <r>
    <d v="2019-12-06T00:00:00"/>
    <x v="0"/>
    <x v="11"/>
    <x v="281"/>
    <x v="1"/>
    <x v="1"/>
    <x v="1"/>
    <x v="21"/>
    <x v="1906"/>
    <n v="5"/>
    <x v="2070"/>
  </r>
  <r>
    <d v="2019-12-06T00:00:00"/>
    <x v="0"/>
    <x v="11"/>
    <x v="281"/>
    <x v="1"/>
    <x v="1"/>
    <x v="1"/>
    <x v="955"/>
    <x v="1907"/>
    <n v="2"/>
    <x v="2071"/>
  </r>
  <r>
    <d v="2019-12-06T00:00:00"/>
    <x v="0"/>
    <x v="11"/>
    <x v="73"/>
    <x v="9"/>
    <x v="2"/>
    <x v="9"/>
    <x v="142"/>
    <x v="1908"/>
    <n v="7"/>
    <x v="2072"/>
  </r>
  <r>
    <d v="2019-12-06T00:00:00"/>
    <x v="0"/>
    <x v="11"/>
    <x v="330"/>
    <x v="12"/>
    <x v="2"/>
    <x v="5"/>
    <x v="627"/>
    <x v="1909"/>
    <n v="13"/>
    <x v="2073"/>
  </r>
  <r>
    <d v="2019-12-06T00:00:00"/>
    <x v="0"/>
    <x v="11"/>
    <x v="73"/>
    <x v="9"/>
    <x v="2"/>
    <x v="9"/>
    <x v="611"/>
    <x v="1910"/>
    <n v="5"/>
    <x v="2074"/>
  </r>
  <r>
    <d v="2019-12-06T00:00:00"/>
    <x v="0"/>
    <x v="11"/>
    <x v="73"/>
    <x v="9"/>
    <x v="1"/>
    <x v="1"/>
    <x v="1295"/>
    <x v="1911"/>
    <n v="1"/>
    <x v="2075"/>
  </r>
  <r>
    <d v="2019-12-06T00:00:00"/>
    <x v="0"/>
    <x v="11"/>
    <x v="73"/>
    <x v="9"/>
    <x v="2"/>
    <x v="5"/>
    <x v="588"/>
    <x v="1912"/>
    <n v="3"/>
    <x v="2076"/>
  </r>
  <r>
    <d v="2019-12-06T00:00:00"/>
    <x v="0"/>
    <x v="11"/>
    <x v="73"/>
    <x v="9"/>
    <x v="2"/>
    <x v="5"/>
    <x v="1182"/>
    <x v="1913"/>
    <n v="7"/>
    <x v="2077"/>
  </r>
  <r>
    <d v="2019-12-06T00:00:00"/>
    <x v="0"/>
    <x v="11"/>
    <x v="73"/>
    <x v="9"/>
    <x v="2"/>
    <x v="10"/>
    <x v="1296"/>
    <x v="1914"/>
    <n v="1"/>
    <x v="2078"/>
  </r>
  <r>
    <d v="2019-12-06T00:00:00"/>
    <x v="0"/>
    <x v="11"/>
    <x v="421"/>
    <x v="1"/>
    <x v="2"/>
    <x v="9"/>
    <x v="818"/>
    <x v="390"/>
    <n v="3"/>
    <x v="397"/>
  </r>
  <r>
    <d v="2019-12-06T00:00:00"/>
    <x v="0"/>
    <x v="11"/>
    <x v="281"/>
    <x v="1"/>
    <x v="2"/>
    <x v="7"/>
    <x v="953"/>
    <x v="94"/>
    <n v="7"/>
    <x v="1246"/>
  </r>
  <r>
    <d v="2019-12-06T00:00:00"/>
    <x v="0"/>
    <x v="11"/>
    <x v="281"/>
    <x v="1"/>
    <x v="2"/>
    <x v="12"/>
    <x v="566"/>
    <x v="1915"/>
    <n v="7"/>
    <x v="72"/>
  </r>
  <r>
    <d v="2019-12-06T00:00:00"/>
    <x v="0"/>
    <x v="11"/>
    <x v="281"/>
    <x v="1"/>
    <x v="2"/>
    <x v="5"/>
    <x v="151"/>
    <x v="1916"/>
    <n v="4"/>
    <x v="2079"/>
  </r>
  <r>
    <d v="2019-12-06T00:00:00"/>
    <x v="0"/>
    <x v="11"/>
    <x v="281"/>
    <x v="1"/>
    <x v="2"/>
    <x v="9"/>
    <x v="1297"/>
    <x v="1812"/>
    <n v="2"/>
    <x v="1967"/>
  </r>
  <r>
    <d v="2019-12-08T00:00:00"/>
    <x v="0"/>
    <x v="11"/>
    <x v="613"/>
    <x v="1"/>
    <x v="0"/>
    <x v="4"/>
    <x v="1298"/>
    <x v="1917"/>
    <n v="6"/>
    <x v="2080"/>
  </r>
  <r>
    <d v="2019-12-08T00:00:00"/>
    <x v="0"/>
    <x v="11"/>
    <x v="614"/>
    <x v="2"/>
    <x v="1"/>
    <x v="1"/>
    <x v="1299"/>
    <x v="1918"/>
    <n v="7"/>
    <x v="2081"/>
  </r>
  <r>
    <d v="2019-12-08T00:00:00"/>
    <x v="0"/>
    <x v="11"/>
    <x v="267"/>
    <x v="7"/>
    <x v="0"/>
    <x v="11"/>
    <x v="763"/>
    <x v="1919"/>
    <n v="3"/>
    <x v="2082"/>
  </r>
  <r>
    <d v="2019-12-08T00:00:00"/>
    <x v="0"/>
    <x v="11"/>
    <x v="267"/>
    <x v="7"/>
    <x v="0"/>
    <x v="0"/>
    <x v="991"/>
    <x v="1920"/>
    <n v="7"/>
    <x v="2083"/>
  </r>
  <r>
    <d v="2019-12-08T00:00:00"/>
    <x v="0"/>
    <x v="11"/>
    <x v="523"/>
    <x v="1"/>
    <x v="2"/>
    <x v="2"/>
    <x v="844"/>
    <x v="1921"/>
    <n v="2"/>
    <x v="2084"/>
  </r>
  <r>
    <d v="2019-12-08T00:00:00"/>
    <x v="0"/>
    <x v="11"/>
    <x v="329"/>
    <x v="4"/>
    <x v="1"/>
    <x v="1"/>
    <x v="955"/>
    <x v="1907"/>
    <n v="2"/>
    <x v="2071"/>
  </r>
  <r>
    <d v="2019-12-08T00:00:00"/>
    <x v="0"/>
    <x v="11"/>
    <x v="614"/>
    <x v="2"/>
    <x v="0"/>
    <x v="8"/>
    <x v="1014"/>
    <x v="1922"/>
    <n v="5"/>
    <x v="2085"/>
  </r>
  <r>
    <d v="2019-12-08T00:00:00"/>
    <x v="0"/>
    <x v="11"/>
    <x v="189"/>
    <x v="27"/>
    <x v="1"/>
    <x v="1"/>
    <x v="541"/>
    <x v="1562"/>
    <n v="5"/>
    <x v="2086"/>
  </r>
  <r>
    <d v="2019-12-08T00:00:00"/>
    <x v="0"/>
    <x v="11"/>
    <x v="329"/>
    <x v="4"/>
    <x v="1"/>
    <x v="3"/>
    <x v="1118"/>
    <x v="1569"/>
    <n v="3"/>
    <x v="1701"/>
  </r>
  <r>
    <d v="2019-12-08T00:00:00"/>
    <x v="0"/>
    <x v="11"/>
    <x v="613"/>
    <x v="1"/>
    <x v="2"/>
    <x v="9"/>
    <x v="1300"/>
    <x v="622"/>
    <n v="7"/>
    <x v="640"/>
  </r>
  <r>
    <d v="2019-12-08T00:00:00"/>
    <x v="0"/>
    <x v="11"/>
    <x v="523"/>
    <x v="1"/>
    <x v="2"/>
    <x v="2"/>
    <x v="1301"/>
    <x v="1923"/>
    <n v="3"/>
    <x v="1521"/>
  </r>
  <r>
    <d v="2019-12-08T00:00:00"/>
    <x v="0"/>
    <x v="11"/>
    <x v="329"/>
    <x v="4"/>
    <x v="1"/>
    <x v="3"/>
    <x v="696"/>
    <x v="1191"/>
    <n v="3"/>
    <x v="2087"/>
  </r>
  <r>
    <d v="2019-12-08T00:00:00"/>
    <x v="0"/>
    <x v="11"/>
    <x v="115"/>
    <x v="8"/>
    <x v="2"/>
    <x v="5"/>
    <x v="1302"/>
    <x v="1924"/>
    <n v="7"/>
    <x v="2088"/>
  </r>
  <r>
    <d v="2019-12-08T00:00:00"/>
    <x v="0"/>
    <x v="11"/>
    <x v="100"/>
    <x v="8"/>
    <x v="2"/>
    <x v="9"/>
    <x v="924"/>
    <x v="1123"/>
    <n v="3"/>
    <x v="2089"/>
  </r>
  <r>
    <d v="2019-12-08T00:00:00"/>
    <x v="0"/>
    <x v="11"/>
    <x v="613"/>
    <x v="1"/>
    <x v="2"/>
    <x v="7"/>
    <x v="375"/>
    <x v="1430"/>
    <n v="2"/>
    <x v="2090"/>
  </r>
  <r>
    <d v="2019-12-09T00:00:00"/>
    <x v="0"/>
    <x v="11"/>
    <x v="615"/>
    <x v="18"/>
    <x v="0"/>
    <x v="4"/>
    <x v="891"/>
    <x v="1925"/>
    <n v="7"/>
    <x v="2091"/>
  </r>
  <r>
    <d v="2019-12-09T00:00:00"/>
    <x v="0"/>
    <x v="11"/>
    <x v="106"/>
    <x v="1"/>
    <x v="2"/>
    <x v="5"/>
    <x v="1239"/>
    <x v="1926"/>
    <n v="8"/>
    <x v="2092"/>
  </r>
  <r>
    <d v="2019-12-09T00:00:00"/>
    <x v="0"/>
    <x v="11"/>
    <x v="67"/>
    <x v="26"/>
    <x v="2"/>
    <x v="14"/>
    <x v="734"/>
    <x v="794"/>
    <n v="4"/>
    <x v="823"/>
  </r>
  <r>
    <d v="2019-12-09T00:00:00"/>
    <x v="0"/>
    <x v="11"/>
    <x v="151"/>
    <x v="21"/>
    <x v="0"/>
    <x v="4"/>
    <x v="474"/>
    <x v="1927"/>
    <n v="3"/>
    <x v="2093"/>
  </r>
  <r>
    <d v="2019-12-09T00:00:00"/>
    <x v="0"/>
    <x v="11"/>
    <x v="256"/>
    <x v="25"/>
    <x v="2"/>
    <x v="13"/>
    <x v="729"/>
    <x v="1928"/>
    <n v="1"/>
    <x v="2094"/>
  </r>
  <r>
    <d v="2019-12-09T00:00:00"/>
    <x v="0"/>
    <x v="11"/>
    <x v="13"/>
    <x v="34"/>
    <x v="2"/>
    <x v="13"/>
    <x v="903"/>
    <x v="1929"/>
    <n v="7"/>
    <x v="2095"/>
  </r>
  <r>
    <d v="2019-12-09T00:00:00"/>
    <x v="0"/>
    <x v="11"/>
    <x v="256"/>
    <x v="25"/>
    <x v="1"/>
    <x v="3"/>
    <x v="320"/>
    <x v="1796"/>
    <n v="2"/>
    <x v="1850"/>
  </r>
  <r>
    <d v="2019-12-09T00:00:00"/>
    <x v="0"/>
    <x v="11"/>
    <x v="514"/>
    <x v="21"/>
    <x v="1"/>
    <x v="1"/>
    <x v="1303"/>
    <x v="1930"/>
    <n v="3"/>
    <x v="2096"/>
  </r>
  <r>
    <d v="2019-12-09T00:00:00"/>
    <x v="0"/>
    <x v="11"/>
    <x v="99"/>
    <x v="17"/>
    <x v="2"/>
    <x v="16"/>
    <x v="141"/>
    <x v="1931"/>
    <n v="3"/>
    <x v="2097"/>
  </r>
  <r>
    <d v="2019-12-09T00:00:00"/>
    <x v="0"/>
    <x v="11"/>
    <x v="13"/>
    <x v="34"/>
    <x v="2"/>
    <x v="7"/>
    <x v="1304"/>
    <x v="1932"/>
    <n v="7"/>
    <x v="2098"/>
  </r>
  <r>
    <d v="2019-12-09T00:00:00"/>
    <x v="0"/>
    <x v="11"/>
    <x v="99"/>
    <x v="17"/>
    <x v="1"/>
    <x v="3"/>
    <x v="1305"/>
    <x v="1933"/>
    <n v="4"/>
    <x v="2099"/>
  </r>
  <r>
    <d v="2019-12-09T00:00:00"/>
    <x v="0"/>
    <x v="11"/>
    <x v="256"/>
    <x v="25"/>
    <x v="1"/>
    <x v="1"/>
    <x v="517"/>
    <x v="1385"/>
    <n v="1"/>
    <x v="2100"/>
  </r>
  <r>
    <d v="2019-12-09T00:00:00"/>
    <x v="0"/>
    <x v="11"/>
    <x v="243"/>
    <x v="2"/>
    <x v="2"/>
    <x v="9"/>
    <x v="1013"/>
    <x v="1934"/>
    <n v="2"/>
    <x v="2101"/>
  </r>
  <r>
    <d v="2019-12-09T00:00:00"/>
    <x v="0"/>
    <x v="11"/>
    <x v="243"/>
    <x v="2"/>
    <x v="2"/>
    <x v="7"/>
    <x v="279"/>
    <x v="1935"/>
    <n v="1"/>
    <x v="2102"/>
  </r>
  <r>
    <d v="2019-12-09T00:00:00"/>
    <x v="0"/>
    <x v="11"/>
    <x v="99"/>
    <x v="17"/>
    <x v="2"/>
    <x v="13"/>
    <x v="694"/>
    <x v="1936"/>
    <n v="2"/>
    <x v="2103"/>
  </r>
  <r>
    <d v="2019-12-09T00:00:00"/>
    <x v="0"/>
    <x v="11"/>
    <x v="67"/>
    <x v="26"/>
    <x v="2"/>
    <x v="14"/>
    <x v="1306"/>
    <x v="1937"/>
    <n v="1"/>
    <x v="2104"/>
  </r>
  <r>
    <d v="2019-12-09T00:00:00"/>
    <x v="0"/>
    <x v="11"/>
    <x v="151"/>
    <x v="21"/>
    <x v="2"/>
    <x v="5"/>
    <x v="345"/>
    <x v="1938"/>
    <n v="2"/>
    <x v="2105"/>
  </r>
  <r>
    <d v="2019-12-10T00:00:00"/>
    <x v="0"/>
    <x v="11"/>
    <x v="594"/>
    <x v="24"/>
    <x v="0"/>
    <x v="11"/>
    <x v="1307"/>
    <x v="1939"/>
    <n v="5"/>
    <x v="2106"/>
  </r>
  <r>
    <d v="2019-12-10T00:00:00"/>
    <x v="0"/>
    <x v="11"/>
    <x v="230"/>
    <x v="12"/>
    <x v="2"/>
    <x v="5"/>
    <x v="1043"/>
    <x v="1940"/>
    <n v="5"/>
    <x v="2107"/>
  </r>
  <r>
    <d v="2019-12-10T00:00:00"/>
    <x v="0"/>
    <x v="11"/>
    <x v="455"/>
    <x v="12"/>
    <x v="2"/>
    <x v="10"/>
    <x v="1308"/>
    <x v="1941"/>
    <n v="4"/>
    <x v="2108"/>
  </r>
  <r>
    <d v="2019-12-10T00:00:00"/>
    <x v="0"/>
    <x v="11"/>
    <x v="256"/>
    <x v="1"/>
    <x v="0"/>
    <x v="11"/>
    <x v="291"/>
    <x v="1942"/>
    <n v="2"/>
    <x v="2109"/>
  </r>
  <r>
    <d v="2019-12-10T00:00:00"/>
    <x v="0"/>
    <x v="11"/>
    <x v="200"/>
    <x v="9"/>
    <x v="2"/>
    <x v="5"/>
    <x v="514"/>
    <x v="1943"/>
    <n v="3"/>
    <x v="2110"/>
  </r>
  <r>
    <d v="2019-12-10T00:00:00"/>
    <x v="0"/>
    <x v="11"/>
    <x v="200"/>
    <x v="9"/>
    <x v="2"/>
    <x v="9"/>
    <x v="1309"/>
    <x v="659"/>
    <n v="4"/>
    <x v="2111"/>
  </r>
  <r>
    <d v="2019-12-10T00:00:00"/>
    <x v="0"/>
    <x v="11"/>
    <x v="455"/>
    <x v="12"/>
    <x v="2"/>
    <x v="2"/>
    <x v="366"/>
    <x v="1944"/>
    <n v="6"/>
    <x v="2112"/>
  </r>
  <r>
    <d v="2019-12-10T00:00:00"/>
    <x v="0"/>
    <x v="11"/>
    <x v="105"/>
    <x v="1"/>
    <x v="2"/>
    <x v="9"/>
    <x v="577"/>
    <x v="1945"/>
    <n v="12"/>
    <x v="2113"/>
  </r>
  <r>
    <d v="2019-12-10T00:00:00"/>
    <x v="0"/>
    <x v="11"/>
    <x v="200"/>
    <x v="9"/>
    <x v="2"/>
    <x v="13"/>
    <x v="565"/>
    <x v="1946"/>
    <n v="3"/>
    <x v="1018"/>
  </r>
  <r>
    <d v="2019-12-10T00:00:00"/>
    <x v="0"/>
    <x v="11"/>
    <x v="520"/>
    <x v="12"/>
    <x v="2"/>
    <x v="9"/>
    <x v="1310"/>
    <x v="1947"/>
    <n v="9"/>
    <x v="2114"/>
  </r>
  <r>
    <d v="2019-12-10T00:00:00"/>
    <x v="0"/>
    <x v="11"/>
    <x v="200"/>
    <x v="9"/>
    <x v="1"/>
    <x v="3"/>
    <x v="214"/>
    <x v="1733"/>
    <n v="5"/>
    <x v="2115"/>
  </r>
  <r>
    <d v="2019-12-10T00:00:00"/>
    <x v="0"/>
    <x v="11"/>
    <x v="200"/>
    <x v="9"/>
    <x v="2"/>
    <x v="13"/>
    <x v="1311"/>
    <x v="1948"/>
    <n v="3"/>
    <x v="2116"/>
  </r>
  <r>
    <d v="2019-12-10T00:00:00"/>
    <x v="0"/>
    <x v="11"/>
    <x v="230"/>
    <x v="12"/>
    <x v="2"/>
    <x v="9"/>
    <x v="317"/>
    <x v="1949"/>
    <n v="2"/>
    <x v="2117"/>
  </r>
  <r>
    <d v="2019-12-10T00:00:00"/>
    <x v="0"/>
    <x v="11"/>
    <x v="616"/>
    <x v="12"/>
    <x v="2"/>
    <x v="9"/>
    <x v="1312"/>
    <x v="1029"/>
    <n v="1"/>
    <x v="1084"/>
  </r>
  <r>
    <d v="2019-12-11T00:00:00"/>
    <x v="0"/>
    <x v="11"/>
    <x v="577"/>
    <x v="12"/>
    <x v="1"/>
    <x v="1"/>
    <x v="988"/>
    <x v="1950"/>
    <n v="5"/>
    <x v="2118"/>
  </r>
  <r>
    <d v="2019-12-11T00:00:00"/>
    <x v="0"/>
    <x v="11"/>
    <x v="20"/>
    <x v="1"/>
    <x v="0"/>
    <x v="4"/>
    <x v="228"/>
    <x v="1951"/>
    <n v="7"/>
    <x v="2119"/>
  </r>
  <r>
    <d v="2019-12-11T00:00:00"/>
    <x v="0"/>
    <x v="11"/>
    <x v="50"/>
    <x v="8"/>
    <x v="0"/>
    <x v="11"/>
    <x v="454"/>
    <x v="1952"/>
    <n v="5"/>
    <x v="2120"/>
  </r>
  <r>
    <d v="2019-12-11T00:00:00"/>
    <x v="0"/>
    <x v="11"/>
    <x v="410"/>
    <x v="29"/>
    <x v="0"/>
    <x v="11"/>
    <x v="1067"/>
    <x v="1953"/>
    <n v="5"/>
    <x v="2121"/>
  </r>
  <r>
    <d v="2019-12-11T00:00:00"/>
    <x v="0"/>
    <x v="11"/>
    <x v="50"/>
    <x v="8"/>
    <x v="2"/>
    <x v="13"/>
    <x v="1313"/>
    <x v="1509"/>
    <n v="4"/>
    <x v="1092"/>
  </r>
  <r>
    <d v="2019-12-11T00:00:00"/>
    <x v="0"/>
    <x v="11"/>
    <x v="20"/>
    <x v="1"/>
    <x v="0"/>
    <x v="11"/>
    <x v="1206"/>
    <x v="945"/>
    <n v="5"/>
    <x v="2122"/>
  </r>
  <r>
    <d v="2019-12-11T00:00:00"/>
    <x v="0"/>
    <x v="11"/>
    <x v="50"/>
    <x v="8"/>
    <x v="0"/>
    <x v="4"/>
    <x v="995"/>
    <x v="1954"/>
    <n v="3"/>
    <x v="2123"/>
  </r>
  <r>
    <d v="2019-12-11T00:00:00"/>
    <x v="0"/>
    <x v="11"/>
    <x v="321"/>
    <x v="9"/>
    <x v="1"/>
    <x v="3"/>
    <x v="47"/>
    <x v="48"/>
    <n v="4"/>
    <x v="48"/>
  </r>
  <r>
    <d v="2019-12-11T00:00:00"/>
    <x v="0"/>
    <x v="11"/>
    <x v="321"/>
    <x v="9"/>
    <x v="1"/>
    <x v="1"/>
    <x v="1314"/>
    <x v="1548"/>
    <n v="3"/>
    <x v="1675"/>
  </r>
  <r>
    <d v="2019-12-11T00:00:00"/>
    <x v="0"/>
    <x v="11"/>
    <x v="67"/>
    <x v="22"/>
    <x v="1"/>
    <x v="1"/>
    <x v="1315"/>
    <x v="1955"/>
    <n v="4"/>
    <x v="2124"/>
  </r>
  <r>
    <d v="2019-12-11T00:00:00"/>
    <x v="0"/>
    <x v="11"/>
    <x v="67"/>
    <x v="22"/>
    <x v="2"/>
    <x v="2"/>
    <x v="1316"/>
    <x v="1956"/>
    <n v="3"/>
    <x v="2125"/>
  </r>
  <r>
    <d v="2019-12-11T00:00:00"/>
    <x v="0"/>
    <x v="11"/>
    <x v="20"/>
    <x v="1"/>
    <x v="2"/>
    <x v="5"/>
    <x v="424"/>
    <x v="1957"/>
    <n v="5"/>
    <x v="2126"/>
  </r>
  <r>
    <d v="2019-12-11T00:00:00"/>
    <x v="0"/>
    <x v="11"/>
    <x v="20"/>
    <x v="1"/>
    <x v="2"/>
    <x v="5"/>
    <x v="1079"/>
    <x v="1958"/>
    <n v="9"/>
    <x v="2127"/>
  </r>
  <r>
    <d v="2019-12-11T00:00:00"/>
    <x v="0"/>
    <x v="11"/>
    <x v="20"/>
    <x v="1"/>
    <x v="1"/>
    <x v="3"/>
    <x v="1180"/>
    <x v="1959"/>
    <n v="4"/>
    <x v="1850"/>
  </r>
  <r>
    <d v="2019-12-11T00:00:00"/>
    <x v="0"/>
    <x v="11"/>
    <x v="67"/>
    <x v="22"/>
    <x v="1"/>
    <x v="3"/>
    <x v="572"/>
    <x v="1960"/>
    <n v="5"/>
    <x v="2128"/>
  </r>
  <r>
    <d v="2019-12-11T00:00:00"/>
    <x v="0"/>
    <x v="11"/>
    <x v="1"/>
    <x v="6"/>
    <x v="2"/>
    <x v="2"/>
    <x v="800"/>
    <x v="1961"/>
    <n v="3"/>
    <x v="2129"/>
  </r>
  <r>
    <d v="2019-12-11T00:00:00"/>
    <x v="0"/>
    <x v="11"/>
    <x v="20"/>
    <x v="1"/>
    <x v="2"/>
    <x v="13"/>
    <x v="1317"/>
    <x v="1962"/>
    <n v="2"/>
    <x v="2130"/>
  </r>
  <r>
    <d v="2019-12-11T00:00:00"/>
    <x v="0"/>
    <x v="11"/>
    <x v="358"/>
    <x v="8"/>
    <x v="2"/>
    <x v="13"/>
    <x v="794"/>
    <x v="1963"/>
    <n v="4"/>
    <x v="2131"/>
  </r>
  <r>
    <d v="2019-12-11T00:00:00"/>
    <x v="0"/>
    <x v="11"/>
    <x v="50"/>
    <x v="8"/>
    <x v="2"/>
    <x v="2"/>
    <x v="187"/>
    <x v="364"/>
    <n v="5"/>
    <x v="2132"/>
  </r>
  <r>
    <d v="2019-12-11T00:00:00"/>
    <x v="0"/>
    <x v="11"/>
    <x v="20"/>
    <x v="1"/>
    <x v="2"/>
    <x v="2"/>
    <x v="352"/>
    <x v="1964"/>
    <n v="3"/>
    <x v="2133"/>
  </r>
  <r>
    <d v="2019-12-11T00:00:00"/>
    <x v="0"/>
    <x v="11"/>
    <x v="20"/>
    <x v="1"/>
    <x v="2"/>
    <x v="5"/>
    <x v="536"/>
    <x v="1965"/>
    <n v="3"/>
    <x v="2134"/>
  </r>
  <r>
    <d v="2019-12-11T00:00:00"/>
    <x v="0"/>
    <x v="11"/>
    <x v="20"/>
    <x v="1"/>
    <x v="2"/>
    <x v="9"/>
    <x v="655"/>
    <x v="1966"/>
    <n v="1"/>
    <x v="2135"/>
  </r>
  <r>
    <d v="2019-12-11T00:00:00"/>
    <x v="0"/>
    <x v="11"/>
    <x v="20"/>
    <x v="1"/>
    <x v="2"/>
    <x v="7"/>
    <x v="806"/>
    <x v="1967"/>
    <n v="2"/>
    <x v="2136"/>
  </r>
  <r>
    <d v="2019-12-11T00:00:00"/>
    <x v="0"/>
    <x v="11"/>
    <x v="577"/>
    <x v="12"/>
    <x v="2"/>
    <x v="12"/>
    <x v="130"/>
    <x v="1578"/>
    <n v="7"/>
    <x v="2137"/>
  </r>
  <r>
    <d v="2019-12-11T00:00:00"/>
    <x v="0"/>
    <x v="11"/>
    <x v="321"/>
    <x v="9"/>
    <x v="0"/>
    <x v="8"/>
    <x v="1318"/>
    <x v="1968"/>
    <n v="4"/>
    <x v="2138"/>
  </r>
  <r>
    <d v="2019-12-11T00:00:00"/>
    <x v="0"/>
    <x v="11"/>
    <x v="50"/>
    <x v="8"/>
    <x v="2"/>
    <x v="16"/>
    <x v="176"/>
    <x v="1969"/>
    <n v="2"/>
    <x v="2139"/>
  </r>
  <r>
    <d v="2019-12-11T00:00:00"/>
    <x v="0"/>
    <x v="11"/>
    <x v="617"/>
    <x v="21"/>
    <x v="2"/>
    <x v="7"/>
    <x v="204"/>
    <x v="1970"/>
    <n v="3"/>
    <x v="2140"/>
  </r>
  <r>
    <d v="2019-12-11T00:00:00"/>
    <x v="0"/>
    <x v="11"/>
    <x v="20"/>
    <x v="1"/>
    <x v="2"/>
    <x v="5"/>
    <x v="1319"/>
    <x v="1971"/>
    <n v="2"/>
    <x v="2141"/>
  </r>
  <r>
    <d v="2019-12-12T00:00:00"/>
    <x v="0"/>
    <x v="11"/>
    <x v="586"/>
    <x v="25"/>
    <x v="1"/>
    <x v="1"/>
    <x v="1315"/>
    <x v="1972"/>
    <n v="7"/>
    <x v="2142"/>
  </r>
  <r>
    <d v="2019-12-12T00:00:00"/>
    <x v="0"/>
    <x v="11"/>
    <x v="545"/>
    <x v="8"/>
    <x v="1"/>
    <x v="3"/>
    <x v="185"/>
    <x v="1973"/>
    <n v="6"/>
    <x v="2143"/>
  </r>
  <r>
    <d v="2019-12-12T00:00:00"/>
    <x v="0"/>
    <x v="11"/>
    <x v="207"/>
    <x v="1"/>
    <x v="0"/>
    <x v="8"/>
    <x v="229"/>
    <x v="1974"/>
    <n v="6"/>
    <x v="2144"/>
  </r>
  <r>
    <d v="2019-12-12T00:00:00"/>
    <x v="0"/>
    <x v="11"/>
    <x v="618"/>
    <x v="14"/>
    <x v="1"/>
    <x v="3"/>
    <x v="283"/>
    <x v="1097"/>
    <n v="5"/>
    <x v="2145"/>
  </r>
  <r>
    <d v="2019-12-12T00:00:00"/>
    <x v="0"/>
    <x v="11"/>
    <x v="50"/>
    <x v="12"/>
    <x v="0"/>
    <x v="8"/>
    <x v="853"/>
    <x v="1975"/>
    <n v="5"/>
    <x v="2146"/>
  </r>
  <r>
    <d v="2019-12-12T00:00:00"/>
    <x v="0"/>
    <x v="11"/>
    <x v="207"/>
    <x v="1"/>
    <x v="2"/>
    <x v="13"/>
    <x v="305"/>
    <x v="1976"/>
    <n v="3"/>
    <x v="2147"/>
  </r>
  <r>
    <d v="2019-12-12T00:00:00"/>
    <x v="0"/>
    <x v="11"/>
    <x v="618"/>
    <x v="14"/>
    <x v="2"/>
    <x v="9"/>
    <x v="1320"/>
    <x v="1134"/>
    <n v="4"/>
    <x v="1208"/>
  </r>
  <r>
    <d v="2019-12-12T00:00:00"/>
    <x v="0"/>
    <x v="11"/>
    <x v="50"/>
    <x v="12"/>
    <x v="2"/>
    <x v="16"/>
    <x v="779"/>
    <x v="1977"/>
    <n v="4"/>
    <x v="2148"/>
  </r>
  <r>
    <d v="2019-12-12T00:00:00"/>
    <x v="0"/>
    <x v="11"/>
    <x v="586"/>
    <x v="25"/>
    <x v="0"/>
    <x v="8"/>
    <x v="246"/>
    <x v="1545"/>
    <n v="4"/>
    <x v="2149"/>
  </r>
  <r>
    <d v="2019-12-12T00:00:00"/>
    <x v="0"/>
    <x v="11"/>
    <x v="586"/>
    <x v="25"/>
    <x v="2"/>
    <x v="2"/>
    <x v="1321"/>
    <x v="1978"/>
    <n v="2"/>
    <x v="2150"/>
  </r>
  <r>
    <d v="2019-12-12T00:00:00"/>
    <x v="0"/>
    <x v="11"/>
    <x v="545"/>
    <x v="8"/>
    <x v="2"/>
    <x v="5"/>
    <x v="1196"/>
    <x v="1979"/>
    <n v="3"/>
    <x v="2151"/>
  </r>
  <r>
    <d v="2019-12-12T00:00:00"/>
    <x v="0"/>
    <x v="11"/>
    <x v="586"/>
    <x v="25"/>
    <x v="2"/>
    <x v="7"/>
    <x v="586"/>
    <x v="215"/>
    <n v="5"/>
    <x v="2152"/>
  </r>
  <r>
    <d v="2019-12-12T00:00:00"/>
    <x v="0"/>
    <x v="11"/>
    <x v="50"/>
    <x v="12"/>
    <x v="2"/>
    <x v="7"/>
    <x v="498"/>
    <x v="1980"/>
    <n v="7"/>
    <x v="2153"/>
  </r>
  <r>
    <d v="2019-12-13T00:00:00"/>
    <x v="0"/>
    <x v="11"/>
    <x v="99"/>
    <x v="1"/>
    <x v="0"/>
    <x v="4"/>
    <x v="1322"/>
    <x v="1981"/>
    <n v="4"/>
    <x v="2154"/>
  </r>
  <r>
    <d v="2019-12-13T00:00:00"/>
    <x v="0"/>
    <x v="11"/>
    <x v="388"/>
    <x v="3"/>
    <x v="1"/>
    <x v="3"/>
    <x v="1323"/>
    <x v="1982"/>
    <n v="4"/>
    <x v="2155"/>
  </r>
  <r>
    <d v="2019-12-13T00:00:00"/>
    <x v="0"/>
    <x v="11"/>
    <x v="458"/>
    <x v="1"/>
    <x v="2"/>
    <x v="7"/>
    <x v="1324"/>
    <x v="328"/>
    <n v="3"/>
    <x v="2156"/>
  </r>
  <r>
    <d v="2019-12-13T00:00:00"/>
    <x v="0"/>
    <x v="11"/>
    <x v="99"/>
    <x v="1"/>
    <x v="2"/>
    <x v="5"/>
    <x v="1325"/>
    <x v="1983"/>
    <n v="2"/>
    <x v="2157"/>
  </r>
  <r>
    <d v="2019-12-14T00:00:00"/>
    <x v="0"/>
    <x v="11"/>
    <x v="203"/>
    <x v="12"/>
    <x v="0"/>
    <x v="8"/>
    <x v="513"/>
    <x v="1984"/>
    <n v="4"/>
    <x v="2158"/>
  </r>
  <r>
    <d v="2019-12-14T00:00:00"/>
    <x v="0"/>
    <x v="11"/>
    <x v="154"/>
    <x v="1"/>
    <x v="2"/>
    <x v="2"/>
    <x v="987"/>
    <x v="1985"/>
    <n v="10"/>
    <x v="2159"/>
  </r>
  <r>
    <d v="2019-12-14T00:00:00"/>
    <x v="0"/>
    <x v="11"/>
    <x v="557"/>
    <x v="16"/>
    <x v="0"/>
    <x v="8"/>
    <x v="1277"/>
    <x v="1986"/>
    <n v="6"/>
    <x v="2160"/>
  </r>
  <r>
    <d v="2019-12-14T00:00:00"/>
    <x v="0"/>
    <x v="11"/>
    <x v="154"/>
    <x v="1"/>
    <x v="0"/>
    <x v="11"/>
    <x v="984"/>
    <x v="1613"/>
    <n v="2"/>
    <x v="1753"/>
  </r>
  <r>
    <d v="2019-12-14T00:00:00"/>
    <x v="0"/>
    <x v="11"/>
    <x v="203"/>
    <x v="12"/>
    <x v="2"/>
    <x v="5"/>
    <x v="530"/>
    <x v="734"/>
    <n v="2"/>
    <x v="2161"/>
  </r>
  <r>
    <d v="2019-12-14T00:00:00"/>
    <x v="0"/>
    <x v="11"/>
    <x v="203"/>
    <x v="12"/>
    <x v="2"/>
    <x v="12"/>
    <x v="1167"/>
    <x v="971"/>
    <n v="6"/>
    <x v="2162"/>
  </r>
  <r>
    <d v="2019-12-14T00:00:00"/>
    <x v="0"/>
    <x v="11"/>
    <x v="203"/>
    <x v="12"/>
    <x v="2"/>
    <x v="2"/>
    <x v="1074"/>
    <x v="1987"/>
    <n v="1"/>
    <x v="2163"/>
  </r>
  <r>
    <d v="2019-12-14T00:00:00"/>
    <x v="0"/>
    <x v="11"/>
    <x v="203"/>
    <x v="12"/>
    <x v="2"/>
    <x v="9"/>
    <x v="787"/>
    <x v="570"/>
    <n v="2"/>
    <x v="2164"/>
  </r>
  <r>
    <d v="2019-12-14T00:00:00"/>
    <x v="0"/>
    <x v="11"/>
    <x v="203"/>
    <x v="12"/>
    <x v="2"/>
    <x v="14"/>
    <x v="1326"/>
    <x v="1076"/>
    <n v="2"/>
    <x v="2165"/>
  </r>
  <r>
    <d v="2019-12-15T00:00:00"/>
    <x v="0"/>
    <x v="11"/>
    <x v="524"/>
    <x v="25"/>
    <x v="0"/>
    <x v="4"/>
    <x v="1327"/>
    <x v="1213"/>
    <n v="3"/>
    <x v="2166"/>
  </r>
  <r>
    <d v="2019-12-15T00:00:00"/>
    <x v="0"/>
    <x v="11"/>
    <x v="612"/>
    <x v="29"/>
    <x v="0"/>
    <x v="4"/>
    <x v="645"/>
    <x v="1988"/>
    <n v="3"/>
    <x v="2167"/>
  </r>
  <r>
    <d v="2019-12-15T00:00:00"/>
    <x v="0"/>
    <x v="11"/>
    <x v="524"/>
    <x v="25"/>
    <x v="2"/>
    <x v="2"/>
    <x v="149"/>
    <x v="154"/>
    <n v="3"/>
    <x v="153"/>
  </r>
  <r>
    <d v="2019-12-15T00:00:00"/>
    <x v="0"/>
    <x v="11"/>
    <x v="612"/>
    <x v="29"/>
    <x v="2"/>
    <x v="13"/>
    <x v="154"/>
    <x v="1185"/>
    <n v="2"/>
    <x v="1267"/>
  </r>
  <r>
    <d v="2019-12-15T00:00:00"/>
    <x v="0"/>
    <x v="11"/>
    <x v="430"/>
    <x v="33"/>
    <x v="2"/>
    <x v="9"/>
    <x v="1328"/>
    <x v="390"/>
    <n v="3"/>
    <x v="397"/>
  </r>
  <r>
    <d v="2019-12-15T00:00:00"/>
    <x v="0"/>
    <x v="11"/>
    <x v="499"/>
    <x v="1"/>
    <x v="0"/>
    <x v="8"/>
    <x v="714"/>
    <x v="1175"/>
    <n v="2"/>
    <x v="1257"/>
  </r>
  <r>
    <d v="2019-12-15T00:00:00"/>
    <x v="0"/>
    <x v="11"/>
    <x v="619"/>
    <x v="8"/>
    <x v="2"/>
    <x v="5"/>
    <x v="843"/>
    <x v="989"/>
    <n v="3"/>
    <x v="1039"/>
  </r>
  <r>
    <d v="2019-12-16T00:00:00"/>
    <x v="0"/>
    <x v="11"/>
    <x v="203"/>
    <x v="1"/>
    <x v="0"/>
    <x v="11"/>
    <x v="828"/>
    <x v="1989"/>
    <n v="5"/>
    <x v="2168"/>
  </r>
  <r>
    <d v="2019-12-16T00:00:00"/>
    <x v="0"/>
    <x v="11"/>
    <x v="620"/>
    <x v="4"/>
    <x v="2"/>
    <x v="13"/>
    <x v="623"/>
    <x v="1990"/>
    <n v="3"/>
    <x v="2169"/>
  </r>
  <r>
    <d v="2019-12-16T00:00:00"/>
    <x v="0"/>
    <x v="11"/>
    <x v="213"/>
    <x v="1"/>
    <x v="1"/>
    <x v="3"/>
    <x v="1329"/>
    <x v="1991"/>
    <n v="7"/>
    <x v="2170"/>
  </r>
  <r>
    <d v="2019-12-16T00:00:00"/>
    <x v="0"/>
    <x v="11"/>
    <x v="91"/>
    <x v="17"/>
    <x v="2"/>
    <x v="5"/>
    <x v="1330"/>
    <x v="1992"/>
    <n v="3"/>
    <x v="2171"/>
  </r>
  <r>
    <d v="2019-12-16T00:00:00"/>
    <x v="0"/>
    <x v="11"/>
    <x v="479"/>
    <x v="12"/>
    <x v="2"/>
    <x v="12"/>
    <x v="1249"/>
    <x v="1993"/>
    <n v="2"/>
    <x v="2172"/>
  </r>
  <r>
    <d v="2019-12-17T00:00:00"/>
    <x v="0"/>
    <x v="11"/>
    <x v="48"/>
    <x v="25"/>
    <x v="2"/>
    <x v="5"/>
    <x v="840"/>
    <x v="1994"/>
    <n v="13"/>
    <x v="2173"/>
  </r>
  <r>
    <d v="2019-12-17T00:00:00"/>
    <x v="0"/>
    <x v="11"/>
    <x v="534"/>
    <x v="1"/>
    <x v="0"/>
    <x v="4"/>
    <x v="82"/>
    <x v="1995"/>
    <n v="6"/>
    <x v="2174"/>
  </r>
  <r>
    <d v="2019-12-17T00:00:00"/>
    <x v="0"/>
    <x v="11"/>
    <x v="342"/>
    <x v="2"/>
    <x v="1"/>
    <x v="3"/>
    <x v="4"/>
    <x v="5"/>
    <n v="3"/>
    <x v="5"/>
  </r>
  <r>
    <d v="2019-12-17T00:00:00"/>
    <x v="0"/>
    <x v="11"/>
    <x v="342"/>
    <x v="2"/>
    <x v="2"/>
    <x v="9"/>
    <x v="1331"/>
    <x v="448"/>
    <n v="10"/>
    <x v="2175"/>
  </r>
  <r>
    <d v="2019-12-17T00:00:00"/>
    <x v="0"/>
    <x v="11"/>
    <x v="391"/>
    <x v="9"/>
    <x v="2"/>
    <x v="2"/>
    <x v="780"/>
    <x v="1148"/>
    <n v="3"/>
    <x v="2176"/>
  </r>
  <r>
    <d v="2019-12-17T00:00:00"/>
    <x v="0"/>
    <x v="11"/>
    <x v="50"/>
    <x v="44"/>
    <x v="2"/>
    <x v="5"/>
    <x v="1182"/>
    <x v="1996"/>
    <n v="2"/>
    <x v="2177"/>
  </r>
  <r>
    <d v="2019-12-17T00:00:00"/>
    <x v="0"/>
    <x v="11"/>
    <x v="50"/>
    <x v="44"/>
    <x v="2"/>
    <x v="5"/>
    <x v="823"/>
    <x v="960"/>
    <n v="1"/>
    <x v="2178"/>
  </r>
  <r>
    <d v="2019-12-18T00:00:00"/>
    <x v="0"/>
    <x v="11"/>
    <x v="217"/>
    <x v="10"/>
    <x v="2"/>
    <x v="5"/>
    <x v="1332"/>
    <x v="1997"/>
    <n v="2"/>
    <x v="2179"/>
  </r>
  <r>
    <d v="2019-12-18T00:00:00"/>
    <x v="0"/>
    <x v="11"/>
    <x v="621"/>
    <x v="6"/>
    <x v="2"/>
    <x v="16"/>
    <x v="322"/>
    <x v="1998"/>
    <n v="5"/>
    <x v="2180"/>
  </r>
  <r>
    <d v="2019-12-18T00:00:00"/>
    <x v="0"/>
    <x v="11"/>
    <x v="199"/>
    <x v="12"/>
    <x v="2"/>
    <x v="2"/>
    <x v="121"/>
    <x v="1313"/>
    <n v="4"/>
    <x v="1411"/>
  </r>
  <r>
    <d v="2019-12-18T00:00:00"/>
    <x v="0"/>
    <x v="11"/>
    <x v="539"/>
    <x v="1"/>
    <x v="1"/>
    <x v="3"/>
    <x v="280"/>
    <x v="1999"/>
    <n v="3"/>
    <x v="2181"/>
  </r>
  <r>
    <d v="2019-12-18T00:00:00"/>
    <x v="0"/>
    <x v="11"/>
    <x v="34"/>
    <x v="1"/>
    <x v="2"/>
    <x v="16"/>
    <x v="417"/>
    <x v="2000"/>
    <n v="5"/>
    <x v="2182"/>
  </r>
  <r>
    <d v="2019-12-18T00:00:00"/>
    <x v="0"/>
    <x v="11"/>
    <x v="469"/>
    <x v="34"/>
    <x v="0"/>
    <x v="11"/>
    <x v="1208"/>
    <x v="2001"/>
    <n v="3"/>
    <x v="2183"/>
  </r>
  <r>
    <d v="2019-12-18T00:00:00"/>
    <x v="0"/>
    <x v="11"/>
    <x v="351"/>
    <x v="29"/>
    <x v="0"/>
    <x v="4"/>
    <x v="891"/>
    <x v="2002"/>
    <n v="5"/>
    <x v="2184"/>
  </r>
  <r>
    <d v="2019-12-18T00:00:00"/>
    <x v="0"/>
    <x v="11"/>
    <x v="621"/>
    <x v="6"/>
    <x v="2"/>
    <x v="5"/>
    <x v="1333"/>
    <x v="2003"/>
    <n v="7"/>
    <x v="2185"/>
  </r>
  <r>
    <d v="2019-12-18T00:00:00"/>
    <x v="0"/>
    <x v="11"/>
    <x v="621"/>
    <x v="6"/>
    <x v="2"/>
    <x v="13"/>
    <x v="595"/>
    <x v="2004"/>
    <n v="2"/>
    <x v="2186"/>
  </r>
  <r>
    <d v="2019-12-18T00:00:00"/>
    <x v="0"/>
    <x v="11"/>
    <x v="34"/>
    <x v="1"/>
    <x v="0"/>
    <x v="8"/>
    <x v="1334"/>
    <x v="2005"/>
    <n v="8"/>
    <x v="2187"/>
  </r>
  <r>
    <d v="2019-12-18T00:00:00"/>
    <x v="0"/>
    <x v="11"/>
    <x v="351"/>
    <x v="29"/>
    <x v="1"/>
    <x v="3"/>
    <x v="497"/>
    <x v="2006"/>
    <n v="3"/>
    <x v="2188"/>
  </r>
  <r>
    <d v="2019-12-18T00:00:00"/>
    <x v="0"/>
    <x v="11"/>
    <x v="539"/>
    <x v="1"/>
    <x v="1"/>
    <x v="3"/>
    <x v="495"/>
    <x v="2007"/>
    <n v="2"/>
    <x v="2189"/>
  </r>
  <r>
    <d v="2019-12-18T00:00:00"/>
    <x v="0"/>
    <x v="11"/>
    <x v="622"/>
    <x v="1"/>
    <x v="1"/>
    <x v="1"/>
    <x v="500"/>
    <x v="2008"/>
    <n v="7"/>
    <x v="2190"/>
  </r>
  <r>
    <d v="2019-12-18T00:00:00"/>
    <x v="0"/>
    <x v="11"/>
    <x v="351"/>
    <x v="29"/>
    <x v="2"/>
    <x v="5"/>
    <x v="456"/>
    <x v="2009"/>
    <n v="4"/>
    <x v="2191"/>
  </r>
  <r>
    <d v="2019-12-18T00:00:00"/>
    <x v="0"/>
    <x v="11"/>
    <x v="539"/>
    <x v="1"/>
    <x v="0"/>
    <x v="8"/>
    <x v="286"/>
    <x v="308"/>
    <n v="4"/>
    <x v="310"/>
  </r>
  <r>
    <d v="2019-12-18T00:00:00"/>
    <x v="0"/>
    <x v="11"/>
    <x v="34"/>
    <x v="1"/>
    <x v="2"/>
    <x v="9"/>
    <x v="1143"/>
    <x v="660"/>
    <n v="6"/>
    <x v="679"/>
  </r>
  <r>
    <d v="2019-12-18T00:00:00"/>
    <x v="0"/>
    <x v="11"/>
    <x v="351"/>
    <x v="29"/>
    <x v="1"/>
    <x v="1"/>
    <x v="707"/>
    <x v="2010"/>
    <n v="3"/>
    <x v="2192"/>
  </r>
  <r>
    <d v="2019-12-18T00:00:00"/>
    <x v="0"/>
    <x v="11"/>
    <x v="477"/>
    <x v="27"/>
    <x v="0"/>
    <x v="8"/>
    <x v="455"/>
    <x v="103"/>
    <n v="3"/>
    <x v="2193"/>
  </r>
  <r>
    <d v="2019-12-18T00:00:00"/>
    <x v="0"/>
    <x v="11"/>
    <x v="351"/>
    <x v="29"/>
    <x v="2"/>
    <x v="7"/>
    <x v="9"/>
    <x v="2011"/>
    <n v="4"/>
    <x v="2194"/>
  </r>
  <r>
    <d v="2019-12-18T00:00:00"/>
    <x v="0"/>
    <x v="11"/>
    <x v="351"/>
    <x v="29"/>
    <x v="2"/>
    <x v="14"/>
    <x v="622"/>
    <x v="1374"/>
    <n v="4"/>
    <x v="1481"/>
  </r>
  <r>
    <d v="2019-12-18T00:00:00"/>
    <x v="0"/>
    <x v="11"/>
    <x v="351"/>
    <x v="29"/>
    <x v="2"/>
    <x v="9"/>
    <x v="1335"/>
    <x v="43"/>
    <n v="2"/>
    <x v="2195"/>
  </r>
  <r>
    <d v="2019-12-19T00:00:00"/>
    <x v="0"/>
    <x v="11"/>
    <x v="177"/>
    <x v="20"/>
    <x v="0"/>
    <x v="4"/>
    <x v="1336"/>
    <x v="2012"/>
    <n v="6"/>
    <x v="2196"/>
  </r>
  <r>
    <d v="2019-12-19T00:00:00"/>
    <x v="0"/>
    <x v="11"/>
    <x v="244"/>
    <x v="5"/>
    <x v="0"/>
    <x v="8"/>
    <x v="1337"/>
    <x v="2013"/>
    <n v="5"/>
    <x v="2197"/>
  </r>
  <r>
    <d v="2019-12-19T00:00:00"/>
    <x v="0"/>
    <x v="11"/>
    <x v="61"/>
    <x v="12"/>
    <x v="2"/>
    <x v="5"/>
    <x v="823"/>
    <x v="2014"/>
    <n v="3"/>
    <x v="2198"/>
  </r>
  <r>
    <d v="2019-12-19T00:00:00"/>
    <x v="0"/>
    <x v="11"/>
    <x v="177"/>
    <x v="20"/>
    <x v="2"/>
    <x v="5"/>
    <x v="145"/>
    <x v="976"/>
    <n v="6"/>
    <x v="2199"/>
  </r>
  <r>
    <d v="2019-12-19T00:00:00"/>
    <x v="0"/>
    <x v="11"/>
    <x v="177"/>
    <x v="20"/>
    <x v="2"/>
    <x v="5"/>
    <x v="1019"/>
    <x v="2015"/>
    <n v="2"/>
    <x v="2200"/>
  </r>
  <r>
    <d v="2019-12-19T00:00:00"/>
    <x v="0"/>
    <x v="11"/>
    <x v="61"/>
    <x v="12"/>
    <x v="2"/>
    <x v="7"/>
    <x v="667"/>
    <x v="2016"/>
    <n v="2"/>
    <x v="2201"/>
  </r>
  <r>
    <d v="2019-12-19T00:00:00"/>
    <x v="0"/>
    <x v="11"/>
    <x v="593"/>
    <x v="17"/>
    <x v="2"/>
    <x v="5"/>
    <x v="820"/>
    <x v="2017"/>
    <n v="5"/>
    <x v="2202"/>
  </r>
  <r>
    <d v="2019-12-20T00:00:00"/>
    <x v="0"/>
    <x v="11"/>
    <x v="623"/>
    <x v="16"/>
    <x v="1"/>
    <x v="3"/>
    <x v="1136"/>
    <x v="2018"/>
    <n v="3"/>
    <x v="2203"/>
  </r>
  <r>
    <d v="2019-12-20T00:00:00"/>
    <x v="0"/>
    <x v="11"/>
    <x v="624"/>
    <x v="34"/>
    <x v="2"/>
    <x v="9"/>
    <x v="1338"/>
    <x v="2019"/>
    <n v="5"/>
    <x v="2204"/>
  </r>
  <r>
    <d v="2019-12-20T00:00:00"/>
    <x v="0"/>
    <x v="11"/>
    <x v="339"/>
    <x v="16"/>
    <x v="0"/>
    <x v="8"/>
    <x v="1007"/>
    <x v="2020"/>
    <n v="4"/>
    <x v="2205"/>
  </r>
  <r>
    <d v="2019-12-20T00:00:00"/>
    <x v="0"/>
    <x v="11"/>
    <x v="339"/>
    <x v="16"/>
    <x v="2"/>
    <x v="5"/>
    <x v="649"/>
    <x v="2021"/>
    <n v="2"/>
    <x v="2206"/>
  </r>
  <r>
    <d v="2019-12-22T00:00:00"/>
    <x v="0"/>
    <x v="11"/>
    <x v="212"/>
    <x v="1"/>
    <x v="0"/>
    <x v="8"/>
    <x v="946"/>
    <x v="2022"/>
    <n v="8"/>
    <x v="2207"/>
  </r>
  <r>
    <d v="2019-12-22T00:00:00"/>
    <x v="0"/>
    <x v="11"/>
    <x v="537"/>
    <x v="9"/>
    <x v="2"/>
    <x v="5"/>
    <x v="519"/>
    <x v="1245"/>
    <n v="4"/>
    <x v="2208"/>
  </r>
  <r>
    <d v="2019-12-22T00:00:00"/>
    <x v="0"/>
    <x v="11"/>
    <x v="212"/>
    <x v="1"/>
    <x v="0"/>
    <x v="8"/>
    <x v="1207"/>
    <x v="1363"/>
    <n v="2"/>
    <x v="1814"/>
  </r>
  <r>
    <d v="2019-12-22T00:00:00"/>
    <x v="0"/>
    <x v="11"/>
    <x v="625"/>
    <x v="29"/>
    <x v="2"/>
    <x v="5"/>
    <x v="833"/>
    <x v="2023"/>
    <n v="10"/>
    <x v="2209"/>
  </r>
  <r>
    <d v="2019-12-22T00:00:00"/>
    <x v="0"/>
    <x v="11"/>
    <x v="327"/>
    <x v="12"/>
    <x v="2"/>
    <x v="5"/>
    <x v="252"/>
    <x v="2024"/>
    <n v="2"/>
    <x v="2210"/>
  </r>
  <r>
    <d v="2019-12-22T00:00:00"/>
    <x v="0"/>
    <x v="11"/>
    <x v="625"/>
    <x v="29"/>
    <x v="0"/>
    <x v="8"/>
    <x v="1137"/>
    <x v="2025"/>
    <n v="1"/>
    <x v="2211"/>
  </r>
  <r>
    <d v="2019-12-22T00:00:00"/>
    <x v="0"/>
    <x v="11"/>
    <x v="625"/>
    <x v="29"/>
    <x v="0"/>
    <x v="8"/>
    <x v="1318"/>
    <x v="1609"/>
    <n v="4"/>
    <x v="2212"/>
  </r>
  <r>
    <d v="2019-12-22T00:00:00"/>
    <x v="0"/>
    <x v="11"/>
    <x v="537"/>
    <x v="9"/>
    <x v="1"/>
    <x v="15"/>
    <x v="1242"/>
    <x v="1099"/>
    <n v="1"/>
    <x v="2213"/>
  </r>
  <r>
    <d v="2019-12-23T00:00:00"/>
    <x v="0"/>
    <x v="11"/>
    <x v="626"/>
    <x v="35"/>
    <x v="1"/>
    <x v="6"/>
    <x v="324"/>
    <x v="2026"/>
    <n v="4"/>
    <x v="2214"/>
  </r>
  <r>
    <d v="2019-12-23T00:00:00"/>
    <x v="0"/>
    <x v="11"/>
    <x v="306"/>
    <x v="5"/>
    <x v="1"/>
    <x v="1"/>
    <x v="1339"/>
    <x v="2027"/>
    <n v="5"/>
    <x v="2215"/>
  </r>
  <r>
    <d v="2019-12-23T00:00:00"/>
    <x v="0"/>
    <x v="11"/>
    <x v="124"/>
    <x v="9"/>
    <x v="2"/>
    <x v="2"/>
    <x v="1223"/>
    <x v="1713"/>
    <n v="4"/>
    <x v="1861"/>
  </r>
  <r>
    <d v="2019-12-23T00:00:00"/>
    <x v="0"/>
    <x v="11"/>
    <x v="180"/>
    <x v="18"/>
    <x v="0"/>
    <x v="8"/>
    <x v="1014"/>
    <x v="2028"/>
    <n v="6"/>
    <x v="2216"/>
  </r>
  <r>
    <d v="2019-12-23T00:00:00"/>
    <x v="0"/>
    <x v="11"/>
    <x v="11"/>
    <x v="2"/>
    <x v="1"/>
    <x v="1"/>
    <x v="683"/>
    <x v="2029"/>
    <n v="3"/>
    <x v="2217"/>
  </r>
  <r>
    <d v="2019-12-23T00:00:00"/>
    <x v="0"/>
    <x v="11"/>
    <x v="11"/>
    <x v="2"/>
    <x v="1"/>
    <x v="1"/>
    <x v="757"/>
    <x v="2030"/>
    <n v="3"/>
    <x v="474"/>
  </r>
  <r>
    <d v="2019-12-23T00:00:00"/>
    <x v="0"/>
    <x v="11"/>
    <x v="180"/>
    <x v="18"/>
    <x v="0"/>
    <x v="8"/>
    <x v="1014"/>
    <x v="2031"/>
    <n v="3"/>
    <x v="2218"/>
  </r>
  <r>
    <d v="2019-12-23T00:00:00"/>
    <x v="0"/>
    <x v="11"/>
    <x v="124"/>
    <x v="9"/>
    <x v="2"/>
    <x v="2"/>
    <x v="901"/>
    <x v="2032"/>
    <n v="2"/>
    <x v="2219"/>
  </r>
  <r>
    <d v="2019-12-23T00:00:00"/>
    <x v="0"/>
    <x v="11"/>
    <x v="5"/>
    <x v="17"/>
    <x v="0"/>
    <x v="0"/>
    <x v="385"/>
    <x v="2033"/>
    <n v="2"/>
    <x v="2220"/>
  </r>
  <r>
    <d v="2019-12-23T00:00:00"/>
    <x v="0"/>
    <x v="11"/>
    <x v="11"/>
    <x v="2"/>
    <x v="1"/>
    <x v="1"/>
    <x v="1340"/>
    <x v="2034"/>
    <n v="3"/>
    <x v="2221"/>
  </r>
  <r>
    <d v="2019-12-23T00:00:00"/>
    <x v="0"/>
    <x v="11"/>
    <x v="124"/>
    <x v="9"/>
    <x v="2"/>
    <x v="10"/>
    <x v="86"/>
    <x v="836"/>
    <n v="2"/>
    <x v="2222"/>
  </r>
  <r>
    <d v="2019-12-23T00:00:00"/>
    <x v="0"/>
    <x v="11"/>
    <x v="124"/>
    <x v="9"/>
    <x v="2"/>
    <x v="9"/>
    <x v="374"/>
    <x v="1853"/>
    <n v="1"/>
    <x v="2013"/>
  </r>
  <r>
    <d v="2019-12-23T00:00:00"/>
    <x v="0"/>
    <x v="11"/>
    <x v="11"/>
    <x v="2"/>
    <x v="2"/>
    <x v="14"/>
    <x v="754"/>
    <x v="622"/>
    <n v="9"/>
    <x v="2223"/>
  </r>
  <r>
    <d v="2019-12-23T00:00:00"/>
    <x v="0"/>
    <x v="11"/>
    <x v="124"/>
    <x v="9"/>
    <x v="2"/>
    <x v="9"/>
    <x v="290"/>
    <x v="357"/>
    <n v="2"/>
    <x v="362"/>
  </r>
  <r>
    <d v="2019-12-23T00:00:00"/>
    <x v="0"/>
    <x v="11"/>
    <x v="372"/>
    <x v="25"/>
    <x v="2"/>
    <x v="12"/>
    <x v="157"/>
    <x v="28"/>
    <n v="7"/>
    <x v="2224"/>
  </r>
  <r>
    <d v="2019-12-23T00:00:00"/>
    <x v="0"/>
    <x v="11"/>
    <x v="124"/>
    <x v="9"/>
    <x v="2"/>
    <x v="7"/>
    <x v="1341"/>
    <x v="1571"/>
    <n v="3"/>
    <x v="2225"/>
  </r>
  <r>
    <d v="2019-12-23T00:00:00"/>
    <x v="0"/>
    <x v="11"/>
    <x v="306"/>
    <x v="5"/>
    <x v="2"/>
    <x v="9"/>
    <x v="1342"/>
    <x v="2035"/>
    <n v="2"/>
    <x v="2226"/>
  </r>
  <r>
    <d v="2019-12-23T00:00:00"/>
    <x v="0"/>
    <x v="11"/>
    <x v="8"/>
    <x v="8"/>
    <x v="2"/>
    <x v="5"/>
    <x v="1302"/>
    <x v="2036"/>
    <n v="3"/>
    <x v="2227"/>
  </r>
  <r>
    <d v="2019-12-23T00:00:00"/>
    <x v="0"/>
    <x v="11"/>
    <x v="124"/>
    <x v="9"/>
    <x v="2"/>
    <x v="7"/>
    <x v="1343"/>
    <x v="2037"/>
    <n v="2"/>
    <x v="2228"/>
  </r>
  <r>
    <d v="2019-12-23T00:00:00"/>
    <x v="0"/>
    <x v="11"/>
    <x v="11"/>
    <x v="2"/>
    <x v="0"/>
    <x v="8"/>
    <x v="383"/>
    <x v="1725"/>
    <n v="2"/>
    <x v="1874"/>
  </r>
  <r>
    <d v="2019-12-24T00:00:00"/>
    <x v="0"/>
    <x v="11"/>
    <x v="204"/>
    <x v="12"/>
    <x v="0"/>
    <x v="8"/>
    <x v="1344"/>
    <x v="2038"/>
    <n v="9"/>
    <x v="2229"/>
  </r>
  <r>
    <d v="2019-12-24T00:00:00"/>
    <x v="0"/>
    <x v="11"/>
    <x v="197"/>
    <x v="4"/>
    <x v="2"/>
    <x v="2"/>
    <x v="121"/>
    <x v="2039"/>
    <n v="3"/>
    <x v="2230"/>
  </r>
  <r>
    <d v="2019-12-24T00:00:00"/>
    <x v="0"/>
    <x v="11"/>
    <x v="197"/>
    <x v="4"/>
    <x v="1"/>
    <x v="3"/>
    <x v="205"/>
    <x v="2040"/>
    <n v="8"/>
    <x v="2231"/>
  </r>
  <r>
    <d v="2019-12-24T00:00:00"/>
    <x v="0"/>
    <x v="11"/>
    <x v="431"/>
    <x v="12"/>
    <x v="1"/>
    <x v="1"/>
    <x v="1345"/>
    <x v="2041"/>
    <n v="3"/>
    <x v="2232"/>
  </r>
  <r>
    <d v="2019-12-24T00:00:00"/>
    <x v="0"/>
    <x v="11"/>
    <x v="627"/>
    <x v="1"/>
    <x v="0"/>
    <x v="8"/>
    <x v="1346"/>
    <x v="853"/>
    <n v="7"/>
    <x v="2233"/>
  </r>
  <r>
    <d v="2019-12-24T00:00:00"/>
    <x v="0"/>
    <x v="11"/>
    <x v="627"/>
    <x v="1"/>
    <x v="2"/>
    <x v="10"/>
    <x v="86"/>
    <x v="580"/>
    <n v="7"/>
    <x v="2234"/>
  </r>
  <r>
    <d v="2019-12-24T00:00:00"/>
    <x v="0"/>
    <x v="11"/>
    <x v="76"/>
    <x v="9"/>
    <x v="2"/>
    <x v="9"/>
    <x v="493"/>
    <x v="1306"/>
    <n v="5"/>
    <x v="2235"/>
  </r>
  <r>
    <d v="2019-12-24T00:00:00"/>
    <x v="0"/>
    <x v="11"/>
    <x v="197"/>
    <x v="4"/>
    <x v="2"/>
    <x v="5"/>
    <x v="1347"/>
    <x v="2042"/>
    <n v="3"/>
    <x v="2236"/>
  </r>
  <r>
    <d v="2019-12-25T00:00:00"/>
    <x v="0"/>
    <x v="11"/>
    <x v="217"/>
    <x v="1"/>
    <x v="1"/>
    <x v="1"/>
    <x v="1348"/>
    <x v="2043"/>
    <n v="7"/>
    <x v="2237"/>
  </r>
  <r>
    <d v="2019-12-25T00:00:00"/>
    <x v="0"/>
    <x v="11"/>
    <x v="361"/>
    <x v="12"/>
    <x v="0"/>
    <x v="11"/>
    <x v="795"/>
    <x v="2044"/>
    <n v="8"/>
    <x v="2238"/>
  </r>
  <r>
    <d v="2019-12-25T00:00:00"/>
    <x v="0"/>
    <x v="11"/>
    <x v="361"/>
    <x v="9"/>
    <x v="0"/>
    <x v="4"/>
    <x v="926"/>
    <x v="2045"/>
    <n v="5"/>
    <x v="2239"/>
  </r>
  <r>
    <d v="2019-12-25T00:00:00"/>
    <x v="0"/>
    <x v="11"/>
    <x v="385"/>
    <x v="12"/>
    <x v="0"/>
    <x v="11"/>
    <x v="222"/>
    <x v="2046"/>
    <n v="3"/>
    <x v="2240"/>
  </r>
  <r>
    <d v="2019-12-25T00:00:00"/>
    <x v="0"/>
    <x v="11"/>
    <x v="361"/>
    <x v="9"/>
    <x v="0"/>
    <x v="11"/>
    <x v="313"/>
    <x v="2047"/>
    <n v="3"/>
    <x v="2241"/>
  </r>
  <r>
    <d v="2019-12-25T00:00:00"/>
    <x v="0"/>
    <x v="11"/>
    <x v="628"/>
    <x v="33"/>
    <x v="1"/>
    <x v="3"/>
    <x v="1142"/>
    <x v="2048"/>
    <n v="2"/>
    <x v="2242"/>
  </r>
  <r>
    <d v="2019-12-25T00:00:00"/>
    <x v="0"/>
    <x v="11"/>
    <x v="628"/>
    <x v="33"/>
    <x v="0"/>
    <x v="8"/>
    <x v="1152"/>
    <x v="2049"/>
    <n v="5"/>
    <x v="2243"/>
  </r>
  <r>
    <d v="2019-12-25T00:00:00"/>
    <x v="0"/>
    <x v="11"/>
    <x v="385"/>
    <x v="12"/>
    <x v="0"/>
    <x v="4"/>
    <x v="1263"/>
    <x v="1810"/>
    <n v="2"/>
    <x v="1965"/>
  </r>
  <r>
    <d v="2019-12-25T00:00:00"/>
    <x v="0"/>
    <x v="11"/>
    <x v="629"/>
    <x v="20"/>
    <x v="1"/>
    <x v="15"/>
    <x v="617"/>
    <x v="2050"/>
    <n v="2"/>
    <x v="2244"/>
  </r>
  <r>
    <d v="2019-12-25T00:00:00"/>
    <x v="0"/>
    <x v="11"/>
    <x v="217"/>
    <x v="1"/>
    <x v="1"/>
    <x v="3"/>
    <x v="495"/>
    <x v="2051"/>
    <n v="7"/>
    <x v="2245"/>
  </r>
  <r>
    <d v="2019-12-25T00:00:00"/>
    <x v="0"/>
    <x v="11"/>
    <x v="628"/>
    <x v="33"/>
    <x v="2"/>
    <x v="9"/>
    <x v="1349"/>
    <x v="2052"/>
    <n v="3"/>
    <x v="2246"/>
  </r>
  <r>
    <d v="2019-12-25T00:00:00"/>
    <x v="0"/>
    <x v="11"/>
    <x v="629"/>
    <x v="20"/>
    <x v="1"/>
    <x v="3"/>
    <x v="1350"/>
    <x v="2053"/>
    <n v="2"/>
    <x v="2247"/>
  </r>
  <r>
    <d v="2019-12-25T00:00:00"/>
    <x v="0"/>
    <x v="11"/>
    <x v="629"/>
    <x v="20"/>
    <x v="0"/>
    <x v="11"/>
    <x v="132"/>
    <x v="2054"/>
    <n v="2"/>
    <x v="2248"/>
  </r>
  <r>
    <d v="2019-12-25T00:00:00"/>
    <x v="0"/>
    <x v="11"/>
    <x v="217"/>
    <x v="1"/>
    <x v="2"/>
    <x v="9"/>
    <x v="265"/>
    <x v="622"/>
    <n v="7"/>
    <x v="640"/>
  </r>
  <r>
    <d v="2019-12-25T00:00:00"/>
    <x v="0"/>
    <x v="11"/>
    <x v="629"/>
    <x v="20"/>
    <x v="1"/>
    <x v="3"/>
    <x v="3"/>
    <x v="2055"/>
    <n v="3"/>
    <x v="2249"/>
  </r>
  <r>
    <d v="2019-12-25T00:00:00"/>
    <x v="0"/>
    <x v="11"/>
    <x v="629"/>
    <x v="20"/>
    <x v="0"/>
    <x v="4"/>
    <x v="614"/>
    <x v="2056"/>
    <n v="1"/>
    <x v="2250"/>
  </r>
  <r>
    <d v="2019-12-25T00:00:00"/>
    <x v="0"/>
    <x v="11"/>
    <x v="103"/>
    <x v="12"/>
    <x v="2"/>
    <x v="5"/>
    <x v="725"/>
    <x v="745"/>
    <n v="2"/>
    <x v="687"/>
  </r>
  <r>
    <d v="2019-12-25T00:00:00"/>
    <x v="0"/>
    <x v="11"/>
    <x v="630"/>
    <x v="13"/>
    <x v="0"/>
    <x v="8"/>
    <x v="1351"/>
    <x v="2057"/>
    <n v="4"/>
    <x v="2251"/>
  </r>
  <r>
    <d v="2019-12-25T00:00:00"/>
    <x v="0"/>
    <x v="11"/>
    <x v="628"/>
    <x v="33"/>
    <x v="2"/>
    <x v="7"/>
    <x v="1352"/>
    <x v="2058"/>
    <n v="9"/>
    <x v="2252"/>
  </r>
  <r>
    <d v="2019-12-26T00:00:00"/>
    <x v="0"/>
    <x v="11"/>
    <x v="117"/>
    <x v="1"/>
    <x v="0"/>
    <x v="4"/>
    <x v="645"/>
    <x v="725"/>
    <n v="3"/>
    <x v="749"/>
  </r>
  <r>
    <d v="2019-12-26T00:00:00"/>
    <x v="0"/>
    <x v="11"/>
    <x v="117"/>
    <x v="1"/>
    <x v="1"/>
    <x v="1"/>
    <x v="860"/>
    <x v="1013"/>
    <n v="2"/>
    <x v="1064"/>
  </r>
  <r>
    <d v="2019-12-26T00:00:00"/>
    <x v="0"/>
    <x v="11"/>
    <x v="566"/>
    <x v="10"/>
    <x v="0"/>
    <x v="11"/>
    <x v="675"/>
    <x v="2059"/>
    <n v="3"/>
    <x v="2253"/>
  </r>
  <r>
    <d v="2019-12-26T00:00:00"/>
    <x v="0"/>
    <x v="11"/>
    <x v="117"/>
    <x v="1"/>
    <x v="0"/>
    <x v="11"/>
    <x v="726"/>
    <x v="213"/>
    <n v="3"/>
    <x v="2254"/>
  </r>
  <r>
    <d v="2019-12-26T00:00:00"/>
    <x v="0"/>
    <x v="11"/>
    <x v="631"/>
    <x v="12"/>
    <x v="1"/>
    <x v="3"/>
    <x v="1204"/>
    <x v="122"/>
    <n v="3"/>
    <x v="1752"/>
  </r>
  <r>
    <d v="2019-12-26T00:00:00"/>
    <x v="0"/>
    <x v="11"/>
    <x v="117"/>
    <x v="1"/>
    <x v="2"/>
    <x v="7"/>
    <x v="1353"/>
    <x v="2060"/>
    <n v="3"/>
    <x v="2255"/>
  </r>
  <r>
    <d v="2019-12-26T00:00:00"/>
    <x v="0"/>
    <x v="11"/>
    <x v="29"/>
    <x v="9"/>
    <x v="2"/>
    <x v="9"/>
    <x v="1338"/>
    <x v="2019"/>
    <n v="5"/>
    <x v="2204"/>
  </r>
  <r>
    <d v="2019-12-26T00:00:00"/>
    <x v="0"/>
    <x v="11"/>
    <x v="566"/>
    <x v="10"/>
    <x v="2"/>
    <x v="13"/>
    <x v="1256"/>
    <x v="2061"/>
    <n v="1"/>
    <x v="2256"/>
  </r>
  <r>
    <d v="2019-12-26T00:00:00"/>
    <x v="0"/>
    <x v="11"/>
    <x v="277"/>
    <x v="22"/>
    <x v="2"/>
    <x v="13"/>
    <x v="1311"/>
    <x v="2062"/>
    <n v="2"/>
    <x v="2257"/>
  </r>
  <r>
    <d v="2019-12-26T00:00:00"/>
    <x v="0"/>
    <x v="11"/>
    <x v="117"/>
    <x v="1"/>
    <x v="2"/>
    <x v="16"/>
    <x v="779"/>
    <x v="2063"/>
    <n v="2"/>
    <x v="2258"/>
  </r>
  <r>
    <d v="2019-12-26T00:00:00"/>
    <x v="0"/>
    <x v="11"/>
    <x v="19"/>
    <x v="22"/>
    <x v="2"/>
    <x v="7"/>
    <x v="1021"/>
    <x v="2064"/>
    <n v="2"/>
    <x v="2259"/>
  </r>
  <r>
    <d v="2019-12-26T00:00:00"/>
    <x v="0"/>
    <x v="11"/>
    <x v="117"/>
    <x v="1"/>
    <x v="2"/>
    <x v="13"/>
    <x v="841"/>
    <x v="2065"/>
    <n v="2"/>
    <x v="2260"/>
  </r>
  <r>
    <d v="2019-12-26T00:00:00"/>
    <x v="0"/>
    <x v="11"/>
    <x v="6"/>
    <x v="12"/>
    <x v="2"/>
    <x v="5"/>
    <x v="411"/>
    <x v="2066"/>
    <n v="3"/>
    <x v="2261"/>
  </r>
  <r>
    <d v="2019-12-27T00:00:00"/>
    <x v="0"/>
    <x v="11"/>
    <x v="293"/>
    <x v="17"/>
    <x v="0"/>
    <x v="11"/>
    <x v="681"/>
    <x v="2067"/>
    <n v="8"/>
    <x v="2262"/>
  </r>
  <r>
    <d v="2019-12-27T00:00:00"/>
    <x v="0"/>
    <x v="11"/>
    <x v="632"/>
    <x v="8"/>
    <x v="1"/>
    <x v="3"/>
    <x v="113"/>
    <x v="2068"/>
    <n v="2"/>
    <x v="2263"/>
  </r>
  <r>
    <d v="2019-12-27T00:00:00"/>
    <x v="0"/>
    <x v="11"/>
    <x v="389"/>
    <x v="2"/>
    <x v="2"/>
    <x v="9"/>
    <x v="1354"/>
    <x v="2069"/>
    <n v="4"/>
    <x v="2264"/>
  </r>
  <r>
    <d v="2019-12-27T00:00:00"/>
    <x v="0"/>
    <x v="11"/>
    <x v="296"/>
    <x v="1"/>
    <x v="2"/>
    <x v="14"/>
    <x v="1190"/>
    <x v="1486"/>
    <n v="7"/>
    <x v="1607"/>
  </r>
  <r>
    <d v="2019-12-27T00:00:00"/>
    <x v="0"/>
    <x v="11"/>
    <x v="65"/>
    <x v="8"/>
    <x v="2"/>
    <x v="12"/>
    <x v="1167"/>
    <x v="2070"/>
    <n v="6"/>
    <x v="2265"/>
  </r>
  <r>
    <d v="2019-12-27T00:00:00"/>
    <x v="0"/>
    <x v="11"/>
    <x v="389"/>
    <x v="2"/>
    <x v="2"/>
    <x v="9"/>
    <x v="1331"/>
    <x v="286"/>
    <n v="2"/>
    <x v="288"/>
  </r>
  <r>
    <d v="2019-12-27T00:00:00"/>
    <x v="0"/>
    <x v="11"/>
    <x v="633"/>
    <x v="19"/>
    <x v="2"/>
    <x v="14"/>
    <x v="1355"/>
    <x v="2071"/>
    <n v="1"/>
    <x v="2266"/>
  </r>
  <r>
    <d v="2019-12-29T00:00:00"/>
    <x v="0"/>
    <x v="11"/>
    <x v="158"/>
    <x v="7"/>
    <x v="0"/>
    <x v="11"/>
    <x v="1356"/>
    <x v="2072"/>
    <n v="5"/>
    <x v="2267"/>
  </r>
  <r>
    <d v="2019-12-29T00:00:00"/>
    <x v="0"/>
    <x v="11"/>
    <x v="634"/>
    <x v="17"/>
    <x v="2"/>
    <x v="9"/>
    <x v="100"/>
    <x v="2073"/>
    <n v="6"/>
    <x v="2268"/>
  </r>
  <r>
    <d v="2019-12-29T00:00:00"/>
    <x v="0"/>
    <x v="11"/>
    <x v="635"/>
    <x v="38"/>
    <x v="2"/>
    <x v="13"/>
    <x v="1357"/>
    <x v="1644"/>
    <n v="2"/>
    <x v="2269"/>
  </r>
  <r>
    <d v="2019-12-29T00:00:00"/>
    <x v="0"/>
    <x v="11"/>
    <x v="635"/>
    <x v="38"/>
    <x v="0"/>
    <x v="8"/>
    <x v="177"/>
    <x v="2074"/>
    <n v="6"/>
    <x v="2270"/>
  </r>
  <r>
    <d v="2019-12-29T00:00:00"/>
    <x v="0"/>
    <x v="11"/>
    <x v="524"/>
    <x v="21"/>
    <x v="2"/>
    <x v="5"/>
    <x v="75"/>
    <x v="810"/>
    <n v="4"/>
    <x v="841"/>
  </r>
  <r>
    <d v="2019-12-29T00:00:00"/>
    <x v="0"/>
    <x v="11"/>
    <x v="319"/>
    <x v="6"/>
    <x v="2"/>
    <x v="9"/>
    <x v="493"/>
    <x v="2075"/>
    <n v="7"/>
    <x v="2271"/>
  </r>
  <r>
    <d v="2019-12-29T00:00:00"/>
    <x v="0"/>
    <x v="11"/>
    <x v="547"/>
    <x v="1"/>
    <x v="2"/>
    <x v="16"/>
    <x v="1358"/>
    <x v="212"/>
    <n v="2"/>
    <x v="2272"/>
  </r>
  <r>
    <d v="2019-12-29T00:00:00"/>
    <x v="0"/>
    <x v="11"/>
    <x v="280"/>
    <x v="29"/>
    <x v="2"/>
    <x v="10"/>
    <x v="1359"/>
    <x v="2076"/>
    <n v="3"/>
    <x v="2273"/>
  </r>
  <r>
    <d v="2019-12-29T00:00:00"/>
    <x v="0"/>
    <x v="11"/>
    <x v="319"/>
    <x v="6"/>
    <x v="2"/>
    <x v="9"/>
    <x v="1101"/>
    <x v="2077"/>
    <n v="6"/>
    <x v="2274"/>
  </r>
  <r>
    <d v="2019-12-29T00:00:00"/>
    <x v="0"/>
    <x v="11"/>
    <x v="547"/>
    <x v="1"/>
    <x v="2"/>
    <x v="2"/>
    <x v="1360"/>
    <x v="2078"/>
    <n v="1"/>
    <x v="2275"/>
  </r>
  <r>
    <d v="2019-12-29T00:00:00"/>
    <x v="0"/>
    <x v="11"/>
    <x v="344"/>
    <x v="1"/>
    <x v="2"/>
    <x v="5"/>
    <x v="610"/>
    <x v="681"/>
    <n v="3"/>
    <x v="700"/>
  </r>
  <r>
    <d v="2019-12-29T00:00:00"/>
    <x v="0"/>
    <x v="11"/>
    <x v="524"/>
    <x v="21"/>
    <x v="2"/>
    <x v="5"/>
    <x v="737"/>
    <x v="2079"/>
    <n v="3"/>
    <x v="2276"/>
  </r>
  <r>
    <d v="2019-12-30T00:00:00"/>
    <x v="0"/>
    <x v="11"/>
    <x v="115"/>
    <x v="1"/>
    <x v="2"/>
    <x v="2"/>
    <x v="64"/>
    <x v="231"/>
    <n v="4"/>
    <x v="233"/>
  </r>
  <r>
    <d v="2019-12-30T00:00:00"/>
    <x v="0"/>
    <x v="11"/>
    <x v="190"/>
    <x v="5"/>
    <x v="0"/>
    <x v="11"/>
    <x v="310"/>
    <x v="2080"/>
    <n v="1"/>
    <x v="72"/>
  </r>
  <r>
    <d v="2019-12-30T00:00:00"/>
    <x v="0"/>
    <x v="11"/>
    <x v="169"/>
    <x v="6"/>
    <x v="2"/>
    <x v="9"/>
    <x v="427"/>
    <x v="2081"/>
    <n v="4"/>
    <x v="2277"/>
  </r>
  <r>
    <d v="2019-12-30T00:00:00"/>
    <x v="0"/>
    <x v="11"/>
    <x v="636"/>
    <x v="5"/>
    <x v="2"/>
    <x v="7"/>
    <x v="1156"/>
    <x v="39"/>
    <n v="5"/>
    <x v="2278"/>
  </r>
  <r>
    <d v="2019-12-30T00:00:00"/>
    <x v="0"/>
    <x v="11"/>
    <x v="202"/>
    <x v="8"/>
    <x v="2"/>
    <x v="16"/>
    <x v="141"/>
    <x v="2082"/>
    <n v="2"/>
    <x v="2279"/>
  </r>
  <r>
    <d v="2019-12-30T00:00:00"/>
    <x v="0"/>
    <x v="11"/>
    <x v="479"/>
    <x v="2"/>
    <x v="2"/>
    <x v="5"/>
    <x v="1033"/>
    <x v="2083"/>
    <n v="6"/>
    <x v="2280"/>
  </r>
  <r>
    <d v="2019-12-30T00:00:00"/>
    <x v="0"/>
    <x v="11"/>
    <x v="115"/>
    <x v="1"/>
    <x v="2"/>
    <x v="5"/>
    <x v="1330"/>
    <x v="2084"/>
    <n v="1"/>
    <x v="2281"/>
  </r>
  <r>
    <d v="2019-12-30T00:00:00"/>
    <x v="0"/>
    <x v="11"/>
    <x v="202"/>
    <x v="8"/>
    <x v="2"/>
    <x v="14"/>
    <x v="639"/>
    <x v="2085"/>
    <n v="2"/>
    <x v="2282"/>
  </r>
  <r>
    <d v="2019-12-31T00:00:00"/>
    <x v="0"/>
    <x v="11"/>
    <x v="103"/>
    <x v="1"/>
    <x v="1"/>
    <x v="1"/>
    <x v="1147"/>
    <x v="1548"/>
    <n v="3"/>
    <x v="1675"/>
  </r>
  <r>
    <d v="2019-12-31T00:00:00"/>
    <x v="0"/>
    <x v="11"/>
    <x v="496"/>
    <x v="31"/>
    <x v="2"/>
    <x v="5"/>
    <x v="1361"/>
    <x v="2086"/>
    <n v="7"/>
    <x v="2283"/>
  </r>
  <r>
    <d v="2019-12-31T00:00:00"/>
    <x v="0"/>
    <x v="11"/>
    <x v="637"/>
    <x v="8"/>
    <x v="2"/>
    <x v="2"/>
    <x v="462"/>
    <x v="80"/>
    <n v="4"/>
    <x v="2284"/>
  </r>
  <r>
    <d v="2019-12-31T00:00:00"/>
    <x v="0"/>
    <x v="11"/>
    <x v="526"/>
    <x v="6"/>
    <x v="2"/>
    <x v="7"/>
    <x v="72"/>
    <x v="21"/>
    <n v="3"/>
    <x v="907"/>
  </r>
  <r>
    <d v="2019-12-31T00:00:00"/>
    <x v="0"/>
    <x v="11"/>
    <x v="348"/>
    <x v="1"/>
    <x v="2"/>
    <x v="5"/>
    <x v="252"/>
    <x v="2087"/>
    <n v="3"/>
    <x v="2285"/>
  </r>
  <r>
    <d v="2019-12-31T00:00:00"/>
    <x v="0"/>
    <x v="11"/>
    <x v="526"/>
    <x v="6"/>
    <x v="2"/>
    <x v="9"/>
    <x v="1013"/>
    <x v="2088"/>
    <n v="5"/>
    <x v="2286"/>
  </r>
  <r>
    <d v="2019-12-31T00:00:00"/>
    <x v="0"/>
    <x v="11"/>
    <x v="496"/>
    <x v="31"/>
    <x v="2"/>
    <x v="7"/>
    <x v="1005"/>
    <x v="356"/>
    <n v="2"/>
    <x v="2287"/>
  </r>
  <r>
    <d v="2020-01-01T00:00:00"/>
    <x v="1"/>
    <x v="0"/>
    <x v="157"/>
    <x v="2"/>
    <x v="0"/>
    <x v="8"/>
    <x v="526"/>
    <x v="2089"/>
    <n v="5"/>
    <x v="2288"/>
  </r>
  <r>
    <d v="2020-01-01T00:00:00"/>
    <x v="1"/>
    <x v="0"/>
    <x v="157"/>
    <x v="2"/>
    <x v="0"/>
    <x v="11"/>
    <x v="1059"/>
    <x v="2090"/>
    <n v="4"/>
    <x v="1458"/>
  </r>
  <r>
    <d v="2020-01-01T00:00:00"/>
    <x v="1"/>
    <x v="0"/>
    <x v="157"/>
    <x v="2"/>
    <x v="2"/>
    <x v="2"/>
    <x v="901"/>
    <x v="2091"/>
    <n v="5"/>
    <x v="2289"/>
  </r>
  <r>
    <d v="2020-01-01T00:00:00"/>
    <x v="1"/>
    <x v="0"/>
    <x v="38"/>
    <x v="1"/>
    <x v="0"/>
    <x v="8"/>
    <x v="1362"/>
    <x v="2092"/>
    <n v="11"/>
    <x v="2290"/>
  </r>
  <r>
    <d v="2020-01-01T00:00:00"/>
    <x v="1"/>
    <x v="0"/>
    <x v="157"/>
    <x v="2"/>
    <x v="2"/>
    <x v="7"/>
    <x v="1363"/>
    <x v="2093"/>
    <n v="4"/>
    <x v="2291"/>
  </r>
  <r>
    <d v="2020-01-01T00:00:00"/>
    <x v="1"/>
    <x v="0"/>
    <x v="157"/>
    <x v="2"/>
    <x v="2"/>
    <x v="5"/>
    <x v="523"/>
    <x v="2094"/>
    <n v="5"/>
    <x v="2292"/>
  </r>
  <r>
    <d v="2020-01-01T00:00:00"/>
    <x v="1"/>
    <x v="0"/>
    <x v="283"/>
    <x v="7"/>
    <x v="2"/>
    <x v="5"/>
    <x v="820"/>
    <x v="2095"/>
    <n v="2"/>
    <x v="2293"/>
  </r>
  <r>
    <d v="2020-01-01T00:00:00"/>
    <x v="1"/>
    <x v="0"/>
    <x v="157"/>
    <x v="2"/>
    <x v="2"/>
    <x v="13"/>
    <x v="1364"/>
    <x v="2096"/>
    <n v="2"/>
    <x v="2294"/>
  </r>
  <r>
    <d v="2020-01-01T00:00:00"/>
    <x v="1"/>
    <x v="0"/>
    <x v="157"/>
    <x v="2"/>
    <x v="2"/>
    <x v="5"/>
    <x v="543"/>
    <x v="2097"/>
    <n v="14"/>
    <x v="2295"/>
  </r>
  <r>
    <d v="2020-01-01T00:00:00"/>
    <x v="1"/>
    <x v="0"/>
    <x v="638"/>
    <x v="8"/>
    <x v="0"/>
    <x v="8"/>
    <x v="619"/>
    <x v="2098"/>
    <n v="4"/>
    <x v="2296"/>
  </r>
  <r>
    <d v="2020-01-02T00:00:00"/>
    <x v="1"/>
    <x v="0"/>
    <x v="628"/>
    <x v="2"/>
    <x v="2"/>
    <x v="2"/>
    <x v="1155"/>
    <x v="2099"/>
    <n v="3"/>
    <x v="2297"/>
  </r>
  <r>
    <d v="2020-01-02T00:00:00"/>
    <x v="1"/>
    <x v="0"/>
    <x v="155"/>
    <x v="4"/>
    <x v="1"/>
    <x v="15"/>
    <x v="636"/>
    <x v="2100"/>
    <n v="2"/>
    <x v="738"/>
  </r>
  <r>
    <d v="2020-01-02T00:00:00"/>
    <x v="1"/>
    <x v="0"/>
    <x v="628"/>
    <x v="2"/>
    <x v="0"/>
    <x v="4"/>
    <x v="1263"/>
    <x v="2101"/>
    <n v="5"/>
    <x v="2298"/>
  </r>
  <r>
    <d v="2020-01-02T00:00:00"/>
    <x v="1"/>
    <x v="0"/>
    <x v="628"/>
    <x v="2"/>
    <x v="2"/>
    <x v="13"/>
    <x v="1365"/>
    <x v="2102"/>
    <n v="2"/>
    <x v="2299"/>
  </r>
  <r>
    <d v="2020-01-02T00:00:00"/>
    <x v="1"/>
    <x v="0"/>
    <x v="155"/>
    <x v="4"/>
    <x v="2"/>
    <x v="5"/>
    <x v="833"/>
    <x v="2103"/>
    <n v="5"/>
    <x v="2300"/>
  </r>
  <r>
    <d v="2020-01-02T00:00:00"/>
    <x v="1"/>
    <x v="0"/>
    <x v="628"/>
    <x v="2"/>
    <x v="2"/>
    <x v="7"/>
    <x v="20"/>
    <x v="2104"/>
    <n v="2"/>
    <x v="2301"/>
  </r>
  <r>
    <d v="2020-01-02T00:00:00"/>
    <x v="1"/>
    <x v="0"/>
    <x v="155"/>
    <x v="4"/>
    <x v="2"/>
    <x v="5"/>
    <x v="1236"/>
    <x v="2105"/>
    <n v="6"/>
    <x v="2302"/>
  </r>
  <r>
    <d v="2020-01-02T00:00:00"/>
    <x v="1"/>
    <x v="0"/>
    <x v="463"/>
    <x v="1"/>
    <x v="1"/>
    <x v="3"/>
    <x v="1160"/>
    <x v="2106"/>
    <n v="1"/>
    <x v="2303"/>
  </r>
  <r>
    <d v="2020-01-03T00:00:00"/>
    <x v="1"/>
    <x v="0"/>
    <x v="639"/>
    <x v="1"/>
    <x v="2"/>
    <x v="5"/>
    <x v="368"/>
    <x v="2107"/>
    <n v="8"/>
    <x v="2304"/>
  </r>
  <r>
    <d v="2020-01-03T00:00:00"/>
    <x v="1"/>
    <x v="0"/>
    <x v="639"/>
    <x v="1"/>
    <x v="2"/>
    <x v="7"/>
    <x v="1066"/>
    <x v="2108"/>
    <n v="3"/>
    <x v="2305"/>
  </r>
  <r>
    <d v="2020-01-03T00:00:00"/>
    <x v="1"/>
    <x v="0"/>
    <x v="455"/>
    <x v="1"/>
    <x v="2"/>
    <x v="9"/>
    <x v="1075"/>
    <x v="2109"/>
    <n v="6"/>
    <x v="679"/>
  </r>
  <r>
    <d v="2020-01-06T00:00:00"/>
    <x v="1"/>
    <x v="0"/>
    <x v="283"/>
    <x v="36"/>
    <x v="2"/>
    <x v="5"/>
    <x v="539"/>
    <x v="2110"/>
    <n v="7"/>
    <x v="2306"/>
  </r>
  <r>
    <d v="2020-01-07T00:00:00"/>
    <x v="1"/>
    <x v="0"/>
    <x v="604"/>
    <x v="1"/>
    <x v="2"/>
    <x v="2"/>
    <x v="1273"/>
    <x v="2111"/>
    <n v="3"/>
    <x v="2307"/>
  </r>
  <r>
    <d v="2020-01-07T00:00:00"/>
    <x v="1"/>
    <x v="0"/>
    <x v="604"/>
    <x v="1"/>
    <x v="2"/>
    <x v="16"/>
    <x v="1366"/>
    <x v="2112"/>
    <n v="7"/>
    <x v="2308"/>
  </r>
  <r>
    <d v="2020-01-07T00:00:00"/>
    <x v="1"/>
    <x v="0"/>
    <x v="604"/>
    <x v="1"/>
    <x v="2"/>
    <x v="2"/>
    <x v="428"/>
    <x v="2113"/>
    <n v="11"/>
    <x v="2309"/>
  </r>
  <r>
    <d v="2020-01-07T00:00:00"/>
    <x v="1"/>
    <x v="0"/>
    <x v="520"/>
    <x v="25"/>
    <x v="1"/>
    <x v="15"/>
    <x v="1367"/>
    <x v="2114"/>
    <n v="2"/>
    <x v="2310"/>
  </r>
  <r>
    <d v="2020-01-07T00:00:00"/>
    <x v="1"/>
    <x v="0"/>
    <x v="604"/>
    <x v="1"/>
    <x v="2"/>
    <x v="12"/>
    <x v="163"/>
    <x v="2115"/>
    <n v="1"/>
    <x v="2311"/>
  </r>
  <r>
    <d v="2020-01-07T00:00:00"/>
    <x v="1"/>
    <x v="0"/>
    <x v="640"/>
    <x v="6"/>
    <x v="2"/>
    <x v="5"/>
    <x v="737"/>
    <x v="2116"/>
    <n v="3"/>
    <x v="2276"/>
  </r>
  <r>
    <d v="2020-01-08T00:00:00"/>
    <x v="1"/>
    <x v="0"/>
    <x v="249"/>
    <x v="9"/>
    <x v="0"/>
    <x v="4"/>
    <x v="1209"/>
    <x v="2117"/>
    <n v="2"/>
    <x v="2312"/>
  </r>
  <r>
    <d v="2020-01-09T00:00:00"/>
    <x v="1"/>
    <x v="0"/>
    <x v="191"/>
    <x v="5"/>
    <x v="2"/>
    <x v="5"/>
    <x v="1253"/>
    <x v="2118"/>
    <n v="3"/>
    <x v="2313"/>
  </r>
  <r>
    <d v="2020-01-12T00:00:00"/>
    <x v="1"/>
    <x v="0"/>
    <x v="641"/>
    <x v="2"/>
    <x v="2"/>
    <x v="5"/>
    <x v="840"/>
    <x v="2119"/>
    <n v="5"/>
    <x v="2314"/>
  </r>
  <r>
    <d v="2020-01-12T00:00:00"/>
    <x v="1"/>
    <x v="0"/>
    <x v="375"/>
    <x v="1"/>
    <x v="2"/>
    <x v="10"/>
    <x v="86"/>
    <x v="2120"/>
    <n v="1"/>
    <x v="2315"/>
  </r>
  <r>
    <d v="2020-01-12T00:00:00"/>
    <x v="1"/>
    <x v="0"/>
    <x v="642"/>
    <x v="37"/>
    <x v="0"/>
    <x v="8"/>
    <x v="443"/>
    <x v="2121"/>
    <n v="2"/>
    <x v="2147"/>
  </r>
  <r>
    <d v="2020-01-12T00:00:00"/>
    <x v="1"/>
    <x v="0"/>
    <x v="642"/>
    <x v="37"/>
    <x v="2"/>
    <x v="9"/>
    <x v="1110"/>
    <x v="2122"/>
    <n v="6"/>
    <x v="2316"/>
  </r>
  <r>
    <d v="2020-01-13T00:00:00"/>
    <x v="1"/>
    <x v="0"/>
    <x v="159"/>
    <x v="30"/>
    <x v="0"/>
    <x v="0"/>
    <x v="342"/>
    <x v="2123"/>
    <n v="3"/>
    <x v="2317"/>
  </r>
  <r>
    <d v="2020-01-13T00:00:00"/>
    <x v="1"/>
    <x v="0"/>
    <x v="159"/>
    <x v="30"/>
    <x v="2"/>
    <x v="7"/>
    <x v="1368"/>
    <x v="2124"/>
    <n v="6"/>
    <x v="2318"/>
  </r>
  <r>
    <d v="2020-01-13T00:00:00"/>
    <x v="1"/>
    <x v="0"/>
    <x v="159"/>
    <x v="30"/>
    <x v="2"/>
    <x v="16"/>
    <x v="1369"/>
    <x v="2125"/>
    <n v="5"/>
    <x v="2319"/>
  </r>
  <r>
    <d v="2020-01-13T00:00:00"/>
    <x v="1"/>
    <x v="0"/>
    <x v="159"/>
    <x v="30"/>
    <x v="2"/>
    <x v="9"/>
    <x v="515"/>
    <x v="2126"/>
    <n v="5"/>
    <x v="734"/>
  </r>
  <r>
    <d v="2020-01-14T00:00:00"/>
    <x v="1"/>
    <x v="0"/>
    <x v="89"/>
    <x v="21"/>
    <x v="1"/>
    <x v="1"/>
    <x v="799"/>
    <x v="2127"/>
    <n v="2"/>
    <x v="2320"/>
  </r>
  <r>
    <d v="2020-01-14T00:00:00"/>
    <x v="1"/>
    <x v="0"/>
    <x v="643"/>
    <x v="1"/>
    <x v="2"/>
    <x v="9"/>
    <x v="672"/>
    <x v="2128"/>
    <n v="5"/>
    <x v="1156"/>
  </r>
  <r>
    <d v="2020-01-14T00:00:00"/>
    <x v="1"/>
    <x v="0"/>
    <x v="644"/>
    <x v="24"/>
    <x v="1"/>
    <x v="3"/>
    <x v="205"/>
    <x v="2129"/>
    <n v="4"/>
    <x v="2321"/>
  </r>
  <r>
    <d v="2020-01-14T00:00:00"/>
    <x v="1"/>
    <x v="0"/>
    <x v="515"/>
    <x v="22"/>
    <x v="1"/>
    <x v="3"/>
    <x v="43"/>
    <x v="2130"/>
    <n v="7"/>
    <x v="2322"/>
  </r>
  <r>
    <d v="2020-01-14T00:00:00"/>
    <x v="1"/>
    <x v="0"/>
    <x v="515"/>
    <x v="22"/>
    <x v="2"/>
    <x v="2"/>
    <x v="704"/>
    <x v="2131"/>
    <n v="9"/>
    <x v="2323"/>
  </r>
  <r>
    <d v="2020-01-14T00:00:00"/>
    <x v="1"/>
    <x v="0"/>
    <x v="227"/>
    <x v="4"/>
    <x v="1"/>
    <x v="1"/>
    <x v="1370"/>
    <x v="2132"/>
    <n v="5"/>
    <x v="2324"/>
  </r>
  <r>
    <d v="2020-01-14T00:00:00"/>
    <x v="1"/>
    <x v="0"/>
    <x v="644"/>
    <x v="24"/>
    <x v="0"/>
    <x v="8"/>
    <x v="218"/>
    <x v="2133"/>
    <n v="2"/>
    <x v="2325"/>
  </r>
  <r>
    <d v="2020-01-14T00:00:00"/>
    <x v="1"/>
    <x v="0"/>
    <x v="644"/>
    <x v="24"/>
    <x v="1"/>
    <x v="3"/>
    <x v="1329"/>
    <x v="2134"/>
    <n v="4"/>
    <x v="2326"/>
  </r>
  <r>
    <d v="2020-01-14T00:00:00"/>
    <x v="1"/>
    <x v="0"/>
    <x v="644"/>
    <x v="24"/>
    <x v="2"/>
    <x v="9"/>
    <x v="297"/>
    <x v="2135"/>
    <n v="1"/>
    <x v="323"/>
  </r>
  <r>
    <d v="2020-01-14T00:00:00"/>
    <x v="1"/>
    <x v="0"/>
    <x v="89"/>
    <x v="21"/>
    <x v="2"/>
    <x v="5"/>
    <x v="151"/>
    <x v="2136"/>
    <n v="2"/>
    <x v="2327"/>
  </r>
  <r>
    <d v="2020-01-14T00:00:00"/>
    <x v="1"/>
    <x v="0"/>
    <x v="644"/>
    <x v="24"/>
    <x v="2"/>
    <x v="12"/>
    <x v="50"/>
    <x v="2137"/>
    <n v="2"/>
    <x v="2328"/>
  </r>
  <r>
    <d v="2020-01-14T00:00:00"/>
    <x v="1"/>
    <x v="0"/>
    <x v="89"/>
    <x v="21"/>
    <x v="2"/>
    <x v="5"/>
    <x v="682"/>
    <x v="108"/>
    <n v="5"/>
    <x v="2329"/>
  </r>
  <r>
    <d v="2020-01-14T00:00:00"/>
    <x v="1"/>
    <x v="0"/>
    <x v="644"/>
    <x v="24"/>
    <x v="2"/>
    <x v="2"/>
    <x v="662"/>
    <x v="2138"/>
    <n v="2"/>
    <x v="2330"/>
  </r>
  <r>
    <d v="2020-01-14T00:00:00"/>
    <x v="1"/>
    <x v="0"/>
    <x v="227"/>
    <x v="4"/>
    <x v="2"/>
    <x v="10"/>
    <x v="855"/>
    <x v="2139"/>
    <n v="1"/>
    <x v="2331"/>
  </r>
  <r>
    <d v="2020-01-14T00:00:00"/>
    <x v="1"/>
    <x v="0"/>
    <x v="89"/>
    <x v="21"/>
    <x v="2"/>
    <x v="10"/>
    <x v="1278"/>
    <x v="2140"/>
    <n v="3"/>
    <x v="2332"/>
  </r>
  <r>
    <d v="2020-01-14T00:00:00"/>
    <x v="1"/>
    <x v="0"/>
    <x v="89"/>
    <x v="21"/>
    <x v="2"/>
    <x v="9"/>
    <x v="334"/>
    <x v="2141"/>
    <n v="7"/>
    <x v="379"/>
  </r>
  <r>
    <d v="2020-01-14T00:00:00"/>
    <x v="1"/>
    <x v="0"/>
    <x v="644"/>
    <x v="24"/>
    <x v="2"/>
    <x v="2"/>
    <x v="987"/>
    <x v="2142"/>
    <n v="5"/>
    <x v="2333"/>
  </r>
  <r>
    <d v="2020-01-14T00:00:00"/>
    <x v="1"/>
    <x v="0"/>
    <x v="644"/>
    <x v="24"/>
    <x v="1"/>
    <x v="1"/>
    <x v="1303"/>
    <x v="2143"/>
    <n v="4"/>
    <x v="2334"/>
  </r>
  <r>
    <d v="2020-01-15T00:00:00"/>
    <x v="1"/>
    <x v="0"/>
    <x v="39"/>
    <x v="2"/>
    <x v="1"/>
    <x v="3"/>
    <x v="1371"/>
    <x v="1477"/>
    <n v="8"/>
    <x v="2335"/>
  </r>
  <r>
    <d v="2020-01-15T00:00:00"/>
    <x v="1"/>
    <x v="0"/>
    <x v="292"/>
    <x v="5"/>
    <x v="2"/>
    <x v="13"/>
    <x v="256"/>
    <x v="2144"/>
    <n v="8"/>
    <x v="2336"/>
  </r>
  <r>
    <d v="2020-01-15T00:00:00"/>
    <x v="1"/>
    <x v="0"/>
    <x v="39"/>
    <x v="2"/>
    <x v="2"/>
    <x v="5"/>
    <x v="1372"/>
    <x v="2145"/>
    <n v="1"/>
    <x v="2337"/>
  </r>
  <r>
    <d v="2020-01-15T00:00:00"/>
    <x v="1"/>
    <x v="0"/>
    <x v="215"/>
    <x v="1"/>
    <x v="2"/>
    <x v="7"/>
    <x v="1373"/>
    <x v="2146"/>
    <n v="5"/>
    <x v="601"/>
  </r>
  <r>
    <d v="2020-01-15T00:00:00"/>
    <x v="1"/>
    <x v="0"/>
    <x v="265"/>
    <x v="26"/>
    <x v="2"/>
    <x v="9"/>
    <x v="563"/>
    <x v="2147"/>
    <n v="2"/>
    <x v="636"/>
  </r>
  <r>
    <d v="2020-01-15T00:00:00"/>
    <x v="1"/>
    <x v="0"/>
    <x v="39"/>
    <x v="2"/>
    <x v="2"/>
    <x v="5"/>
    <x v="973"/>
    <x v="2148"/>
    <n v="4"/>
    <x v="2338"/>
  </r>
  <r>
    <d v="2020-01-15T00:00:00"/>
    <x v="1"/>
    <x v="0"/>
    <x v="292"/>
    <x v="5"/>
    <x v="2"/>
    <x v="13"/>
    <x v="947"/>
    <x v="2149"/>
    <n v="1"/>
    <x v="2339"/>
  </r>
  <r>
    <d v="2020-01-15T00:00:00"/>
    <x v="1"/>
    <x v="0"/>
    <x v="39"/>
    <x v="2"/>
    <x v="1"/>
    <x v="3"/>
    <x v="45"/>
    <x v="2150"/>
    <n v="2"/>
    <x v="2340"/>
  </r>
  <r>
    <d v="2020-01-16T00:00:00"/>
    <x v="1"/>
    <x v="0"/>
    <x v="508"/>
    <x v="25"/>
    <x v="0"/>
    <x v="11"/>
    <x v="836"/>
    <x v="2151"/>
    <n v="3"/>
    <x v="2341"/>
  </r>
  <r>
    <d v="2020-01-16T00:00:00"/>
    <x v="1"/>
    <x v="0"/>
    <x v="9"/>
    <x v="1"/>
    <x v="0"/>
    <x v="4"/>
    <x v="1374"/>
    <x v="2152"/>
    <n v="7"/>
    <x v="2342"/>
  </r>
  <r>
    <d v="2020-01-16T00:00:00"/>
    <x v="1"/>
    <x v="0"/>
    <x v="508"/>
    <x v="25"/>
    <x v="2"/>
    <x v="5"/>
    <x v="337"/>
    <x v="2153"/>
    <n v="4"/>
    <x v="2343"/>
  </r>
  <r>
    <d v="2020-01-16T00:00:00"/>
    <x v="1"/>
    <x v="0"/>
    <x v="9"/>
    <x v="1"/>
    <x v="0"/>
    <x v="8"/>
    <x v="1375"/>
    <x v="2154"/>
    <n v="4"/>
    <x v="2344"/>
  </r>
  <r>
    <d v="2020-01-16T00:00:00"/>
    <x v="1"/>
    <x v="0"/>
    <x v="508"/>
    <x v="25"/>
    <x v="2"/>
    <x v="9"/>
    <x v="499"/>
    <x v="2155"/>
    <n v="7"/>
    <x v="2345"/>
  </r>
  <r>
    <d v="2020-01-19T00:00:00"/>
    <x v="1"/>
    <x v="0"/>
    <x v="182"/>
    <x v="15"/>
    <x v="2"/>
    <x v="9"/>
    <x v="626"/>
    <x v="2156"/>
    <n v="4"/>
    <x v="2346"/>
  </r>
  <r>
    <d v="2020-01-19T00:00:00"/>
    <x v="1"/>
    <x v="0"/>
    <x v="589"/>
    <x v="5"/>
    <x v="1"/>
    <x v="1"/>
    <x v="584"/>
    <x v="2157"/>
    <n v="2"/>
    <x v="2347"/>
  </r>
  <r>
    <d v="2020-01-19T00:00:00"/>
    <x v="1"/>
    <x v="0"/>
    <x v="182"/>
    <x v="15"/>
    <x v="2"/>
    <x v="13"/>
    <x v="1376"/>
    <x v="2158"/>
    <n v="3"/>
    <x v="2348"/>
  </r>
  <r>
    <d v="2020-01-19T00:00:00"/>
    <x v="1"/>
    <x v="0"/>
    <x v="589"/>
    <x v="5"/>
    <x v="0"/>
    <x v="11"/>
    <x v="249"/>
    <x v="2159"/>
    <n v="3"/>
    <x v="1307"/>
  </r>
  <r>
    <d v="2020-01-19T00:00:00"/>
    <x v="1"/>
    <x v="0"/>
    <x v="82"/>
    <x v="2"/>
    <x v="2"/>
    <x v="14"/>
    <x v="1377"/>
    <x v="2160"/>
    <n v="2"/>
    <x v="515"/>
  </r>
  <r>
    <d v="2020-01-19T00:00:00"/>
    <x v="1"/>
    <x v="0"/>
    <x v="182"/>
    <x v="15"/>
    <x v="2"/>
    <x v="10"/>
    <x v="363"/>
    <x v="2161"/>
    <n v="1"/>
    <x v="2349"/>
  </r>
  <r>
    <d v="2020-01-19T00:00:00"/>
    <x v="1"/>
    <x v="0"/>
    <x v="589"/>
    <x v="5"/>
    <x v="2"/>
    <x v="9"/>
    <x v="1338"/>
    <x v="2162"/>
    <n v="4"/>
    <x v="2350"/>
  </r>
  <r>
    <d v="2020-01-19T00:00:00"/>
    <x v="1"/>
    <x v="0"/>
    <x v="182"/>
    <x v="15"/>
    <x v="2"/>
    <x v="9"/>
    <x v="439"/>
    <x v="1581"/>
    <n v="1"/>
    <x v="2351"/>
  </r>
  <r>
    <d v="2020-01-19T00:00:00"/>
    <x v="1"/>
    <x v="0"/>
    <x v="589"/>
    <x v="5"/>
    <x v="0"/>
    <x v="8"/>
    <x v="444"/>
    <x v="2163"/>
    <n v="2"/>
    <x v="2352"/>
  </r>
  <r>
    <d v="2020-01-20T00:00:00"/>
    <x v="1"/>
    <x v="0"/>
    <x v="250"/>
    <x v="1"/>
    <x v="1"/>
    <x v="1"/>
    <x v="1378"/>
    <x v="2164"/>
    <n v="3"/>
    <x v="2353"/>
  </r>
  <r>
    <d v="2020-01-20T00:00:00"/>
    <x v="1"/>
    <x v="0"/>
    <x v="251"/>
    <x v="12"/>
    <x v="0"/>
    <x v="11"/>
    <x v="1058"/>
    <x v="2165"/>
    <n v="3"/>
    <x v="2354"/>
  </r>
  <r>
    <d v="2020-01-20T00:00:00"/>
    <x v="1"/>
    <x v="0"/>
    <x v="645"/>
    <x v="1"/>
    <x v="1"/>
    <x v="1"/>
    <x v="1128"/>
    <x v="2166"/>
    <n v="3"/>
    <x v="2355"/>
  </r>
  <r>
    <d v="2020-01-20T00:00:00"/>
    <x v="1"/>
    <x v="0"/>
    <x v="37"/>
    <x v="11"/>
    <x v="2"/>
    <x v="7"/>
    <x v="667"/>
    <x v="2167"/>
    <n v="2"/>
    <x v="2201"/>
  </r>
  <r>
    <d v="2020-01-20T00:00:00"/>
    <x v="1"/>
    <x v="0"/>
    <x v="509"/>
    <x v="17"/>
    <x v="2"/>
    <x v="14"/>
    <x v="1190"/>
    <x v="2168"/>
    <n v="5"/>
    <x v="2356"/>
  </r>
  <r>
    <d v="2020-01-20T00:00:00"/>
    <x v="1"/>
    <x v="0"/>
    <x v="645"/>
    <x v="1"/>
    <x v="2"/>
    <x v="7"/>
    <x v="1088"/>
    <x v="2169"/>
    <n v="5"/>
    <x v="2357"/>
  </r>
  <r>
    <d v="2020-01-21T00:00:00"/>
    <x v="1"/>
    <x v="0"/>
    <x v="646"/>
    <x v="9"/>
    <x v="0"/>
    <x v="0"/>
    <x v="1255"/>
    <x v="2170"/>
    <n v="1"/>
    <x v="2358"/>
  </r>
  <r>
    <d v="2020-01-21T00:00:00"/>
    <x v="1"/>
    <x v="0"/>
    <x v="432"/>
    <x v="25"/>
    <x v="2"/>
    <x v="5"/>
    <x v="1379"/>
    <x v="2171"/>
    <n v="4"/>
    <x v="2359"/>
  </r>
  <r>
    <d v="2020-01-21T00:00:00"/>
    <x v="1"/>
    <x v="0"/>
    <x v="646"/>
    <x v="9"/>
    <x v="2"/>
    <x v="5"/>
    <x v="1196"/>
    <x v="2172"/>
    <n v="6"/>
    <x v="2360"/>
  </r>
  <r>
    <d v="2020-01-21T00:00:00"/>
    <x v="1"/>
    <x v="0"/>
    <x v="432"/>
    <x v="25"/>
    <x v="1"/>
    <x v="1"/>
    <x v="1380"/>
    <x v="2173"/>
    <n v="1"/>
    <x v="2361"/>
  </r>
  <r>
    <d v="2020-01-21T00:00:00"/>
    <x v="1"/>
    <x v="0"/>
    <x v="646"/>
    <x v="9"/>
    <x v="1"/>
    <x v="3"/>
    <x v="863"/>
    <x v="2174"/>
    <n v="3"/>
    <x v="1070"/>
  </r>
  <r>
    <d v="2020-01-21T00:00:00"/>
    <x v="1"/>
    <x v="0"/>
    <x v="646"/>
    <x v="9"/>
    <x v="2"/>
    <x v="2"/>
    <x v="139"/>
    <x v="2175"/>
    <n v="3"/>
    <x v="143"/>
  </r>
  <r>
    <d v="2020-01-21T00:00:00"/>
    <x v="1"/>
    <x v="0"/>
    <x v="59"/>
    <x v="17"/>
    <x v="2"/>
    <x v="10"/>
    <x v="898"/>
    <x v="2176"/>
    <n v="4"/>
    <x v="2362"/>
  </r>
  <r>
    <d v="2020-01-21T00:00:00"/>
    <x v="1"/>
    <x v="0"/>
    <x v="432"/>
    <x v="25"/>
    <x v="1"/>
    <x v="15"/>
    <x v="1381"/>
    <x v="2177"/>
    <n v="3"/>
    <x v="2363"/>
  </r>
  <r>
    <d v="2020-01-21T00:00:00"/>
    <x v="1"/>
    <x v="0"/>
    <x v="556"/>
    <x v="4"/>
    <x v="2"/>
    <x v="2"/>
    <x v="110"/>
    <x v="2178"/>
    <n v="7"/>
    <x v="2364"/>
  </r>
  <r>
    <d v="2020-01-21T00:00:00"/>
    <x v="1"/>
    <x v="0"/>
    <x v="432"/>
    <x v="25"/>
    <x v="1"/>
    <x v="3"/>
    <x v="46"/>
    <x v="2179"/>
    <n v="5"/>
    <x v="2365"/>
  </r>
  <r>
    <d v="2020-01-21T00:00:00"/>
    <x v="1"/>
    <x v="0"/>
    <x v="432"/>
    <x v="25"/>
    <x v="2"/>
    <x v="5"/>
    <x v="81"/>
    <x v="2180"/>
    <n v="5"/>
    <x v="1376"/>
  </r>
  <r>
    <d v="2020-01-21T00:00:00"/>
    <x v="1"/>
    <x v="0"/>
    <x v="646"/>
    <x v="9"/>
    <x v="2"/>
    <x v="5"/>
    <x v="217"/>
    <x v="2181"/>
    <n v="4"/>
    <x v="2366"/>
  </r>
  <r>
    <d v="2020-01-21T00:00:00"/>
    <x v="1"/>
    <x v="0"/>
    <x v="646"/>
    <x v="9"/>
    <x v="2"/>
    <x v="5"/>
    <x v="610"/>
    <x v="2182"/>
    <n v="5"/>
    <x v="2367"/>
  </r>
  <r>
    <d v="2020-01-21T00:00:00"/>
    <x v="1"/>
    <x v="0"/>
    <x v="556"/>
    <x v="4"/>
    <x v="2"/>
    <x v="5"/>
    <x v="1079"/>
    <x v="2183"/>
    <n v="7"/>
    <x v="2368"/>
  </r>
  <r>
    <d v="2020-01-22T00:00:00"/>
    <x v="1"/>
    <x v="0"/>
    <x v="647"/>
    <x v="45"/>
    <x v="2"/>
    <x v="2"/>
    <x v="1271"/>
    <x v="2184"/>
    <n v="3"/>
    <x v="1989"/>
  </r>
  <r>
    <d v="2020-01-22T00:00:00"/>
    <x v="1"/>
    <x v="0"/>
    <x v="647"/>
    <x v="45"/>
    <x v="1"/>
    <x v="6"/>
    <x v="1382"/>
    <x v="2185"/>
    <n v="5"/>
    <x v="2369"/>
  </r>
  <r>
    <d v="2020-01-22T00:00:00"/>
    <x v="1"/>
    <x v="0"/>
    <x v="124"/>
    <x v="17"/>
    <x v="2"/>
    <x v="7"/>
    <x v="1048"/>
    <x v="2186"/>
    <n v="3"/>
    <x v="1446"/>
  </r>
  <r>
    <d v="2020-01-22T00:00:00"/>
    <x v="1"/>
    <x v="0"/>
    <x v="124"/>
    <x v="17"/>
    <x v="2"/>
    <x v="12"/>
    <x v="163"/>
    <x v="2187"/>
    <n v="5"/>
    <x v="2370"/>
  </r>
  <r>
    <d v="2020-01-22T00:00:00"/>
    <x v="1"/>
    <x v="0"/>
    <x v="647"/>
    <x v="45"/>
    <x v="2"/>
    <x v="9"/>
    <x v="580"/>
    <x v="2188"/>
    <n v="2"/>
    <x v="2371"/>
  </r>
  <r>
    <d v="2020-01-22T00:00:00"/>
    <x v="1"/>
    <x v="0"/>
    <x v="647"/>
    <x v="45"/>
    <x v="2"/>
    <x v="2"/>
    <x v="1074"/>
    <x v="2189"/>
    <n v="3"/>
    <x v="1505"/>
  </r>
  <r>
    <d v="2020-01-23T00:00:00"/>
    <x v="1"/>
    <x v="0"/>
    <x v="648"/>
    <x v="20"/>
    <x v="1"/>
    <x v="3"/>
    <x v="1383"/>
    <x v="2190"/>
    <n v="2"/>
    <x v="2372"/>
  </r>
  <r>
    <d v="2020-01-23T00:00:00"/>
    <x v="1"/>
    <x v="0"/>
    <x v="347"/>
    <x v="9"/>
    <x v="1"/>
    <x v="1"/>
    <x v="827"/>
    <x v="2191"/>
    <n v="6"/>
    <x v="2373"/>
  </r>
  <r>
    <d v="2020-01-23T00:00:00"/>
    <x v="1"/>
    <x v="0"/>
    <x v="581"/>
    <x v="25"/>
    <x v="0"/>
    <x v="4"/>
    <x v="259"/>
    <x v="2192"/>
    <n v="2"/>
    <x v="2374"/>
  </r>
  <r>
    <d v="2020-01-23T00:00:00"/>
    <x v="1"/>
    <x v="0"/>
    <x v="347"/>
    <x v="9"/>
    <x v="2"/>
    <x v="9"/>
    <x v="816"/>
    <x v="98"/>
    <n v="1"/>
    <x v="1084"/>
  </r>
  <r>
    <d v="2020-01-23T00:00:00"/>
    <x v="1"/>
    <x v="0"/>
    <x v="347"/>
    <x v="9"/>
    <x v="2"/>
    <x v="9"/>
    <x v="16"/>
    <x v="2193"/>
    <n v="4"/>
    <x v="1384"/>
  </r>
  <r>
    <d v="2020-01-23T00:00:00"/>
    <x v="1"/>
    <x v="0"/>
    <x v="648"/>
    <x v="20"/>
    <x v="2"/>
    <x v="5"/>
    <x v="60"/>
    <x v="2194"/>
    <n v="2"/>
    <x v="2375"/>
  </r>
  <r>
    <d v="2020-01-23T00:00:00"/>
    <x v="1"/>
    <x v="0"/>
    <x v="347"/>
    <x v="9"/>
    <x v="2"/>
    <x v="5"/>
    <x v="201"/>
    <x v="2195"/>
    <n v="5"/>
    <x v="2376"/>
  </r>
  <r>
    <d v="2020-01-24T00:00:00"/>
    <x v="1"/>
    <x v="0"/>
    <x v="479"/>
    <x v="1"/>
    <x v="1"/>
    <x v="1"/>
    <x v="1276"/>
    <x v="195"/>
    <n v="3"/>
    <x v="2377"/>
  </r>
  <r>
    <d v="2020-01-24T00:00:00"/>
    <x v="1"/>
    <x v="0"/>
    <x v="479"/>
    <x v="1"/>
    <x v="2"/>
    <x v="5"/>
    <x v="236"/>
    <x v="2196"/>
    <n v="2"/>
    <x v="1121"/>
  </r>
  <r>
    <d v="2020-01-24T00:00:00"/>
    <x v="1"/>
    <x v="0"/>
    <x v="364"/>
    <x v="14"/>
    <x v="2"/>
    <x v="12"/>
    <x v="101"/>
    <x v="2197"/>
    <n v="3"/>
    <x v="2378"/>
  </r>
  <r>
    <d v="2020-01-24T00:00:00"/>
    <x v="1"/>
    <x v="0"/>
    <x v="479"/>
    <x v="1"/>
    <x v="2"/>
    <x v="13"/>
    <x v="903"/>
    <x v="2198"/>
    <n v="3"/>
    <x v="2379"/>
  </r>
  <r>
    <d v="2020-01-26T00:00:00"/>
    <x v="1"/>
    <x v="0"/>
    <x v="649"/>
    <x v="14"/>
    <x v="0"/>
    <x v="8"/>
    <x v="648"/>
    <x v="2199"/>
    <n v="4"/>
    <x v="2380"/>
  </r>
  <r>
    <d v="2020-01-26T00:00:00"/>
    <x v="1"/>
    <x v="0"/>
    <x v="649"/>
    <x v="14"/>
    <x v="1"/>
    <x v="1"/>
    <x v="631"/>
    <x v="2200"/>
    <n v="7"/>
    <x v="2381"/>
  </r>
  <r>
    <d v="2020-01-26T00:00:00"/>
    <x v="1"/>
    <x v="0"/>
    <x v="626"/>
    <x v="36"/>
    <x v="2"/>
    <x v="5"/>
    <x v="476"/>
    <x v="2201"/>
    <n v="2"/>
    <x v="1985"/>
  </r>
  <r>
    <d v="2020-01-26T00:00:00"/>
    <x v="1"/>
    <x v="0"/>
    <x v="109"/>
    <x v="1"/>
    <x v="2"/>
    <x v="12"/>
    <x v="1384"/>
    <x v="2202"/>
    <n v="8"/>
    <x v="2382"/>
  </r>
  <r>
    <d v="2020-01-26T00:00:00"/>
    <x v="1"/>
    <x v="0"/>
    <x v="626"/>
    <x v="36"/>
    <x v="2"/>
    <x v="7"/>
    <x v="715"/>
    <x v="2203"/>
    <n v="7"/>
    <x v="2383"/>
  </r>
  <r>
    <d v="2020-01-26T00:00:00"/>
    <x v="1"/>
    <x v="0"/>
    <x v="558"/>
    <x v="2"/>
    <x v="2"/>
    <x v="2"/>
    <x v="1301"/>
    <x v="2204"/>
    <n v="2"/>
    <x v="2384"/>
  </r>
  <r>
    <d v="2020-01-27T00:00:00"/>
    <x v="1"/>
    <x v="0"/>
    <x v="650"/>
    <x v="8"/>
    <x v="1"/>
    <x v="3"/>
    <x v="1385"/>
    <x v="2205"/>
    <n v="3"/>
    <x v="2385"/>
  </r>
  <r>
    <d v="2020-01-27T00:00:00"/>
    <x v="1"/>
    <x v="0"/>
    <x v="650"/>
    <x v="8"/>
    <x v="1"/>
    <x v="1"/>
    <x v="1275"/>
    <x v="2206"/>
    <n v="3"/>
    <x v="2386"/>
  </r>
  <r>
    <d v="2020-01-27T00:00:00"/>
    <x v="1"/>
    <x v="0"/>
    <x v="450"/>
    <x v="12"/>
    <x v="1"/>
    <x v="1"/>
    <x v="1276"/>
    <x v="2207"/>
    <n v="3"/>
    <x v="2010"/>
  </r>
  <r>
    <d v="2020-01-27T00:00:00"/>
    <x v="1"/>
    <x v="0"/>
    <x v="650"/>
    <x v="8"/>
    <x v="2"/>
    <x v="7"/>
    <x v="9"/>
    <x v="2208"/>
    <n v="3"/>
    <x v="2387"/>
  </r>
  <r>
    <d v="2020-01-28T00:00:00"/>
    <x v="1"/>
    <x v="0"/>
    <x v="651"/>
    <x v="1"/>
    <x v="1"/>
    <x v="3"/>
    <x v="561"/>
    <x v="2209"/>
    <n v="3"/>
    <x v="2388"/>
  </r>
  <r>
    <d v="2020-01-28T00:00:00"/>
    <x v="1"/>
    <x v="0"/>
    <x v="104"/>
    <x v="38"/>
    <x v="2"/>
    <x v="9"/>
    <x v="678"/>
    <x v="2210"/>
    <n v="5"/>
    <x v="2389"/>
  </r>
  <r>
    <d v="2020-01-28T00:00:00"/>
    <x v="1"/>
    <x v="0"/>
    <x v="223"/>
    <x v="12"/>
    <x v="1"/>
    <x v="3"/>
    <x v="211"/>
    <x v="2211"/>
    <n v="9"/>
    <x v="2390"/>
  </r>
  <r>
    <d v="2020-01-28T00:00:00"/>
    <x v="1"/>
    <x v="0"/>
    <x v="651"/>
    <x v="1"/>
    <x v="0"/>
    <x v="8"/>
    <x v="721"/>
    <x v="2212"/>
    <n v="3"/>
    <x v="859"/>
  </r>
  <r>
    <d v="2020-01-29T00:00:00"/>
    <x v="1"/>
    <x v="0"/>
    <x v="645"/>
    <x v="41"/>
    <x v="2"/>
    <x v="9"/>
    <x v="1084"/>
    <x v="2213"/>
    <n v="5"/>
    <x v="2391"/>
  </r>
  <r>
    <d v="2020-01-29T00:00:00"/>
    <x v="1"/>
    <x v="0"/>
    <x v="401"/>
    <x v="1"/>
    <x v="2"/>
    <x v="5"/>
    <x v="266"/>
    <x v="2214"/>
    <n v="8"/>
    <x v="1015"/>
  </r>
  <r>
    <d v="2020-01-29T00:00:00"/>
    <x v="1"/>
    <x v="0"/>
    <x v="401"/>
    <x v="1"/>
    <x v="2"/>
    <x v="7"/>
    <x v="824"/>
    <x v="2215"/>
    <n v="3"/>
    <x v="579"/>
  </r>
  <r>
    <d v="2020-01-29T00:00:00"/>
    <x v="1"/>
    <x v="0"/>
    <x v="584"/>
    <x v="12"/>
    <x v="2"/>
    <x v="14"/>
    <x v="114"/>
    <x v="2216"/>
    <n v="2"/>
    <x v="2392"/>
  </r>
  <r>
    <d v="2020-01-29T00:00:00"/>
    <x v="1"/>
    <x v="0"/>
    <x v="110"/>
    <x v="5"/>
    <x v="2"/>
    <x v="7"/>
    <x v="1130"/>
    <x v="2217"/>
    <n v="2"/>
    <x v="2393"/>
  </r>
  <r>
    <d v="2020-01-29T00:00:00"/>
    <x v="1"/>
    <x v="0"/>
    <x v="645"/>
    <x v="41"/>
    <x v="0"/>
    <x v="8"/>
    <x v="27"/>
    <x v="2218"/>
    <n v="3"/>
    <x v="2394"/>
  </r>
  <r>
    <d v="2020-01-29T00:00:00"/>
    <x v="1"/>
    <x v="0"/>
    <x v="401"/>
    <x v="1"/>
    <x v="2"/>
    <x v="16"/>
    <x v="141"/>
    <x v="2219"/>
    <n v="1"/>
    <x v="2395"/>
  </r>
  <r>
    <d v="2020-01-29T00:00:00"/>
    <x v="1"/>
    <x v="0"/>
    <x v="645"/>
    <x v="41"/>
    <x v="2"/>
    <x v="9"/>
    <x v="894"/>
    <x v="591"/>
    <n v="2"/>
    <x v="56"/>
  </r>
  <r>
    <d v="2020-01-29T00:00:00"/>
    <x v="1"/>
    <x v="0"/>
    <x v="645"/>
    <x v="41"/>
    <x v="2"/>
    <x v="2"/>
    <x v="987"/>
    <x v="2220"/>
    <n v="1"/>
    <x v="2396"/>
  </r>
  <r>
    <d v="2020-01-29T00:00:00"/>
    <x v="1"/>
    <x v="0"/>
    <x v="118"/>
    <x v="17"/>
    <x v="2"/>
    <x v="5"/>
    <x v="1288"/>
    <x v="2221"/>
    <n v="4"/>
    <x v="2397"/>
  </r>
  <r>
    <d v="2020-01-30T00:00:00"/>
    <x v="1"/>
    <x v="0"/>
    <x v="305"/>
    <x v="17"/>
    <x v="0"/>
    <x v="4"/>
    <x v="1386"/>
    <x v="2222"/>
    <n v="1"/>
    <x v="2398"/>
  </r>
  <r>
    <d v="2020-01-30T00:00:00"/>
    <x v="1"/>
    <x v="0"/>
    <x v="181"/>
    <x v="1"/>
    <x v="0"/>
    <x v="11"/>
    <x v="251"/>
    <x v="2223"/>
    <n v="1"/>
    <x v="2399"/>
  </r>
  <r>
    <d v="2020-01-30T00:00:00"/>
    <x v="1"/>
    <x v="0"/>
    <x v="216"/>
    <x v="1"/>
    <x v="2"/>
    <x v="2"/>
    <x v="1387"/>
    <x v="2224"/>
    <n v="2"/>
    <x v="2400"/>
  </r>
  <r>
    <d v="2020-01-30T00:00:00"/>
    <x v="1"/>
    <x v="0"/>
    <x v="76"/>
    <x v="41"/>
    <x v="1"/>
    <x v="1"/>
    <x v="435"/>
    <x v="2225"/>
    <n v="3"/>
    <x v="2009"/>
  </r>
  <r>
    <d v="2020-01-30T00:00:00"/>
    <x v="1"/>
    <x v="0"/>
    <x v="514"/>
    <x v="6"/>
    <x v="0"/>
    <x v="11"/>
    <x v="1388"/>
    <x v="2226"/>
    <n v="4"/>
    <x v="2401"/>
  </r>
  <r>
    <d v="2020-01-30T00:00:00"/>
    <x v="1"/>
    <x v="0"/>
    <x v="448"/>
    <x v="9"/>
    <x v="1"/>
    <x v="1"/>
    <x v="860"/>
    <x v="2227"/>
    <n v="4"/>
    <x v="2402"/>
  </r>
  <r>
    <d v="2020-01-30T00:00:00"/>
    <x v="1"/>
    <x v="0"/>
    <x v="305"/>
    <x v="17"/>
    <x v="1"/>
    <x v="1"/>
    <x v="1081"/>
    <x v="2228"/>
    <n v="4"/>
    <x v="2403"/>
  </r>
  <r>
    <d v="2020-01-30T00:00:00"/>
    <x v="1"/>
    <x v="0"/>
    <x v="181"/>
    <x v="1"/>
    <x v="2"/>
    <x v="7"/>
    <x v="1005"/>
    <x v="2229"/>
    <n v="7"/>
    <x v="2404"/>
  </r>
  <r>
    <d v="2020-01-30T00:00:00"/>
    <x v="1"/>
    <x v="0"/>
    <x v="76"/>
    <x v="41"/>
    <x v="2"/>
    <x v="5"/>
    <x v="649"/>
    <x v="2230"/>
    <n v="1"/>
    <x v="2405"/>
  </r>
  <r>
    <d v="2020-01-30T00:00:00"/>
    <x v="1"/>
    <x v="0"/>
    <x v="305"/>
    <x v="17"/>
    <x v="2"/>
    <x v="7"/>
    <x v="1389"/>
    <x v="2231"/>
    <n v="2"/>
    <x v="2406"/>
  </r>
  <r>
    <d v="2020-01-30T00:00:00"/>
    <x v="1"/>
    <x v="0"/>
    <x v="181"/>
    <x v="1"/>
    <x v="2"/>
    <x v="7"/>
    <x v="1200"/>
    <x v="2232"/>
    <n v="3"/>
    <x v="1704"/>
  </r>
  <r>
    <d v="2020-01-30T00:00:00"/>
    <x v="1"/>
    <x v="0"/>
    <x v="76"/>
    <x v="41"/>
    <x v="2"/>
    <x v="5"/>
    <x v="241"/>
    <x v="1581"/>
    <n v="2"/>
    <x v="2407"/>
  </r>
  <r>
    <d v="2020-01-30T00:00:00"/>
    <x v="1"/>
    <x v="0"/>
    <x v="305"/>
    <x v="17"/>
    <x v="2"/>
    <x v="16"/>
    <x v="1222"/>
    <x v="2233"/>
    <n v="4"/>
    <x v="2408"/>
  </r>
  <r>
    <d v="2020-01-30T00:00:00"/>
    <x v="1"/>
    <x v="0"/>
    <x v="76"/>
    <x v="41"/>
    <x v="0"/>
    <x v="8"/>
    <x v="340"/>
    <x v="2234"/>
    <n v="7"/>
    <x v="2409"/>
  </r>
  <r>
    <d v="2020-01-30T00:00:00"/>
    <x v="1"/>
    <x v="0"/>
    <x v="76"/>
    <x v="41"/>
    <x v="2"/>
    <x v="7"/>
    <x v="1390"/>
    <x v="2235"/>
    <n v="2"/>
    <x v="1527"/>
  </r>
  <r>
    <d v="2020-01-30T00:00:00"/>
    <x v="1"/>
    <x v="0"/>
    <x v="76"/>
    <x v="41"/>
    <x v="2"/>
    <x v="5"/>
    <x v="523"/>
    <x v="2236"/>
    <n v="5"/>
    <x v="2410"/>
  </r>
  <r>
    <d v="2020-02-02T00:00:00"/>
    <x v="1"/>
    <x v="1"/>
    <x v="403"/>
    <x v="8"/>
    <x v="1"/>
    <x v="1"/>
    <x v="602"/>
    <x v="2237"/>
    <n v="5"/>
    <x v="2411"/>
  </r>
  <r>
    <d v="2020-02-02T00:00:00"/>
    <x v="1"/>
    <x v="1"/>
    <x v="228"/>
    <x v="1"/>
    <x v="0"/>
    <x v="8"/>
    <x v="750"/>
    <x v="2238"/>
    <n v="2"/>
    <x v="2412"/>
  </r>
  <r>
    <d v="2020-02-02T00:00:00"/>
    <x v="1"/>
    <x v="1"/>
    <x v="3"/>
    <x v="1"/>
    <x v="0"/>
    <x v="8"/>
    <x v="1391"/>
    <x v="2239"/>
    <n v="2"/>
    <x v="2413"/>
  </r>
  <r>
    <d v="2020-02-02T00:00:00"/>
    <x v="1"/>
    <x v="1"/>
    <x v="3"/>
    <x v="1"/>
    <x v="1"/>
    <x v="15"/>
    <x v="1392"/>
    <x v="2240"/>
    <n v="2"/>
    <x v="2414"/>
  </r>
  <r>
    <d v="2020-02-02T00:00:00"/>
    <x v="1"/>
    <x v="1"/>
    <x v="3"/>
    <x v="1"/>
    <x v="2"/>
    <x v="5"/>
    <x v="540"/>
    <x v="2241"/>
    <n v="2"/>
    <x v="2415"/>
  </r>
  <r>
    <d v="2020-02-02T00:00:00"/>
    <x v="1"/>
    <x v="1"/>
    <x v="228"/>
    <x v="1"/>
    <x v="2"/>
    <x v="13"/>
    <x v="1311"/>
    <x v="2242"/>
    <n v="4"/>
    <x v="2416"/>
  </r>
  <r>
    <d v="2020-02-02T00:00:00"/>
    <x v="1"/>
    <x v="1"/>
    <x v="403"/>
    <x v="8"/>
    <x v="2"/>
    <x v="9"/>
    <x v="1119"/>
    <x v="2243"/>
    <n v="2"/>
    <x v="472"/>
  </r>
  <r>
    <d v="2020-02-02T00:00:00"/>
    <x v="1"/>
    <x v="1"/>
    <x v="228"/>
    <x v="1"/>
    <x v="2"/>
    <x v="2"/>
    <x v="1393"/>
    <x v="2244"/>
    <n v="4"/>
    <x v="2417"/>
  </r>
  <r>
    <d v="2020-02-02T00:00:00"/>
    <x v="1"/>
    <x v="1"/>
    <x v="403"/>
    <x v="8"/>
    <x v="2"/>
    <x v="12"/>
    <x v="163"/>
    <x v="2245"/>
    <n v="9"/>
    <x v="2418"/>
  </r>
  <r>
    <d v="2020-02-03T00:00:00"/>
    <x v="1"/>
    <x v="1"/>
    <x v="504"/>
    <x v="6"/>
    <x v="2"/>
    <x v="9"/>
    <x v="977"/>
    <x v="2246"/>
    <n v="3"/>
    <x v="2419"/>
  </r>
  <r>
    <d v="2020-02-03T00:00:00"/>
    <x v="1"/>
    <x v="1"/>
    <x v="65"/>
    <x v="17"/>
    <x v="2"/>
    <x v="9"/>
    <x v="395"/>
    <x v="2247"/>
    <n v="5"/>
    <x v="438"/>
  </r>
  <r>
    <d v="2020-02-03T00:00:00"/>
    <x v="1"/>
    <x v="1"/>
    <x v="624"/>
    <x v="8"/>
    <x v="2"/>
    <x v="5"/>
    <x v="935"/>
    <x v="2248"/>
    <n v="3"/>
    <x v="2420"/>
  </r>
  <r>
    <d v="2020-02-03T00:00:00"/>
    <x v="1"/>
    <x v="1"/>
    <x v="65"/>
    <x v="17"/>
    <x v="0"/>
    <x v="8"/>
    <x v="1394"/>
    <x v="2249"/>
    <n v="1"/>
    <x v="2421"/>
  </r>
  <r>
    <d v="2020-02-03T00:00:00"/>
    <x v="1"/>
    <x v="1"/>
    <x v="624"/>
    <x v="8"/>
    <x v="2"/>
    <x v="2"/>
    <x v="502"/>
    <x v="2250"/>
    <n v="2"/>
    <x v="2422"/>
  </r>
  <r>
    <d v="2020-02-03T00:00:00"/>
    <x v="1"/>
    <x v="1"/>
    <x v="504"/>
    <x v="6"/>
    <x v="2"/>
    <x v="5"/>
    <x v="523"/>
    <x v="2251"/>
    <n v="2"/>
    <x v="2423"/>
  </r>
  <r>
    <d v="2020-02-03T00:00:00"/>
    <x v="1"/>
    <x v="1"/>
    <x v="65"/>
    <x v="17"/>
    <x v="2"/>
    <x v="9"/>
    <x v="28"/>
    <x v="2252"/>
    <n v="1"/>
    <x v="137"/>
  </r>
  <r>
    <d v="2020-02-03T00:00:00"/>
    <x v="1"/>
    <x v="1"/>
    <x v="65"/>
    <x v="17"/>
    <x v="2"/>
    <x v="9"/>
    <x v="41"/>
    <x v="2253"/>
    <n v="2"/>
    <x v="2424"/>
  </r>
  <r>
    <d v="2020-02-04T00:00:00"/>
    <x v="1"/>
    <x v="1"/>
    <x v="352"/>
    <x v="12"/>
    <x v="2"/>
    <x v="13"/>
    <x v="694"/>
    <x v="2254"/>
    <n v="3"/>
    <x v="2425"/>
  </r>
  <r>
    <d v="2020-02-05T00:00:00"/>
    <x v="1"/>
    <x v="1"/>
    <x v="595"/>
    <x v="2"/>
    <x v="2"/>
    <x v="7"/>
    <x v="1088"/>
    <x v="2255"/>
    <n v="5"/>
    <x v="2426"/>
  </r>
  <r>
    <d v="2020-02-05T00:00:00"/>
    <x v="1"/>
    <x v="1"/>
    <x v="595"/>
    <x v="2"/>
    <x v="2"/>
    <x v="5"/>
    <x v="1253"/>
    <x v="2256"/>
    <n v="4"/>
    <x v="2427"/>
  </r>
  <r>
    <d v="2020-02-05T00:00:00"/>
    <x v="1"/>
    <x v="1"/>
    <x v="131"/>
    <x v="1"/>
    <x v="2"/>
    <x v="13"/>
    <x v="1395"/>
    <x v="2257"/>
    <n v="5"/>
    <x v="2428"/>
  </r>
  <r>
    <d v="2020-02-05T00:00:00"/>
    <x v="1"/>
    <x v="1"/>
    <x v="131"/>
    <x v="1"/>
    <x v="1"/>
    <x v="1"/>
    <x v="971"/>
    <x v="2258"/>
    <n v="5"/>
    <x v="2429"/>
  </r>
  <r>
    <d v="2020-02-06T00:00:00"/>
    <x v="1"/>
    <x v="1"/>
    <x v="129"/>
    <x v="12"/>
    <x v="1"/>
    <x v="1"/>
    <x v="190"/>
    <x v="2259"/>
    <n v="6"/>
    <x v="2430"/>
  </r>
  <r>
    <d v="2020-02-06T00:00:00"/>
    <x v="1"/>
    <x v="1"/>
    <x v="110"/>
    <x v="12"/>
    <x v="0"/>
    <x v="0"/>
    <x v="746"/>
    <x v="2260"/>
    <n v="1"/>
    <x v="2431"/>
  </r>
  <r>
    <d v="2020-02-06T00:00:00"/>
    <x v="1"/>
    <x v="1"/>
    <x v="153"/>
    <x v="18"/>
    <x v="0"/>
    <x v="0"/>
    <x v="103"/>
    <x v="47"/>
    <n v="3"/>
    <x v="2432"/>
  </r>
  <r>
    <d v="2020-02-06T00:00:00"/>
    <x v="1"/>
    <x v="1"/>
    <x v="341"/>
    <x v="1"/>
    <x v="2"/>
    <x v="9"/>
    <x v="1105"/>
    <x v="1080"/>
    <n v="5"/>
    <x v="1506"/>
  </r>
  <r>
    <d v="2020-02-06T00:00:00"/>
    <x v="1"/>
    <x v="1"/>
    <x v="129"/>
    <x v="12"/>
    <x v="2"/>
    <x v="5"/>
    <x v="530"/>
    <x v="2261"/>
    <n v="4"/>
    <x v="2433"/>
  </r>
  <r>
    <d v="2020-02-09T00:00:00"/>
    <x v="1"/>
    <x v="1"/>
    <x v="442"/>
    <x v="2"/>
    <x v="2"/>
    <x v="5"/>
    <x v="368"/>
    <x v="2262"/>
    <n v="4"/>
    <x v="2434"/>
  </r>
  <r>
    <d v="2020-02-09T00:00:00"/>
    <x v="1"/>
    <x v="1"/>
    <x v="652"/>
    <x v="1"/>
    <x v="2"/>
    <x v="2"/>
    <x v="1064"/>
    <x v="2263"/>
    <n v="5"/>
    <x v="2435"/>
  </r>
  <r>
    <d v="2020-02-09T00:00:00"/>
    <x v="1"/>
    <x v="1"/>
    <x v="442"/>
    <x v="2"/>
    <x v="1"/>
    <x v="3"/>
    <x v="642"/>
    <x v="2264"/>
    <n v="2"/>
    <x v="2436"/>
  </r>
  <r>
    <d v="2020-02-09T00:00:00"/>
    <x v="1"/>
    <x v="1"/>
    <x v="442"/>
    <x v="2"/>
    <x v="0"/>
    <x v="8"/>
    <x v="377"/>
    <x v="2265"/>
    <n v="2"/>
    <x v="2437"/>
  </r>
  <r>
    <d v="2020-02-09T00:00:00"/>
    <x v="1"/>
    <x v="1"/>
    <x v="457"/>
    <x v="1"/>
    <x v="0"/>
    <x v="8"/>
    <x v="1351"/>
    <x v="2266"/>
    <n v="4"/>
    <x v="2251"/>
  </r>
  <r>
    <d v="2020-02-09T00:00:00"/>
    <x v="1"/>
    <x v="1"/>
    <x v="442"/>
    <x v="2"/>
    <x v="2"/>
    <x v="13"/>
    <x v="1197"/>
    <x v="2267"/>
    <n v="2"/>
    <x v="2438"/>
  </r>
  <r>
    <d v="2020-02-10T00:00:00"/>
    <x v="1"/>
    <x v="1"/>
    <x v="612"/>
    <x v="1"/>
    <x v="0"/>
    <x v="0"/>
    <x v="103"/>
    <x v="2268"/>
    <n v="2"/>
    <x v="2439"/>
  </r>
  <r>
    <d v="2020-02-10T00:00:00"/>
    <x v="1"/>
    <x v="1"/>
    <x v="262"/>
    <x v="0"/>
    <x v="2"/>
    <x v="9"/>
    <x v="1284"/>
    <x v="2269"/>
    <n v="4"/>
    <x v="2440"/>
  </r>
  <r>
    <d v="2020-02-11T00:00:00"/>
    <x v="1"/>
    <x v="1"/>
    <x v="653"/>
    <x v="9"/>
    <x v="1"/>
    <x v="1"/>
    <x v="13"/>
    <x v="2270"/>
    <n v="3"/>
    <x v="2441"/>
  </r>
  <r>
    <d v="2020-02-11T00:00:00"/>
    <x v="1"/>
    <x v="1"/>
    <x v="486"/>
    <x v="8"/>
    <x v="0"/>
    <x v="8"/>
    <x v="95"/>
    <x v="2271"/>
    <n v="2"/>
    <x v="2442"/>
  </r>
  <r>
    <d v="2020-02-11T00:00:00"/>
    <x v="1"/>
    <x v="1"/>
    <x v="535"/>
    <x v="1"/>
    <x v="2"/>
    <x v="5"/>
    <x v="1325"/>
    <x v="2272"/>
    <n v="7"/>
    <x v="2443"/>
  </r>
  <r>
    <d v="2020-02-11T00:00:00"/>
    <x v="1"/>
    <x v="1"/>
    <x v="434"/>
    <x v="12"/>
    <x v="2"/>
    <x v="14"/>
    <x v="307"/>
    <x v="2273"/>
    <n v="2"/>
    <x v="336"/>
  </r>
  <r>
    <d v="2020-02-11T00:00:00"/>
    <x v="1"/>
    <x v="1"/>
    <x v="653"/>
    <x v="9"/>
    <x v="0"/>
    <x v="11"/>
    <x v="1213"/>
    <x v="2274"/>
    <n v="4"/>
    <x v="2444"/>
  </r>
  <r>
    <d v="2020-02-13T00:00:00"/>
    <x v="1"/>
    <x v="1"/>
    <x v="594"/>
    <x v="27"/>
    <x v="2"/>
    <x v="13"/>
    <x v="1396"/>
    <x v="2275"/>
    <n v="8"/>
    <x v="2445"/>
  </r>
  <r>
    <d v="2020-02-13T00:00:00"/>
    <x v="1"/>
    <x v="1"/>
    <x v="654"/>
    <x v="9"/>
    <x v="0"/>
    <x v="8"/>
    <x v="44"/>
    <x v="2276"/>
    <n v="1"/>
    <x v="2446"/>
  </r>
  <r>
    <d v="2020-02-13T00:00:00"/>
    <x v="1"/>
    <x v="1"/>
    <x v="654"/>
    <x v="9"/>
    <x v="1"/>
    <x v="3"/>
    <x v="1142"/>
    <x v="2277"/>
    <n v="4"/>
    <x v="2447"/>
  </r>
  <r>
    <d v="2020-02-13T00:00:00"/>
    <x v="1"/>
    <x v="1"/>
    <x v="654"/>
    <x v="9"/>
    <x v="2"/>
    <x v="7"/>
    <x v="715"/>
    <x v="2278"/>
    <n v="3"/>
    <x v="2448"/>
  </r>
  <r>
    <d v="2020-02-13T00:00:00"/>
    <x v="1"/>
    <x v="1"/>
    <x v="376"/>
    <x v="12"/>
    <x v="2"/>
    <x v="9"/>
    <x v="1397"/>
    <x v="2279"/>
    <n v="3"/>
    <x v="220"/>
  </r>
  <r>
    <d v="2020-02-13T00:00:00"/>
    <x v="1"/>
    <x v="1"/>
    <x v="285"/>
    <x v="0"/>
    <x v="2"/>
    <x v="7"/>
    <x v="422"/>
    <x v="2280"/>
    <n v="3"/>
    <x v="2449"/>
  </r>
  <r>
    <d v="2020-02-13T00:00:00"/>
    <x v="1"/>
    <x v="1"/>
    <x v="285"/>
    <x v="0"/>
    <x v="2"/>
    <x v="16"/>
    <x v="826"/>
    <x v="2281"/>
    <n v="3"/>
    <x v="2450"/>
  </r>
  <r>
    <d v="2020-02-16T00:00:00"/>
    <x v="1"/>
    <x v="1"/>
    <x v="655"/>
    <x v="11"/>
    <x v="2"/>
    <x v="2"/>
    <x v="351"/>
    <x v="2282"/>
    <n v="3"/>
    <x v="388"/>
  </r>
  <r>
    <d v="2020-02-16T00:00:00"/>
    <x v="1"/>
    <x v="1"/>
    <x v="379"/>
    <x v="17"/>
    <x v="0"/>
    <x v="11"/>
    <x v="1092"/>
    <x v="2283"/>
    <n v="3"/>
    <x v="2451"/>
  </r>
  <r>
    <d v="2020-02-16T00:00:00"/>
    <x v="1"/>
    <x v="1"/>
    <x v="655"/>
    <x v="11"/>
    <x v="1"/>
    <x v="1"/>
    <x v="993"/>
    <x v="2284"/>
    <n v="1"/>
    <x v="2452"/>
  </r>
  <r>
    <d v="2020-02-16T00:00:00"/>
    <x v="1"/>
    <x v="1"/>
    <x v="379"/>
    <x v="17"/>
    <x v="0"/>
    <x v="8"/>
    <x v="15"/>
    <x v="2285"/>
    <n v="1"/>
    <x v="2453"/>
  </r>
  <r>
    <d v="2020-02-16T00:00:00"/>
    <x v="1"/>
    <x v="1"/>
    <x v="379"/>
    <x v="17"/>
    <x v="2"/>
    <x v="12"/>
    <x v="1398"/>
    <x v="2286"/>
    <n v="2"/>
    <x v="2454"/>
  </r>
  <r>
    <d v="2020-02-16T00:00:00"/>
    <x v="1"/>
    <x v="1"/>
    <x v="379"/>
    <x v="17"/>
    <x v="2"/>
    <x v="7"/>
    <x v="9"/>
    <x v="2287"/>
    <n v="6"/>
    <x v="547"/>
  </r>
  <r>
    <d v="2020-02-16T00:00:00"/>
    <x v="1"/>
    <x v="1"/>
    <x v="532"/>
    <x v="12"/>
    <x v="2"/>
    <x v="9"/>
    <x v="115"/>
    <x v="2288"/>
    <n v="2"/>
    <x v="362"/>
  </r>
  <r>
    <d v="2020-02-16T00:00:00"/>
    <x v="1"/>
    <x v="1"/>
    <x v="379"/>
    <x v="17"/>
    <x v="2"/>
    <x v="2"/>
    <x v="1060"/>
    <x v="2289"/>
    <n v="3"/>
    <x v="2455"/>
  </r>
  <r>
    <d v="2020-02-17T00:00:00"/>
    <x v="1"/>
    <x v="1"/>
    <x v="183"/>
    <x v="8"/>
    <x v="1"/>
    <x v="1"/>
    <x v="1399"/>
    <x v="2290"/>
    <n v="1"/>
    <x v="2456"/>
  </r>
  <r>
    <d v="2020-02-17T00:00:00"/>
    <x v="1"/>
    <x v="1"/>
    <x v="656"/>
    <x v="2"/>
    <x v="0"/>
    <x v="0"/>
    <x v="1400"/>
    <x v="2291"/>
    <n v="1"/>
    <x v="2457"/>
  </r>
  <r>
    <d v="2020-02-17T00:00:00"/>
    <x v="1"/>
    <x v="1"/>
    <x v="199"/>
    <x v="17"/>
    <x v="1"/>
    <x v="1"/>
    <x v="298"/>
    <x v="2292"/>
    <n v="1"/>
    <x v="2458"/>
  </r>
  <r>
    <d v="2020-02-17T00:00:00"/>
    <x v="1"/>
    <x v="1"/>
    <x v="407"/>
    <x v="10"/>
    <x v="2"/>
    <x v="2"/>
    <x v="1114"/>
    <x v="2293"/>
    <n v="5"/>
    <x v="2459"/>
  </r>
  <r>
    <d v="2020-02-17T00:00:00"/>
    <x v="1"/>
    <x v="1"/>
    <x v="656"/>
    <x v="2"/>
    <x v="2"/>
    <x v="7"/>
    <x v="1401"/>
    <x v="2294"/>
    <n v="6"/>
    <x v="2460"/>
  </r>
  <r>
    <d v="2020-02-17T00:00:00"/>
    <x v="1"/>
    <x v="1"/>
    <x v="656"/>
    <x v="2"/>
    <x v="1"/>
    <x v="1"/>
    <x v="1402"/>
    <x v="2295"/>
    <n v="4"/>
    <x v="2461"/>
  </r>
  <r>
    <d v="2020-02-17T00:00:00"/>
    <x v="1"/>
    <x v="1"/>
    <x v="183"/>
    <x v="8"/>
    <x v="0"/>
    <x v="4"/>
    <x v="1336"/>
    <x v="2296"/>
    <n v="5"/>
    <x v="2462"/>
  </r>
  <r>
    <d v="2020-02-17T00:00:00"/>
    <x v="1"/>
    <x v="1"/>
    <x v="199"/>
    <x v="17"/>
    <x v="0"/>
    <x v="4"/>
    <x v="866"/>
    <x v="2297"/>
    <n v="3"/>
    <x v="2463"/>
  </r>
  <r>
    <d v="2020-02-17T00:00:00"/>
    <x v="1"/>
    <x v="1"/>
    <x v="183"/>
    <x v="8"/>
    <x v="0"/>
    <x v="11"/>
    <x v="723"/>
    <x v="2298"/>
    <n v="5"/>
    <x v="2464"/>
  </r>
  <r>
    <d v="2020-02-17T00:00:00"/>
    <x v="1"/>
    <x v="1"/>
    <x v="183"/>
    <x v="8"/>
    <x v="2"/>
    <x v="5"/>
    <x v="663"/>
    <x v="2299"/>
    <n v="5"/>
    <x v="903"/>
  </r>
  <r>
    <d v="2020-02-17T00:00:00"/>
    <x v="1"/>
    <x v="1"/>
    <x v="407"/>
    <x v="10"/>
    <x v="2"/>
    <x v="9"/>
    <x v="284"/>
    <x v="2300"/>
    <n v="2"/>
    <x v="2465"/>
  </r>
  <r>
    <d v="2020-02-17T00:00:00"/>
    <x v="1"/>
    <x v="1"/>
    <x v="183"/>
    <x v="8"/>
    <x v="0"/>
    <x v="8"/>
    <x v="443"/>
    <x v="2301"/>
    <n v="2"/>
    <x v="2466"/>
  </r>
  <r>
    <d v="2020-02-17T00:00:00"/>
    <x v="1"/>
    <x v="1"/>
    <x v="657"/>
    <x v="28"/>
    <x v="1"/>
    <x v="1"/>
    <x v="651"/>
    <x v="2302"/>
    <n v="3"/>
    <x v="2467"/>
  </r>
  <r>
    <d v="2020-02-18T00:00:00"/>
    <x v="1"/>
    <x v="1"/>
    <x v="251"/>
    <x v="1"/>
    <x v="1"/>
    <x v="3"/>
    <x v="1274"/>
    <x v="2303"/>
    <n v="3"/>
    <x v="2468"/>
  </r>
  <r>
    <d v="2020-02-18T00:00:00"/>
    <x v="1"/>
    <x v="1"/>
    <x v="251"/>
    <x v="1"/>
    <x v="1"/>
    <x v="1"/>
    <x v="799"/>
    <x v="2304"/>
    <n v="3"/>
    <x v="2469"/>
  </r>
  <r>
    <d v="2020-02-18T00:00:00"/>
    <x v="1"/>
    <x v="1"/>
    <x v="251"/>
    <x v="1"/>
    <x v="2"/>
    <x v="14"/>
    <x v="438"/>
    <x v="2305"/>
    <n v="2"/>
    <x v="1062"/>
  </r>
  <r>
    <d v="2020-02-19T00:00:00"/>
    <x v="1"/>
    <x v="1"/>
    <x v="415"/>
    <x v="9"/>
    <x v="2"/>
    <x v="12"/>
    <x v="197"/>
    <x v="2306"/>
    <n v="3"/>
    <x v="2470"/>
  </r>
  <r>
    <d v="2020-02-19T00:00:00"/>
    <x v="1"/>
    <x v="1"/>
    <x v="500"/>
    <x v="14"/>
    <x v="2"/>
    <x v="13"/>
    <x v="870"/>
    <x v="2307"/>
    <n v="7"/>
    <x v="2471"/>
  </r>
  <r>
    <d v="2020-02-19T00:00:00"/>
    <x v="1"/>
    <x v="1"/>
    <x v="537"/>
    <x v="1"/>
    <x v="2"/>
    <x v="7"/>
    <x v="1403"/>
    <x v="2308"/>
    <n v="3"/>
    <x v="402"/>
  </r>
  <r>
    <d v="2020-02-19T00:00:00"/>
    <x v="1"/>
    <x v="1"/>
    <x v="537"/>
    <x v="1"/>
    <x v="0"/>
    <x v="8"/>
    <x v="1404"/>
    <x v="2309"/>
    <n v="3"/>
    <x v="2472"/>
  </r>
  <r>
    <d v="2020-02-20T00:00:00"/>
    <x v="1"/>
    <x v="1"/>
    <x v="390"/>
    <x v="20"/>
    <x v="2"/>
    <x v="2"/>
    <x v="408"/>
    <x v="2310"/>
    <n v="2"/>
    <x v="2473"/>
  </r>
  <r>
    <d v="2020-02-20T00:00:00"/>
    <x v="1"/>
    <x v="1"/>
    <x v="390"/>
    <x v="20"/>
    <x v="0"/>
    <x v="8"/>
    <x v="458"/>
    <x v="2311"/>
    <n v="2"/>
    <x v="2474"/>
  </r>
  <r>
    <d v="2020-02-20T00:00:00"/>
    <x v="1"/>
    <x v="1"/>
    <x v="420"/>
    <x v="1"/>
    <x v="1"/>
    <x v="1"/>
    <x v="758"/>
    <x v="2312"/>
    <n v="2"/>
    <x v="2475"/>
  </r>
  <r>
    <d v="2020-02-20T00:00:00"/>
    <x v="1"/>
    <x v="1"/>
    <x v="390"/>
    <x v="20"/>
    <x v="1"/>
    <x v="1"/>
    <x v="1405"/>
    <x v="2313"/>
    <n v="3"/>
    <x v="2476"/>
  </r>
  <r>
    <d v="2020-02-20T00:00:00"/>
    <x v="1"/>
    <x v="1"/>
    <x v="390"/>
    <x v="20"/>
    <x v="0"/>
    <x v="4"/>
    <x v="355"/>
    <x v="2314"/>
    <n v="9"/>
    <x v="2477"/>
  </r>
  <r>
    <d v="2020-02-20T00:00:00"/>
    <x v="1"/>
    <x v="1"/>
    <x v="390"/>
    <x v="20"/>
    <x v="2"/>
    <x v="10"/>
    <x v="1406"/>
    <x v="2315"/>
    <n v="5"/>
    <x v="2478"/>
  </r>
  <r>
    <d v="2020-02-20T00:00:00"/>
    <x v="1"/>
    <x v="1"/>
    <x v="115"/>
    <x v="3"/>
    <x v="2"/>
    <x v="7"/>
    <x v="1086"/>
    <x v="2316"/>
    <n v="2"/>
    <x v="2479"/>
  </r>
  <r>
    <d v="2020-02-20T00:00:00"/>
    <x v="1"/>
    <x v="1"/>
    <x v="115"/>
    <x v="3"/>
    <x v="2"/>
    <x v="13"/>
    <x v="727"/>
    <x v="2317"/>
    <n v="3"/>
    <x v="2480"/>
  </r>
  <r>
    <d v="2020-02-20T00:00:00"/>
    <x v="1"/>
    <x v="1"/>
    <x v="540"/>
    <x v="22"/>
    <x v="2"/>
    <x v="12"/>
    <x v="163"/>
    <x v="2318"/>
    <n v="3"/>
    <x v="2481"/>
  </r>
  <r>
    <d v="2020-02-20T00:00:00"/>
    <x v="1"/>
    <x v="1"/>
    <x v="420"/>
    <x v="1"/>
    <x v="0"/>
    <x v="8"/>
    <x v="138"/>
    <x v="2319"/>
    <n v="1"/>
    <x v="2482"/>
  </r>
  <r>
    <d v="2020-02-20T00:00:00"/>
    <x v="1"/>
    <x v="1"/>
    <x v="390"/>
    <x v="20"/>
    <x v="1"/>
    <x v="3"/>
    <x v="1407"/>
    <x v="2320"/>
    <n v="1"/>
    <x v="2483"/>
  </r>
  <r>
    <d v="2020-02-21T00:00:00"/>
    <x v="1"/>
    <x v="1"/>
    <x v="66"/>
    <x v="2"/>
    <x v="1"/>
    <x v="3"/>
    <x v="1408"/>
    <x v="2321"/>
    <n v="1"/>
    <x v="2484"/>
  </r>
  <r>
    <d v="2020-02-23T00:00:00"/>
    <x v="1"/>
    <x v="1"/>
    <x v="658"/>
    <x v="9"/>
    <x v="2"/>
    <x v="12"/>
    <x v="1409"/>
    <x v="2322"/>
    <n v="5"/>
    <x v="2485"/>
  </r>
  <r>
    <d v="2020-02-23T00:00:00"/>
    <x v="1"/>
    <x v="1"/>
    <x v="658"/>
    <x v="9"/>
    <x v="1"/>
    <x v="1"/>
    <x v="805"/>
    <x v="2323"/>
    <n v="5"/>
    <x v="1878"/>
  </r>
  <r>
    <d v="2020-02-23T00:00:00"/>
    <x v="1"/>
    <x v="1"/>
    <x v="118"/>
    <x v="1"/>
    <x v="2"/>
    <x v="9"/>
    <x v="718"/>
    <x v="2324"/>
    <n v="6"/>
    <x v="2486"/>
  </r>
  <r>
    <d v="2020-02-24T00:00:00"/>
    <x v="1"/>
    <x v="1"/>
    <x v="177"/>
    <x v="5"/>
    <x v="2"/>
    <x v="9"/>
    <x v="1309"/>
    <x v="2325"/>
    <n v="5"/>
    <x v="886"/>
  </r>
  <r>
    <d v="2020-02-24T00:00:00"/>
    <x v="1"/>
    <x v="1"/>
    <x v="177"/>
    <x v="5"/>
    <x v="1"/>
    <x v="3"/>
    <x v="593"/>
    <x v="2326"/>
    <n v="5"/>
    <x v="2487"/>
  </r>
  <r>
    <d v="2020-02-24T00:00:00"/>
    <x v="1"/>
    <x v="1"/>
    <x v="32"/>
    <x v="5"/>
    <x v="2"/>
    <x v="5"/>
    <x v="944"/>
    <x v="2327"/>
    <n v="4"/>
    <x v="2488"/>
  </r>
  <r>
    <d v="2020-02-25T00:00:00"/>
    <x v="1"/>
    <x v="1"/>
    <x v="120"/>
    <x v="4"/>
    <x v="0"/>
    <x v="11"/>
    <x v="245"/>
    <x v="2328"/>
    <n v="2"/>
    <x v="264"/>
  </r>
  <r>
    <d v="2020-02-25T00:00:00"/>
    <x v="1"/>
    <x v="1"/>
    <x v="120"/>
    <x v="4"/>
    <x v="0"/>
    <x v="0"/>
    <x v="0"/>
    <x v="2329"/>
    <n v="5"/>
    <x v="2489"/>
  </r>
  <r>
    <d v="2020-02-25T00:00:00"/>
    <x v="1"/>
    <x v="1"/>
    <x v="659"/>
    <x v="17"/>
    <x v="2"/>
    <x v="5"/>
    <x v="606"/>
    <x v="2330"/>
    <n v="3"/>
    <x v="1190"/>
  </r>
  <r>
    <d v="2020-02-26T00:00:00"/>
    <x v="1"/>
    <x v="1"/>
    <x v="138"/>
    <x v="1"/>
    <x v="0"/>
    <x v="8"/>
    <x v="70"/>
    <x v="2331"/>
    <n v="2"/>
    <x v="2490"/>
  </r>
  <r>
    <d v="2020-02-26T00:00:00"/>
    <x v="1"/>
    <x v="1"/>
    <x v="30"/>
    <x v="1"/>
    <x v="2"/>
    <x v="13"/>
    <x v="1089"/>
    <x v="2332"/>
    <n v="4"/>
    <x v="2491"/>
  </r>
  <r>
    <d v="2020-02-26T00:00:00"/>
    <x v="1"/>
    <x v="1"/>
    <x v="30"/>
    <x v="1"/>
    <x v="2"/>
    <x v="9"/>
    <x v="653"/>
    <x v="2333"/>
    <n v="4"/>
    <x v="2492"/>
  </r>
  <r>
    <d v="2020-02-26T00:00:00"/>
    <x v="1"/>
    <x v="1"/>
    <x v="138"/>
    <x v="1"/>
    <x v="1"/>
    <x v="1"/>
    <x v="106"/>
    <x v="2334"/>
    <n v="2"/>
    <x v="2493"/>
  </r>
  <r>
    <d v="2020-02-26T00:00:00"/>
    <x v="1"/>
    <x v="1"/>
    <x v="451"/>
    <x v="1"/>
    <x v="2"/>
    <x v="13"/>
    <x v="880"/>
    <x v="2335"/>
    <n v="7"/>
    <x v="2494"/>
  </r>
  <r>
    <d v="2020-02-26T00:00:00"/>
    <x v="1"/>
    <x v="1"/>
    <x v="30"/>
    <x v="1"/>
    <x v="1"/>
    <x v="1"/>
    <x v="1405"/>
    <x v="2336"/>
    <n v="8"/>
    <x v="2495"/>
  </r>
  <r>
    <d v="2020-02-26T00:00:00"/>
    <x v="1"/>
    <x v="1"/>
    <x v="30"/>
    <x v="1"/>
    <x v="0"/>
    <x v="11"/>
    <x v="1410"/>
    <x v="2337"/>
    <n v="3"/>
    <x v="2496"/>
  </r>
  <r>
    <d v="2020-02-26T00:00:00"/>
    <x v="1"/>
    <x v="1"/>
    <x v="30"/>
    <x v="1"/>
    <x v="2"/>
    <x v="9"/>
    <x v="1193"/>
    <x v="2338"/>
    <n v="4"/>
    <x v="2440"/>
  </r>
  <r>
    <d v="2020-02-26T00:00:00"/>
    <x v="1"/>
    <x v="1"/>
    <x v="138"/>
    <x v="1"/>
    <x v="2"/>
    <x v="9"/>
    <x v="1354"/>
    <x v="2339"/>
    <n v="4"/>
    <x v="2497"/>
  </r>
  <r>
    <d v="2020-02-28T00:00:00"/>
    <x v="1"/>
    <x v="1"/>
    <x v="637"/>
    <x v="11"/>
    <x v="2"/>
    <x v="5"/>
    <x v="201"/>
    <x v="2340"/>
    <n v="2"/>
    <x v="2498"/>
  </r>
  <r>
    <d v="2020-02-28T00:00:00"/>
    <x v="1"/>
    <x v="1"/>
    <x v="637"/>
    <x v="11"/>
    <x v="2"/>
    <x v="9"/>
    <x v="1411"/>
    <x v="2341"/>
    <n v="1"/>
    <x v="2499"/>
  </r>
  <r>
    <d v="2020-03-02T00:00:00"/>
    <x v="1"/>
    <x v="2"/>
    <x v="660"/>
    <x v="23"/>
    <x v="2"/>
    <x v="9"/>
    <x v="84"/>
    <x v="2161"/>
    <n v="6"/>
    <x v="2500"/>
  </r>
  <r>
    <d v="2020-03-02T00:00:00"/>
    <x v="1"/>
    <x v="2"/>
    <x v="229"/>
    <x v="1"/>
    <x v="2"/>
    <x v="5"/>
    <x v="339"/>
    <x v="2342"/>
    <n v="2"/>
    <x v="2501"/>
  </r>
  <r>
    <d v="2020-03-02T00:00:00"/>
    <x v="1"/>
    <x v="2"/>
    <x v="291"/>
    <x v="1"/>
    <x v="1"/>
    <x v="1"/>
    <x v="1412"/>
    <x v="2343"/>
    <n v="3"/>
    <x v="2502"/>
  </r>
  <r>
    <d v="2020-03-02T00:00:00"/>
    <x v="1"/>
    <x v="2"/>
    <x v="660"/>
    <x v="23"/>
    <x v="0"/>
    <x v="0"/>
    <x v="1413"/>
    <x v="2344"/>
    <n v="2"/>
    <x v="2503"/>
  </r>
  <r>
    <d v="2020-03-02T00:00:00"/>
    <x v="1"/>
    <x v="2"/>
    <x v="291"/>
    <x v="1"/>
    <x v="1"/>
    <x v="3"/>
    <x v="561"/>
    <x v="2345"/>
    <n v="6"/>
    <x v="2504"/>
  </r>
  <r>
    <d v="2020-03-02T00:00:00"/>
    <x v="1"/>
    <x v="2"/>
    <x v="125"/>
    <x v="2"/>
    <x v="2"/>
    <x v="5"/>
    <x v="217"/>
    <x v="2346"/>
    <n v="7"/>
    <x v="2505"/>
  </r>
  <r>
    <d v="2020-03-02T00:00:00"/>
    <x v="1"/>
    <x v="2"/>
    <x v="661"/>
    <x v="2"/>
    <x v="2"/>
    <x v="5"/>
    <x v="1049"/>
    <x v="2347"/>
    <n v="1"/>
    <x v="2506"/>
  </r>
  <r>
    <d v="2020-03-02T00:00:00"/>
    <x v="1"/>
    <x v="2"/>
    <x v="125"/>
    <x v="2"/>
    <x v="2"/>
    <x v="16"/>
    <x v="311"/>
    <x v="2348"/>
    <n v="4"/>
    <x v="2507"/>
  </r>
  <r>
    <d v="2020-03-02T00:00:00"/>
    <x v="1"/>
    <x v="2"/>
    <x v="446"/>
    <x v="8"/>
    <x v="2"/>
    <x v="5"/>
    <x v="238"/>
    <x v="2349"/>
    <n v="4"/>
    <x v="2508"/>
  </r>
  <r>
    <d v="2020-03-02T00:00:00"/>
    <x v="1"/>
    <x v="2"/>
    <x v="660"/>
    <x v="23"/>
    <x v="2"/>
    <x v="10"/>
    <x v="86"/>
    <x v="2350"/>
    <n v="7"/>
    <x v="2509"/>
  </r>
  <r>
    <d v="2020-03-02T00:00:00"/>
    <x v="1"/>
    <x v="2"/>
    <x v="660"/>
    <x v="23"/>
    <x v="2"/>
    <x v="7"/>
    <x v="162"/>
    <x v="2351"/>
    <n v="3"/>
    <x v="327"/>
  </r>
  <r>
    <d v="2020-03-03T00:00:00"/>
    <x v="1"/>
    <x v="2"/>
    <x v="305"/>
    <x v="19"/>
    <x v="2"/>
    <x v="13"/>
    <x v="623"/>
    <x v="2352"/>
    <n v="5"/>
    <x v="2510"/>
  </r>
  <r>
    <d v="2020-03-03T00:00:00"/>
    <x v="1"/>
    <x v="2"/>
    <x v="526"/>
    <x v="25"/>
    <x v="1"/>
    <x v="3"/>
    <x v="62"/>
    <x v="2353"/>
    <n v="2"/>
    <x v="63"/>
  </r>
  <r>
    <d v="2020-03-03T00:00:00"/>
    <x v="1"/>
    <x v="2"/>
    <x v="662"/>
    <x v="1"/>
    <x v="0"/>
    <x v="11"/>
    <x v="675"/>
    <x v="2354"/>
    <n v="3"/>
    <x v="2511"/>
  </r>
  <r>
    <d v="2020-03-03T00:00:00"/>
    <x v="1"/>
    <x v="2"/>
    <x v="526"/>
    <x v="25"/>
    <x v="0"/>
    <x v="11"/>
    <x v="49"/>
    <x v="2355"/>
    <n v="1"/>
    <x v="2512"/>
  </r>
  <r>
    <d v="2020-03-03T00:00:00"/>
    <x v="1"/>
    <x v="2"/>
    <x v="271"/>
    <x v="1"/>
    <x v="0"/>
    <x v="4"/>
    <x v="1374"/>
    <x v="2356"/>
    <n v="7"/>
    <x v="2342"/>
  </r>
  <r>
    <d v="2020-03-03T00:00:00"/>
    <x v="1"/>
    <x v="2"/>
    <x v="662"/>
    <x v="1"/>
    <x v="1"/>
    <x v="3"/>
    <x v="1414"/>
    <x v="2357"/>
    <n v="8"/>
    <x v="2513"/>
  </r>
  <r>
    <d v="2020-03-03T00:00:00"/>
    <x v="1"/>
    <x v="2"/>
    <x v="367"/>
    <x v="2"/>
    <x v="2"/>
    <x v="9"/>
    <x v="1415"/>
    <x v="2358"/>
    <n v="8"/>
    <x v="2514"/>
  </r>
  <r>
    <d v="2020-03-04T00:00:00"/>
    <x v="1"/>
    <x v="2"/>
    <x v="215"/>
    <x v="2"/>
    <x v="0"/>
    <x v="8"/>
    <x v="294"/>
    <x v="2359"/>
    <n v="5"/>
    <x v="2515"/>
  </r>
  <r>
    <d v="2020-03-04T00:00:00"/>
    <x v="1"/>
    <x v="2"/>
    <x v="261"/>
    <x v="2"/>
    <x v="2"/>
    <x v="9"/>
    <x v="678"/>
    <x v="2360"/>
    <n v="2"/>
    <x v="33"/>
  </r>
  <r>
    <d v="2020-03-04T00:00:00"/>
    <x v="1"/>
    <x v="2"/>
    <x v="592"/>
    <x v="1"/>
    <x v="2"/>
    <x v="10"/>
    <x v="175"/>
    <x v="2361"/>
    <n v="1"/>
    <x v="2516"/>
  </r>
  <r>
    <d v="2020-03-04T00:00:00"/>
    <x v="1"/>
    <x v="2"/>
    <x v="215"/>
    <x v="2"/>
    <x v="2"/>
    <x v="14"/>
    <x v="1416"/>
    <x v="2362"/>
    <n v="1"/>
    <x v="2517"/>
  </r>
  <r>
    <d v="2020-03-04T00:00:00"/>
    <x v="1"/>
    <x v="2"/>
    <x v="215"/>
    <x v="2"/>
    <x v="2"/>
    <x v="2"/>
    <x v="957"/>
    <x v="2363"/>
    <n v="1"/>
    <x v="2518"/>
  </r>
  <r>
    <d v="2020-03-04T00:00:00"/>
    <x v="1"/>
    <x v="2"/>
    <x v="592"/>
    <x v="1"/>
    <x v="2"/>
    <x v="7"/>
    <x v="35"/>
    <x v="2364"/>
    <n v="4"/>
    <x v="2519"/>
  </r>
  <r>
    <d v="2020-03-05T00:00:00"/>
    <x v="1"/>
    <x v="2"/>
    <x v="663"/>
    <x v="27"/>
    <x v="2"/>
    <x v="5"/>
    <x v="167"/>
    <x v="2365"/>
    <n v="2"/>
    <x v="2520"/>
  </r>
  <r>
    <d v="2020-03-05T00:00:00"/>
    <x v="1"/>
    <x v="2"/>
    <x v="663"/>
    <x v="27"/>
    <x v="2"/>
    <x v="2"/>
    <x v="1417"/>
    <x v="2366"/>
    <n v="4"/>
    <x v="2521"/>
  </r>
  <r>
    <d v="2020-03-05T00:00:00"/>
    <x v="1"/>
    <x v="2"/>
    <x v="33"/>
    <x v="16"/>
    <x v="2"/>
    <x v="5"/>
    <x v="1076"/>
    <x v="2367"/>
    <n v="6"/>
    <x v="2522"/>
  </r>
  <r>
    <d v="2020-03-05T00:00:00"/>
    <x v="1"/>
    <x v="2"/>
    <x v="33"/>
    <x v="16"/>
    <x v="2"/>
    <x v="13"/>
    <x v="581"/>
    <x v="2368"/>
    <n v="2"/>
    <x v="657"/>
  </r>
  <r>
    <d v="2020-03-05T00:00:00"/>
    <x v="1"/>
    <x v="2"/>
    <x v="33"/>
    <x v="16"/>
    <x v="1"/>
    <x v="3"/>
    <x v="910"/>
    <x v="2369"/>
    <n v="3"/>
    <x v="2523"/>
  </r>
  <r>
    <d v="2020-03-05T00:00:00"/>
    <x v="1"/>
    <x v="2"/>
    <x v="663"/>
    <x v="27"/>
    <x v="2"/>
    <x v="12"/>
    <x v="976"/>
    <x v="2370"/>
    <n v="2"/>
    <x v="2524"/>
  </r>
  <r>
    <d v="2020-03-05T00:00:00"/>
    <x v="1"/>
    <x v="2"/>
    <x v="203"/>
    <x v="7"/>
    <x v="2"/>
    <x v="14"/>
    <x v="906"/>
    <x v="2371"/>
    <n v="2"/>
    <x v="408"/>
  </r>
  <r>
    <d v="2020-03-05T00:00:00"/>
    <x v="1"/>
    <x v="2"/>
    <x v="663"/>
    <x v="27"/>
    <x v="2"/>
    <x v="5"/>
    <x v="1418"/>
    <x v="2372"/>
    <n v="3"/>
    <x v="2525"/>
  </r>
  <r>
    <d v="2020-03-05T00:00:00"/>
    <x v="1"/>
    <x v="2"/>
    <x v="33"/>
    <x v="16"/>
    <x v="2"/>
    <x v="10"/>
    <x v="1094"/>
    <x v="2373"/>
    <n v="4"/>
    <x v="2526"/>
  </r>
  <r>
    <d v="2020-03-06T00:00:00"/>
    <x v="1"/>
    <x v="2"/>
    <x v="531"/>
    <x v="1"/>
    <x v="1"/>
    <x v="1"/>
    <x v="548"/>
    <x v="2374"/>
    <n v="2"/>
    <x v="2527"/>
  </r>
  <r>
    <d v="2020-03-06T00:00:00"/>
    <x v="1"/>
    <x v="2"/>
    <x v="531"/>
    <x v="1"/>
    <x v="2"/>
    <x v="9"/>
    <x v="41"/>
    <x v="2375"/>
    <n v="7"/>
    <x v="2528"/>
  </r>
  <r>
    <d v="2020-03-06T00:00:00"/>
    <x v="1"/>
    <x v="2"/>
    <x v="84"/>
    <x v="2"/>
    <x v="2"/>
    <x v="14"/>
    <x v="1102"/>
    <x v="2376"/>
    <n v="2"/>
    <x v="1561"/>
  </r>
  <r>
    <d v="2020-03-06T00:00:00"/>
    <x v="1"/>
    <x v="2"/>
    <x v="531"/>
    <x v="1"/>
    <x v="2"/>
    <x v="14"/>
    <x v="890"/>
    <x v="2377"/>
    <n v="4"/>
    <x v="2529"/>
  </r>
  <r>
    <d v="2020-03-06T00:00:00"/>
    <x v="1"/>
    <x v="2"/>
    <x v="664"/>
    <x v="12"/>
    <x v="2"/>
    <x v="9"/>
    <x v="90"/>
    <x v="2378"/>
    <n v="1"/>
    <x v="171"/>
  </r>
  <r>
    <d v="2020-03-06T00:00:00"/>
    <x v="1"/>
    <x v="2"/>
    <x v="45"/>
    <x v="1"/>
    <x v="2"/>
    <x v="5"/>
    <x v="1419"/>
    <x v="2379"/>
    <n v="9"/>
    <x v="2530"/>
  </r>
  <r>
    <d v="2020-03-06T00:00:00"/>
    <x v="1"/>
    <x v="2"/>
    <x v="531"/>
    <x v="1"/>
    <x v="2"/>
    <x v="7"/>
    <x v="1363"/>
    <x v="2380"/>
    <n v="6"/>
    <x v="2531"/>
  </r>
  <r>
    <d v="2020-03-06T00:00:00"/>
    <x v="1"/>
    <x v="2"/>
    <x v="84"/>
    <x v="2"/>
    <x v="2"/>
    <x v="7"/>
    <x v="72"/>
    <x v="2381"/>
    <n v="4"/>
    <x v="2532"/>
  </r>
  <r>
    <d v="2020-03-06T00:00:00"/>
    <x v="1"/>
    <x v="2"/>
    <x v="664"/>
    <x v="12"/>
    <x v="0"/>
    <x v="8"/>
    <x v="1420"/>
    <x v="2382"/>
    <n v="3"/>
    <x v="2533"/>
  </r>
  <r>
    <d v="2020-03-06T00:00:00"/>
    <x v="1"/>
    <x v="2"/>
    <x v="277"/>
    <x v="1"/>
    <x v="2"/>
    <x v="2"/>
    <x v="74"/>
    <x v="2383"/>
    <n v="2"/>
    <x v="2534"/>
  </r>
  <r>
    <d v="2020-03-07T00:00:00"/>
    <x v="1"/>
    <x v="2"/>
    <x v="619"/>
    <x v="12"/>
    <x v="2"/>
    <x v="14"/>
    <x v="699"/>
    <x v="2384"/>
    <n v="3"/>
    <x v="2535"/>
  </r>
  <r>
    <d v="2020-03-07T00:00:00"/>
    <x v="1"/>
    <x v="2"/>
    <x v="619"/>
    <x v="12"/>
    <x v="2"/>
    <x v="5"/>
    <x v="1421"/>
    <x v="2385"/>
    <n v="6"/>
    <x v="17"/>
  </r>
  <r>
    <d v="2020-03-07T00:00:00"/>
    <x v="1"/>
    <x v="2"/>
    <x v="95"/>
    <x v="0"/>
    <x v="1"/>
    <x v="3"/>
    <x v="483"/>
    <x v="2386"/>
    <n v="3"/>
    <x v="2536"/>
  </r>
  <r>
    <d v="2020-03-08T00:00:00"/>
    <x v="1"/>
    <x v="2"/>
    <x v="74"/>
    <x v="1"/>
    <x v="2"/>
    <x v="5"/>
    <x v="184"/>
    <x v="2387"/>
    <n v="5"/>
    <x v="192"/>
  </r>
  <r>
    <d v="2020-03-08T00:00:00"/>
    <x v="1"/>
    <x v="2"/>
    <x v="544"/>
    <x v="14"/>
    <x v="2"/>
    <x v="13"/>
    <x v="1422"/>
    <x v="2388"/>
    <n v="8"/>
    <x v="2537"/>
  </r>
  <r>
    <d v="2020-03-08T00:00:00"/>
    <x v="1"/>
    <x v="2"/>
    <x v="74"/>
    <x v="1"/>
    <x v="2"/>
    <x v="7"/>
    <x v="1423"/>
    <x v="2389"/>
    <n v="2"/>
    <x v="2538"/>
  </r>
  <r>
    <d v="2020-03-08T00:00:00"/>
    <x v="1"/>
    <x v="2"/>
    <x v="544"/>
    <x v="14"/>
    <x v="2"/>
    <x v="14"/>
    <x v="1050"/>
    <x v="2390"/>
    <n v="2"/>
    <x v="336"/>
  </r>
  <r>
    <d v="2020-03-09T00:00:00"/>
    <x v="1"/>
    <x v="2"/>
    <x v="240"/>
    <x v="1"/>
    <x v="1"/>
    <x v="3"/>
    <x v="425"/>
    <x v="2391"/>
    <n v="2"/>
    <x v="2539"/>
  </r>
  <r>
    <d v="2020-03-09T00:00:00"/>
    <x v="1"/>
    <x v="2"/>
    <x v="466"/>
    <x v="1"/>
    <x v="1"/>
    <x v="6"/>
    <x v="8"/>
    <x v="2392"/>
    <n v="2"/>
    <x v="2540"/>
  </r>
  <r>
    <d v="2020-03-09T00:00:00"/>
    <x v="1"/>
    <x v="2"/>
    <x v="466"/>
    <x v="1"/>
    <x v="2"/>
    <x v="5"/>
    <x v="649"/>
    <x v="2393"/>
    <n v="5"/>
    <x v="2541"/>
  </r>
  <r>
    <d v="2020-03-10T00:00:00"/>
    <x v="1"/>
    <x v="2"/>
    <x v="498"/>
    <x v="1"/>
    <x v="1"/>
    <x v="3"/>
    <x v="1424"/>
    <x v="2394"/>
    <n v="4"/>
    <x v="2542"/>
  </r>
  <r>
    <d v="2020-03-10T00:00:00"/>
    <x v="1"/>
    <x v="2"/>
    <x v="462"/>
    <x v="2"/>
    <x v="0"/>
    <x v="4"/>
    <x v="1286"/>
    <x v="2395"/>
    <n v="4"/>
    <x v="2543"/>
  </r>
  <r>
    <d v="2020-03-10T00:00:00"/>
    <x v="1"/>
    <x v="2"/>
    <x v="432"/>
    <x v="5"/>
    <x v="0"/>
    <x v="8"/>
    <x v="246"/>
    <x v="2396"/>
    <n v="1"/>
    <x v="2544"/>
  </r>
  <r>
    <d v="2020-03-10T00:00:00"/>
    <x v="1"/>
    <x v="2"/>
    <x v="665"/>
    <x v="4"/>
    <x v="2"/>
    <x v="5"/>
    <x v="73"/>
    <x v="2397"/>
    <n v="4"/>
    <x v="2545"/>
  </r>
  <r>
    <d v="2020-03-10T00:00:00"/>
    <x v="1"/>
    <x v="2"/>
    <x v="432"/>
    <x v="5"/>
    <x v="2"/>
    <x v="7"/>
    <x v="12"/>
    <x v="2398"/>
    <n v="2"/>
    <x v="13"/>
  </r>
  <r>
    <d v="2020-03-10T00:00:00"/>
    <x v="1"/>
    <x v="2"/>
    <x v="432"/>
    <x v="5"/>
    <x v="1"/>
    <x v="1"/>
    <x v="767"/>
    <x v="2399"/>
    <n v="3"/>
    <x v="2546"/>
  </r>
  <r>
    <d v="2020-03-10T00:00:00"/>
    <x v="1"/>
    <x v="2"/>
    <x v="514"/>
    <x v="5"/>
    <x v="1"/>
    <x v="1"/>
    <x v="881"/>
    <x v="2400"/>
    <n v="3"/>
    <x v="2547"/>
  </r>
  <r>
    <d v="2020-03-10T00:00:00"/>
    <x v="1"/>
    <x v="2"/>
    <x v="432"/>
    <x v="5"/>
    <x v="0"/>
    <x v="8"/>
    <x v="1115"/>
    <x v="2401"/>
    <n v="2"/>
    <x v="2548"/>
  </r>
  <r>
    <d v="2020-03-10T00:00:00"/>
    <x v="1"/>
    <x v="2"/>
    <x v="665"/>
    <x v="4"/>
    <x v="2"/>
    <x v="13"/>
    <x v="504"/>
    <x v="2402"/>
    <n v="1"/>
    <x v="2045"/>
  </r>
  <r>
    <d v="2020-03-11T00:00:00"/>
    <x v="1"/>
    <x v="2"/>
    <x v="78"/>
    <x v="26"/>
    <x v="1"/>
    <x v="3"/>
    <x v="1323"/>
    <x v="2403"/>
    <n v="4"/>
    <x v="2155"/>
  </r>
  <r>
    <d v="2020-03-11T00:00:00"/>
    <x v="1"/>
    <x v="2"/>
    <x v="319"/>
    <x v="5"/>
    <x v="0"/>
    <x v="4"/>
    <x v="355"/>
    <x v="2404"/>
    <n v="3"/>
    <x v="2549"/>
  </r>
  <r>
    <d v="2020-03-11T00:00:00"/>
    <x v="1"/>
    <x v="2"/>
    <x v="319"/>
    <x v="5"/>
    <x v="1"/>
    <x v="1"/>
    <x v="323"/>
    <x v="2405"/>
    <n v="5"/>
    <x v="2550"/>
  </r>
  <r>
    <d v="2020-03-11T00:00:00"/>
    <x v="1"/>
    <x v="2"/>
    <x v="219"/>
    <x v="25"/>
    <x v="2"/>
    <x v="5"/>
    <x v="1425"/>
    <x v="2406"/>
    <n v="4"/>
    <x v="2551"/>
  </r>
  <r>
    <d v="2020-03-11T00:00:00"/>
    <x v="1"/>
    <x v="2"/>
    <x v="319"/>
    <x v="5"/>
    <x v="2"/>
    <x v="5"/>
    <x v="1426"/>
    <x v="2407"/>
    <n v="1"/>
    <x v="2552"/>
  </r>
  <r>
    <d v="2020-03-11T00:00:00"/>
    <x v="1"/>
    <x v="2"/>
    <x v="78"/>
    <x v="26"/>
    <x v="0"/>
    <x v="8"/>
    <x v="603"/>
    <x v="2182"/>
    <n v="1"/>
    <x v="2553"/>
  </r>
  <r>
    <d v="2020-03-11T00:00:00"/>
    <x v="1"/>
    <x v="2"/>
    <x v="319"/>
    <x v="5"/>
    <x v="2"/>
    <x v="2"/>
    <x v="1427"/>
    <x v="2408"/>
    <n v="1"/>
    <x v="2554"/>
  </r>
  <r>
    <d v="2020-03-12T00:00:00"/>
    <x v="1"/>
    <x v="2"/>
    <x v="13"/>
    <x v="26"/>
    <x v="1"/>
    <x v="1"/>
    <x v="396"/>
    <x v="2409"/>
    <n v="7"/>
    <x v="2555"/>
  </r>
  <r>
    <d v="2020-03-12T00:00:00"/>
    <x v="1"/>
    <x v="2"/>
    <x v="666"/>
    <x v="1"/>
    <x v="2"/>
    <x v="2"/>
    <x v="139"/>
    <x v="2410"/>
    <n v="3"/>
    <x v="143"/>
  </r>
  <r>
    <d v="2020-03-12T00:00:00"/>
    <x v="1"/>
    <x v="2"/>
    <x v="638"/>
    <x v="33"/>
    <x v="2"/>
    <x v="5"/>
    <x v="312"/>
    <x v="2411"/>
    <n v="9"/>
    <x v="2556"/>
  </r>
  <r>
    <d v="2020-03-13T00:00:00"/>
    <x v="1"/>
    <x v="2"/>
    <x v="310"/>
    <x v="44"/>
    <x v="2"/>
    <x v="2"/>
    <x v="1301"/>
    <x v="2412"/>
    <n v="8"/>
    <x v="2557"/>
  </r>
  <r>
    <d v="2020-03-13T00:00:00"/>
    <x v="1"/>
    <x v="2"/>
    <x v="353"/>
    <x v="17"/>
    <x v="0"/>
    <x v="11"/>
    <x v="1117"/>
    <x v="2413"/>
    <n v="1"/>
    <x v="2558"/>
  </r>
  <r>
    <d v="2020-03-13T00:00:00"/>
    <x v="1"/>
    <x v="2"/>
    <x v="310"/>
    <x v="44"/>
    <x v="1"/>
    <x v="1"/>
    <x v="1428"/>
    <x v="2414"/>
    <n v="8"/>
    <x v="2559"/>
  </r>
  <r>
    <d v="2020-03-13T00:00:00"/>
    <x v="1"/>
    <x v="2"/>
    <x v="14"/>
    <x v="0"/>
    <x v="2"/>
    <x v="5"/>
    <x v="10"/>
    <x v="2415"/>
    <n v="3"/>
    <x v="2560"/>
  </r>
  <r>
    <d v="2020-03-13T00:00:00"/>
    <x v="1"/>
    <x v="2"/>
    <x v="353"/>
    <x v="17"/>
    <x v="1"/>
    <x v="15"/>
    <x v="1392"/>
    <x v="2416"/>
    <n v="2"/>
    <x v="2561"/>
  </r>
  <r>
    <d v="2020-03-13T00:00:00"/>
    <x v="1"/>
    <x v="2"/>
    <x v="310"/>
    <x v="44"/>
    <x v="1"/>
    <x v="3"/>
    <x v="1173"/>
    <x v="2417"/>
    <n v="5"/>
    <x v="2562"/>
  </r>
  <r>
    <d v="2020-03-13T00:00:00"/>
    <x v="1"/>
    <x v="2"/>
    <x v="310"/>
    <x v="44"/>
    <x v="2"/>
    <x v="9"/>
    <x v="979"/>
    <x v="2418"/>
    <n v="6"/>
    <x v="2563"/>
  </r>
  <r>
    <d v="2020-03-13T00:00:00"/>
    <x v="1"/>
    <x v="2"/>
    <x v="389"/>
    <x v="12"/>
    <x v="1"/>
    <x v="1"/>
    <x v="1429"/>
    <x v="2419"/>
    <n v="2"/>
    <x v="2564"/>
  </r>
  <r>
    <d v="2020-03-13T00:00:00"/>
    <x v="1"/>
    <x v="2"/>
    <x v="111"/>
    <x v="1"/>
    <x v="2"/>
    <x v="9"/>
    <x v="1165"/>
    <x v="2420"/>
    <n v="3"/>
    <x v="649"/>
  </r>
  <r>
    <d v="2020-03-13T00:00:00"/>
    <x v="1"/>
    <x v="2"/>
    <x v="504"/>
    <x v="11"/>
    <x v="2"/>
    <x v="13"/>
    <x v="1077"/>
    <x v="2421"/>
    <n v="2"/>
    <x v="2565"/>
  </r>
  <r>
    <d v="2020-03-13T00:00:00"/>
    <x v="1"/>
    <x v="2"/>
    <x v="353"/>
    <x v="17"/>
    <x v="1"/>
    <x v="6"/>
    <x v="830"/>
    <x v="2422"/>
    <n v="2"/>
    <x v="2566"/>
  </r>
  <r>
    <d v="2020-03-13T00:00:00"/>
    <x v="1"/>
    <x v="2"/>
    <x v="49"/>
    <x v="22"/>
    <x v="2"/>
    <x v="16"/>
    <x v="1369"/>
    <x v="2423"/>
    <n v="2"/>
    <x v="2567"/>
  </r>
  <r>
    <d v="2020-03-13T00:00:00"/>
    <x v="1"/>
    <x v="2"/>
    <x v="489"/>
    <x v="17"/>
    <x v="1"/>
    <x v="1"/>
    <x v="396"/>
    <x v="2424"/>
    <n v="1"/>
    <x v="2568"/>
  </r>
  <r>
    <d v="2020-03-13T00:00:00"/>
    <x v="1"/>
    <x v="2"/>
    <x v="353"/>
    <x v="17"/>
    <x v="2"/>
    <x v="9"/>
    <x v="199"/>
    <x v="2425"/>
    <n v="3"/>
    <x v="766"/>
  </r>
  <r>
    <d v="2020-03-13T00:00:00"/>
    <x v="1"/>
    <x v="2"/>
    <x v="353"/>
    <x v="17"/>
    <x v="2"/>
    <x v="7"/>
    <x v="1430"/>
    <x v="2426"/>
    <n v="4"/>
    <x v="2569"/>
  </r>
  <r>
    <d v="2020-03-13T00:00:00"/>
    <x v="1"/>
    <x v="2"/>
    <x v="353"/>
    <x v="17"/>
    <x v="1"/>
    <x v="1"/>
    <x v="1431"/>
    <x v="2427"/>
    <n v="1"/>
    <x v="2570"/>
  </r>
  <r>
    <d v="2020-03-13T00:00:00"/>
    <x v="1"/>
    <x v="2"/>
    <x v="353"/>
    <x v="17"/>
    <x v="2"/>
    <x v="7"/>
    <x v="783"/>
    <x v="2428"/>
    <n v="5"/>
    <x v="2571"/>
  </r>
  <r>
    <d v="2020-03-13T00:00:00"/>
    <x v="1"/>
    <x v="2"/>
    <x v="310"/>
    <x v="44"/>
    <x v="2"/>
    <x v="9"/>
    <x v="628"/>
    <x v="2429"/>
    <n v="7"/>
    <x v="640"/>
  </r>
  <r>
    <d v="2020-03-13T00:00:00"/>
    <x v="1"/>
    <x v="2"/>
    <x v="504"/>
    <x v="11"/>
    <x v="2"/>
    <x v="5"/>
    <x v="238"/>
    <x v="2430"/>
    <n v="2"/>
    <x v="2572"/>
  </r>
  <r>
    <d v="2020-03-13T00:00:00"/>
    <x v="1"/>
    <x v="2"/>
    <x v="504"/>
    <x v="11"/>
    <x v="2"/>
    <x v="9"/>
    <x v="1338"/>
    <x v="2431"/>
    <n v="4"/>
    <x v="2573"/>
  </r>
  <r>
    <d v="2020-03-14T00:00:00"/>
    <x v="1"/>
    <x v="2"/>
    <x v="667"/>
    <x v="17"/>
    <x v="1"/>
    <x v="1"/>
    <x v="1432"/>
    <x v="2432"/>
    <n v="2"/>
    <x v="2574"/>
  </r>
  <r>
    <d v="2020-03-16T00:00:00"/>
    <x v="1"/>
    <x v="2"/>
    <x v="229"/>
    <x v="1"/>
    <x v="2"/>
    <x v="13"/>
    <x v="1433"/>
    <x v="2433"/>
    <n v="3"/>
    <x v="2575"/>
  </r>
  <r>
    <d v="2020-03-16T00:00:00"/>
    <x v="1"/>
    <x v="2"/>
    <x v="193"/>
    <x v="8"/>
    <x v="1"/>
    <x v="3"/>
    <x v="910"/>
    <x v="2434"/>
    <n v="2"/>
    <x v="1157"/>
  </r>
  <r>
    <d v="2020-03-16T00:00:00"/>
    <x v="1"/>
    <x v="2"/>
    <x v="229"/>
    <x v="1"/>
    <x v="2"/>
    <x v="2"/>
    <x v="1155"/>
    <x v="2435"/>
    <n v="2"/>
    <x v="2576"/>
  </r>
  <r>
    <d v="2020-03-16T00:00:00"/>
    <x v="1"/>
    <x v="2"/>
    <x v="586"/>
    <x v="8"/>
    <x v="1"/>
    <x v="1"/>
    <x v="971"/>
    <x v="2436"/>
    <n v="8"/>
    <x v="2577"/>
  </r>
  <r>
    <d v="2020-03-16T00:00:00"/>
    <x v="1"/>
    <x v="2"/>
    <x v="173"/>
    <x v="9"/>
    <x v="1"/>
    <x v="1"/>
    <x v="550"/>
    <x v="2437"/>
    <n v="3"/>
    <x v="2578"/>
  </r>
  <r>
    <d v="2020-03-16T00:00:00"/>
    <x v="1"/>
    <x v="2"/>
    <x v="229"/>
    <x v="1"/>
    <x v="2"/>
    <x v="5"/>
    <x v="201"/>
    <x v="2438"/>
    <n v="5"/>
    <x v="2376"/>
  </r>
  <r>
    <d v="2020-03-16T00:00:00"/>
    <x v="1"/>
    <x v="2"/>
    <x v="173"/>
    <x v="9"/>
    <x v="2"/>
    <x v="9"/>
    <x v="1331"/>
    <x v="2439"/>
    <n v="1"/>
    <x v="1084"/>
  </r>
  <r>
    <d v="2020-03-16T00:00:00"/>
    <x v="1"/>
    <x v="2"/>
    <x v="193"/>
    <x v="8"/>
    <x v="2"/>
    <x v="5"/>
    <x v="1033"/>
    <x v="2440"/>
    <n v="3"/>
    <x v="1421"/>
  </r>
  <r>
    <d v="2020-03-16T00:00:00"/>
    <x v="1"/>
    <x v="2"/>
    <x v="173"/>
    <x v="9"/>
    <x v="2"/>
    <x v="2"/>
    <x v="98"/>
    <x v="2441"/>
    <n v="1"/>
    <x v="2579"/>
  </r>
  <r>
    <d v="2020-03-16T00:00:00"/>
    <x v="1"/>
    <x v="2"/>
    <x v="193"/>
    <x v="8"/>
    <x v="1"/>
    <x v="1"/>
    <x v="1434"/>
    <x v="2442"/>
    <n v="2"/>
    <x v="2580"/>
  </r>
  <r>
    <d v="2020-03-16T00:00:00"/>
    <x v="1"/>
    <x v="2"/>
    <x v="193"/>
    <x v="8"/>
    <x v="2"/>
    <x v="2"/>
    <x v="74"/>
    <x v="2443"/>
    <n v="2"/>
    <x v="1198"/>
  </r>
  <r>
    <d v="2020-03-16T00:00:00"/>
    <x v="1"/>
    <x v="2"/>
    <x v="229"/>
    <x v="1"/>
    <x v="2"/>
    <x v="5"/>
    <x v="19"/>
    <x v="1004"/>
    <n v="6"/>
    <x v="2581"/>
  </r>
  <r>
    <d v="2020-03-16T00:00:00"/>
    <x v="1"/>
    <x v="2"/>
    <x v="193"/>
    <x v="8"/>
    <x v="0"/>
    <x v="8"/>
    <x v="1041"/>
    <x v="2444"/>
    <n v="6"/>
    <x v="2582"/>
  </r>
  <r>
    <d v="2020-03-17T00:00:00"/>
    <x v="1"/>
    <x v="2"/>
    <x v="668"/>
    <x v="12"/>
    <x v="1"/>
    <x v="3"/>
    <x v="547"/>
    <x v="2445"/>
    <n v="3"/>
    <x v="2583"/>
  </r>
  <r>
    <d v="2020-03-17T00:00:00"/>
    <x v="1"/>
    <x v="2"/>
    <x v="668"/>
    <x v="12"/>
    <x v="2"/>
    <x v="2"/>
    <x v="1435"/>
    <x v="2446"/>
    <n v="8"/>
    <x v="2584"/>
  </r>
  <r>
    <d v="2020-03-17T00:00:00"/>
    <x v="1"/>
    <x v="2"/>
    <x v="668"/>
    <x v="12"/>
    <x v="1"/>
    <x v="1"/>
    <x v="767"/>
    <x v="2447"/>
    <n v="6"/>
    <x v="2585"/>
  </r>
  <r>
    <d v="2020-03-17T00:00:00"/>
    <x v="1"/>
    <x v="2"/>
    <x v="316"/>
    <x v="2"/>
    <x v="2"/>
    <x v="9"/>
    <x v="687"/>
    <x v="2448"/>
    <n v="3"/>
    <x v="348"/>
  </r>
  <r>
    <d v="2020-03-17T00:00:00"/>
    <x v="1"/>
    <x v="2"/>
    <x v="668"/>
    <x v="12"/>
    <x v="2"/>
    <x v="14"/>
    <x v="643"/>
    <x v="2449"/>
    <n v="1"/>
    <x v="2586"/>
  </r>
  <r>
    <d v="2020-03-17T00:00:00"/>
    <x v="1"/>
    <x v="2"/>
    <x v="316"/>
    <x v="2"/>
    <x v="2"/>
    <x v="5"/>
    <x v="951"/>
    <x v="2450"/>
    <n v="6"/>
    <x v="2587"/>
  </r>
  <r>
    <d v="2020-03-17T00:00:00"/>
    <x v="1"/>
    <x v="2"/>
    <x v="244"/>
    <x v="1"/>
    <x v="2"/>
    <x v="5"/>
    <x v="73"/>
    <x v="2451"/>
    <n v="2"/>
    <x v="74"/>
  </r>
  <r>
    <d v="2020-03-17T00:00:00"/>
    <x v="1"/>
    <x v="2"/>
    <x v="494"/>
    <x v="21"/>
    <x v="2"/>
    <x v="14"/>
    <x v="1326"/>
    <x v="2452"/>
    <n v="2"/>
    <x v="1139"/>
  </r>
  <r>
    <d v="2020-03-17T00:00:00"/>
    <x v="1"/>
    <x v="2"/>
    <x v="668"/>
    <x v="12"/>
    <x v="2"/>
    <x v="14"/>
    <x v="466"/>
    <x v="2453"/>
    <n v="5"/>
    <x v="2588"/>
  </r>
  <r>
    <d v="2020-03-17T00:00:00"/>
    <x v="1"/>
    <x v="2"/>
    <x v="668"/>
    <x v="12"/>
    <x v="2"/>
    <x v="5"/>
    <x v="1246"/>
    <x v="2454"/>
    <n v="3"/>
    <x v="2589"/>
  </r>
  <r>
    <d v="2020-03-17T00:00:00"/>
    <x v="1"/>
    <x v="2"/>
    <x v="668"/>
    <x v="12"/>
    <x v="2"/>
    <x v="2"/>
    <x v="319"/>
    <x v="2455"/>
    <n v="3"/>
    <x v="1227"/>
  </r>
  <r>
    <d v="2020-03-17T00:00:00"/>
    <x v="1"/>
    <x v="2"/>
    <x v="668"/>
    <x v="12"/>
    <x v="2"/>
    <x v="7"/>
    <x v="1436"/>
    <x v="2456"/>
    <n v="6"/>
    <x v="2590"/>
  </r>
  <r>
    <d v="2020-03-17T00:00:00"/>
    <x v="1"/>
    <x v="2"/>
    <x v="668"/>
    <x v="12"/>
    <x v="1"/>
    <x v="3"/>
    <x v="214"/>
    <x v="2457"/>
    <n v="8"/>
    <x v="2591"/>
  </r>
  <r>
    <d v="2020-03-18T00:00:00"/>
    <x v="1"/>
    <x v="2"/>
    <x v="590"/>
    <x v="2"/>
    <x v="0"/>
    <x v="8"/>
    <x v="1152"/>
    <x v="2458"/>
    <n v="3"/>
    <x v="2592"/>
  </r>
  <r>
    <d v="2020-03-18T00:00:00"/>
    <x v="1"/>
    <x v="2"/>
    <x v="44"/>
    <x v="1"/>
    <x v="2"/>
    <x v="13"/>
    <x v="986"/>
    <x v="2459"/>
    <n v="7"/>
    <x v="2593"/>
  </r>
  <r>
    <d v="2020-03-18T00:00:00"/>
    <x v="1"/>
    <x v="2"/>
    <x v="590"/>
    <x v="2"/>
    <x v="2"/>
    <x v="5"/>
    <x v="1253"/>
    <x v="2460"/>
    <n v="3"/>
    <x v="2594"/>
  </r>
  <r>
    <d v="2020-03-18T00:00:00"/>
    <x v="1"/>
    <x v="2"/>
    <x v="260"/>
    <x v="2"/>
    <x v="1"/>
    <x v="1"/>
    <x v="168"/>
    <x v="2461"/>
    <n v="7"/>
    <x v="2595"/>
  </r>
  <r>
    <d v="2020-03-18T00:00:00"/>
    <x v="1"/>
    <x v="2"/>
    <x v="590"/>
    <x v="2"/>
    <x v="2"/>
    <x v="13"/>
    <x v="1437"/>
    <x v="2462"/>
    <n v="3"/>
    <x v="2596"/>
  </r>
  <r>
    <d v="2020-03-18T00:00:00"/>
    <x v="1"/>
    <x v="2"/>
    <x v="593"/>
    <x v="1"/>
    <x v="2"/>
    <x v="7"/>
    <x v="204"/>
    <x v="2463"/>
    <n v="5"/>
    <x v="216"/>
  </r>
  <r>
    <d v="2020-03-18T00:00:00"/>
    <x v="1"/>
    <x v="2"/>
    <x v="299"/>
    <x v="2"/>
    <x v="2"/>
    <x v="7"/>
    <x v="1438"/>
    <x v="2464"/>
    <n v="3"/>
    <x v="2597"/>
  </r>
  <r>
    <d v="2020-03-18T00:00:00"/>
    <x v="1"/>
    <x v="2"/>
    <x v="593"/>
    <x v="1"/>
    <x v="2"/>
    <x v="10"/>
    <x v="1439"/>
    <x v="2465"/>
    <n v="5"/>
    <x v="2598"/>
  </r>
  <r>
    <d v="2020-03-18T00:00:00"/>
    <x v="1"/>
    <x v="2"/>
    <x v="565"/>
    <x v="9"/>
    <x v="2"/>
    <x v="7"/>
    <x v="1231"/>
    <x v="2466"/>
    <n v="4"/>
    <x v="2599"/>
  </r>
  <r>
    <d v="2020-03-18T00:00:00"/>
    <x v="1"/>
    <x v="2"/>
    <x v="590"/>
    <x v="2"/>
    <x v="1"/>
    <x v="3"/>
    <x v="1440"/>
    <x v="2467"/>
    <n v="3"/>
    <x v="2600"/>
  </r>
  <r>
    <d v="2020-03-19T00:00:00"/>
    <x v="1"/>
    <x v="2"/>
    <x v="235"/>
    <x v="1"/>
    <x v="1"/>
    <x v="3"/>
    <x v="1441"/>
    <x v="2468"/>
    <n v="2"/>
    <x v="2601"/>
  </r>
  <r>
    <d v="2020-03-19T00:00:00"/>
    <x v="1"/>
    <x v="2"/>
    <x v="235"/>
    <x v="1"/>
    <x v="1"/>
    <x v="3"/>
    <x v="62"/>
    <x v="2469"/>
    <n v="4"/>
    <x v="2602"/>
  </r>
  <r>
    <d v="2020-03-19T00:00:00"/>
    <x v="1"/>
    <x v="2"/>
    <x v="669"/>
    <x v="1"/>
    <x v="2"/>
    <x v="13"/>
    <x v="154"/>
    <x v="2470"/>
    <n v="7"/>
    <x v="2603"/>
  </r>
  <r>
    <d v="2020-03-19T00:00:00"/>
    <x v="1"/>
    <x v="2"/>
    <x v="235"/>
    <x v="1"/>
    <x v="1"/>
    <x v="1"/>
    <x v="1402"/>
    <x v="2471"/>
    <n v="6"/>
    <x v="2604"/>
  </r>
  <r>
    <d v="2020-03-19T00:00:00"/>
    <x v="1"/>
    <x v="2"/>
    <x v="625"/>
    <x v="1"/>
    <x v="0"/>
    <x v="4"/>
    <x v="69"/>
    <x v="2472"/>
    <n v="5"/>
    <x v="2605"/>
  </r>
  <r>
    <d v="2020-03-19T00:00:00"/>
    <x v="1"/>
    <x v="2"/>
    <x v="149"/>
    <x v="10"/>
    <x v="2"/>
    <x v="7"/>
    <x v="518"/>
    <x v="2473"/>
    <n v="3"/>
    <x v="2606"/>
  </r>
  <r>
    <d v="2020-03-19T00:00:00"/>
    <x v="1"/>
    <x v="2"/>
    <x v="625"/>
    <x v="1"/>
    <x v="2"/>
    <x v="5"/>
    <x v="697"/>
    <x v="2474"/>
    <n v="2"/>
    <x v="2607"/>
  </r>
  <r>
    <d v="2020-03-19T00:00:00"/>
    <x v="1"/>
    <x v="2"/>
    <x v="625"/>
    <x v="1"/>
    <x v="0"/>
    <x v="8"/>
    <x v="801"/>
    <x v="2475"/>
    <n v="1"/>
    <x v="2608"/>
  </r>
  <r>
    <d v="2020-03-19T00:00:00"/>
    <x v="1"/>
    <x v="2"/>
    <x v="235"/>
    <x v="1"/>
    <x v="2"/>
    <x v="5"/>
    <x v="944"/>
    <x v="2476"/>
    <n v="6"/>
    <x v="2609"/>
  </r>
  <r>
    <d v="2020-03-19T00:00:00"/>
    <x v="1"/>
    <x v="2"/>
    <x v="625"/>
    <x v="1"/>
    <x v="2"/>
    <x v="5"/>
    <x v="543"/>
    <x v="2477"/>
    <n v="7"/>
    <x v="2610"/>
  </r>
  <r>
    <d v="2020-03-19T00:00:00"/>
    <x v="1"/>
    <x v="2"/>
    <x v="331"/>
    <x v="12"/>
    <x v="2"/>
    <x v="14"/>
    <x v="1442"/>
    <x v="2478"/>
    <n v="7"/>
    <x v="2611"/>
  </r>
  <r>
    <d v="2020-03-20T00:00:00"/>
    <x v="1"/>
    <x v="2"/>
    <x v="252"/>
    <x v="11"/>
    <x v="1"/>
    <x v="3"/>
    <x v="902"/>
    <x v="2479"/>
    <n v="2"/>
    <x v="2612"/>
  </r>
  <r>
    <d v="2020-03-20T00:00:00"/>
    <x v="1"/>
    <x v="2"/>
    <x v="670"/>
    <x v="2"/>
    <x v="2"/>
    <x v="9"/>
    <x v="1119"/>
    <x v="2480"/>
    <n v="7"/>
    <x v="2613"/>
  </r>
  <r>
    <d v="2020-03-20T00:00:00"/>
    <x v="1"/>
    <x v="2"/>
    <x v="420"/>
    <x v="9"/>
    <x v="1"/>
    <x v="3"/>
    <x v="784"/>
    <x v="2481"/>
    <n v="7"/>
    <x v="2614"/>
  </r>
  <r>
    <d v="2020-03-20T00:00:00"/>
    <x v="1"/>
    <x v="2"/>
    <x v="158"/>
    <x v="24"/>
    <x v="0"/>
    <x v="8"/>
    <x v="383"/>
    <x v="2482"/>
    <n v="1"/>
    <x v="2615"/>
  </r>
  <r>
    <d v="2020-03-20T00:00:00"/>
    <x v="1"/>
    <x v="2"/>
    <x v="252"/>
    <x v="11"/>
    <x v="2"/>
    <x v="9"/>
    <x v="1309"/>
    <x v="2483"/>
    <n v="2"/>
    <x v="868"/>
  </r>
  <r>
    <d v="2020-03-20T00:00:00"/>
    <x v="1"/>
    <x v="2"/>
    <x v="670"/>
    <x v="2"/>
    <x v="2"/>
    <x v="9"/>
    <x v="84"/>
    <x v="2484"/>
    <n v="2"/>
    <x v="2616"/>
  </r>
  <r>
    <d v="2020-03-21T00:00:00"/>
    <x v="1"/>
    <x v="2"/>
    <x v="431"/>
    <x v="6"/>
    <x v="2"/>
    <x v="13"/>
    <x v="657"/>
    <x v="2485"/>
    <n v="1"/>
    <x v="2617"/>
  </r>
  <r>
    <d v="2020-03-21T00:00:00"/>
    <x v="1"/>
    <x v="2"/>
    <x v="292"/>
    <x v="24"/>
    <x v="2"/>
    <x v="9"/>
    <x v="786"/>
    <x v="2486"/>
    <n v="5"/>
    <x v="2618"/>
  </r>
  <r>
    <d v="2020-03-21T00:00:00"/>
    <x v="1"/>
    <x v="2"/>
    <x v="248"/>
    <x v="9"/>
    <x v="2"/>
    <x v="2"/>
    <x v="146"/>
    <x v="2487"/>
    <n v="4"/>
    <x v="2619"/>
  </r>
  <r>
    <d v="2020-03-21T00:00:00"/>
    <x v="1"/>
    <x v="2"/>
    <x v="38"/>
    <x v="1"/>
    <x v="2"/>
    <x v="2"/>
    <x v="164"/>
    <x v="2488"/>
    <n v="4"/>
    <x v="2620"/>
  </r>
  <r>
    <d v="2020-03-21T00:00:00"/>
    <x v="1"/>
    <x v="2"/>
    <x v="244"/>
    <x v="3"/>
    <x v="0"/>
    <x v="11"/>
    <x v="1213"/>
    <x v="2489"/>
    <n v="6"/>
    <x v="2621"/>
  </r>
  <r>
    <d v="2020-03-21T00:00:00"/>
    <x v="1"/>
    <x v="2"/>
    <x v="292"/>
    <x v="24"/>
    <x v="2"/>
    <x v="9"/>
    <x v="525"/>
    <x v="2490"/>
    <n v="1"/>
    <x v="2622"/>
  </r>
  <r>
    <d v="2020-03-21T00:00:00"/>
    <x v="1"/>
    <x v="2"/>
    <x v="38"/>
    <x v="1"/>
    <x v="2"/>
    <x v="5"/>
    <x v="772"/>
    <x v="2491"/>
    <n v="2"/>
    <x v="929"/>
  </r>
  <r>
    <d v="2020-03-21T00:00:00"/>
    <x v="1"/>
    <x v="2"/>
    <x v="248"/>
    <x v="9"/>
    <x v="2"/>
    <x v="12"/>
    <x v="1443"/>
    <x v="2492"/>
    <n v="7"/>
    <x v="2623"/>
  </r>
  <r>
    <d v="2020-03-21T00:00:00"/>
    <x v="1"/>
    <x v="2"/>
    <x v="248"/>
    <x v="9"/>
    <x v="0"/>
    <x v="8"/>
    <x v="714"/>
    <x v="2493"/>
    <n v="3"/>
    <x v="813"/>
  </r>
  <r>
    <d v="2020-03-21T00:00:00"/>
    <x v="1"/>
    <x v="2"/>
    <x v="38"/>
    <x v="1"/>
    <x v="2"/>
    <x v="5"/>
    <x v="1127"/>
    <x v="2494"/>
    <n v="3"/>
    <x v="2624"/>
  </r>
  <r>
    <d v="2020-03-21T00:00:00"/>
    <x v="1"/>
    <x v="2"/>
    <x v="324"/>
    <x v="5"/>
    <x v="2"/>
    <x v="10"/>
    <x v="1444"/>
    <x v="2495"/>
    <n v="3"/>
    <x v="2625"/>
  </r>
  <r>
    <d v="2020-03-21T00:00:00"/>
    <x v="1"/>
    <x v="2"/>
    <x v="248"/>
    <x v="9"/>
    <x v="2"/>
    <x v="5"/>
    <x v="972"/>
    <x v="2496"/>
    <n v="6"/>
    <x v="2626"/>
  </r>
  <r>
    <d v="2020-03-23T00:00:00"/>
    <x v="1"/>
    <x v="2"/>
    <x v="136"/>
    <x v="2"/>
    <x v="2"/>
    <x v="2"/>
    <x v="146"/>
    <x v="2497"/>
    <n v="2"/>
    <x v="2627"/>
  </r>
  <r>
    <d v="2020-03-23T00:00:00"/>
    <x v="1"/>
    <x v="2"/>
    <x v="21"/>
    <x v="1"/>
    <x v="0"/>
    <x v="8"/>
    <x v="1192"/>
    <x v="2498"/>
    <n v="8"/>
    <x v="2628"/>
  </r>
  <r>
    <d v="2020-03-23T00:00:00"/>
    <x v="1"/>
    <x v="2"/>
    <x v="312"/>
    <x v="12"/>
    <x v="2"/>
    <x v="16"/>
    <x v="417"/>
    <x v="2499"/>
    <n v="3"/>
    <x v="2629"/>
  </r>
  <r>
    <d v="2020-03-23T00:00:00"/>
    <x v="1"/>
    <x v="2"/>
    <x v="162"/>
    <x v="9"/>
    <x v="1"/>
    <x v="6"/>
    <x v="552"/>
    <x v="2500"/>
    <n v="4"/>
    <x v="2630"/>
  </r>
  <r>
    <d v="2020-03-23T00:00:00"/>
    <x v="1"/>
    <x v="2"/>
    <x v="162"/>
    <x v="9"/>
    <x v="2"/>
    <x v="9"/>
    <x v="493"/>
    <x v="2501"/>
    <n v="3"/>
    <x v="369"/>
  </r>
  <r>
    <d v="2020-03-23T00:00:00"/>
    <x v="1"/>
    <x v="2"/>
    <x v="618"/>
    <x v="12"/>
    <x v="2"/>
    <x v="9"/>
    <x v="1445"/>
    <x v="2502"/>
    <n v="6"/>
    <x v="2631"/>
  </r>
  <r>
    <d v="2020-03-23T00:00:00"/>
    <x v="1"/>
    <x v="2"/>
    <x v="162"/>
    <x v="9"/>
    <x v="2"/>
    <x v="2"/>
    <x v="187"/>
    <x v="2503"/>
    <n v="2"/>
    <x v="1535"/>
  </r>
  <r>
    <d v="2020-03-23T00:00:00"/>
    <x v="1"/>
    <x v="2"/>
    <x v="105"/>
    <x v="9"/>
    <x v="2"/>
    <x v="5"/>
    <x v="1019"/>
    <x v="2504"/>
    <n v="5"/>
    <x v="2632"/>
  </r>
  <r>
    <d v="2020-03-24T00:00:00"/>
    <x v="1"/>
    <x v="2"/>
    <x v="506"/>
    <x v="12"/>
    <x v="2"/>
    <x v="9"/>
    <x v="1446"/>
    <x v="2505"/>
    <n v="4"/>
    <x v="2633"/>
  </r>
  <r>
    <d v="2020-03-24T00:00:00"/>
    <x v="1"/>
    <x v="2"/>
    <x v="671"/>
    <x v="12"/>
    <x v="0"/>
    <x v="11"/>
    <x v="1058"/>
    <x v="2506"/>
    <n v="3"/>
    <x v="2354"/>
  </r>
  <r>
    <d v="2020-03-24T00:00:00"/>
    <x v="1"/>
    <x v="2"/>
    <x v="153"/>
    <x v="12"/>
    <x v="0"/>
    <x v="11"/>
    <x v="271"/>
    <x v="2507"/>
    <n v="2"/>
    <x v="1498"/>
  </r>
  <r>
    <d v="2020-03-24T00:00:00"/>
    <x v="1"/>
    <x v="2"/>
    <x v="671"/>
    <x v="12"/>
    <x v="1"/>
    <x v="1"/>
    <x v="117"/>
    <x v="2508"/>
    <n v="1"/>
    <x v="2634"/>
  </r>
  <r>
    <d v="2020-03-24T00:00:00"/>
    <x v="1"/>
    <x v="2"/>
    <x v="658"/>
    <x v="2"/>
    <x v="2"/>
    <x v="2"/>
    <x v="1447"/>
    <x v="2509"/>
    <n v="2"/>
    <x v="2635"/>
  </r>
  <r>
    <d v="2020-03-24T00:00:00"/>
    <x v="1"/>
    <x v="2"/>
    <x v="506"/>
    <x v="12"/>
    <x v="1"/>
    <x v="3"/>
    <x v="1265"/>
    <x v="2510"/>
    <n v="2"/>
    <x v="1761"/>
  </r>
  <r>
    <d v="2020-03-24T00:00:00"/>
    <x v="1"/>
    <x v="2"/>
    <x v="671"/>
    <x v="12"/>
    <x v="2"/>
    <x v="10"/>
    <x v="88"/>
    <x v="2511"/>
    <n v="3"/>
    <x v="2636"/>
  </r>
  <r>
    <d v="2020-03-25T00:00:00"/>
    <x v="1"/>
    <x v="2"/>
    <x v="477"/>
    <x v="7"/>
    <x v="0"/>
    <x v="11"/>
    <x v="605"/>
    <x v="2512"/>
    <n v="1"/>
    <x v="2637"/>
  </r>
  <r>
    <d v="2020-03-25T00:00:00"/>
    <x v="1"/>
    <x v="2"/>
    <x v="454"/>
    <x v="1"/>
    <x v="2"/>
    <x v="5"/>
    <x v="10"/>
    <x v="2513"/>
    <n v="4"/>
    <x v="2638"/>
  </r>
  <r>
    <d v="2020-03-25T00:00:00"/>
    <x v="1"/>
    <x v="2"/>
    <x v="454"/>
    <x v="1"/>
    <x v="2"/>
    <x v="13"/>
    <x v="460"/>
    <x v="2514"/>
    <n v="4"/>
    <x v="2639"/>
  </r>
  <r>
    <d v="2020-03-25T00:00:00"/>
    <x v="1"/>
    <x v="2"/>
    <x v="454"/>
    <x v="1"/>
    <x v="1"/>
    <x v="1"/>
    <x v="296"/>
    <x v="2515"/>
    <n v="4"/>
    <x v="2640"/>
  </r>
  <r>
    <d v="2020-03-25T00:00:00"/>
    <x v="1"/>
    <x v="2"/>
    <x v="477"/>
    <x v="7"/>
    <x v="0"/>
    <x v="11"/>
    <x v="245"/>
    <x v="2516"/>
    <n v="3"/>
    <x v="2641"/>
  </r>
  <r>
    <d v="2020-03-25T00:00:00"/>
    <x v="1"/>
    <x v="2"/>
    <x v="417"/>
    <x v="2"/>
    <x v="1"/>
    <x v="1"/>
    <x v="585"/>
    <x v="2517"/>
    <n v="3"/>
    <x v="2642"/>
  </r>
  <r>
    <d v="2020-03-25T00:00:00"/>
    <x v="1"/>
    <x v="2"/>
    <x v="454"/>
    <x v="1"/>
    <x v="1"/>
    <x v="6"/>
    <x v="8"/>
    <x v="2518"/>
    <n v="2"/>
    <x v="2540"/>
  </r>
  <r>
    <d v="2020-03-25T00:00:00"/>
    <x v="1"/>
    <x v="2"/>
    <x v="477"/>
    <x v="7"/>
    <x v="0"/>
    <x v="11"/>
    <x v="1038"/>
    <x v="2519"/>
    <n v="7"/>
    <x v="2643"/>
  </r>
  <r>
    <d v="2020-03-25T00:00:00"/>
    <x v="1"/>
    <x v="2"/>
    <x v="637"/>
    <x v="2"/>
    <x v="2"/>
    <x v="9"/>
    <x v="1448"/>
    <x v="2520"/>
    <n v="2"/>
    <x v="802"/>
  </r>
  <r>
    <d v="2020-03-25T00:00:00"/>
    <x v="1"/>
    <x v="2"/>
    <x v="228"/>
    <x v="12"/>
    <x v="2"/>
    <x v="7"/>
    <x v="715"/>
    <x v="2521"/>
    <n v="5"/>
    <x v="2644"/>
  </r>
  <r>
    <d v="2020-03-25T00:00:00"/>
    <x v="1"/>
    <x v="2"/>
    <x v="187"/>
    <x v="9"/>
    <x v="2"/>
    <x v="7"/>
    <x v="1109"/>
    <x v="2522"/>
    <n v="2"/>
    <x v="2645"/>
  </r>
  <r>
    <d v="2020-03-25T00:00:00"/>
    <x v="1"/>
    <x v="2"/>
    <x v="454"/>
    <x v="1"/>
    <x v="2"/>
    <x v="7"/>
    <x v="1088"/>
    <x v="2523"/>
    <n v="9"/>
    <x v="2646"/>
  </r>
  <r>
    <d v="2020-03-26T00:00:00"/>
    <x v="1"/>
    <x v="2"/>
    <x v="672"/>
    <x v="25"/>
    <x v="0"/>
    <x v="8"/>
    <x v="1449"/>
    <x v="2524"/>
    <n v="3"/>
    <x v="2647"/>
  </r>
  <r>
    <d v="2020-03-26T00:00:00"/>
    <x v="1"/>
    <x v="2"/>
    <x v="218"/>
    <x v="2"/>
    <x v="2"/>
    <x v="13"/>
    <x v="154"/>
    <x v="2525"/>
    <n v="8"/>
    <x v="2648"/>
  </r>
  <r>
    <d v="2020-03-26T00:00:00"/>
    <x v="1"/>
    <x v="2"/>
    <x v="218"/>
    <x v="2"/>
    <x v="2"/>
    <x v="9"/>
    <x v="480"/>
    <x v="2526"/>
    <n v="3"/>
    <x v="1935"/>
  </r>
  <r>
    <d v="2020-03-26T00:00:00"/>
    <x v="1"/>
    <x v="2"/>
    <x v="607"/>
    <x v="12"/>
    <x v="1"/>
    <x v="1"/>
    <x v="881"/>
    <x v="105"/>
    <n v="4"/>
    <x v="2649"/>
  </r>
  <r>
    <d v="2020-03-26T00:00:00"/>
    <x v="1"/>
    <x v="2"/>
    <x v="218"/>
    <x v="2"/>
    <x v="1"/>
    <x v="3"/>
    <x v="874"/>
    <x v="2527"/>
    <n v="5"/>
    <x v="2650"/>
  </r>
  <r>
    <d v="2020-03-26T00:00:00"/>
    <x v="1"/>
    <x v="2"/>
    <x v="607"/>
    <x v="12"/>
    <x v="0"/>
    <x v="0"/>
    <x v="1023"/>
    <x v="2528"/>
    <n v="2"/>
    <x v="2651"/>
  </r>
  <r>
    <d v="2020-03-26T00:00:00"/>
    <x v="1"/>
    <x v="2"/>
    <x v="218"/>
    <x v="2"/>
    <x v="1"/>
    <x v="6"/>
    <x v="1450"/>
    <x v="2529"/>
    <n v="5"/>
    <x v="2652"/>
  </r>
  <r>
    <d v="2020-03-26T00:00:00"/>
    <x v="1"/>
    <x v="2"/>
    <x v="525"/>
    <x v="9"/>
    <x v="2"/>
    <x v="7"/>
    <x v="1451"/>
    <x v="2530"/>
    <n v="1"/>
    <x v="2653"/>
  </r>
  <r>
    <d v="2020-03-26T00:00:00"/>
    <x v="1"/>
    <x v="2"/>
    <x v="673"/>
    <x v="18"/>
    <x v="2"/>
    <x v="12"/>
    <x v="163"/>
    <x v="2531"/>
    <n v="2"/>
    <x v="2654"/>
  </r>
  <r>
    <d v="2020-03-26T00:00:00"/>
    <x v="1"/>
    <x v="2"/>
    <x v="673"/>
    <x v="18"/>
    <x v="1"/>
    <x v="3"/>
    <x v="835"/>
    <x v="2532"/>
    <n v="3"/>
    <x v="2655"/>
  </r>
  <r>
    <d v="2020-03-26T00:00:00"/>
    <x v="1"/>
    <x v="2"/>
    <x v="218"/>
    <x v="2"/>
    <x v="2"/>
    <x v="2"/>
    <x v="1435"/>
    <x v="2533"/>
    <n v="3"/>
    <x v="2656"/>
  </r>
  <r>
    <d v="2020-03-27T00:00:00"/>
    <x v="1"/>
    <x v="2"/>
    <x v="674"/>
    <x v="1"/>
    <x v="2"/>
    <x v="9"/>
    <x v="1452"/>
    <x v="834"/>
    <n v="2"/>
    <x v="2657"/>
  </r>
  <r>
    <d v="2020-03-27T00:00:00"/>
    <x v="1"/>
    <x v="2"/>
    <x v="85"/>
    <x v="18"/>
    <x v="1"/>
    <x v="1"/>
    <x v="1453"/>
    <x v="2534"/>
    <n v="5"/>
    <x v="2658"/>
  </r>
  <r>
    <d v="2020-03-27T00:00:00"/>
    <x v="1"/>
    <x v="2"/>
    <x v="109"/>
    <x v="2"/>
    <x v="0"/>
    <x v="11"/>
    <x v="1356"/>
    <x v="2535"/>
    <n v="2"/>
    <x v="2659"/>
  </r>
  <r>
    <d v="2020-03-27T00:00:00"/>
    <x v="1"/>
    <x v="2"/>
    <x v="85"/>
    <x v="18"/>
    <x v="0"/>
    <x v="4"/>
    <x v="872"/>
    <x v="2536"/>
    <n v="2"/>
    <x v="2660"/>
  </r>
  <r>
    <d v="2020-03-27T00:00:00"/>
    <x v="1"/>
    <x v="2"/>
    <x v="85"/>
    <x v="18"/>
    <x v="2"/>
    <x v="2"/>
    <x v="1157"/>
    <x v="2537"/>
    <n v="3"/>
    <x v="1698"/>
  </r>
  <r>
    <d v="2020-03-27T00:00:00"/>
    <x v="1"/>
    <x v="2"/>
    <x v="109"/>
    <x v="2"/>
    <x v="0"/>
    <x v="11"/>
    <x v="1092"/>
    <x v="2538"/>
    <n v="3"/>
    <x v="2451"/>
  </r>
  <r>
    <d v="2020-03-27T00:00:00"/>
    <x v="1"/>
    <x v="2"/>
    <x v="109"/>
    <x v="2"/>
    <x v="0"/>
    <x v="0"/>
    <x v="746"/>
    <x v="2539"/>
    <n v="5"/>
    <x v="2661"/>
  </r>
  <r>
    <d v="2020-03-27T00:00:00"/>
    <x v="1"/>
    <x v="2"/>
    <x v="476"/>
    <x v="5"/>
    <x v="0"/>
    <x v="8"/>
    <x v="997"/>
    <x v="2540"/>
    <n v="2"/>
    <x v="2662"/>
  </r>
  <r>
    <d v="2020-03-27T00:00:00"/>
    <x v="1"/>
    <x v="2"/>
    <x v="85"/>
    <x v="18"/>
    <x v="2"/>
    <x v="14"/>
    <x v="1454"/>
    <x v="2541"/>
    <n v="2"/>
    <x v="366"/>
  </r>
  <r>
    <d v="2020-03-27T00:00:00"/>
    <x v="1"/>
    <x v="2"/>
    <x v="85"/>
    <x v="18"/>
    <x v="2"/>
    <x v="9"/>
    <x v="924"/>
    <x v="2542"/>
    <n v="4"/>
    <x v="2663"/>
  </r>
  <r>
    <d v="2020-03-27T00:00:00"/>
    <x v="1"/>
    <x v="2"/>
    <x v="674"/>
    <x v="1"/>
    <x v="2"/>
    <x v="9"/>
    <x v="1455"/>
    <x v="2543"/>
    <n v="3"/>
    <x v="2664"/>
  </r>
  <r>
    <d v="2020-03-27T00:00:00"/>
    <x v="1"/>
    <x v="2"/>
    <x v="85"/>
    <x v="18"/>
    <x v="2"/>
    <x v="5"/>
    <x v="1456"/>
    <x v="2544"/>
    <n v="2"/>
    <x v="2665"/>
  </r>
  <r>
    <d v="2020-03-27T00:00:00"/>
    <x v="1"/>
    <x v="2"/>
    <x v="109"/>
    <x v="2"/>
    <x v="1"/>
    <x v="3"/>
    <x v="1195"/>
    <x v="2545"/>
    <n v="1"/>
    <x v="2666"/>
  </r>
  <r>
    <d v="2020-03-27T00:00:00"/>
    <x v="1"/>
    <x v="2"/>
    <x v="674"/>
    <x v="1"/>
    <x v="2"/>
    <x v="9"/>
    <x v="1120"/>
    <x v="2373"/>
    <n v="2"/>
    <x v="271"/>
  </r>
  <r>
    <d v="2020-03-28T00:00:00"/>
    <x v="1"/>
    <x v="2"/>
    <x v="46"/>
    <x v="6"/>
    <x v="2"/>
    <x v="5"/>
    <x v="1153"/>
    <x v="2546"/>
    <n v="9"/>
    <x v="2667"/>
  </r>
  <r>
    <d v="2020-03-28T00:00:00"/>
    <x v="1"/>
    <x v="2"/>
    <x v="337"/>
    <x v="1"/>
    <x v="1"/>
    <x v="15"/>
    <x v="1457"/>
    <x v="2547"/>
    <n v="2"/>
    <x v="2668"/>
  </r>
  <r>
    <d v="2020-03-28T00:00:00"/>
    <x v="1"/>
    <x v="2"/>
    <x v="337"/>
    <x v="1"/>
    <x v="2"/>
    <x v="2"/>
    <x v="901"/>
    <x v="2548"/>
    <n v="7"/>
    <x v="2669"/>
  </r>
  <r>
    <d v="2020-03-28T00:00:00"/>
    <x v="1"/>
    <x v="2"/>
    <x v="337"/>
    <x v="1"/>
    <x v="2"/>
    <x v="9"/>
    <x v="660"/>
    <x v="2549"/>
    <n v="2"/>
    <x v="210"/>
  </r>
  <r>
    <d v="2020-03-28T00:00:00"/>
    <x v="1"/>
    <x v="2"/>
    <x v="337"/>
    <x v="1"/>
    <x v="0"/>
    <x v="8"/>
    <x v="1458"/>
    <x v="2550"/>
    <n v="7"/>
    <x v="2670"/>
  </r>
  <r>
    <d v="2020-03-28T00:00:00"/>
    <x v="1"/>
    <x v="2"/>
    <x v="337"/>
    <x v="1"/>
    <x v="2"/>
    <x v="9"/>
    <x v="1017"/>
    <x v="2551"/>
    <n v="4"/>
    <x v="1074"/>
  </r>
  <r>
    <d v="2020-03-28T00:00:00"/>
    <x v="1"/>
    <x v="2"/>
    <x v="337"/>
    <x v="1"/>
    <x v="0"/>
    <x v="8"/>
    <x v="1459"/>
    <x v="2552"/>
    <n v="1"/>
    <x v="2671"/>
  </r>
  <r>
    <d v="2020-03-28T00:00:00"/>
    <x v="1"/>
    <x v="2"/>
    <x v="337"/>
    <x v="1"/>
    <x v="2"/>
    <x v="9"/>
    <x v="1297"/>
    <x v="2553"/>
    <n v="3"/>
    <x v="369"/>
  </r>
  <r>
    <d v="2020-03-29T00:00:00"/>
    <x v="1"/>
    <x v="2"/>
    <x v="252"/>
    <x v="24"/>
    <x v="2"/>
    <x v="2"/>
    <x v="1460"/>
    <x v="2554"/>
    <n v="5"/>
    <x v="2672"/>
  </r>
  <r>
    <d v="2020-03-30T00:00:00"/>
    <x v="1"/>
    <x v="2"/>
    <x v="675"/>
    <x v="1"/>
    <x v="0"/>
    <x v="8"/>
    <x v="443"/>
    <x v="2555"/>
    <n v="5"/>
    <x v="2673"/>
  </r>
  <r>
    <d v="2020-03-30T00:00:00"/>
    <x v="1"/>
    <x v="2"/>
    <x v="195"/>
    <x v="1"/>
    <x v="1"/>
    <x v="1"/>
    <x v="988"/>
    <x v="2556"/>
    <n v="1"/>
    <x v="2674"/>
  </r>
  <r>
    <d v="2020-03-30T00:00:00"/>
    <x v="1"/>
    <x v="2"/>
    <x v="676"/>
    <x v="3"/>
    <x v="2"/>
    <x v="10"/>
    <x v="1461"/>
    <x v="2557"/>
    <n v="2"/>
    <x v="2675"/>
  </r>
  <r>
    <d v="2020-03-30T00:00:00"/>
    <x v="1"/>
    <x v="2"/>
    <x v="195"/>
    <x v="1"/>
    <x v="2"/>
    <x v="7"/>
    <x v="1066"/>
    <x v="241"/>
    <n v="2"/>
    <x v="2676"/>
  </r>
  <r>
    <d v="2020-03-30T00:00:00"/>
    <x v="1"/>
    <x v="2"/>
    <x v="348"/>
    <x v="5"/>
    <x v="2"/>
    <x v="5"/>
    <x v="663"/>
    <x v="2558"/>
    <n v="5"/>
    <x v="903"/>
  </r>
  <r>
    <d v="2020-03-30T00:00:00"/>
    <x v="1"/>
    <x v="2"/>
    <x v="156"/>
    <x v="14"/>
    <x v="2"/>
    <x v="2"/>
    <x v="1462"/>
    <x v="2559"/>
    <n v="1"/>
    <x v="2677"/>
  </r>
  <r>
    <d v="2020-03-31T00:00:00"/>
    <x v="1"/>
    <x v="2"/>
    <x v="165"/>
    <x v="19"/>
    <x v="0"/>
    <x v="8"/>
    <x v="858"/>
    <x v="2160"/>
    <n v="5"/>
    <x v="2678"/>
  </r>
  <r>
    <d v="2020-03-31T00:00:00"/>
    <x v="1"/>
    <x v="2"/>
    <x v="264"/>
    <x v="12"/>
    <x v="1"/>
    <x v="1"/>
    <x v="1463"/>
    <x v="2560"/>
    <n v="5"/>
    <x v="2679"/>
  </r>
  <r>
    <d v="2020-03-31T00:00:00"/>
    <x v="1"/>
    <x v="2"/>
    <x v="154"/>
    <x v="2"/>
    <x v="0"/>
    <x v="0"/>
    <x v="1464"/>
    <x v="2561"/>
    <n v="2"/>
    <x v="2680"/>
  </r>
  <r>
    <d v="2020-03-31T00:00:00"/>
    <x v="1"/>
    <x v="2"/>
    <x v="165"/>
    <x v="19"/>
    <x v="1"/>
    <x v="1"/>
    <x v="1399"/>
    <x v="2562"/>
    <n v="7"/>
    <x v="2681"/>
  </r>
  <r>
    <d v="2020-03-31T00:00:00"/>
    <x v="1"/>
    <x v="2"/>
    <x v="677"/>
    <x v="12"/>
    <x v="1"/>
    <x v="1"/>
    <x v="1221"/>
    <x v="2563"/>
    <n v="3"/>
    <x v="2682"/>
  </r>
  <r>
    <d v="2020-03-31T00:00:00"/>
    <x v="1"/>
    <x v="2"/>
    <x v="278"/>
    <x v="14"/>
    <x v="1"/>
    <x v="6"/>
    <x v="830"/>
    <x v="2564"/>
    <n v="5"/>
    <x v="2683"/>
  </r>
  <r>
    <d v="2020-03-31T00:00:00"/>
    <x v="1"/>
    <x v="2"/>
    <x v="608"/>
    <x v="17"/>
    <x v="2"/>
    <x v="5"/>
    <x v="1465"/>
    <x v="2565"/>
    <n v="13"/>
    <x v="2684"/>
  </r>
  <r>
    <d v="2020-03-31T00:00:00"/>
    <x v="1"/>
    <x v="2"/>
    <x v="34"/>
    <x v="1"/>
    <x v="2"/>
    <x v="16"/>
    <x v="1222"/>
    <x v="2566"/>
    <n v="3"/>
    <x v="2685"/>
  </r>
  <r>
    <d v="2020-03-31T00:00:00"/>
    <x v="1"/>
    <x v="2"/>
    <x v="278"/>
    <x v="14"/>
    <x v="2"/>
    <x v="5"/>
    <x v="264"/>
    <x v="2567"/>
    <n v="1"/>
    <x v="2686"/>
  </r>
  <r>
    <d v="2020-03-31T00:00:00"/>
    <x v="1"/>
    <x v="2"/>
    <x v="677"/>
    <x v="12"/>
    <x v="0"/>
    <x v="8"/>
    <x v="1404"/>
    <x v="2568"/>
    <n v="2"/>
    <x v="2687"/>
  </r>
  <r>
    <d v="2020-03-31T00:00:00"/>
    <x v="1"/>
    <x v="2"/>
    <x v="678"/>
    <x v="2"/>
    <x v="2"/>
    <x v="13"/>
    <x v="1466"/>
    <x v="2569"/>
    <n v="5"/>
    <x v="2688"/>
  </r>
  <r>
    <d v="2020-03-31T00:00:00"/>
    <x v="1"/>
    <x v="2"/>
    <x v="278"/>
    <x v="14"/>
    <x v="2"/>
    <x v="5"/>
    <x v="1236"/>
    <x v="2570"/>
    <n v="4"/>
    <x v="2689"/>
  </r>
  <r>
    <d v="2020-03-31T00:00:00"/>
    <x v="1"/>
    <x v="2"/>
    <x v="677"/>
    <x v="12"/>
    <x v="2"/>
    <x v="9"/>
    <x v="884"/>
    <x v="2571"/>
    <n v="8"/>
    <x v="2690"/>
  </r>
  <r>
    <d v="2020-04-01T00:00:00"/>
    <x v="1"/>
    <x v="3"/>
    <x v="232"/>
    <x v="30"/>
    <x v="2"/>
    <x v="2"/>
    <x v="287"/>
    <x v="2572"/>
    <n v="6"/>
    <x v="2691"/>
  </r>
  <r>
    <d v="2020-04-01T00:00:00"/>
    <x v="1"/>
    <x v="3"/>
    <x v="243"/>
    <x v="39"/>
    <x v="0"/>
    <x v="8"/>
    <x v="196"/>
    <x v="2573"/>
    <n v="3"/>
    <x v="1476"/>
  </r>
  <r>
    <d v="2020-04-01T00:00:00"/>
    <x v="1"/>
    <x v="3"/>
    <x v="53"/>
    <x v="1"/>
    <x v="2"/>
    <x v="5"/>
    <x v="1181"/>
    <x v="2574"/>
    <n v="13"/>
    <x v="2692"/>
  </r>
  <r>
    <d v="2020-04-01T00:00:00"/>
    <x v="1"/>
    <x v="3"/>
    <x v="359"/>
    <x v="6"/>
    <x v="0"/>
    <x v="11"/>
    <x v="1206"/>
    <x v="2575"/>
    <n v="3"/>
    <x v="2693"/>
  </r>
  <r>
    <d v="2020-04-01T00:00:00"/>
    <x v="1"/>
    <x v="3"/>
    <x v="598"/>
    <x v="1"/>
    <x v="0"/>
    <x v="0"/>
    <x v="959"/>
    <x v="2576"/>
    <n v="8"/>
    <x v="2694"/>
  </r>
  <r>
    <d v="2020-04-01T00:00:00"/>
    <x v="1"/>
    <x v="3"/>
    <x v="598"/>
    <x v="1"/>
    <x v="1"/>
    <x v="15"/>
    <x v="1258"/>
    <x v="2577"/>
    <n v="2"/>
    <x v="2695"/>
  </r>
  <r>
    <d v="2020-04-01T00:00:00"/>
    <x v="1"/>
    <x v="3"/>
    <x v="359"/>
    <x v="6"/>
    <x v="2"/>
    <x v="14"/>
    <x v="809"/>
    <x v="2578"/>
    <n v="3"/>
    <x v="993"/>
  </r>
  <r>
    <d v="2020-04-01T00:00:00"/>
    <x v="1"/>
    <x v="3"/>
    <x v="359"/>
    <x v="6"/>
    <x v="1"/>
    <x v="1"/>
    <x v="120"/>
    <x v="2579"/>
    <n v="3"/>
    <x v="2696"/>
  </r>
  <r>
    <d v="2020-04-01T00:00:00"/>
    <x v="1"/>
    <x v="3"/>
    <x v="53"/>
    <x v="1"/>
    <x v="2"/>
    <x v="14"/>
    <x v="846"/>
    <x v="2580"/>
    <n v="2"/>
    <x v="2697"/>
  </r>
  <r>
    <d v="2020-04-01T00:00:00"/>
    <x v="1"/>
    <x v="3"/>
    <x v="417"/>
    <x v="12"/>
    <x v="2"/>
    <x v="9"/>
    <x v="124"/>
    <x v="2581"/>
    <n v="9"/>
    <x v="2698"/>
  </r>
  <r>
    <d v="2020-04-01T00:00:00"/>
    <x v="1"/>
    <x v="3"/>
    <x v="232"/>
    <x v="30"/>
    <x v="2"/>
    <x v="10"/>
    <x v="86"/>
    <x v="2582"/>
    <n v="5"/>
    <x v="1857"/>
  </r>
  <r>
    <d v="2020-04-01T00:00:00"/>
    <x v="1"/>
    <x v="3"/>
    <x v="359"/>
    <x v="6"/>
    <x v="2"/>
    <x v="13"/>
    <x v="512"/>
    <x v="2583"/>
    <n v="3"/>
    <x v="2699"/>
  </r>
  <r>
    <d v="2020-04-02T00:00:00"/>
    <x v="1"/>
    <x v="3"/>
    <x v="430"/>
    <x v="14"/>
    <x v="1"/>
    <x v="3"/>
    <x v="1144"/>
    <x v="2584"/>
    <n v="4"/>
    <x v="2700"/>
  </r>
  <r>
    <d v="2020-04-02T00:00:00"/>
    <x v="1"/>
    <x v="3"/>
    <x v="430"/>
    <x v="14"/>
    <x v="0"/>
    <x v="4"/>
    <x v="446"/>
    <x v="2585"/>
    <n v="2"/>
    <x v="2701"/>
  </r>
  <r>
    <d v="2020-04-02T00:00:00"/>
    <x v="1"/>
    <x v="3"/>
    <x v="239"/>
    <x v="36"/>
    <x v="2"/>
    <x v="14"/>
    <x v="445"/>
    <x v="2473"/>
    <n v="3"/>
    <x v="717"/>
  </r>
  <r>
    <d v="2020-04-02T00:00:00"/>
    <x v="1"/>
    <x v="3"/>
    <x v="588"/>
    <x v="11"/>
    <x v="2"/>
    <x v="7"/>
    <x v="1304"/>
    <x v="2586"/>
    <n v="4"/>
    <x v="2702"/>
  </r>
  <r>
    <d v="2020-04-02T00:00:00"/>
    <x v="1"/>
    <x v="3"/>
    <x v="604"/>
    <x v="1"/>
    <x v="0"/>
    <x v="8"/>
    <x v="246"/>
    <x v="2587"/>
    <n v="3"/>
    <x v="2703"/>
  </r>
  <r>
    <d v="2020-04-03T00:00:00"/>
    <x v="1"/>
    <x v="3"/>
    <x v="625"/>
    <x v="17"/>
    <x v="2"/>
    <x v="7"/>
    <x v="712"/>
    <x v="2588"/>
    <n v="3"/>
    <x v="2704"/>
  </r>
  <r>
    <d v="2020-04-03T00:00:00"/>
    <x v="1"/>
    <x v="3"/>
    <x v="355"/>
    <x v="5"/>
    <x v="0"/>
    <x v="8"/>
    <x v="490"/>
    <x v="2589"/>
    <n v="4"/>
    <x v="2705"/>
  </r>
  <r>
    <d v="2020-04-04T00:00:00"/>
    <x v="1"/>
    <x v="3"/>
    <x v="646"/>
    <x v="12"/>
    <x v="1"/>
    <x v="1"/>
    <x v="768"/>
    <x v="2590"/>
    <n v="2"/>
    <x v="2706"/>
  </r>
  <r>
    <d v="2020-04-04T00:00:00"/>
    <x v="1"/>
    <x v="3"/>
    <x v="646"/>
    <x v="12"/>
    <x v="2"/>
    <x v="16"/>
    <x v="322"/>
    <x v="2591"/>
    <n v="1"/>
    <x v="2707"/>
  </r>
  <r>
    <d v="2020-04-04T00:00:00"/>
    <x v="1"/>
    <x v="3"/>
    <x v="485"/>
    <x v="17"/>
    <x v="1"/>
    <x v="1"/>
    <x v="757"/>
    <x v="2592"/>
    <n v="4"/>
    <x v="2708"/>
  </r>
  <r>
    <d v="2020-04-04T00:00:00"/>
    <x v="1"/>
    <x v="3"/>
    <x v="556"/>
    <x v="12"/>
    <x v="2"/>
    <x v="10"/>
    <x v="1254"/>
    <x v="2593"/>
    <n v="1"/>
    <x v="2709"/>
  </r>
  <r>
    <d v="2020-04-04T00:00:00"/>
    <x v="1"/>
    <x v="3"/>
    <x v="449"/>
    <x v="12"/>
    <x v="2"/>
    <x v="7"/>
    <x v="667"/>
    <x v="2594"/>
    <n v="4"/>
    <x v="772"/>
  </r>
  <r>
    <d v="2020-04-04T00:00:00"/>
    <x v="1"/>
    <x v="3"/>
    <x v="646"/>
    <x v="12"/>
    <x v="1"/>
    <x v="1"/>
    <x v="1453"/>
    <x v="2595"/>
    <n v="1"/>
    <x v="2710"/>
  </r>
  <r>
    <d v="2020-04-06T00:00:00"/>
    <x v="1"/>
    <x v="3"/>
    <x v="399"/>
    <x v="41"/>
    <x v="2"/>
    <x v="9"/>
    <x v="84"/>
    <x v="2596"/>
    <n v="3"/>
    <x v="2246"/>
  </r>
  <r>
    <d v="2020-04-06T00:00:00"/>
    <x v="1"/>
    <x v="3"/>
    <x v="205"/>
    <x v="21"/>
    <x v="2"/>
    <x v="5"/>
    <x v="1421"/>
    <x v="2597"/>
    <n v="5"/>
    <x v="2711"/>
  </r>
  <r>
    <d v="2020-04-07T00:00:00"/>
    <x v="1"/>
    <x v="3"/>
    <x v="644"/>
    <x v="6"/>
    <x v="1"/>
    <x v="1"/>
    <x v="1467"/>
    <x v="2598"/>
    <n v="2"/>
    <x v="2712"/>
  </r>
  <r>
    <d v="2020-04-07T00:00:00"/>
    <x v="1"/>
    <x v="3"/>
    <x v="253"/>
    <x v="6"/>
    <x v="0"/>
    <x v="4"/>
    <x v="1468"/>
    <x v="2599"/>
    <n v="2"/>
    <x v="2713"/>
  </r>
  <r>
    <d v="2020-04-07T00:00:00"/>
    <x v="1"/>
    <x v="3"/>
    <x v="253"/>
    <x v="6"/>
    <x v="0"/>
    <x v="8"/>
    <x v="44"/>
    <x v="2600"/>
    <n v="3"/>
    <x v="72"/>
  </r>
  <r>
    <d v="2020-04-07T00:00:00"/>
    <x v="1"/>
    <x v="3"/>
    <x v="253"/>
    <x v="6"/>
    <x v="0"/>
    <x v="4"/>
    <x v="645"/>
    <x v="2601"/>
    <n v="3"/>
    <x v="2714"/>
  </r>
  <r>
    <d v="2020-04-07T00:00:00"/>
    <x v="1"/>
    <x v="3"/>
    <x v="253"/>
    <x v="6"/>
    <x v="1"/>
    <x v="3"/>
    <x v="280"/>
    <x v="2602"/>
    <n v="3"/>
    <x v="2715"/>
  </r>
  <r>
    <d v="2020-04-07T00:00:00"/>
    <x v="1"/>
    <x v="3"/>
    <x v="253"/>
    <x v="6"/>
    <x v="2"/>
    <x v="5"/>
    <x v="1456"/>
    <x v="2603"/>
    <n v="2"/>
    <x v="2716"/>
  </r>
  <r>
    <d v="2020-04-07T00:00:00"/>
    <x v="1"/>
    <x v="3"/>
    <x v="644"/>
    <x v="6"/>
    <x v="2"/>
    <x v="7"/>
    <x v="303"/>
    <x v="2604"/>
    <n v="2"/>
    <x v="2717"/>
  </r>
  <r>
    <d v="2020-04-08T00:00:00"/>
    <x v="1"/>
    <x v="3"/>
    <x v="351"/>
    <x v="1"/>
    <x v="2"/>
    <x v="9"/>
    <x v="429"/>
    <x v="2605"/>
    <n v="4"/>
    <x v="2718"/>
  </r>
  <r>
    <d v="2020-04-08T00:00:00"/>
    <x v="1"/>
    <x v="3"/>
    <x v="351"/>
    <x v="1"/>
    <x v="2"/>
    <x v="9"/>
    <x v="1093"/>
    <x v="2606"/>
    <n v="5"/>
    <x v="2719"/>
  </r>
  <r>
    <d v="2020-04-08T00:00:00"/>
    <x v="1"/>
    <x v="3"/>
    <x v="500"/>
    <x v="25"/>
    <x v="0"/>
    <x v="8"/>
    <x v="1179"/>
    <x v="2607"/>
    <n v="2"/>
    <x v="1751"/>
  </r>
  <r>
    <d v="2020-04-08T00:00:00"/>
    <x v="1"/>
    <x v="3"/>
    <x v="500"/>
    <x v="25"/>
    <x v="0"/>
    <x v="8"/>
    <x v="1469"/>
    <x v="2608"/>
    <n v="3"/>
    <x v="2720"/>
  </r>
  <r>
    <d v="2020-04-08T00:00:00"/>
    <x v="1"/>
    <x v="3"/>
    <x v="111"/>
    <x v="10"/>
    <x v="2"/>
    <x v="2"/>
    <x v="391"/>
    <x v="2609"/>
    <n v="4"/>
    <x v="2721"/>
  </r>
  <r>
    <d v="2020-04-08T00:00:00"/>
    <x v="1"/>
    <x v="3"/>
    <x v="328"/>
    <x v="14"/>
    <x v="2"/>
    <x v="5"/>
    <x v="1332"/>
    <x v="2610"/>
    <n v="3"/>
    <x v="2722"/>
  </r>
  <r>
    <d v="2020-04-08T00:00:00"/>
    <x v="1"/>
    <x v="3"/>
    <x v="328"/>
    <x v="14"/>
    <x v="0"/>
    <x v="8"/>
    <x v="997"/>
    <x v="2611"/>
    <n v="6"/>
    <x v="2723"/>
  </r>
  <r>
    <d v="2020-04-08T00:00:00"/>
    <x v="1"/>
    <x v="3"/>
    <x v="111"/>
    <x v="10"/>
    <x v="2"/>
    <x v="13"/>
    <x v="1470"/>
    <x v="2612"/>
    <n v="5"/>
    <x v="2724"/>
  </r>
  <r>
    <d v="2020-04-09T00:00:00"/>
    <x v="1"/>
    <x v="3"/>
    <x v="527"/>
    <x v="5"/>
    <x v="2"/>
    <x v="9"/>
    <x v="41"/>
    <x v="2613"/>
    <n v="2"/>
    <x v="2424"/>
  </r>
  <r>
    <d v="2020-04-09T00:00:00"/>
    <x v="1"/>
    <x v="3"/>
    <x v="679"/>
    <x v="12"/>
    <x v="2"/>
    <x v="9"/>
    <x v="1471"/>
    <x v="2614"/>
    <n v="4"/>
    <x v="628"/>
  </r>
  <r>
    <d v="2020-04-09T00:00:00"/>
    <x v="1"/>
    <x v="3"/>
    <x v="625"/>
    <x v="6"/>
    <x v="2"/>
    <x v="9"/>
    <x v="574"/>
    <x v="2615"/>
    <n v="3"/>
    <x v="2725"/>
  </r>
  <r>
    <d v="2020-04-09T00:00:00"/>
    <x v="1"/>
    <x v="3"/>
    <x v="280"/>
    <x v="25"/>
    <x v="2"/>
    <x v="5"/>
    <x v="1472"/>
    <x v="2616"/>
    <n v="8"/>
    <x v="2726"/>
  </r>
  <r>
    <d v="2020-04-09T00:00:00"/>
    <x v="1"/>
    <x v="3"/>
    <x v="679"/>
    <x v="12"/>
    <x v="2"/>
    <x v="2"/>
    <x v="1473"/>
    <x v="2617"/>
    <n v="3"/>
    <x v="72"/>
  </r>
  <r>
    <d v="2020-04-09T00:00:00"/>
    <x v="1"/>
    <x v="3"/>
    <x v="625"/>
    <x v="6"/>
    <x v="2"/>
    <x v="5"/>
    <x v="10"/>
    <x v="2618"/>
    <n v="1"/>
    <x v="2727"/>
  </r>
  <r>
    <d v="2020-04-09T00:00:00"/>
    <x v="1"/>
    <x v="3"/>
    <x v="679"/>
    <x v="12"/>
    <x v="2"/>
    <x v="14"/>
    <x v="1474"/>
    <x v="2619"/>
    <n v="2"/>
    <x v="1062"/>
  </r>
  <r>
    <d v="2020-04-09T00:00:00"/>
    <x v="1"/>
    <x v="3"/>
    <x v="679"/>
    <x v="12"/>
    <x v="2"/>
    <x v="14"/>
    <x v="1190"/>
    <x v="2620"/>
    <n v="3"/>
    <x v="2728"/>
  </r>
  <r>
    <d v="2020-04-09T00:00:00"/>
    <x v="1"/>
    <x v="3"/>
    <x v="625"/>
    <x v="6"/>
    <x v="2"/>
    <x v="14"/>
    <x v="1475"/>
    <x v="2621"/>
    <n v="3"/>
    <x v="2370"/>
  </r>
  <r>
    <d v="2020-04-09T00:00:00"/>
    <x v="1"/>
    <x v="3"/>
    <x v="679"/>
    <x v="12"/>
    <x v="2"/>
    <x v="9"/>
    <x v="16"/>
    <x v="2622"/>
    <n v="2"/>
    <x v="56"/>
  </r>
  <r>
    <d v="2020-04-09T00:00:00"/>
    <x v="1"/>
    <x v="3"/>
    <x v="679"/>
    <x v="12"/>
    <x v="2"/>
    <x v="7"/>
    <x v="730"/>
    <x v="2623"/>
    <n v="3"/>
    <x v="871"/>
  </r>
  <r>
    <d v="2020-04-09T00:00:00"/>
    <x v="1"/>
    <x v="3"/>
    <x v="527"/>
    <x v="5"/>
    <x v="2"/>
    <x v="5"/>
    <x v="1476"/>
    <x v="2624"/>
    <n v="4"/>
    <x v="2729"/>
  </r>
  <r>
    <d v="2020-04-10T00:00:00"/>
    <x v="1"/>
    <x v="3"/>
    <x v="126"/>
    <x v="11"/>
    <x v="1"/>
    <x v="3"/>
    <x v="910"/>
    <x v="2625"/>
    <n v="1"/>
    <x v="2730"/>
  </r>
  <r>
    <d v="2020-04-10T00:00:00"/>
    <x v="1"/>
    <x v="3"/>
    <x v="680"/>
    <x v="2"/>
    <x v="1"/>
    <x v="3"/>
    <x v="11"/>
    <x v="2626"/>
    <n v="3"/>
    <x v="2731"/>
  </r>
  <r>
    <d v="2020-04-10T00:00:00"/>
    <x v="1"/>
    <x v="3"/>
    <x v="599"/>
    <x v="5"/>
    <x v="2"/>
    <x v="13"/>
    <x v="831"/>
    <x v="2627"/>
    <n v="4"/>
    <x v="2732"/>
  </r>
  <r>
    <d v="2020-04-10T00:00:00"/>
    <x v="1"/>
    <x v="3"/>
    <x v="126"/>
    <x v="11"/>
    <x v="2"/>
    <x v="2"/>
    <x v="2"/>
    <x v="2628"/>
    <n v="5"/>
    <x v="2733"/>
  </r>
  <r>
    <d v="2020-04-10T00:00:00"/>
    <x v="1"/>
    <x v="3"/>
    <x v="105"/>
    <x v="10"/>
    <x v="2"/>
    <x v="9"/>
    <x v="999"/>
    <x v="2629"/>
    <n v="1"/>
    <x v="1348"/>
  </r>
  <r>
    <d v="2020-04-10T00:00:00"/>
    <x v="1"/>
    <x v="3"/>
    <x v="681"/>
    <x v="6"/>
    <x v="0"/>
    <x v="8"/>
    <x v="1458"/>
    <x v="2630"/>
    <n v="5"/>
    <x v="2734"/>
  </r>
  <r>
    <d v="2020-04-10T00:00:00"/>
    <x v="1"/>
    <x v="3"/>
    <x v="105"/>
    <x v="10"/>
    <x v="2"/>
    <x v="12"/>
    <x v="717"/>
    <x v="2631"/>
    <n v="2"/>
    <x v="2735"/>
  </r>
  <r>
    <d v="2020-04-10T00:00:00"/>
    <x v="1"/>
    <x v="3"/>
    <x v="681"/>
    <x v="6"/>
    <x v="2"/>
    <x v="5"/>
    <x v="345"/>
    <x v="2632"/>
    <n v="3"/>
    <x v="2736"/>
  </r>
  <r>
    <d v="2020-04-10T00:00:00"/>
    <x v="1"/>
    <x v="3"/>
    <x v="680"/>
    <x v="2"/>
    <x v="2"/>
    <x v="9"/>
    <x v="267"/>
    <x v="2633"/>
    <n v="2"/>
    <x v="288"/>
  </r>
  <r>
    <d v="2020-04-10T00:00:00"/>
    <x v="1"/>
    <x v="3"/>
    <x v="599"/>
    <x v="5"/>
    <x v="0"/>
    <x v="8"/>
    <x v="619"/>
    <x v="2634"/>
    <n v="3"/>
    <x v="2737"/>
  </r>
  <r>
    <d v="2020-04-11T00:00:00"/>
    <x v="1"/>
    <x v="3"/>
    <x v="268"/>
    <x v="1"/>
    <x v="1"/>
    <x v="3"/>
    <x v="489"/>
    <x v="2635"/>
    <n v="5"/>
    <x v="538"/>
  </r>
  <r>
    <d v="2020-04-11T00:00:00"/>
    <x v="1"/>
    <x v="3"/>
    <x v="484"/>
    <x v="4"/>
    <x v="2"/>
    <x v="7"/>
    <x v="1477"/>
    <x v="2636"/>
    <n v="8"/>
    <x v="2738"/>
  </r>
  <r>
    <d v="2020-04-11T00:00:00"/>
    <x v="1"/>
    <x v="3"/>
    <x v="484"/>
    <x v="4"/>
    <x v="2"/>
    <x v="7"/>
    <x v="1478"/>
    <x v="2637"/>
    <n v="1"/>
    <x v="2739"/>
  </r>
  <r>
    <d v="2020-04-11T00:00:00"/>
    <x v="1"/>
    <x v="3"/>
    <x v="222"/>
    <x v="8"/>
    <x v="1"/>
    <x v="3"/>
    <x v="1270"/>
    <x v="2638"/>
    <n v="2"/>
    <x v="2740"/>
  </r>
  <r>
    <d v="2020-04-11T00:00:00"/>
    <x v="1"/>
    <x v="3"/>
    <x v="222"/>
    <x v="8"/>
    <x v="2"/>
    <x v="2"/>
    <x v="764"/>
    <x v="2639"/>
    <n v="2"/>
    <x v="918"/>
  </r>
  <r>
    <d v="2020-04-11T00:00:00"/>
    <x v="1"/>
    <x v="3"/>
    <x v="42"/>
    <x v="2"/>
    <x v="2"/>
    <x v="5"/>
    <x v="160"/>
    <x v="2640"/>
    <n v="3"/>
    <x v="2741"/>
  </r>
  <r>
    <d v="2020-04-11T00:00:00"/>
    <x v="1"/>
    <x v="3"/>
    <x v="268"/>
    <x v="1"/>
    <x v="2"/>
    <x v="7"/>
    <x v="372"/>
    <x v="2641"/>
    <n v="7"/>
    <x v="2742"/>
  </r>
  <r>
    <d v="2020-04-12T00:00:00"/>
    <x v="1"/>
    <x v="3"/>
    <x v="198"/>
    <x v="35"/>
    <x v="2"/>
    <x v="5"/>
    <x v="7"/>
    <x v="2642"/>
    <n v="5"/>
    <x v="1860"/>
  </r>
  <r>
    <d v="2020-04-12T00:00:00"/>
    <x v="1"/>
    <x v="3"/>
    <x v="198"/>
    <x v="35"/>
    <x v="2"/>
    <x v="9"/>
    <x v="1479"/>
    <x v="2643"/>
    <n v="4"/>
    <x v="2743"/>
  </r>
  <r>
    <d v="2020-04-13T00:00:00"/>
    <x v="1"/>
    <x v="3"/>
    <x v="682"/>
    <x v="1"/>
    <x v="0"/>
    <x v="11"/>
    <x v="1206"/>
    <x v="2644"/>
    <n v="6"/>
    <x v="2744"/>
  </r>
  <r>
    <d v="2020-04-13T00:00:00"/>
    <x v="1"/>
    <x v="3"/>
    <x v="99"/>
    <x v="9"/>
    <x v="2"/>
    <x v="5"/>
    <x v="1425"/>
    <x v="2645"/>
    <n v="5"/>
    <x v="2745"/>
  </r>
  <r>
    <d v="2020-04-13T00:00:00"/>
    <x v="1"/>
    <x v="3"/>
    <x v="99"/>
    <x v="9"/>
    <x v="2"/>
    <x v="9"/>
    <x v="1218"/>
    <x v="2646"/>
    <n v="1"/>
    <x v="1842"/>
  </r>
  <r>
    <d v="2020-04-13T00:00:00"/>
    <x v="1"/>
    <x v="3"/>
    <x v="330"/>
    <x v="5"/>
    <x v="2"/>
    <x v="12"/>
    <x v="702"/>
    <x v="2647"/>
    <n v="5"/>
    <x v="2746"/>
  </r>
  <r>
    <d v="2020-04-14T00:00:00"/>
    <x v="1"/>
    <x v="3"/>
    <x v="675"/>
    <x v="8"/>
    <x v="2"/>
    <x v="7"/>
    <x v="1480"/>
    <x v="2648"/>
    <n v="3"/>
    <x v="2747"/>
  </r>
  <r>
    <d v="2020-04-14T00:00:00"/>
    <x v="1"/>
    <x v="3"/>
    <x v="403"/>
    <x v="4"/>
    <x v="0"/>
    <x v="0"/>
    <x v="1481"/>
    <x v="2649"/>
    <n v="8"/>
    <x v="2748"/>
  </r>
  <r>
    <d v="2020-04-14T00:00:00"/>
    <x v="1"/>
    <x v="3"/>
    <x v="133"/>
    <x v="12"/>
    <x v="0"/>
    <x v="0"/>
    <x v="385"/>
    <x v="2650"/>
    <n v="3"/>
    <x v="2749"/>
  </r>
  <r>
    <d v="2020-04-14T00:00:00"/>
    <x v="1"/>
    <x v="3"/>
    <x v="223"/>
    <x v="30"/>
    <x v="2"/>
    <x v="5"/>
    <x v="1235"/>
    <x v="2651"/>
    <n v="2"/>
    <x v="2750"/>
  </r>
  <r>
    <d v="2020-04-14T00:00:00"/>
    <x v="1"/>
    <x v="3"/>
    <x v="675"/>
    <x v="8"/>
    <x v="2"/>
    <x v="7"/>
    <x v="948"/>
    <x v="2652"/>
    <n v="3"/>
    <x v="2751"/>
  </r>
  <r>
    <d v="2020-04-14T00:00:00"/>
    <x v="1"/>
    <x v="3"/>
    <x v="133"/>
    <x v="12"/>
    <x v="2"/>
    <x v="5"/>
    <x v="312"/>
    <x v="2653"/>
    <n v="3"/>
    <x v="2752"/>
  </r>
  <r>
    <d v="2020-04-14T00:00:00"/>
    <x v="1"/>
    <x v="3"/>
    <x v="675"/>
    <x v="8"/>
    <x v="2"/>
    <x v="9"/>
    <x v="525"/>
    <x v="2654"/>
    <n v="3"/>
    <x v="2753"/>
  </r>
  <r>
    <d v="2020-04-14T00:00:00"/>
    <x v="1"/>
    <x v="3"/>
    <x v="255"/>
    <x v="10"/>
    <x v="0"/>
    <x v="8"/>
    <x v="1404"/>
    <x v="2655"/>
    <n v="5"/>
    <x v="2754"/>
  </r>
  <r>
    <d v="2020-04-15T00:00:00"/>
    <x v="1"/>
    <x v="3"/>
    <x v="50"/>
    <x v="1"/>
    <x v="2"/>
    <x v="9"/>
    <x v="90"/>
    <x v="2656"/>
    <n v="3"/>
    <x v="516"/>
  </r>
  <r>
    <d v="2020-04-15T00:00:00"/>
    <x v="1"/>
    <x v="3"/>
    <x v="342"/>
    <x v="31"/>
    <x v="0"/>
    <x v="8"/>
    <x v="1482"/>
    <x v="2657"/>
    <n v="5"/>
    <x v="2755"/>
  </r>
  <r>
    <d v="2020-04-15T00:00:00"/>
    <x v="1"/>
    <x v="3"/>
    <x v="619"/>
    <x v="18"/>
    <x v="2"/>
    <x v="7"/>
    <x v="960"/>
    <x v="2658"/>
    <n v="1"/>
    <x v="2756"/>
  </r>
  <r>
    <d v="2020-04-15T00:00:00"/>
    <x v="1"/>
    <x v="3"/>
    <x v="540"/>
    <x v="6"/>
    <x v="2"/>
    <x v="5"/>
    <x v="996"/>
    <x v="2659"/>
    <n v="3"/>
    <x v="2757"/>
  </r>
  <r>
    <d v="2020-04-15T00:00:00"/>
    <x v="1"/>
    <x v="3"/>
    <x v="488"/>
    <x v="2"/>
    <x v="2"/>
    <x v="9"/>
    <x v="1483"/>
    <x v="2660"/>
    <n v="4"/>
    <x v="286"/>
  </r>
  <r>
    <d v="2020-04-15T00:00:00"/>
    <x v="1"/>
    <x v="3"/>
    <x v="373"/>
    <x v="4"/>
    <x v="2"/>
    <x v="9"/>
    <x v="1484"/>
    <x v="2661"/>
    <n v="3"/>
    <x v="29"/>
  </r>
  <r>
    <d v="2020-04-16T00:00:00"/>
    <x v="1"/>
    <x v="3"/>
    <x v="521"/>
    <x v="1"/>
    <x v="0"/>
    <x v="0"/>
    <x v="873"/>
    <x v="2662"/>
    <n v="1"/>
    <x v="2758"/>
  </r>
  <r>
    <d v="2020-04-16T00:00:00"/>
    <x v="1"/>
    <x v="3"/>
    <x v="521"/>
    <x v="1"/>
    <x v="2"/>
    <x v="2"/>
    <x v="108"/>
    <x v="2663"/>
    <n v="4"/>
    <x v="2759"/>
  </r>
  <r>
    <d v="2020-04-16T00:00:00"/>
    <x v="1"/>
    <x v="3"/>
    <x v="184"/>
    <x v="36"/>
    <x v="2"/>
    <x v="16"/>
    <x v="703"/>
    <x v="2664"/>
    <n v="4"/>
    <x v="2760"/>
  </r>
  <r>
    <d v="2020-04-16T00:00:00"/>
    <x v="1"/>
    <x v="3"/>
    <x v="130"/>
    <x v="17"/>
    <x v="2"/>
    <x v="7"/>
    <x v="834"/>
    <x v="2665"/>
    <n v="5"/>
    <x v="2761"/>
  </r>
  <r>
    <d v="2020-04-16T00:00:00"/>
    <x v="1"/>
    <x v="3"/>
    <x v="235"/>
    <x v="2"/>
    <x v="2"/>
    <x v="5"/>
    <x v="200"/>
    <x v="2666"/>
    <n v="3"/>
    <x v="2762"/>
  </r>
  <r>
    <d v="2020-04-16T00:00:00"/>
    <x v="1"/>
    <x v="3"/>
    <x v="235"/>
    <x v="2"/>
    <x v="2"/>
    <x v="5"/>
    <x v="1281"/>
    <x v="2667"/>
    <n v="1"/>
    <x v="2763"/>
  </r>
  <r>
    <d v="2020-04-16T00:00:00"/>
    <x v="1"/>
    <x v="3"/>
    <x v="207"/>
    <x v="8"/>
    <x v="2"/>
    <x v="5"/>
    <x v="697"/>
    <x v="2230"/>
    <n v="5"/>
    <x v="2764"/>
  </r>
  <r>
    <d v="2020-04-16T00:00:00"/>
    <x v="1"/>
    <x v="3"/>
    <x v="184"/>
    <x v="36"/>
    <x v="1"/>
    <x v="3"/>
    <x v="144"/>
    <x v="2668"/>
    <n v="2"/>
    <x v="2765"/>
  </r>
  <r>
    <d v="2020-04-16T00:00:00"/>
    <x v="1"/>
    <x v="3"/>
    <x v="683"/>
    <x v="1"/>
    <x v="2"/>
    <x v="13"/>
    <x v="1365"/>
    <x v="2669"/>
    <n v="3"/>
    <x v="2766"/>
  </r>
  <r>
    <d v="2020-04-16T00:00:00"/>
    <x v="1"/>
    <x v="3"/>
    <x v="235"/>
    <x v="2"/>
    <x v="2"/>
    <x v="2"/>
    <x v="1273"/>
    <x v="2670"/>
    <n v="2"/>
    <x v="1994"/>
  </r>
  <r>
    <d v="2020-04-17T00:00:00"/>
    <x v="1"/>
    <x v="3"/>
    <x v="445"/>
    <x v="5"/>
    <x v="0"/>
    <x v="8"/>
    <x v="1485"/>
    <x v="2671"/>
    <n v="3"/>
    <x v="2767"/>
  </r>
  <r>
    <d v="2020-04-17T00:00:00"/>
    <x v="1"/>
    <x v="3"/>
    <x v="0"/>
    <x v="17"/>
    <x v="2"/>
    <x v="2"/>
    <x v="1290"/>
    <x v="2672"/>
    <n v="4"/>
    <x v="2768"/>
  </r>
  <r>
    <d v="2020-04-17T00:00:00"/>
    <x v="1"/>
    <x v="3"/>
    <x v="108"/>
    <x v="1"/>
    <x v="0"/>
    <x v="11"/>
    <x v="1206"/>
    <x v="2673"/>
    <n v="3"/>
    <x v="2693"/>
  </r>
  <r>
    <d v="2020-04-17T00:00:00"/>
    <x v="1"/>
    <x v="3"/>
    <x v="108"/>
    <x v="1"/>
    <x v="1"/>
    <x v="3"/>
    <x v="1486"/>
    <x v="2674"/>
    <n v="11"/>
    <x v="2769"/>
  </r>
  <r>
    <d v="2020-04-17T00:00:00"/>
    <x v="1"/>
    <x v="3"/>
    <x v="684"/>
    <x v="22"/>
    <x v="1"/>
    <x v="15"/>
    <x v="1367"/>
    <x v="2675"/>
    <n v="5"/>
    <x v="2770"/>
  </r>
  <r>
    <d v="2020-04-17T00:00:00"/>
    <x v="1"/>
    <x v="3"/>
    <x v="108"/>
    <x v="1"/>
    <x v="2"/>
    <x v="12"/>
    <x v="1162"/>
    <x v="2676"/>
    <n v="5"/>
    <x v="2771"/>
  </r>
  <r>
    <d v="2020-04-17T00:00:00"/>
    <x v="1"/>
    <x v="3"/>
    <x v="684"/>
    <x v="22"/>
    <x v="2"/>
    <x v="5"/>
    <x v="432"/>
    <x v="2677"/>
    <n v="6"/>
    <x v="2772"/>
  </r>
  <r>
    <d v="2020-04-17T00:00:00"/>
    <x v="1"/>
    <x v="3"/>
    <x v="108"/>
    <x v="1"/>
    <x v="2"/>
    <x v="9"/>
    <x v="884"/>
    <x v="2678"/>
    <n v="3"/>
    <x v="2773"/>
  </r>
  <r>
    <d v="2020-04-17T00:00:00"/>
    <x v="1"/>
    <x v="3"/>
    <x v="684"/>
    <x v="22"/>
    <x v="2"/>
    <x v="9"/>
    <x v="265"/>
    <x v="2679"/>
    <n v="4"/>
    <x v="286"/>
  </r>
  <r>
    <d v="2020-04-17T00:00:00"/>
    <x v="1"/>
    <x v="3"/>
    <x v="684"/>
    <x v="22"/>
    <x v="2"/>
    <x v="5"/>
    <x v="1186"/>
    <x v="2680"/>
    <n v="2"/>
    <x v="2774"/>
  </r>
  <r>
    <d v="2020-04-17T00:00:00"/>
    <x v="1"/>
    <x v="3"/>
    <x v="684"/>
    <x v="22"/>
    <x v="2"/>
    <x v="5"/>
    <x v="482"/>
    <x v="2681"/>
    <n v="5"/>
    <x v="2775"/>
  </r>
  <r>
    <d v="2020-04-17T00:00:00"/>
    <x v="1"/>
    <x v="3"/>
    <x v="108"/>
    <x v="1"/>
    <x v="2"/>
    <x v="14"/>
    <x v="1306"/>
    <x v="2682"/>
    <n v="2"/>
    <x v="1345"/>
  </r>
  <r>
    <d v="2020-04-17T00:00:00"/>
    <x v="1"/>
    <x v="3"/>
    <x v="108"/>
    <x v="1"/>
    <x v="2"/>
    <x v="14"/>
    <x v="1326"/>
    <x v="201"/>
    <n v="8"/>
    <x v="2776"/>
  </r>
  <r>
    <d v="2020-04-20T00:00:00"/>
    <x v="1"/>
    <x v="3"/>
    <x v="241"/>
    <x v="8"/>
    <x v="1"/>
    <x v="1"/>
    <x v="21"/>
    <x v="2683"/>
    <n v="3"/>
    <x v="626"/>
  </r>
  <r>
    <d v="2020-04-20T00:00:00"/>
    <x v="1"/>
    <x v="3"/>
    <x v="454"/>
    <x v="25"/>
    <x v="2"/>
    <x v="5"/>
    <x v="666"/>
    <x v="2684"/>
    <n v="7"/>
    <x v="2777"/>
  </r>
  <r>
    <d v="2020-04-20T00:00:00"/>
    <x v="1"/>
    <x v="3"/>
    <x v="510"/>
    <x v="17"/>
    <x v="0"/>
    <x v="11"/>
    <x v="829"/>
    <x v="2685"/>
    <n v="3"/>
    <x v="2778"/>
  </r>
  <r>
    <d v="2020-04-20T00:00:00"/>
    <x v="1"/>
    <x v="3"/>
    <x v="251"/>
    <x v="5"/>
    <x v="2"/>
    <x v="2"/>
    <x v="1279"/>
    <x v="2686"/>
    <n v="1"/>
    <x v="2779"/>
  </r>
  <r>
    <d v="2020-04-20T00:00:00"/>
    <x v="1"/>
    <x v="3"/>
    <x v="241"/>
    <x v="8"/>
    <x v="2"/>
    <x v="2"/>
    <x v="788"/>
    <x v="2687"/>
    <n v="4"/>
    <x v="2780"/>
  </r>
  <r>
    <d v="2020-04-20T00:00:00"/>
    <x v="1"/>
    <x v="3"/>
    <x v="510"/>
    <x v="17"/>
    <x v="0"/>
    <x v="8"/>
    <x v="813"/>
    <x v="2688"/>
    <n v="5"/>
    <x v="2781"/>
  </r>
  <r>
    <d v="2020-04-20T00:00:00"/>
    <x v="1"/>
    <x v="3"/>
    <x v="510"/>
    <x v="17"/>
    <x v="2"/>
    <x v="7"/>
    <x v="1436"/>
    <x v="2689"/>
    <n v="2"/>
    <x v="2782"/>
  </r>
  <r>
    <d v="2020-04-20T00:00:00"/>
    <x v="1"/>
    <x v="3"/>
    <x v="241"/>
    <x v="8"/>
    <x v="2"/>
    <x v="5"/>
    <x v="145"/>
    <x v="2690"/>
    <n v="5"/>
    <x v="2783"/>
  </r>
  <r>
    <d v="2020-04-20T00:00:00"/>
    <x v="1"/>
    <x v="3"/>
    <x v="251"/>
    <x v="5"/>
    <x v="2"/>
    <x v="2"/>
    <x v="1052"/>
    <x v="2691"/>
    <n v="3"/>
    <x v="2784"/>
  </r>
  <r>
    <d v="2020-04-20T00:00:00"/>
    <x v="1"/>
    <x v="3"/>
    <x v="454"/>
    <x v="25"/>
    <x v="2"/>
    <x v="5"/>
    <x v="241"/>
    <x v="2692"/>
    <n v="4"/>
    <x v="2785"/>
  </r>
  <r>
    <d v="2020-04-20T00:00:00"/>
    <x v="1"/>
    <x v="3"/>
    <x v="105"/>
    <x v="17"/>
    <x v="0"/>
    <x v="8"/>
    <x v="1394"/>
    <x v="2693"/>
    <n v="2"/>
    <x v="2786"/>
  </r>
  <r>
    <d v="2020-04-20T00:00:00"/>
    <x v="1"/>
    <x v="3"/>
    <x v="251"/>
    <x v="5"/>
    <x v="0"/>
    <x v="8"/>
    <x v="983"/>
    <x v="2694"/>
    <n v="3"/>
    <x v="2787"/>
  </r>
  <r>
    <d v="2020-04-20T00:00:00"/>
    <x v="1"/>
    <x v="3"/>
    <x v="251"/>
    <x v="5"/>
    <x v="0"/>
    <x v="8"/>
    <x v="463"/>
    <x v="2695"/>
    <n v="2"/>
    <x v="512"/>
  </r>
  <r>
    <d v="2020-04-21T00:00:00"/>
    <x v="1"/>
    <x v="3"/>
    <x v="582"/>
    <x v="2"/>
    <x v="2"/>
    <x v="13"/>
    <x v="595"/>
    <x v="2696"/>
    <n v="4"/>
    <x v="2788"/>
  </r>
  <r>
    <d v="2020-04-21T00:00:00"/>
    <x v="1"/>
    <x v="3"/>
    <x v="633"/>
    <x v="9"/>
    <x v="0"/>
    <x v="8"/>
    <x v="1487"/>
    <x v="2697"/>
    <n v="3"/>
    <x v="2789"/>
  </r>
  <r>
    <d v="2020-04-21T00:00:00"/>
    <x v="1"/>
    <x v="3"/>
    <x v="157"/>
    <x v="0"/>
    <x v="0"/>
    <x v="11"/>
    <x v="1067"/>
    <x v="2698"/>
    <n v="9"/>
    <x v="2790"/>
  </r>
  <r>
    <d v="2020-04-21T00:00:00"/>
    <x v="1"/>
    <x v="3"/>
    <x v="633"/>
    <x v="9"/>
    <x v="1"/>
    <x v="3"/>
    <x v="671"/>
    <x v="2567"/>
    <n v="1"/>
    <x v="2791"/>
  </r>
  <r>
    <d v="2020-04-21T00:00:00"/>
    <x v="1"/>
    <x v="3"/>
    <x v="685"/>
    <x v="2"/>
    <x v="2"/>
    <x v="9"/>
    <x v="628"/>
    <x v="2699"/>
    <n v="4"/>
    <x v="286"/>
  </r>
  <r>
    <d v="2020-04-21T00:00:00"/>
    <x v="1"/>
    <x v="3"/>
    <x v="424"/>
    <x v="2"/>
    <x v="2"/>
    <x v="5"/>
    <x v="312"/>
    <x v="2700"/>
    <n v="3"/>
    <x v="2792"/>
  </r>
  <r>
    <d v="2020-04-21T00:00:00"/>
    <x v="1"/>
    <x v="3"/>
    <x v="424"/>
    <x v="2"/>
    <x v="2"/>
    <x v="5"/>
    <x v="1488"/>
    <x v="2701"/>
    <n v="3"/>
    <x v="2793"/>
  </r>
  <r>
    <d v="2020-04-21T00:00:00"/>
    <x v="1"/>
    <x v="3"/>
    <x v="685"/>
    <x v="2"/>
    <x v="1"/>
    <x v="3"/>
    <x v="1489"/>
    <x v="2702"/>
    <n v="3"/>
    <x v="2794"/>
  </r>
  <r>
    <d v="2020-04-22T00:00:00"/>
    <x v="1"/>
    <x v="3"/>
    <x v="443"/>
    <x v="5"/>
    <x v="0"/>
    <x v="8"/>
    <x v="491"/>
    <x v="2673"/>
    <n v="3"/>
    <x v="72"/>
  </r>
  <r>
    <d v="2020-04-22T00:00:00"/>
    <x v="1"/>
    <x v="3"/>
    <x v="81"/>
    <x v="14"/>
    <x v="2"/>
    <x v="2"/>
    <x v="121"/>
    <x v="2703"/>
    <n v="3"/>
    <x v="2795"/>
  </r>
  <r>
    <d v="2020-04-22T00:00:00"/>
    <x v="1"/>
    <x v="3"/>
    <x v="607"/>
    <x v="1"/>
    <x v="0"/>
    <x v="8"/>
    <x v="819"/>
    <x v="2704"/>
    <n v="2"/>
    <x v="2796"/>
  </r>
  <r>
    <d v="2020-04-23T00:00:00"/>
    <x v="1"/>
    <x v="3"/>
    <x v="469"/>
    <x v="21"/>
    <x v="0"/>
    <x v="8"/>
    <x v="1490"/>
    <x v="2705"/>
    <n v="3"/>
    <x v="2797"/>
  </r>
  <r>
    <d v="2020-04-23T00:00:00"/>
    <x v="1"/>
    <x v="3"/>
    <x v="352"/>
    <x v="1"/>
    <x v="0"/>
    <x v="8"/>
    <x v="24"/>
    <x v="2706"/>
    <n v="7"/>
    <x v="2798"/>
  </r>
  <r>
    <d v="2020-04-23T00:00:00"/>
    <x v="1"/>
    <x v="3"/>
    <x v="352"/>
    <x v="1"/>
    <x v="2"/>
    <x v="5"/>
    <x v="540"/>
    <x v="2707"/>
    <n v="6"/>
    <x v="2799"/>
  </r>
  <r>
    <d v="2020-04-23T00:00:00"/>
    <x v="1"/>
    <x v="3"/>
    <x v="596"/>
    <x v="12"/>
    <x v="2"/>
    <x v="16"/>
    <x v="857"/>
    <x v="2708"/>
    <n v="7"/>
    <x v="2800"/>
  </r>
  <r>
    <d v="2020-04-23T00:00:00"/>
    <x v="1"/>
    <x v="3"/>
    <x v="596"/>
    <x v="12"/>
    <x v="2"/>
    <x v="13"/>
    <x v="831"/>
    <x v="2709"/>
    <n v="2"/>
    <x v="2801"/>
  </r>
  <r>
    <d v="2020-04-23T00:00:00"/>
    <x v="1"/>
    <x v="3"/>
    <x v="627"/>
    <x v="24"/>
    <x v="1"/>
    <x v="3"/>
    <x v="1491"/>
    <x v="2710"/>
    <n v="6"/>
    <x v="2802"/>
  </r>
  <r>
    <d v="2020-04-23T00:00:00"/>
    <x v="1"/>
    <x v="3"/>
    <x v="469"/>
    <x v="21"/>
    <x v="0"/>
    <x v="0"/>
    <x v="1492"/>
    <x v="2711"/>
    <n v="4"/>
    <x v="2803"/>
  </r>
  <r>
    <d v="2020-04-23T00:00:00"/>
    <x v="1"/>
    <x v="3"/>
    <x v="421"/>
    <x v="8"/>
    <x v="2"/>
    <x v="5"/>
    <x v="65"/>
    <x v="2712"/>
    <n v="5"/>
    <x v="2804"/>
  </r>
  <r>
    <d v="2020-04-23T00:00:00"/>
    <x v="1"/>
    <x v="3"/>
    <x v="421"/>
    <x v="8"/>
    <x v="2"/>
    <x v="9"/>
    <x v="1110"/>
    <x v="2713"/>
    <n v="1"/>
    <x v="1387"/>
  </r>
  <r>
    <d v="2020-04-23T00:00:00"/>
    <x v="1"/>
    <x v="3"/>
    <x v="469"/>
    <x v="21"/>
    <x v="2"/>
    <x v="14"/>
    <x v="466"/>
    <x v="2714"/>
    <n v="1"/>
    <x v="1417"/>
  </r>
  <r>
    <d v="2020-04-23T00:00:00"/>
    <x v="1"/>
    <x v="3"/>
    <x v="643"/>
    <x v="22"/>
    <x v="2"/>
    <x v="10"/>
    <x v="86"/>
    <x v="2715"/>
    <n v="2"/>
    <x v="2805"/>
  </r>
  <r>
    <d v="2020-04-23T00:00:00"/>
    <x v="1"/>
    <x v="3"/>
    <x v="643"/>
    <x v="22"/>
    <x v="0"/>
    <x v="8"/>
    <x v="1493"/>
    <x v="2716"/>
    <n v="3"/>
    <x v="2806"/>
  </r>
  <r>
    <d v="2020-04-23T00:00:00"/>
    <x v="1"/>
    <x v="3"/>
    <x v="352"/>
    <x v="1"/>
    <x v="0"/>
    <x v="8"/>
    <x v="853"/>
    <x v="2717"/>
    <n v="2"/>
    <x v="2807"/>
  </r>
  <r>
    <d v="2020-04-23T00:00:00"/>
    <x v="1"/>
    <x v="3"/>
    <x v="469"/>
    <x v="21"/>
    <x v="1"/>
    <x v="3"/>
    <x v="1118"/>
    <x v="2718"/>
    <n v="2"/>
    <x v="2808"/>
  </r>
  <r>
    <d v="2020-04-23T00:00:00"/>
    <x v="1"/>
    <x v="3"/>
    <x v="25"/>
    <x v="12"/>
    <x v="2"/>
    <x v="16"/>
    <x v="407"/>
    <x v="2719"/>
    <n v="5"/>
    <x v="449"/>
  </r>
  <r>
    <d v="2020-04-24T00:00:00"/>
    <x v="1"/>
    <x v="3"/>
    <x v="375"/>
    <x v="35"/>
    <x v="1"/>
    <x v="3"/>
    <x v="247"/>
    <x v="2720"/>
    <n v="2"/>
    <x v="2809"/>
  </r>
  <r>
    <d v="2020-04-24T00:00:00"/>
    <x v="1"/>
    <x v="3"/>
    <x v="220"/>
    <x v="17"/>
    <x v="2"/>
    <x v="2"/>
    <x v="535"/>
    <x v="2721"/>
    <n v="1"/>
    <x v="2810"/>
  </r>
  <r>
    <d v="2020-04-24T00:00:00"/>
    <x v="1"/>
    <x v="3"/>
    <x v="151"/>
    <x v="5"/>
    <x v="2"/>
    <x v="13"/>
    <x v="1494"/>
    <x v="2722"/>
    <n v="2"/>
    <x v="2811"/>
  </r>
  <r>
    <d v="2020-04-24T00:00:00"/>
    <x v="1"/>
    <x v="3"/>
    <x v="275"/>
    <x v="6"/>
    <x v="2"/>
    <x v="2"/>
    <x v="1064"/>
    <x v="2723"/>
    <n v="2"/>
    <x v="2812"/>
  </r>
  <r>
    <d v="2020-04-24T00:00:00"/>
    <x v="1"/>
    <x v="3"/>
    <x v="140"/>
    <x v="20"/>
    <x v="1"/>
    <x v="1"/>
    <x v="435"/>
    <x v="2724"/>
    <n v="10"/>
    <x v="2813"/>
  </r>
  <r>
    <d v="2020-04-24T00:00:00"/>
    <x v="1"/>
    <x v="3"/>
    <x v="95"/>
    <x v="1"/>
    <x v="2"/>
    <x v="12"/>
    <x v="943"/>
    <x v="2725"/>
    <n v="1"/>
    <x v="1225"/>
  </r>
  <r>
    <d v="2020-04-24T00:00:00"/>
    <x v="1"/>
    <x v="3"/>
    <x v="151"/>
    <x v="5"/>
    <x v="2"/>
    <x v="5"/>
    <x v="1133"/>
    <x v="2726"/>
    <n v="2"/>
    <x v="2814"/>
  </r>
  <r>
    <d v="2020-04-24T00:00:00"/>
    <x v="1"/>
    <x v="3"/>
    <x v="151"/>
    <x v="5"/>
    <x v="2"/>
    <x v="5"/>
    <x v="367"/>
    <x v="2727"/>
    <n v="2"/>
    <x v="2815"/>
  </r>
  <r>
    <d v="2020-04-24T00:00:00"/>
    <x v="1"/>
    <x v="3"/>
    <x v="220"/>
    <x v="17"/>
    <x v="2"/>
    <x v="5"/>
    <x v="1122"/>
    <x v="2728"/>
    <n v="5"/>
    <x v="2816"/>
  </r>
  <r>
    <d v="2020-04-25T00:00:00"/>
    <x v="1"/>
    <x v="3"/>
    <x v="686"/>
    <x v="1"/>
    <x v="1"/>
    <x v="3"/>
    <x v="874"/>
    <x v="2729"/>
    <n v="3"/>
    <x v="2817"/>
  </r>
  <r>
    <d v="2020-04-25T00:00:00"/>
    <x v="1"/>
    <x v="3"/>
    <x v="290"/>
    <x v="1"/>
    <x v="0"/>
    <x v="0"/>
    <x v="0"/>
    <x v="2730"/>
    <n v="7"/>
    <x v="2818"/>
  </r>
  <r>
    <d v="2020-04-25T00:00:00"/>
    <x v="1"/>
    <x v="3"/>
    <x v="687"/>
    <x v="20"/>
    <x v="2"/>
    <x v="7"/>
    <x v="1304"/>
    <x v="2731"/>
    <n v="4"/>
    <x v="2819"/>
  </r>
  <r>
    <d v="2020-04-25T00:00:00"/>
    <x v="1"/>
    <x v="3"/>
    <x v="114"/>
    <x v="1"/>
    <x v="2"/>
    <x v="5"/>
    <x v="1019"/>
    <x v="2732"/>
    <n v="2"/>
    <x v="2820"/>
  </r>
  <r>
    <d v="2020-04-25T00:00:00"/>
    <x v="1"/>
    <x v="3"/>
    <x v="469"/>
    <x v="21"/>
    <x v="2"/>
    <x v="7"/>
    <x v="9"/>
    <x v="2733"/>
    <n v="9"/>
    <x v="1178"/>
  </r>
  <r>
    <d v="2020-04-25T00:00:00"/>
    <x v="1"/>
    <x v="3"/>
    <x v="657"/>
    <x v="1"/>
    <x v="2"/>
    <x v="9"/>
    <x v="563"/>
    <x v="2734"/>
    <n v="3"/>
    <x v="2821"/>
  </r>
  <r>
    <d v="2020-04-25T00:00:00"/>
    <x v="1"/>
    <x v="3"/>
    <x v="657"/>
    <x v="1"/>
    <x v="2"/>
    <x v="5"/>
    <x v="889"/>
    <x v="2735"/>
    <n v="3"/>
    <x v="2822"/>
  </r>
  <r>
    <d v="2020-04-25T00:00:00"/>
    <x v="1"/>
    <x v="3"/>
    <x v="469"/>
    <x v="21"/>
    <x v="2"/>
    <x v="7"/>
    <x v="1090"/>
    <x v="2736"/>
    <n v="5"/>
    <x v="2823"/>
  </r>
  <r>
    <d v="2020-04-26T00:00:00"/>
    <x v="1"/>
    <x v="3"/>
    <x v="387"/>
    <x v="2"/>
    <x v="0"/>
    <x v="8"/>
    <x v="27"/>
    <x v="2737"/>
    <n v="1"/>
    <x v="2824"/>
  </r>
  <r>
    <d v="2020-04-26T00:00:00"/>
    <x v="1"/>
    <x v="3"/>
    <x v="316"/>
    <x v="9"/>
    <x v="2"/>
    <x v="9"/>
    <x v="1338"/>
    <x v="2738"/>
    <n v="3"/>
    <x v="2825"/>
  </r>
  <r>
    <d v="2020-04-26T00:00:00"/>
    <x v="1"/>
    <x v="3"/>
    <x v="316"/>
    <x v="9"/>
    <x v="2"/>
    <x v="14"/>
    <x v="859"/>
    <x v="2739"/>
    <n v="8"/>
    <x v="2826"/>
  </r>
  <r>
    <d v="2020-04-27T00:00:00"/>
    <x v="1"/>
    <x v="3"/>
    <x v="484"/>
    <x v="9"/>
    <x v="0"/>
    <x v="8"/>
    <x v="1245"/>
    <x v="2740"/>
    <n v="7"/>
    <x v="2827"/>
  </r>
  <r>
    <d v="2020-04-27T00:00:00"/>
    <x v="1"/>
    <x v="3"/>
    <x v="200"/>
    <x v="1"/>
    <x v="2"/>
    <x v="7"/>
    <x v="578"/>
    <x v="2741"/>
    <n v="4"/>
    <x v="2828"/>
  </r>
  <r>
    <d v="2020-04-27T00:00:00"/>
    <x v="1"/>
    <x v="3"/>
    <x v="251"/>
    <x v="2"/>
    <x v="0"/>
    <x v="0"/>
    <x v="329"/>
    <x v="2742"/>
    <n v="4"/>
    <x v="2829"/>
  </r>
  <r>
    <d v="2020-04-27T00:00:00"/>
    <x v="1"/>
    <x v="3"/>
    <x v="200"/>
    <x v="1"/>
    <x v="2"/>
    <x v="7"/>
    <x v="912"/>
    <x v="2743"/>
    <n v="3"/>
    <x v="1647"/>
  </r>
  <r>
    <d v="2020-04-27T00:00:00"/>
    <x v="1"/>
    <x v="3"/>
    <x v="251"/>
    <x v="2"/>
    <x v="2"/>
    <x v="14"/>
    <x v="1050"/>
    <x v="2744"/>
    <n v="4"/>
    <x v="1151"/>
  </r>
  <r>
    <d v="2020-04-27T00:00:00"/>
    <x v="1"/>
    <x v="3"/>
    <x v="200"/>
    <x v="1"/>
    <x v="2"/>
    <x v="7"/>
    <x v="1220"/>
    <x v="2745"/>
    <n v="2"/>
    <x v="2830"/>
  </r>
  <r>
    <d v="2020-04-28T00:00:00"/>
    <x v="1"/>
    <x v="3"/>
    <x v="301"/>
    <x v="6"/>
    <x v="1"/>
    <x v="1"/>
    <x v="117"/>
    <x v="2746"/>
    <n v="2"/>
    <x v="2831"/>
  </r>
  <r>
    <d v="2020-04-28T00:00:00"/>
    <x v="1"/>
    <x v="3"/>
    <x v="581"/>
    <x v="5"/>
    <x v="2"/>
    <x v="2"/>
    <x v="764"/>
    <x v="2747"/>
    <n v="1"/>
    <x v="2832"/>
  </r>
  <r>
    <d v="2020-04-28T00:00:00"/>
    <x v="1"/>
    <x v="3"/>
    <x v="581"/>
    <x v="5"/>
    <x v="2"/>
    <x v="7"/>
    <x v="375"/>
    <x v="2748"/>
    <n v="2"/>
    <x v="2833"/>
  </r>
  <r>
    <d v="2020-04-28T00:00:00"/>
    <x v="1"/>
    <x v="3"/>
    <x v="222"/>
    <x v="4"/>
    <x v="2"/>
    <x v="13"/>
    <x v="1311"/>
    <x v="2749"/>
    <n v="3"/>
    <x v="2834"/>
  </r>
  <r>
    <d v="2020-04-29T00:00:00"/>
    <x v="1"/>
    <x v="3"/>
    <x v="187"/>
    <x v="8"/>
    <x v="0"/>
    <x v="4"/>
    <x v="926"/>
    <x v="2750"/>
    <n v="5"/>
    <x v="2835"/>
  </r>
  <r>
    <d v="2020-04-29T00:00:00"/>
    <x v="1"/>
    <x v="3"/>
    <x v="470"/>
    <x v="10"/>
    <x v="2"/>
    <x v="14"/>
    <x v="1474"/>
    <x v="2751"/>
    <n v="1"/>
    <x v="2836"/>
  </r>
  <r>
    <d v="2020-04-30T00:00:00"/>
    <x v="1"/>
    <x v="3"/>
    <x v="24"/>
    <x v="12"/>
    <x v="2"/>
    <x v="10"/>
    <x v="1495"/>
    <x v="2752"/>
    <n v="4"/>
    <x v="2837"/>
  </r>
  <r>
    <d v="2020-04-30T00:00:00"/>
    <x v="1"/>
    <x v="3"/>
    <x v="647"/>
    <x v="1"/>
    <x v="2"/>
    <x v="9"/>
    <x v="925"/>
    <x v="2753"/>
    <n v="4"/>
    <x v="2838"/>
  </r>
  <r>
    <d v="2020-04-30T00:00:00"/>
    <x v="1"/>
    <x v="3"/>
    <x v="432"/>
    <x v="6"/>
    <x v="0"/>
    <x v="8"/>
    <x v="70"/>
    <x v="2754"/>
    <n v="6"/>
    <x v="2839"/>
  </r>
  <r>
    <d v="2020-04-30T00:00:00"/>
    <x v="1"/>
    <x v="3"/>
    <x v="189"/>
    <x v="5"/>
    <x v="1"/>
    <x v="1"/>
    <x v="1221"/>
    <x v="2755"/>
    <n v="5"/>
    <x v="2840"/>
  </r>
  <r>
    <d v="2020-04-30T00:00:00"/>
    <x v="1"/>
    <x v="3"/>
    <x v="189"/>
    <x v="5"/>
    <x v="2"/>
    <x v="5"/>
    <x v="238"/>
    <x v="2756"/>
    <n v="3"/>
    <x v="2841"/>
  </r>
  <r>
    <d v="2020-04-30T00:00:00"/>
    <x v="1"/>
    <x v="3"/>
    <x v="494"/>
    <x v="6"/>
    <x v="2"/>
    <x v="7"/>
    <x v="1088"/>
    <x v="2757"/>
    <n v="3"/>
    <x v="2842"/>
  </r>
  <r>
    <d v="2020-04-30T00:00:00"/>
    <x v="1"/>
    <x v="3"/>
    <x v="494"/>
    <x v="6"/>
    <x v="2"/>
    <x v="14"/>
    <x v="1326"/>
    <x v="2758"/>
    <n v="2"/>
    <x v="1139"/>
  </r>
  <r>
    <d v="2020-04-30T00:00:00"/>
    <x v="1"/>
    <x v="3"/>
    <x v="354"/>
    <x v="1"/>
    <x v="2"/>
    <x v="5"/>
    <x v="935"/>
    <x v="2759"/>
    <n v="5"/>
    <x v="2843"/>
  </r>
  <r>
    <d v="2020-04-30T00:00:00"/>
    <x v="1"/>
    <x v="3"/>
    <x v="8"/>
    <x v="11"/>
    <x v="2"/>
    <x v="14"/>
    <x v="1496"/>
    <x v="2760"/>
    <n v="2"/>
    <x v="2165"/>
  </r>
  <r>
    <d v="2020-04-30T00:00:00"/>
    <x v="1"/>
    <x v="3"/>
    <x v="69"/>
    <x v="1"/>
    <x v="2"/>
    <x v="7"/>
    <x v="960"/>
    <x v="2761"/>
    <n v="2"/>
    <x v="2844"/>
  </r>
  <r>
    <d v="2020-04-30T00:00:00"/>
    <x v="1"/>
    <x v="3"/>
    <x v="434"/>
    <x v="1"/>
    <x v="2"/>
    <x v="10"/>
    <x v="1278"/>
    <x v="2762"/>
    <n v="4"/>
    <x v="238"/>
  </r>
  <r>
    <d v="2020-04-30T00:00:00"/>
    <x v="1"/>
    <x v="3"/>
    <x v="630"/>
    <x v="6"/>
    <x v="1"/>
    <x v="3"/>
    <x v="907"/>
    <x v="2763"/>
    <n v="3"/>
    <x v="2845"/>
  </r>
  <r>
    <d v="2020-04-30T00:00:00"/>
    <x v="1"/>
    <x v="3"/>
    <x v="630"/>
    <x v="6"/>
    <x v="0"/>
    <x v="8"/>
    <x v="1318"/>
    <x v="2764"/>
    <n v="8"/>
    <x v="2846"/>
  </r>
  <r>
    <d v="2020-04-30T00:00:00"/>
    <x v="1"/>
    <x v="3"/>
    <x v="37"/>
    <x v="8"/>
    <x v="2"/>
    <x v="9"/>
    <x v="494"/>
    <x v="2765"/>
    <n v="2"/>
    <x v="288"/>
  </r>
  <r>
    <d v="2020-04-30T00:00:00"/>
    <x v="1"/>
    <x v="3"/>
    <x v="432"/>
    <x v="6"/>
    <x v="2"/>
    <x v="5"/>
    <x v="1250"/>
    <x v="2766"/>
    <n v="3"/>
    <x v="2847"/>
  </r>
  <r>
    <d v="2020-04-30T00:00:00"/>
    <x v="1"/>
    <x v="3"/>
    <x v="494"/>
    <x v="6"/>
    <x v="2"/>
    <x v="14"/>
    <x v="445"/>
    <x v="2767"/>
    <n v="3"/>
    <x v="2063"/>
  </r>
  <r>
    <d v="2020-04-30T00:00:00"/>
    <x v="1"/>
    <x v="3"/>
    <x v="430"/>
    <x v="17"/>
    <x v="2"/>
    <x v="5"/>
    <x v="1347"/>
    <x v="2768"/>
    <n v="7"/>
    <x v="2848"/>
  </r>
  <r>
    <d v="2020-04-30T00:00:00"/>
    <x v="1"/>
    <x v="3"/>
    <x v="434"/>
    <x v="1"/>
    <x v="0"/>
    <x v="8"/>
    <x v="1497"/>
    <x v="2769"/>
    <n v="2"/>
    <x v="2849"/>
  </r>
  <r>
    <d v="2020-05-01T00:00:00"/>
    <x v="1"/>
    <x v="4"/>
    <x v="267"/>
    <x v="6"/>
    <x v="2"/>
    <x v="14"/>
    <x v="1498"/>
    <x v="2770"/>
    <n v="2"/>
    <x v="2850"/>
  </r>
  <r>
    <d v="2020-05-01T00:00:00"/>
    <x v="1"/>
    <x v="4"/>
    <x v="267"/>
    <x v="6"/>
    <x v="0"/>
    <x v="0"/>
    <x v="347"/>
    <x v="2771"/>
    <n v="3"/>
    <x v="2851"/>
  </r>
  <r>
    <d v="2020-05-01T00:00:00"/>
    <x v="1"/>
    <x v="4"/>
    <x v="109"/>
    <x v="6"/>
    <x v="0"/>
    <x v="4"/>
    <x v="415"/>
    <x v="2772"/>
    <n v="4"/>
    <x v="2852"/>
  </r>
  <r>
    <d v="2020-05-01T00:00:00"/>
    <x v="1"/>
    <x v="4"/>
    <x v="105"/>
    <x v="33"/>
    <x v="1"/>
    <x v="3"/>
    <x v="1371"/>
    <x v="2773"/>
    <n v="5"/>
    <x v="2853"/>
  </r>
  <r>
    <d v="2020-05-01T00:00:00"/>
    <x v="1"/>
    <x v="4"/>
    <x v="109"/>
    <x v="6"/>
    <x v="0"/>
    <x v="11"/>
    <x v="371"/>
    <x v="2774"/>
    <n v="5"/>
    <x v="72"/>
  </r>
  <r>
    <d v="2020-05-01T00:00:00"/>
    <x v="1"/>
    <x v="4"/>
    <x v="109"/>
    <x v="6"/>
    <x v="2"/>
    <x v="16"/>
    <x v="1042"/>
    <x v="2775"/>
    <n v="2"/>
    <x v="2854"/>
  </r>
  <r>
    <d v="2020-05-02T00:00:00"/>
    <x v="1"/>
    <x v="4"/>
    <x v="403"/>
    <x v="10"/>
    <x v="0"/>
    <x v="8"/>
    <x v="419"/>
    <x v="2776"/>
    <n v="3"/>
    <x v="2855"/>
  </r>
  <r>
    <d v="2020-05-02T00:00:00"/>
    <x v="1"/>
    <x v="4"/>
    <x v="440"/>
    <x v="1"/>
    <x v="1"/>
    <x v="3"/>
    <x v="11"/>
    <x v="2777"/>
    <n v="4"/>
    <x v="2856"/>
  </r>
  <r>
    <d v="2020-05-02T00:00:00"/>
    <x v="1"/>
    <x v="4"/>
    <x v="427"/>
    <x v="1"/>
    <x v="2"/>
    <x v="9"/>
    <x v="1499"/>
    <x v="2778"/>
    <n v="5"/>
    <x v="2857"/>
  </r>
  <r>
    <d v="2020-05-02T00:00:00"/>
    <x v="1"/>
    <x v="4"/>
    <x v="427"/>
    <x v="1"/>
    <x v="2"/>
    <x v="9"/>
    <x v="331"/>
    <x v="2779"/>
    <n v="5"/>
    <x v="368"/>
  </r>
  <r>
    <d v="2020-05-02T00:00:00"/>
    <x v="1"/>
    <x v="4"/>
    <x v="427"/>
    <x v="1"/>
    <x v="2"/>
    <x v="7"/>
    <x v="162"/>
    <x v="2780"/>
    <n v="3"/>
    <x v="327"/>
  </r>
  <r>
    <d v="2020-05-03T00:00:00"/>
    <x v="1"/>
    <x v="4"/>
    <x v="3"/>
    <x v="5"/>
    <x v="0"/>
    <x v="4"/>
    <x v="472"/>
    <x v="2781"/>
    <n v="5"/>
    <x v="2858"/>
  </r>
  <r>
    <d v="2020-05-03T00:00:00"/>
    <x v="1"/>
    <x v="4"/>
    <x v="385"/>
    <x v="1"/>
    <x v="2"/>
    <x v="2"/>
    <x v="1500"/>
    <x v="2782"/>
    <n v="8"/>
    <x v="2859"/>
  </r>
  <r>
    <d v="2020-05-03T00:00:00"/>
    <x v="1"/>
    <x v="4"/>
    <x v="3"/>
    <x v="5"/>
    <x v="2"/>
    <x v="12"/>
    <x v="343"/>
    <x v="2783"/>
    <n v="2"/>
    <x v="2860"/>
  </r>
  <r>
    <d v="2020-05-03T00:00:00"/>
    <x v="1"/>
    <x v="4"/>
    <x v="3"/>
    <x v="5"/>
    <x v="2"/>
    <x v="5"/>
    <x v="1501"/>
    <x v="2784"/>
    <n v="4"/>
    <x v="2861"/>
  </r>
  <r>
    <d v="2020-05-03T00:00:00"/>
    <x v="1"/>
    <x v="4"/>
    <x v="606"/>
    <x v="1"/>
    <x v="2"/>
    <x v="7"/>
    <x v="1502"/>
    <x v="2785"/>
    <n v="7"/>
    <x v="2862"/>
  </r>
  <r>
    <d v="2020-05-03T00:00:00"/>
    <x v="1"/>
    <x v="4"/>
    <x v="606"/>
    <x v="1"/>
    <x v="2"/>
    <x v="9"/>
    <x v="28"/>
    <x v="2786"/>
    <n v="4"/>
    <x v="1384"/>
  </r>
  <r>
    <d v="2020-05-03T00:00:00"/>
    <x v="1"/>
    <x v="4"/>
    <x v="3"/>
    <x v="5"/>
    <x v="0"/>
    <x v="8"/>
    <x v="1449"/>
    <x v="2787"/>
    <n v="2"/>
    <x v="2863"/>
  </r>
  <r>
    <d v="2020-05-03T00:00:00"/>
    <x v="1"/>
    <x v="4"/>
    <x v="385"/>
    <x v="1"/>
    <x v="2"/>
    <x v="2"/>
    <x v="1393"/>
    <x v="2788"/>
    <n v="2"/>
    <x v="2864"/>
  </r>
  <r>
    <d v="2020-05-03T00:00:00"/>
    <x v="1"/>
    <x v="4"/>
    <x v="3"/>
    <x v="5"/>
    <x v="2"/>
    <x v="5"/>
    <x v="1239"/>
    <x v="2789"/>
    <n v="5"/>
    <x v="2865"/>
  </r>
  <r>
    <d v="2020-05-04T00:00:00"/>
    <x v="1"/>
    <x v="4"/>
    <x v="240"/>
    <x v="1"/>
    <x v="1"/>
    <x v="1"/>
    <x v="382"/>
    <x v="1491"/>
    <n v="5"/>
    <x v="2866"/>
  </r>
  <r>
    <d v="2020-05-04T00:00:00"/>
    <x v="1"/>
    <x v="4"/>
    <x v="92"/>
    <x v="1"/>
    <x v="2"/>
    <x v="13"/>
    <x v="595"/>
    <x v="2790"/>
    <n v="2"/>
    <x v="2867"/>
  </r>
  <r>
    <d v="2020-05-04T00:00:00"/>
    <x v="1"/>
    <x v="4"/>
    <x v="240"/>
    <x v="1"/>
    <x v="0"/>
    <x v="4"/>
    <x v="645"/>
    <x v="2791"/>
    <n v="1"/>
    <x v="2868"/>
  </r>
  <r>
    <d v="2020-05-04T00:00:00"/>
    <x v="1"/>
    <x v="4"/>
    <x v="606"/>
    <x v="18"/>
    <x v="2"/>
    <x v="2"/>
    <x v="625"/>
    <x v="2792"/>
    <n v="4"/>
    <x v="2869"/>
  </r>
  <r>
    <d v="2020-05-04T00:00:00"/>
    <x v="1"/>
    <x v="4"/>
    <x v="132"/>
    <x v="5"/>
    <x v="2"/>
    <x v="5"/>
    <x v="1319"/>
    <x v="2793"/>
    <n v="2"/>
    <x v="2870"/>
  </r>
  <r>
    <d v="2020-05-04T00:00:00"/>
    <x v="1"/>
    <x v="4"/>
    <x v="619"/>
    <x v="8"/>
    <x v="2"/>
    <x v="5"/>
    <x v="649"/>
    <x v="2794"/>
    <n v="1"/>
    <x v="2871"/>
  </r>
  <r>
    <d v="2020-05-04T00:00:00"/>
    <x v="1"/>
    <x v="4"/>
    <x v="132"/>
    <x v="5"/>
    <x v="2"/>
    <x v="5"/>
    <x v="833"/>
    <x v="2795"/>
    <n v="3"/>
    <x v="2872"/>
  </r>
  <r>
    <d v="2020-05-04T00:00:00"/>
    <x v="1"/>
    <x v="4"/>
    <x v="240"/>
    <x v="1"/>
    <x v="2"/>
    <x v="9"/>
    <x v="1013"/>
    <x v="2796"/>
    <n v="3"/>
    <x v="1379"/>
  </r>
  <r>
    <d v="2020-05-04T00:00:00"/>
    <x v="1"/>
    <x v="4"/>
    <x v="606"/>
    <x v="18"/>
    <x v="2"/>
    <x v="9"/>
    <x v="515"/>
    <x v="2797"/>
    <n v="5"/>
    <x v="734"/>
  </r>
  <r>
    <d v="2020-05-04T00:00:00"/>
    <x v="1"/>
    <x v="4"/>
    <x v="606"/>
    <x v="18"/>
    <x v="2"/>
    <x v="9"/>
    <x v="1131"/>
    <x v="2798"/>
    <n v="1"/>
    <x v="2873"/>
  </r>
  <r>
    <d v="2020-05-04T00:00:00"/>
    <x v="1"/>
    <x v="4"/>
    <x v="606"/>
    <x v="18"/>
    <x v="2"/>
    <x v="2"/>
    <x v="282"/>
    <x v="2799"/>
    <n v="1"/>
    <x v="2874"/>
  </r>
  <r>
    <d v="2020-05-05T00:00:00"/>
    <x v="1"/>
    <x v="4"/>
    <x v="550"/>
    <x v="22"/>
    <x v="0"/>
    <x v="0"/>
    <x v="1073"/>
    <x v="2800"/>
    <n v="3"/>
    <x v="2875"/>
  </r>
  <r>
    <d v="2020-05-05T00:00:00"/>
    <x v="1"/>
    <x v="4"/>
    <x v="563"/>
    <x v="12"/>
    <x v="2"/>
    <x v="9"/>
    <x v="332"/>
    <x v="2801"/>
    <n v="1"/>
    <x v="1653"/>
  </r>
  <r>
    <d v="2020-05-05T00:00:00"/>
    <x v="1"/>
    <x v="4"/>
    <x v="688"/>
    <x v="1"/>
    <x v="2"/>
    <x v="10"/>
    <x v="1359"/>
    <x v="2201"/>
    <n v="2"/>
    <x v="2876"/>
  </r>
  <r>
    <d v="2020-05-05T00:00:00"/>
    <x v="1"/>
    <x v="4"/>
    <x v="550"/>
    <x v="22"/>
    <x v="2"/>
    <x v="5"/>
    <x v="122"/>
    <x v="2802"/>
    <n v="8"/>
    <x v="2877"/>
  </r>
  <r>
    <d v="2020-05-05T00:00:00"/>
    <x v="1"/>
    <x v="4"/>
    <x v="682"/>
    <x v="14"/>
    <x v="2"/>
    <x v="5"/>
    <x v="231"/>
    <x v="2803"/>
    <n v="3"/>
    <x v="937"/>
  </r>
  <r>
    <d v="2020-05-05T00:00:00"/>
    <x v="1"/>
    <x v="4"/>
    <x v="550"/>
    <x v="22"/>
    <x v="2"/>
    <x v="10"/>
    <x v="600"/>
    <x v="2804"/>
    <n v="9"/>
    <x v="2878"/>
  </r>
  <r>
    <d v="2020-05-06T00:00:00"/>
    <x v="1"/>
    <x v="4"/>
    <x v="309"/>
    <x v="12"/>
    <x v="2"/>
    <x v="14"/>
    <x v="1503"/>
    <x v="2805"/>
    <n v="4"/>
    <x v="2879"/>
  </r>
  <r>
    <d v="2020-05-06T00:00:00"/>
    <x v="1"/>
    <x v="4"/>
    <x v="523"/>
    <x v="20"/>
    <x v="2"/>
    <x v="9"/>
    <x v="90"/>
    <x v="2806"/>
    <n v="4"/>
    <x v="2880"/>
  </r>
  <r>
    <d v="2020-05-06T00:00:00"/>
    <x v="1"/>
    <x v="4"/>
    <x v="114"/>
    <x v="4"/>
    <x v="2"/>
    <x v="14"/>
    <x v="699"/>
    <x v="2807"/>
    <n v="5"/>
    <x v="2881"/>
  </r>
  <r>
    <d v="2020-05-06T00:00:00"/>
    <x v="1"/>
    <x v="4"/>
    <x v="628"/>
    <x v="1"/>
    <x v="2"/>
    <x v="13"/>
    <x v="389"/>
    <x v="2808"/>
    <n v="3"/>
    <x v="2882"/>
  </r>
  <r>
    <d v="2020-05-06T00:00:00"/>
    <x v="1"/>
    <x v="4"/>
    <x v="37"/>
    <x v="17"/>
    <x v="1"/>
    <x v="3"/>
    <x v="335"/>
    <x v="2809"/>
    <n v="4"/>
    <x v="2883"/>
  </r>
  <r>
    <d v="2020-05-06T00:00:00"/>
    <x v="1"/>
    <x v="4"/>
    <x v="399"/>
    <x v="17"/>
    <x v="1"/>
    <x v="3"/>
    <x v="369"/>
    <x v="2810"/>
    <n v="7"/>
    <x v="410"/>
  </r>
  <r>
    <d v="2020-05-06T00:00:00"/>
    <x v="1"/>
    <x v="4"/>
    <x v="660"/>
    <x v="2"/>
    <x v="0"/>
    <x v="0"/>
    <x v="1400"/>
    <x v="2811"/>
    <n v="7"/>
    <x v="2884"/>
  </r>
  <r>
    <d v="2020-05-06T00:00:00"/>
    <x v="1"/>
    <x v="4"/>
    <x v="114"/>
    <x v="4"/>
    <x v="1"/>
    <x v="1"/>
    <x v="1299"/>
    <x v="2812"/>
    <n v="4"/>
    <x v="2885"/>
  </r>
  <r>
    <d v="2020-05-06T00:00:00"/>
    <x v="1"/>
    <x v="4"/>
    <x v="660"/>
    <x v="2"/>
    <x v="2"/>
    <x v="2"/>
    <x v="351"/>
    <x v="2813"/>
    <n v="5"/>
    <x v="2886"/>
  </r>
  <r>
    <d v="2020-05-06T00:00:00"/>
    <x v="1"/>
    <x v="4"/>
    <x v="399"/>
    <x v="17"/>
    <x v="2"/>
    <x v="7"/>
    <x v="953"/>
    <x v="2814"/>
    <n v="3"/>
    <x v="2887"/>
  </r>
  <r>
    <d v="2020-05-06T00:00:00"/>
    <x v="1"/>
    <x v="4"/>
    <x v="660"/>
    <x v="2"/>
    <x v="2"/>
    <x v="5"/>
    <x v="897"/>
    <x v="2815"/>
    <n v="10"/>
    <x v="2888"/>
  </r>
  <r>
    <d v="2020-05-06T00:00:00"/>
    <x v="1"/>
    <x v="4"/>
    <x v="135"/>
    <x v="18"/>
    <x v="2"/>
    <x v="7"/>
    <x v="1504"/>
    <x v="2816"/>
    <n v="6"/>
    <x v="2889"/>
  </r>
  <r>
    <d v="2020-05-06T00:00:00"/>
    <x v="1"/>
    <x v="4"/>
    <x v="114"/>
    <x v="4"/>
    <x v="2"/>
    <x v="5"/>
    <x v="1196"/>
    <x v="2817"/>
    <n v="11"/>
    <x v="2890"/>
  </r>
  <r>
    <d v="2020-05-07T00:00:00"/>
    <x v="1"/>
    <x v="4"/>
    <x v="160"/>
    <x v="1"/>
    <x v="1"/>
    <x v="1"/>
    <x v="773"/>
    <x v="2818"/>
    <n v="7"/>
    <x v="931"/>
  </r>
  <r>
    <d v="2020-05-07T00:00:00"/>
    <x v="1"/>
    <x v="4"/>
    <x v="689"/>
    <x v="25"/>
    <x v="0"/>
    <x v="11"/>
    <x v="1505"/>
    <x v="2819"/>
    <n v="2"/>
    <x v="2891"/>
  </r>
  <r>
    <d v="2020-05-07T00:00:00"/>
    <x v="1"/>
    <x v="4"/>
    <x v="689"/>
    <x v="25"/>
    <x v="0"/>
    <x v="11"/>
    <x v="365"/>
    <x v="2820"/>
    <n v="5"/>
    <x v="2892"/>
  </r>
  <r>
    <d v="2020-05-07T00:00:00"/>
    <x v="1"/>
    <x v="4"/>
    <x v="689"/>
    <x v="25"/>
    <x v="0"/>
    <x v="11"/>
    <x v="1506"/>
    <x v="2821"/>
    <n v="1"/>
    <x v="2893"/>
  </r>
  <r>
    <d v="2020-05-07T00:00:00"/>
    <x v="1"/>
    <x v="4"/>
    <x v="689"/>
    <x v="25"/>
    <x v="2"/>
    <x v="13"/>
    <x v="534"/>
    <x v="2822"/>
    <n v="2"/>
    <x v="2894"/>
  </r>
  <r>
    <d v="2020-05-07T00:00:00"/>
    <x v="1"/>
    <x v="4"/>
    <x v="123"/>
    <x v="1"/>
    <x v="1"/>
    <x v="3"/>
    <x v="1507"/>
    <x v="2823"/>
    <n v="1"/>
    <x v="2895"/>
  </r>
  <r>
    <d v="2020-05-08T00:00:00"/>
    <x v="1"/>
    <x v="4"/>
    <x v="690"/>
    <x v="1"/>
    <x v="2"/>
    <x v="13"/>
    <x v="53"/>
    <x v="2824"/>
    <n v="4"/>
    <x v="2896"/>
  </r>
  <r>
    <d v="2020-05-08T00:00:00"/>
    <x v="1"/>
    <x v="4"/>
    <x v="434"/>
    <x v="5"/>
    <x v="0"/>
    <x v="11"/>
    <x v="726"/>
    <x v="2825"/>
    <n v="3"/>
    <x v="2897"/>
  </r>
  <r>
    <d v="2020-05-08T00:00:00"/>
    <x v="1"/>
    <x v="4"/>
    <x v="556"/>
    <x v="1"/>
    <x v="1"/>
    <x v="6"/>
    <x v="591"/>
    <x v="2826"/>
    <n v="6"/>
    <x v="2898"/>
  </r>
  <r>
    <d v="2020-05-08T00:00:00"/>
    <x v="1"/>
    <x v="4"/>
    <x v="462"/>
    <x v="8"/>
    <x v="0"/>
    <x v="11"/>
    <x v="336"/>
    <x v="2827"/>
    <n v="2"/>
    <x v="1805"/>
  </r>
  <r>
    <d v="2020-05-08T00:00:00"/>
    <x v="1"/>
    <x v="4"/>
    <x v="101"/>
    <x v="2"/>
    <x v="2"/>
    <x v="9"/>
    <x v="894"/>
    <x v="2828"/>
    <n v="8"/>
    <x v="883"/>
  </r>
  <r>
    <d v="2020-05-09T00:00:00"/>
    <x v="1"/>
    <x v="4"/>
    <x v="447"/>
    <x v="9"/>
    <x v="2"/>
    <x v="2"/>
    <x v="352"/>
    <x v="2829"/>
    <n v="4"/>
    <x v="2899"/>
  </r>
  <r>
    <d v="2020-05-09T00:00:00"/>
    <x v="1"/>
    <x v="4"/>
    <x v="447"/>
    <x v="9"/>
    <x v="2"/>
    <x v="2"/>
    <x v="532"/>
    <x v="2722"/>
    <n v="3"/>
    <x v="594"/>
  </r>
  <r>
    <d v="2020-05-09T00:00:00"/>
    <x v="1"/>
    <x v="4"/>
    <x v="447"/>
    <x v="9"/>
    <x v="2"/>
    <x v="5"/>
    <x v="314"/>
    <x v="2830"/>
    <n v="5"/>
    <x v="2900"/>
  </r>
  <r>
    <d v="2020-05-09T00:00:00"/>
    <x v="1"/>
    <x v="4"/>
    <x v="447"/>
    <x v="9"/>
    <x v="1"/>
    <x v="3"/>
    <x v="1508"/>
    <x v="2831"/>
    <n v="2"/>
    <x v="2901"/>
  </r>
  <r>
    <d v="2020-05-09T00:00:00"/>
    <x v="1"/>
    <x v="4"/>
    <x v="581"/>
    <x v="4"/>
    <x v="0"/>
    <x v="11"/>
    <x v="118"/>
    <x v="2832"/>
    <n v="3"/>
    <x v="2902"/>
  </r>
  <r>
    <d v="2020-05-09T00:00:00"/>
    <x v="1"/>
    <x v="4"/>
    <x v="447"/>
    <x v="9"/>
    <x v="0"/>
    <x v="4"/>
    <x v="1509"/>
    <x v="2833"/>
    <n v="1"/>
    <x v="2903"/>
  </r>
  <r>
    <d v="2020-05-09T00:00:00"/>
    <x v="1"/>
    <x v="4"/>
    <x v="581"/>
    <x v="4"/>
    <x v="2"/>
    <x v="10"/>
    <x v="855"/>
    <x v="2834"/>
    <n v="3"/>
    <x v="2904"/>
  </r>
  <r>
    <d v="2020-05-11T00:00:00"/>
    <x v="1"/>
    <x v="4"/>
    <x v="199"/>
    <x v="2"/>
    <x v="2"/>
    <x v="2"/>
    <x v="98"/>
    <x v="2835"/>
    <n v="2"/>
    <x v="2905"/>
  </r>
  <r>
    <d v="2020-05-11T00:00:00"/>
    <x v="1"/>
    <x v="4"/>
    <x v="691"/>
    <x v="20"/>
    <x v="0"/>
    <x v="0"/>
    <x v="1073"/>
    <x v="2836"/>
    <n v="7"/>
    <x v="2906"/>
  </r>
  <r>
    <d v="2020-05-11T00:00:00"/>
    <x v="1"/>
    <x v="4"/>
    <x v="199"/>
    <x v="2"/>
    <x v="2"/>
    <x v="7"/>
    <x v="1048"/>
    <x v="2837"/>
    <n v="2"/>
    <x v="13"/>
  </r>
  <r>
    <d v="2020-05-11T00:00:00"/>
    <x v="1"/>
    <x v="4"/>
    <x v="199"/>
    <x v="2"/>
    <x v="2"/>
    <x v="9"/>
    <x v="1510"/>
    <x v="2838"/>
    <n v="2"/>
    <x v="802"/>
  </r>
  <r>
    <d v="2020-05-11T00:00:00"/>
    <x v="1"/>
    <x v="4"/>
    <x v="568"/>
    <x v="9"/>
    <x v="2"/>
    <x v="5"/>
    <x v="254"/>
    <x v="2839"/>
    <n v="2"/>
    <x v="2907"/>
  </r>
  <r>
    <d v="2020-05-11T00:00:00"/>
    <x v="1"/>
    <x v="4"/>
    <x v="199"/>
    <x v="2"/>
    <x v="0"/>
    <x v="8"/>
    <x v="942"/>
    <x v="2840"/>
    <n v="1"/>
    <x v="2908"/>
  </r>
  <r>
    <d v="2020-05-11T00:00:00"/>
    <x v="1"/>
    <x v="4"/>
    <x v="568"/>
    <x v="9"/>
    <x v="2"/>
    <x v="9"/>
    <x v="718"/>
    <x v="2841"/>
    <n v="6"/>
    <x v="2486"/>
  </r>
  <r>
    <d v="2020-05-11T00:00:00"/>
    <x v="1"/>
    <x v="4"/>
    <x v="568"/>
    <x v="9"/>
    <x v="2"/>
    <x v="14"/>
    <x v="980"/>
    <x v="2842"/>
    <n v="3"/>
    <x v="1152"/>
  </r>
  <r>
    <d v="2020-05-11T00:00:00"/>
    <x v="1"/>
    <x v="4"/>
    <x v="102"/>
    <x v="12"/>
    <x v="2"/>
    <x v="7"/>
    <x v="398"/>
    <x v="2843"/>
    <n v="3"/>
    <x v="2909"/>
  </r>
  <r>
    <d v="2020-05-12T00:00:00"/>
    <x v="1"/>
    <x v="4"/>
    <x v="302"/>
    <x v="26"/>
    <x v="2"/>
    <x v="9"/>
    <x v="226"/>
    <x v="2844"/>
    <n v="5"/>
    <x v="2910"/>
  </r>
  <r>
    <d v="2020-05-12T00:00:00"/>
    <x v="1"/>
    <x v="4"/>
    <x v="617"/>
    <x v="10"/>
    <x v="1"/>
    <x v="3"/>
    <x v="1511"/>
    <x v="2845"/>
    <n v="5"/>
    <x v="2911"/>
  </r>
  <r>
    <d v="2020-05-12T00:00:00"/>
    <x v="1"/>
    <x v="4"/>
    <x v="80"/>
    <x v="2"/>
    <x v="2"/>
    <x v="2"/>
    <x v="408"/>
    <x v="2846"/>
    <n v="5"/>
    <x v="2912"/>
  </r>
  <r>
    <d v="2020-05-12T00:00:00"/>
    <x v="1"/>
    <x v="4"/>
    <x v="205"/>
    <x v="1"/>
    <x v="2"/>
    <x v="16"/>
    <x v="703"/>
    <x v="2847"/>
    <n v="2"/>
    <x v="2913"/>
  </r>
  <r>
    <d v="2020-05-12T00:00:00"/>
    <x v="1"/>
    <x v="4"/>
    <x v="205"/>
    <x v="1"/>
    <x v="0"/>
    <x v="4"/>
    <x v="1374"/>
    <x v="2848"/>
    <n v="5"/>
    <x v="2914"/>
  </r>
  <r>
    <d v="2020-05-12T00:00:00"/>
    <x v="1"/>
    <x v="4"/>
    <x v="115"/>
    <x v="8"/>
    <x v="2"/>
    <x v="7"/>
    <x v="1373"/>
    <x v="2849"/>
    <n v="3"/>
    <x v="2915"/>
  </r>
  <r>
    <d v="2020-05-12T00:00:00"/>
    <x v="1"/>
    <x v="4"/>
    <x v="617"/>
    <x v="10"/>
    <x v="2"/>
    <x v="14"/>
    <x v="1091"/>
    <x v="2850"/>
    <n v="2"/>
    <x v="1543"/>
  </r>
  <r>
    <d v="2020-05-12T00:00:00"/>
    <x v="1"/>
    <x v="4"/>
    <x v="205"/>
    <x v="1"/>
    <x v="2"/>
    <x v="13"/>
    <x v="1512"/>
    <x v="2851"/>
    <n v="1"/>
    <x v="2916"/>
  </r>
  <r>
    <d v="2020-05-12T00:00:00"/>
    <x v="1"/>
    <x v="4"/>
    <x v="518"/>
    <x v="8"/>
    <x v="2"/>
    <x v="14"/>
    <x v="1513"/>
    <x v="2852"/>
    <n v="2"/>
    <x v="2282"/>
  </r>
  <r>
    <d v="2020-05-12T00:00:00"/>
    <x v="1"/>
    <x v="4"/>
    <x v="617"/>
    <x v="10"/>
    <x v="2"/>
    <x v="16"/>
    <x v="1514"/>
    <x v="2853"/>
    <n v="2"/>
    <x v="2917"/>
  </r>
  <r>
    <d v="2020-05-12T00:00:00"/>
    <x v="1"/>
    <x v="4"/>
    <x v="205"/>
    <x v="1"/>
    <x v="2"/>
    <x v="5"/>
    <x v="1515"/>
    <x v="2854"/>
    <n v="4"/>
    <x v="2918"/>
  </r>
  <r>
    <d v="2020-05-12T00:00:00"/>
    <x v="1"/>
    <x v="4"/>
    <x v="617"/>
    <x v="10"/>
    <x v="0"/>
    <x v="8"/>
    <x v="61"/>
    <x v="2855"/>
    <n v="5"/>
    <x v="2919"/>
  </r>
  <r>
    <d v="2020-05-12T00:00:00"/>
    <x v="1"/>
    <x v="4"/>
    <x v="80"/>
    <x v="2"/>
    <x v="2"/>
    <x v="5"/>
    <x v="1239"/>
    <x v="2856"/>
    <n v="4"/>
    <x v="2920"/>
  </r>
  <r>
    <d v="2020-05-13T00:00:00"/>
    <x v="1"/>
    <x v="4"/>
    <x v="506"/>
    <x v="24"/>
    <x v="2"/>
    <x v="10"/>
    <x v="1308"/>
    <x v="2857"/>
    <n v="2"/>
    <x v="2921"/>
  </r>
  <r>
    <d v="2020-05-13T00:00:00"/>
    <x v="1"/>
    <x v="4"/>
    <x v="551"/>
    <x v="23"/>
    <x v="2"/>
    <x v="5"/>
    <x v="670"/>
    <x v="2858"/>
    <n v="9"/>
    <x v="2922"/>
  </r>
  <r>
    <d v="2020-05-13T00:00:00"/>
    <x v="1"/>
    <x v="4"/>
    <x v="432"/>
    <x v="5"/>
    <x v="0"/>
    <x v="11"/>
    <x v="1516"/>
    <x v="2859"/>
    <n v="5"/>
    <x v="2923"/>
  </r>
  <r>
    <d v="2020-05-13T00:00:00"/>
    <x v="1"/>
    <x v="4"/>
    <x v="506"/>
    <x v="24"/>
    <x v="2"/>
    <x v="2"/>
    <x v="788"/>
    <x v="2860"/>
    <n v="2"/>
    <x v="2924"/>
  </r>
  <r>
    <d v="2020-05-13T00:00:00"/>
    <x v="1"/>
    <x v="4"/>
    <x v="506"/>
    <x v="24"/>
    <x v="1"/>
    <x v="1"/>
    <x v="1295"/>
    <x v="2861"/>
    <n v="3"/>
    <x v="2925"/>
  </r>
  <r>
    <d v="2020-05-13T00:00:00"/>
    <x v="1"/>
    <x v="4"/>
    <x v="506"/>
    <x v="24"/>
    <x v="2"/>
    <x v="5"/>
    <x v="1253"/>
    <x v="2862"/>
    <n v="3"/>
    <x v="2926"/>
  </r>
  <r>
    <d v="2020-05-13T00:00:00"/>
    <x v="1"/>
    <x v="4"/>
    <x v="506"/>
    <x v="24"/>
    <x v="2"/>
    <x v="9"/>
    <x v="1517"/>
    <x v="2863"/>
    <n v="3"/>
    <x v="2927"/>
  </r>
  <r>
    <d v="2020-05-13T00:00:00"/>
    <x v="1"/>
    <x v="4"/>
    <x v="489"/>
    <x v="21"/>
    <x v="2"/>
    <x v="13"/>
    <x v="986"/>
    <x v="2864"/>
    <n v="2"/>
    <x v="2928"/>
  </r>
  <r>
    <d v="2020-05-13T00:00:00"/>
    <x v="1"/>
    <x v="4"/>
    <x v="197"/>
    <x v="1"/>
    <x v="2"/>
    <x v="14"/>
    <x v="646"/>
    <x v="2865"/>
    <n v="8"/>
    <x v="1259"/>
  </r>
  <r>
    <d v="2020-05-14T00:00:00"/>
    <x v="1"/>
    <x v="4"/>
    <x v="73"/>
    <x v="2"/>
    <x v="2"/>
    <x v="9"/>
    <x v="686"/>
    <x v="2866"/>
    <n v="2"/>
    <x v="801"/>
  </r>
  <r>
    <d v="2020-05-14T00:00:00"/>
    <x v="1"/>
    <x v="4"/>
    <x v="597"/>
    <x v="0"/>
    <x v="1"/>
    <x v="3"/>
    <x v="1204"/>
    <x v="2867"/>
    <n v="3"/>
    <x v="1752"/>
  </r>
  <r>
    <d v="2020-05-14T00:00:00"/>
    <x v="1"/>
    <x v="4"/>
    <x v="597"/>
    <x v="0"/>
    <x v="0"/>
    <x v="11"/>
    <x v="454"/>
    <x v="2868"/>
    <n v="2"/>
    <x v="2929"/>
  </r>
  <r>
    <d v="2020-05-14T00:00:00"/>
    <x v="1"/>
    <x v="4"/>
    <x v="13"/>
    <x v="9"/>
    <x v="2"/>
    <x v="9"/>
    <x v="1518"/>
    <x v="2869"/>
    <n v="9"/>
    <x v="2930"/>
  </r>
  <r>
    <d v="2020-05-14T00:00:00"/>
    <x v="1"/>
    <x v="4"/>
    <x v="239"/>
    <x v="12"/>
    <x v="1"/>
    <x v="1"/>
    <x v="1294"/>
    <x v="2870"/>
    <n v="3"/>
    <x v="2931"/>
  </r>
  <r>
    <d v="2020-05-14T00:00:00"/>
    <x v="1"/>
    <x v="4"/>
    <x v="73"/>
    <x v="2"/>
    <x v="0"/>
    <x v="11"/>
    <x v="723"/>
    <x v="2871"/>
    <n v="5"/>
    <x v="2464"/>
  </r>
  <r>
    <d v="2020-05-14T00:00:00"/>
    <x v="1"/>
    <x v="4"/>
    <x v="381"/>
    <x v="1"/>
    <x v="1"/>
    <x v="3"/>
    <x v="1142"/>
    <x v="2872"/>
    <n v="7"/>
    <x v="2932"/>
  </r>
  <r>
    <d v="2020-05-14T00:00:00"/>
    <x v="1"/>
    <x v="4"/>
    <x v="597"/>
    <x v="0"/>
    <x v="2"/>
    <x v="7"/>
    <x v="564"/>
    <x v="2873"/>
    <n v="2"/>
    <x v="2933"/>
  </r>
  <r>
    <d v="2020-05-14T00:00:00"/>
    <x v="1"/>
    <x v="4"/>
    <x v="261"/>
    <x v="8"/>
    <x v="2"/>
    <x v="14"/>
    <x v="453"/>
    <x v="2874"/>
    <n v="2"/>
    <x v="501"/>
  </r>
  <r>
    <d v="2020-05-14T00:00:00"/>
    <x v="1"/>
    <x v="4"/>
    <x v="597"/>
    <x v="0"/>
    <x v="2"/>
    <x v="7"/>
    <x v="712"/>
    <x v="2875"/>
    <n v="5"/>
    <x v="846"/>
  </r>
  <r>
    <d v="2020-05-14T00:00:00"/>
    <x v="1"/>
    <x v="4"/>
    <x v="381"/>
    <x v="1"/>
    <x v="0"/>
    <x v="8"/>
    <x v="819"/>
    <x v="2876"/>
    <n v="2"/>
    <x v="2796"/>
  </r>
  <r>
    <d v="2020-05-14T00:00:00"/>
    <x v="1"/>
    <x v="4"/>
    <x v="73"/>
    <x v="2"/>
    <x v="1"/>
    <x v="1"/>
    <x v="1047"/>
    <x v="2877"/>
    <n v="1"/>
    <x v="123"/>
  </r>
  <r>
    <d v="2020-05-14T00:00:00"/>
    <x v="1"/>
    <x v="4"/>
    <x v="239"/>
    <x v="12"/>
    <x v="2"/>
    <x v="2"/>
    <x v="89"/>
    <x v="2878"/>
    <n v="2"/>
    <x v="2934"/>
  </r>
  <r>
    <d v="2020-05-14T00:00:00"/>
    <x v="1"/>
    <x v="4"/>
    <x v="73"/>
    <x v="2"/>
    <x v="2"/>
    <x v="9"/>
    <x v="1519"/>
    <x v="2879"/>
    <n v="3"/>
    <x v="2935"/>
  </r>
  <r>
    <d v="2020-05-14T00:00:00"/>
    <x v="1"/>
    <x v="4"/>
    <x v="261"/>
    <x v="8"/>
    <x v="2"/>
    <x v="9"/>
    <x v="672"/>
    <x v="2880"/>
    <n v="1"/>
    <x v="1937"/>
  </r>
  <r>
    <d v="2020-05-14T00:00:00"/>
    <x v="1"/>
    <x v="4"/>
    <x v="600"/>
    <x v="16"/>
    <x v="2"/>
    <x v="10"/>
    <x v="1520"/>
    <x v="2881"/>
    <n v="9"/>
    <x v="2936"/>
  </r>
  <r>
    <d v="2020-05-14T00:00:00"/>
    <x v="1"/>
    <x v="4"/>
    <x v="597"/>
    <x v="0"/>
    <x v="2"/>
    <x v="7"/>
    <x v="783"/>
    <x v="2882"/>
    <n v="5"/>
    <x v="2937"/>
  </r>
  <r>
    <d v="2020-05-14T00:00:00"/>
    <x v="1"/>
    <x v="4"/>
    <x v="261"/>
    <x v="8"/>
    <x v="2"/>
    <x v="5"/>
    <x v="698"/>
    <x v="2883"/>
    <n v="5"/>
    <x v="2938"/>
  </r>
  <r>
    <d v="2020-05-14T00:00:00"/>
    <x v="1"/>
    <x v="4"/>
    <x v="73"/>
    <x v="2"/>
    <x v="2"/>
    <x v="7"/>
    <x v="1109"/>
    <x v="2884"/>
    <n v="5"/>
    <x v="2939"/>
  </r>
  <r>
    <d v="2020-05-14T00:00:00"/>
    <x v="1"/>
    <x v="4"/>
    <x v="13"/>
    <x v="9"/>
    <x v="2"/>
    <x v="16"/>
    <x v="923"/>
    <x v="2885"/>
    <n v="5"/>
    <x v="2940"/>
  </r>
  <r>
    <d v="2020-05-14T00:00:00"/>
    <x v="1"/>
    <x v="4"/>
    <x v="597"/>
    <x v="0"/>
    <x v="2"/>
    <x v="14"/>
    <x v="1503"/>
    <x v="2886"/>
    <n v="5"/>
    <x v="2941"/>
  </r>
  <r>
    <d v="2020-05-15T00:00:00"/>
    <x v="1"/>
    <x v="4"/>
    <x v="192"/>
    <x v="9"/>
    <x v="0"/>
    <x v="11"/>
    <x v="233"/>
    <x v="2887"/>
    <n v="1"/>
    <x v="2942"/>
  </r>
  <r>
    <d v="2020-05-15T00:00:00"/>
    <x v="1"/>
    <x v="4"/>
    <x v="446"/>
    <x v="20"/>
    <x v="2"/>
    <x v="9"/>
    <x v="1521"/>
    <x v="2888"/>
    <n v="3"/>
    <x v="766"/>
  </r>
  <r>
    <d v="2020-05-15T00:00:00"/>
    <x v="1"/>
    <x v="4"/>
    <x v="692"/>
    <x v="17"/>
    <x v="1"/>
    <x v="1"/>
    <x v="1522"/>
    <x v="2889"/>
    <n v="2"/>
    <x v="2943"/>
  </r>
  <r>
    <d v="2020-05-15T00:00:00"/>
    <x v="1"/>
    <x v="4"/>
    <x v="446"/>
    <x v="20"/>
    <x v="2"/>
    <x v="5"/>
    <x v="270"/>
    <x v="2890"/>
    <n v="2"/>
    <x v="500"/>
  </r>
  <r>
    <d v="2020-05-15T00:00:00"/>
    <x v="1"/>
    <x v="4"/>
    <x v="446"/>
    <x v="20"/>
    <x v="1"/>
    <x v="1"/>
    <x v="13"/>
    <x v="2891"/>
    <n v="1"/>
    <x v="2944"/>
  </r>
  <r>
    <d v="2020-05-15T00:00:00"/>
    <x v="1"/>
    <x v="4"/>
    <x v="192"/>
    <x v="9"/>
    <x v="0"/>
    <x v="8"/>
    <x v="25"/>
    <x v="2892"/>
    <n v="2"/>
    <x v="2945"/>
  </r>
  <r>
    <d v="2020-05-15T00:00:00"/>
    <x v="1"/>
    <x v="4"/>
    <x v="192"/>
    <x v="9"/>
    <x v="0"/>
    <x v="11"/>
    <x v="1506"/>
    <x v="2893"/>
    <n v="2"/>
    <x v="2946"/>
  </r>
  <r>
    <d v="2020-05-15T00:00:00"/>
    <x v="1"/>
    <x v="4"/>
    <x v="692"/>
    <x v="17"/>
    <x v="2"/>
    <x v="9"/>
    <x v="142"/>
    <x v="2894"/>
    <n v="2"/>
    <x v="2616"/>
  </r>
  <r>
    <d v="2020-05-16T00:00:00"/>
    <x v="1"/>
    <x v="4"/>
    <x v="601"/>
    <x v="8"/>
    <x v="2"/>
    <x v="2"/>
    <x v="237"/>
    <x v="2895"/>
    <n v="2"/>
    <x v="2947"/>
  </r>
  <r>
    <d v="2020-05-18T00:00:00"/>
    <x v="1"/>
    <x v="4"/>
    <x v="35"/>
    <x v="14"/>
    <x v="2"/>
    <x v="5"/>
    <x v="416"/>
    <x v="2896"/>
    <n v="6"/>
    <x v="1269"/>
  </r>
  <r>
    <d v="2020-05-18T00:00:00"/>
    <x v="1"/>
    <x v="4"/>
    <x v="55"/>
    <x v="30"/>
    <x v="1"/>
    <x v="1"/>
    <x v="541"/>
    <x v="2897"/>
    <n v="5"/>
    <x v="2086"/>
  </r>
  <r>
    <d v="2020-05-18T00:00:00"/>
    <x v="1"/>
    <x v="4"/>
    <x v="35"/>
    <x v="14"/>
    <x v="0"/>
    <x v="0"/>
    <x v="803"/>
    <x v="2898"/>
    <n v="3"/>
    <x v="2948"/>
  </r>
  <r>
    <d v="2020-05-18T00:00:00"/>
    <x v="1"/>
    <x v="4"/>
    <x v="48"/>
    <x v="29"/>
    <x v="1"/>
    <x v="1"/>
    <x v="1523"/>
    <x v="2899"/>
    <n v="2"/>
    <x v="2949"/>
  </r>
  <r>
    <d v="2020-05-18T00:00:00"/>
    <x v="1"/>
    <x v="4"/>
    <x v="55"/>
    <x v="30"/>
    <x v="2"/>
    <x v="13"/>
    <x v="743"/>
    <x v="2900"/>
    <n v="7"/>
    <x v="885"/>
  </r>
  <r>
    <d v="2020-05-18T00:00:00"/>
    <x v="1"/>
    <x v="4"/>
    <x v="396"/>
    <x v="2"/>
    <x v="2"/>
    <x v="5"/>
    <x v="1099"/>
    <x v="2901"/>
    <n v="1"/>
    <x v="2950"/>
  </r>
  <r>
    <d v="2020-05-18T00:00:00"/>
    <x v="1"/>
    <x v="4"/>
    <x v="396"/>
    <x v="2"/>
    <x v="2"/>
    <x v="2"/>
    <x v="1524"/>
    <x v="2902"/>
    <n v="2"/>
    <x v="2951"/>
  </r>
  <r>
    <d v="2020-05-18T00:00:00"/>
    <x v="1"/>
    <x v="4"/>
    <x v="396"/>
    <x v="2"/>
    <x v="2"/>
    <x v="5"/>
    <x v="345"/>
    <x v="2903"/>
    <n v="7"/>
    <x v="2952"/>
  </r>
  <r>
    <d v="2020-05-18T00:00:00"/>
    <x v="1"/>
    <x v="4"/>
    <x v="693"/>
    <x v="12"/>
    <x v="2"/>
    <x v="5"/>
    <x v="1246"/>
    <x v="2904"/>
    <n v="1"/>
    <x v="2953"/>
  </r>
  <r>
    <d v="2020-05-18T00:00:00"/>
    <x v="1"/>
    <x v="4"/>
    <x v="35"/>
    <x v="14"/>
    <x v="2"/>
    <x v="13"/>
    <x v="903"/>
    <x v="2905"/>
    <n v="2"/>
    <x v="2954"/>
  </r>
  <r>
    <d v="2020-05-18T00:00:00"/>
    <x v="1"/>
    <x v="4"/>
    <x v="0"/>
    <x v="17"/>
    <x v="0"/>
    <x v="8"/>
    <x v="1007"/>
    <x v="2906"/>
    <n v="1"/>
    <x v="2955"/>
  </r>
  <r>
    <d v="2020-05-18T00:00:00"/>
    <x v="1"/>
    <x v="4"/>
    <x v="0"/>
    <x v="17"/>
    <x v="0"/>
    <x v="8"/>
    <x v="443"/>
    <x v="2907"/>
    <n v="3"/>
    <x v="489"/>
  </r>
  <r>
    <d v="2020-05-18T00:00:00"/>
    <x v="1"/>
    <x v="4"/>
    <x v="693"/>
    <x v="12"/>
    <x v="0"/>
    <x v="8"/>
    <x v="813"/>
    <x v="2908"/>
    <n v="2"/>
    <x v="2956"/>
  </r>
  <r>
    <d v="2020-05-18T00:00:00"/>
    <x v="1"/>
    <x v="4"/>
    <x v="35"/>
    <x v="14"/>
    <x v="1"/>
    <x v="1"/>
    <x v="869"/>
    <x v="2909"/>
    <n v="2"/>
    <x v="2957"/>
  </r>
  <r>
    <d v="2020-05-18T00:00:00"/>
    <x v="1"/>
    <x v="4"/>
    <x v="89"/>
    <x v="5"/>
    <x v="1"/>
    <x v="3"/>
    <x v="1247"/>
    <x v="2910"/>
    <n v="3"/>
    <x v="2958"/>
  </r>
  <r>
    <d v="2020-05-18T00:00:00"/>
    <x v="1"/>
    <x v="4"/>
    <x v="35"/>
    <x v="14"/>
    <x v="1"/>
    <x v="1"/>
    <x v="1522"/>
    <x v="2911"/>
    <n v="5"/>
    <x v="2959"/>
  </r>
  <r>
    <d v="2020-05-18T00:00:00"/>
    <x v="1"/>
    <x v="4"/>
    <x v="55"/>
    <x v="30"/>
    <x v="2"/>
    <x v="5"/>
    <x v="1302"/>
    <x v="2912"/>
    <n v="7"/>
    <x v="2960"/>
  </r>
  <r>
    <d v="2020-05-19T00:00:00"/>
    <x v="1"/>
    <x v="4"/>
    <x v="192"/>
    <x v="2"/>
    <x v="1"/>
    <x v="1"/>
    <x v="1184"/>
    <x v="2913"/>
    <n v="1"/>
    <x v="2961"/>
  </r>
  <r>
    <d v="2020-05-19T00:00:00"/>
    <x v="1"/>
    <x v="4"/>
    <x v="297"/>
    <x v="9"/>
    <x v="2"/>
    <x v="13"/>
    <x v="534"/>
    <x v="2914"/>
    <n v="2"/>
    <x v="2962"/>
  </r>
  <r>
    <d v="2020-05-19T00:00:00"/>
    <x v="1"/>
    <x v="4"/>
    <x v="625"/>
    <x v="1"/>
    <x v="2"/>
    <x v="5"/>
    <x v="670"/>
    <x v="2915"/>
    <n v="5"/>
    <x v="2963"/>
  </r>
  <r>
    <d v="2020-05-19T00:00:00"/>
    <x v="1"/>
    <x v="4"/>
    <x v="417"/>
    <x v="14"/>
    <x v="2"/>
    <x v="9"/>
    <x v="701"/>
    <x v="2916"/>
    <n v="4"/>
    <x v="2964"/>
  </r>
  <r>
    <d v="2020-05-19T00:00:00"/>
    <x v="1"/>
    <x v="4"/>
    <x v="504"/>
    <x v="14"/>
    <x v="2"/>
    <x v="9"/>
    <x v="356"/>
    <x v="2917"/>
    <n v="7"/>
    <x v="2528"/>
  </r>
  <r>
    <d v="2020-05-19T00:00:00"/>
    <x v="1"/>
    <x v="4"/>
    <x v="661"/>
    <x v="12"/>
    <x v="1"/>
    <x v="3"/>
    <x v="1525"/>
    <x v="2918"/>
    <n v="3"/>
    <x v="2965"/>
  </r>
  <r>
    <d v="2020-05-19T00:00:00"/>
    <x v="1"/>
    <x v="4"/>
    <x v="661"/>
    <x v="12"/>
    <x v="2"/>
    <x v="13"/>
    <x v="1433"/>
    <x v="2919"/>
    <n v="6"/>
    <x v="2966"/>
  </r>
  <r>
    <d v="2020-05-19T00:00:00"/>
    <x v="1"/>
    <x v="4"/>
    <x v="342"/>
    <x v="21"/>
    <x v="0"/>
    <x v="11"/>
    <x v="1516"/>
    <x v="2920"/>
    <n v="3"/>
    <x v="2967"/>
  </r>
  <r>
    <d v="2020-05-19T00:00:00"/>
    <x v="1"/>
    <x v="4"/>
    <x v="661"/>
    <x v="12"/>
    <x v="1"/>
    <x v="1"/>
    <x v="437"/>
    <x v="2921"/>
    <n v="2"/>
    <x v="2968"/>
  </r>
  <r>
    <d v="2020-05-19T00:00:00"/>
    <x v="1"/>
    <x v="4"/>
    <x v="504"/>
    <x v="14"/>
    <x v="1"/>
    <x v="1"/>
    <x v="1526"/>
    <x v="2922"/>
    <n v="3"/>
    <x v="2969"/>
  </r>
  <r>
    <d v="2020-05-19T00:00:00"/>
    <x v="1"/>
    <x v="4"/>
    <x v="170"/>
    <x v="1"/>
    <x v="0"/>
    <x v="11"/>
    <x v="207"/>
    <x v="2923"/>
    <n v="12"/>
    <x v="2970"/>
  </r>
  <r>
    <d v="2020-05-19T00:00:00"/>
    <x v="1"/>
    <x v="4"/>
    <x v="504"/>
    <x v="14"/>
    <x v="0"/>
    <x v="0"/>
    <x v="731"/>
    <x v="2924"/>
    <n v="9"/>
    <x v="2971"/>
  </r>
  <r>
    <d v="2020-05-19T00:00:00"/>
    <x v="1"/>
    <x v="4"/>
    <x v="170"/>
    <x v="1"/>
    <x v="2"/>
    <x v="7"/>
    <x v="1106"/>
    <x v="2925"/>
    <n v="2"/>
    <x v="2201"/>
  </r>
  <r>
    <d v="2020-05-19T00:00:00"/>
    <x v="1"/>
    <x v="4"/>
    <x v="192"/>
    <x v="2"/>
    <x v="2"/>
    <x v="14"/>
    <x v="1527"/>
    <x v="2926"/>
    <n v="4"/>
    <x v="2972"/>
  </r>
  <r>
    <d v="2020-05-19T00:00:00"/>
    <x v="1"/>
    <x v="4"/>
    <x v="170"/>
    <x v="1"/>
    <x v="2"/>
    <x v="7"/>
    <x v="621"/>
    <x v="2927"/>
    <n v="1"/>
    <x v="2973"/>
  </r>
  <r>
    <d v="2020-05-19T00:00:00"/>
    <x v="1"/>
    <x v="4"/>
    <x v="342"/>
    <x v="21"/>
    <x v="2"/>
    <x v="9"/>
    <x v="551"/>
    <x v="2928"/>
    <n v="7"/>
    <x v="2974"/>
  </r>
  <r>
    <d v="2020-05-19T00:00:00"/>
    <x v="1"/>
    <x v="4"/>
    <x v="170"/>
    <x v="1"/>
    <x v="1"/>
    <x v="3"/>
    <x v="495"/>
    <x v="2929"/>
    <n v="1"/>
    <x v="2975"/>
  </r>
  <r>
    <d v="2020-05-19T00:00:00"/>
    <x v="1"/>
    <x v="4"/>
    <x v="694"/>
    <x v="36"/>
    <x v="2"/>
    <x v="5"/>
    <x v="1528"/>
    <x v="2930"/>
    <n v="4"/>
    <x v="2976"/>
  </r>
  <r>
    <d v="2020-05-19T00:00:00"/>
    <x v="1"/>
    <x v="4"/>
    <x v="236"/>
    <x v="17"/>
    <x v="2"/>
    <x v="9"/>
    <x v="1529"/>
    <x v="2931"/>
    <n v="6"/>
    <x v="2977"/>
  </r>
  <r>
    <d v="2020-05-19T00:00:00"/>
    <x v="1"/>
    <x v="4"/>
    <x v="504"/>
    <x v="14"/>
    <x v="1"/>
    <x v="3"/>
    <x v="1270"/>
    <x v="2932"/>
    <n v="4"/>
    <x v="2978"/>
  </r>
  <r>
    <d v="2020-05-20T00:00:00"/>
    <x v="1"/>
    <x v="4"/>
    <x v="587"/>
    <x v="46"/>
    <x v="2"/>
    <x v="7"/>
    <x v="302"/>
    <x v="2933"/>
    <n v="3"/>
    <x v="1100"/>
  </r>
  <r>
    <d v="2020-05-20T00:00:00"/>
    <x v="1"/>
    <x v="4"/>
    <x v="23"/>
    <x v="1"/>
    <x v="1"/>
    <x v="15"/>
    <x v="1172"/>
    <x v="2934"/>
    <n v="1"/>
    <x v="2979"/>
  </r>
  <r>
    <d v="2020-05-20T00:00:00"/>
    <x v="1"/>
    <x v="4"/>
    <x v="23"/>
    <x v="1"/>
    <x v="0"/>
    <x v="11"/>
    <x v="359"/>
    <x v="2935"/>
    <n v="8"/>
    <x v="2980"/>
  </r>
  <r>
    <d v="2020-05-20T00:00:00"/>
    <x v="1"/>
    <x v="4"/>
    <x v="587"/>
    <x v="46"/>
    <x v="2"/>
    <x v="2"/>
    <x v="844"/>
    <x v="2936"/>
    <n v="4"/>
    <x v="2981"/>
  </r>
  <r>
    <d v="2020-05-20T00:00:00"/>
    <x v="1"/>
    <x v="4"/>
    <x v="97"/>
    <x v="31"/>
    <x v="1"/>
    <x v="1"/>
    <x v="116"/>
    <x v="2937"/>
    <n v="9"/>
    <x v="2982"/>
  </r>
  <r>
    <d v="2020-05-20T00:00:00"/>
    <x v="1"/>
    <x v="4"/>
    <x v="587"/>
    <x v="46"/>
    <x v="2"/>
    <x v="12"/>
    <x v="163"/>
    <x v="2938"/>
    <n v="3"/>
    <x v="2983"/>
  </r>
  <r>
    <d v="2020-05-20T00:00:00"/>
    <x v="1"/>
    <x v="4"/>
    <x v="23"/>
    <x v="1"/>
    <x v="0"/>
    <x v="8"/>
    <x v="576"/>
    <x v="2939"/>
    <n v="1"/>
    <x v="2984"/>
  </r>
  <r>
    <d v="2020-05-20T00:00:00"/>
    <x v="1"/>
    <x v="4"/>
    <x v="97"/>
    <x v="31"/>
    <x v="2"/>
    <x v="5"/>
    <x v="434"/>
    <x v="2940"/>
    <n v="2"/>
    <x v="1588"/>
  </r>
  <r>
    <d v="2020-05-20T00:00:00"/>
    <x v="1"/>
    <x v="4"/>
    <x v="587"/>
    <x v="46"/>
    <x v="2"/>
    <x v="7"/>
    <x v="1530"/>
    <x v="2941"/>
    <n v="4"/>
    <x v="2985"/>
  </r>
  <r>
    <d v="2020-05-20T00:00:00"/>
    <x v="1"/>
    <x v="4"/>
    <x v="587"/>
    <x v="46"/>
    <x v="2"/>
    <x v="7"/>
    <x v="1531"/>
    <x v="2942"/>
    <n v="10"/>
    <x v="2986"/>
  </r>
  <r>
    <d v="2020-05-20T00:00:00"/>
    <x v="1"/>
    <x v="4"/>
    <x v="695"/>
    <x v="25"/>
    <x v="2"/>
    <x v="5"/>
    <x v="40"/>
    <x v="2943"/>
    <n v="2"/>
    <x v="2987"/>
  </r>
  <r>
    <d v="2020-05-20T00:00:00"/>
    <x v="1"/>
    <x v="4"/>
    <x v="97"/>
    <x v="31"/>
    <x v="2"/>
    <x v="13"/>
    <x v="986"/>
    <x v="2944"/>
    <n v="5"/>
    <x v="2988"/>
  </r>
  <r>
    <d v="2020-05-21T00:00:00"/>
    <x v="1"/>
    <x v="4"/>
    <x v="338"/>
    <x v="12"/>
    <x v="0"/>
    <x v="8"/>
    <x v="883"/>
    <x v="2945"/>
    <n v="5"/>
    <x v="2989"/>
  </r>
  <r>
    <d v="2020-05-21T00:00:00"/>
    <x v="1"/>
    <x v="4"/>
    <x v="338"/>
    <x v="12"/>
    <x v="2"/>
    <x v="7"/>
    <x v="1532"/>
    <x v="2946"/>
    <n v="3"/>
    <x v="2990"/>
  </r>
  <r>
    <d v="2020-05-22T00:00:00"/>
    <x v="1"/>
    <x v="4"/>
    <x v="22"/>
    <x v="1"/>
    <x v="1"/>
    <x v="3"/>
    <x v="1371"/>
    <x v="2947"/>
    <n v="7"/>
    <x v="2991"/>
  </r>
  <r>
    <d v="2020-05-22T00:00:00"/>
    <x v="1"/>
    <x v="4"/>
    <x v="269"/>
    <x v="17"/>
    <x v="0"/>
    <x v="11"/>
    <x v="1078"/>
    <x v="2948"/>
    <n v="2"/>
    <x v="2992"/>
  </r>
  <r>
    <d v="2020-05-22T00:00:00"/>
    <x v="1"/>
    <x v="4"/>
    <x v="269"/>
    <x v="17"/>
    <x v="2"/>
    <x v="16"/>
    <x v="528"/>
    <x v="2949"/>
    <n v="3"/>
    <x v="2993"/>
  </r>
  <r>
    <d v="2020-05-22T00:00:00"/>
    <x v="1"/>
    <x v="4"/>
    <x v="696"/>
    <x v="1"/>
    <x v="2"/>
    <x v="7"/>
    <x v="586"/>
    <x v="2950"/>
    <n v="1"/>
    <x v="2994"/>
  </r>
  <r>
    <d v="2020-05-22T00:00:00"/>
    <x v="1"/>
    <x v="4"/>
    <x v="269"/>
    <x v="17"/>
    <x v="2"/>
    <x v="5"/>
    <x v="122"/>
    <x v="2951"/>
    <n v="2"/>
    <x v="2995"/>
  </r>
  <r>
    <d v="2020-05-22T00:00:00"/>
    <x v="1"/>
    <x v="4"/>
    <x v="696"/>
    <x v="1"/>
    <x v="2"/>
    <x v="7"/>
    <x v="1502"/>
    <x v="2952"/>
    <n v="3"/>
    <x v="331"/>
  </r>
  <r>
    <d v="2020-05-22T00:00:00"/>
    <x v="1"/>
    <x v="4"/>
    <x v="290"/>
    <x v="1"/>
    <x v="2"/>
    <x v="7"/>
    <x v="1021"/>
    <x v="2953"/>
    <n v="7"/>
    <x v="2996"/>
  </r>
  <r>
    <d v="2020-05-23T00:00:00"/>
    <x v="1"/>
    <x v="4"/>
    <x v="10"/>
    <x v="1"/>
    <x v="0"/>
    <x v="4"/>
    <x v="1374"/>
    <x v="2954"/>
    <n v="3"/>
    <x v="2997"/>
  </r>
  <r>
    <d v="2020-05-23T00:00:00"/>
    <x v="1"/>
    <x v="4"/>
    <x v="280"/>
    <x v="2"/>
    <x v="2"/>
    <x v="12"/>
    <x v="1533"/>
    <x v="2955"/>
    <n v="2"/>
    <x v="2998"/>
  </r>
  <r>
    <d v="2020-05-23T00:00:00"/>
    <x v="1"/>
    <x v="4"/>
    <x v="280"/>
    <x v="2"/>
    <x v="2"/>
    <x v="5"/>
    <x v="7"/>
    <x v="2956"/>
    <n v="1"/>
    <x v="2999"/>
  </r>
  <r>
    <d v="2020-05-23T00:00:00"/>
    <x v="1"/>
    <x v="4"/>
    <x v="280"/>
    <x v="2"/>
    <x v="2"/>
    <x v="13"/>
    <x v="1230"/>
    <x v="2957"/>
    <n v="5"/>
    <x v="3000"/>
  </r>
  <r>
    <d v="2020-05-23T00:00:00"/>
    <x v="1"/>
    <x v="4"/>
    <x v="280"/>
    <x v="2"/>
    <x v="2"/>
    <x v="2"/>
    <x v="1273"/>
    <x v="2958"/>
    <n v="3"/>
    <x v="3001"/>
  </r>
  <r>
    <d v="2020-05-25T00:00:00"/>
    <x v="1"/>
    <x v="4"/>
    <x v="245"/>
    <x v="12"/>
    <x v="1"/>
    <x v="3"/>
    <x v="677"/>
    <x v="2959"/>
    <n v="8"/>
    <x v="3002"/>
  </r>
  <r>
    <d v="2020-05-25T00:00:00"/>
    <x v="1"/>
    <x v="4"/>
    <x v="245"/>
    <x v="12"/>
    <x v="2"/>
    <x v="5"/>
    <x v="129"/>
    <x v="2960"/>
    <n v="5"/>
    <x v="3003"/>
  </r>
  <r>
    <d v="2020-05-25T00:00:00"/>
    <x v="1"/>
    <x v="4"/>
    <x v="245"/>
    <x v="12"/>
    <x v="2"/>
    <x v="12"/>
    <x v="531"/>
    <x v="2961"/>
    <n v="1"/>
    <x v="3004"/>
  </r>
  <r>
    <d v="2020-05-25T00:00:00"/>
    <x v="1"/>
    <x v="4"/>
    <x v="179"/>
    <x v="2"/>
    <x v="2"/>
    <x v="2"/>
    <x v="1534"/>
    <x v="2962"/>
    <n v="3"/>
    <x v="3005"/>
  </r>
  <r>
    <d v="2020-05-25T00:00:00"/>
    <x v="1"/>
    <x v="4"/>
    <x v="245"/>
    <x v="12"/>
    <x v="0"/>
    <x v="8"/>
    <x v="455"/>
    <x v="2963"/>
    <n v="3"/>
    <x v="2193"/>
  </r>
  <r>
    <d v="2020-05-25T00:00:00"/>
    <x v="1"/>
    <x v="4"/>
    <x v="432"/>
    <x v="14"/>
    <x v="2"/>
    <x v="5"/>
    <x v="536"/>
    <x v="2964"/>
    <n v="2"/>
    <x v="3006"/>
  </r>
  <r>
    <d v="2020-05-26T00:00:00"/>
    <x v="1"/>
    <x v="4"/>
    <x v="289"/>
    <x v="19"/>
    <x v="2"/>
    <x v="13"/>
    <x v="1535"/>
    <x v="2965"/>
    <n v="3"/>
    <x v="3007"/>
  </r>
  <r>
    <d v="2020-05-26T00:00:00"/>
    <x v="1"/>
    <x v="4"/>
    <x v="635"/>
    <x v="1"/>
    <x v="2"/>
    <x v="9"/>
    <x v="740"/>
    <x v="2966"/>
    <n v="2"/>
    <x v="56"/>
  </r>
  <r>
    <d v="2020-05-26T00:00:00"/>
    <x v="1"/>
    <x v="4"/>
    <x v="289"/>
    <x v="19"/>
    <x v="2"/>
    <x v="16"/>
    <x v="923"/>
    <x v="2967"/>
    <n v="2"/>
    <x v="3008"/>
  </r>
  <r>
    <d v="2020-05-26T00:00:00"/>
    <x v="1"/>
    <x v="4"/>
    <x v="202"/>
    <x v="18"/>
    <x v="1"/>
    <x v="3"/>
    <x v="671"/>
    <x v="2968"/>
    <n v="2"/>
    <x v="3009"/>
  </r>
  <r>
    <d v="2020-05-27T00:00:00"/>
    <x v="1"/>
    <x v="4"/>
    <x v="266"/>
    <x v="9"/>
    <x v="1"/>
    <x v="3"/>
    <x v="483"/>
    <x v="2302"/>
    <n v="6"/>
    <x v="1638"/>
  </r>
  <r>
    <d v="2020-05-27T00:00:00"/>
    <x v="1"/>
    <x v="4"/>
    <x v="386"/>
    <x v="32"/>
    <x v="1"/>
    <x v="1"/>
    <x v="1526"/>
    <x v="2969"/>
    <n v="3"/>
    <x v="1675"/>
  </r>
  <r>
    <d v="2020-05-27T00:00:00"/>
    <x v="1"/>
    <x v="4"/>
    <x v="386"/>
    <x v="32"/>
    <x v="2"/>
    <x v="2"/>
    <x v="1500"/>
    <x v="2970"/>
    <n v="5"/>
    <x v="3010"/>
  </r>
  <r>
    <d v="2020-05-27T00:00:00"/>
    <x v="1"/>
    <x v="4"/>
    <x v="212"/>
    <x v="3"/>
    <x v="0"/>
    <x v="8"/>
    <x v="1014"/>
    <x v="2971"/>
    <n v="5"/>
    <x v="3011"/>
  </r>
  <r>
    <d v="2020-05-27T00:00:00"/>
    <x v="1"/>
    <x v="4"/>
    <x v="7"/>
    <x v="19"/>
    <x v="1"/>
    <x v="1"/>
    <x v="1294"/>
    <x v="2972"/>
    <n v="3"/>
    <x v="2931"/>
  </r>
  <r>
    <d v="2020-05-27T00:00:00"/>
    <x v="1"/>
    <x v="4"/>
    <x v="520"/>
    <x v="4"/>
    <x v="1"/>
    <x v="3"/>
    <x v="1536"/>
    <x v="2973"/>
    <n v="3"/>
    <x v="3012"/>
  </r>
  <r>
    <d v="2020-05-27T00:00:00"/>
    <x v="1"/>
    <x v="4"/>
    <x v="520"/>
    <x v="4"/>
    <x v="2"/>
    <x v="5"/>
    <x v="759"/>
    <x v="2974"/>
    <n v="5"/>
    <x v="3013"/>
  </r>
  <r>
    <d v="2020-05-27T00:00:00"/>
    <x v="1"/>
    <x v="4"/>
    <x v="266"/>
    <x v="9"/>
    <x v="2"/>
    <x v="7"/>
    <x v="1088"/>
    <x v="2975"/>
    <n v="3"/>
    <x v="3014"/>
  </r>
  <r>
    <d v="2020-05-27T00:00:00"/>
    <x v="1"/>
    <x v="4"/>
    <x v="386"/>
    <x v="32"/>
    <x v="0"/>
    <x v="8"/>
    <x v="1057"/>
    <x v="2976"/>
    <n v="4"/>
    <x v="3015"/>
  </r>
  <r>
    <d v="2020-05-27T00:00:00"/>
    <x v="1"/>
    <x v="4"/>
    <x v="22"/>
    <x v="21"/>
    <x v="2"/>
    <x v="9"/>
    <x v="28"/>
    <x v="2977"/>
    <n v="5"/>
    <x v="17"/>
  </r>
  <r>
    <d v="2020-05-27T00:00:00"/>
    <x v="1"/>
    <x v="4"/>
    <x v="7"/>
    <x v="19"/>
    <x v="2"/>
    <x v="5"/>
    <x v="733"/>
    <x v="2978"/>
    <n v="2"/>
    <x v="875"/>
  </r>
  <r>
    <d v="2020-05-28T00:00:00"/>
    <x v="1"/>
    <x v="4"/>
    <x v="258"/>
    <x v="17"/>
    <x v="0"/>
    <x v="11"/>
    <x v="984"/>
    <x v="2979"/>
    <n v="3"/>
    <x v="3016"/>
  </r>
  <r>
    <d v="2020-05-28T00:00:00"/>
    <x v="1"/>
    <x v="4"/>
    <x v="697"/>
    <x v="0"/>
    <x v="2"/>
    <x v="13"/>
    <x v="1317"/>
    <x v="2980"/>
    <n v="3"/>
    <x v="3017"/>
  </r>
  <r>
    <d v="2020-05-28T00:00:00"/>
    <x v="1"/>
    <x v="4"/>
    <x v="370"/>
    <x v="8"/>
    <x v="0"/>
    <x v="0"/>
    <x v="0"/>
    <x v="2350"/>
    <n v="4"/>
    <x v="3018"/>
  </r>
  <r>
    <d v="2020-05-28T00:00:00"/>
    <x v="1"/>
    <x v="4"/>
    <x v="498"/>
    <x v="20"/>
    <x v="1"/>
    <x v="1"/>
    <x v="708"/>
    <x v="2981"/>
    <n v="5"/>
    <x v="3019"/>
  </r>
  <r>
    <d v="2020-05-28T00:00:00"/>
    <x v="1"/>
    <x v="4"/>
    <x v="698"/>
    <x v="13"/>
    <x v="0"/>
    <x v="8"/>
    <x v="801"/>
    <x v="2982"/>
    <n v="8"/>
    <x v="3020"/>
  </r>
  <r>
    <d v="2020-05-28T00:00:00"/>
    <x v="1"/>
    <x v="4"/>
    <x v="498"/>
    <x v="20"/>
    <x v="1"/>
    <x v="3"/>
    <x v="36"/>
    <x v="2983"/>
    <n v="4"/>
    <x v="3021"/>
  </r>
  <r>
    <d v="2020-05-28T00:00:00"/>
    <x v="1"/>
    <x v="4"/>
    <x v="483"/>
    <x v="39"/>
    <x v="0"/>
    <x v="11"/>
    <x v="251"/>
    <x v="2984"/>
    <n v="2"/>
    <x v="1868"/>
  </r>
  <r>
    <d v="2020-05-28T00:00:00"/>
    <x v="1"/>
    <x v="4"/>
    <x v="370"/>
    <x v="8"/>
    <x v="2"/>
    <x v="9"/>
    <x v="1284"/>
    <x v="2985"/>
    <n v="3"/>
    <x v="2753"/>
  </r>
  <r>
    <d v="2020-05-28T00:00:00"/>
    <x v="1"/>
    <x v="4"/>
    <x v="258"/>
    <x v="17"/>
    <x v="2"/>
    <x v="5"/>
    <x v="7"/>
    <x v="2986"/>
    <n v="3"/>
    <x v="1740"/>
  </r>
  <r>
    <d v="2020-05-28T00:00:00"/>
    <x v="1"/>
    <x v="4"/>
    <x v="498"/>
    <x v="20"/>
    <x v="2"/>
    <x v="9"/>
    <x v="628"/>
    <x v="2987"/>
    <n v="3"/>
    <x v="29"/>
  </r>
  <r>
    <d v="2020-05-28T00:00:00"/>
    <x v="1"/>
    <x v="4"/>
    <x v="697"/>
    <x v="0"/>
    <x v="0"/>
    <x v="8"/>
    <x v="1537"/>
    <x v="2988"/>
    <n v="2"/>
    <x v="3022"/>
  </r>
  <r>
    <d v="2020-05-28T00:00:00"/>
    <x v="1"/>
    <x v="4"/>
    <x v="518"/>
    <x v="2"/>
    <x v="1"/>
    <x v="1"/>
    <x v="1463"/>
    <x v="2989"/>
    <n v="4"/>
    <x v="3023"/>
  </r>
  <r>
    <d v="2020-05-29T00:00:00"/>
    <x v="1"/>
    <x v="4"/>
    <x v="509"/>
    <x v="24"/>
    <x v="2"/>
    <x v="13"/>
    <x v="1077"/>
    <x v="2990"/>
    <n v="2"/>
    <x v="2565"/>
  </r>
  <r>
    <d v="2020-05-29T00:00:00"/>
    <x v="1"/>
    <x v="4"/>
    <x v="127"/>
    <x v="2"/>
    <x v="0"/>
    <x v="8"/>
    <x v="711"/>
    <x v="2991"/>
    <n v="4"/>
    <x v="3024"/>
  </r>
  <r>
    <d v="2020-05-29T00:00:00"/>
    <x v="1"/>
    <x v="4"/>
    <x v="509"/>
    <x v="24"/>
    <x v="0"/>
    <x v="8"/>
    <x v="414"/>
    <x v="2992"/>
    <n v="3"/>
    <x v="3025"/>
  </r>
  <r>
    <d v="2020-05-29T00:00:00"/>
    <x v="1"/>
    <x v="4"/>
    <x v="509"/>
    <x v="24"/>
    <x v="2"/>
    <x v="9"/>
    <x v="1538"/>
    <x v="1499"/>
    <n v="1"/>
    <x v="3026"/>
  </r>
  <r>
    <d v="2020-05-29T00:00:00"/>
    <x v="1"/>
    <x v="4"/>
    <x v="683"/>
    <x v="34"/>
    <x v="2"/>
    <x v="12"/>
    <x v="1539"/>
    <x v="2993"/>
    <n v="5"/>
    <x v="3027"/>
  </r>
  <r>
    <d v="2020-05-29T00:00:00"/>
    <x v="1"/>
    <x v="4"/>
    <x v="356"/>
    <x v="2"/>
    <x v="2"/>
    <x v="9"/>
    <x v="978"/>
    <x v="2994"/>
    <n v="5"/>
    <x v="702"/>
  </r>
  <r>
    <d v="2020-05-29T00:00:00"/>
    <x v="1"/>
    <x v="4"/>
    <x v="509"/>
    <x v="24"/>
    <x v="2"/>
    <x v="5"/>
    <x v="200"/>
    <x v="2995"/>
    <n v="1"/>
    <x v="3028"/>
  </r>
  <r>
    <d v="2020-05-29T00:00:00"/>
    <x v="1"/>
    <x v="4"/>
    <x v="356"/>
    <x v="2"/>
    <x v="2"/>
    <x v="2"/>
    <x v="1188"/>
    <x v="2996"/>
    <n v="3"/>
    <x v="3029"/>
  </r>
  <r>
    <d v="2020-05-30T00:00:00"/>
    <x v="1"/>
    <x v="4"/>
    <x v="95"/>
    <x v="29"/>
    <x v="1"/>
    <x v="1"/>
    <x v="1540"/>
    <x v="2997"/>
    <n v="1"/>
    <x v="3030"/>
  </r>
  <r>
    <d v="2020-05-30T00:00:00"/>
    <x v="1"/>
    <x v="4"/>
    <x v="470"/>
    <x v="2"/>
    <x v="0"/>
    <x v="0"/>
    <x v="746"/>
    <x v="2998"/>
    <n v="1"/>
    <x v="3031"/>
  </r>
  <r>
    <d v="2020-05-30T00:00:00"/>
    <x v="1"/>
    <x v="4"/>
    <x v="81"/>
    <x v="28"/>
    <x v="0"/>
    <x v="0"/>
    <x v="1541"/>
    <x v="2999"/>
    <n v="2"/>
    <x v="3032"/>
  </r>
  <r>
    <d v="2020-05-30T00:00:00"/>
    <x v="1"/>
    <x v="4"/>
    <x v="81"/>
    <x v="28"/>
    <x v="0"/>
    <x v="8"/>
    <x v="94"/>
    <x v="3000"/>
    <n v="3"/>
    <x v="3033"/>
  </r>
  <r>
    <d v="2020-05-30T00:00:00"/>
    <x v="1"/>
    <x v="4"/>
    <x v="634"/>
    <x v="1"/>
    <x v="2"/>
    <x v="7"/>
    <x v="1252"/>
    <x v="3001"/>
    <n v="6"/>
    <x v="3034"/>
  </r>
  <r>
    <d v="2020-05-30T00:00:00"/>
    <x v="1"/>
    <x v="4"/>
    <x v="81"/>
    <x v="28"/>
    <x v="2"/>
    <x v="5"/>
    <x v="401"/>
    <x v="3002"/>
    <n v="1"/>
    <x v="3035"/>
  </r>
  <r>
    <d v="2020-05-30T00:00:00"/>
    <x v="1"/>
    <x v="4"/>
    <x v="47"/>
    <x v="1"/>
    <x v="2"/>
    <x v="9"/>
    <x v="884"/>
    <x v="3003"/>
    <n v="4"/>
    <x v="1112"/>
  </r>
  <r>
    <d v="2020-05-30T00:00:00"/>
    <x v="1"/>
    <x v="4"/>
    <x v="95"/>
    <x v="29"/>
    <x v="0"/>
    <x v="8"/>
    <x v="1542"/>
    <x v="3004"/>
    <n v="1"/>
    <x v="3036"/>
  </r>
  <r>
    <d v="2020-05-30T00:00:00"/>
    <x v="1"/>
    <x v="4"/>
    <x v="95"/>
    <x v="29"/>
    <x v="1"/>
    <x v="3"/>
    <x v="1136"/>
    <x v="3005"/>
    <n v="2"/>
    <x v="3037"/>
  </r>
  <r>
    <d v="2020-06-01T00:00:00"/>
    <x v="1"/>
    <x v="5"/>
    <x v="420"/>
    <x v="24"/>
    <x v="1"/>
    <x v="3"/>
    <x v="1424"/>
    <x v="3006"/>
    <n v="3"/>
    <x v="3038"/>
  </r>
  <r>
    <d v="2020-06-01T00:00:00"/>
    <x v="1"/>
    <x v="5"/>
    <x v="654"/>
    <x v="8"/>
    <x v="1"/>
    <x v="1"/>
    <x v="862"/>
    <x v="3007"/>
    <n v="4"/>
    <x v="3039"/>
  </r>
  <r>
    <d v="2020-06-01T00:00:00"/>
    <x v="1"/>
    <x v="5"/>
    <x v="699"/>
    <x v="5"/>
    <x v="2"/>
    <x v="2"/>
    <x v="219"/>
    <x v="3008"/>
    <n v="3"/>
    <x v="3040"/>
  </r>
  <r>
    <d v="2020-06-01T00:00:00"/>
    <x v="1"/>
    <x v="5"/>
    <x v="420"/>
    <x v="24"/>
    <x v="0"/>
    <x v="11"/>
    <x v="222"/>
    <x v="3009"/>
    <n v="6"/>
    <x v="3041"/>
  </r>
  <r>
    <d v="2020-06-01T00:00:00"/>
    <x v="1"/>
    <x v="5"/>
    <x v="420"/>
    <x v="24"/>
    <x v="2"/>
    <x v="13"/>
    <x v="256"/>
    <x v="3010"/>
    <n v="8"/>
    <x v="3042"/>
  </r>
  <r>
    <d v="2020-06-01T00:00:00"/>
    <x v="1"/>
    <x v="5"/>
    <x v="163"/>
    <x v="8"/>
    <x v="2"/>
    <x v="13"/>
    <x v="1024"/>
    <x v="3011"/>
    <n v="5"/>
    <x v="3043"/>
  </r>
  <r>
    <d v="2020-06-01T00:00:00"/>
    <x v="1"/>
    <x v="5"/>
    <x v="654"/>
    <x v="8"/>
    <x v="2"/>
    <x v="5"/>
    <x v="545"/>
    <x v="3012"/>
    <n v="2"/>
    <x v="3044"/>
  </r>
  <r>
    <d v="2020-06-01T00:00:00"/>
    <x v="1"/>
    <x v="5"/>
    <x v="654"/>
    <x v="8"/>
    <x v="2"/>
    <x v="9"/>
    <x v="1193"/>
    <x v="3013"/>
    <n v="6"/>
    <x v="3045"/>
  </r>
  <r>
    <d v="2020-06-01T00:00:00"/>
    <x v="1"/>
    <x v="5"/>
    <x v="420"/>
    <x v="24"/>
    <x v="2"/>
    <x v="5"/>
    <x v="1212"/>
    <x v="3014"/>
    <n v="2"/>
    <x v="1821"/>
  </r>
  <r>
    <d v="2020-06-01T00:00:00"/>
    <x v="1"/>
    <x v="5"/>
    <x v="420"/>
    <x v="24"/>
    <x v="1"/>
    <x v="3"/>
    <x v="11"/>
    <x v="3015"/>
    <n v="1"/>
    <x v="3046"/>
  </r>
  <r>
    <d v="2020-06-01T00:00:00"/>
    <x v="1"/>
    <x v="5"/>
    <x v="251"/>
    <x v="34"/>
    <x v="2"/>
    <x v="5"/>
    <x v="68"/>
    <x v="3016"/>
    <n v="5"/>
    <x v="3047"/>
  </r>
  <r>
    <d v="2020-06-02T00:00:00"/>
    <x v="1"/>
    <x v="5"/>
    <x v="264"/>
    <x v="20"/>
    <x v="2"/>
    <x v="9"/>
    <x v="1218"/>
    <x v="3017"/>
    <n v="6"/>
    <x v="3048"/>
  </r>
  <r>
    <d v="2020-06-02T00:00:00"/>
    <x v="1"/>
    <x v="5"/>
    <x v="339"/>
    <x v="8"/>
    <x v="1"/>
    <x v="1"/>
    <x v="1543"/>
    <x v="3018"/>
    <n v="1"/>
    <x v="3049"/>
  </r>
  <r>
    <d v="2020-06-02T00:00:00"/>
    <x v="1"/>
    <x v="5"/>
    <x v="700"/>
    <x v="4"/>
    <x v="2"/>
    <x v="9"/>
    <x v="1529"/>
    <x v="3019"/>
    <n v="4"/>
    <x v="3050"/>
  </r>
  <r>
    <d v="2020-06-02T00:00:00"/>
    <x v="1"/>
    <x v="5"/>
    <x v="70"/>
    <x v="2"/>
    <x v="2"/>
    <x v="9"/>
    <x v="1297"/>
    <x v="3020"/>
    <n v="2"/>
    <x v="542"/>
  </r>
  <r>
    <d v="2020-06-02T00:00:00"/>
    <x v="1"/>
    <x v="5"/>
    <x v="339"/>
    <x v="8"/>
    <x v="2"/>
    <x v="2"/>
    <x v="1074"/>
    <x v="3021"/>
    <n v="2"/>
    <x v="3051"/>
  </r>
  <r>
    <d v="2020-06-02T00:00:00"/>
    <x v="1"/>
    <x v="5"/>
    <x v="264"/>
    <x v="20"/>
    <x v="2"/>
    <x v="10"/>
    <x v="508"/>
    <x v="2977"/>
    <n v="5"/>
    <x v="3052"/>
  </r>
  <r>
    <d v="2020-06-03T00:00:00"/>
    <x v="1"/>
    <x v="5"/>
    <x v="685"/>
    <x v="12"/>
    <x v="1"/>
    <x v="15"/>
    <x v="1544"/>
    <x v="3022"/>
    <n v="6"/>
    <x v="3053"/>
  </r>
  <r>
    <d v="2020-06-03T00:00:00"/>
    <x v="1"/>
    <x v="5"/>
    <x v="443"/>
    <x v="9"/>
    <x v="2"/>
    <x v="2"/>
    <x v="1068"/>
    <x v="3023"/>
    <n v="9"/>
    <x v="3054"/>
  </r>
  <r>
    <d v="2020-06-03T00:00:00"/>
    <x v="1"/>
    <x v="5"/>
    <x v="233"/>
    <x v="6"/>
    <x v="1"/>
    <x v="3"/>
    <x v="4"/>
    <x v="3024"/>
    <n v="2"/>
    <x v="3055"/>
  </r>
  <r>
    <d v="2020-06-03T00:00:00"/>
    <x v="1"/>
    <x v="5"/>
    <x v="233"/>
    <x v="6"/>
    <x v="1"/>
    <x v="3"/>
    <x v="280"/>
    <x v="3025"/>
    <n v="1"/>
    <x v="3056"/>
  </r>
  <r>
    <d v="2020-06-03T00:00:00"/>
    <x v="1"/>
    <x v="5"/>
    <x v="233"/>
    <x v="6"/>
    <x v="0"/>
    <x v="0"/>
    <x v="1464"/>
    <x v="3026"/>
    <n v="2"/>
    <x v="72"/>
  </r>
  <r>
    <d v="2020-06-03T00:00:00"/>
    <x v="1"/>
    <x v="5"/>
    <x v="685"/>
    <x v="12"/>
    <x v="0"/>
    <x v="4"/>
    <x v="866"/>
    <x v="3027"/>
    <n v="2"/>
    <x v="3057"/>
  </r>
  <r>
    <d v="2020-06-03T00:00:00"/>
    <x v="1"/>
    <x v="5"/>
    <x v="233"/>
    <x v="6"/>
    <x v="1"/>
    <x v="1"/>
    <x v="599"/>
    <x v="3028"/>
    <n v="5"/>
    <x v="3058"/>
  </r>
  <r>
    <d v="2020-06-03T00:00:00"/>
    <x v="1"/>
    <x v="5"/>
    <x v="473"/>
    <x v="9"/>
    <x v="1"/>
    <x v="3"/>
    <x v="814"/>
    <x v="3029"/>
    <n v="10"/>
    <x v="3059"/>
  </r>
  <r>
    <d v="2020-06-03T00:00:00"/>
    <x v="1"/>
    <x v="5"/>
    <x v="630"/>
    <x v="1"/>
    <x v="2"/>
    <x v="9"/>
    <x v="1105"/>
    <x v="3030"/>
    <n v="2"/>
    <x v="2371"/>
  </r>
  <r>
    <d v="2020-06-03T00:00:00"/>
    <x v="1"/>
    <x v="5"/>
    <x v="630"/>
    <x v="1"/>
    <x v="2"/>
    <x v="5"/>
    <x v="1488"/>
    <x v="3031"/>
    <n v="1"/>
    <x v="3060"/>
  </r>
  <r>
    <d v="2020-06-03T00:00:00"/>
    <x v="1"/>
    <x v="5"/>
    <x v="233"/>
    <x v="6"/>
    <x v="2"/>
    <x v="9"/>
    <x v="133"/>
    <x v="3032"/>
    <n v="3"/>
    <x v="29"/>
  </r>
  <r>
    <d v="2020-06-03T00:00:00"/>
    <x v="1"/>
    <x v="5"/>
    <x v="233"/>
    <x v="6"/>
    <x v="2"/>
    <x v="13"/>
    <x v="1024"/>
    <x v="3033"/>
    <n v="7"/>
    <x v="3061"/>
  </r>
  <r>
    <d v="2020-06-03T00:00:00"/>
    <x v="1"/>
    <x v="5"/>
    <x v="233"/>
    <x v="6"/>
    <x v="2"/>
    <x v="5"/>
    <x v="378"/>
    <x v="3034"/>
    <n v="3"/>
    <x v="3062"/>
  </r>
  <r>
    <d v="2020-06-03T00:00:00"/>
    <x v="1"/>
    <x v="5"/>
    <x v="233"/>
    <x v="6"/>
    <x v="2"/>
    <x v="13"/>
    <x v="1238"/>
    <x v="2572"/>
    <n v="2"/>
    <x v="3063"/>
  </r>
  <r>
    <d v="2020-06-03T00:00:00"/>
    <x v="1"/>
    <x v="5"/>
    <x v="685"/>
    <x v="12"/>
    <x v="2"/>
    <x v="9"/>
    <x v="297"/>
    <x v="3035"/>
    <n v="4"/>
    <x v="3064"/>
  </r>
  <r>
    <d v="2020-06-03T00:00:00"/>
    <x v="1"/>
    <x v="5"/>
    <x v="218"/>
    <x v="21"/>
    <x v="0"/>
    <x v="8"/>
    <x v="1545"/>
    <x v="3036"/>
    <n v="7"/>
    <x v="3065"/>
  </r>
  <r>
    <d v="2020-06-03T00:00:00"/>
    <x v="1"/>
    <x v="5"/>
    <x v="630"/>
    <x v="1"/>
    <x v="1"/>
    <x v="3"/>
    <x v="214"/>
    <x v="3037"/>
    <n v="5"/>
    <x v="2115"/>
  </r>
  <r>
    <d v="2020-06-04T00:00:00"/>
    <x v="1"/>
    <x v="5"/>
    <x v="226"/>
    <x v="33"/>
    <x v="2"/>
    <x v="5"/>
    <x v="238"/>
    <x v="3038"/>
    <n v="7"/>
    <x v="3066"/>
  </r>
  <r>
    <d v="2020-06-04T00:00:00"/>
    <x v="1"/>
    <x v="5"/>
    <x v="226"/>
    <x v="33"/>
    <x v="2"/>
    <x v="5"/>
    <x v="227"/>
    <x v="3039"/>
    <n v="3"/>
    <x v="3067"/>
  </r>
  <r>
    <d v="2020-06-04T00:00:00"/>
    <x v="1"/>
    <x v="5"/>
    <x v="150"/>
    <x v="36"/>
    <x v="2"/>
    <x v="9"/>
    <x v="718"/>
    <x v="3040"/>
    <n v="2"/>
    <x v="856"/>
  </r>
  <r>
    <d v="2020-06-04T00:00:00"/>
    <x v="1"/>
    <x v="5"/>
    <x v="413"/>
    <x v="27"/>
    <x v="2"/>
    <x v="7"/>
    <x v="668"/>
    <x v="3041"/>
    <n v="3"/>
    <x v="775"/>
  </r>
  <r>
    <d v="2020-06-04T00:00:00"/>
    <x v="1"/>
    <x v="5"/>
    <x v="672"/>
    <x v="2"/>
    <x v="2"/>
    <x v="5"/>
    <x v="93"/>
    <x v="3042"/>
    <n v="7"/>
    <x v="3068"/>
  </r>
  <r>
    <d v="2020-06-04T00:00:00"/>
    <x v="1"/>
    <x v="5"/>
    <x v="240"/>
    <x v="4"/>
    <x v="0"/>
    <x v="8"/>
    <x v="942"/>
    <x v="3043"/>
    <n v="2"/>
    <x v="154"/>
  </r>
  <r>
    <d v="2020-06-04T00:00:00"/>
    <x v="1"/>
    <x v="5"/>
    <x v="411"/>
    <x v="2"/>
    <x v="0"/>
    <x v="8"/>
    <x v="1062"/>
    <x v="2691"/>
    <n v="6"/>
    <x v="3069"/>
  </r>
  <r>
    <d v="2020-06-04T00:00:00"/>
    <x v="1"/>
    <x v="5"/>
    <x v="240"/>
    <x v="4"/>
    <x v="1"/>
    <x v="1"/>
    <x v="1546"/>
    <x v="3044"/>
    <n v="2"/>
    <x v="3070"/>
  </r>
  <r>
    <d v="2020-06-05T00:00:00"/>
    <x v="1"/>
    <x v="5"/>
    <x v="48"/>
    <x v="2"/>
    <x v="1"/>
    <x v="1"/>
    <x v="1540"/>
    <x v="3045"/>
    <n v="3"/>
    <x v="3071"/>
  </r>
  <r>
    <d v="2020-06-05T00:00:00"/>
    <x v="1"/>
    <x v="5"/>
    <x v="50"/>
    <x v="6"/>
    <x v="2"/>
    <x v="9"/>
    <x v="349"/>
    <x v="3046"/>
    <n v="4"/>
    <x v="286"/>
  </r>
  <r>
    <d v="2020-06-06T00:00:00"/>
    <x v="1"/>
    <x v="5"/>
    <x v="407"/>
    <x v="1"/>
    <x v="0"/>
    <x v="8"/>
    <x v="791"/>
    <x v="3047"/>
    <n v="1"/>
    <x v="3072"/>
  </r>
  <r>
    <d v="2020-06-06T00:00:00"/>
    <x v="1"/>
    <x v="5"/>
    <x v="407"/>
    <x v="1"/>
    <x v="2"/>
    <x v="2"/>
    <x v="452"/>
    <x v="3048"/>
    <n v="5"/>
    <x v="72"/>
  </r>
  <r>
    <d v="2020-06-08T00:00:00"/>
    <x v="1"/>
    <x v="5"/>
    <x v="547"/>
    <x v="20"/>
    <x v="2"/>
    <x v="5"/>
    <x v="1333"/>
    <x v="3049"/>
    <n v="2"/>
    <x v="3073"/>
  </r>
  <r>
    <d v="2020-06-08T00:00:00"/>
    <x v="1"/>
    <x v="5"/>
    <x v="547"/>
    <x v="20"/>
    <x v="1"/>
    <x v="3"/>
    <x v="914"/>
    <x v="3050"/>
    <n v="7"/>
    <x v="3074"/>
  </r>
  <r>
    <d v="2020-06-08T00:00:00"/>
    <x v="1"/>
    <x v="5"/>
    <x v="258"/>
    <x v="2"/>
    <x v="1"/>
    <x v="1"/>
    <x v="849"/>
    <x v="3051"/>
    <n v="3"/>
    <x v="3075"/>
  </r>
  <r>
    <d v="2020-06-08T00:00:00"/>
    <x v="1"/>
    <x v="5"/>
    <x v="701"/>
    <x v="1"/>
    <x v="0"/>
    <x v="0"/>
    <x v="989"/>
    <x v="3052"/>
    <n v="2"/>
    <x v="3076"/>
  </r>
  <r>
    <d v="2020-06-08T00:00:00"/>
    <x v="1"/>
    <x v="5"/>
    <x v="175"/>
    <x v="2"/>
    <x v="2"/>
    <x v="13"/>
    <x v="1547"/>
    <x v="3053"/>
    <n v="2"/>
    <x v="3077"/>
  </r>
  <r>
    <d v="2020-06-08T00:00:00"/>
    <x v="1"/>
    <x v="5"/>
    <x v="554"/>
    <x v="11"/>
    <x v="2"/>
    <x v="5"/>
    <x v="434"/>
    <x v="3054"/>
    <n v="2"/>
    <x v="3078"/>
  </r>
  <r>
    <d v="2020-06-08T00:00:00"/>
    <x v="1"/>
    <x v="5"/>
    <x v="541"/>
    <x v="17"/>
    <x v="2"/>
    <x v="5"/>
    <x v="485"/>
    <x v="3055"/>
    <n v="4"/>
    <x v="3079"/>
  </r>
  <r>
    <d v="2020-06-08T00:00:00"/>
    <x v="1"/>
    <x v="5"/>
    <x v="701"/>
    <x v="1"/>
    <x v="1"/>
    <x v="1"/>
    <x v="1548"/>
    <x v="2780"/>
    <n v="2"/>
    <x v="3080"/>
  </r>
  <r>
    <d v="2020-06-08T00:00:00"/>
    <x v="1"/>
    <x v="5"/>
    <x v="258"/>
    <x v="2"/>
    <x v="2"/>
    <x v="16"/>
    <x v="1222"/>
    <x v="3056"/>
    <n v="3"/>
    <x v="3081"/>
  </r>
  <r>
    <d v="2020-06-08T00:00:00"/>
    <x v="1"/>
    <x v="5"/>
    <x v="547"/>
    <x v="20"/>
    <x v="2"/>
    <x v="2"/>
    <x v="288"/>
    <x v="3057"/>
    <n v="2"/>
    <x v="1229"/>
  </r>
  <r>
    <d v="2020-06-08T00:00:00"/>
    <x v="1"/>
    <x v="5"/>
    <x v="258"/>
    <x v="2"/>
    <x v="2"/>
    <x v="9"/>
    <x v="84"/>
    <x v="3058"/>
    <n v="3"/>
    <x v="3082"/>
  </r>
  <r>
    <d v="2020-06-09T00:00:00"/>
    <x v="1"/>
    <x v="5"/>
    <x v="443"/>
    <x v="17"/>
    <x v="0"/>
    <x v="4"/>
    <x v="1549"/>
    <x v="3059"/>
    <n v="1"/>
    <x v="3083"/>
  </r>
  <r>
    <d v="2020-06-09T00:00:00"/>
    <x v="1"/>
    <x v="5"/>
    <x v="527"/>
    <x v="2"/>
    <x v="2"/>
    <x v="2"/>
    <x v="152"/>
    <x v="3060"/>
    <n v="5"/>
    <x v="3084"/>
  </r>
  <r>
    <d v="2020-06-09T00:00:00"/>
    <x v="1"/>
    <x v="5"/>
    <x v="443"/>
    <x v="17"/>
    <x v="0"/>
    <x v="8"/>
    <x v="444"/>
    <x v="3061"/>
    <n v="3"/>
    <x v="3085"/>
  </r>
  <r>
    <d v="2020-06-09T00:00:00"/>
    <x v="1"/>
    <x v="5"/>
    <x v="17"/>
    <x v="18"/>
    <x v="2"/>
    <x v="9"/>
    <x v="84"/>
    <x v="3062"/>
    <n v="4"/>
    <x v="1208"/>
  </r>
  <r>
    <d v="2020-06-09T00:00:00"/>
    <x v="1"/>
    <x v="5"/>
    <x v="443"/>
    <x v="17"/>
    <x v="2"/>
    <x v="9"/>
    <x v="400"/>
    <x v="3063"/>
    <n v="8"/>
    <x v="3086"/>
  </r>
  <r>
    <d v="2020-06-10T00:00:00"/>
    <x v="1"/>
    <x v="5"/>
    <x v="198"/>
    <x v="9"/>
    <x v="1"/>
    <x v="1"/>
    <x v="13"/>
    <x v="2270"/>
    <n v="3"/>
    <x v="2441"/>
  </r>
  <r>
    <d v="2020-06-10T00:00:00"/>
    <x v="1"/>
    <x v="5"/>
    <x v="627"/>
    <x v="25"/>
    <x v="1"/>
    <x v="3"/>
    <x v="461"/>
    <x v="3064"/>
    <n v="4"/>
    <x v="3087"/>
  </r>
  <r>
    <d v="2020-06-10T00:00:00"/>
    <x v="1"/>
    <x v="5"/>
    <x v="408"/>
    <x v="1"/>
    <x v="1"/>
    <x v="1"/>
    <x v="799"/>
    <x v="3065"/>
    <n v="5"/>
    <x v="3088"/>
  </r>
  <r>
    <d v="2020-06-10T00:00:00"/>
    <x v="1"/>
    <x v="5"/>
    <x v="408"/>
    <x v="1"/>
    <x v="0"/>
    <x v="0"/>
    <x v="873"/>
    <x v="3066"/>
    <n v="5"/>
    <x v="3089"/>
  </r>
  <r>
    <d v="2020-06-10T00:00:00"/>
    <x v="1"/>
    <x v="5"/>
    <x v="694"/>
    <x v="6"/>
    <x v="2"/>
    <x v="2"/>
    <x v="1272"/>
    <x v="3067"/>
    <n v="8"/>
    <x v="3090"/>
  </r>
  <r>
    <d v="2020-06-10T00:00:00"/>
    <x v="1"/>
    <x v="5"/>
    <x v="669"/>
    <x v="1"/>
    <x v="2"/>
    <x v="7"/>
    <x v="1343"/>
    <x v="3068"/>
    <n v="7"/>
    <x v="3091"/>
  </r>
  <r>
    <d v="2020-06-10T00:00:00"/>
    <x v="1"/>
    <x v="5"/>
    <x v="198"/>
    <x v="9"/>
    <x v="2"/>
    <x v="2"/>
    <x v="1550"/>
    <x v="3069"/>
    <n v="1"/>
    <x v="3092"/>
  </r>
  <r>
    <d v="2020-06-10T00:00:00"/>
    <x v="1"/>
    <x v="5"/>
    <x v="274"/>
    <x v="12"/>
    <x v="2"/>
    <x v="7"/>
    <x v="274"/>
    <x v="3070"/>
    <n v="5"/>
    <x v="3093"/>
  </r>
  <r>
    <d v="2020-06-10T00:00:00"/>
    <x v="1"/>
    <x v="5"/>
    <x v="198"/>
    <x v="9"/>
    <x v="2"/>
    <x v="14"/>
    <x v="76"/>
    <x v="3071"/>
    <n v="4"/>
    <x v="3094"/>
  </r>
  <r>
    <d v="2020-06-10T00:00:00"/>
    <x v="1"/>
    <x v="5"/>
    <x v="408"/>
    <x v="1"/>
    <x v="2"/>
    <x v="14"/>
    <x v="486"/>
    <x v="3072"/>
    <n v="2"/>
    <x v="1494"/>
  </r>
  <r>
    <d v="2020-06-10T00:00:00"/>
    <x v="1"/>
    <x v="5"/>
    <x v="541"/>
    <x v="1"/>
    <x v="2"/>
    <x v="7"/>
    <x v="1086"/>
    <x v="3073"/>
    <n v="5"/>
    <x v="3095"/>
  </r>
  <r>
    <d v="2020-06-10T00:00:00"/>
    <x v="1"/>
    <x v="5"/>
    <x v="128"/>
    <x v="12"/>
    <x v="2"/>
    <x v="12"/>
    <x v="1539"/>
    <x v="3074"/>
    <n v="3"/>
    <x v="3096"/>
  </r>
  <r>
    <d v="2020-06-10T00:00:00"/>
    <x v="1"/>
    <x v="5"/>
    <x v="603"/>
    <x v="5"/>
    <x v="2"/>
    <x v="9"/>
    <x v="1061"/>
    <x v="3075"/>
    <n v="6"/>
    <x v="3097"/>
  </r>
  <r>
    <d v="2020-06-11T00:00:00"/>
    <x v="1"/>
    <x v="5"/>
    <x v="170"/>
    <x v="20"/>
    <x v="2"/>
    <x v="2"/>
    <x v="1052"/>
    <x v="3076"/>
    <n v="4"/>
    <x v="3098"/>
  </r>
  <r>
    <d v="2020-06-11T00:00:00"/>
    <x v="1"/>
    <x v="5"/>
    <x v="195"/>
    <x v="9"/>
    <x v="2"/>
    <x v="2"/>
    <x v="108"/>
    <x v="3077"/>
    <n v="2"/>
    <x v="3099"/>
  </r>
  <r>
    <d v="2020-06-11T00:00:00"/>
    <x v="1"/>
    <x v="5"/>
    <x v="170"/>
    <x v="20"/>
    <x v="2"/>
    <x v="7"/>
    <x v="306"/>
    <x v="3078"/>
    <n v="5"/>
    <x v="3100"/>
  </r>
  <r>
    <d v="2020-06-11T00:00:00"/>
    <x v="1"/>
    <x v="5"/>
    <x v="471"/>
    <x v="1"/>
    <x v="2"/>
    <x v="9"/>
    <x v="107"/>
    <x v="2382"/>
    <n v="3"/>
    <x v="108"/>
  </r>
  <r>
    <d v="2020-06-11T00:00:00"/>
    <x v="1"/>
    <x v="5"/>
    <x v="195"/>
    <x v="9"/>
    <x v="0"/>
    <x v="0"/>
    <x v="1551"/>
    <x v="3079"/>
    <n v="3"/>
    <x v="3101"/>
  </r>
  <r>
    <d v="2020-06-11T00:00:00"/>
    <x v="1"/>
    <x v="5"/>
    <x v="170"/>
    <x v="20"/>
    <x v="2"/>
    <x v="2"/>
    <x v="146"/>
    <x v="3080"/>
    <n v="3"/>
    <x v="3102"/>
  </r>
  <r>
    <d v="2020-06-11T00:00:00"/>
    <x v="1"/>
    <x v="5"/>
    <x v="170"/>
    <x v="20"/>
    <x v="0"/>
    <x v="11"/>
    <x v="1036"/>
    <x v="3081"/>
    <n v="1"/>
    <x v="3103"/>
  </r>
  <r>
    <d v="2020-06-11T00:00:00"/>
    <x v="1"/>
    <x v="5"/>
    <x v="195"/>
    <x v="9"/>
    <x v="1"/>
    <x v="15"/>
    <x v="1552"/>
    <x v="3082"/>
    <n v="5"/>
    <x v="3104"/>
  </r>
  <r>
    <d v="2020-06-11T00:00:00"/>
    <x v="1"/>
    <x v="5"/>
    <x v="102"/>
    <x v="4"/>
    <x v="2"/>
    <x v="5"/>
    <x v="663"/>
    <x v="3083"/>
    <n v="4"/>
    <x v="3105"/>
  </r>
  <r>
    <d v="2020-06-11T00:00:00"/>
    <x v="1"/>
    <x v="5"/>
    <x v="170"/>
    <x v="20"/>
    <x v="2"/>
    <x v="7"/>
    <x v="20"/>
    <x v="3084"/>
    <n v="1"/>
    <x v="3106"/>
  </r>
  <r>
    <d v="2020-06-11T00:00:00"/>
    <x v="1"/>
    <x v="5"/>
    <x v="382"/>
    <x v="36"/>
    <x v="2"/>
    <x v="7"/>
    <x v="564"/>
    <x v="3085"/>
    <n v="2"/>
    <x v="2933"/>
  </r>
  <r>
    <d v="2020-06-11T00:00:00"/>
    <x v="1"/>
    <x v="5"/>
    <x v="195"/>
    <x v="9"/>
    <x v="2"/>
    <x v="5"/>
    <x v="1325"/>
    <x v="3086"/>
    <n v="6"/>
    <x v="3107"/>
  </r>
  <r>
    <d v="2020-06-11T00:00:00"/>
    <x v="1"/>
    <x v="5"/>
    <x v="195"/>
    <x v="9"/>
    <x v="2"/>
    <x v="9"/>
    <x v="326"/>
    <x v="3087"/>
    <n v="2"/>
    <x v="362"/>
  </r>
  <r>
    <d v="2020-06-11T00:00:00"/>
    <x v="1"/>
    <x v="5"/>
    <x v="167"/>
    <x v="1"/>
    <x v="2"/>
    <x v="13"/>
    <x v="1089"/>
    <x v="3088"/>
    <n v="3"/>
    <x v="1533"/>
  </r>
  <r>
    <d v="2020-06-12T00:00:00"/>
    <x v="1"/>
    <x v="5"/>
    <x v="702"/>
    <x v="9"/>
    <x v="1"/>
    <x v="1"/>
    <x v="748"/>
    <x v="3089"/>
    <n v="3"/>
    <x v="891"/>
  </r>
  <r>
    <d v="2020-06-12T00:00:00"/>
    <x v="1"/>
    <x v="5"/>
    <x v="156"/>
    <x v="14"/>
    <x v="2"/>
    <x v="5"/>
    <x v="1044"/>
    <x v="3090"/>
    <n v="3"/>
    <x v="3108"/>
  </r>
  <r>
    <d v="2020-06-12T00:00:00"/>
    <x v="1"/>
    <x v="5"/>
    <x v="156"/>
    <x v="14"/>
    <x v="0"/>
    <x v="4"/>
    <x v="891"/>
    <x v="3091"/>
    <n v="3"/>
    <x v="3109"/>
  </r>
  <r>
    <d v="2020-06-12T00:00:00"/>
    <x v="1"/>
    <x v="5"/>
    <x v="652"/>
    <x v="12"/>
    <x v="0"/>
    <x v="11"/>
    <x v="1505"/>
    <x v="3092"/>
    <n v="4"/>
    <x v="3110"/>
  </r>
  <r>
    <d v="2020-06-12T00:00:00"/>
    <x v="1"/>
    <x v="5"/>
    <x v="468"/>
    <x v="17"/>
    <x v="0"/>
    <x v="8"/>
    <x v="714"/>
    <x v="3093"/>
    <n v="3"/>
    <x v="3111"/>
  </r>
  <r>
    <d v="2020-06-12T00:00:00"/>
    <x v="1"/>
    <x v="5"/>
    <x v="327"/>
    <x v="6"/>
    <x v="0"/>
    <x v="8"/>
    <x v="1045"/>
    <x v="3094"/>
    <n v="2"/>
    <x v="1439"/>
  </r>
  <r>
    <d v="2020-06-12T00:00:00"/>
    <x v="1"/>
    <x v="5"/>
    <x v="652"/>
    <x v="12"/>
    <x v="2"/>
    <x v="9"/>
    <x v="524"/>
    <x v="3095"/>
    <n v="4"/>
    <x v="3112"/>
  </r>
  <r>
    <d v="2020-06-12T00:00:00"/>
    <x v="1"/>
    <x v="5"/>
    <x v="652"/>
    <x v="12"/>
    <x v="2"/>
    <x v="5"/>
    <x v="590"/>
    <x v="3096"/>
    <n v="3"/>
    <x v="3113"/>
  </r>
  <r>
    <d v="2020-06-12T00:00:00"/>
    <x v="1"/>
    <x v="5"/>
    <x v="702"/>
    <x v="9"/>
    <x v="2"/>
    <x v="9"/>
    <x v="1553"/>
    <x v="3097"/>
    <n v="3"/>
    <x v="397"/>
  </r>
  <r>
    <d v="2020-06-12T00:00:00"/>
    <x v="1"/>
    <x v="5"/>
    <x v="412"/>
    <x v="8"/>
    <x v="1"/>
    <x v="3"/>
    <x v="205"/>
    <x v="373"/>
    <n v="2"/>
    <x v="3114"/>
  </r>
  <r>
    <d v="2020-06-12T00:00:00"/>
    <x v="1"/>
    <x v="5"/>
    <x v="652"/>
    <x v="12"/>
    <x v="2"/>
    <x v="7"/>
    <x v="1554"/>
    <x v="3098"/>
    <n v="3"/>
    <x v="3115"/>
  </r>
  <r>
    <d v="2020-06-13T00:00:00"/>
    <x v="1"/>
    <x v="5"/>
    <x v="488"/>
    <x v="17"/>
    <x v="2"/>
    <x v="2"/>
    <x v="108"/>
    <x v="2414"/>
    <n v="4"/>
    <x v="3116"/>
  </r>
  <r>
    <d v="2020-06-13T00:00:00"/>
    <x v="1"/>
    <x v="5"/>
    <x v="26"/>
    <x v="18"/>
    <x v="2"/>
    <x v="7"/>
    <x v="1555"/>
    <x v="3099"/>
    <n v="7"/>
    <x v="3117"/>
  </r>
  <r>
    <d v="2020-06-13T00:00:00"/>
    <x v="1"/>
    <x v="5"/>
    <x v="121"/>
    <x v="9"/>
    <x v="0"/>
    <x v="11"/>
    <x v="1206"/>
    <x v="3100"/>
    <n v="4"/>
    <x v="3118"/>
  </r>
  <r>
    <d v="2020-06-13T00:00:00"/>
    <x v="1"/>
    <x v="5"/>
    <x v="488"/>
    <x v="17"/>
    <x v="0"/>
    <x v="11"/>
    <x v="48"/>
    <x v="3101"/>
    <n v="7"/>
    <x v="3119"/>
  </r>
  <r>
    <d v="2020-06-13T00:00:00"/>
    <x v="1"/>
    <x v="5"/>
    <x v="488"/>
    <x v="17"/>
    <x v="1"/>
    <x v="1"/>
    <x v="748"/>
    <x v="3102"/>
    <n v="2"/>
    <x v="3120"/>
  </r>
  <r>
    <d v="2020-06-15T00:00:00"/>
    <x v="1"/>
    <x v="5"/>
    <x v="18"/>
    <x v="27"/>
    <x v="2"/>
    <x v="2"/>
    <x v="282"/>
    <x v="3103"/>
    <n v="5"/>
    <x v="3121"/>
  </r>
  <r>
    <d v="2020-06-15T00:00:00"/>
    <x v="1"/>
    <x v="5"/>
    <x v="361"/>
    <x v="4"/>
    <x v="0"/>
    <x v="0"/>
    <x v="78"/>
    <x v="3104"/>
    <n v="2"/>
    <x v="3122"/>
  </r>
  <r>
    <d v="2020-06-15T00:00:00"/>
    <x v="1"/>
    <x v="5"/>
    <x v="397"/>
    <x v="21"/>
    <x v="2"/>
    <x v="9"/>
    <x v="1556"/>
    <x v="88"/>
    <n v="5"/>
    <x v="3123"/>
  </r>
  <r>
    <d v="2020-06-15T00:00:00"/>
    <x v="1"/>
    <x v="5"/>
    <x v="397"/>
    <x v="21"/>
    <x v="2"/>
    <x v="13"/>
    <x v="512"/>
    <x v="3105"/>
    <n v="8"/>
    <x v="3124"/>
  </r>
  <r>
    <d v="2020-06-15T00:00:00"/>
    <x v="1"/>
    <x v="5"/>
    <x v="397"/>
    <x v="21"/>
    <x v="0"/>
    <x v="4"/>
    <x v="886"/>
    <x v="3106"/>
    <n v="2"/>
    <x v="3125"/>
  </r>
  <r>
    <d v="2020-06-15T00:00:00"/>
    <x v="1"/>
    <x v="5"/>
    <x v="363"/>
    <x v="1"/>
    <x v="1"/>
    <x v="1"/>
    <x v="1429"/>
    <x v="3107"/>
    <n v="1"/>
    <x v="3126"/>
  </r>
  <r>
    <d v="2020-06-15T00:00:00"/>
    <x v="1"/>
    <x v="5"/>
    <x v="397"/>
    <x v="21"/>
    <x v="2"/>
    <x v="2"/>
    <x v="502"/>
    <x v="3108"/>
    <n v="1"/>
    <x v="3127"/>
  </r>
  <r>
    <d v="2020-06-15T00:00:00"/>
    <x v="1"/>
    <x v="5"/>
    <x v="397"/>
    <x v="21"/>
    <x v="1"/>
    <x v="1"/>
    <x v="1557"/>
    <x v="3109"/>
    <n v="3"/>
    <x v="3128"/>
  </r>
  <r>
    <d v="2020-06-15T00:00:00"/>
    <x v="1"/>
    <x v="5"/>
    <x v="361"/>
    <x v="4"/>
    <x v="0"/>
    <x v="11"/>
    <x v="313"/>
    <x v="3110"/>
    <n v="3"/>
    <x v="2241"/>
  </r>
  <r>
    <d v="2020-06-15T00:00:00"/>
    <x v="1"/>
    <x v="5"/>
    <x v="397"/>
    <x v="21"/>
    <x v="1"/>
    <x v="1"/>
    <x v="1291"/>
    <x v="3111"/>
    <n v="8"/>
    <x v="3129"/>
  </r>
  <r>
    <d v="2020-06-15T00:00:00"/>
    <x v="1"/>
    <x v="5"/>
    <x v="397"/>
    <x v="21"/>
    <x v="0"/>
    <x v="8"/>
    <x v="490"/>
    <x v="3112"/>
    <n v="4"/>
    <x v="3130"/>
  </r>
  <r>
    <d v="2020-06-15T00:00:00"/>
    <x v="1"/>
    <x v="5"/>
    <x v="623"/>
    <x v="1"/>
    <x v="2"/>
    <x v="7"/>
    <x v="330"/>
    <x v="3113"/>
    <n v="1"/>
    <x v="3131"/>
  </r>
  <r>
    <d v="2020-06-15T00:00:00"/>
    <x v="1"/>
    <x v="5"/>
    <x v="18"/>
    <x v="27"/>
    <x v="2"/>
    <x v="9"/>
    <x v="1558"/>
    <x v="3114"/>
    <n v="3"/>
    <x v="220"/>
  </r>
  <r>
    <d v="2020-06-15T00:00:00"/>
    <x v="1"/>
    <x v="5"/>
    <x v="25"/>
    <x v="17"/>
    <x v="2"/>
    <x v="7"/>
    <x v="905"/>
    <x v="3115"/>
    <n v="5"/>
    <x v="3132"/>
  </r>
  <r>
    <d v="2020-06-15T00:00:00"/>
    <x v="1"/>
    <x v="5"/>
    <x v="18"/>
    <x v="27"/>
    <x v="2"/>
    <x v="14"/>
    <x v="1175"/>
    <x v="3116"/>
    <n v="3"/>
    <x v="57"/>
  </r>
  <r>
    <d v="2020-06-15T00:00:00"/>
    <x v="1"/>
    <x v="5"/>
    <x v="703"/>
    <x v="1"/>
    <x v="1"/>
    <x v="1"/>
    <x v="602"/>
    <x v="3117"/>
    <n v="3"/>
    <x v="3133"/>
  </r>
  <r>
    <d v="2020-06-16T00:00:00"/>
    <x v="1"/>
    <x v="5"/>
    <x v="521"/>
    <x v="19"/>
    <x v="2"/>
    <x v="13"/>
    <x v="1559"/>
    <x v="3118"/>
    <n v="3"/>
    <x v="3134"/>
  </r>
  <r>
    <d v="2020-06-16T00:00:00"/>
    <x v="1"/>
    <x v="5"/>
    <x v="339"/>
    <x v="44"/>
    <x v="2"/>
    <x v="9"/>
    <x v="979"/>
    <x v="3119"/>
    <n v="4"/>
    <x v="1297"/>
  </r>
  <r>
    <d v="2020-06-16T00:00:00"/>
    <x v="1"/>
    <x v="5"/>
    <x v="521"/>
    <x v="19"/>
    <x v="1"/>
    <x v="1"/>
    <x v="168"/>
    <x v="3120"/>
    <n v="2"/>
    <x v="1628"/>
  </r>
  <r>
    <d v="2020-06-16T00:00:00"/>
    <x v="1"/>
    <x v="5"/>
    <x v="521"/>
    <x v="19"/>
    <x v="0"/>
    <x v="11"/>
    <x v="271"/>
    <x v="3121"/>
    <n v="2"/>
    <x v="3135"/>
  </r>
  <r>
    <d v="2020-06-16T00:00:00"/>
    <x v="1"/>
    <x v="5"/>
    <x v="133"/>
    <x v="8"/>
    <x v="1"/>
    <x v="3"/>
    <x v="1525"/>
    <x v="3122"/>
    <n v="6"/>
    <x v="3136"/>
  </r>
  <r>
    <d v="2020-06-16T00:00:00"/>
    <x v="1"/>
    <x v="5"/>
    <x v="468"/>
    <x v="1"/>
    <x v="0"/>
    <x v="11"/>
    <x v="96"/>
    <x v="3123"/>
    <n v="7"/>
    <x v="3137"/>
  </r>
  <r>
    <d v="2020-06-16T00:00:00"/>
    <x v="1"/>
    <x v="5"/>
    <x v="257"/>
    <x v="17"/>
    <x v="2"/>
    <x v="5"/>
    <x v="1039"/>
    <x v="3124"/>
    <n v="7"/>
    <x v="3138"/>
  </r>
  <r>
    <d v="2020-06-16T00:00:00"/>
    <x v="1"/>
    <x v="5"/>
    <x v="339"/>
    <x v="44"/>
    <x v="2"/>
    <x v="16"/>
    <x v="826"/>
    <x v="3125"/>
    <n v="2"/>
    <x v="3139"/>
  </r>
  <r>
    <d v="2020-06-16T00:00:00"/>
    <x v="1"/>
    <x v="5"/>
    <x v="133"/>
    <x v="8"/>
    <x v="2"/>
    <x v="7"/>
    <x v="1560"/>
    <x v="3126"/>
    <n v="5"/>
    <x v="3140"/>
  </r>
  <r>
    <d v="2020-06-16T00:00:00"/>
    <x v="1"/>
    <x v="5"/>
    <x v="468"/>
    <x v="1"/>
    <x v="2"/>
    <x v="9"/>
    <x v="317"/>
    <x v="3127"/>
    <n v="2"/>
    <x v="2117"/>
  </r>
  <r>
    <d v="2020-06-16T00:00:00"/>
    <x v="1"/>
    <x v="5"/>
    <x v="33"/>
    <x v="4"/>
    <x v="2"/>
    <x v="7"/>
    <x v="1389"/>
    <x v="3128"/>
    <n v="3"/>
    <x v="3141"/>
  </r>
  <r>
    <d v="2020-06-16T00:00:00"/>
    <x v="1"/>
    <x v="5"/>
    <x v="339"/>
    <x v="44"/>
    <x v="2"/>
    <x v="9"/>
    <x v="1267"/>
    <x v="3129"/>
    <n v="3"/>
    <x v="397"/>
  </r>
  <r>
    <d v="2020-06-16T00:00:00"/>
    <x v="1"/>
    <x v="5"/>
    <x v="521"/>
    <x v="19"/>
    <x v="1"/>
    <x v="1"/>
    <x v="1030"/>
    <x v="3130"/>
    <n v="1"/>
    <x v="3142"/>
  </r>
  <r>
    <d v="2020-06-17T00:00:00"/>
    <x v="1"/>
    <x v="5"/>
    <x v="168"/>
    <x v="12"/>
    <x v="1"/>
    <x v="3"/>
    <x v="1561"/>
    <x v="3131"/>
    <n v="3"/>
    <x v="3143"/>
  </r>
  <r>
    <d v="2020-06-17T00:00:00"/>
    <x v="1"/>
    <x v="5"/>
    <x v="350"/>
    <x v="9"/>
    <x v="0"/>
    <x v="8"/>
    <x v="294"/>
    <x v="3132"/>
    <n v="3"/>
    <x v="3144"/>
  </r>
  <r>
    <d v="2020-06-17T00:00:00"/>
    <x v="1"/>
    <x v="5"/>
    <x v="704"/>
    <x v="22"/>
    <x v="2"/>
    <x v="2"/>
    <x v="1290"/>
    <x v="3133"/>
    <n v="3"/>
    <x v="3145"/>
  </r>
  <r>
    <d v="2020-06-17T00:00:00"/>
    <x v="1"/>
    <x v="5"/>
    <x v="168"/>
    <x v="12"/>
    <x v="1"/>
    <x v="15"/>
    <x v="1562"/>
    <x v="3134"/>
    <n v="5"/>
    <x v="3146"/>
  </r>
  <r>
    <d v="2020-06-17T00:00:00"/>
    <x v="1"/>
    <x v="5"/>
    <x v="585"/>
    <x v="17"/>
    <x v="2"/>
    <x v="9"/>
    <x v="170"/>
    <x v="2096"/>
    <n v="2"/>
    <x v="3147"/>
  </r>
  <r>
    <d v="2020-06-17T00:00:00"/>
    <x v="1"/>
    <x v="5"/>
    <x v="585"/>
    <x v="17"/>
    <x v="2"/>
    <x v="5"/>
    <x v="81"/>
    <x v="3135"/>
    <n v="4"/>
    <x v="3148"/>
  </r>
  <r>
    <d v="2020-06-17T00:00:00"/>
    <x v="1"/>
    <x v="5"/>
    <x v="585"/>
    <x v="17"/>
    <x v="2"/>
    <x v="5"/>
    <x v="1181"/>
    <x v="3136"/>
    <n v="4"/>
    <x v="3149"/>
  </r>
  <r>
    <d v="2020-06-17T00:00:00"/>
    <x v="1"/>
    <x v="5"/>
    <x v="350"/>
    <x v="9"/>
    <x v="2"/>
    <x v="2"/>
    <x v="1360"/>
    <x v="3137"/>
    <n v="1"/>
    <x v="2275"/>
  </r>
  <r>
    <d v="2020-06-17T00:00:00"/>
    <x v="1"/>
    <x v="5"/>
    <x v="705"/>
    <x v="1"/>
    <x v="2"/>
    <x v="5"/>
    <x v="627"/>
    <x v="3138"/>
    <n v="3"/>
    <x v="3150"/>
  </r>
  <r>
    <d v="2020-06-18T00:00:00"/>
    <x v="1"/>
    <x v="5"/>
    <x v="378"/>
    <x v="2"/>
    <x v="2"/>
    <x v="9"/>
    <x v="744"/>
    <x v="3139"/>
    <n v="3"/>
    <x v="1935"/>
  </r>
  <r>
    <d v="2020-06-18T00:00:00"/>
    <x v="1"/>
    <x v="5"/>
    <x v="91"/>
    <x v="1"/>
    <x v="0"/>
    <x v="0"/>
    <x v="103"/>
    <x v="3140"/>
    <n v="9"/>
    <x v="3151"/>
  </r>
  <r>
    <d v="2020-06-18T00:00:00"/>
    <x v="1"/>
    <x v="5"/>
    <x v="91"/>
    <x v="1"/>
    <x v="2"/>
    <x v="9"/>
    <x v="978"/>
    <x v="3141"/>
    <n v="6"/>
    <x v="3152"/>
  </r>
  <r>
    <d v="2020-06-19T00:00:00"/>
    <x v="1"/>
    <x v="5"/>
    <x v="695"/>
    <x v="12"/>
    <x v="2"/>
    <x v="9"/>
    <x v="79"/>
    <x v="3142"/>
    <n v="2"/>
    <x v="1546"/>
  </r>
  <r>
    <d v="2020-06-19T00:00:00"/>
    <x v="1"/>
    <x v="5"/>
    <x v="695"/>
    <x v="12"/>
    <x v="1"/>
    <x v="3"/>
    <x v="1563"/>
    <x v="3143"/>
    <n v="8"/>
    <x v="3153"/>
  </r>
  <r>
    <d v="2020-06-19T00:00:00"/>
    <x v="1"/>
    <x v="5"/>
    <x v="102"/>
    <x v="2"/>
    <x v="2"/>
    <x v="9"/>
    <x v="1120"/>
    <x v="3144"/>
    <n v="8"/>
    <x v="3154"/>
  </r>
  <r>
    <d v="2020-06-19T00:00:00"/>
    <x v="1"/>
    <x v="5"/>
    <x v="345"/>
    <x v="8"/>
    <x v="1"/>
    <x v="3"/>
    <x v="1100"/>
    <x v="3145"/>
    <n v="9"/>
    <x v="3155"/>
  </r>
  <r>
    <d v="2020-06-19T00:00:00"/>
    <x v="1"/>
    <x v="5"/>
    <x v="320"/>
    <x v="12"/>
    <x v="2"/>
    <x v="2"/>
    <x v="1387"/>
    <x v="3146"/>
    <n v="2"/>
    <x v="2400"/>
  </r>
  <r>
    <d v="2020-06-19T00:00:00"/>
    <x v="1"/>
    <x v="5"/>
    <x v="547"/>
    <x v="2"/>
    <x v="2"/>
    <x v="2"/>
    <x v="387"/>
    <x v="3147"/>
    <n v="2"/>
    <x v="3156"/>
  </r>
  <r>
    <d v="2020-06-19T00:00:00"/>
    <x v="1"/>
    <x v="5"/>
    <x v="410"/>
    <x v="2"/>
    <x v="0"/>
    <x v="4"/>
    <x v="1549"/>
    <x v="3148"/>
    <n v="3"/>
    <x v="3157"/>
  </r>
  <r>
    <d v="2020-06-19T00:00:00"/>
    <x v="1"/>
    <x v="5"/>
    <x v="345"/>
    <x v="8"/>
    <x v="0"/>
    <x v="11"/>
    <x v="49"/>
    <x v="3149"/>
    <n v="6"/>
    <x v="3158"/>
  </r>
  <r>
    <d v="2020-06-19T00:00:00"/>
    <x v="1"/>
    <x v="5"/>
    <x v="102"/>
    <x v="2"/>
    <x v="2"/>
    <x v="13"/>
    <x v="1564"/>
    <x v="3150"/>
    <n v="1"/>
    <x v="3159"/>
  </r>
  <r>
    <d v="2020-06-19T00:00:00"/>
    <x v="1"/>
    <x v="5"/>
    <x v="547"/>
    <x v="2"/>
    <x v="2"/>
    <x v="16"/>
    <x v="1358"/>
    <x v="3151"/>
    <n v="1"/>
    <x v="3160"/>
  </r>
  <r>
    <d v="2020-06-19T00:00:00"/>
    <x v="1"/>
    <x v="5"/>
    <x v="591"/>
    <x v="1"/>
    <x v="2"/>
    <x v="9"/>
    <x v="1320"/>
    <x v="3152"/>
    <n v="2"/>
    <x v="1206"/>
  </r>
  <r>
    <d v="2020-06-19T00:00:00"/>
    <x v="1"/>
    <x v="5"/>
    <x v="410"/>
    <x v="2"/>
    <x v="2"/>
    <x v="5"/>
    <x v="951"/>
    <x v="480"/>
    <n v="3"/>
    <x v="3161"/>
  </r>
  <r>
    <d v="2020-06-19T00:00:00"/>
    <x v="1"/>
    <x v="5"/>
    <x v="102"/>
    <x v="2"/>
    <x v="2"/>
    <x v="13"/>
    <x v="1565"/>
    <x v="3153"/>
    <n v="1"/>
    <x v="3162"/>
  </r>
  <r>
    <d v="2020-06-19T00:00:00"/>
    <x v="1"/>
    <x v="5"/>
    <x v="320"/>
    <x v="12"/>
    <x v="2"/>
    <x v="5"/>
    <x v="539"/>
    <x v="3154"/>
    <n v="3"/>
    <x v="3163"/>
  </r>
  <r>
    <d v="2020-06-19T00:00:00"/>
    <x v="1"/>
    <x v="5"/>
    <x v="591"/>
    <x v="1"/>
    <x v="0"/>
    <x v="8"/>
    <x v="516"/>
    <x v="3155"/>
    <n v="4"/>
    <x v="3164"/>
  </r>
  <r>
    <d v="2020-06-19T00:00:00"/>
    <x v="1"/>
    <x v="5"/>
    <x v="345"/>
    <x v="8"/>
    <x v="0"/>
    <x v="8"/>
    <x v="1103"/>
    <x v="3156"/>
    <n v="3"/>
    <x v="3165"/>
  </r>
  <r>
    <d v="2020-06-20T00:00:00"/>
    <x v="1"/>
    <x v="5"/>
    <x v="539"/>
    <x v="12"/>
    <x v="1"/>
    <x v="3"/>
    <x v="1385"/>
    <x v="3157"/>
    <n v="5"/>
    <x v="3166"/>
  </r>
  <r>
    <d v="2020-06-20T00:00:00"/>
    <x v="1"/>
    <x v="5"/>
    <x v="414"/>
    <x v="10"/>
    <x v="1"/>
    <x v="3"/>
    <x v="642"/>
    <x v="3158"/>
    <n v="3"/>
    <x v="746"/>
  </r>
  <r>
    <d v="2020-06-20T00:00:00"/>
    <x v="1"/>
    <x v="5"/>
    <x v="26"/>
    <x v="18"/>
    <x v="1"/>
    <x v="1"/>
    <x v="276"/>
    <x v="3159"/>
    <n v="4"/>
    <x v="3167"/>
  </r>
  <r>
    <d v="2020-06-20T00:00:00"/>
    <x v="1"/>
    <x v="5"/>
    <x v="381"/>
    <x v="6"/>
    <x v="2"/>
    <x v="2"/>
    <x v="1524"/>
    <x v="3160"/>
    <n v="1"/>
    <x v="3168"/>
  </r>
  <r>
    <d v="2020-06-20T00:00:00"/>
    <x v="1"/>
    <x v="5"/>
    <x v="414"/>
    <x v="10"/>
    <x v="2"/>
    <x v="14"/>
    <x v="109"/>
    <x v="3161"/>
    <n v="2"/>
    <x v="1062"/>
  </r>
  <r>
    <d v="2020-06-20T00:00:00"/>
    <x v="1"/>
    <x v="5"/>
    <x v="706"/>
    <x v="8"/>
    <x v="2"/>
    <x v="7"/>
    <x v="684"/>
    <x v="3162"/>
    <n v="2"/>
    <x v="13"/>
  </r>
  <r>
    <d v="2020-06-20T00:00:00"/>
    <x v="1"/>
    <x v="5"/>
    <x v="26"/>
    <x v="18"/>
    <x v="2"/>
    <x v="9"/>
    <x v="628"/>
    <x v="3163"/>
    <n v="5"/>
    <x v="734"/>
  </r>
  <r>
    <d v="2020-06-20T00:00:00"/>
    <x v="1"/>
    <x v="5"/>
    <x v="706"/>
    <x v="8"/>
    <x v="2"/>
    <x v="9"/>
    <x v="1553"/>
    <x v="3164"/>
    <n v="6"/>
    <x v="570"/>
  </r>
  <r>
    <d v="2020-06-20T00:00:00"/>
    <x v="1"/>
    <x v="5"/>
    <x v="539"/>
    <x v="12"/>
    <x v="2"/>
    <x v="5"/>
    <x v="1372"/>
    <x v="3165"/>
    <n v="3"/>
    <x v="3169"/>
  </r>
  <r>
    <d v="2020-06-21T00:00:00"/>
    <x v="1"/>
    <x v="5"/>
    <x v="181"/>
    <x v="47"/>
    <x v="2"/>
    <x v="5"/>
    <x v="503"/>
    <x v="3166"/>
    <n v="5"/>
    <x v="3170"/>
  </r>
  <r>
    <d v="2020-06-21T00:00:00"/>
    <x v="1"/>
    <x v="5"/>
    <x v="181"/>
    <x v="47"/>
    <x v="2"/>
    <x v="9"/>
    <x v="653"/>
    <x v="3167"/>
    <n v="8"/>
    <x v="3171"/>
  </r>
  <r>
    <d v="2020-06-21T00:00:00"/>
    <x v="1"/>
    <x v="5"/>
    <x v="181"/>
    <x v="47"/>
    <x v="2"/>
    <x v="5"/>
    <x v="737"/>
    <x v="3168"/>
    <n v="2"/>
    <x v="2169"/>
  </r>
  <r>
    <d v="2020-06-21T00:00:00"/>
    <x v="1"/>
    <x v="5"/>
    <x v="178"/>
    <x v="8"/>
    <x v="2"/>
    <x v="5"/>
    <x v="921"/>
    <x v="3169"/>
    <n v="6"/>
    <x v="3172"/>
  </r>
  <r>
    <d v="2020-06-21T00:00:00"/>
    <x v="1"/>
    <x v="5"/>
    <x v="178"/>
    <x v="8"/>
    <x v="0"/>
    <x v="8"/>
    <x v="641"/>
    <x v="1469"/>
    <n v="5"/>
    <x v="3173"/>
  </r>
  <r>
    <d v="2020-06-22T00:00:00"/>
    <x v="1"/>
    <x v="5"/>
    <x v="107"/>
    <x v="25"/>
    <x v="0"/>
    <x v="11"/>
    <x v="310"/>
    <x v="3170"/>
    <n v="2"/>
    <x v="360"/>
  </r>
  <r>
    <d v="2020-06-22T00:00:00"/>
    <x v="1"/>
    <x v="5"/>
    <x v="273"/>
    <x v="17"/>
    <x v="2"/>
    <x v="5"/>
    <x v="378"/>
    <x v="3171"/>
    <n v="3"/>
    <x v="3174"/>
  </r>
  <r>
    <d v="2020-06-22T00:00:00"/>
    <x v="1"/>
    <x v="5"/>
    <x v="130"/>
    <x v="5"/>
    <x v="2"/>
    <x v="2"/>
    <x v="1524"/>
    <x v="3172"/>
    <n v="2"/>
    <x v="2951"/>
  </r>
  <r>
    <d v="2020-06-22T00:00:00"/>
    <x v="1"/>
    <x v="5"/>
    <x v="130"/>
    <x v="5"/>
    <x v="2"/>
    <x v="5"/>
    <x v="951"/>
    <x v="3173"/>
    <n v="3"/>
    <x v="3175"/>
  </r>
  <r>
    <d v="2020-06-22T00:00:00"/>
    <x v="1"/>
    <x v="5"/>
    <x v="130"/>
    <x v="5"/>
    <x v="2"/>
    <x v="5"/>
    <x v="1196"/>
    <x v="3174"/>
    <n v="5"/>
    <x v="3176"/>
  </r>
  <r>
    <d v="2020-06-22T00:00:00"/>
    <x v="1"/>
    <x v="5"/>
    <x v="150"/>
    <x v="6"/>
    <x v="2"/>
    <x v="10"/>
    <x v="88"/>
    <x v="3175"/>
    <n v="3"/>
    <x v="3177"/>
  </r>
  <r>
    <d v="2020-06-24T00:00:00"/>
    <x v="1"/>
    <x v="5"/>
    <x v="109"/>
    <x v="1"/>
    <x v="2"/>
    <x v="7"/>
    <x v="730"/>
    <x v="2994"/>
    <n v="8"/>
    <x v="3178"/>
  </r>
  <r>
    <d v="2020-06-24T00:00:00"/>
    <x v="1"/>
    <x v="5"/>
    <x v="707"/>
    <x v="35"/>
    <x v="2"/>
    <x v="5"/>
    <x v="1292"/>
    <x v="3176"/>
    <n v="3"/>
    <x v="3179"/>
  </r>
  <r>
    <d v="2020-06-24T00:00:00"/>
    <x v="1"/>
    <x v="5"/>
    <x v="591"/>
    <x v="12"/>
    <x v="0"/>
    <x v="11"/>
    <x v="1566"/>
    <x v="3177"/>
    <n v="2"/>
    <x v="3180"/>
  </r>
  <r>
    <d v="2020-06-24T00:00:00"/>
    <x v="1"/>
    <x v="5"/>
    <x v="75"/>
    <x v="17"/>
    <x v="2"/>
    <x v="5"/>
    <x v="1253"/>
    <x v="3178"/>
    <n v="3"/>
    <x v="2594"/>
  </r>
  <r>
    <d v="2020-06-24T00:00:00"/>
    <x v="1"/>
    <x v="5"/>
    <x v="591"/>
    <x v="12"/>
    <x v="0"/>
    <x v="8"/>
    <x v="95"/>
    <x v="3179"/>
    <n v="3"/>
    <x v="3181"/>
  </r>
  <r>
    <d v="2020-06-24T00:00:00"/>
    <x v="1"/>
    <x v="5"/>
    <x v="500"/>
    <x v="1"/>
    <x v="2"/>
    <x v="7"/>
    <x v="765"/>
    <x v="3180"/>
    <n v="8"/>
    <x v="3182"/>
  </r>
  <r>
    <d v="2020-06-24T00:00:00"/>
    <x v="1"/>
    <x v="5"/>
    <x v="75"/>
    <x v="17"/>
    <x v="2"/>
    <x v="9"/>
    <x v="975"/>
    <x v="3181"/>
    <n v="3"/>
    <x v="348"/>
  </r>
  <r>
    <d v="2020-06-24T00:00:00"/>
    <x v="1"/>
    <x v="5"/>
    <x v="572"/>
    <x v="8"/>
    <x v="2"/>
    <x v="9"/>
    <x v="426"/>
    <x v="3182"/>
    <n v="3"/>
    <x v="3183"/>
  </r>
  <r>
    <d v="2020-06-24T00:00:00"/>
    <x v="1"/>
    <x v="5"/>
    <x v="470"/>
    <x v="1"/>
    <x v="2"/>
    <x v="12"/>
    <x v="179"/>
    <x v="3183"/>
    <n v="1"/>
    <x v="3184"/>
  </r>
  <r>
    <d v="2020-06-24T00:00:00"/>
    <x v="1"/>
    <x v="5"/>
    <x v="500"/>
    <x v="1"/>
    <x v="2"/>
    <x v="7"/>
    <x v="501"/>
    <x v="3184"/>
    <n v="9"/>
    <x v="3185"/>
  </r>
  <r>
    <d v="2020-06-25T00:00:00"/>
    <x v="1"/>
    <x v="5"/>
    <x v="399"/>
    <x v="29"/>
    <x v="2"/>
    <x v="14"/>
    <x v="486"/>
    <x v="3095"/>
    <n v="6"/>
    <x v="3186"/>
  </r>
  <r>
    <d v="2020-06-25T00:00:00"/>
    <x v="1"/>
    <x v="5"/>
    <x v="67"/>
    <x v="17"/>
    <x v="1"/>
    <x v="1"/>
    <x v="971"/>
    <x v="3185"/>
    <n v="2"/>
    <x v="3187"/>
  </r>
  <r>
    <d v="2020-06-25T00:00:00"/>
    <x v="1"/>
    <x v="5"/>
    <x v="702"/>
    <x v="12"/>
    <x v="0"/>
    <x v="0"/>
    <x v="1264"/>
    <x v="3186"/>
    <n v="1"/>
    <x v="3188"/>
  </r>
  <r>
    <d v="2020-06-25T00:00:00"/>
    <x v="1"/>
    <x v="5"/>
    <x v="485"/>
    <x v="9"/>
    <x v="0"/>
    <x v="4"/>
    <x v="1549"/>
    <x v="3187"/>
    <n v="4"/>
    <x v="3189"/>
  </r>
  <r>
    <d v="2020-06-25T00:00:00"/>
    <x v="1"/>
    <x v="5"/>
    <x v="399"/>
    <x v="29"/>
    <x v="2"/>
    <x v="12"/>
    <x v="1539"/>
    <x v="3188"/>
    <n v="3"/>
    <x v="3190"/>
  </r>
  <r>
    <d v="2020-06-25T00:00:00"/>
    <x v="1"/>
    <x v="5"/>
    <x v="399"/>
    <x v="29"/>
    <x v="2"/>
    <x v="7"/>
    <x v="1035"/>
    <x v="3189"/>
    <n v="2"/>
    <x v="3191"/>
  </r>
  <r>
    <d v="2020-06-26T00:00:00"/>
    <x v="1"/>
    <x v="5"/>
    <x v="678"/>
    <x v="12"/>
    <x v="2"/>
    <x v="9"/>
    <x v="582"/>
    <x v="3190"/>
    <n v="3"/>
    <x v="1372"/>
  </r>
  <r>
    <d v="2020-06-26T00:00:00"/>
    <x v="1"/>
    <x v="5"/>
    <x v="311"/>
    <x v="1"/>
    <x v="2"/>
    <x v="2"/>
    <x v="747"/>
    <x v="2967"/>
    <n v="12"/>
    <x v="3192"/>
  </r>
  <r>
    <d v="2020-06-26T00:00:00"/>
    <x v="1"/>
    <x v="5"/>
    <x v="678"/>
    <x v="12"/>
    <x v="2"/>
    <x v="5"/>
    <x v="167"/>
    <x v="3191"/>
    <n v="2"/>
    <x v="3193"/>
  </r>
  <r>
    <d v="2020-06-26T00:00:00"/>
    <x v="1"/>
    <x v="5"/>
    <x v="38"/>
    <x v="12"/>
    <x v="1"/>
    <x v="1"/>
    <x v="781"/>
    <x v="3192"/>
    <n v="3"/>
    <x v="3194"/>
  </r>
  <r>
    <d v="2020-06-26T00:00:00"/>
    <x v="1"/>
    <x v="5"/>
    <x v="264"/>
    <x v="12"/>
    <x v="2"/>
    <x v="2"/>
    <x v="535"/>
    <x v="3193"/>
    <n v="3"/>
    <x v="72"/>
  </r>
  <r>
    <d v="2020-06-26T00:00:00"/>
    <x v="1"/>
    <x v="5"/>
    <x v="148"/>
    <x v="6"/>
    <x v="0"/>
    <x v="11"/>
    <x v="134"/>
    <x v="3194"/>
    <n v="3"/>
    <x v="3195"/>
  </r>
  <r>
    <d v="2020-06-26T00:00:00"/>
    <x v="1"/>
    <x v="5"/>
    <x v="92"/>
    <x v="5"/>
    <x v="1"/>
    <x v="1"/>
    <x v="633"/>
    <x v="3195"/>
    <n v="3"/>
    <x v="3196"/>
  </r>
  <r>
    <d v="2020-06-26T00:00:00"/>
    <x v="1"/>
    <x v="5"/>
    <x v="409"/>
    <x v="22"/>
    <x v="1"/>
    <x v="3"/>
    <x v="335"/>
    <x v="3196"/>
    <n v="9"/>
    <x v="371"/>
  </r>
  <r>
    <d v="2020-06-26T00:00:00"/>
    <x v="1"/>
    <x v="5"/>
    <x v="668"/>
    <x v="24"/>
    <x v="0"/>
    <x v="8"/>
    <x v="1391"/>
    <x v="3197"/>
    <n v="5"/>
    <x v="3197"/>
  </r>
  <r>
    <d v="2020-06-26T00:00:00"/>
    <x v="1"/>
    <x v="5"/>
    <x v="92"/>
    <x v="5"/>
    <x v="1"/>
    <x v="1"/>
    <x v="253"/>
    <x v="3198"/>
    <n v="14"/>
    <x v="3198"/>
  </r>
  <r>
    <d v="2020-06-26T00:00:00"/>
    <x v="1"/>
    <x v="5"/>
    <x v="708"/>
    <x v="25"/>
    <x v="1"/>
    <x v="1"/>
    <x v="974"/>
    <x v="3199"/>
    <n v="8"/>
    <x v="3199"/>
  </r>
  <r>
    <d v="2020-06-26T00:00:00"/>
    <x v="1"/>
    <x v="5"/>
    <x v="678"/>
    <x v="12"/>
    <x v="2"/>
    <x v="2"/>
    <x v="502"/>
    <x v="3200"/>
    <n v="4"/>
    <x v="3200"/>
  </r>
  <r>
    <d v="2020-06-26T00:00:00"/>
    <x v="1"/>
    <x v="5"/>
    <x v="708"/>
    <x v="25"/>
    <x v="2"/>
    <x v="7"/>
    <x v="1363"/>
    <x v="2193"/>
    <n v="4"/>
    <x v="3201"/>
  </r>
  <r>
    <d v="2020-06-26T00:00:00"/>
    <x v="1"/>
    <x v="5"/>
    <x v="678"/>
    <x v="12"/>
    <x v="2"/>
    <x v="16"/>
    <x v="961"/>
    <x v="3201"/>
    <n v="5"/>
    <x v="3202"/>
  </r>
  <r>
    <d v="2020-06-26T00:00:00"/>
    <x v="1"/>
    <x v="5"/>
    <x v="708"/>
    <x v="25"/>
    <x v="2"/>
    <x v="9"/>
    <x v="1237"/>
    <x v="3202"/>
    <n v="1"/>
    <x v="3203"/>
  </r>
  <r>
    <d v="2020-06-26T00:00:00"/>
    <x v="1"/>
    <x v="5"/>
    <x v="148"/>
    <x v="6"/>
    <x v="2"/>
    <x v="14"/>
    <x v="76"/>
    <x v="3203"/>
    <n v="6"/>
    <x v="1094"/>
  </r>
  <r>
    <d v="2020-06-27T00:00:00"/>
    <x v="1"/>
    <x v="5"/>
    <x v="431"/>
    <x v="9"/>
    <x v="0"/>
    <x v="8"/>
    <x v="1567"/>
    <x v="3204"/>
    <n v="3"/>
    <x v="3204"/>
  </r>
  <r>
    <d v="2020-06-27T00:00:00"/>
    <x v="1"/>
    <x v="5"/>
    <x v="552"/>
    <x v="12"/>
    <x v="0"/>
    <x v="11"/>
    <x v="207"/>
    <x v="3205"/>
    <n v="3"/>
    <x v="3205"/>
  </r>
  <r>
    <d v="2020-06-27T00:00:00"/>
    <x v="1"/>
    <x v="5"/>
    <x v="431"/>
    <x v="9"/>
    <x v="1"/>
    <x v="3"/>
    <x v="280"/>
    <x v="3206"/>
    <n v="5"/>
    <x v="302"/>
  </r>
  <r>
    <d v="2020-06-27T00:00:00"/>
    <x v="1"/>
    <x v="5"/>
    <x v="73"/>
    <x v="34"/>
    <x v="2"/>
    <x v="9"/>
    <x v="577"/>
    <x v="3207"/>
    <n v="3"/>
    <x v="3206"/>
  </r>
  <r>
    <d v="2020-06-27T00:00:00"/>
    <x v="1"/>
    <x v="5"/>
    <x v="431"/>
    <x v="9"/>
    <x v="2"/>
    <x v="9"/>
    <x v="894"/>
    <x v="3208"/>
    <n v="3"/>
    <x v="397"/>
  </r>
  <r>
    <d v="2020-06-29T00:00:00"/>
    <x v="1"/>
    <x v="5"/>
    <x v="20"/>
    <x v="1"/>
    <x v="2"/>
    <x v="2"/>
    <x v="1568"/>
    <x v="3209"/>
    <n v="3"/>
    <x v="3207"/>
  </r>
  <r>
    <d v="2020-06-29T00:00:00"/>
    <x v="1"/>
    <x v="5"/>
    <x v="415"/>
    <x v="2"/>
    <x v="0"/>
    <x v="4"/>
    <x v="1569"/>
    <x v="3210"/>
    <n v="3"/>
    <x v="3208"/>
  </r>
  <r>
    <d v="2020-06-29T00:00:00"/>
    <x v="1"/>
    <x v="5"/>
    <x v="413"/>
    <x v="1"/>
    <x v="2"/>
    <x v="5"/>
    <x v="200"/>
    <x v="3211"/>
    <n v="9"/>
    <x v="3209"/>
  </r>
  <r>
    <d v="2020-06-29T00:00:00"/>
    <x v="1"/>
    <x v="5"/>
    <x v="94"/>
    <x v="27"/>
    <x v="2"/>
    <x v="13"/>
    <x v="1313"/>
    <x v="3212"/>
    <n v="3"/>
    <x v="3210"/>
  </r>
  <r>
    <d v="2020-06-29T00:00:00"/>
    <x v="1"/>
    <x v="5"/>
    <x v="415"/>
    <x v="2"/>
    <x v="0"/>
    <x v="0"/>
    <x v="1080"/>
    <x v="3213"/>
    <n v="3"/>
    <x v="3211"/>
  </r>
  <r>
    <d v="2020-06-29T00:00:00"/>
    <x v="1"/>
    <x v="5"/>
    <x v="148"/>
    <x v="11"/>
    <x v="0"/>
    <x v="0"/>
    <x v="1244"/>
    <x v="3214"/>
    <n v="9"/>
    <x v="3212"/>
  </r>
  <r>
    <d v="2020-06-29T00:00:00"/>
    <x v="1"/>
    <x v="5"/>
    <x v="20"/>
    <x v="1"/>
    <x v="2"/>
    <x v="5"/>
    <x v="1425"/>
    <x v="3215"/>
    <n v="5"/>
    <x v="2745"/>
  </r>
  <r>
    <d v="2020-06-29T00:00:00"/>
    <x v="1"/>
    <x v="5"/>
    <x v="119"/>
    <x v="1"/>
    <x v="2"/>
    <x v="2"/>
    <x v="391"/>
    <x v="3216"/>
    <n v="2"/>
    <x v="3213"/>
  </r>
  <r>
    <d v="2020-06-29T00:00:00"/>
    <x v="1"/>
    <x v="5"/>
    <x v="20"/>
    <x v="1"/>
    <x v="2"/>
    <x v="7"/>
    <x v="1083"/>
    <x v="3217"/>
    <n v="2"/>
    <x v="3214"/>
  </r>
  <r>
    <d v="2020-06-29T00:00:00"/>
    <x v="1"/>
    <x v="5"/>
    <x v="415"/>
    <x v="2"/>
    <x v="2"/>
    <x v="13"/>
    <x v="1570"/>
    <x v="3218"/>
    <n v="2"/>
    <x v="3215"/>
  </r>
  <r>
    <d v="2020-06-29T00:00:00"/>
    <x v="1"/>
    <x v="5"/>
    <x v="148"/>
    <x v="11"/>
    <x v="0"/>
    <x v="8"/>
    <x v="721"/>
    <x v="3219"/>
    <n v="2"/>
    <x v="3216"/>
  </r>
  <r>
    <d v="2020-06-29T00:00:00"/>
    <x v="1"/>
    <x v="5"/>
    <x v="131"/>
    <x v="2"/>
    <x v="2"/>
    <x v="9"/>
    <x v="55"/>
    <x v="3220"/>
    <n v="1"/>
    <x v="137"/>
  </r>
  <r>
    <d v="2020-06-29T00:00:00"/>
    <x v="1"/>
    <x v="5"/>
    <x v="94"/>
    <x v="27"/>
    <x v="2"/>
    <x v="5"/>
    <x v="1033"/>
    <x v="3202"/>
    <n v="2"/>
    <x v="3217"/>
  </r>
  <r>
    <d v="2020-06-29T00:00:00"/>
    <x v="1"/>
    <x v="5"/>
    <x v="148"/>
    <x v="11"/>
    <x v="2"/>
    <x v="16"/>
    <x v="624"/>
    <x v="3221"/>
    <n v="3"/>
    <x v="3218"/>
  </r>
  <r>
    <d v="2020-06-29T00:00:00"/>
    <x v="1"/>
    <x v="5"/>
    <x v="20"/>
    <x v="1"/>
    <x v="1"/>
    <x v="3"/>
    <x v="1571"/>
    <x v="3222"/>
    <n v="3"/>
    <x v="3219"/>
  </r>
  <r>
    <d v="2020-06-30T00:00:00"/>
    <x v="1"/>
    <x v="5"/>
    <x v="709"/>
    <x v="31"/>
    <x v="2"/>
    <x v="5"/>
    <x v="1476"/>
    <x v="3223"/>
    <n v="3"/>
    <x v="3220"/>
  </r>
  <r>
    <d v="2020-06-30T00:00:00"/>
    <x v="1"/>
    <x v="5"/>
    <x v="260"/>
    <x v="1"/>
    <x v="2"/>
    <x v="9"/>
    <x v="925"/>
    <x v="3224"/>
    <n v="5"/>
    <x v="1983"/>
  </r>
  <r>
    <d v="2020-06-30T00:00:00"/>
    <x v="1"/>
    <x v="5"/>
    <x v="400"/>
    <x v="12"/>
    <x v="2"/>
    <x v="2"/>
    <x v="800"/>
    <x v="3225"/>
    <n v="7"/>
    <x v="3221"/>
  </r>
  <r>
    <d v="2020-06-30T00:00:00"/>
    <x v="1"/>
    <x v="5"/>
    <x v="417"/>
    <x v="1"/>
    <x v="0"/>
    <x v="0"/>
    <x v="1202"/>
    <x v="3226"/>
    <n v="3"/>
    <x v="711"/>
  </r>
  <r>
    <d v="2020-06-30T00:00:00"/>
    <x v="1"/>
    <x v="5"/>
    <x v="407"/>
    <x v="17"/>
    <x v="0"/>
    <x v="11"/>
    <x v="661"/>
    <x v="3227"/>
    <n v="3"/>
    <x v="3222"/>
  </r>
  <r>
    <d v="2020-06-30T00:00:00"/>
    <x v="1"/>
    <x v="5"/>
    <x v="407"/>
    <x v="17"/>
    <x v="1"/>
    <x v="1"/>
    <x v="1081"/>
    <x v="3228"/>
    <n v="2"/>
    <x v="1513"/>
  </r>
  <r>
    <d v="2020-06-30T00:00:00"/>
    <x v="1"/>
    <x v="5"/>
    <x v="428"/>
    <x v="12"/>
    <x v="0"/>
    <x v="4"/>
    <x v="1322"/>
    <x v="3229"/>
    <n v="5"/>
    <x v="3223"/>
  </r>
  <r>
    <d v="2020-06-30T00:00:00"/>
    <x v="1"/>
    <x v="5"/>
    <x v="694"/>
    <x v="12"/>
    <x v="2"/>
    <x v="2"/>
    <x v="1155"/>
    <x v="3230"/>
    <n v="7"/>
    <x v="1694"/>
  </r>
  <r>
    <d v="2020-06-30T00:00:00"/>
    <x v="1"/>
    <x v="5"/>
    <x v="400"/>
    <x v="12"/>
    <x v="0"/>
    <x v="8"/>
    <x v="1277"/>
    <x v="3231"/>
    <n v="1"/>
    <x v="3224"/>
  </r>
  <r>
    <d v="2020-06-30T00:00:00"/>
    <x v="1"/>
    <x v="5"/>
    <x v="315"/>
    <x v="21"/>
    <x v="0"/>
    <x v="8"/>
    <x v="858"/>
    <x v="3232"/>
    <n v="2"/>
    <x v="3225"/>
  </r>
  <r>
    <d v="2020-06-30T00:00:00"/>
    <x v="1"/>
    <x v="5"/>
    <x v="407"/>
    <x v="17"/>
    <x v="0"/>
    <x v="8"/>
    <x v="315"/>
    <x v="3233"/>
    <n v="2"/>
    <x v="3226"/>
  </r>
  <r>
    <d v="2020-07-01T00:00:00"/>
    <x v="1"/>
    <x v="6"/>
    <x v="111"/>
    <x v="24"/>
    <x v="2"/>
    <x v="5"/>
    <x v="1043"/>
    <x v="3234"/>
    <n v="1"/>
    <x v="3227"/>
  </r>
  <r>
    <d v="2020-07-01T00:00:00"/>
    <x v="1"/>
    <x v="6"/>
    <x v="111"/>
    <x v="24"/>
    <x v="2"/>
    <x v="2"/>
    <x v="1157"/>
    <x v="3235"/>
    <n v="4"/>
    <x v="3228"/>
  </r>
  <r>
    <d v="2020-07-01T00:00:00"/>
    <x v="1"/>
    <x v="6"/>
    <x v="111"/>
    <x v="24"/>
    <x v="2"/>
    <x v="9"/>
    <x v="433"/>
    <x v="3236"/>
    <n v="4"/>
    <x v="1384"/>
  </r>
  <r>
    <d v="2020-07-02T00:00:00"/>
    <x v="1"/>
    <x v="6"/>
    <x v="351"/>
    <x v="2"/>
    <x v="2"/>
    <x v="9"/>
    <x v="107"/>
    <x v="3237"/>
    <n v="5"/>
    <x v="3229"/>
  </r>
  <r>
    <d v="2020-07-02T00:00:00"/>
    <x v="1"/>
    <x v="6"/>
    <x v="351"/>
    <x v="2"/>
    <x v="2"/>
    <x v="5"/>
    <x v="1528"/>
    <x v="3238"/>
    <n v="4"/>
    <x v="3230"/>
  </r>
  <r>
    <d v="2020-07-03T00:00:00"/>
    <x v="1"/>
    <x v="6"/>
    <x v="584"/>
    <x v="1"/>
    <x v="2"/>
    <x v="2"/>
    <x v="288"/>
    <x v="3239"/>
    <n v="4"/>
    <x v="312"/>
  </r>
  <r>
    <d v="2020-07-03T00:00:00"/>
    <x v="1"/>
    <x v="6"/>
    <x v="502"/>
    <x v="13"/>
    <x v="0"/>
    <x v="8"/>
    <x v="1469"/>
    <x v="3240"/>
    <n v="1"/>
    <x v="3231"/>
  </r>
  <r>
    <d v="2020-07-03T00:00:00"/>
    <x v="1"/>
    <x v="6"/>
    <x v="572"/>
    <x v="1"/>
    <x v="0"/>
    <x v="8"/>
    <x v="1362"/>
    <x v="3241"/>
    <n v="3"/>
    <x v="3232"/>
  </r>
  <r>
    <d v="2020-07-03T00:00:00"/>
    <x v="1"/>
    <x v="6"/>
    <x v="584"/>
    <x v="2"/>
    <x v="1"/>
    <x v="1"/>
    <x v="23"/>
    <x v="3242"/>
    <n v="4"/>
    <x v="3233"/>
  </r>
  <r>
    <d v="2020-07-03T00:00:00"/>
    <x v="1"/>
    <x v="6"/>
    <x v="448"/>
    <x v="8"/>
    <x v="0"/>
    <x v="4"/>
    <x v="1572"/>
    <x v="3243"/>
    <n v="2"/>
    <x v="3234"/>
  </r>
  <r>
    <d v="2020-07-03T00:00:00"/>
    <x v="1"/>
    <x v="6"/>
    <x v="489"/>
    <x v="2"/>
    <x v="2"/>
    <x v="9"/>
    <x v="1093"/>
    <x v="3244"/>
    <n v="7"/>
    <x v="3235"/>
  </r>
  <r>
    <d v="2020-07-03T00:00:00"/>
    <x v="1"/>
    <x v="6"/>
    <x v="306"/>
    <x v="26"/>
    <x v="1"/>
    <x v="3"/>
    <x v="1491"/>
    <x v="3245"/>
    <n v="10"/>
    <x v="3236"/>
  </r>
  <r>
    <d v="2020-07-03T00:00:00"/>
    <x v="1"/>
    <x v="6"/>
    <x v="710"/>
    <x v="14"/>
    <x v="1"/>
    <x v="1"/>
    <x v="168"/>
    <x v="3246"/>
    <n v="3"/>
    <x v="3237"/>
  </r>
  <r>
    <d v="2020-07-03T00:00:00"/>
    <x v="1"/>
    <x v="6"/>
    <x v="58"/>
    <x v="44"/>
    <x v="0"/>
    <x v="8"/>
    <x v="1573"/>
    <x v="3247"/>
    <n v="9"/>
    <x v="3238"/>
  </r>
  <r>
    <d v="2020-07-03T00:00:00"/>
    <x v="1"/>
    <x v="6"/>
    <x v="489"/>
    <x v="2"/>
    <x v="1"/>
    <x v="15"/>
    <x v="1574"/>
    <x v="3248"/>
    <n v="3"/>
    <x v="3239"/>
  </r>
  <r>
    <d v="2020-07-03T00:00:00"/>
    <x v="1"/>
    <x v="6"/>
    <x v="711"/>
    <x v="9"/>
    <x v="1"/>
    <x v="3"/>
    <x v="950"/>
    <x v="3249"/>
    <n v="4"/>
    <x v="3240"/>
  </r>
  <r>
    <d v="2020-07-03T00:00:00"/>
    <x v="1"/>
    <x v="6"/>
    <x v="711"/>
    <x v="9"/>
    <x v="1"/>
    <x v="15"/>
    <x v="240"/>
    <x v="3250"/>
    <n v="6"/>
    <x v="3241"/>
  </r>
  <r>
    <d v="2020-07-03T00:00:00"/>
    <x v="1"/>
    <x v="6"/>
    <x v="682"/>
    <x v="4"/>
    <x v="2"/>
    <x v="7"/>
    <x v="501"/>
    <x v="3251"/>
    <n v="3"/>
    <x v="3242"/>
  </r>
  <r>
    <d v="2020-07-03T00:00:00"/>
    <x v="1"/>
    <x v="6"/>
    <x v="711"/>
    <x v="9"/>
    <x v="1"/>
    <x v="1"/>
    <x v="1575"/>
    <x v="3252"/>
    <n v="1"/>
    <x v="3243"/>
  </r>
  <r>
    <d v="2020-07-03T00:00:00"/>
    <x v="1"/>
    <x v="6"/>
    <x v="448"/>
    <x v="8"/>
    <x v="2"/>
    <x v="9"/>
    <x v="1576"/>
    <x v="3253"/>
    <n v="4"/>
    <x v="3244"/>
  </r>
  <r>
    <d v="2020-07-03T00:00:00"/>
    <x v="1"/>
    <x v="6"/>
    <x v="306"/>
    <x v="26"/>
    <x v="2"/>
    <x v="9"/>
    <x v="439"/>
    <x v="3254"/>
    <n v="2"/>
    <x v="1206"/>
  </r>
  <r>
    <d v="2020-07-03T00:00:00"/>
    <x v="1"/>
    <x v="6"/>
    <x v="710"/>
    <x v="14"/>
    <x v="0"/>
    <x v="8"/>
    <x v="1420"/>
    <x v="3255"/>
    <n v="1"/>
    <x v="3245"/>
  </r>
  <r>
    <d v="2020-07-03T00:00:00"/>
    <x v="1"/>
    <x v="6"/>
    <x v="712"/>
    <x v="4"/>
    <x v="1"/>
    <x v="3"/>
    <x v="677"/>
    <x v="1821"/>
    <n v="2"/>
    <x v="3246"/>
  </r>
  <r>
    <d v="2020-07-03T00:00:00"/>
    <x v="1"/>
    <x v="6"/>
    <x v="448"/>
    <x v="8"/>
    <x v="2"/>
    <x v="9"/>
    <x v="930"/>
    <x v="3256"/>
    <n v="6"/>
    <x v="1260"/>
  </r>
  <r>
    <d v="2020-07-03T00:00:00"/>
    <x v="1"/>
    <x v="6"/>
    <x v="711"/>
    <x v="9"/>
    <x v="1"/>
    <x v="3"/>
    <x v="45"/>
    <x v="3257"/>
    <n v="2"/>
    <x v="816"/>
  </r>
  <r>
    <d v="2020-07-05T00:00:00"/>
    <x v="1"/>
    <x v="6"/>
    <x v="375"/>
    <x v="2"/>
    <x v="0"/>
    <x v="8"/>
    <x v="95"/>
    <x v="3258"/>
    <n v="9"/>
    <x v="3247"/>
  </r>
  <r>
    <d v="2020-07-05T00:00:00"/>
    <x v="1"/>
    <x v="6"/>
    <x v="375"/>
    <x v="2"/>
    <x v="2"/>
    <x v="5"/>
    <x v="1476"/>
    <x v="3259"/>
    <n v="1"/>
    <x v="3248"/>
  </r>
  <r>
    <d v="2020-07-05T00:00:00"/>
    <x v="1"/>
    <x v="6"/>
    <x v="375"/>
    <x v="2"/>
    <x v="2"/>
    <x v="5"/>
    <x v="545"/>
    <x v="3260"/>
    <n v="9"/>
    <x v="3249"/>
  </r>
  <r>
    <d v="2020-07-05T00:00:00"/>
    <x v="1"/>
    <x v="6"/>
    <x v="375"/>
    <x v="2"/>
    <x v="2"/>
    <x v="9"/>
    <x v="660"/>
    <x v="3261"/>
    <n v="3"/>
    <x v="766"/>
  </r>
  <r>
    <d v="2020-07-05T00:00:00"/>
    <x v="1"/>
    <x v="6"/>
    <x v="375"/>
    <x v="2"/>
    <x v="2"/>
    <x v="9"/>
    <x v="1022"/>
    <x v="3262"/>
    <n v="6"/>
    <x v="3250"/>
  </r>
  <r>
    <d v="2020-07-05T00:00:00"/>
    <x v="1"/>
    <x v="6"/>
    <x v="151"/>
    <x v="34"/>
    <x v="1"/>
    <x v="1"/>
    <x v="602"/>
    <x v="2350"/>
    <n v="4"/>
    <x v="3251"/>
  </r>
  <r>
    <d v="2020-07-06T00:00:00"/>
    <x v="1"/>
    <x v="6"/>
    <x v="444"/>
    <x v="1"/>
    <x v="0"/>
    <x v="11"/>
    <x v="984"/>
    <x v="3263"/>
    <n v="3"/>
    <x v="3252"/>
  </r>
  <r>
    <d v="2020-07-06T00:00:00"/>
    <x v="1"/>
    <x v="6"/>
    <x v="478"/>
    <x v="6"/>
    <x v="0"/>
    <x v="11"/>
    <x v="1577"/>
    <x v="3264"/>
    <n v="1"/>
    <x v="3253"/>
  </r>
  <r>
    <d v="2020-07-06T00:00:00"/>
    <x v="1"/>
    <x v="6"/>
    <x v="602"/>
    <x v="5"/>
    <x v="2"/>
    <x v="5"/>
    <x v="543"/>
    <x v="3265"/>
    <n v="2"/>
    <x v="3254"/>
  </r>
  <r>
    <d v="2020-07-06T00:00:00"/>
    <x v="1"/>
    <x v="6"/>
    <x v="602"/>
    <x v="5"/>
    <x v="2"/>
    <x v="9"/>
    <x v="1578"/>
    <x v="3266"/>
    <n v="3"/>
    <x v="3255"/>
  </r>
  <r>
    <d v="2020-07-07T00:00:00"/>
    <x v="1"/>
    <x v="6"/>
    <x v="290"/>
    <x v="5"/>
    <x v="0"/>
    <x v="0"/>
    <x v="1551"/>
    <x v="3267"/>
    <n v="3"/>
    <x v="3256"/>
  </r>
  <r>
    <d v="2020-07-07T00:00:00"/>
    <x v="1"/>
    <x v="6"/>
    <x v="524"/>
    <x v="35"/>
    <x v="1"/>
    <x v="3"/>
    <x v="1350"/>
    <x v="3268"/>
    <n v="4"/>
    <x v="3257"/>
  </r>
  <r>
    <d v="2020-07-07T00:00:00"/>
    <x v="1"/>
    <x v="6"/>
    <x v="290"/>
    <x v="5"/>
    <x v="1"/>
    <x v="3"/>
    <x v="593"/>
    <x v="3269"/>
    <n v="2"/>
    <x v="3258"/>
  </r>
  <r>
    <d v="2020-07-07T00:00:00"/>
    <x v="1"/>
    <x v="6"/>
    <x v="290"/>
    <x v="5"/>
    <x v="1"/>
    <x v="1"/>
    <x v="1579"/>
    <x v="3270"/>
    <n v="2"/>
    <x v="3259"/>
  </r>
  <r>
    <d v="2020-07-07T00:00:00"/>
    <x v="1"/>
    <x v="6"/>
    <x v="290"/>
    <x v="5"/>
    <x v="2"/>
    <x v="2"/>
    <x v="1524"/>
    <x v="3271"/>
    <n v="3"/>
    <x v="3260"/>
  </r>
  <r>
    <d v="2020-07-07T00:00:00"/>
    <x v="1"/>
    <x v="6"/>
    <x v="133"/>
    <x v="12"/>
    <x v="2"/>
    <x v="5"/>
    <x v="42"/>
    <x v="3272"/>
    <n v="3"/>
    <x v="3261"/>
  </r>
  <r>
    <d v="2020-07-07T00:00:00"/>
    <x v="1"/>
    <x v="6"/>
    <x v="297"/>
    <x v="1"/>
    <x v="2"/>
    <x v="12"/>
    <x v="742"/>
    <x v="3273"/>
    <n v="3"/>
    <x v="3262"/>
  </r>
  <r>
    <d v="2020-07-07T00:00:00"/>
    <x v="1"/>
    <x v="6"/>
    <x v="290"/>
    <x v="5"/>
    <x v="2"/>
    <x v="9"/>
    <x v="818"/>
    <x v="3274"/>
    <n v="3"/>
    <x v="29"/>
  </r>
  <r>
    <d v="2020-07-07T00:00:00"/>
    <x v="1"/>
    <x v="6"/>
    <x v="290"/>
    <x v="5"/>
    <x v="1"/>
    <x v="3"/>
    <x v="719"/>
    <x v="3275"/>
    <n v="3"/>
    <x v="3263"/>
  </r>
  <r>
    <d v="2020-07-08T00:00:00"/>
    <x v="1"/>
    <x v="6"/>
    <x v="401"/>
    <x v="1"/>
    <x v="2"/>
    <x v="14"/>
    <x v="1580"/>
    <x v="3276"/>
    <n v="6"/>
    <x v="3264"/>
  </r>
  <r>
    <d v="2020-07-08T00:00:00"/>
    <x v="1"/>
    <x v="6"/>
    <x v="40"/>
    <x v="23"/>
    <x v="0"/>
    <x v="8"/>
    <x v="575"/>
    <x v="3277"/>
    <n v="4"/>
    <x v="3265"/>
  </r>
  <r>
    <d v="2020-07-08T00:00:00"/>
    <x v="1"/>
    <x v="6"/>
    <x v="696"/>
    <x v="9"/>
    <x v="2"/>
    <x v="5"/>
    <x v="1186"/>
    <x v="3278"/>
    <n v="3"/>
    <x v="3266"/>
  </r>
  <r>
    <d v="2020-07-08T00:00:00"/>
    <x v="1"/>
    <x v="6"/>
    <x v="448"/>
    <x v="1"/>
    <x v="0"/>
    <x v="8"/>
    <x v="1581"/>
    <x v="3279"/>
    <n v="5"/>
    <x v="3267"/>
  </r>
  <r>
    <d v="2020-07-08T00:00:00"/>
    <x v="1"/>
    <x v="6"/>
    <x v="40"/>
    <x v="23"/>
    <x v="1"/>
    <x v="3"/>
    <x v="1118"/>
    <x v="3280"/>
    <n v="5"/>
    <x v="3268"/>
  </r>
  <r>
    <d v="2020-07-08T00:00:00"/>
    <x v="1"/>
    <x v="6"/>
    <x v="40"/>
    <x v="23"/>
    <x v="2"/>
    <x v="7"/>
    <x v="1368"/>
    <x v="3281"/>
    <n v="5"/>
    <x v="3269"/>
  </r>
  <r>
    <d v="2020-07-08T00:00:00"/>
    <x v="1"/>
    <x v="6"/>
    <x v="713"/>
    <x v="9"/>
    <x v="0"/>
    <x v="8"/>
    <x v="513"/>
    <x v="3282"/>
    <n v="2"/>
    <x v="3270"/>
  </r>
  <r>
    <d v="2020-07-08T00:00:00"/>
    <x v="1"/>
    <x v="6"/>
    <x v="713"/>
    <x v="9"/>
    <x v="2"/>
    <x v="14"/>
    <x v="1169"/>
    <x v="3283"/>
    <n v="8"/>
    <x v="3271"/>
  </r>
  <r>
    <d v="2020-07-08T00:00:00"/>
    <x v="1"/>
    <x v="6"/>
    <x v="696"/>
    <x v="9"/>
    <x v="0"/>
    <x v="8"/>
    <x v="1351"/>
    <x v="3284"/>
    <n v="3"/>
    <x v="1155"/>
  </r>
  <r>
    <d v="2020-07-08T00:00:00"/>
    <x v="1"/>
    <x v="6"/>
    <x v="696"/>
    <x v="9"/>
    <x v="2"/>
    <x v="7"/>
    <x v="948"/>
    <x v="3285"/>
    <n v="3"/>
    <x v="3272"/>
  </r>
  <r>
    <d v="2020-07-08T00:00:00"/>
    <x v="1"/>
    <x v="6"/>
    <x v="25"/>
    <x v="26"/>
    <x v="2"/>
    <x v="7"/>
    <x v="1582"/>
    <x v="2550"/>
    <n v="3"/>
    <x v="3273"/>
  </r>
  <r>
    <d v="2020-07-08T00:00:00"/>
    <x v="1"/>
    <x v="6"/>
    <x v="696"/>
    <x v="9"/>
    <x v="2"/>
    <x v="7"/>
    <x v="1324"/>
    <x v="3286"/>
    <n v="4"/>
    <x v="3274"/>
  </r>
  <r>
    <d v="2020-07-08T00:00:00"/>
    <x v="1"/>
    <x v="6"/>
    <x v="40"/>
    <x v="23"/>
    <x v="2"/>
    <x v="7"/>
    <x v="834"/>
    <x v="3287"/>
    <n v="7"/>
    <x v="3275"/>
  </r>
  <r>
    <d v="2020-07-08T00:00:00"/>
    <x v="1"/>
    <x v="6"/>
    <x v="25"/>
    <x v="26"/>
    <x v="2"/>
    <x v="7"/>
    <x v="1530"/>
    <x v="2188"/>
    <n v="2"/>
    <x v="3276"/>
  </r>
  <r>
    <d v="2020-07-08T00:00:00"/>
    <x v="1"/>
    <x v="6"/>
    <x v="713"/>
    <x v="9"/>
    <x v="2"/>
    <x v="5"/>
    <x v="1281"/>
    <x v="3288"/>
    <n v="2"/>
    <x v="3277"/>
  </r>
  <r>
    <d v="2020-07-08T00:00:00"/>
    <x v="1"/>
    <x v="6"/>
    <x v="25"/>
    <x v="26"/>
    <x v="2"/>
    <x v="9"/>
    <x v="84"/>
    <x v="3289"/>
    <n v="2"/>
    <x v="1206"/>
  </r>
  <r>
    <d v="2020-07-08T00:00:00"/>
    <x v="1"/>
    <x v="6"/>
    <x v="40"/>
    <x v="23"/>
    <x v="0"/>
    <x v="8"/>
    <x v="1583"/>
    <x v="3290"/>
    <n v="2"/>
    <x v="3278"/>
  </r>
  <r>
    <d v="2020-07-08T00:00:00"/>
    <x v="1"/>
    <x v="6"/>
    <x v="714"/>
    <x v="9"/>
    <x v="2"/>
    <x v="9"/>
    <x v="84"/>
    <x v="3291"/>
    <n v="2"/>
    <x v="3279"/>
  </r>
  <r>
    <d v="2020-07-08T00:00:00"/>
    <x v="1"/>
    <x v="6"/>
    <x v="713"/>
    <x v="9"/>
    <x v="1"/>
    <x v="3"/>
    <x v="113"/>
    <x v="3292"/>
    <n v="2"/>
    <x v="3280"/>
  </r>
  <r>
    <d v="2020-07-09T00:00:00"/>
    <x v="1"/>
    <x v="6"/>
    <x v="604"/>
    <x v="11"/>
    <x v="2"/>
    <x v="7"/>
    <x v="963"/>
    <x v="201"/>
    <n v="6"/>
    <x v="3281"/>
  </r>
  <r>
    <d v="2020-07-09T00:00:00"/>
    <x v="1"/>
    <x v="6"/>
    <x v="604"/>
    <x v="11"/>
    <x v="2"/>
    <x v="2"/>
    <x v="462"/>
    <x v="3293"/>
    <n v="4"/>
    <x v="3282"/>
  </r>
  <r>
    <d v="2020-07-09T00:00:00"/>
    <x v="1"/>
    <x v="6"/>
    <x v="650"/>
    <x v="17"/>
    <x v="2"/>
    <x v="2"/>
    <x v="2"/>
    <x v="3294"/>
    <n v="5"/>
    <x v="3283"/>
  </r>
  <r>
    <d v="2020-07-09T00:00:00"/>
    <x v="1"/>
    <x v="6"/>
    <x v="604"/>
    <x v="11"/>
    <x v="1"/>
    <x v="1"/>
    <x v="548"/>
    <x v="3295"/>
    <n v="2"/>
    <x v="619"/>
  </r>
  <r>
    <d v="2020-07-09T00:00:00"/>
    <x v="1"/>
    <x v="6"/>
    <x v="604"/>
    <x v="11"/>
    <x v="2"/>
    <x v="9"/>
    <x v="448"/>
    <x v="3296"/>
    <n v="5"/>
    <x v="3284"/>
  </r>
  <r>
    <d v="2020-07-09T00:00:00"/>
    <x v="1"/>
    <x v="6"/>
    <x v="715"/>
    <x v="24"/>
    <x v="0"/>
    <x v="8"/>
    <x v="1391"/>
    <x v="3197"/>
    <n v="5"/>
    <x v="3197"/>
  </r>
  <r>
    <d v="2020-07-09T00:00:00"/>
    <x v="1"/>
    <x v="6"/>
    <x v="25"/>
    <x v="29"/>
    <x v="2"/>
    <x v="5"/>
    <x v="820"/>
    <x v="3297"/>
    <n v="2"/>
    <x v="3285"/>
  </r>
  <r>
    <d v="2020-07-09T00:00:00"/>
    <x v="1"/>
    <x v="6"/>
    <x v="50"/>
    <x v="17"/>
    <x v="2"/>
    <x v="7"/>
    <x v="1584"/>
    <x v="3298"/>
    <n v="5"/>
    <x v="2644"/>
  </r>
  <r>
    <d v="2020-07-09T00:00:00"/>
    <x v="1"/>
    <x v="6"/>
    <x v="50"/>
    <x v="17"/>
    <x v="2"/>
    <x v="13"/>
    <x v="1197"/>
    <x v="3299"/>
    <n v="9"/>
    <x v="3286"/>
  </r>
  <r>
    <d v="2020-07-10T00:00:00"/>
    <x v="1"/>
    <x v="6"/>
    <x v="716"/>
    <x v="17"/>
    <x v="2"/>
    <x v="2"/>
    <x v="110"/>
    <x v="3300"/>
    <n v="6"/>
    <x v="3287"/>
  </r>
  <r>
    <d v="2020-07-10T00:00:00"/>
    <x v="1"/>
    <x v="6"/>
    <x v="348"/>
    <x v="14"/>
    <x v="0"/>
    <x v="8"/>
    <x v="1346"/>
    <x v="3301"/>
    <n v="3"/>
    <x v="3288"/>
  </r>
  <r>
    <d v="2020-07-10T00:00:00"/>
    <x v="1"/>
    <x v="6"/>
    <x v="717"/>
    <x v="14"/>
    <x v="2"/>
    <x v="13"/>
    <x v="327"/>
    <x v="3302"/>
    <n v="3"/>
    <x v="3289"/>
  </r>
  <r>
    <d v="2020-07-11T00:00:00"/>
    <x v="1"/>
    <x v="6"/>
    <x v="435"/>
    <x v="1"/>
    <x v="1"/>
    <x v="1"/>
    <x v="268"/>
    <x v="3303"/>
    <n v="6"/>
    <x v="3290"/>
  </r>
  <r>
    <d v="2020-07-11T00:00:00"/>
    <x v="1"/>
    <x v="6"/>
    <x v="692"/>
    <x v="12"/>
    <x v="1"/>
    <x v="3"/>
    <x v="1136"/>
    <x v="3304"/>
    <n v="6"/>
    <x v="3291"/>
  </r>
  <r>
    <d v="2020-07-11T00:00:00"/>
    <x v="1"/>
    <x v="6"/>
    <x v="57"/>
    <x v="1"/>
    <x v="2"/>
    <x v="13"/>
    <x v="1466"/>
    <x v="3305"/>
    <n v="5"/>
    <x v="3292"/>
  </r>
  <r>
    <d v="2020-07-11T00:00:00"/>
    <x v="1"/>
    <x v="6"/>
    <x v="57"/>
    <x v="1"/>
    <x v="1"/>
    <x v="3"/>
    <x v="280"/>
    <x v="3306"/>
    <n v="5"/>
    <x v="302"/>
  </r>
  <r>
    <d v="2020-07-11T00:00:00"/>
    <x v="1"/>
    <x v="6"/>
    <x v="685"/>
    <x v="1"/>
    <x v="2"/>
    <x v="14"/>
    <x v="1585"/>
    <x v="3307"/>
    <n v="3"/>
    <x v="144"/>
  </r>
  <r>
    <d v="2020-07-11T00:00:00"/>
    <x v="1"/>
    <x v="6"/>
    <x v="549"/>
    <x v="41"/>
    <x v="2"/>
    <x v="7"/>
    <x v="1088"/>
    <x v="3308"/>
    <n v="4"/>
    <x v="3293"/>
  </r>
  <r>
    <d v="2020-07-11T00:00:00"/>
    <x v="1"/>
    <x v="6"/>
    <x v="435"/>
    <x v="1"/>
    <x v="2"/>
    <x v="5"/>
    <x v="293"/>
    <x v="1985"/>
    <n v="5"/>
    <x v="318"/>
  </r>
  <r>
    <d v="2020-07-12T00:00:00"/>
    <x v="1"/>
    <x v="6"/>
    <x v="700"/>
    <x v="8"/>
    <x v="2"/>
    <x v="9"/>
    <x v="124"/>
    <x v="3309"/>
    <n v="1"/>
    <x v="3294"/>
  </r>
  <r>
    <d v="2020-07-13T00:00:00"/>
    <x v="1"/>
    <x v="6"/>
    <x v="594"/>
    <x v="5"/>
    <x v="0"/>
    <x v="8"/>
    <x v="1062"/>
    <x v="3310"/>
    <n v="9"/>
    <x v="3295"/>
  </r>
  <r>
    <d v="2020-07-13T00:00:00"/>
    <x v="1"/>
    <x v="6"/>
    <x v="86"/>
    <x v="38"/>
    <x v="2"/>
    <x v="2"/>
    <x v="152"/>
    <x v="3311"/>
    <n v="2"/>
    <x v="715"/>
  </r>
  <r>
    <d v="2020-07-13T00:00:00"/>
    <x v="1"/>
    <x v="6"/>
    <x v="86"/>
    <x v="38"/>
    <x v="2"/>
    <x v="9"/>
    <x v="1338"/>
    <x v="3312"/>
    <n v="2"/>
    <x v="3296"/>
  </r>
  <r>
    <d v="2020-07-13T00:00:00"/>
    <x v="1"/>
    <x v="6"/>
    <x v="594"/>
    <x v="5"/>
    <x v="1"/>
    <x v="1"/>
    <x v="568"/>
    <x v="3313"/>
    <n v="1"/>
    <x v="3297"/>
  </r>
  <r>
    <d v="2020-07-14T00:00:00"/>
    <x v="1"/>
    <x v="6"/>
    <x v="309"/>
    <x v="1"/>
    <x v="2"/>
    <x v="7"/>
    <x v="1586"/>
    <x v="3314"/>
    <n v="4"/>
    <x v="3298"/>
  </r>
  <r>
    <d v="2020-07-14T00:00:00"/>
    <x v="1"/>
    <x v="6"/>
    <x v="228"/>
    <x v="8"/>
    <x v="2"/>
    <x v="2"/>
    <x v="319"/>
    <x v="3315"/>
    <n v="5"/>
    <x v="3299"/>
  </r>
  <r>
    <d v="2020-07-14T00:00:00"/>
    <x v="1"/>
    <x v="6"/>
    <x v="309"/>
    <x v="1"/>
    <x v="1"/>
    <x v="3"/>
    <x v="497"/>
    <x v="3316"/>
    <n v="3"/>
    <x v="3300"/>
  </r>
  <r>
    <d v="2020-07-14T00:00:00"/>
    <x v="1"/>
    <x v="6"/>
    <x v="228"/>
    <x v="8"/>
    <x v="2"/>
    <x v="2"/>
    <x v="716"/>
    <x v="3317"/>
    <n v="7"/>
    <x v="3150"/>
  </r>
  <r>
    <d v="2020-07-14T00:00:00"/>
    <x v="1"/>
    <x v="6"/>
    <x v="309"/>
    <x v="1"/>
    <x v="0"/>
    <x v="8"/>
    <x v="95"/>
    <x v="3318"/>
    <n v="3"/>
    <x v="3181"/>
  </r>
  <r>
    <d v="2020-07-14T00:00:00"/>
    <x v="1"/>
    <x v="6"/>
    <x v="228"/>
    <x v="8"/>
    <x v="0"/>
    <x v="8"/>
    <x v="513"/>
    <x v="3319"/>
    <n v="5"/>
    <x v="3301"/>
  </r>
  <r>
    <d v="2020-07-14T00:00:00"/>
    <x v="1"/>
    <x v="6"/>
    <x v="309"/>
    <x v="1"/>
    <x v="1"/>
    <x v="1"/>
    <x v="1299"/>
    <x v="3320"/>
    <n v="3"/>
    <x v="3071"/>
  </r>
  <r>
    <d v="2020-07-14T00:00:00"/>
    <x v="1"/>
    <x v="6"/>
    <x v="228"/>
    <x v="8"/>
    <x v="1"/>
    <x v="1"/>
    <x v="1291"/>
    <x v="3321"/>
    <n v="9"/>
    <x v="3302"/>
  </r>
  <r>
    <d v="2020-07-14T00:00:00"/>
    <x v="1"/>
    <x v="6"/>
    <x v="309"/>
    <x v="1"/>
    <x v="2"/>
    <x v="5"/>
    <x v="1049"/>
    <x v="3322"/>
    <n v="2"/>
    <x v="683"/>
  </r>
  <r>
    <d v="2020-07-14T00:00:00"/>
    <x v="1"/>
    <x v="6"/>
    <x v="309"/>
    <x v="1"/>
    <x v="2"/>
    <x v="12"/>
    <x v="1587"/>
    <x v="3323"/>
    <n v="4"/>
    <x v="3303"/>
  </r>
  <r>
    <d v="2020-07-14T00:00:00"/>
    <x v="1"/>
    <x v="6"/>
    <x v="309"/>
    <x v="1"/>
    <x v="0"/>
    <x v="8"/>
    <x v="1545"/>
    <x v="3324"/>
    <n v="3"/>
    <x v="3288"/>
  </r>
  <r>
    <d v="2020-07-14T00:00:00"/>
    <x v="1"/>
    <x v="6"/>
    <x v="228"/>
    <x v="8"/>
    <x v="2"/>
    <x v="9"/>
    <x v="915"/>
    <x v="3325"/>
    <n v="2"/>
    <x v="1300"/>
  </r>
  <r>
    <d v="2020-07-14T00:00:00"/>
    <x v="1"/>
    <x v="6"/>
    <x v="228"/>
    <x v="8"/>
    <x v="2"/>
    <x v="7"/>
    <x v="1324"/>
    <x v="3326"/>
    <n v="5"/>
    <x v="3304"/>
  </r>
  <r>
    <d v="2020-07-15T00:00:00"/>
    <x v="1"/>
    <x v="6"/>
    <x v="249"/>
    <x v="18"/>
    <x v="2"/>
    <x v="13"/>
    <x v="1588"/>
    <x v="3327"/>
    <n v="3"/>
    <x v="3305"/>
  </r>
  <r>
    <d v="2020-07-15T00:00:00"/>
    <x v="1"/>
    <x v="6"/>
    <x v="486"/>
    <x v="23"/>
    <x v="0"/>
    <x v="4"/>
    <x v="1589"/>
    <x v="3328"/>
    <n v="3"/>
    <x v="3306"/>
  </r>
  <r>
    <d v="2020-07-15T00:00:00"/>
    <x v="1"/>
    <x v="6"/>
    <x v="690"/>
    <x v="12"/>
    <x v="0"/>
    <x v="11"/>
    <x v="487"/>
    <x v="3329"/>
    <n v="6"/>
    <x v="3307"/>
  </r>
  <r>
    <d v="2020-07-15T00:00:00"/>
    <x v="1"/>
    <x v="6"/>
    <x v="249"/>
    <x v="18"/>
    <x v="0"/>
    <x v="4"/>
    <x v="1112"/>
    <x v="3330"/>
    <n v="3"/>
    <x v="3308"/>
  </r>
  <r>
    <d v="2020-07-15T00:00:00"/>
    <x v="1"/>
    <x v="6"/>
    <x v="690"/>
    <x v="12"/>
    <x v="2"/>
    <x v="9"/>
    <x v="1590"/>
    <x v="3331"/>
    <n v="2"/>
    <x v="3309"/>
  </r>
  <r>
    <d v="2020-07-15T00:00:00"/>
    <x v="1"/>
    <x v="6"/>
    <x v="690"/>
    <x v="12"/>
    <x v="2"/>
    <x v="7"/>
    <x v="1591"/>
    <x v="3332"/>
    <n v="2"/>
    <x v="2479"/>
  </r>
  <r>
    <d v="2020-07-15T00:00:00"/>
    <x v="1"/>
    <x v="6"/>
    <x v="690"/>
    <x v="12"/>
    <x v="2"/>
    <x v="14"/>
    <x v="1008"/>
    <x v="3333"/>
    <n v="3"/>
    <x v="117"/>
  </r>
  <r>
    <d v="2020-07-15T00:00:00"/>
    <x v="1"/>
    <x v="6"/>
    <x v="249"/>
    <x v="18"/>
    <x v="2"/>
    <x v="9"/>
    <x v="1125"/>
    <x v="3334"/>
    <n v="2"/>
    <x v="56"/>
  </r>
  <r>
    <d v="2020-07-15T00:00:00"/>
    <x v="1"/>
    <x v="6"/>
    <x v="486"/>
    <x v="23"/>
    <x v="2"/>
    <x v="5"/>
    <x v="774"/>
    <x v="3335"/>
    <n v="3"/>
    <x v="3310"/>
  </r>
  <r>
    <d v="2020-07-15T00:00:00"/>
    <x v="1"/>
    <x v="6"/>
    <x v="690"/>
    <x v="12"/>
    <x v="1"/>
    <x v="3"/>
    <x v="1592"/>
    <x v="3336"/>
    <n v="2"/>
    <x v="3311"/>
  </r>
  <r>
    <d v="2020-07-16T00:00:00"/>
    <x v="1"/>
    <x v="6"/>
    <x v="620"/>
    <x v="5"/>
    <x v="0"/>
    <x v="11"/>
    <x v="637"/>
    <x v="3337"/>
    <n v="2"/>
    <x v="3312"/>
  </r>
  <r>
    <d v="2020-07-16T00:00:00"/>
    <x v="1"/>
    <x v="6"/>
    <x v="422"/>
    <x v="4"/>
    <x v="0"/>
    <x v="11"/>
    <x v="1067"/>
    <x v="3338"/>
    <n v="3"/>
    <x v="3313"/>
  </r>
  <r>
    <d v="2020-07-16T00:00:00"/>
    <x v="1"/>
    <x v="6"/>
    <x v="173"/>
    <x v="17"/>
    <x v="2"/>
    <x v="7"/>
    <x v="1005"/>
    <x v="3339"/>
    <n v="2"/>
    <x v="1360"/>
  </r>
  <r>
    <d v="2020-07-17T00:00:00"/>
    <x v="1"/>
    <x v="6"/>
    <x v="6"/>
    <x v="1"/>
    <x v="2"/>
    <x v="10"/>
    <x v="1359"/>
    <x v="3340"/>
    <n v="5"/>
    <x v="3314"/>
  </r>
  <r>
    <d v="2020-07-17T00:00:00"/>
    <x v="1"/>
    <x v="6"/>
    <x v="21"/>
    <x v="12"/>
    <x v="2"/>
    <x v="9"/>
    <x v="928"/>
    <x v="3341"/>
    <n v="5"/>
    <x v="3315"/>
  </r>
  <r>
    <d v="2020-07-17T00:00:00"/>
    <x v="1"/>
    <x v="6"/>
    <x v="21"/>
    <x v="12"/>
    <x v="1"/>
    <x v="1"/>
    <x v="1233"/>
    <x v="3342"/>
    <n v="2"/>
    <x v="3316"/>
  </r>
  <r>
    <d v="2020-07-17T00:00:00"/>
    <x v="1"/>
    <x v="6"/>
    <x v="339"/>
    <x v="1"/>
    <x v="1"/>
    <x v="6"/>
    <x v="1293"/>
    <x v="3343"/>
    <n v="2"/>
    <x v="2067"/>
  </r>
  <r>
    <d v="2020-07-17T00:00:00"/>
    <x v="1"/>
    <x v="6"/>
    <x v="6"/>
    <x v="1"/>
    <x v="0"/>
    <x v="0"/>
    <x v="1069"/>
    <x v="3344"/>
    <n v="5"/>
    <x v="3317"/>
  </r>
  <r>
    <d v="2020-07-17T00:00:00"/>
    <x v="1"/>
    <x v="6"/>
    <x v="507"/>
    <x v="6"/>
    <x v="0"/>
    <x v="8"/>
    <x v="340"/>
    <x v="3345"/>
    <n v="2"/>
    <x v="3318"/>
  </r>
  <r>
    <d v="2020-07-17T00:00:00"/>
    <x v="1"/>
    <x v="6"/>
    <x v="6"/>
    <x v="1"/>
    <x v="2"/>
    <x v="9"/>
    <x v="1312"/>
    <x v="3346"/>
    <n v="5"/>
    <x v="734"/>
  </r>
  <r>
    <d v="2020-07-17T00:00:00"/>
    <x v="1"/>
    <x v="6"/>
    <x v="21"/>
    <x v="12"/>
    <x v="0"/>
    <x v="8"/>
    <x v="481"/>
    <x v="3347"/>
    <n v="4"/>
    <x v="3319"/>
  </r>
  <r>
    <d v="2020-07-17T00:00:00"/>
    <x v="1"/>
    <x v="6"/>
    <x v="6"/>
    <x v="1"/>
    <x v="2"/>
    <x v="2"/>
    <x v="452"/>
    <x v="3348"/>
    <n v="2"/>
    <x v="72"/>
  </r>
  <r>
    <d v="2020-07-18T00:00:00"/>
    <x v="1"/>
    <x v="6"/>
    <x v="509"/>
    <x v="20"/>
    <x v="0"/>
    <x v="11"/>
    <x v="1067"/>
    <x v="3349"/>
    <n v="2"/>
    <x v="3320"/>
  </r>
  <r>
    <d v="2020-07-18T00:00:00"/>
    <x v="1"/>
    <x v="6"/>
    <x v="314"/>
    <x v="5"/>
    <x v="0"/>
    <x v="11"/>
    <x v="207"/>
    <x v="3350"/>
    <n v="4"/>
    <x v="261"/>
  </r>
  <r>
    <d v="2020-07-18T00:00:00"/>
    <x v="1"/>
    <x v="6"/>
    <x v="509"/>
    <x v="20"/>
    <x v="0"/>
    <x v="11"/>
    <x v="1078"/>
    <x v="3351"/>
    <n v="3"/>
    <x v="3321"/>
  </r>
  <r>
    <d v="2020-07-18T00:00:00"/>
    <x v="1"/>
    <x v="6"/>
    <x v="314"/>
    <x v="5"/>
    <x v="1"/>
    <x v="6"/>
    <x v="1002"/>
    <x v="3352"/>
    <n v="5"/>
    <x v="3322"/>
  </r>
  <r>
    <d v="2020-07-18T00:00:00"/>
    <x v="1"/>
    <x v="6"/>
    <x v="509"/>
    <x v="20"/>
    <x v="0"/>
    <x v="4"/>
    <x v="866"/>
    <x v="3353"/>
    <n v="5"/>
    <x v="3323"/>
  </r>
  <r>
    <d v="2020-07-18T00:00:00"/>
    <x v="1"/>
    <x v="6"/>
    <x v="509"/>
    <x v="20"/>
    <x v="2"/>
    <x v="5"/>
    <x v="958"/>
    <x v="3354"/>
    <n v="4"/>
    <x v="3324"/>
  </r>
  <r>
    <d v="2020-07-18T00:00:00"/>
    <x v="1"/>
    <x v="6"/>
    <x v="314"/>
    <x v="5"/>
    <x v="2"/>
    <x v="16"/>
    <x v="1593"/>
    <x v="3355"/>
    <n v="2"/>
    <x v="3325"/>
  </r>
  <r>
    <d v="2020-07-18T00:00:00"/>
    <x v="1"/>
    <x v="6"/>
    <x v="509"/>
    <x v="20"/>
    <x v="2"/>
    <x v="9"/>
    <x v="608"/>
    <x v="3356"/>
    <n v="2"/>
    <x v="3326"/>
  </r>
  <r>
    <d v="2020-07-20T00:00:00"/>
    <x v="1"/>
    <x v="6"/>
    <x v="321"/>
    <x v="12"/>
    <x v="0"/>
    <x v="11"/>
    <x v="1594"/>
    <x v="3357"/>
    <n v="2"/>
    <x v="3327"/>
  </r>
  <r>
    <d v="2020-07-20T00:00:00"/>
    <x v="1"/>
    <x v="6"/>
    <x v="440"/>
    <x v="48"/>
    <x v="0"/>
    <x v="11"/>
    <x v="579"/>
    <x v="3358"/>
    <n v="3"/>
    <x v="3328"/>
  </r>
  <r>
    <d v="2020-07-20T00:00:00"/>
    <x v="1"/>
    <x v="6"/>
    <x v="321"/>
    <x v="12"/>
    <x v="0"/>
    <x v="8"/>
    <x v="70"/>
    <x v="3359"/>
    <n v="4"/>
    <x v="3329"/>
  </r>
  <r>
    <d v="2020-07-20T00:00:00"/>
    <x v="1"/>
    <x v="6"/>
    <x v="440"/>
    <x v="48"/>
    <x v="1"/>
    <x v="3"/>
    <x v="644"/>
    <x v="3360"/>
    <n v="3"/>
    <x v="748"/>
  </r>
  <r>
    <d v="2020-07-20T00:00:00"/>
    <x v="1"/>
    <x v="6"/>
    <x v="440"/>
    <x v="48"/>
    <x v="2"/>
    <x v="13"/>
    <x v="647"/>
    <x v="3361"/>
    <n v="2"/>
    <x v="3330"/>
  </r>
  <r>
    <d v="2020-07-20T00:00:00"/>
    <x v="1"/>
    <x v="6"/>
    <x v="47"/>
    <x v="27"/>
    <x v="2"/>
    <x v="5"/>
    <x v="318"/>
    <x v="3362"/>
    <n v="2"/>
    <x v="1537"/>
  </r>
  <r>
    <d v="2020-07-20T00:00:00"/>
    <x v="1"/>
    <x v="6"/>
    <x v="160"/>
    <x v="17"/>
    <x v="0"/>
    <x v="8"/>
    <x v="54"/>
    <x v="3363"/>
    <n v="1"/>
    <x v="3331"/>
  </r>
  <r>
    <d v="2020-07-20T00:00:00"/>
    <x v="1"/>
    <x v="6"/>
    <x v="321"/>
    <x v="12"/>
    <x v="2"/>
    <x v="9"/>
    <x v="1297"/>
    <x v="3364"/>
    <n v="2"/>
    <x v="1967"/>
  </r>
  <r>
    <d v="2020-07-20T00:00:00"/>
    <x v="1"/>
    <x v="6"/>
    <x v="440"/>
    <x v="48"/>
    <x v="2"/>
    <x v="14"/>
    <x v="643"/>
    <x v="897"/>
    <n v="2"/>
    <x v="589"/>
  </r>
  <r>
    <d v="2020-07-20T00:00:00"/>
    <x v="1"/>
    <x v="6"/>
    <x v="440"/>
    <x v="48"/>
    <x v="2"/>
    <x v="5"/>
    <x v="802"/>
    <x v="3365"/>
    <n v="5"/>
    <x v="3332"/>
  </r>
  <r>
    <d v="2020-07-20T00:00:00"/>
    <x v="1"/>
    <x v="6"/>
    <x v="440"/>
    <x v="48"/>
    <x v="2"/>
    <x v="5"/>
    <x v="1212"/>
    <x v="3366"/>
    <n v="7"/>
    <x v="3333"/>
  </r>
  <r>
    <d v="2020-07-20T00:00:00"/>
    <x v="1"/>
    <x v="6"/>
    <x v="160"/>
    <x v="17"/>
    <x v="2"/>
    <x v="2"/>
    <x v="1568"/>
    <x v="3367"/>
    <n v="2"/>
    <x v="3334"/>
  </r>
  <r>
    <d v="2020-07-21T00:00:00"/>
    <x v="1"/>
    <x v="6"/>
    <x v="176"/>
    <x v="40"/>
    <x v="1"/>
    <x v="1"/>
    <x v="1047"/>
    <x v="3368"/>
    <n v="9"/>
    <x v="3335"/>
  </r>
  <r>
    <d v="2020-07-21T00:00:00"/>
    <x v="1"/>
    <x v="6"/>
    <x v="485"/>
    <x v="18"/>
    <x v="2"/>
    <x v="7"/>
    <x v="182"/>
    <x v="3369"/>
    <n v="6"/>
    <x v="3336"/>
  </r>
  <r>
    <d v="2020-07-21T00:00:00"/>
    <x v="1"/>
    <x v="6"/>
    <x v="496"/>
    <x v="17"/>
    <x v="2"/>
    <x v="5"/>
    <x v="339"/>
    <x v="3370"/>
    <n v="7"/>
    <x v="3337"/>
  </r>
  <r>
    <d v="2020-07-21T00:00:00"/>
    <x v="1"/>
    <x v="6"/>
    <x v="242"/>
    <x v="2"/>
    <x v="0"/>
    <x v="4"/>
    <x v="474"/>
    <x v="3371"/>
    <n v="4"/>
    <x v="3338"/>
  </r>
  <r>
    <d v="2020-07-21T00:00:00"/>
    <x v="1"/>
    <x v="6"/>
    <x v="185"/>
    <x v="8"/>
    <x v="1"/>
    <x v="1"/>
    <x v="1595"/>
    <x v="3372"/>
    <n v="6"/>
    <x v="3339"/>
  </r>
  <r>
    <d v="2020-07-21T00:00:00"/>
    <x v="1"/>
    <x v="6"/>
    <x v="507"/>
    <x v="1"/>
    <x v="0"/>
    <x v="11"/>
    <x v="797"/>
    <x v="3373"/>
    <n v="2"/>
    <x v="1108"/>
  </r>
  <r>
    <d v="2020-07-21T00:00:00"/>
    <x v="1"/>
    <x v="6"/>
    <x v="485"/>
    <x v="18"/>
    <x v="2"/>
    <x v="16"/>
    <x v="417"/>
    <x v="3374"/>
    <n v="2"/>
    <x v="854"/>
  </r>
  <r>
    <d v="2020-07-21T00:00:00"/>
    <x v="1"/>
    <x v="6"/>
    <x v="185"/>
    <x v="8"/>
    <x v="2"/>
    <x v="2"/>
    <x v="1095"/>
    <x v="3375"/>
    <n v="7"/>
    <x v="3340"/>
  </r>
  <r>
    <d v="2020-07-21T00:00:00"/>
    <x v="1"/>
    <x v="6"/>
    <x v="485"/>
    <x v="18"/>
    <x v="1"/>
    <x v="1"/>
    <x v="974"/>
    <x v="2607"/>
    <n v="4"/>
    <x v="3341"/>
  </r>
  <r>
    <d v="2020-07-21T00:00:00"/>
    <x v="1"/>
    <x v="6"/>
    <x v="485"/>
    <x v="18"/>
    <x v="0"/>
    <x v="0"/>
    <x v="385"/>
    <x v="3376"/>
    <n v="3"/>
    <x v="3342"/>
  </r>
  <r>
    <d v="2020-07-21T00:00:00"/>
    <x v="1"/>
    <x v="6"/>
    <x v="321"/>
    <x v="1"/>
    <x v="1"/>
    <x v="1"/>
    <x v="1221"/>
    <x v="3377"/>
    <n v="9"/>
    <x v="3343"/>
  </r>
  <r>
    <d v="2020-07-21T00:00:00"/>
    <x v="1"/>
    <x v="6"/>
    <x v="461"/>
    <x v="17"/>
    <x v="2"/>
    <x v="5"/>
    <x v="807"/>
    <x v="3378"/>
    <n v="2"/>
    <x v="3344"/>
  </r>
  <r>
    <d v="2020-07-21T00:00:00"/>
    <x v="1"/>
    <x v="6"/>
    <x v="321"/>
    <x v="1"/>
    <x v="2"/>
    <x v="7"/>
    <x v="659"/>
    <x v="3379"/>
    <n v="2"/>
    <x v="3345"/>
  </r>
  <r>
    <d v="2020-07-21T00:00:00"/>
    <x v="1"/>
    <x v="6"/>
    <x v="496"/>
    <x v="17"/>
    <x v="2"/>
    <x v="5"/>
    <x v="476"/>
    <x v="3380"/>
    <n v="4"/>
    <x v="3346"/>
  </r>
  <r>
    <d v="2020-07-21T00:00:00"/>
    <x v="1"/>
    <x v="6"/>
    <x v="121"/>
    <x v="10"/>
    <x v="2"/>
    <x v="9"/>
    <x v="199"/>
    <x v="3381"/>
    <n v="1"/>
    <x v="1436"/>
  </r>
  <r>
    <d v="2020-07-21T00:00:00"/>
    <x v="1"/>
    <x v="6"/>
    <x v="507"/>
    <x v="1"/>
    <x v="2"/>
    <x v="9"/>
    <x v="1596"/>
    <x v="3382"/>
    <n v="2"/>
    <x v="3347"/>
  </r>
  <r>
    <d v="2020-07-21T00:00:00"/>
    <x v="1"/>
    <x v="6"/>
    <x v="485"/>
    <x v="18"/>
    <x v="0"/>
    <x v="8"/>
    <x v="127"/>
    <x v="3383"/>
    <n v="5"/>
    <x v="3348"/>
  </r>
  <r>
    <d v="2020-07-21T00:00:00"/>
    <x v="1"/>
    <x v="6"/>
    <x v="485"/>
    <x v="18"/>
    <x v="2"/>
    <x v="5"/>
    <x v="432"/>
    <x v="2896"/>
    <n v="3"/>
    <x v="3349"/>
  </r>
  <r>
    <d v="2020-07-21T00:00:00"/>
    <x v="1"/>
    <x v="6"/>
    <x v="700"/>
    <x v="12"/>
    <x v="2"/>
    <x v="13"/>
    <x v="1024"/>
    <x v="3384"/>
    <n v="4"/>
    <x v="1395"/>
  </r>
  <r>
    <d v="2020-07-21T00:00:00"/>
    <x v="1"/>
    <x v="6"/>
    <x v="485"/>
    <x v="18"/>
    <x v="2"/>
    <x v="7"/>
    <x v="684"/>
    <x v="3385"/>
    <n v="6"/>
    <x v="3350"/>
  </r>
  <r>
    <d v="2020-07-21T00:00:00"/>
    <x v="1"/>
    <x v="6"/>
    <x v="507"/>
    <x v="1"/>
    <x v="2"/>
    <x v="5"/>
    <x v="725"/>
    <x v="3386"/>
    <n v="3"/>
    <x v="3351"/>
  </r>
  <r>
    <d v="2020-07-21T00:00:00"/>
    <x v="1"/>
    <x v="6"/>
    <x v="185"/>
    <x v="8"/>
    <x v="2"/>
    <x v="5"/>
    <x v="456"/>
    <x v="3387"/>
    <n v="3"/>
    <x v="3352"/>
  </r>
  <r>
    <d v="2020-07-21T00:00:00"/>
    <x v="1"/>
    <x v="6"/>
    <x v="176"/>
    <x v="40"/>
    <x v="2"/>
    <x v="7"/>
    <x v="244"/>
    <x v="3388"/>
    <n v="1"/>
    <x v="3353"/>
  </r>
  <r>
    <d v="2020-07-22T00:00:00"/>
    <x v="1"/>
    <x v="6"/>
    <x v="83"/>
    <x v="17"/>
    <x v="0"/>
    <x v="11"/>
    <x v="1208"/>
    <x v="3389"/>
    <n v="4"/>
    <x v="3354"/>
  </r>
  <r>
    <d v="2020-07-22T00:00:00"/>
    <x v="1"/>
    <x v="6"/>
    <x v="602"/>
    <x v="12"/>
    <x v="1"/>
    <x v="1"/>
    <x v="1575"/>
    <x v="3390"/>
    <n v="3"/>
    <x v="3355"/>
  </r>
  <r>
    <d v="2020-07-23T00:00:00"/>
    <x v="1"/>
    <x v="6"/>
    <x v="56"/>
    <x v="17"/>
    <x v="2"/>
    <x v="7"/>
    <x v="1158"/>
    <x v="3391"/>
    <n v="4"/>
    <x v="3356"/>
  </r>
  <r>
    <d v="2020-07-23T00:00:00"/>
    <x v="1"/>
    <x v="6"/>
    <x v="329"/>
    <x v="24"/>
    <x v="1"/>
    <x v="3"/>
    <x v="1194"/>
    <x v="3392"/>
    <n v="5"/>
    <x v="3357"/>
  </r>
  <r>
    <d v="2020-07-23T00:00:00"/>
    <x v="1"/>
    <x v="6"/>
    <x v="316"/>
    <x v="7"/>
    <x v="1"/>
    <x v="3"/>
    <x v="1507"/>
    <x v="3393"/>
    <n v="5"/>
    <x v="3358"/>
  </r>
  <r>
    <d v="2020-07-23T00:00:00"/>
    <x v="1"/>
    <x v="6"/>
    <x v="718"/>
    <x v="12"/>
    <x v="2"/>
    <x v="5"/>
    <x v="136"/>
    <x v="3394"/>
    <n v="3"/>
    <x v="3359"/>
  </r>
  <r>
    <d v="2020-07-23T00:00:00"/>
    <x v="1"/>
    <x v="6"/>
    <x v="52"/>
    <x v="1"/>
    <x v="2"/>
    <x v="5"/>
    <x v="545"/>
    <x v="3395"/>
    <n v="3"/>
    <x v="3360"/>
  </r>
  <r>
    <d v="2020-07-23T00:00:00"/>
    <x v="1"/>
    <x v="6"/>
    <x v="329"/>
    <x v="24"/>
    <x v="2"/>
    <x v="7"/>
    <x v="1389"/>
    <x v="3217"/>
    <n v="2"/>
    <x v="3361"/>
  </r>
  <r>
    <d v="2020-07-23T00:00:00"/>
    <x v="1"/>
    <x v="6"/>
    <x v="275"/>
    <x v="12"/>
    <x v="2"/>
    <x v="5"/>
    <x v="590"/>
    <x v="3396"/>
    <n v="3"/>
    <x v="3113"/>
  </r>
  <r>
    <d v="2020-07-23T00:00:00"/>
    <x v="1"/>
    <x v="6"/>
    <x v="291"/>
    <x v="17"/>
    <x v="2"/>
    <x v="9"/>
    <x v="467"/>
    <x v="3397"/>
    <n v="3"/>
    <x v="30"/>
  </r>
  <r>
    <d v="2020-07-23T00:00:00"/>
    <x v="1"/>
    <x v="6"/>
    <x v="52"/>
    <x v="1"/>
    <x v="2"/>
    <x v="9"/>
    <x v="562"/>
    <x v="3398"/>
    <n v="9"/>
    <x v="3362"/>
  </r>
  <r>
    <d v="2020-07-23T00:00:00"/>
    <x v="1"/>
    <x v="6"/>
    <x v="505"/>
    <x v="12"/>
    <x v="2"/>
    <x v="14"/>
    <x v="1050"/>
    <x v="3399"/>
    <n v="4"/>
    <x v="3363"/>
  </r>
  <r>
    <d v="2020-07-24T00:00:00"/>
    <x v="1"/>
    <x v="6"/>
    <x v="671"/>
    <x v="1"/>
    <x v="1"/>
    <x v="6"/>
    <x v="830"/>
    <x v="3400"/>
    <n v="5"/>
    <x v="3364"/>
  </r>
  <r>
    <d v="2020-07-25T00:00:00"/>
    <x v="1"/>
    <x v="6"/>
    <x v="417"/>
    <x v="5"/>
    <x v="0"/>
    <x v="4"/>
    <x v="638"/>
    <x v="3401"/>
    <n v="1"/>
    <x v="3365"/>
  </r>
  <r>
    <d v="2020-07-25T00:00:00"/>
    <x v="1"/>
    <x v="6"/>
    <x v="417"/>
    <x v="5"/>
    <x v="2"/>
    <x v="2"/>
    <x v="361"/>
    <x v="3402"/>
    <n v="5"/>
    <x v="3366"/>
  </r>
  <r>
    <d v="2020-07-25T00:00:00"/>
    <x v="1"/>
    <x v="6"/>
    <x v="673"/>
    <x v="2"/>
    <x v="0"/>
    <x v="4"/>
    <x v="273"/>
    <x v="3403"/>
    <n v="6"/>
    <x v="3367"/>
  </r>
  <r>
    <d v="2020-07-25T00:00:00"/>
    <x v="1"/>
    <x v="6"/>
    <x v="427"/>
    <x v="5"/>
    <x v="2"/>
    <x v="14"/>
    <x v="1527"/>
    <x v="3404"/>
    <n v="1"/>
    <x v="3368"/>
  </r>
  <r>
    <d v="2020-07-25T00:00:00"/>
    <x v="1"/>
    <x v="6"/>
    <x v="162"/>
    <x v="48"/>
    <x v="2"/>
    <x v="14"/>
    <x v="846"/>
    <x v="3405"/>
    <n v="7"/>
    <x v="3369"/>
  </r>
  <r>
    <d v="2020-07-25T00:00:00"/>
    <x v="1"/>
    <x v="6"/>
    <x v="417"/>
    <x v="5"/>
    <x v="0"/>
    <x v="8"/>
    <x v="455"/>
    <x v="3406"/>
    <n v="4"/>
    <x v="334"/>
  </r>
  <r>
    <d v="2020-07-25T00:00:00"/>
    <x v="1"/>
    <x v="6"/>
    <x v="417"/>
    <x v="5"/>
    <x v="2"/>
    <x v="9"/>
    <x v="818"/>
    <x v="3407"/>
    <n v="4"/>
    <x v="286"/>
  </r>
  <r>
    <d v="2020-07-25T00:00:00"/>
    <x v="1"/>
    <x v="6"/>
    <x v="417"/>
    <x v="5"/>
    <x v="2"/>
    <x v="16"/>
    <x v="1366"/>
    <x v="3408"/>
    <n v="3"/>
    <x v="3370"/>
  </r>
  <r>
    <d v="2020-07-26T00:00:00"/>
    <x v="1"/>
    <x v="6"/>
    <x v="669"/>
    <x v="1"/>
    <x v="0"/>
    <x v="11"/>
    <x v="271"/>
    <x v="3409"/>
    <n v="3"/>
    <x v="3371"/>
  </r>
  <r>
    <d v="2020-07-26T00:00:00"/>
    <x v="1"/>
    <x v="6"/>
    <x v="669"/>
    <x v="1"/>
    <x v="1"/>
    <x v="3"/>
    <x v="1226"/>
    <x v="3410"/>
    <n v="5"/>
    <x v="2031"/>
  </r>
  <r>
    <d v="2020-07-27T00:00:00"/>
    <x v="1"/>
    <x v="6"/>
    <x v="719"/>
    <x v="6"/>
    <x v="0"/>
    <x v="8"/>
    <x v="441"/>
    <x v="3411"/>
    <n v="3"/>
    <x v="3372"/>
  </r>
  <r>
    <d v="2020-07-27T00:00:00"/>
    <x v="1"/>
    <x v="6"/>
    <x v="633"/>
    <x v="4"/>
    <x v="0"/>
    <x v="11"/>
    <x v="710"/>
    <x v="3412"/>
    <n v="4"/>
    <x v="1525"/>
  </r>
  <r>
    <d v="2020-07-27T00:00:00"/>
    <x v="1"/>
    <x v="6"/>
    <x v="374"/>
    <x v="9"/>
    <x v="1"/>
    <x v="3"/>
    <x v="497"/>
    <x v="3413"/>
    <n v="5"/>
    <x v="3373"/>
  </r>
  <r>
    <d v="2020-07-27T00:00:00"/>
    <x v="1"/>
    <x v="6"/>
    <x v="676"/>
    <x v="12"/>
    <x v="1"/>
    <x v="1"/>
    <x v="974"/>
    <x v="3414"/>
    <n v="8"/>
    <x v="3199"/>
  </r>
  <r>
    <d v="2020-07-27T00:00:00"/>
    <x v="1"/>
    <x v="6"/>
    <x v="374"/>
    <x v="9"/>
    <x v="2"/>
    <x v="9"/>
    <x v="1597"/>
    <x v="3415"/>
    <n v="4"/>
    <x v="3374"/>
  </r>
  <r>
    <d v="2020-07-27T00:00:00"/>
    <x v="1"/>
    <x v="6"/>
    <x v="374"/>
    <x v="9"/>
    <x v="2"/>
    <x v="9"/>
    <x v="349"/>
    <x v="3416"/>
    <n v="2"/>
    <x v="56"/>
  </r>
  <r>
    <d v="2020-07-27T00:00:00"/>
    <x v="1"/>
    <x v="6"/>
    <x v="676"/>
    <x v="12"/>
    <x v="0"/>
    <x v="8"/>
    <x v="1404"/>
    <x v="3417"/>
    <n v="1"/>
    <x v="3375"/>
  </r>
  <r>
    <d v="2020-07-27T00:00:00"/>
    <x v="1"/>
    <x v="6"/>
    <x v="374"/>
    <x v="9"/>
    <x v="0"/>
    <x v="8"/>
    <x v="490"/>
    <x v="3418"/>
    <n v="3"/>
    <x v="3376"/>
  </r>
  <r>
    <d v="2020-07-28T00:00:00"/>
    <x v="1"/>
    <x v="6"/>
    <x v="453"/>
    <x v="1"/>
    <x v="1"/>
    <x v="1"/>
    <x v="584"/>
    <x v="3419"/>
    <n v="4"/>
    <x v="3377"/>
  </r>
  <r>
    <d v="2020-07-28T00:00:00"/>
    <x v="1"/>
    <x v="6"/>
    <x v="453"/>
    <x v="1"/>
    <x v="2"/>
    <x v="5"/>
    <x v="737"/>
    <x v="2190"/>
    <n v="4"/>
    <x v="3378"/>
  </r>
  <r>
    <d v="2020-07-28T00:00:00"/>
    <x v="1"/>
    <x v="6"/>
    <x v="453"/>
    <x v="1"/>
    <x v="2"/>
    <x v="2"/>
    <x v="450"/>
    <x v="3420"/>
    <n v="1"/>
    <x v="3379"/>
  </r>
  <r>
    <d v="2020-07-29T00:00:00"/>
    <x v="1"/>
    <x v="6"/>
    <x v="71"/>
    <x v="9"/>
    <x v="1"/>
    <x v="3"/>
    <x v="43"/>
    <x v="3421"/>
    <n v="3"/>
    <x v="44"/>
  </r>
  <r>
    <d v="2020-07-29T00:00:00"/>
    <x v="1"/>
    <x v="6"/>
    <x v="401"/>
    <x v="9"/>
    <x v="0"/>
    <x v="0"/>
    <x v="0"/>
    <x v="2785"/>
    <n v="2"/>
    <x v="3380"/>
  </r>
  <r>
    <d v="2020-07-29T00:00:00"/>
    <x v="1"/>
    <x v="6"/>
    <x v="11"/>
    <x v="2"/>
    <x v="1"/>
    <x v="1"/>
    <x v="955"/>
    <x v="3422"/>
    <n v="1"/>
    <x v="3381"/>
  </r>
  <r>
    <d v="2020-07-29T00:00:00"/>
    <x v="1"/>
    <x v="6"/>
    <x v="346"/>
    <x v="3"/>
    <x v="2"/>
    <x v="13"/>
    <x v="729"/>
    <x v="3423"/>
    <n v="2"/>
    <x v="3382"/>
  </r>
  <r>
    <d v="2020-07-29T00:00:00"/>
    <x v="1"/>
    <x v="6"/>
    <x v="346"/>
    <x v="3"/>
    <x v="0"/>
    <x v="11"/>
    <x v="836"/>
    <x v="3424"/>
    <n v="3"/>
    <x v="2341"/>
  </r>
  <r>
    <d v="2020-07-29T00:00:00"/>
    <x v="1"/>
    <x v="6"/>
    <x v="346"/>
    <x v="3"/>
    <x v="1"/>
    <x v="1"/>
    <x v="437"/>
    <x v="3425"/>
    <n v="3"/>
    <x v="3383"/>
  </r>
  <r>
    <d v="2020-07-29T00:00:00"/>
    <x v="1"/>
    <x v="6"/>
    <x v="11"/>
    <x v="2"/>
    <x v="2"/>
    <x v="12"/>
    <x v="1154"/>
    <x v="3426"/>
    <n v="2"/>
    <x v="3384"/>
  </r>
  <r>
    <d v="2020-07-29T00:00:00"/>
    <x v="1"/>
    <x v="6"/>
    <x v="17"/>
    <x v="4"/>
    <x v="2"/>
    <x v="7"/>
    <x v="325"/>
    <x v="3427"/>
    <n v="3"/>
    <x v="3385"/>
  </r>
  <r>
    <d v="2020-07-29T00:00:00"/>
    <x v="1"/>
    <x v="6"/>
    <x v="17"/>
    <x v="4"/>
    <x v="1"/>
    <x v="1"/>
    <x v="913"/>
    <x v="3428"/>
    <n v="5"/>
    <x v="1610"/>
  </r>
  <r>
    <d v="2020-07-29T00:00:00"/>
    <x v="1"/>
    <x v="6"/>
    <x v="346"/>
    <x v="3"/>
    <x v="2"/>
    <x v="5"/>
    <x v="1046"/>
    <x v="3429"/>
    <n v="2"/>
    <x v="3386"/>
  </r>
  <r>
    <d v="2020-07-29T00:00:00"/>
    <x v="1"/>
    <x v="6"/>
    <x v="17"/>
    <x v="4"/>
    <x v="2"/>
    <x v="13"/>
    <x v="565"/>
    <x v="3430"/>
    <n v="2"/>
    <x v="639"/>
  </r>
  <r>
    <d v="2020-07-29T00:00:00"/>
    <x v="1"/>
    <x v="6"/>
    <x v="607"/>
    <x v="12"/>
    <x v="2"/>
    <x v="7"/>
    <x v="1031"/>
    <x v="2807"/>
    <n v="9"/>
    <x v="3387"/>
  </r>
  <r>
    <d v="2020-07-30T00:00:00"/>
    <x v="1"/>
    <x v="6"/>
    <x v="430"/>
    <x v="8"/>
    <x v="2"/>
    <x v="5"/>
    <x v="167"/>
    <x v="2653"/>
    <n v="4"/>
    <x v="3388"/>
  </r>
  <r>
    <d v="2020-07-30T00:00:00"/>
    <x v="1"/>
    <x v="6"/>
    <x v="228"/>
    <x v="1"/>
    <x v="2"/>
    <x v="2"/>
    <x v="1598"/>
    <x v="3431"/>
    <n v="2"/>
    <x v="3389"/>
  </r>
  <r>
    <d v="2020-07-30T00:00:00"/>
    <x v="1"/>
    <x v="6"/>
    <x v="228"/>
    <x v="1"/>
    <x v="2"/>
    <x v="14"/>
    <x v="1037"/>
    <x v="3432"/>
    <n v="7"/>
    <x v="3390"/>
  </r>
  <r>
    <d v="2020-07-30T00:00:00"/>
    <x v="1"/>
    <x v="6"/>
    <x v="352"/>
    <x v="0"/>
    <x v="1"/>
    <x v="1"/>
    <x v="805"/>
    <x v="3433"/>
    <n v="5"/>
    <x v="987"/>
  </r>
  <r>
    <d v="2020-07-31T00:00:00"/>
    <x v="1"/>
    <x v="6"/>
    <x v="585"/>
    <x v="7"/>
    <x v="2"/>
    <x v="13"/>
    <x v="1599"/>
    <x v="3434"/>
    <n v="6"/>
    <x v="3391"/>
  </r>
  <r>
    <d v="2020-07-31T00:00:00"/>
    <x v="1"/>
    <x v="6"/>
    <x v="308"/>
    <x v="5"/>
    <x v="1"/>
    <x v="1"/>
    <x v="850"/>
    <x v="3435"/>
    <n v="4"/>
    <x v="3392"/>
  </r>
  <r>
    <d v="2020-07-31T00:00:00"/>
    <x v="1"/>
    <x v="6"/>
    <x v="447"/>
    <x v="23"/>
    <x v="2"/>
    <x v="5"/>
    <x v="1043"/>
    <x v="3436"/>
    <n v="5"/>
    <x v="3393"/>
  </r>
  <r>
    <d v="2020-07-31T00:00:00"/>
    <x v="1"/>
    <x v="6"/>
    <x v="585"/>
    <x v="7"/>
    <x v="2"/>
    <x v="5"/>
    <x v="1235"/>
    <x v="3437"/>
    <n v="4"/>
    <x v="3394"/>
  </r>
  <r>
    <d v="2020-07-31T00:00:00"/>
    <x v="1"/>
    <x v="6"/>
    <x v="447"/>
    <x v="23"/>
    <x v="2"/>
    <x v="9"/>
    <x v="933"/>
    <x v="3438"/>
    <n v="1"/>
    <x v="3395"/>
  </r>
  <r>
    <d v="2020-07-31T00:00:00"/>
    <x v="1"/>
    <x v="6"/>
    <x v="447"/>
    <x v="23"/>
    <x v="2"/>
    <x v="5"/>
    <x v="1319"/>
    <x v="3439"/>
    <n v="3"/>
    <x v="3396"/>
  </r>
  <r>
    <d v="2020-07-31T00:00:00"/>
    <x v="1"/>
    <x v="6"/>
    <x v="618"/>
    <x v="1"/>
    <x v="0"/>
    <x v="8"/>
    <x v="1351"/>
    <x v="3440"/>
    <n v="7"/>
    <x v="3397"/>
  </r>
  <r>
    <d v="2020-07-31T00:00:00"/>
    <x v="1"/>
    <x v="6"/>
    <x v="181"/>
    <x v="6"/>
    <x v="1"/>
    <x v="3"/>
    <x v="1491"/>
    <x v="3441"/>
    <n v="2"/>
    <x v="3398"/>
  </r>
  <r>
    <d v="2020-07-31T00:00:00"/>
    <x v="1"/>
    <x v="6"/>
    <x v="546"/>
    <x v="17"/>
    <x v="1"/>
    <x v="1"/>
    <x v="382"/>
    <x v="3442"/>
    <n v="1"/>
    <x v="423"/>
  </r>
  <r>
    <d v="2020-07-31T00:00:00"/>
    <x v="1"/>
    <x v="6"/>
    <x v="69"/>
    <x v="5"/>
    <x v="2"/>
    <x v="9"/>
    <x v="582"/>
    <x v="3443"/>
    <n v="3"/>
    <x v="1658"/>
  </r>
  <r>
    <d v="2020-07-31T00:00:00"/>
    <x v="1"/>
    <x v="6"/>
    <x v="618"/>
    <x v="1"/>
    <x v="2"/>
    <x v="2"/>
    <x v="321"/>
    <x v="3444"/>
    <n v="2"/>
    <x v="3399"/>
  </r>
  <r>
    <d v="2020-08-01T00:00:00"/>
    <x v="1"/>
    <x v="7"/>
    <x v="297"/>
    <x v="17"/>
    <x v="1"/>
    <x v="1"/>
    <x v="1275"/>
    <x v="3445"/>
    <n v="2"/>
    <x v="3400"/>
  </r>
  <r>
    <d v="2020-08-01T00:00:00"/>
    <x v="1"/>
    <x v="7"/>
    <x v="720"/>
    <x v="1"/>
    <x v="2"/>
    <x v="2"/>
    <x v="110"/>
    <x v="3446"/>
    <n v="3"/>
    <x v="112"/>
  </r>
  <r>
    <d v="2020-08-01T00:00:00"/>
    <x v="1"/>
    <x v="7"/>
    <x v="687"/>
    <x v="4"/>
    <x v="1"/>
    <x v="1"/>
    <x v="974"/>
    <x v="3447"/>
    <n v="5"/>
    <x v="3401"/>
  </r>
  <r>
    <d v="2020-08-01T00:00:00"/>
    <x v="1"/>
    <x v="7"/>
    <x v="155"/>
    <x v="2"/>
    <x v="1"/>
    <x v="15"/>
    <x v="488"/>
    <x v="3448"/>
    <n v="3"/>
    <x v="3402"/>
  </r>
  <r>
    <d v="2020-08-01T00:00:00"/>
    <x v="1"/>
    <x v="7"/>
    <x v="155"/>
    <x v="2"/>
    <x v="2"/>
    <x v="9"/>
    <x v="1600"/>
    <x v="3449"/>
    <n v="7"/>
    <x v="379"/>
  </r>
  <r>
    <d v="2020-08-01T00:00:00"/>
    <x v="1"/>
    <x v="7"/>
    <x v="218"/>
    <x v="1"/>
    <x v="2"/>
    <x v="5"/>
    <x v="1292"/>
    <x v="3450"/>
    <n v="2"/>
    <x v="3403"/>
  </r>
  <r>
    <d v="2020-08-03T00:00:00"/>
    <x v="1"/>
    <x v="7"/>
    <x v="591"/>
    <x v="1"/>
    <x v="2"/>
    <x v="2"/>
    <x v="1114"/>
    <x v="3451"/>
    <n v="3"/>
    <x v="1593"/>
  </r>
  <r>
    <d v="2020-08-03T00:00:00"/>
    <x v="1"/>
    <x v="7"/>
    <x v="81"/>
    <x v="1"/>
    <x v="0"/>
    <x v="8"/>
    <x v="112"/>
    <x v="2527"/>
    <n v="3"/>
    <x v="3404"/>
  </r>
  <r>
    <d v="2020-08-03T00:00:00"/>
    <x v="1"/>
    <x v="7"/>
    <x v="721"/>
    <x v="17"/>
    <x v="0"/>
    <x v="0"/>
    <x v="1087"/>
    <x v="3452"/>
    <n v="2"/>
    <x v="3405"/>
  </r>
  <r>
    <d v="2020-08-03T00:00:00"/>
    <x v="1"/>
    <x v="7"/>
    <x v="304"/>
    <x v="9"/>
    <x v="2"/>
    <x v="2"/>
    <x v="1601"/>
    <x v="3453"/>
    <n v="1"/>
    <x v="3406"/>
  </r>
  <r>
    <d v="2020-08-03T00:00:00"/>
    <x v="1"/>
    <x v="7"/>
    <x v="324"/>
    <x v="8"/>
    <x v="2"/>
    <x v="14"/>
    <x v="57"/>
    <x v="3454"/>
    <n v="5"/>
    <x v="1450"/>
  </r>
  <r>
    <d v="2020-08-03T00:00:00"/>
    <x v="1"/>
    <x v="7"/>
    <x v="81"/>
    <x v="1"/>
    <x v="2"/>
    <x v="14"/>
    <x v="307"/>
    <x v="3455"/>
    <n v="5"/>
    <x v="1745"/>
  </r>
  <r>
    <d v="2020-08-03T00:00:00"/>
    <x v="1"/>
    <x v="7"/>
    <x v="48"/>
    <x v="17"/>
    <x v="1"/>
    <x v="3"/>
    <x v="1160"/>
    <x v="3456"/>
    <n v="3"/>
    <x v="3407"/>
  </r>
  <r>
    <d v="2020-08-04T00:00:00"/>
    <x v="1"/>
    <x v="7"/>
    <x v="255"/>
    <x v="22"/>
    <x v="2"/>
    <x v="9"/>
    <x v="1517"/>
    <x v="3457"/>
    <n v="2"/>
    <x v="3408"/>
  </r>
  <r>
    <d v="2020-08-04T00:00:00"/>
    <x v="1"/>
    <x v="7"/>
    <x v="255"/>
    <x v="22"/>
    <x v="2"/>
    <x v="10"/>
    <x v="508"/>
    <x v="3458"/>
    <n v="1"/>
    <x v="3409"/>
  </r>
  <r>
    <d v="2020-08-04T00:00:00"/>
    <x v="1"/>
    <x v="7"/>
    <x v="255"/>
    <x v="2"/>
    <x v="2"/>
    <x v="5"/>
    <x v="897"/>
    <x v="3459"/>
    <n v="3"/>
    <x v="3410"/>
  </r>
  <r>
    <d v="2020-08-05T00:00:00"/>
    <x v="1"/>
    <x v="7"/>
    <x v="483"/>
    <x v="24"/>
    <x v="1"/>
    <x v="3"/>
    <x v="11"/>
    <x v="3460"/>
    <n v="2"/>
    <x v="3411"/>
  </r>
  <r>
    <d v="2020-08-05T00:00:00"/>
    <x v="1"/>
    <x v="7"/>
    <x v="483"/>
    <x v="24"/>
    <x v="2"/>
    <x v="14"/>
    <x v="56"/>
    <x v="3461"/>
    <n v="9"/>
    <x v="3412"/>
  </r>
  <r>
    <d v="2020-08-05T00:00:00"/>
    <x v="1"/>
    <x v="7"/>
    <x v="483"/>
    <x v="24"/>
    <x v="2"/>
    <x v="5"/>
    <x v="666"/>
    <x v="3462"/>
    <n v="6"/>
    <x v="3413"/>
  </r>
  <r>
    <d v="2020-08-05T00:00:00"/>
    <x v="1"/>
    <x v="7"/>
    <x v="354"/>
    <x v="2"/>
    <x v="2"/>
    <x v="2"/>
    <x v="1602"/>
    <x v="3463"/>
    <n v="9"/>
    <x v="3414"/>
  </r>
  <r>
    <d v="2020-08-05T00:00:00"/>
    <x v="1"/>
    <x v="7"/>
    <x v="431"/>
    <x v="19"/>
    <x v="2"/>
    <x v="9"/>
    <x v="331"/>
    <x v="3464"/>
    <n v="2"/>
    <x v="1999"/>
  </r>
  <r>
    <d v="2020-08-06T00:00:00"/>
    <x v="1"/>
    <x v="7"/>
    <x v="619"/>
    <x v="12"/>
    <x v="2"/>
    <x v="16"/>
    <x v="857"/>
    <x v="3465"/>
    <n v="4"/>
    <x v="3415"/>
  </r>
  <r>
    <d v="2020-08-06T00:00:00"/>
    <x v="1"/>
    <x v="7"/>
    <x v="35"/>
    <x v="2"/>
    <x v="2"/>
    <x v="9"/>
    <x v="977"/>
    <x v="3466"/>
    <n v="3"/>
    <x v="2419"/>
  </r>
  <r>
    <d v="2020-08-06T00:00:00"/>
    <x v="1"/>
    <x v="7"/>
    <x v="314"/>
    <x v="28"/>
    <x v="0"/>
    <x v="0"/>
    <x v="78"/>
    <x v="3467"/>
    <n v="3"/>
    <x v="3416"/>
  </r>
  <r>
    <d v="2020-08-06T00:00:00"/>
    <x v="1"/>
    <x v="7"/>
    <x v="171"/>
    <x v="13"/>
    <x v="2"/>
    <x v="7"/>
    <x v="1158"/>
    <x v="3468"/>
    <n v="6"/>
    <x v="3417"/>
  </r>
  <r>
    <d v="2020-08-06T00:00:00"/>
    <x v="1"/>
    <x v="7"/>
    <x v="171"/>
    <x v="13"/>
    <x v="1"/>
    <x v="1"/>
    <x v="1380"/>
    <x v="3469"/>
    <n v="5"/>
    <x v="3418"/>
  </r>
  <r>
    <d v="2020-08-06T00:00:00"/>
    <x v="1"/>
    <x v="7"/>
    <x v="171"/>
    <x v="13"/>
    <x v="2"/>
    <x v="14"/>
    <x v="527"/>
    <x v="3470"/>
    <n v="8"/>
    <x v="3419"/>
  </r>
  <r>
    <d v="2020-08-06T00:00:00"/>
    <x v="1"/>
    <x v="7"/>
    <x v="314"/>
    <x v="28"/>
    <x v="0"/>
    <x v="8"/>
    <x v="1111"/>
    <x v="3471"/>
    <n v="5"/>
    <x v="3420"/>
  </r>
  <r>
    <d v="2020-08-07T00:00:00"/>
    <x v="1"/>
    <x v="7"/>
    <x v="179"/>
    <x v="1"/>
    <x v="0"/>
    <x v="8"/>
    <x v="294"/>
    <x v="3472"/>
    <n v="1"/>
    <x v="937"/>
  </r>
  <r>
    <d v="2020-08-07T00:00:00"/>
    <x v="1"/>
    <x v="7"/>
    <x v="67"/>
    <x v="4"/>
    <x v="1"/>
    <x v="3"/>
    <x v="910"/>
    <x v="3473"/>
    <n v="1"/>
    <x v="3421"/>
  </r>
  <r>
    <d v="2020-08-07T00:00:00"/>
    <x v="1"/>
    <x v="7"/>
    <x v="231"/>
    <x v="27"/>
    <x v="1"/>
    <x v="3"/>
    <x v="914"/>
    <x v="3440"/>
    <n v="4"/>
    <x v="3422"/>
  </r>
  <r>
    <d v="2020-08-07T00:00:00"/>
    <x v="1"/>
    <x v="7"/>
    <x v="633"/>
    <x v="12"/>
    <x v="2"/>
    <x v="7"/>
    <x v="1088"/>
    <x v="3474"/>
    <n v="10"/>
    <x v="3423"/>
  </r>
  <r>
    <d v="2020-08-07T00:00:00"/>
    <x v="1"/>
    <x v="7"/>
    <x v="302"/>
    <x v="2"/>
    <x v="1"/>
    <x v="3"/>
    <x v="1441"/>
    <x v="3475"/>
    <n v="3"/>
    <x v="3424"/>
  </r>
  <r>
    <d v="2020-08-07T00:00:00"/>
    <x v="1"/>
    <x v="7"/>
    <x v="302"/>
    <x v="2"/>
    <x v="2"/>
    <x v="2"/>
    <x v="1032"/>
    <x v="3476"/>
    <n v="2"/>
    <x v="3425"/>
  </r>
  <r>
    <d v="2020-08-07T00:00:00"/>
    <x v="1"/>
    <x v="7"/>
    <x v="426"/>
    <x v="1"/>
    <x v="1"/>
    <x v="1"/>
    <x v="888"/>
    <x v="3477"/>
    <n v="5"/>
    <x v="3426"/>
  </r>
  <r>
    <d v="2020-08-07T00:00:00"/>
    <x v="1"/>
    <x v="7"/>
    <x v="179"/>
    <x v="1"/>
    <x v="0"/>
    <x v="11"/>
    <x v="1603"/>
    <x v="3478"/>
    <n v="1"/>
    <x v="3427"/>
  </r>
  <r>
    <d v="2020-08-07T00:00:00"/>
    <x v="1"/>
    <x v="7"/>
    <x v="624"/>
    <x v="1"/>
    <x v="2"/>
    <x v="9"/>
    <x v="1093"/>
    <x v="3479"/>
    <n v="5"/>
    <x v="2719"/>
  </r>
  <r>
    <d v="2020-08-07T00:00:00"/>
    <x v="1"/>
    <x v="7"/>
    <x v="179"/>
    <x v="1"/>
    <x v="1"/>
    <x v="1"/>
    <x v="1604"/>
    <x v="3480"/>
    <n v="3"/>
    <x v="3428"/>
  </r>
  <r>
    <d v="2020-08-07T00:00:00"/>
    <x v="1"/>
    <x v="7"/>
    <x v="179"/>
    <x v="1"/>
    <x v="2"/>
    <x v="13"/>
    <x v="875"/>
    <x v="3481"/>
    <n v="5"/>
    <x v="3429"/>
  </r>
  <r>
    <d v="2020-08-07T00:00:00"/>
    <x v="1"/>
    <x v="7"/>
    <x v="179"/>
    <x v="1"/>
    <x v="2"/>
    <x v="5"/>
    <x v="432"/>
    <x v="3482"/>
    <n v="3"/>
    <x v="1431"/>
  </r>
  <r>
    <d v="2020-08-07T00:00:00"/>
    <x v="1"/>
    <x v="7"/>
    <x v="426"/>
    <x v="1"/>
    <x v="2"/>
    <x v="5"/>
    <x v="802"/>
    <x v="3483"/>
    <n v="2"/>
    <x v="3430"/>
  </r>
  <r>
    <d v="2020-08-07T00:00:00"/>
    <x v="1"/>
    <x v="7"/>
    <x v="179"/>
    <x v="1"/>
    <x v="2"/>
    <x v="9"/>
    <x v="439"/>
    <x v="3484"/>
    <n v="2"/>
    <x v="1206"/>
  </r>
  <r>
    <d v="2020-08-07T00:00:00"/>
    <x v="1"/>
    <x v="7"/>
    <x v="633"/>
    <x v="12"/>
    <x v="2"/>
    <x v="7"/>
    <x v="1389"/>
    <x v="3485"/>
    <n v="2"/>
    <x v="3361"/>
  </r>
  <r>
    <d v="2020-08-07T00:00:00"/>
    <x v="1"/>
    <x v="7"/>
    <x v="179"/>
    <x v="1"/>
    <x v="2"/>
    <x v="5"/>
    <x v="1605"/>
    <x v="3486"/>
    <n v="3"/>
    <x v="3431"/>
  </r>
  <r>
    <d v="2020-08-07T00:00:00"/>
    <x v="1"/>
    <x v="7"/>
    <x v="179"/>
    <x v="1"/>
    <x v="1"/>
    <x v="3"/>
    <x v="856"/>
    <x v="3487"/>
    <n v="4"/>
    <x v="3432"/>
  </r>
  <r>
    <d v="2020-08-10T00:00:00"/>
    <x v="1"/>
    <x v="7"/>
    <x v="384"/>
    <x v="24"/>
    <x v="0"/>
    <x v="8"/>
    <x v="1573"/>
    <x v="3488"/>
    <n v="2"/>
    <x v="3433"/>
  </r>
  <r>
    <d v="2020-08-10T00:00:00"/>
    <x v="1"/>
    <x v="7"/>
    <x v="358"/>
    <x v="24"/>
    <x v="2"/>
    <x v="9"/>
    <x v="1349"/>
    <x v="3489"/>
    <n v="5"/>
    <x v="3434"/>
  </r>
  <r>
    <d v="2020-08-10T00:00:00"/>
    <x v="1"/>
    <x v="7"/>
    <x v="384"/>
    <x v="24"/>
    <x v="1"/>
    <x v="1"/>
    <x v="106"/>
    <x v="3490"/>
    <n v="9"/>
    <x v="3435"/>
  </r>
  <r>
    <d v="2020-08-10T00:00:00"/>
    <x v="1"/>
    <x v="7"/>
    <x v="384"/>
    <x v="24"/>
    <x v="2"/>
    <x v="10"/>
    <x v="86"/>
    <x v="3491"/>
    <n v="6"/>
    <x v="3436"/>
  </r>
  <r>
    <d v="2020-08-11T00:00:00"/>
    <x v="1"/>
    <x v="7"/>
    <x v="548"/>
    <x v="2"/>
    <x v="1"/>
    <x v="1"/>
    <x v="168"/>
    <x v="831"/>
    <n v="2"/>
    <x v="3437"/>
  </r>
  <r>
    <d v="2020-08-11T00:00:00"/>
    <x v="1"/>
    <x v="7"/>
    <x v="516"/>
    <x v="28"/>
    <x v="2"/>
    <x v="5"/>
    <x v="200"/>
    <x v="3492"/>
    <n v="11"/>
    <x v="3438"/>
  </r>
  <r>
    <d v="2020-08-11T00:00:00"/>
    <x v="1"/>
    <x v="7"/>
    <x v="105"/>
    <x v="12"/>
    <x v="2"/>
    <x v="9"/>
    <x v="433"/>
    <x v="2332"/>
    <n v="4"/>
    <x v="1384"/>
  </r>
  <r>
    <d v="2020-08-11T00:00:00"/>
    <x v="1"/>
    <x v="7"/>
    <x v="548"/>
    <x v="2"/>
    <x v="2"/>
    <x v="7"/>
    <x v="403"/>
    <x v="3493"/>
    <n v="7"/>
    <x v="3439"/>
  </r>
  <r>
    <d v="2020-08-11T00:00:00"/>
    <x v="1"/>
    <x v="7"/>
    <x v="548"/>
    <x v="2"/>
    <x v="2"/>
    <x v="9"/>
    <x v="317"/>
    <x v="3494"/>
    <n v="4"/>
    <x v="3440"/>
  </r>
  <r>
    <d v="2020-08-11T00:00:00"/>
    <x v="1"/>
    <x v="7"/>
    <x v="548"/>
    <x v="2"/>
    <x v="2"/>
    <x v="5"/>
    <x v="759"/>
    <x v="3495"/>
    <n v="8"/>
    <x v="3441"/>
  </r>
  <r>
    <d v="2020-08-12T00:00:00"/>
    <x v="1"/>
    <x v="7"/>
    <x v="722"/>
    <x v="9"/>
    <x v="2"/>
    <x v="5"/>
    <x v="553"/>
    <x v="3496"/>
    <n v="6"/>
    <x v="3442"/>
  </r>
  <r>
    <d v="2020-08-12T00:00:00"/>
    <x v="1"/>
    <x v="7"/>
    <x v="722"/>
    <x v="9"/>
    <x v="2"/>
    <x v="9"/>
    <x v="686"/>
    <x v="3497"/>
    <n v="4"/>
    <x v="1297"/>
  </r>
  <r>
    <d v="2020-08-12T00:00:00"/>
    <x v="1"/>
    <x v="7"/>
    <x v="722"/>
    <x v="9"/>
    <x v="1"/>
    <x v="3"/>
    <x v="720"/>
    <x v="3498"/>
    <n v="5"/>
    <x v="3443"/>
  </r>
  <r>
    <d v="2020-08-12T00:00:00"/>
    <x v="1"/>
    <x v="7"/>
    <x v="566"/>
    <x v="0"/>
    <x v="2"/>
    <x v="7"/>
    <x v="302"/>
    <x v="3499"/>
    <n v="5"/>
    <x v="3444"/>
  </r>
  <r>
    <d v="2020-08-12T00:00:00"/>
    <x v="1"/>
    <x v="7"/>
    <x v="722"/>
    <x v="9"/>
    <x v="1"/>
    <x v="1"/>
    <x v="190"/>
    <x v="3500"/>
    <n v="8"/>
    <x v="3445"/>
  </r>
  <r>
    <d v="2020-08-12T00:00:00"/>
    <x v="1"/>
    <x v="7"/>
    <x v="722"/>
    <x v="9"/>
    <x v="1"/>
    <x v="6"/>
    <x v="8"/>
    <x v="3501"/>
    <n v="1"/>
    <x v="2067"/>
  </r>
  <r>
    <d v="2020-08-12T00:00:00"/>
    <x v="1"/>
    <x v="7"/>
    <x v="294"/>
    <x v="1"/>
    <x v="2"/>
    <x v="13"/>
    <x v="1376"/>
    <x v="3502"/>
    <n v="3"/>
    <x v="2348"/>
  </r>
  <r>
    <d v="2020-08-12T00:00:00"/>
    <x v="1"/>
    <x v="7"/>
    <x v="566"/>
    <x v="0"/>
    <x v="0"/>
    <x v="11"/>
    <x v="795"/>
    <x v="3503"/>
    <n v="5"/>
    <x v="3446"/>
  </r>
  <r>
    <d v="2020-08-12T00:00:00"/>
    <x v="1"/>
    <x v="7"/>
    <x v="566"/>
    <x v="0"/>
    <x v="2"/>
    <x v="7"/>
    <x v="9"/>
    <x v="3504"/>
    <n v="3"/>
    <x v="1178"/>
  </r>
  <r>
    <d v="2020-08-12T00:00:00"/>
    <x v="1"/>
    <x v="7"/>
    <x v="723"/>
    <x v="6"/>
    <x v="2"/>
    <x v="9"/>
    <x v="1606"/>
    <x v="3505"/>
    <n v="4"/>
    <x v="286"/>
  </r>
  <r>
    <d v="2020-08-12T00:00:00"/>
    <x v="1"/>
    <x v="7"/>
    <x v="294"/>
    <x v="1"/>
    <x v="0"/>
    <x v="8"/>
    <x v="1537"/>
    <x v="239"/>
    <n v="4"/>
    <x v="3447"/>
  </r>
  <r>
    <d v="2020-08-12T00:00:00"/>
    <x v="1"/>
    <x v="7"/>
    <x v="722"/>
    <x v="9"/>
    <x v="2"/>
    <x v="2"/>
    <x v="1550"/>
    <x v="3506"/>
    <n v="3"/>
    <x v="3448"/>
  </r>
  <r>
    <d v="2020-08-13T00:00:00"/>
    <x v="1"/>
    <x v="7"/>
    <x v="426"/>
    <x v="1"/>
    <x v="2"/>
    <x v="7"/>
    <x v="72"/>
    <x v="3232"/>
    <n v="3"/>
    <x v="327"/>
  </r>
  <r>
    <d v="2020-08-13T00:00:00"/>
    <x v="1"/>
    <x v="7"/>
    <x v="426"/>
    <x v="1"/>
    <x v="2"/>
    <x v="13"/>
    <x v="512"/>
    <x v="3507"/>
    <n v="7"/>
    <x v="3449"/>
  </r>
  <r>
    <d v="2020-08-13T00:00:00"/>
    <x v="1"/>
    <x v="7"/>
    <x v="150"/>
    <x v="21"/>
    <x v="2"/>
    <x v="13"/>
    <x v="534"/>
    <x v="3508"/>
    <n v="7"/>
    <x v="3450"/>
  </r>
  <r>
    <d v="2020-08-13T00:00:00"/>
    <x v="1"/>
    <x v="7"/>
    <x v="150"/>
    <x v="21"/>
    <x v="0"/>
    <x v="11"/>
    <x v="1009"/>
    <x v="3509"/>
    <n v="2"/>
    <x v="3451"/>
  </r>
  <r>
    <d v="2020-08-13T00:00:00"/>
    <x v="1"/>
    <x v="7"/>
    <x v="150"/>
    <x v="21"/>
    <x v="2"/>
    <x v="5"/>
    <x v="1332"/>
    <x v="3510"/>
    <n v="6"/>
    <x v="3452"/>
  </r>
  <r>
    <d v="2020-08-13T00:00:00"/>
    <x v="1"/>
    <x v="7"/>
    <x v="150"/>
    <x v="21"/>
    <x v="2"/>
    <x v="10"/>
    <x v="1444"/>
    <x v="3511"/>
    <n v="5"/>
    <x v="3453"/>
  </r>
  <r>
    <d v="2020-08-13T00:00:00"/>
    <x v="1"/>
    <x v="7"/>
    <x v="150"/>
    <x v="21"/>
    <x v="1"/>
    <x v="3"/>
    <x v="1607"/>
    <x v="3512"/>
    <n v="2"/>
    <x v="3454"/>
  </r>
  <r>
    <d v="2020-08-13T00:00:00"/>
    <x v="1"/>
    <x v="7"/>
    <x v="150"/>
    <x v="21"/>
    <x v="2"/>
    <x v="12"/>
    <x v="163"/>
    <x v="3513"/>
    <n v="5"/>
    <x v="3455"/>
  </r>
  <r>
    <d v="2020-08-13T00:00:00"/>
    <x v="1"/>
    <x v="7"/>
    <x v="426"/>
    <x v="1"/>
    <x v="2"/>
    <x v="2"/>
    <x v="764"/>
    <x v="3514"/>
    <n v="3"/>
    <x v="3456"/>
  </r>
  <r>
    <d v="2020-08-13T00:00:00"/>
    <x v="1"/>
    <x v="7"/>
    <x v="150"/>
    <x v="21"/>
    <x v="0"/>
    <x v="8"/>
    <x v="344"/>
    <x v="2190"/>
    <n v="1"/>
    <x v="72"/>
  </r>
  <r>
    <d v="2020-08-13T00:00:00"/>
    <x v="1"/>
    <x v="7"/>
    <x v="479"/>
    <x v="5"/>
    <x v="2"/>
    <x v="14"/>
    <x v="643"/>
    <x v="3515"/>
    <n v="3"/>
    <x v="3457"/>
  </r>
  <r>
    <d v="2020-08-13T00:00:00"/>
    <x v="1"/>
    <x v="7"/>
    <x v="426"/>
    <x v="1"/>
    <x v="2"/>
    <x v="16"/>
    <x v="311"/>
    <x v="2843"/>
    <n v="4"/>
    <x v="3458"/>
  </r>
  <r>
    <d v="2020-08-13T00:00:00"/>
    <x v="1"/>
    <x v="7"/>
    <x v="257"/>
    <x v="1"/>
    <x v="2"/>
    <x v="5"/>
    <x v="353"/>
    <x v="3516"/>
    <n v="3"/>
    <x v="3459"/>
  </r>
  <r>
    <d v="2020-08-14T00:00:00"/>
    <x v="1"/>
    <x v="7"/>
    <x v="157"/>
    <x v="1"/>
    <x v="0"/>
    <x v="4"/>
    <x v="69"/>
    <x v="3517"/>
    <n v="3"/>
    <x v="3460"/>
  </r>
  <r>
    <d v="2020-08-14T00:00:00"/>
    <x v="1"/>
    <x v="7"/>
    <x v="409"/>
    <x v="1"/>
    <x v="2"/>
    <x v="14"/>
    <x v="1190"/>
    <x v="1822"/>
    <n v="2"/>
    <x v="2165"/>
  </r>
  <r>
    <d v="2020-08-14T00:00:00"/>
    <x v="1"/>
    <x v="7"/>
    <x v="409"/>
    <x v="1"/>
    <x v="2"/>
    <x v="7"/>
    <x v="1304"/>
    <x v="3125"/>
    <n v="6"/>
    <x v="3139"/>
  </r>
  <r>
    <d v="2020-08-15T00:00:00"/>
    <x v="1"/>
    <x v="7"/>
    <x v="386"/>
    <x v="10"/>
    <x v="2"/>
    <x v="13"/>
    <x v="418"/>
    <x v="3518"/>
    <n v="2"/>
    <x v="3461"/>
  </r>
  <r>
    <d v="2020-08-15T00:00:00"/>
    <x v="1"/>
    <x v="7"/>
    <x v="24"/>
    <x v="5"/>
    <x v="2"/>
    <x v="2"/>
    <x v="1271"/>
    <x v="3519"/>
    <n v="6"/>
    <x v="3462"/>
  </r>
  <r>
    <d v="2020-08-15T00:00:00"/>
    <x v="1"/>
    <x v="7"/>
    <x v="3"/>
    <x v="27"/>
    <x v="2"/>
    <x v="14"/>
    <x v="839"/>
    <x v="3520"/>
    <n v="8"/>
    <x v="3463"/>
  </r>
  <r>
    <d v="2020-08-16T00:00:00"/>
    <x v="1"/>
    <x v="7"/>
    <x v="510"/>
    <x v="21"/>
    <x v="2"/>
    <x v="5"/>
    <x v="536"/>
    <x v="3521"/>
    <n v="3"/>
    <x v="3464"/>
  </r>
  <r>
    <d v="2020-08-16T00:00:00"/>
    <x v="1"/>
    <x v="7"/>
    <x v="510"/>
    <x v="21"/>
    <x v="2"/>
    <x v="2"/>
    <x v="1608"/>
    <x v="3522"/>
    <n v="4"/>
    <x v="3465"/>
  </r>
  <r>
    <d v="2020-08-17T00:00:00"/>
    <x v="1"/>
    <x v="7"/>
    <x v="351"/>
    <x v="19"/>
    <x v="1"/>
    <x v="3"/>
    <x v="483"/>
    <x v="3523"/>
    <n v="6"/>
    <x v="1638"/>
  </r>
  <r>
    <d v="2020-08-17T00:00:00"/>
    <x v="1"/>
    <x v="7"/>
    <x v="351"/>
    <x v="19"/>
    <x v="2"/>
    <x v="5"/>
    <x v="1292"/>
    <x v="3524"/>
    <n v="3"/>
    <x v="3179"/>
  </r>
  <r>
    <d v="2020-08-17T00:00:00"/>
    <x v="1"/>
    <x v="7"/>
    <x v="689"/>
    <x v="1"/>
    <x v="2"/>
    <x v="5"/>
    <x v="1609"/>
    <x v="3525"/>
    <n v="8"/>
    <x v="3466"/>
  </r>
  <r>
    <d v="2020-08-17T00:00:00"/>
    <x v="1"/>
    <x v="7"/>
    <x v="124"/>
    <x v="12"/>
    <x v="0"/>
    <x v="11"/>
    <x v="723"/>
    <x v="3526"/>
    <n v="2"/>
    <x v="3467"/>
  </r>
  <r>
    <d v="2020-08-17T00:00:00"/>
    <x v="1"/>
    <x v="7"/>
    <x v="689"/>
    <x v="1"/>
    <x v="2"/>
    <x v="2"/>
    <x v="152"/>
    <x v="3527"/>
    <n v="3"/>
    <x v="3468"/>
  </r>
  <r>
    <d v="2020-08-17T00:00:00"/>
    <x v="1"/>
    <x v="7"/>
    <x v="124"/>
    <x v="12"/>
    <x v="2"/>
    <x v="5"/>
    <x v="1425"/>
    <x v="3528"/>
    <n v="5"/>
    <x v="2745"/>
  </r>
  <r>
    <d v="2020-08-17T00:00:00"/>
    <x v="1"/>
    <x v="7"/>
    <x v="689"/>
    <x v="1"/>
    <x v="2"/>
    <x v="13"/>
    <x v="693"/>
    <x v="3529"/>
    <n v="9"/>
    <x v="3469"/>
  </r>
  <r>
    <d v="2020-08-17T00:00:00"/>
    <x v="1"/>
    <x v="7"/>
    <x v="442"/>
    <x v="5"/>
    <x v="0"/>
    <x v="11"/>
    <x v="371"/>
    <x v="3530"/>
    <n v="9"/>
    <x v="3470"/>
  </r>
  <r>
    <d v="2020-08-17T00:00:00"/>
    <x v="1"/>
    <x v="7"/>
    <x v="537"/>
    <x v="2"/>
    <x v="2"/>
    <x v="16"/>
    <x v="1610"/>
    <x v="3531"/>
    <n v="2"/>
    <x v="3471"/>
  </r>
  <r>
    <d v="2020-08-17T00:00:00"/>
    <x v="1"/>
    <x v="7"/>
    <x v="537"/>
    <x v="2"/>
    <x v="2"/>
    <x v="7"/>
    <x v="1108"/>
    <x v="3532"/>
    <n v="3"/>
    <x v="3472"/>
  </r>
  <r>
    <d v="2020-08-17T00:00:00"/>
    <x v="1"/>
    <x v="7"/>
    <x v="689"/>
    <x v="1"/>
    <x v="2"/>
    <x v="5"/>
    <x v="145"/>
    <x v="3533"/>
    <n v="3"/>
    <x v="1535"/>
  </r>
  <r>
    <d v="2020-08-17T00:00:00"/>
    <x v="1"/>
    <x v="7"/>
    <x v="537"/>
    <x v="2"/>
    <x v="2"/>
    <x v="13"/>
    <x v="534"/>
    <x v="3534"/>
    <n v="4"/>
    <x v="3473"/>
  </r>
  <r>
    <d v="2020-08-17T00:00:00"/>
    <x v="1"/>
    <x v="7"/>
    <x v="689"/>
    <x v="1"/>
    <x v="2"/>
    <x v="10"/>
    <x v="86"/>
    <x v="3535"/>
    <n v="2"/>
    <x v="86"/>
  </r>
  <r>
    <d v="2020-08-17T00:00:00"/>
    <x v="1"/>
    <x v="7"/>
    <x v="689"/>
    <x v="1"/>
    <x v="2"/>
    <x v="9"/>
    <x v="316"/>
    <x v="3536"/>
    <n v="2"/>
    <x v="1545"/>
  </r>
  <r>
    <d v="2020-08-17T00:00:00"/>
    <x v="1"/>
    <x v="7"/>
    <x v="537"/>
    <x v="2"/>
    <x v="0"/>
    <x v="8"/>
    <x v="575"/>
    <x v="3537"/>
    <n v="2"/>
    <x v="3474"/>
  </r>
  <r>
    <d v="2020-08-17T00:00:00"/>
    <x v="1"/>
    <x v="7"/>
    <x v="689"/>
    <x v="1"/>
    <x v="1"/>
    <x v="1"/>
    <x v="748"/>
    <x v="3538"/>
    <n v="3"/>
    <x v="891"/>
  </r>
  <r>
    <d v="2020-08-17T00:00:00"/>
    <x v="1"/>
    <x v="7"/>
    <x v="537"/>
    <x v="2"/>
    <x v="0"/>
    <x v="11"/>
    <x v="1506"/>
    <x v="3539"/>
    <n v="4"/>
    <x v="3475"/>
  </r>
  <r>
    <d v="2020-08-18T00:00:00"/>
    <x v="1"/>
    <x v="7"/>
    <x v="682"/>
    <x v="9"/>
    <x v="0"/>
    <x v="8"/>
    <x v="54"/>
    <x v="1529"/>
    <n v="3"/>
    <x v="3476"/>
  </r>
  <r>
    <d v="2020-08-18T00:00:00"/>
    <x v="1"/>
    <x v="7"/>
    <x v="655"/>
    <x v="12"/>
    <x v="0"/>
    <x v="8"/>
    <x v="1611"/>
    <x v="3540"/>
    <n v="3"/>
    <x v="3477"/>
  </r>
  <r>
    <d v="2020-08-18T00:00:00"/>
    <x v="1"/>
    <x v="7"/>
    <x v="655"/>
    <x v="12"/>
    <x v="2"/>
    <x v="5"/>
    <x v="536"/>
    <x v="3541"/>
    <n v="9"/>
    <x v="3478"/>
  </r>
  <r>
    <d v="2020-08-18T00:00:00"/>
    <x v="1"/>
    <x v="7"/>
    <x v="497"/>
    <x v="2"/>
    <x v="2"/>
    <x v="2"/>
    <x v="808"/>
    <x v="3542"/>
    <n v="3"/>
    <x v="3479"/>
  </r>
  <r>
    <d v="2020-08-18T00:00:00"/>
    <x v="1"/>
    <x v="7"/>
    <x v="724"/>
    <x v="9"/>
    <x v="2"/>
    <x v="2"/>
    <x v="1612"/>
    <x v="3543"/>
    <n v="2"/>
    <x v="3480"/>
  </r>
  <r>
    <d v="2020-08-18T00:00:00"/>
    <x v="1"/>
    <x v="7"/>
    <x v="420"/>
    <x v="9"/>
    <x v="1"/>
    <x v="3"/>
    <x v="950"/>
    <x v="3544"/>
    <n v="2"/>
    <x v="3481"/>
  </r>
  <r>
    <d v="2020-08-18T00:00:00"/>
    <x v="1"/>
    <x v="7"/>
    <x v="682"/>
    <x v="9"/>
    <x v="2"/>
    <x v="2"/>
    <x v="625"/>
    <x v="3545"/>
    <n v="7"/>
    <x v="3482"/>
  </r>
  <r>
    <d v="2020-08-18T00:00:00"/>
    <x v="1"/>
    <x v="7"/>
    <x v="420"/>
    <x v="9"/>
    <x v="1"/>
    <x v="3"/>
    <x v="1613"/>
    <x v="3546"/>
    <n v="9"/>
    <x v="3483"/>
  </r>
  <r>
    <d v="2020-08-18T00:00:00"/>
    <x v="1"/>
    <x v="7"/>
    <x v="682"/>
    <x v="9"/>
    <x v="2"/>
    <x v="5"/>
    <x v="1614"/>
    <x v="3547"/>
    <n v="9"/>
    <x v="3484"/>
  </r>
  <r>
    <d v="2020-08-18T00:00:00"/>
    <x v="1"/>
    <x v="7"/>
    <x v="497"/>
    <x v="2"/>
    <x v="2"/>
    <x v="5"/>
    <x v="1372"/>
    <x v="3548"/>
    <n v="5"/>
    <x v="3485"/>
  </r>
  <r>
    <d v="2020-08-18T00:00:00"/>
    <x v="1"/>
    <x v="7"/>
    <x v="497"/>
    <x v="2"/>
    <x v="2"/>
    <x v="5"/>
    <x v="1182"/>
    <x v="3549"/>
    <n v="4"/>
    <x v="3486"/>
  </r>
  <r>
    <d v="2020-08-18T00:00:00"/>
    <x v="1"/>
    <x v="7"/>
    <x v="655"/>
    <x v="12"/>
    <x v="0"/>
    <x v="8"/>
    <x v="27"/>
    <x v="3550"/>
    <n v="2"/>
    <x v="1930"/>
  </r>
  <r>
    <d v="2020-08-18T00:00:00"/>
    <x v="1"/>
    <x v="7"/>
    <x v="302"/>
    <x v="8"/>
    <x v="2"/>
    <x v="5"/>
    <x v="537"/>
    <x v="3551"/>
    <n v="3"/>
    <x v="3487"/>
  </r>
  <r>
    <d v="2020-08-18T00:00:00"/>
    <x v="1"/>
    <x v="7"/>
    <x v="381"/>
    <x v="8"/>
    <x v="2"/>
    <x v="7"/>
    <x v="834"/>
    <x v="3552"/>
    <n v="3"/>
    <x v="3488"/>
  </r>
  <r>
    <d v="2020-08-18T00:00:00"/>
    <x v="1"/>
    <x v="7"/>
    <x v="655"/>
    <x v="12"/>
    <x v="1"/>
    <x v="1"/>
    <x v="190"/>
    <x v="3553"/>
    <n v="1"/>
    <x v="3489"/>
  </r>
  <r>
    <d v="2020-08-18T00:00:00"/>
    <x v="1"/>
    <x v="7"/>
    <x v="534"/>
    <x v="26"/>
    <x v="1"/>
    <x v="3"/>
    <x v="1440"/>
    <x v="3554"/>
    <n v="2"/>
    <x v="3490"/>
  </r>
  <r>
    <d v="2020-08-18T00:00:00"/>
    <x v="1"/>
    <x v="7"/>
    <x v="655"/>
    <x v="12"/>
    <x v="0"/>
    <x v="8"/>
    <x v="1615"/>
    <x v="3555"/>
    <n v="2"/>
    <x v="3491"/>
  </r>
  <r>
    <d v="2020-08-19T00:00:00"/>
    <x v="1"/>
    <x v="7"/>
    <x v="264"/>
    <x v="40"/>
    <x v="2"/>
    <x v="5"/>
    <x v="1239"/>
    <x v="3556"/>
    <n v="3"/>
    <x v="3492"/>
  </r>
  <r>
    <d v="2020-08-19T00:00:00"/>
    <x v="1"/>
    <x v="7"/>
    <x v="54"/>
    <x v="26"/>
    <x v="2"/>
    <x v="5"/>
    <x v="1614"/>
    <x v="3557"/>
    <n v="1"/>
    <x v="3493"/>
  </r>
  <r>
    <d v="2020-08-19T00:00:00"/>
    <x v="1"/>
    <x v="7"/>
    <x v="707"/>
    <x v="17"/>
    <x v="2"/>
    <x v="5"/>
    <x v="522"/>
    <x v="3558"/>
    <n v="2"/>
    <x v="1843"/>
  </r>
  <r>
    <d v="2020-08-19T00:00:00"/>
    <x v="1"/>
    <x v="7"/>
    <x v="725"/>
    <x v="26"/>
    <x v="2"/>
    <x v="9"/>
    <x v="741"/>
    <x v="3559"/>
    <n v="3"/>
    <x v="397"/>
  </r>
  <r>
    <d v="2020-08-20T00:00:00"/>
    <x v="1"/>
    <x v="7"/>
    <x v="505"/>
    <x v="1"/>
    <x v="1"/>
    <x v="1"/>
    <x v="172"/>
    <x v="3560"/>
    <n v="3"/>
    <x v="3494"/>
  </r>
  <r>
    <d v="2020-08-20T00:00:00"/>
    <x v="1"/>
    <x v="7"/>
    <x v="505"/>
    <x v="1"/>
    <x v="2"/>
    <x v="2"/>
    <x v="650"/>
    <x v="3561"/>
    <n v="6"/>
    <x v="754"/>
  </r>
  <r>
    <d v="2020-08-20T00:00:00"/>
    <x v="1"/>
    <x v="7"/>
    <x v="242"/>
    <x v="1"/>
    <x v="2"/>
    <x v="5"/>
    <x v="1472"/>
    <x v="3562"/>
    <n v="5"/>
    <x v="3495"/>
  </r>
  <r>
    <d v="2020-08-20T00:00:00"/>
    <x v="1"/>
    <x v="7"/>
    <x v="505"/>
    <x v="1"/>
    <x v="2"/>
    <x v="16"/>
    <x v="1593"/>
    <x v="3563"/>
    <n v="3"/>
    <x v="3496"/>
  </r>
  <r>
    <d v="2020-08-20T00:00:00"/>
    <x v="1"/>
    <x v="7"/>
    <x v="470"/>
    <x v="1"/>
    <x v="2"/>
    <x v="9"/>
    <x v="1553"/>
    <x v="3564"/>
    <n v="4"/>
    <x v="1384"/>
  </r>
  <r>
    <d v="2020-08-20T00:00:00"/>
    <x v="1"/>
    <x v="7"/>
    <x v="215"/>
    <x v="4"/>
    <x v="1"/>
    <x v="1"/>
    <x v="172"/>
    <x v="2622"/>
    <n v="1"/>
    <x v="3497"/>
  </r>
  <r>
    <d v="2020-08-20T00:00:00"/>
    <x v="1"/>
    <x v="7"/>
    <x v="98"/>
    <x v="26"/>
    <x v="2"/>
    <x v="2"/>
    <x v="1435"/>
    <x v="3565"/>
    <n v="3"/>
    <x v="3498"/>
  </r>
  <r>
    <d v="2020-08-21T00:00:00"/>
    <x v="1"/>
    <x v="7"/>
    <x v="24"/>
    <x v="20"/>
    <x v="2"/>
    <x v="9"/>
    <x v="1616"/>
    <x v="2358"/>
    <n v="1"/>
    <x v="3499"/>
  </r>
  <r>
    <d v="2020-08-21T00:00:00"/>
    <x v="1"/>
    <x v="7"/>
    <x v="708"/>
    <x v="0"/>
    <x v="0"/>
    <x v="8"/>
    <x v="1334"/>
    <x v="1743"/>
    <n v="4"/>
    <x v="3500"/>
  </r>
  <r>
    <d v="2020-08-21T00:00:00"/>
    <x v="1"/>
    <x v="7"/>
    <x v="726"/>
    <x v="1"/>
    <x v="0"/>
    <x v="8"/>
    <x v="1490"/>
    <x v="3566"/>
    <n v="4"/>
    <x v="512"/>
  </r>
  <r>
    <d v="2020-08-21T00:00:00"/>
    <x v="1"/>
    <x v="7"/>
    <x v="726"/>
    <x v="1"/>
    <x v="2"/>
    <x v="5"/>
    <x v="254"/>
    <x v="3567"/>
    <n v="9"/>
    <x v="3501"/>
  </r>
  <r>
    <d v="2020-08-21T00:00:00"/>
    <x v="1"/>
    <x v="7"/>
    <x v="726"/>
    <x v="1"/>
    <x v="2"/>
    <x v="13"/>
    <x v="1225"/>
    <x v="3568"/>
    <n v="3"/>
    <x v="3502"/>
  </r>
  <r>
    <d v="2020-08-21T00:00:00"/>
    <x v="1"/>
    <x v="7"/>
    <x v="569"/>
    <x v="22"/>
    <x v="2"/>
    <x v="2"/>
    <x v="149"/>
    <x v="3569"/>
    <n v="3"/>
    <x v="3503"/>
  </r>
  <r>
    <d v="2020-08-21T00:00:00"/>
    <x v="1"/>
    <x v="7"/>
    <x v="708"/>
    <x v="0"/>
    <x v="2"/>
    <x v="9"/>
    <x v="1446"/>
    <x v="3570"/>
    <n v="5"/>
    <x v="2618"/>
  </r>
  <r>
    <d v="2020-08-21T00:00:00"/>
    <x v="1"/>
    <x v="7"/>
    <x v="498"/>
    <x v="9"/>
    <x v="0"/>
    <x v="11"/>
    <x v="1260"/>
    <x v="3571"/>
    <n v="6"/>
    <x v="3504"/>
  </r>
  <r>
    <d v="2020-08-21T00:00:00"/>
    <x v="1"/>
    <x v="7"/>
    <x v="726"/>
    <x v="1"/>
    <x v="1"/>
    <x v="1"/>
    <x v="1001"/>
    <x v="3572"/>
    <n v="4"/>
    <x v="3505"/>
  </r>
  <r>
    <d v="2020-08-21T00:00:00"/>
    <x v="1"/>
    <x v="7"/>
    <x v="726"/>
    <x v="1"/>
    <x v="0"/>
    <x v="4"/>
    <x v="954"/>
    <x v="3573"/>
    <n v="3"/>
    <x v="1247"/>
  </r>
  <r>
    <d v="2020-08-21T00:00:00"/>
    <x v="1"/>
    <x v="7"/>
    <x v="498"/>
    <x v="9"/>
    <x v="2"/>
    <x v="2"/>
    <x v="1500"/>
    <x v="3574"/>
    <n v="6"/>
    <x v="3506"/>
  </r>
  <r>
    <d v="2020-08-21T00:00:00"/>
    <x v="1"/>
    <x v="7"/>
    <x v="422"/>
    <x v="16"/>
    <x v="0"/>
    <x v="11"/>
    <x v="96"/>
    <x v="3575"/>
    <n v="4"/>
    <x v="96"/>
  </r>
  <r>
    <d v="2020-08-21T00:00:00"/>
    <x v="1"/>
    <x v="7"/>
    <x v="203"/>
    <x v="12"/>
    <x v="2"/>
    <x v="5"/>
    <x v="1332"/>
    <x v="3576"/>
    <n v="6"/>
    <x v="3507"/>
  </r>
  <r>
    <d v="2020-08-21T00:00:00"/>
    <x v="1"/>
    <x v="7"/>
    <x v="73"/>
    <x v="27"/>
    <x v="2"/>
    <x v="10"/>
    <x v="221"/>
    <x v="3577"/>
    <n v="2"/>
    <x v="3508"/>
  </r>
  <r>
    <d v="2020-08-21T00:00:00"/>
    <x v="1"/>
    <x v="7"/>
    <x v="569"/>
    <x v="22"/>
    <x v="0"/>
    <x v="8"/>
    <x v="218"/>
    <x v="3578"/>
    <n v="3"/>
    <x v="3509"/>
  </r>
  <r>
    <d v="2020-08-21T00:00:00"/>
    <x v="1"/>
    <x v="7"/>
    <x v="726"/>
    <x v="1"/>
    <x v="2"/>
    <x v="7"/>
    <x v="1617"/>
    <x v="3579"/>
    <n v="4"/>
    <x v="3510"/>
  </r>
  <r>
    <d v="2020-08-21T00:00:00"/>
    <x v="1"/>
    <x v="7"/>
    <x v="569"/>
    <x v="22"/>
    <x v="2"/>
    <x v="9"/>
    <x v="736"/>
    <x v="3580"/>
    <n v="1"/>
    <x v="3511"/>
  </r>
  <r>
    <d v="2020-08-21T00:00:00"/>
    <x v="1"/>
    <x v="7"/>
    <x v="203"/>
    <x v="12"/>
    <x v="2"/>
    <x v="5"/>
    <x v="1618"/>
    <x v="3581"/>
    <n v="7"/>
    <x v="1636"/>
  </r>
  <r>
    <d v="2020-08-21T00:00:00"/>
    <x v="1"/>
    <x v="7"/>
    <x v="708"/>
    <x v="0"/>
    <x v="0"/>
    <x v="8"/>
    <x v="721"/>
    <x v="3582"/>
    <n v="2"/>
    <x v="3216"/>
  </r>
  <r>
    <d v="2020-08-21T00:00:00"/>
    <x v="1"/>
    <x v="7"/>
    <x v="73"/>
    <x v="27"/>
    <x v="2"/>
    <x v="12"/>
    <x v="343"/>
    <x v="3583"/>
    <n v="7"/>
    <x v="3512"/>
  </r>
  <r>
    <d v="2020-08-21T00:00:00"/>
    <x v="1"/>
    <x v="7"/>
    <x v="498"/>
    <x v="9"/>
    <x v="1"/>
    <x v="3"/>
    <x v="1160"/>
    <x v="3584"/>
    <n v="2"/>
    <x v="3513"/>
  </r>
  <r>
    <d v="2020-08-21T00:00:00"/>
    <x v="1"/>
    <x v="7"/>
    <x v="73"/>
    <x v="27"/>
    <x v="2"/>
    <x v="16"/>
    <x v="528"/>
    <x v="3585"/>
    <n v="4"/>
    <x v="3514"/>
  </r>
  <r>
    <d v="2020-08-21T00:00:00"/>
    <x v="1"/>
    <x v="7"/>
    <x v="726"/>
    <x v="1"/>
    <x v="2"/>
    <x v="14"/>
    <x v="1050"/>
    <x v="3586"/>
    <n v="5"/>
    <x v="1745"/>
  </r>
  <r>
    <d v="2020-08-22T00:00:00"/>
    <x v="1"/>
    <x v="7"/>
    <x v="676"/>
    <x v="1"/>
    <x v="0"/>
    <x v="4"/>
    <x v="949"/>
    <x v="3587"/>
    <n v="1"/>
    <x v="3515"/>
  </r>
  <r>
    <d v="2020-08-22T00:00:00"/>
    <x v="1"/>
    <x v="7"/>
    <x v="18"/>
    <x v="5"/>
    <x v="0"/>
    <x v="4"/>
    <x v="126"/>
    <x v="3588"/>
    <n v="2"/>
    <x v="3516"/>
  </r>
  <r>
    <d v="2020-08-23T00:00:00"/>
    <x v="1"/>
    <x v="7"/>
    <x v="444"/>
    <x v="6"/>
    <x v="2"/>
    <x v="13"/>
    <x v="1466"/>
    <x v="3589"/>
    <n v="6"/>
    <x v="3517"/>
  </r>
  <r>
    <d v="2020-08-23T00:00:00"/>
    <x v="1"/>
    <x v="7"/>
    <x v="444"/>
    <x v="6"/>
    <x v="1"/>
    <x v="1"/>
    <x v="631"/>
    <x v="3590"/>
    <n v="13"/>
    <x v="3518"/>
  </r>
  <r>
    <d v="2020-08-23T00:00:00"/>
    <x v="1"/>
    <x v="7"/>
    <x v="444"/>
    <x v="6"/>
    <x v="0"/>
    <x v="8"/>
    <x v="1205"/>
    <x v="3591"/>
    <n v="2"/>
    <x v="3519"/>
  </r>
  <r>
    <d v="2020-08-23T00:00:00"/>
    <x v="1"/>
    <x v="7"/>
    <x v="444"/>
    <x v="6"/>
    <x v="2"/>
    <x v="9"/>
    <x v="1070"/>
    <x v="3592"/>
    <n v="5"/>
    <x v="3520"/>
  </r>
  <r>
    <d v="2020-08-23T00:00:00"/>
    <x v="1"/>
    <x v="7"/>
    <x v="444"/>
    <x v="6"/>
    <x v="2"/>
    <x v="9"/>
    <x v="655"/>
    <x v="3593"/>
    <n v="2"/>
    <x v="529"/>
  </r>
  <r>
    <d v="2020-08-24T00:00:00"/>
    <x v="1"/>
    <x v="7"/>
    <x v="238"/>
    <x v="8"/>
    <x v="2"/>
    <x v="13"/>
    <x v="743"/>
    <x v="3594"/>
    <n v="8"/>
    <x v="3521"/>
  </r>
  <r>
    <d v="2020-08-24T00:00:00"/>
    <x v="1"/>
    <x v="7"/>
    <x v="238"/>
    <x v="8"/>
    <x v="2"/>
    <x v="9"/>
    <x v="1022"/>
    <x v="3595"/>
    <n v="2"/>
    <x v="1296"/>
  </r>
  <r>
    <d v="2020-08-24T00:00:00"/>
    <x v="1"/>
    <x v="7"/>
    <x v="621"/>
    <x v="12"/>
    <x v="2"/>
    <x v="5"/>
    <x v="610"/>
    <x v="3596"/>
    <n v="1"/>
    <x v="3522"/>
  </r>
  <r>
    <d v="2020-08-24T00:00:00"/>
    <x v="1"/>
    <x v="7"/>
    <x v="621"/>
    <x v="12"/>
    <x v="2"/>
    <x v="5"/>
    <x v="649"/>
    <x v="3597"/>
    <n v="4"/>
    <x v="3523"/>
  </r>
  <r>
    <d v="2020-08-25T00:00:00"/>
    <x v="1"/>
    <x v="7"/>
    <x v="314"/>
    <x v="5"/>
    <x v="0"/>
    <x v="0"/>
    <x v="347"/>
    <x v="3598"/>
    <n v="2"/>
    <x v="3524"/>
  </r>
  <r>
    <d v="2020-08-25T00:00:00"/>
    <x v="1"/>
    <x v="7"/>
    <x v="638"/>
    <x v="4"/>
    <x v="2"/>
    <x v="9"/>
    <x v="573"/>
    <x v="3599"/>
    <n v="5"/>
    <x v="3525"/>
  </r>
  <r>
    <d v="2020-08-25T00:00:00"/>
    <x v="1"/>
    <x v="7"/>
    <x v="84"/>
    <x v="21"/>
    <x v="2"/>
    <x v="9"/>
    <x v="868"/>
    <x v="3600"/>
    <n v="1"/>
    <x v="3526"/>
  </r>
  <r>
    <d v="2020-08-25T00:00:00"/>
    <x v="1"/>
    <x v="7"/>
    <x v="84"/>
    <x v="21"/>
    <x v="2"/>
    <x v="7"/>
    <x v="948"/>
    <x v="3601"/>
    <n v="2"/>
    <x v="3527"/>
  </r>
  <r>
    <d v="2020-08-25T00:00:00"/>
    <x v="1"/>
    <x v="7"/>
    <x v="361"/>
    <x v="8"/>
    <x v="2"/>
    <x v="2"/>
    <x v="1601"/>
    <x v="3602"/>
    <n v="2"/>
    <x v="3528"/>
  </r>
  <r>
    <d v="2020-08-26T00:00:00"/>
    <x v="1"/>
    <x v="7"/>
    <x v="492"/>
    <x v="25"/>
    <x v="2"/>
    <x v="2"/>
    <x v="1435"/>
    <x v="3603"/>
    <n v="4"/>
    <x v="3529"/>
  </r>
  <r>
    <d v="2020-08-26T00:00:00"/>
    <x v="1"/>
    <x v="7"/>
    <x v="261"/>
    <x v="17"/>
    <x v="0"/>
    <x v="8"/>
    <x v="1497"/>
    <x v="2785"/>
    <n v="5"/>
    <x v="3530"/>
  </r>
  <r>
    <d v="2020-08-26T00:00:00"/>
    <x v="1"/>
    <x v="7"/>
    <x v="391"/>
    <x v="14"/>
    <x v="1"/>
    <x v="3"/>
    <x v="874"/>
    <x v="2909"/>
    <n v="2"/>
    <x v="1095"/>
  </r>
  <r>
    <d v="2020-08-27T00:00:00"/>
    <x v="1"/>
    <x v="7"/>
    <x v="148"/>
    <x v="1"/>
    <x v="2"/>
    <x v="9"/>
    <x v="100"/>
    <x v="3604"/>
    <n v="3"/>
    <x v="1715"/>
  </r>
  <r>
    <d v="2020-08-27T00:00:00"/>
    <x v="1"/>
    <x v="7"/>
    <x v="176"/>
    <x v="20"/>
    <x v="0"/>
    <x v="8"/>
    <x v="443"/>
    <x v="3605"/>
    <n v="8"/>
    <x v="3531"/>
  </r>
  <r>
    <d v="2020-08-27T00:00:00"/>
    <x v="1"/>
    <x v="7"/>
    <x v="148"/>
    <x v="1"/>
    <x v="0"/>
    <x v="8"/>
    <x v="513"/>
    <x v="3606"/>
    <n v="2"/>
    <x v="3270"/>
  </r>
  <r>
    <d v="2020-08-27T00:00:00"/>
    <x v="1"/>
    <x v="7"/>
    <x v="148"/>
    <x v="1"/>
    <x v="0"/>
    <x v="11"/>
    <x v="364"/>
    <x v="3607"/>
    <n v="3"/>
    <x v="942"/>
  </r>
  <r>
    <d v="2020-08-27T00:00:00"/>
    <x v="1"/>
    <x v="7"/>
    <x v="148"/>
    <x v="1"/>
    <x v="2"/>
    <x v="13"/>
    <x v="657"/>
    <x v="3608"/>
    <n v="4"/>
    <x v="3532"/>
  </r>
  <r>
    <d v="2020-08-27T00:00:00"/>
    <x v="1"/>
    <x v="7"/>
    <x v="714"/>
    <x v="12"/>
    <x v="1"/>
    <x v="1"/>
    <x v="1"/>
    <x v="3609"/>
    <n v="3"/>
    <x v="3533"/>
  </r>
  <r>
    <d v="2020-08-27T00:00:00"/>
    <x v="1"/>
    <x v="7"/>
    <x v="148"/>
    <x v="1"/>
    <x v="2"/>
    <x v="2"/>
    <x v="1064"/>
    <x v="3610"/>
    <n v="5"/>
    <x v="2435"/>
  </r>
  <r>
    <d v="2020-08-27T00:00:00"/>
    <x v="1"/>
    <x v="7"/>
    <x v="148"/>
    <x v="1"/>
    <x v="2"/>
    <x v="5"/>
    <x v="1018"/>
    <x v="3611"/>
    <n v="2"/>
    <x v="1388"/>
  </r>
  <r>
    <d v="2020-08-27T00:00:00"/>
    <x v="1"/>
    <x v="7"/>
    <x v="148"/>
    <x v="1"/>
    <x v="1"/>
    <x v="6"/>
    <x v="1619"/>
    <x v="3612"/>
    <n v="2"/>
    <x v="3534"/>
  </r>
  <r>
    <d v="2020-08-27T00:00:00"/>
    <x v="1"/>
    <x v="7"/>
    <x v="5"/>
    <x v="5"/>
    <x v="1"/>
    <x v="3"/>
    <x v="425"/>
    <x v="3613"/>
    <n v="14"/>
    <x v="3535"/>
  </r>
  <r>
    <d v="2020-08-27T00:00:00"/>
    <x v="1"/>
    <x v="7"/>
    <x v="695"/>
    <x v="26"/>
    <x v="0"/>
    <x v="4"/>
    <x v="173"/>
    <x v="3614"/>
    <n v="7"/>
    <x v="3536"/>
  </r>
  <r>
    <d v="2020-08-27T00:00:00"/>
    <x v="1"/>
    <x v="7"/>
    <x v="49"/>
    <x v="2"/>
    <x v="2"/>
    <x v="7"/>
    <x v="783"/>
    <x v="2705"/>
    <n v="1"/>
    <x v="3537"/>
  </r>
  <r>
    <d v="2020-08-27T00:00:00"/>
    <x v="1"/>
    <x v="7"/>
    <x v="722"/>
    <x v="21"/>
    <x v="2"/>
    <x v="9"/>
    <x v="598"/>
    <x v="3615"/>
    <n v="1"/>
    <x v="137"/>
  </r>
  <r>
    <d v="2020-08-27T00:00:00"/>
    <x v="1"/>
    <x v="7"/>
    <x v="706"/>
    <x v="6"/>
    <x v="2"/>
    <x v="13"/>
    <x v="1437"/>
    <x v="3616"/>
    <n v="4"/>
    <x v="3538"/>
  </r>
  <r>
    <d v="2020-08-27T00:00:00"/>
    <x v="1"/>
    <x v="7"/>
    <x v="613"/>
    <x v="6"/>
    <x v="2"/>
    <x v="10"/>
    <x v="885"/>
    <x v="3617"/>
    <n v="1"/>
    <x v="3539"/>
  </r>
  <r>
    <d v="2020-08-27T00:00:00"/>
    <x v="1"/>
    <x v="7"/>
    <x v="5"/>
    <x v="5"/>
    <x v="2"/>
    <x v="9"/>
    <x v="1620"/>
    <x v="3618"/>
    <n v="3"/>
    <x v="3540"/>
  </r>
  <r>
    <d v="2020-08-27T00:00:00"/>
    <x v="1"/>
    <x v="7"/>
    <x v="714"/>
    <x v="12"/>
    <x v="2"/>
    <x v="5"/>
    <x v="649"/>
    <x v="3619"/>
    <n v="6"/>
    <x v="3541"/>
  </r>
  <r>
    <d v="2020-08-27T00:00:00"/>
    <x v="1"/>
    <x v="7"/>
    <x v="148"/>
    <x v="1"/>
    <x v="2"/>
    <x v="16"/>
    <x v="961"/>
    <x v="3520"/>
    <n v="5"/>
    <x v="3202"/>
  </r>
  <r>
    <d v="2020-08-27T00:00:00"/>
    <x v="1"/>
    <x v="7"/>
    <x v="714"/>
    <x v="12"/>
    <x v="2"/>
    <x v="2"/>
    <x v="1447"/>
    <x v="3620"/>
    <n v="8"/>
    <x v="3542"/>
  </r>
  <r>
    <d v="2020-08-28T00:00:00"/>
    <x v="1"/>
    <x v="7"/>
    <x v="586"/>
    <x v="7"/>
    <x v="2"/>
    <x v="13"/>
    <x v="1230"/>
    <x v="3621"/>
    <n v="5"/>
    <x v="3543"/>
  </r>
  <r>
    <d v="2020-08-28T00:00:00"/>
    <x v="1"/>
    <x v="7"/>
    <x v="382"/>
    <x v="9"/>
    <x v="2"/>
    <x v="5"/>
    <x v="588"/>
    <x v="3622"/>
    <n v="5"/>
    <x v="3544"/>
  </r>
  <r>
    <d v="2020-08-28T00:00:00"/>
    <x v="1"/>
    <x v="7"/>
    <x v="382"/>
    <x v="9"/>
    <x v="0"/>
    <x v="4"/>
    <x v="6"/>
    <x v="3623"/>
    <n v="5"/>
    <x v="3545"/>
  </r>
  <r>
    <d v="2020-08-28T00:00:00"/>
    <x v="1"/>
    <x v="7"/>
    <x v="382"/>
    <x v="9"/>
    <x v="2"/>
    <x v="7"/>
    <x v="521"/>
    <x v="934"/>
    <n v="2"/>
    <x v="683"/>
  </r>
  <r>
    <d v="2020-08-28T00:00:00"/>
    <x v="1"/>
    <x v="7"/>
    <x v="627"/>
    <x v="17"/>
    <x v="2"/>
    <x v="9"/>
    <x v="785"/>
    <x v="3624"/>
    <n v="5"/>
    <x v="3546"/>
  </r>
  <r>
    <d v="2020-08-28T00:00:00"/>
    <x v="1"/>
    <x v="7"/>
    <x v="586"/>
    <x v="7"/>
    <x v="2"/>
    <x v="16"/>
    <x v="769"/>
    <x v="3625"/>
    <n v="3"/>
    <x v="3547"/>
  </r>
  <r>
    <d v="2020-08-28T00:00:00"/>
    <x v="1"/>
    <x v="7"/>
    <x v="627"/>
    <x v="17"/>
    <x v="2"/>
    <x v="9"/>
    <x v="1218"/>
    <x v="3626"/>
    <n v="6"/>
    <x v="3048"/>
  </r>
  <r>
    <d v="2020-08-28T00:00:00"/>
    <x v="1"/>
    <x v="7"/>
    <x v="382"/>
    <x v="9"/>
    <x v="1"/>
    <x v="1"/>
    <x v="1621"/>
    <x v="3627"/>
    <n v="4"/>
    <x v="3548"/>
  </r>
  <r>
    <d v="2020-08-29T00:00:00"/>
    <x v="1"/>
    <x v="7"/>
    <x v="689"/>
    <x v="1"/>
    <x v="0"/>
    <x v="8"/>
    <x v="33"/>
    <x v="3628"/>
    <n v="3"/>
    <x v="3549"/>
  </r>
  <r>
    <d v="2020-08-29T00:00:00"/>
    <x v="1"/>
    <x v="7"/>
    <x v="697"/>
    <x v="5"/>
    <x v="2"/>
    <x v="7"/>
    <x v="1423"/>
    <x v="3629"/>
    <n v="7"/>
    <x v="3550"/>
  </r>
  <r>
    <d v="2020-08-29T00:00:00"/>
    <x v="1"/>
    <x v="7"/>
    <x v="159"/>
    <x v="17"/>
    <x v="2"/>
    <x v="2"/>
    <x v="1074"/>
    <x v="3630"/>
    <n v="2"/>
    <x v="3051"/>
  </r>
  <r>
    <d v="2020-08-29T00:00:00"/>
    <x v="1"/>
    <x v="7"/>
    <x v="159"/>
    <x v="17"/>
    <x v="2"/>
    <x v="5"/>
    <x v="820"/>
    <x v="3631"/>
    <n v="9"/>
    <x v="3551"/>
  </r>
  <r>
    <d v="2020-08-29T00:00:00"/>
    <x v="1"/>
    <x v="7"/>
    <x v="159"/>
    <x v="17"/>
    <x v="2"/>
    <x v="14"/>
    <x v="1503"/>
    <x v="3632"/>
    <n v="4"/>
    <x v="3552"/>
  </r>
  <r>
    <d v="2020-08-31T00:00:00"/>
    <x v="1"/>
    <x v="7"/>
    <x v="520"/>
    <x v="9"/>
    <x v="2"/>
    <x v="2"/>
    <x v="1052"/>
    <x v="3633"/>
    <n v="7"/>
    <x v="3553"/>
  </r>
  <r>
    <d v="2020-08-31T00:00:00"/>
    <x v="1"/>
    <x v="7"/>
    <x v="433"/>
    <x v="1"/>
    <x v="2"/>
    <x v="2"/>
    <x v="1387"/>
    <x v="3634"/>
    <n v="3"/>
    <x v="3554"/>
  </r>
  <r>
    <d v="2020-08-31T00:00:00"/>
    <x v="1"/>
    <x v="7"/>
    <x v="290"/>
    <x v="4"/>
    <x v="2"/>
    <x v="9"/>
    <x v="356"/>
    <x v="3635"/>
    <n v="7"/>
    <x v="3555"/>
  </r>
  <r>
    <d v="2020-08-31T00:00:00"/>
    <x v="1"/>
    <x v="7"/>
    <x v="520"/>
    <x v="9"/>
    <x v="0"/>
    <x v="11"/>
    <x v="795"/>
    <x v="3636"/>
    <n v="2"/>
    <x v="3556"/>
  </r>
  <r>
    <d v="2020-08-31T00:00:00"/>
    <x v="1"/>
    <x v="7"/>
    <x v="575"/>
    <x v="24"/>
    <x v="2"/>
    <x v="13"/>
    <x v="896"/>
    <x v="3637"/>
    <n v="9"/>
    <x v="3557"/>
  </r>
  <r>
    <d v="2020-08-31T00:00:00"/>
    <x v="1"/>
    <x v="7"/>
    <x v="573"/>
    <x v="28"/>
    <x v="1"/>
    <x v="3"/>
    <x v="593"/>
    <x v="3638"/>
    <n v="2"/>
    <x v="1939"/>
  </r>
  <r>
    <d v="2020-08-31T00:00:00"/>
    <x v="1"/>
    <x v="7"/>
    <x v="318"/>
    <x v="1"/>
    <x v="1"/>
    <x v="1"/>
    <x v="1523"/>
    <x v="3639"/>
    <n v="4"/>
    <x v="3558"/>
  </r>
  <r>
    <d v="2020-08-31T00:00:00"/>
    <x v="1"/>
    <x v="7"/>
    <x v="37"/>
    <x v="20"/>
    <x v="2"/>
    <x v="12"/>
    <x v="864"/>
    <x v="3640"/>
    <n v="3"/>
    <x v="3559"/>
  </r>
  <r>
    <d v="2020-08-31T00:00:00"/>
    <x v="1"/>
    <x v="7"/>
    <x v="95"/>
    <x v="29"/>
    <x v="2"/>
    <x v="16"/>
    <x v="405"/>
    <x v="3641"/>
    <n v="2"/>
    <x v="3560"/>
  </r>
  <r>
    <d v="2020-08-31T00:00:00"/>
    <x v="1"/>
    <x v="7"/>
    <x v="318"/>
    <x v="1"/>
    <x v="2"/>
    <x v="5"/>
    <x v="1049"/>
    <x v="3580"/>
    <n v="3"/>
    <x v="579"/>
  </r>
  <r>
    <d v="2020-08-31T00:00:00"/>
    <x v="1"/>
    <x v="7"/>
    <x v="37"/>
    <x v="20"/>
    <x v="2"/>
    <x v="2"/>
    <x v="1435"/>
    <x v="3013"/>
    <n v="1"/>
    <x v="3561"/>
  </r>
  <r>
    <d v="2020-09-01T00:00:00"/>
    <x v="1"/>
    <x v="8"/>
    <x v="270"/>
    <x v="12"/>
    <x v="0"/>
    <x v="8"/>
    <x v="1334"/>
    <x v="3642"/>
    <n v="5"/>
    <x v="3562"/>
  </r>
  <r>
    <d v="2020-09-01T00:00:00"/>
    <x v="1"/>
    <x v="8"/>
    <x v="689"/>
    <x v="9"/>
    <x v="0"/>
    <x v="4"/>
    <x v="614"/>
    <x v="3643"/>
    <n v="4"/>
    <x v="3563"/>
  </r>
  <r>
    <d v="2020-09-01T00:00:00"/>
    <x v="1"/>
    <x v="8"/>
    <x v="689"/>
    <x v="9"/>
    <x v="2"/>
    <x v="13"/>
    <x v="848"/>
    <x v="3644"/>
    <n v="4"/>
    <x v="3564"/>
  </r>
  <r>
    <d v="2020-09-01T00:00:00"/>
    <x v="1"/>
    <x v="8"/>
    <x v="617"/>
    <x v="25"/>
    <x v="0"/>
    <x v="11"/>
    <x v="1029"/>
    <x v="3645"/>
    <n v="7"/>
    <x v="3565"/>
  </r>
  <r>
    <d v="2020-09-01T00:00:00"/>
    <x v="1"/>
    <x v="8"/>
    <x v="439"/>
    <x v="9"/>
    <x v="1"/>
    <x v="3"/>
    <x v="1489"/>
    <x v="3646"/>
    <n v="1"/>
    <x v="3566"/>
  </r>
  <r>
    <d v="2020-09-01T00:00:00"/>
    <x v="1"/>
    <x v="8"/>
    <x v="183"/>
    <x v="9"/>
    <x v="2"/>
    <x v="7"/>
    <x v="1088"/>
    <x v="3647"/>
    <n v="1"/>
    <x v="3567"/>
  </r>
  <r>
    <d v="2020-09-01T00:00:00"/>
    <x v="1"/>
    <x v="8"/>
    <x v="439"/>
    <x v="9"/>
    <x v="2"/>
    <x v="5"/>
    <x v="1618"/>
    <x v="3648"/>
    <n v="5"/>
    <x v="3568"/>
  </r>
  <r>
    <d v="2020-09-02T00:00:00"/>
    <x v="1"/>
    <x v="8"/>
    <x v="324"/>
    <x v="11"/>
    <x v="2"/>
    <x v="9"/>
    <x v="626"/>
    <x v="2156"/>
    <n v="4"/>
    <x v="2346"/>
  </r>
  <r>
    <d v="2020-09-02T00:00:00"/>
    <x v="1"/>
    <x v="8"/>
    <x v="727"/>
    <x v="1"/>
    <x v="2"/>
    <x v="14"/>
    <x v="1503"/>
    <x v="3649"/>
    <n v="5"/>
    <x v="2941"/>
  </r>
  <r>
    <d v="2020-09-02T00:00:00"/>
    <x v="1"/>
    <x v="8"/>
    <x v="324"/>
    <x v="11"/>
    <x v="2"/>
    <x v="9"/>
    <x v="1622"/>
    <x v="3650"/>
    <n v="3"/>
    <x v="126"/>
  </r>
  <r>
    <d v="2020-09-02T00:00:00"/>
    <x v="1"/>
    <x v="8"/>
    <x v="319"/>
    <x v="1"/>
    <x v="2"/>
    <x v="5"/>
    <x v="314"/>
    <x v="2846"/>
    <n v="5"/>
    <x v="2900"/>
  </r>
  <r>
    <d v="2020-09-02T00:00:00"/>
    <x v="1"/>
    <x v="8"/>
    <x v="658"/>
    <x v="12"/>
    <x v="1"/>
    <x v="3"/>
    <x v="601"/>
    <x v="3651"/>
    <n v="3"/>
    <x v="3569"/>
  </r>
  <r>
    <d v="2020-09-02T00:00:00"/>
    <x v="1"/>
    <x v="8"/>
    <x v="353"/>
    <x v="9"/>
    <x v="0"/>
    <x v="11"/>
    <x v="752"/>
    <x v="3652"/>
    <n v="3"/>
    <x v="1241"/>
  </r>
  <r>
    <d v="2020-09-02T00:00:00"/>
    <x v="1"/>
    <x v="8"/>
    <x v="658"/>
    <x v="12"/>
    <x v="1"/>
    <x v="1"/>
    <x v="568"/>
    <x v="3653"/>
    <n v="3"/>
    <x v="3570"/>
  </r>
  <r>
    <d v="2020-09-02T00:00:00"/>
    <x v="1"/>
    <x v="8"/>
    <x v="727"/>
    <x v="1"/>
    <x v="1"/>
    <x v="1"/>
    <x v="664"/>
    <x v="3654"/>
    <n v="2"/>
    <x v="863"/>
  </r>
  <r>
    <d v="2020-09-02T00:00:00"/>
    <x v="1"/>
    <x v="8"/>
    <x v="538"/>
    <x v="17"/>
    <x v="2"/>
    <x v="2"/>
    <x v="91"/>
    <x v="3655"/>
    <n v="5"/>
    <x v="3571"/>
  </r>
  <r>
    <d v="2020-09-02T00:00:00"/>
    <x v="1"/>
    <x v="8"/>
    <x v="301"/>
    <x v="1"/>
    <x v="0"/>
    <x v="4"/>
    <x v="1589"/>
    <x v="3656"/>
    <n v="2"/>
    <x v="3572"/>
  </r>
  <r>
    <d v="2020-09-02T00:00:00"/>
    <x v="1"/>
    <x v="8"/>
    <x v="658"/>
    <x v="12"/>
    <x v="1"/>
    <x v="3"/>
    <x v="902"/>
    <x v="3657"/>
    <n v="2"/>
    <x v="2612"/>
  </r>
  <r>
    <d v="2020-09-02T00:00:00"/>
    <x v="1"/>
    <x v="8"/>
    <x v="658"/>
    <x v="12"/>
    <x v="0"/>
    <x v="4"/>
    <x v="415"/>
    <x v="3658"/>
    <n v="1"/>
    <x v="3573"/>
  </r>
  <r>
    <d v="2020-09-02T00:00:00"/>
    <x v="1"/>
    <x v="8"/>
    <x v="21"/>
    <x v="25"/>
    <x v="2"/>
    <x v="2"/>
    <x v="844"/>
    <x v="3659"/>
    <n v="2"/>
    <x v="2084"/>
  </r>
  <r>
    <d v="2020-09-02T00:00:00"/>
    <x v="1"/>
    <x v="8"/>
    <x v="319"/>
    <x v="1"/>
    <x v="0"/>
    <x v="8"/>
    <x v="1469"/>
    <x v="3660"/>
    <n v="5"/>
    <x v="3574"/>
  </r>
  <r>
    <d v="2020-09-02T00:00:00"/>
    <x v="1"/>
    <x v="8"/>
    <x v="21"/>
    <x v="25"/>
    <x v="1"/>
    <x v="1"/>
    <x v="235"/>
    <x v="3661"/>
    <n v="4"/>
    <x v="3575"/>
  </r>
  <r>
    <d v="2020-09-02T00:00:00"/>
    <x v="1"/>
    <x v="8"/>
    <x v="658"/>
    <x v="12"/>
    <x v="0"/>
    <x v="11"/>
    <x v="1307"/>
    <x v="3662"/>
    <n v="5"/>
    <x v="3576"/>
  </r>
  <r>
    <d v="2020-09-02T00:00:00"/>
    <x v="1"/>
    <x v="8"/>
    <x v="74"/>
    <x v="19"/>
    <x v="2"/>
    <x v="5"/>
    <x v="1018"/>
    <x v="3663"/>
    <n v="3"/>
    <x v="3577"/>
  </r>
  <r>
    <d v="2020-09-02T00:00:00"/>
    <x v="1"/>
    <x v="8"/>
    <x v="21"/>
    <x v="25"/>
    <x v="1"/>
    <x v="3"/>
    <x v="1623"/>
    <x v="3664"/>
    <n v="7"/>
    <x v="3578"/>
  </r>
  <r>
    <d v="2020-09-02T00:00:00"/>
    <x v="1"/>
    <x v="8"/>
    <x v="728"/>
    <x v="5"/>
    <x v="2"/>
    <x v="9"/>
    <x v="962"/>
    <x v="3665"/>
    <n v="3"/>
    <x v="1266"/>
  </r>
  <r>
    <d v="2020-09-02T00:00:00"/>
    <x v="1"/>
    <x v="8"/>
    <x v="658"/>
    <x v="12"/>
    <x v="2"/>
    <x v="7"/>
    <x v="403"/>
    <x v="3666"/>
    <n v="3"/>
    <x v="3579"/>
  </r>
  <r>
    <d v="2020-09-02T00:00:00"/>
    <x v="1"/>
    <x v="8"/>
    <x v="538"/>
    <x v="17"/>
    <x v="2"/>
    <x v="13"/>
    <x v="327"/>
    <x v="3667"/>
    <n v="2"/>
    <x v="3580"/>
  </r>
  <r>
    <d v="2020-09-02T00:00:00"/>
    <x v="1"/>
    <x v="8"/>
    <x v="658"/>
    <x v="12"/>
    <x v="2"/>
    <x v="9"/>
    <x v="316"/>
    <x v="3668"/>
    <n v="4"/>
    <x v="3581"/>
  </r>
  <r>
    <d v="2020-09-02T00:00:00"/>
    <x v="1"/>
    <x v="8"/>
    <x v="658"/>
    <x v="12"/>
    <x v="2"/>
    <x v="13"/>
    <x v="986"/>
    <x v="3669"/>
    <n v="1"/>
    <x v="3582"/>
  </r>
  <r>
    <d v="2020-09-02T00:00:00"/>
    <x v="1"/>
    <x v="8"/>
    <x v="301"/>
    <x v="1"/>
    <x v="2"/>
    <x v="5"/>
    <x v="610"/>
    <x v="3670"/>
    <n v="5"/>
    <x v="2367"/>
  </r>
  <r>
    <d v="2020-09-02T00:00:00"/>
    <x v="1"/>
    <x v="8"/>
    <x v="658"/>
    <x v="12"/>
    <x v="2"/>
    <x v="5"/>
    <x v="944"/>
    <x v="3671"/>
    <n v="8"/>
    <x v="3583"/>
  </r>
  <r>
    <d v="2020-09-02T00:00:00"/>
    <x v="1"/>
    <x v="8"/>
    <x v="324"/>
    <x v="11"/>
    <x v="2"/>
    <x v="2"/>
    <x v="957"/>
    <x v="3672"/>
    <n v="1"/>
    <x v="3584"/>
  </r>
  <r>
    <d v="2020-09-02T00:00:00"/>
    <x v="1"/>
    <x v="8"/>
    <x v="344"/>
    <x v="1"/>
    <x v="2"/>
    <x v="7"/>
    <x v="1478"/>
    <x v="3673"/>
    <n v="3"/>
    <x v="3585"/>
  </r>
  <r>
    <d v="2020-09-02T00:00:00"/>
    <x v="1"/>
    <x v="8"/>
    <x v="175"/>
    <x v="8"/>
    <x v="0"/>
    <x v="8"/>
    <x v="1545"/>
    <x v="3674"/>
    <n v="3"/>
    <x v="3586"/>
  </r>
  <r>
    <d v="2020-09-02T00:00:00"/>
    <x v="1"/>
    <x v="8"/>
    <x v="268"/>
    <x v="22"/>
    <x v="2"/>
    <x v="14"/>
    <x v="529"/>
    <x v="3675"/>
    <n v="2"/>
    <x v="3587"/>
  </r>
  <r>
    <d v="2020-09-02T00:00:00"/>
    <x v="1"/>
    <x v="8"/>
    <x v="727"/>
    <x v="1"/>
    <x v="2"/>
    <x v="7"/>
    <x v="564"/>
    <x v="3676"/>
    <n v="5"/>
    <x v="3588"/>
  </r>
  <r>
    <d v="2020-09-02T00:00:00"/>
    <x v="1"/>
    <x v="8"/>
    <x v="658"/>
    <x v="12"/>
    <x v="0"/>
    <x v="8"/>
    <x v="1139"/>
    <x v="3677"/>
    <n v="2"/>
    <x v="2791"/>
  </r>
  <r>
    <d v="2020-09-02T00:00:00"/>
    <x v="1"/>
    <x v="8"/>
    <x v="538"/>
    <x v="17"/>
    <x v="2"/>
    <x v="12"/>
    <x v="343"/>
    <x v="3678"/>
    <n v="4"/>
    <x v="3589"/>
  </r>
  <r>
    <d v="2020-09-02T00:00:00"/>
    <x v="1"/>
    <x v="8"/>
    <x v="658"/>
    <x v="12"/>
    <x v="2"/>
    <x v="7"/>
    <x v="1268"/>
    <x v="3679"/>
    <n v="2"/>
    <x v="3590"/>
  </r>
  <r>
    <d v="2020-09-02T00:00:00"/>
    <x v="1"/>
    <x v="8"/>
    <x v="658"/>
    <x v="12"/>
    <x v="2"/>
    <x v="14"/>
    <x v="183"/>
    <x v="3642"/>
    <n v="6"/>
    <x v="17"/>
  </r>
  <r>
    <d v="2020-09-02T00:00:00"/>
    <x v="1"/>
    <x v="8"/>
    <x v="519"/>
    <x v="17"/>
    <x v="1"/>
    <x v="3"/>
    <x v="1270"/>
    <x v="3680"/>
    <n v="3"/>
    <x v="3591"/>
  </r>
  <r>
    <d v="2020-09-02T00:00:00"/>
    <x v="1"/>
    <x v="8"/>
    <x v="319"/>
    <x v="1"/>
    <x v="2"/>
    <x v="13"/>
    <x v="903"/>
    <x v="3681"/>
    <n v="5"/>
    <x v="1146"/>
  </r>
  <r>
    <d v="2020-09-03T00:00:00"/>
    <x v="1"/>
    <x v="8"/>
    <x v="729"/>
    <x v="12"/>
    <x v="0"/>
    <x v="11"/>
    <x v="836"/>
    <x v="3682"/>
    <n v="1"/>
    <x v="3592"/>
  </r>
  <r>
    <d v="2020-09-03T00:00:00"/>
    <x v="1"/>
    <x v="8"/>
    <x v="42"/>
    <x v="1"/>
    <x v="2"/>
    <x v="5"/>
    <x v="40"/>
    <x v="3254"/>
    <n v="5"/>
    <x v="3593"/>
  </r>
  <r>
    <d v="2020-09-03T00:00:00"/>
    <x v="1"/>
    <x v="8"/>
    <x v="132"/>
    <x v="17"/>
    <x v="1"/>
    <x v="3"/>
    <x v="1350"/>
    <x v="159"/>
    <n v="2"/>
    <x v="2247"/>
  </r>
  <r>
    <d v="2020-09-03T00:00:00"/>
    <x v="1"/>
    <x v="8"/>
    <x v="267"/>
    <x v="2"/>
    <x v="0"/>
    <x v="8"/>
    <x v="1487"/>
    <x v="2779"/>
    <n v="5"/>
    <x v="3594"/>
  </r>
  <r>
    <d v="2020-09-03T00:00:00"/>
    <x v="1"/>
    <x v="8"/>
    <x v="729"/>
    <x v="12"/>
    <x v="0"/>
    <x v="11"/>
    <x v="569"/>
    <x v="3683"/>
    <n v="2"/>
    <x v="815"/>
  </r>
  <r>
    <d v="2020-09-03T00:00:00"/>
    <x v="1"/>
    <x v="8"/>
    <x v="273"/>
    <x v="1"/>
    <x v="0"/>
    <x v="0"/>
    <x v="669"/>
    <x v="3684"/>
    <n v="2"/>
    <x v="793"/>
  </r>
  <r>
    <d v="2020-09-03T00:00:00"/>
    <x v="1"/>
    <x v="8"/>
    <x v="42"/>
    <x v="1"/>
    <x v="1"/>
    <x v="3"/>
    <x v="234"/>
    <x v="3685"/>
    <n v="3"/>
    <x v="3595"/>
  </r>
  <r>
    <d v="2020-09-03T00:00:00"/>
    <x v="1"/>
    <x v="8"/>
    <x v="729"/>
    <x v="12"/>
    <x v="2"/>
    <x v="9"/>
    <x v="395"/>
    <x v="3686"/>
    <n v="4"/>
    <x v="3596"/>
  </r>
  <r>
    <d v="2020-09-03T00:00:00"/>
    <x v="1"/>
    <x v="8"/>
    <x v="729"/>
    <x v="12"/>
    <x v="2"/>
    <x v="7"/>
    <x v="204"/>
    <x v="3687"/>
    <n v="2"/>
    <x v="3597"/>
  </r>
  <r>
    <d v="2020-09-03T00:00:00"/>
    <x v="1"/>
    <x v="8"/>
    <x v="132"/>
    <x v="17"/>
    <x v="2"/>
    <x v="9"/>
    <x v="1624"/>
    <x v="3688"/>
    <n v="3"/>
    <x v="3598"/>
  </r>
  <r>
    <d v="2020-09-03T00:00:00"/>
    <x v="1"/>
    <x v="8"/>
    <x v="611"/>
    <x v="1"/>
    <x v="2"/>
    <x v="7"/>
    <x v="1130"/>
    <x v="3689"/>
    <n v="2"/>
    <x v="3599"/>
  </r>
  <r>
    <d v="2020-09-03T00:00:00"/>
    <x v="1"/>
    <x v="8"/>
    <x v="200"/>
    <x v="6"/>
    <x v="2"/>
    <x v="10"/>
    <x v="1278"/>
    <x v="3690"/>
    <n v="4"/>
    <x v="3600"/>
  </r>
  <r>
    <d v="2020-09-03T00:00:00"/>
    <x v="1"/>
    <x v="8"/>
    <x v="526"/>
    <x v="17"/>
    <x v="2"/>
    <x v="5"/>
    <x v="845"/>
    <x v="3691"/>
    <n v="7"/>
    <x v="3601"/>
  </r>
  <r>
    <d v="2020-09-04T00:00:00"/>
    <x v="1"/>
    <x v="8"/>
    <x v="155"/>
    <x v="29"/>
    <x v="2"/>
    <x v="5"/>
    <x v="1625"/>
    <x v="3692"/>
    <n v="7"/>
    <x v="3602"/>
  </r>
  <r>
    <d v="2020-09-04T00:00:00"/>
    <x v="1"/>
    <x v="8"/>
    <x v="725"/>
    <x v="6"/>
    <x v="0"/>
    <x v="11"/>
    <x v="300"/>
    <x v="3693"/>
    <n v="2"/>
    <x v="3603"/>
  </r>
  <r>
    <d v="2020-09-04T00:00:00"/>
    <x v="1"/>
    <x v="8"/>
    <x v="43"/>
    <x v="12"/>
    <x v="1"/>
    <x v="3"/>
    <x v="59"/>
    <x v="3694"/>
    <n v="4"/>
    <x v="3604"/>
  </r>
  <r>
    <d v="2020-09-04T00:00:00"/>
    <x v="1"/>
    <x v="8"/>
    <x v="400"/>
    <x v="1"/>
    <x v="2"/>
    <x v="2"/>
    <x v="1568"/>
    <x v="3695"/>
    <n v="5"/>
    <x v="3605"/>
  </r>
  <r>
    <d v="2020-09-04T00:00:00"/>
    <x v="1"/>
    <x v="8"/>
    <x v="600"/>
    <x v="1"/>
    <x v="2"/>
    <x v="2"/>
    <x v="1272"/>
    <x v="3696"/>
    <n v="2"/>
    <x v="3606"/>
  </r>
  <r>
    <d v="2020-09-04T00:00:00"/>
    <x v="1"/>
    <x v="8"/>
    <x v="400"/>
    <x v="1"/>
    <x v="2"/>
    <x v="5"/>
    <x v="1253"/>
    <x v="3697"/>
    <n v="2"/>
    <x v="3607"/>
  </r>
  <r>
    <d v="2020-09-04T00:00:00"/>
    <x v="1"/>
    <x v="8"/>
    <x v="420"/>
    <x v="17"/>
    <x v="0"/>
    <x v="0"/>
    <x v="1626"/>
    <x v="3698"/>
    <n v="9"/>
    <x v="3608"/>
  </r>
  <r>
    <d v="2020-09-04T00:00:00"/>
    <x v="1"/>
    <x v="8"/>
    <x v="490"/>
    <x v="1"/>
    <x v="0"/>
    <x v="4"/>
    <x v="1327"/>
    <x v="3699"/>
    <n v="3"/>
    <x v="3609"/>
  </r>
  <r>
    <d v="2020-09-04T00:00:00"/>
    <x v="1"/>
    <x v="8"/>
    <x v="203"/>
    <x v="1"/>
    <x v="0"/>
    <x v="4"/>
    <x v="638"/>
    <x v="3700"/>
    <n v="8"/>
    <x v="3610"/>
  </r>
  <r>
    <d v="2020-09-04T00:00:00"/>
    <x v="1"/>
    <x v="8"/>
    <x v="462"/>
    <x v="8"/>
    <x v="2"/>
    <x v="5"/>
    <x v="42"/>
    <x v="3701"/>
    <n v="2"/>
    <x v="3611"/>
  </r>
  <r>
    <d v="2020-09-04T00:00:00"/>
    <x v="1"/>
    <x v="8"/>
    <x v="420"/>
    <x v="17"/>
    <x v="2"/>
    <x v="7"/>
    <x v="1085"/>
    <x v="3702"/>
    <n v="3"/>
    <x v="420"/>
  </r>
  <r>
    <d v="2020-09-04T00:00:00"/>
    <x v="1"/>
    <x v="8"/>
    <x v="70"/>
    <x v="2"/>
    <x v="2"/>
    <x v="7"/>
    <x v="1005"/>
    <x v="3703"/>
    <n v="7"/>
    <x v="3612"/>
  </r>
  <r>
    <d v="2020-09-04T00:00:00"/>
    <x v="1"/>
    <x v="8"/>
    <x v="729"/>
    <x v="1"/>
    <x v="2"/>
    <x v="9"/>
    <x v="1627"/>
    <x v="3030"/>
    <n v="2"/>
    <x v="56"/>
  </r>
  <r>
    <d v="2020-09-04T00:00:00"/>
    <x v="1"/>
    <x v="8"/>
    <x v="216"/>
    <x v="5"/>
    <x v="1"/>
    <x v="3"/>
    <x v="1305"/>
    <x v="3704"/>
    <n v="4"/>
    <x v="2099"/>
  </r>
  <r>
    <d v="2020-09-04T00:00:00"/>
    <x v="1"/>
    <x v="8"/>
    <x v="203"/>
    <x v="1"/>
    <x v="2"/>
    <x v="5"/>
    <x v="1049"/>
    <x v="3705"/>
    <n v="6"/>
    <x v="3139"/>
  </r>
  <r>
    <d v="2020-09-04T00:00:00"/>
    <x v="1"/>
    <x v="8"/>
    <x v="199"/>
    <x v="2"/>
    <x v="2"/>
    <x v="7"/>
    <x v="1158"/>
    <x v="3706"/>
    <n v="1"/>
    <x v="3613"/>
  </r>
  <r>
    <d v="2020-09-04T00:00:00"/>
    <x v="1"/>
    <x v="8"/>
    <x v="462"/>
    <x v="8"/>
    <x v="2"/>
    <x v="7"/>
    <x v="690"/>
    <x v="3707"/>
    <n v="4"/>
    <x v="3614"/>
  </r>
  <r>
    <d v="2020-09-04T00:00:00"/>
    <x v="1"/>
    <x v="8"/>
    <x v="462"/>
    <x v="8"/>
    <x v="2"/>
    <x v="9"/>
    <x v="67"/>
    <x v="3708"/>
    <n v="4"/>
    <x v="3615"/>
  </r>
  <r>
    <d v="2020-09-04T00:00:00"/>
    <x v="1"/>
    <x v="8"/>
    <x v="725"/>
    <x v="6"/>
    <x v="2"/>
    <x v="9"/>
    <x v="762"/>
    <x v="3709"/>
    <n v="2"/>
    <x v="288"/>
  </r>
  <r>
    <d v="2020-09-04T00:00:00"/>
    <x v="1"/>
    <x v="8"/>
    <x v="251"/>
    <x v="1"/>
    <x v="2"/>
    <x v="5"/>
    <x v="201"/>
    <x v="3710"/>
    <n v="3"/>
    <x v="3616"/>
  </r>
  <r>
    <d v="2020-09-04T00:00:00"/>
    <x v="1"/>
    <x v="8"/>
    <x v="70"/>
    <x v="2"/>
    <x v="2"/>
    <x v="2"/>
    <x v="1608"/>
    <x v="3711"/>
    <n v="1"/>
    <x v="3617"/>
  </r>
  <r>
    <d v="2020-09-04T00:00:00"/>
    <x v="1"/>
    <x v="8"/>
    <x v="400"/>
    <x v="1"/>
    <x v="1"/>
    <x v="1"/>
    <x v="1522"/>
    <x v="3712"/>
    <n v="1"/>
    <x v="3618"/>
  </r>
  <r>
    <d v="2020-09-04T00:00:00"/>
    <x v="1"/>
    <x v="8"/>
    <x v="70"/>
    <x v="2"/>
    <x v="2"/>
    <x v="7"/>
    <x v="1628"/>
    <x v="3713"/>
    <n v="5"/>
    <x v="3619"/>
  </r>
  <r>
    <d v="2020-09-04T00:00:00"/>
    <x v="1"/>
    <x v="8"/>
    <x v="729"/>
    <x v="1"/>
    <x v="1"/>
    <x v="1"/>
    <x v="805"/>
    <x v="3714"/>
    <n v="3"/>
    <x v="2255"/>
  </r>
  <r>
    <d v="2020-09-04T00:00:00"/>
    <x v="1"/>
    <x v="8"/>
    <x v="134"/>
    <x v="13"/>
    <x v="2"/>
    <x v="12"/>
    <x v="163"/>
    <x v="3715"/>
    <n v="6"/>
    <x v="3620"/>
  </r>
  <r>
    <d v="2020-09-04T00:00:00"/>
    <x v="1"/>
    <x v="8"/>
    <x v="462"/>
    <x v="8"/>
    <x v="2"/>
    <x v="5"/>
    <x v="1079"/>
    <x v="3716"/>
    <n v="5"/>
    <x v="3621"/>
  </r>
  <r>
    <d v="2020-09-04T00:00:00"/>
    <x v="1"/>
    <x v="8"/>
    <x v="420"/>
    <x v="17"/>
    <x v="2"/>
    <x v="9"/>
    <x v="1354"/>
    <x v="3487"/>
    <n v="3"/>
    <x v="3622"/>
  </r>
  <r>
    <d v="2020-09-04T00:00:00"/>
    <x v="1"/>
    <x v="8"/>
    <x v="258"/>
    <x v="1"/>
    <x v="2"/>
    <x v="2"/>
    <x v="679"/>
    <x v="3717"/>
    <n v="4"/>
    <x v="3623"/>
  </r>
  <r>
    <d v="2020-09-05T00:00:00"/>
    <x v="1"/>
    <x v="8"/>
    <x v="305"/>
    <x v="21"/>
    <x v="2"/>
    <x v="7"/>
    <x v="1353"/>
    <x v="3077"/>
    <n v="5"/>
    <x v="3624"/>
  </r>
  <r>
    <d v="2020-09-05T00:00:00"/>
    <x v="1"/>
    <x v="8"/>
    <x v="305"/>
    <x v="21"/>
    <x v="1"/>
    <x v="3"/>
    <x v="1424"/>
    <x v="3718"/>
    <n v="4"/>
    <x v="3625"/>
  </r>
  <r>
    <d v="2020-09-05T00:00:00"/>
    <x v="1"/>
    <x v="8"/>
    <x v="467"/>
    <x v="6"/>
    <x v="2"/>
    <x v="2"/>
    <x v="281"/>
    <x v="3719"/>
    <n v="2"/>
    <x v="3626"/>
  </r>
  <r>
    <d v="2020-09-05T00:00:00"/>
    <x v="1"/>
    <x v="8"/>
    <x v="253"/>
    <x v="9"/>
    <x v="2"/>
    <x v="7"/>
    <x v="586"/>
    <x v="3720"/>
    <n v="1"/>
    <x v="2994"/>
  </r>
  <r>
    <d v="2020-09-05T00:00:00"/>
    <x v="1"/>
    <x v="8"/>
    <x v="305"/>
    <x v="21"/>
    <x v="2"/>
    <x v="9"/>
    <x v="1627"/>
    <x v="3721"/>
    <n v="3"/>
    <x v="29"/>
  </r>
  <r>
    <d v="2020-09-07T00:00:00"/>
    <x v="1"/>
    <x v="8"/>
    <x v="146"/>
    <x v="21"/>
    <x v="2"/>
    <x v="13"/>
    <x v="389"/>
    <x v="3722"/>
    <n v="2"/>
    <x v="3627"/>
  </r>
  <r>
    <d v="2020-09-07T00:00:00"/>
    <x v="1"/>
    <x v="8"/>
    <x v="344"/>
    <x v="9"/>
    <x v="0"/>
    <x v="8"/>
    <x v="161"/>
    <x v="3077"/>
    <n v="4"/>
    <x v="3628"/>
  </r>
  <r>
    <d v="2020-09-07T00:00:00"/>
    <x v="1"/>
    <x v="8"/>
    <x v="730"/>
    <x v="30"/>
    <x v="1"/>
    <x v="3"/>
    <x v="1118"/>
    <x v="3723"/>
    <n v="4"/>
    <x v="3629"/>
  </r>
  <r>
    <d v="2020-09-07T00:00:00"/>
    <x v="1"/>
    <x v="8"/>
    <x v="294"/>
    <x v="40"/>
    <x v="1"/>
    <x v="1"/>
    <x v="1629"/>
    <x v="3724"/>
    <n v="4"/>
    <x v="3630"/>
  </r>
  <r>
    <d v="2020-09-07T00:00:00"/>
    <x v="1"/>
    <x v="8"/>
    <x v="730"/>
    <x v="30"/>
    <x v="0"/>
    <x v="8"/>
    <x v="1630"/>
    <x v="3725"/>
    <n v="5"/>
    <x v="3631"/>
  </r>
  <r>
    <d v="2020-09-07T00:00:00"/>
    <x v="1"/>
    <x v="8"/>
    <x v="446"/>
    <x v="1"/>
    <x v="0"/>
    <x v="11"/>
    <x v="569"/>
    <x v="3726"/>
    <n v="2"/>
    <x v="3632"/>
  </r>
  <r>
    <d v="2020-09-07T00:00:00"/>
    <x v="1"/>
    <x v="8"/>
    <x v="334"/>
    <x v="29"/>
    <x v="1"/>
    <x v="3"/>
    <x v="62"/>
    <x v="3727"/>
    <n v="7"/>
    <x v="3633"/>
  </r>
  <r>
    <d v="2020-09-07T00:00:00"/>
    <x v="1"/>
    <x v="8"/>
    <x v="344"/>
    <x v="9"/>
    <x v="1"/>
    <x v="1"/>
    <x v="1631"/>
    <x v="3728"/>
    <n v="2"/>
    <x v="3634"/>
  </r>
  <r>
    <d v="2020-09-07T00:00:00"/>
    <x v="1"/>
    <x v="8"/>
    <x v="613"/>
    <x v="12"/>
    <x v="2"/>
    <x v="2"/>
    <x v="1462"/>
    <x v="3729"/>
    <n v="8"/>
    <x v="3635"/>
  </r>
  <r>
    <d v="2020-09-07T00:00:00"/>
    <x v="1"/>
    <x v="8"/>
    <x v="143"/>
    <x v="30"/>
    <x v="2"/>
    <x v="5"/>
    <x v="1018"/>
    <x v="3730"/>
    <n v="3"/>
    <x v="3577"/>
  </r>
  <r>
    <d v="2020-09-07T00:00:00"/>
    <x v="1"/>
    <x v="8"/>
    <x v="595"/>
    <x v="5"/>
    <x v="2"/>
    <x v="10"/>
    <x v="363"/>
    <x v="3731"/>
    <n v="3"/>
    <x v="3636"/>
  </r>
  <r>
    <d v="2020-09-07T00:00:00"/>
    <x v="1"/>
    <x v="8"/>
    <x v="18"/>
    <x v="20"/>
    <x v="2"/>
    <x v="5"/>
    <x v="217"/>
    <x v="3732"/>
    <n v="3"/>
    <x v="3637"/>
  </r>
  <r>
    <d v="2020-09-07T00:00:00"/>
    <x v="1"/>
    <x v="8"/>
    <x v="17"/>
    <x v="7"/>
    <x v="1"/>
    <x v="3"/>
    <x v="632"/>
    <x v="3733"/>
    <n v="1"/>
    <x v="3638"/>
  </r>
  <r>
    <d v="2020-09-07T00:00:00"/>
    <x v="1"/>
    <x v="8"/>
    <x v="595"/>
    <x v="5"/>
    <x v="2"/>
    <x v="9"/>
    <x v="1143"/>
    <x v="3734"/>
    <n v="3"/>
    <x v="29"/>
  </r>
  <r>
    <d v="2020-09-07T00:00:00"/>
    <x v="1"/>
    <x v="8"/>
    <x v="595"/>
    <x v="5"/>
    <x v="2"/>
    <x v="14"/>
    <x v="529"/>
    <x v="3735"/>
    <n v="5"/>
    <x v="1228"/>
  </r>
  <r>
    <d v="2020-09-07T00:00:00"/>
    <x v="1"/>
    <x v="8"/>
    <x v="362"/>
    <x v="35"/>
    <x v="2"/>
    <x v="9"/>
    <x v="1632"/>
    <x v="3736"/>
    <n v="5"/>
    <x v="3639"/>
  </r>
  <r>
    <d v="2020-09-07T00:00:00"/>
    <x v="1"/>
    <x v="8"/>
    <x v="294"/>
    <x v="40"/>
    <x v="0"/>
    <x v="8"/>
    <x v="516"/>
    <x v="3737"/>
    <n v="2"/>
    <x v="3640"/>
  </r>
  <r>
    <d v="2020-09-07T00:00:00"/>
    <x v="1"/>
    <x v="8"/>
    <x v="334"/>
    <x v="29"/>
    <x v="2"/>
    <x v="2"/>
    <x v="287"/>
    <x v="2373"/>
    <n v="3"/>
    <x v="3641"/>
  </r>
  <r>
    <d v="2020-09-07T00:00:00"/>
    <x v="1"/>
    <x v="8"/>
    <x v="578"/>
    <x v="1"/>
    <x v="0"/>
    <x v="8"/>
    <x v="340"/>
    <x v="3738"/>
    <n v="4"/>
    <x v="3642"/>
  </r>
  <r>
    <d v="2020-09-07T00:00:00"/>
    <x v="1"/>
    <x v="8"/>
    <x v="458"/>
    <x v="1"/>
    <x v="0"/>
    <x v="8"/>
    <x v="1232"/>
    <x v="3739"/>
    <n v="3"/>
    <x v="3643"/>
  </r>
  <r>
    <d v="2020-09-07T00:00:00"/>
    <x v="1"/>
    <x v="8"/>
    <x v="344"/>
    <x v="9"/>
    <x v="2"/>
    <x v="7"/>
    <x v="1555"/>
    <x v="3740"/>
    <n v="1"/>
    <x v="3644"/>
  </r>
  <r>
    <d v="2020-09-07T00:00:00"/>
    <x v="1"/>
    <x v="8"/>
    <x v="362"/>
    <x v="35"/>
    <x v="2"/>
    <x v="9"/>
    <x v="626"/>
    <x v="2622"/>
    <n v="2"/>
    <x v="3645"/>
  </r>
  <r>
    <d v="2020-09-07T00:00:00"/>
    <x v="1"/>
    <x v="8"/>
    <x v="724"/>
    <x v="17"/>
    <x v="2"/>
    <x v="9"/>
    <x v="84"/>
    <x v="3741"/>
    <n v="9"/>
    <x v="3646"/>
  </r>
  <r>
    <d v="2020-09-08T00:00:00"/>
    <x v="1"/>
    <x v="8"/>
    <x v="531"/>
    <x v="6"/>
    <x v="2"/>
    <x v="2"/>
    <x v="1633"/>
    <x v="3742"/>
    <n v="5"/>
    <x v="495"/>
  </r>
  <r>
    <d v="2020-09-08T00:00:00"/>
    <x v="1"/>
    <x v="8"/>
    <x v="661"/>
    <x v="8"/>
    <x v="1"/>
    <x v="3"/>
    <x v="1274"/>
    <x v="3743"/>
    <n v="4"/>
    <x v="3647"/>
  </r>
  <r>
    <d v="2020-09-08T00:00:00"/>
    <x v="1"/>
    <x v="8"/>
    <x v="531"/>
    <x v="6"/>
    <x v="1"/>
    <x v="1"/>
    <x v="1345"/>
    <x v="3744"/>
    <n v="3"/>
    <x v="3648"/>
  </r>
  <r>
    <d v="2020-09-08T00:00:00"/>
    <x v="1"/>
    <x v="8"/>
    <x v="359"/>
    <x v="2"/>
    <x v="0"/>
    <x v="11"/>
    <x v="726"/>
    <x v="3745"/>
    <n v="5"/>
    <x v="3649"/>
  </r>
  <r>
    <d v="2020-09-08T00:00:00"/>
    <x v="1"/>
    <x v="8"/>
    <x v="474"/>
    <x v="5"/>
    <x v="1"/>
    <x v="1"/>
    <x v="1523"/>
    <x v="3746"/>
    <n v="2"/>
    <x v="3650"/>
  </r>
  <r>
    <d v="2020-09-08T00:00:00"/>
    <x v="1"/>
    <x v="8"/>
    <x v="359"/>
    <x v="2"/>
    <x v="1"/>
    <x v="6"/>
    <x v="1002"/>
    <x v="3747"/>
    <n v="2"/>
    <x v="3651"/>
  </r>
  <r>
    <d v="2020-09-08T00:00:00"/>
    <x v="1"/>
    <x v="8"/>
    <x v="690"/>
    <x v="17"/>
    <x v="0"/>
    <x v="4"/>
    <x v="1634"/>
    <x v="3748"/>
    <n v="7"/>
    <x v="3652"/>
  </r>
  <r>
    <d v="2020-09-08T00:00:00"/>
    <x v="1"/>
    <x v="8"/>
    <x v="359"/>
    <x v="2"/>
    <x v="0"/>
    <x v="8"/>
    <x v="1459"/>
    <x v="3749"/>
    <n v="2"/>
    <x v="3653"/>
  </r>
  <r>
    <d v="2020-09-08T00:00:00"/>
    <x v="1"/>
    <x v="8"/>
    <x v="660"/>
    <x v="8"/>
    <x v="1"/>
    <x v="3"/>
    <x v="1635"/>
    <x v="3750"/>
    <n v="1"/>
    <x v="3654"/>
  </r>
  <r>
    <d v="2020-09-08T00:00:00"/>
    <x v="1"/>
    <x v="8"/>
    <x v="359"/>
    <x v="2"/>
    <x v="2"/>
    <x v="9"/>
    <x v="1636"/>
    <x v="3751"/>
    <n v="4"/>
    <x v="286"/>
  </r>
  <r>
    <d v="2020-09-08T00:00:00"/>
    <x v="1"/>
    <x v="8"/>
    <x v="359"/>
    <x v="2"/>
    <x v="2"/>
    <x v="12"/>
    <x v="1398"/>
    <x v="3394"/>
    <n v="5"/>
    <x v="3655"/>
  </r>
  <r>
    <d v="2020-09-08T00:00:00"/>
    <x v="1"/>
    <x v="8"/>
    <x v="359"/>
    <x v="2"/>
    <x v="2"/>
    <x v="5"/>
    <x v="845"/>
    <x v="3752"/>
    <n v="7"/>
    <x v="3601"/>
  </r>
  <r>
    <d v="2020-09-08T00:00:00"/>
    <x v="1"/>
    <x v="8"/>
    <x v="555"/>
    <x v="12"/>
    <x v="2"/>
    <x v="2"/>
    <x v="1460"/>
    <x v="3753"/>
    <n v="4"/>
    <x v="3656"/>
  </r>
  <r>
    <d v="2020-09-08T00:00:00"/>
    <x v="1"/>
    <x v="8"/>
    <x v="731"/>
    <x v="2"/>
    <x v="1"/>
    <x v="3"/>
    <x v="835"/>
    <x v="3754"/>
    <n v="6"/>
    <x v="3657"/>
  </r>
  <r>
    <d v="2020-09-09T00:00:00"/>
    <x v="1"/>
    <x v="8"/>
    <x v="574"/>
    <x v="39"/>
    <x v="2"/>
    <x v="2"/>
    <x v="89"/>
    <x v="3755"/>
    <n v="5"/>
    <x v="89"/>
  </r>
  <r>
    <d v="2020-09-09T00:00:00"/>
    <x v="1"/>
    <x v="8"/>
    <x v="479"/>
    <x v="1"/>
    <x v="2"/>
    <x v="2"/>
    <x v="1114"/>
    <x v="3756"/>
    <n v="3"/>
    <x v="1593"/>
  </r>
  <r>
    <d v="2020-09-09T00:00:00"/>
    <x v="1"/>
    <x v="8"/>
    <x v="613"/>
    <x v="5"/>
    <x v="1"/>
    <x v="3"/>
    <x v="205"/>
    <x v="2109"/>
    <n v="3"/>
    <x v="3658"/>
  </r>
  <r>
    <d v="2020-09-09T00:00:00"/>
    <x v="1"/>
    <x v="8"/>
    <x v="613"/>
    <x v="5"/>
    <x v="0"/>
    <x v="11"/>
    <x v="569"/>
    <x v="3757"/>
    <n v="2"/>
    <x v="3659"/>
  </r>
  <r>
    <d v="2020-09-09T00:00:00"/>
    <x v="1"/>
    <x v="8"/>
    <x v="581"/>
    <x v="1"/>
    <x v="1"/>
    <x v="3"/>
    <x v="1407"/>
    <x v="6"/>
    <n v="4"/>
    <x v="3660"/>
  </r>
  <r>
    <d v="2020-09-09T00:00:00"/>
    <x v="1"/>
    <x v="8"/>
    <x v="643"/>
    <x v="21"/>
    <x v="2"/>
    <x v="9"/>
    <x v="1446"/>
    <x v="3758"/>
    <n v="4"/>
    <x v="3661"/>
  </r>
  <r>
    <d v="2020-09-09T00:00:00"/>
    <x v="1"/>
    <x v="8"/>
    <x v="51"/>
    <x v="1"/>
    <x v="0"/>
    <x v="11"/>
    <x v="579"/>
    <x v="3759"/>
    <n v="5"/>
    <x v="3662"/>
  </r>
  <r>
    <d v="2020-09-09T00:00:00"/>
    <x v="1"/>
    <x v="8"/>
    <x v="643"/>
    <x v="21"/>
    <x v="2"/>
    <x v="2"/>
    <x v="1612"/>
    <x v="3760"/>
    <n v="2"/>
    <x v="3663"/>
  </r>
  <r>
    <d v="2020-09-09T00:00:00"/>
    <x v="1"/>
    <x v="8"/>
    <x v="613"/>
    <x v="5"/>
    <x v="1"/>
    <x v="3"/>
    <x v="431"/>
    <x v="3761"/>
    <n v="3"/>
    <x v="475"/>
  </r>
  <r>
    <d v="2020-09-09T00:00:00"/>
    <x v="1"/>
    <x v="8"/>
    <x v="574"/>
    <x v="39"/>
    <x v="2"/>
    <x v="2"/>
    <x v="146"/>
    <x v="3762"/>
    <n v="7"/>
    <x v="3664"/>
  </r>
  <r>
    <d v="2020-09-09T00:00:00"/>
    <x v="1"/>
    <x v="8"/>
    <x v="613"/>
    <x v="5"/>
    <x v="1"/>
    <x v="1"/>
    <x v="1348"/>
    <x v="3763"/>
    <n v="7"/>
    <x v="3665"/>
  </r>
  <r>
    <d v="2020-09-09T00:00:00"/>
    <x v="1"/>
    <x v="8"/>
    <x v="613"/>
    <x v="5"/>
    <x v="2"/>
    <x v="5"/>
    <x v="378"/>
    <x v="3764"/>
    <n v="2"/>
    <x v="3666"/>
  </r>
  <r>
    <d v="2020-09-09T00:00:00"/>
    <x v="1"/>
    <x v="8"/>
    <x v="692"/>
    <x v="8"/>
    <x v="2"/>
    <x v="5"/>
    <x v="1122"/>
    <x v="3765"/>
    <n v="2"/>
    <x v="3667"/>
  </r>
  <r>
    <d v="2020-09-09T00:00:00"/>
    <x v="1"/>
    <x v="8"/>
    <x v="563"/>
    <x v="20"/>
    <x v="2"/>
    <x v="9"/>
    <x v="1455"/>
    <x v="3766"/>
    <n v="2"/>
    <x v="3668"/>
  </r>
  <r>
    <d v="2020-09-09T00:00:00"/>
    <x v="1"/>
    <x v="8"/>
    <x v="14"/>
    <x v="25"/>
    <x v="2"/>
    <x v="10"/>
    <x v="1637"/>
    <x v="3767"/>
    <n v="2"/>
    <x v="3669"/>
  </r>
  <r>
    <d v="2020-09-09T00:00:00"/>
    <x v="1"/>
    <x v="8"/>
    <x v="613"/>
    <x v="5"/>
    <x v="0"/>
    <x v="8"/>
    <x v="1638"/>
    <x v="3768"/>
    <n v="2"/>
    <x v="3527"/>
  </r>
  <r>
    <d v="2020-09-09T00:00:00"/>
    <x v="1"/>
    <x v="8"/>
    <x v="613"/>
    <x v="5"/>
    <x v="2"/>
    <x v="5"/>
    <x v="353"/>
    <x v="3769"/>
    <n v="1"/>
    <x v="3670"/>
  </r>
  <r>
    <d v="2020-09-09T00:00:00"/>
    <x v="1"/>
    <x v="8"/>
    <x v="51"/>
    <x v="1"/>
    <x v="2"/>
    <x v="7"/>
    <x v="684"/>
    <x v="3115"/>
    <n v="2"/>
    <x v="2479"/>
  </r>
  <r>
    <d v="2020-09-09T00:00:00"/>
    <x v="1"/>
    <x v="8"/>
    <x v="613"/>
    <x v="5"/>
    <x v="2"/>
    <x v="7"/>
    <x v="1389"/>
    <x v="3770"/>
    <n v="1"/>
    <x v="3671"/>
  </r>
  <r>
    <d v="2020-09-09T00:00:00"/>
    <x v="1"/>
    <x v="8"/>
    <x v="643"/>
    <x v="21"/>
    <x v="2"/>
    <x v="16"/>
    <x v="311"/>
    <x v="3771"/>
    <n v="3"/>
    <x v="3672"/>
  </r>
  <r>
    <d v="2020-09-09T00:00:00"/>
    <x v="1"/>
    <x v="8"/>
    <x v="692"/>
    <x v="8"/>
    <x v="2"/>
    <x v="5"/>
    <x v="1421"/>
    <x v="2198"/>
    <n v="3"/>
    <x v="3673"/>
  </r>
  <r>
    <d v="2020-09-09T00:00:00"/>
    <x v="1"/>
    <x v="8"/>
    <x v="180"/>
    <x v="8"/>
    <x v="2"/>
    <x v="7"/>
    <x v="1530"/>
    <x v="3533"/>
    <n v="5"/>
    <x v="3674"/>
  </r>
  <r>
    <d v="2020-09-09T00:00:00"/>
    <x v="1"/>
    <x v="8"/>
    <x v="151"/>
    <x v="29"/>
    <x v="2"/>
    <x v="13"/>
    <x v="327"/>
    <x v="3772"/>
    <n v="1"/>
    <x v="3675"/>
  </r>
  <r>
    <d v="2020-09-09T00:00:00"/>
    <x v="1"/>
    <x v="8"/>
    <x v="217"/>
    <x v="2"/>
    <x v="2"/>
    <x v="14"/>
    <x v="1102"/>
    <x v="3773"/>
    <n v="4"/>
    <x v="3676"/>
  </r>
  <r>
    <d v="2020-09-09T00:00:00"/>
    <x v="1"/>
    <x v="8"/>
    <x v="692"/>
    <x v="8"/>
    <x v="2"/>
    <x v="14"/>
    <x v="1513"/>
    <x v="3774"/>
    <n v="6"/>
    <x v="3677"/>
  </r>
  <r>
    <d v="2020-09-09T00:00:00"/>
    <x v="1"/>
    <x v="8"/>
    <x v="643"/>
    <x v="21"/>
    <x v="0"/>
    <x v="8"/>
    <x v="414"/>
    <x v="3775"/>
    <n v="3"/>
    <x v="1966"/>
  </r>
  <r>
    <d v="2020-09-09T00:00:00"/>
    <x v="1"/>
    <x v="8"/>
    <x v="151"/>
    <x v="29"/>
    <x v="2"/>
    <x v="9"/>
    <x v="978"/>
    <x v="3776"/>
    <n v="6"/>
    <x v="3250"/>
  </r>
  <r>
    <d v="2020-09-09T00:00:00"/>
    <x v="1"/>
    <x v="8"/>
    <x v="180"/>
    <x v="8"/>
    <x v="0"/>
    <x v="8"/>
    <x v="112"/>
    <x v="3777"/>
    <n v="2"/>
    <x v="3678"/>
  </r>
  <r>
    <d v="2020-09-09T00:00:00"/>
    <x v="1"/>
    <x v="8"/>
    <x v="51"/>
    <x v="1"/>
    <x v="2"/>
    <x v="9"/>
    <x v="1101"/>
    <x v="3778"/>
    <n v="9"/>
    <x v="3679"/>
  </r>
  <r>
    <d v="2020-09-10T00:00:00"/>
    <x v="1"/>
    <x v="8"/>
    <x v="388"/>
    <x v="8"/>
    <x v="2"/>
    <x v="9"/>
    <x v="1349"/>
    <x v="3779"/>
    <n v="3"/>
    <x v="3082"/>
  </r>
  <r>
    <d v="2020-09-10T00:00:00"/>
    <x v="1"/>
    <x v="8"/>
    <x v="292"/>
    <x v="30"/>
    <x v="1"/>
    <x v="3"/>
    <x v="3"/>
    <x v="3780"/>
    <n v="6"/>
    <x v="3680"/>
  </r>
  <r>
    <d v="2020-09-10T00:00:00"/>
    <x v="1"/>
    <x v="8"/>
    <x v="274"/>
    <x v="17"/>
    <x v="1"/>
    <x v="1"/>
    <x v="58"/>
    <x v="3781"/>
    <n v="4"/>
    <x v="3681"/>
  </r>
  <r>
    <d v="2020-09-10T00:00:00"/>
    <x v="1"/>
    <x v="8"/>
    <x v="491"/>
    <x v="8"/>
    <x v="1"/>
    <x v="1"/>
    <x v="878"/>
    <x v="3782"/>
    <n v="2"/>
    <x v="1101"/>
  </r>
  <r>
    <d v="2020-09-10T00:00:00"/>
    <x v="1"/>
    <x v="8"/>
    <x v="292"/>
    <x v="30"/>
    <x v="2"/>
    <x v="2"/>
    <x v="1500"/>
    <x v="3783"/>
    <n v="3"/>
    <x v="3682"/>
  </r>
  <r>
    <d v="2020-09-10T00:00:00"/>
    <x v="1"/>
    <x v="8"/>
    <x v="292"/>
    <x v="30"/>
    <x v="1"/>
    <x v="3"/>
    <x v="1251"/>
    <x v="3784"/>
    <n v="5"/>
    <x v="3683"/>
  </r>
  <r>
    <d v="2020-09-10T00:00:00"/>
    <x v="1"/>
    <x v="8"/>
    <x v="489"/>
    <x v="1"/>
    <x v="0"/>
    <x v="11"/>
    <x v="829"/>
    <x v="3785"/>
    <n v="3"/>
    <x v="3684"/>
  </r>
  <r>
    <d v="2020-09-10T00:00:00"/>
    <x v="1"/>
    <x v="8"/>
    <x v="341"/>
    <x v="17"/>
    <x v="2"/>
    <x v="5"/>
    <x v="87"/>
    <x v="3786"/>
    <n v="3"/>
    <x v="3685"/>
  </r>
  <r>
    <d v="2020-09-10T00:00:00"/>
    <x v="1"/>
    <x v="8"/>
    <x v="732"/>
    <x v="14"/>
    <x v="2"/>
    <x v="5"/>
    <x v="1639"/>
    <x v="3787"/>
    <n v="1"/>
    <x v="3686"/>
  </r>
  <r>
    <d v="2020-09-10T00:00:00"/>
    <x v="1"/>
    <x v="8"/>
    <x v="619"/>
    <x v="12"/>
    <x v="2"/>
    <x v="9"/>
    <x v="884"/>
    <x v="3788"/>
    <n v="2"/>
    <x v="3687"/>
  </r>
  <r>
    <d v="2020-09-10T00:00:00"/>
    <x v="1"/>
    <x v="8"/>
    <x v="489"/>
    <x v="1"/>
    <x v="2"/>
    <x v="5"/>
    <x v="312"/>
    <x v="3355"/>
    <n v="2"/>
    <x v="3688"/>
  </r>
  <r>
    <d v="2020-09-10T00:00:00"/>
    <x v="1"/>
    <x v="8"/>
    <x v="292"/>
    <x v="30"/>
    <x v="2"/>
    <x v="5"/>
    <x v="1421"/>
    <x v="3789"/>
    <n v="3"/>
    <x v="1520"/>
  </r>
  <r>
    <d v="2020-09-10T00:00:00"/>
    <x v="1"/>
    <x v="8"/>
    <x v="292"/>
    <x v="30"/>
    <x v="2"/>
    <x v="9"/>
    <x v="1056"/>
    <x v="3790"/>
    <n v="5"/>
    <x v="3689"/>
  </r>
  <r>
    <d v="2020-09-10T00:00:00"/>
    <x v="1"/>
    <x v="8"/>
    <x v="292"/>
    <x v="30"/>
    <x v="2"/>
    <x v="5"/>
    <x v="447"/>
    <x v="3791"/>
    <n v="3"/>
    <x v="3690"/>
  </r>
  <r>
    <d v="2020-09-10T00:00:00"/>
    <x v="1"/>
    <x v="8"/>
    <x v="292"/>
    <x v="30"/>
    <x v="2"/>
    <x v="13"/>
    <x v="1640"/>
    <x v="3276"/>
    <n v="2"/>
    <x v="3691"/>
  </r>
  <r>
    <d v="2020-09-10T00:00:00"/>
    <x v="1"/>
    <x v="8"/>
    <x v="731"/>
    <x v="26"/>
    <x v="2"/>
    <x v="7"/>
    <x v="783"/>
    <x v="3560"/>
    <n v="2"/>
    <x v="1333"/>
  </r>
  <r>
    <d v="2020-09-10T00:00:00"/>
    <x v="1"/>
    <x v="8"/>
    <x v="491"/>
    <x v="8"/>
    <x v="1"/>
    <x v="3"/>
    <x v="1641"/>
    <x v="3792"/>
    <n v="4"/>
    <x v="3692"/>
  </r>
  <r>
    <d v="2020-09-10T00:00:00"/>
    <x v="1"/>
    <x v="8"/>
    <x v="292"/>
    <x v="30"/>
    <x v="2"/>
    <x v="13"/>
    <x v="1396"/>
    <x v="3793"/>
    <n v="3"/>
    <x v="3693"/>
  </r>
  <r>
    <d v="2020-09-11T00:00:00"/>
    <x v="1"/>
    <x v="8"/>
    <x v="733"/>
    <x v="9"/>
    <x v="2"/>
    <x v="9"/>
    <x v="267"/>
    <x v="3794"/>
    <n v="11"/>
    <x v="3694"/>
  </r>
  <r>
    <d v="2020-09-11T00:00:00"/>
    <x v="1"/>
    <x v="8"/>
    <x v="388"/>
    <x v="1"/>
    <x v="1"/>
    <x v="1"/>
    <x v="748"/>
    <x v="3795"/>
    <n v="6"/>
    <x v="1952"/>
  </r>
  <r>
    <d v="2020-09-11T00:00:00"/>
    <x v="1"/>
    <x v="8"/>
    <x v="165"/>
    <x v="14"/>
    <x v="2"/>
    <x v="9"/>
    <x v="29"/>
    <x v="3796"/>
    <n v="7"/>
    <x v="3695"/>
  </r>
  <r>
    <d v="2020-09-11T00:00:00"/>
    <x v="1"/>
    <x v="8"/>
    <x v="733"/>
    <x v="9"/>
    <x v="0"/>
    <x v="11"/>
    <x v="1059"/>
    <x v="3797"/>
    <n v="2"/>
    <x v="3696"/>
  </r>
  <r>
    <d v="2020-09-11T00:00:00"/>
    <x v="1"/>
    <x v="8"/>
    <x v="732"/>
    <x v="19"/>
    <x v="2"/>
    <x v="13"/>
    <x v="418"/>
    <x v="3798"/>
    <n v="4"/>
    <x v="3697"/>
  </r>
  <r>
    <d v="2020-09-11T00:00:00"/>
    <x v="1"/>
    <x v="8"/>
    <x v="595"/>
    <x v="1"/>
    <x v="2"/>
    <x v="13"/>
    <x v="409"/>
    <x v="3799"/>
    <n v="5"/>
    <x v="3698"/>
  </r>
  <r>
    <d v="2020-09-11T00:00:00"/>
    <x v="1"/>
    <x v="8"/>
    <x v="231"/>
    <x v="2"/>
    <x v="0"/>
    <x v="4"/>
    <x v="1569"/>
    <x v="3800"/>
    <n v="5"/>
    <x v="3699"/>
  </r>
  <r>
    <d v="2020-09-11T00:00:00"/>
    <x v="1"/>
    <x v="8"/>
    <x v="733"/>
    <x v="9"/>
    <x v="2"/>
    <x v="5"/>
    <x v="318"/>
    <x v="3801"/>
    <n v="5"/>
    <x v="3700"/>
  </r>
  <r>
    <d v="2020-09-11T00:00:00"/>
    <x v="1"/>
    <x v="8"/>
    <x v="111"/>
    <x v="1"/>
    <x v="0"/>
    <x v="11"/>
    <x v="1642"/>
    <x v="3802"/>
    <n v="8"/>
    <x v="3701"/>
  </r>
  <r>
    <d v="2020-09-11T00:00:00"/>
    <x v="1"/>
    <x v="8"/>
    <x v="231"/>
    <x v="2"/>
    <x v="2"/>
    <x v="13"/>
    <x v="191"/>
    <x v="3803"/>
    <n v="2"/>
    <x v="3702"/>
  </r>
  <r>
    <d v="2020-09-11T00:00:00"/>
    <x v="1"/>
    <x v="8"/>
    <x v="732"/>
    <x v="19"/>
    <x v="2"/>
    <x v="12"/>
    <x v="157"/>
    <x v="3804"/>
    <n v="4"/>
    <x v="3703"/>
  </r>
  <r>
    <d v="2020-09-11T00:00:00"/>
    <x v="1"/>
    <x v="8"/>
    <x v="406"/>
    <x v="17"/>
    <x v="2"/>
    <x v="12"/>
    <x v="531"/>
    <x v="3805"/>
    <n v="4"/>
    <x v="3704"/>
  </r>
  <r>
    <d v="2020-09-11T00:00:00"/>
    <x v="1"/>
    <x v="8"/>
    <x v="733"/>
    <x v="9"/>
    <x v="2"/>
    <x v="9"/>
    <x v="265"/>
    <x v="3806"/>
    <n v="3"/>
    <x v="397"/>
  </r>
  <r>
    <d v="2020-09-11T00:00:00"/>
    <x v="1"/>
    <x v="8"/>
    <x v="388"/>
    <x v="1"/>
    <x v="2"/>
    <x v="9"/>
    <x v="816"/>
    <x v="3807"/>
    <n v="3"/>
    <x v="397"/>
  </r>
  <r>
    <d v="2020-09-11T00:00:00"/>
    <x v="1"/>
    <x v="8"/>
    <x v="111"/>
    <x v="1"/>
    <x v="2"/>
    <x v="10"/>
    <x v="338"/>
    <x v="3808"/>
    <n v="2"/>
    <x v="3705"/>
  </r>
  <r>
    <d v="2020-09-11T00:00:00"/>
    <x v="1"/>
    <x v="8"/>
    <x v="475"/>
    <x v="6"/>
    <x v="0"/>
    <x v="8"/>
    <x v="750"/>
    <x v="3809"/>
    <n v="1"/>
    <x v="3706"/>
  </r>
  <r>
    <d v="2020-09-11T00:00:00"/>
    <x v="1"/>
    <x v="8"/>
    <x v="111"/>
    <x v="1"/>
    <x v="2"/>
    <x v="9"/>
    <x v="1189"/>
    <x v="3077"/>
    <n v="2"/>
    <x v="56"/>
  </r>
  <r>
    <d v="2020-09-11T00:00:00"/>
    <x v="1"/>
    <x v="8"/>
    <x v="595"/>
    <x v="1"/>
    <x v="0"/>
    <x v="8"/>
    <x v="965"/>
    <x v="3810"/>
    <n v="4"/>
    <x v="1305"/>
  </r>
  <r>
    <d v="2020-09-11T00:00:00"/>
    <x v="1"/>
    <x v="8"/>
    <x v="406"/>
    <x v="17"/>
    <x v="2"/>
    <x v="9"/>
    <x v="1510"/>
    <x v="3811"/>
    <n v="6"/>
    <x v="3707"/>
  </r>
  <r>
    <d v="2020-09-11T00:00:00"/>
    <x v="1"/>
    <x v="8"/>
    <x v="231"/>
    <x v="2"/>
    <x v="2"/>
    <x v="9"/>
    <x v="1448"/>
    <x v="3812"/>
    <n v="3"/>
    <x v="348"/>
  </r>
  <r>
    <d v="2020-09-11T00:00:00"/>
    <x v="1"/>
    <x v="8"/>
    <x v="595"/>
    <x v="18"/>
    <x v="2"/>
    <x v="13"/>
    <x v="1365"/>
    <x v="3813"/>
    <n v="5"/>
    <x v="3708"/>
  </r>
  <r>
    <d v="2020-09-11T00:00:00"/>
    <x v="1"/>
    <x v="8"/>
    <x v="733"/>
    <x v="9"/>
    <x v="1"/>
    <x v="1"/>
    <x v="1643"/>
    <x v="3814"/>
    <n v="5"/>
    <x v="3709"/>
  </r>
  <r>
    <d v="2020-09-12T00:00:00"/>
    <x v="1"/>
    <x v="8"/>
    <x v="734"/>
    <x v="0"/>
    <x v="2"/>
    <x v="13"/>
    <x v="986"/>
    <x v="3815"/>
    <n v="7"/>
    <x v="2593"/>
  </r>
  <r>
    <d v="2020-09-12T00:00:00"/>
    <x v="1"/>
    <x v="8"/>
    <x v="734"/>
    <x v="0"/>
    <x v="2"/>
    <x v="9"/>
    <x v="326"/>
    <x v="3816"/>
    <n v="5"/>
    <x v="2391"/>
  </r>
  <r>
    <d v="2020-09-12T00:00:00"/>
    <x v="1"/>
    <x v="8"/>
    <x v="601"/>
    <x v="1"/>
    <x v="2"/>
    <x v="9"/>
    <x v="786"/>
    <x v="3817"/>
    <n v="3"/>
    <x v="177"/>
  </r>
  <r>
    <d v="2020-09-12T00:00:00"/>
    <x v="1"/>
    <x v="8"/>
    <x v="204"/>
    <x v="1"/>
    <x v="0"/>
    <x v="8"/>
    <x v="473"/>
    <x v="3535"/>
    <n v="2"/>
    <x v="3710"/>
  </r>
  <r>
    <d v="2020-09-12T00:00:00"/>
    <x v="1"/>
    <x v="8"/>
    <x v="734"/>
    <x v="0"/>
    <x v="2"/>
    <x v="9"/>
    <x v="1538"/>
    <x v="3818"/>
    <n v="5"/>
    <x v="3711"/>
  </r>
  <r>
    <d v="2020-09-12T00:00:00"/>
    <x v="1"/>
    <x v="8"/>
    <x v="434"/>
    <x v="35"/>
    <x v="2"/>
    <x v="5"/>
    <x v="360"/>
    <x v="3819"/>
    <n v="3"/>
    <x v="3712"/>
  </r>
  <r>
    <d v="2020-09-12T00:00:00"/>
    <x v="1"/>
    <x v="8"/>
    <x v="434"/>
    <x v="35"/>
    <x v="2"/>
    <x v="9"/>
    <x v="413"/>
    <x v="3820"/>
    <n v="7"/>
    <x v="640"/>
  </r>
  <r>
    <d v="2020-09-13T00:00:00"/>
    <x v="1"/>
    <x v="8"/>
    <x v="686"/>
    <x v="4"/>
    <x v="2"/>
    <x v="7"/>
    <x v="1363"/>
    <x v="3648"/>
    <n v="5"/>
    <x v="3713"/>
  </r>
  <r>
    <d v="2020-09-14T00:00:00"/>
    <x v="1"/>
    <x v="8"/>
    <x v="660"/>
    <x v="4"/>
    <x v="2"/>
    <x v="9"/>
    <x v="1309"/>
    <x v="3821"/>
    <n v="3"/>
    <x v="1935"/>
  </r>
  <r>
    <d v="2020-09-14T00:00:00"/>
    <x v="1"/>
    <x v="8"/>
    <x v="735"/>
    <x v="12"/>
    <x v="2"/>
    <x v="2"/>
    <x v="1064"/>
    <x v="3822"/>
    <n v="1"/>
    <x v="3714"/>
  </r>
  <r>
    <d v="2020-09-14T00:00:00"/>
    <x v="1"/>
    <x v="8"/>
    <x v="14"/>
    <x v="1"/>
    <x v="2"/>
    <x v="14"/>
    <x v="1475"/>
    <x v="3823"/>
    <n v="9"/>
    <x v="3715"/>
  </r>
  <r>
    <d v="2020-09-14T00:00:00"/>
    <x v="1"/>
    <x v="8"/>
    <x v="108"/>
    <x v="5"/>
    <x v="0"/>
    <x v="8"/>
    <x v="1583"/>
    <x v="3824"/>
    <n v="8"/>
    <x v="3133"/>
  </r>
  <r>
    <d v="2020-09-14T00:00:00"/>
    <x v="1"/>
    <x v="8"/>
    <x v="108"/>
    <x v="5"/>
    <x v="0"/>
    <x v="11"/>
    <x v="969"/>
    <x v="1362"/>
    <n v="2"/>
    <x v="3716"/>
  </r>
  <r>
    <d v="2020-09-14T00:00:00"/>
    <x v="1"/>
    <x v="8"/>
    <x v="108"/>
    <x v="5"/>
    <x v="1"/>
    <x v="15"/>
    <x v="1644"/>
    <x v="3825"/>
    <n v="2"/>
    <x v="3717"/>
  </r>
  <r>
    <d v="2020-09-14T00:00:00"/>
    <x v="1"/>
    <x v="8"/>
    <x v="735"/>
    <x v="12"/>
    <x v="0"/>
    <x v="11"/>
    <x v="454"/>
    <x v="3826"/>
    <n v="5"/>
    <x v="3718"/>
  </r>
  <r>
    <d v="2020-09-14T00:00:00"/>
    <x v="1"/>
    <x v="8"/>
    <x v="416"/>
    <x v="8"/>
    <x v="1"/>
    <x v="3"/>
    <x v="1187"/>
    <x v="3827"/>
    <n v="7"/>
    <x v="3719"/>
  </r>
  <r>
    <d v="2020-09-14T00:00:00"/>
    <x v="1"/>
    <x v="8"/>
    <x v="660"/>
    <x v="4"/>
    <x v="2"/>
    <x v="13"/>
    <x v="875"/>
    <x v="3828"/>
    <n v="4"/>
    <x v="3720"/>
  </r>
  <r>
    <d v="2020-09-14T00:00:00"/>
    <x v="1"/>
    <x v="8"/>
    <x v="735"/>
    <x v="12"/>
    <x v="1"/>
    <x v="1"/>
    <x v="188"/>
    <x v="3829"/>
    <n v="3"/>
    <x v="3721"/>
  </r>
  <r>
    <d v="2020-09-14T00:00:00"/>
    <x v="1"/>
    <x v="8"/>
    <x v="108"/>
    <x v="5"/>
    <x v="2"/>
    <x v="5"/>
    <x v="523"/>
    <x v="3830"/>
    <n v="2"/>
    <x v="2423"/>
  </r>
  <r>
    <d v="2020-09-14T00:00:00"/>
    <x v="1"/>
    <x v="8"/>
    <x v="127"/>
    <x v="12"/>
    <x v="2"/>
    <x v="9"/>
    <x v="1445"/>
    <x v="3332"/>
    <n v="2"/>
    <x v="1545"/>
  </r>
  <r>
    <d v="2020-09-14T00:00:00"/>
    <x v="1"/>
    <x v="8"/>
    <x v="127"/>
    <x v="12"/>
    <x v="2"/>
    <x v="9"/>
    <x v="1241"/>
    <x v="3536"/>
    <n v="2"/>
    <x v="1164"/>
  </r>
  <r>
    <d v="2020-09-14T00:00:00"/>
    <x v="1"/>
    <x v="8"/>
    <x v="735"/>
    <x v="12"/>
    <x v="2"/>
    <x v="7"/>
    <x v="1532"/>
    <x v="3831"/>
    <n v="5"/>
    <x v="3722"/>
  </r>
  <r>
    <d v="2020-09-14T00:00:00"/>
    <x v="1"/>
    <x v="8"/>
    <x v="108"/>
    <x v="5"/>
    <x v="1"/>
    <x v="15"/>
    <x v="1645"/>
    <x v="3832"/>
    <n v="1"/>
    <x v="3723"/>
  </r>
  <r>
    <d v="2020-09-14T00:00:00"/>
    <x v="1"/>
    <x v="8"/>
    <x v="52"/>
    <x v="25"/>
    <x v="2"/>
    <x v="9"/>
    <x v="563"/>
    <x v="3833"/>
    <n v="3"/>
    <x v="2821"/>
  </r>
  <r>
    <d v="2020-09-14T00:00:00"/>
    <x v="1"/>
    <x v="8"/>
    <x v="108"/>
    <x v="5"/>
    <x v="2"/>
    <x v="5"/>
    <x v="360"/>
    <x v="3834"/>
    <n v="4"/>
    <x v="3724"/>
  </r>
  <r>
    <d v="2020-09-14T00:00:00"/>
    <x v="1"/>
    <x v="8"/>
    <x v="122"/>
    <x v="10"/>
    <x v="2"/>
    <x v="7"/>
    <x v="1220"/>
    <x v="3835"/>
    <n v="3"/>
    <x v="3725"/>
  </r>
  <r>
    <d v="2020-09-15T00:00:00"/>
    <x v="1"/>
    <x v="8"/>
    <x v="736"/>
    <x v="10"/>
    <x v="2"/>
    <x v="2"/>
    <x v="990"/>
    <x v="3440"/>
    <n v="2"/>
    <x v="72"/>
  </r>
  <r>
    <d v="2020-09-15T00:00:00"/>
    <x v="1"/>
    <x v="8"/>
    <x v="97"/>
    <x v="1"/>
    <x v="2"/>
    <x v="7"/>
    <x v="1438"/>
    <x v="3488"/>
    <n v="10"/>
    <x v="3726"/>
  </r>
  <r>
    <d v="2020-09-15T00:00:00"/>
    <x v="1"/>
    <x v="8"/>
    <x v="97"/>
    <x v="1"/>
    <x v="2"/>
    <x v="13"/>
    <x v="154"/>
    <x v="3836"/>
    <n v="2"/>
    <x v="3727"/>
  </r>
  <r>
    <d v="2020-09-15T00:00:00"/>
    <x v="1"/>
    <x v="8"/>
    <x v="675"/>
    <x v="21"/>
    <x v="2"/>
    <x v="9"/>
    <x v="41"/>
    <x v="3837"/>
    <n v="5"/>
    <x v="3229"/>
  </r>
  <r>
    <d v="2020-09-15T00:00:00"/>
    <x v="1"/>
    <x v="8"/>
    <x v="313"/>
    <x v="1"/>
    <x v="0"/>
    <x v="11"/>
    <x v="1058"/>
    <x v="3838"/>
    <n v="3"/>
    <x v="1469"/>
  </r>
  <r>
    <d v="2020-09-15T00:00:00"/>
    <x v="1"/>
    <x v="8"/>
    <x v="97"/>
    <x v="1"/>
    <x v="0"/>
    <x v="11"/>
    <x v="810"/>
    <x v="3839"/>
    <n v="3"/>
    <x v="72"/>
  </r>
  <r>
    <d v="2020-09-15T00:00:00"/>
    <x v="1"/>
    <x v="8"/>
    <x v="603"/>
    <x v="26"/>
    <x v="2"/>
    <x v="5"/>
    <x v="1646"/>
    <x v="3840"/>
    <n v="7"/>
    <x v="3728"/>
  </r>
  <r>
    <d v="2020-09-15T00:00:00"/>
    <x v="1"/>
    <x v="8"/>
    <x v="725"/>
    <x v="40"/>
    <x v="2"/>
    <x v="5"/>
    <x v="1426"/>
    <x v="3841"/>
    <n v="9"/>
    <x v="3729"/>
  </r>
  <r>
    <d v="2020-09-15T00:00:00"/>
    <x v="1"/>
    <x v="8"/>
    <x v="253"/>
    <x v="1"/>
    <x v="0"/>
    <x v="4"/>
    <x v="645"/>
    <x v="3842"/>
    <n v="1"/>
    <x v="2868"/>
  </r>
  <r>
    <d v="2020-09-15T00:00:00"/>
    <x v="1"/>
    <x v="8"/>
    <x v="138"/>
    <x v="17"/>
    <x v="1"/>
    <x v="1"/>
    <x v="1233"/>
    <x v="3843"/>
    <n v="3"/>
    <x v="3730"/>
  </r>
  <r>
    <d v="2020-09-15T00:00:00"/>
    <x v="1"/>
    <x v="8"/>
    <x v="313"/>
    <x v="1"/>
    <x v="1"/>
    <x v="1"/>
    <x v="862"/>
    <x v="3844"/>
    <n v="7"/>
    <x v="3731"/>
  </r>
  <r>
    <d v="2020-09-15T00:00:00"/>
    <x v="1"/>
    <x v="8"/>
    <x v="736"/>
    <x v="10"/>
    <x v="1"/>
    <x v="1"/>
    <x v="1647"/>
    <x v="3845"/>
    <n v="6"/>
    <x v="3732"/>
  </r>
  <r>
    <d v="2020-09-15T00:00:00"/>
    <x v="1"/>
    <x v="8"/>
    <x v="97"/>
    <x v="1"/>
    <x v="0"/>
    <x v="8"/>
    <x v="491"/>
    <x v="3846"/>
    <n v="5"/>
    <x v="3733"/>
  </r>
  <r>
    <d v="2020-09-15T00:00:00"/>
    <x v="1"/>
    <x v="8"/>
    <x v="736"/>
    <x v="10"/>
    <x v="0"/>
    <x v="11"/>
    <x v="1117"/>
    <x v="3847"/>
    <n v="4"/>
    <x v="3734"/>
  </r>
  <r>
    <d v="2020-09-15T00:00:00"/>
    <x v="1"/>
    <x v="8"/>
    <x v="603"/>
    <x v="26"/>
    <x v="0"/>
    <x v="0"/>
    <x v="17"/>
    <x v="3848"/>
    <n v="3"/>
    <x v="3735"/>
  </r>
  <r>
    <d v="2020-09-15T00:00:00"/>
    <x v="1"/>
    <x v="8"/>
    <x v="313"/>
    <x v="1"/>
    <x v="2"/>
    <x v="5"/>
    <x v="1016"/>
    <x v="3849"/>
    <n v="7"/>
    <x v="3736"/>
  </r>
  <r>
    <d v="2020-09-15T00:00:00"/>
    <x v="1"/>
    <x v="8"/>
    <x v="97"/>
    <x v="1"/>
    <x v="2"/>
    <x v="5"/>
    <x v="1648"/>
    <x v="3850"/>
    <n v="1"/>
    <x v="791"/>
  </r>
  <r>
    <d v="2020-09-15T00:00:00"/>
    <x v="1"/>
    <x v="8"/>
    <x v="405"/>
    <x v="2"/>
    <x v="2"/>
    <x v="7"/>
    <x v="963"/>
    <x v="3851"/>
    <n v="2"/>
    <x v="168"/>
  </r>
  <r>
    <d v="2020-09-15T00:00:00"/>
    <x v="1"/>
    <x v="8"/>
    <x v="242"/>
    <x v="9"/>
    <x v="2"/>
    <x v="7"/>
    <x v="1065"/>
    <x v="3852"/>
    <n v="3"/>
    <x v="1369"/>
  </r>
  <r>
    <d v="2020-09-15T00:00:00"/>
    <x v="1"/>
    <x v="8"/>
    <x v="443"/>
    <x v="12"/>
    <x v="0"/>
    <x v="8"/>
    <x v="263"/>
    <x v="3853"/>
    <n v="7"/>
    <x v="3737"/>
  </r>
  <r>
    <d v="2020-09-15T00:00:00"/>
    <x v="1"/>
    <x v="8"/>
    <x v="603"/>
    <x v="26"/>
    <x v="2"/>
    <x v="7"/>
    <x v="1649"/>
    <x v="3854"/>
    <n v="2"/>
    <x v="3738"/>
  </r>
  <r>
    <d v="2020-09-15T00:00:00"/>
    <x v="1"/>
    <x v="8"/>
    <x v="18"/>
    <x v="11"/>
    <x v="2"/>
    <x v="2"/>
    <x v="1650"/>
    <x v="3855"/>
    <n v="2"/>
    <x v="3739"/>
  </r>
  <r>
    <d v="2020-09-15T00:00:00"/>
    <x v="1"/>
    <x v="8"/>
    <x v="566"/>
    <x v="2"/>
    <x v="2"/>
    <x v="9"/>
    <x v="1651"/>
    <x v="3856"/>
    <n v="8"/>
    <x v="3740"/>
  </r>
  <r>
    <d v="2020-09-15T00:00:00"/>
    <x v="1"/>
    <x v="8"/>
    <x v="18"/>
    <x v="11"/>
    <x v="1"/>
    <x v="3"/>
    <x v="1652"/>
    <x v="3857"/>
    <n v="2"/>
    <x v="3741"/>
  </r>
  <r>
    <d v="2020-09-15T00:00:00"/>
    <x v="1"/>
    <x v="8"/>
    <x v="736"/>
    <x v="10"/>
    <x v="0"/>
    <x v="8"/>
    <x v="24"/>
    <x v="3858"/>
    <n v="5"/>
    <x v="3742"/>
  </r>
  <r>
    <d v="2020-09-15T00:00:00"/>
    <x v="1"/>
    <x v="8"/>
    <x v="603"/>
    <x v="26"/>
    <x v="1"/>
    <x v="1"/>
    <x v="888"/>
    <x v="3859"/>
    <n v="1"/>
    <x v="1116"/>
  </r>
  <r>
    <d v="2020-09-16T00:00:00"/>
    <x v="1"/>
    <x v="8"/>
    <x v="232"/>
    <x v="5"/>
    <x v="1"/>
    <x v="3"/>
    <x v="320"/>
    <x v="3860"/>
    <n v="3"/>
    <x v="3743"/>
  </r>
  <r>
    <d v="2020-09-16T00:00:00"/>
    <x v="1"/>
    <x v="8"/>
    <x v="232"/>
    <x v="5"/>
    <x v="2"/>
    <x v="5"/>
    <x v="1332"/>
    <x v="3861"/>
    <n v="2"/>
    <x v="3744"/>
  </r>
  <r>
    <d v="2020-09-16T00:00:00"/>
    <x v="1"/>
    <x v="8"/>
    <x v="163"/>
    <x v="1"/>
    <x v="2"/>
    <x v="7"/>
    <x v="1560"/>
    <x v="3862"/>
    <n v="1"/>
    <x v="735"/>
  </r>
  <r>
    <d v="2020-09-16T00:00:00"/>
    <x v="1"/>
    <x v="8"/>
    <x v="416"/>
    <x v="1"/>
    <x v="2"/>
    <x v="12"/>
    <x v="1167"/>
    <x v="3672"/>
    <n v="5"/>
    <x v="3745"/>
  </r>
  <r>
    <d v="2020-09-16T00:00:00"/>
    <x v="1"/>
    <x v="8"/>
    <x v="223"/>
    <x v="19"/>
    <x v="1"/>
    <x v="3"/>
    <x v="1177"/>
    <x v="3863"/>
    <n v="1"/>
    <x v="3746"/>
  </r>
  <r>
    <d v="2020-09-16T00:00:00"/>
    <x v="1"/>
    <x v="8"/>
    <x v="123"/>
    <x v="5"/>
    <x v="2"/>
    <x v="9"/>
    <x v="825"/>
    <x v="3864"/>
    <n v="4"/>
    <x v="286"/>
  </r>
  <r>
    <d v="2020-09-16T00:00:00"/>
    <x v="1"/>
    <x v="8"/>
    <x v="352"/>
    <x v="2"/>
    <x v="2"/>
    <x v="10"/>
    <x v="508"/>
    <x v="3865"/>
    <n v="2"/>
    <x v="3747"/>
  </r>
  <r>
    <d v="2020-09-16T00:00:00"/>
    <x v="1"/>
    <x v="8"/>
    <x v="163"/>
    <x v="1"/>
    <x v="2"/>
    <x v="9"/>
    <x v="924"/>
    <x v="3866"/>
    <n v="2"/>
    <x v="3748"/>
  </r>
  <r>
    <d v="2020-09-16T00:00:00"/>
    <x v="1"/>
    <x v="8"/>
    <x v="232"/>
    <x v="5"/>
    <x v="2"/>
    <x v="5"/>
    <x v="522"/>
    <x v="3867"/>
    <n v="2"/>
    <x v="3749"/>
  </r>
  <r>
    <d v="2020-09-16T00:00:00"/>
    <x v="1"/>
    <x v="8"/>
    <x v="232"/>
    <x v="5"/>
    <x v="0"/>
    <x v="8"/>
    <x v="997"/>
    <x v="3868"/>
    <n v="3"/>
    <x v="3750"/>
  </r>
  <r>
    <d v="2020-09-16T00:00:00"/>
    <x v="1"/>
    <x v="8"/>
    <x v="232"/>
    <x v="5"/>
    <x v="1"/>
    <x v="3"/>
    <x v="45"/>
    <x v="3869"/>
    <n v="2"/>
    <x v="2340"/>
  </r>
  <r>
    <d v="2020-09-16T00:00:00"/>
    <x v="1"/>
    <x v="8"/>
    <x v="169"/>
    <x v="5"/>
    <x v="2"/>
    <x v="9"/>
    <x v="1510"/>
    <x v="3870"/>
    <n v="6"/>
    <x v="3707"/>
  </r>
  <r>
    <d v="2020-09-16T00:00:00"/>
    <x v="1"/>
    <x v="8"/>
    <x v="352"/>
    <x v="2"/>
    <x v="1"/>
    <x v="1"/>
    <x v="916"/>
    <x v="3871"/>
    <n v="1"/>
    <x v="3751"/>
  </r>
  <r>
    <d v="2020-09-17T00:00:00"/>
    <x v="1"/>
    <x v="8"/>
    <x v="504"/>
    <x v="32"/>
    <x v="1"/>
    <x v="3"/>
    <x v="320"/>
    <x v="3872"/>
    <n v="3"/>
    <x v="354"/>
  </r>
  <r>
    <d v="2020-09-17T00:00:00"/>
    <x v="1"/>
    <x v="8"/>
    <x v="443"/>
    <x v="14"/>
    <x v="2"/>
    <x v="9"/>
    <x v="84"/>
    <x v="3873"/>
    <n v="3"/>
    <x v="2246"/>
  </r>
  <r>
    <d v="2020-09-17T00:00:00"/>
    <x v="1"/>
    <x v="8"/>
    <x v="605"/>
    <x v="40"/>
    <x v="2"/>
    <x v="9"/>
    <x v="1283"/>
    <x v="838"/>
    <n v="3"/>
    <x v="3752"/>
  </r>
  <r>
    <d v="2020-09-17T00:00:00"/>
    <x v="1"/>
    <x v="8"/>
    <x v="605"/>
    <x v="40"/>
    <x v="2"/>
    <x v="2"/>
    <x v="216"/>
    <x v="3874"/>
    <n v="2"/>
    <x v="1335"/>
  </r>
  <r>
    <d v="2020-09-17T00:00:00"/>
    <x v="1"/>
    <x v="8"/>
    <x v="105"/>
    <x v="2"/>
    <x v="0"/>
    <x v="11"/>
    <x v="1206"/>
    <x v="3875"/>
    <n v="5"/>
    <x v="1893"/>
  </r>
  <r>
    <d v="2020-09-17T00:00:00"/>
    <x v="1"/>
    <x v="8"/>
    <x v="135"/>
    <x v="10"/>
    <x v="1"/>
    <x v="15"/>
    <x v="1653"/>
    <x v="3876"/>
    <n v="4"/>
    <x v="3753"/>
  </r>
  <r>
    <d v="2020-09-17T00:00:00"/>
    <x v="1"/>
    <x v="8"/>
    <x v="443"/>
    <x v="14"/>
    <x v="0"/>
    <x v="11"/>
    <x v="49"/>
    <x v="3877"/>
    <n v="4"/>
    <x v="3754"/>
  </r>
  <r>
    <d v="2020-09-17T00:00:00"/>
    <x v="1"/>
    <x v="8"/>
    <x v="605"/>
    <x v="40"/>
    <x v="0"/>
    <x v="0"/>
    <x v="1654"/>
    <x v="3878"/>
    <n v="3"/>
    <x v="3755"/>
  </r>
  <r>
    <d v="2020-09-17T00:00:00"/>
    <x v="1"/>
    <x v="8"/>
    <x v="105"/>
    <x v="2"/>
    <x v="1"/>
    <x v="1"/>
    <x v="1604"/>
    <x v="3879"/>
    <n v="6"/>
    <x v="3756"/>
  </r>
  <r>
    <d v="2020-09-17T00:00:00"/>
    <x v="1"/>
    <x v="8"/>
    <x v="605"/>
    <x v="40"/>
    <x v="2"/>
    <x v="5"/>
    <x v="345"/>
    <x v="3880"/>
    <n v="3"/>
    <x v="3757"/>
  </r>
  <r>
    <d v="2020-09-17T00:00:00"/>
    <x v="1"/>
    <x v="8"/>
    <x v="105"/>
    <x v="2"/>
    <x v="2"/>
    <x v="5"/>
    <x v="136"/>
    <x v="3881"/>
    <n v="5"/>
    <x v="3758"/>
  </r>
  <r>
    <d v="2020-09-17T00:00:00"/>
    <x v="1"/>
    <x v="8"/>
    <x v="605"/>
    <x v="40"/>
    <x v="2"/>
    <x v="14"/>
    <x v="1655"/>
    <x v="3882"/>
    <n v="5"/>
    <x v="1376"/>
  </r>
  <r>
    <d v="2020-09-17T00:00:00"/>
    <x v="1"/>
    <x v="8"/>
    <x v="605"/>
    <x v="40"/>
    <x v="2"/>
    <x v="5"/>
    <x v="252"/>
    <x v="3883"/>
    <n v="2"/>
    <x v="2210"/>
  </r>
  <r>
    <d v="2020-09-17T00:00:00"/>
    <x v="1"/>
    <x v="8"/>
    <x v="105"/>
    <x v="2"/>
    <x v="2"/>
    <x v="7"/>
    <x v="912"/>
    <x v="3884"/>
    <n v="3"/>
    <x v="3759"/>
  </r>
  <r>
    <d v="2020-09-17T00:00:00"/>
    <x v="1"/>
    <x v="8"/>
    <x v="135"/>
    <x v="10"/>
    <x v="2"/>
    <x v="2"/>
    <x v="1301"/>
    <x v="3885"/>
    <n v="3"/>
    <x v="1521"/>
  </r>
  <r>
    <d v="2020-09-17T00:00:00"/>
    <x v="1"/>
    <x v="8"/>
    <x v="605"/>
    <x v="40"/>
    <x v="2"/>
    <x v="5"/>
    <x v="312"/>
    <x v="2450"/>
    <n v="3"/>
    <x v="2752"/>
  </r>
  <r>
    <d v="2020-09-17T00:00:00"/>
    <x v="1"/>
    <x v="8"/>
    <x v="442"/>
    <x v="9"/>
    <x v="2"/>
    <x v="9"/>
    <x v="1656"/>
    <x v="3886"/>
    <n v="2"/>
    <x v="210"/>
  </r>
  <r>
    <d v="2020-09-18T00:00:00"/>
    <x v="1"/>
    <x v="8"/>
    <x v="502"/>
    <x v="44"/>
    <x v="1"/>
    <x v="3"/>
    <x v="1561"/>
    <x v="3887"/>
    <n v="3"/>
    <x v="3143"/>
  </r>
  <r>
    <d v="2020-09-18T00:00:00"/>
    <x v="1"/>
    <x v="8"/>
    <x v="630"/>
    <x v="14"/>
    <x v="1"/>
    <x v="1"/>
    <x v="500"/>
    <x v="3888"/>
    <n v="8"/>
    <x v="3760"/>
  </r>
  <r>
    <d v="2020-09-18T00:00:00"/>
    <x v="1"/>
    <x v="8"/>
    <x v="542"/>
    <x v="2"/>
    <x v="2"/>
    <x v="10"/>
    <x v="1296"/>
    <x v="3889"/>
    <n v="4"/>
    <x v="3761"/>
  </r>
  <r>
    <d v="2020-09-18T00:00:00"/>
    <x v="1"/>
    <x v="8"/>
    <x v="630"/>
    <x v="14"/>
    <x v="2"/>
    <x v="7"/>
    <x v="1158"/>
    <x v="3890"/>
    <n v="3"/>
    <x v="3762"/>
  </r>
  <r>
    <d v="2020-09-18T00:00:00"/>
    <x v="1"/>
    <x v="8"/>
    <x v="277"/>
    <x v="1"/>
    <x v="2"/>
    <x v="9"/>
    <x v="374"/>
    <x v="3891"/>
    <n v="3"/>
    <x v="415"/>
  </r>
  <r>
    <d v="2020-09-18T00:00:00"/>
    <x v="1"/>
    <x v="8"/>
    <x v="630"/>
    <x v="14"/>
    <x v="2"/>
    <x v="9"/>
    <x v="1518"/>
    <x v="3892"/>
    <n v="5"/>
    <x v="2719"/>
  </r>
  <r>
    <d v="2020-09-18T00:00:00"/>
    <x v="1"/>
    <x v="8"/>
    <x v="630"/>
    <x v="14"/>
    <x v="1"/>
    <x v="1"/>
    <x v="988"/>
    <x v="3893"/>
    <n v="2"/>
    <x v="3763"/>
  </r>
  <r>
    <d v="2020-09-18T00:00:00"/>
    <x v="1"/>
    <x v="8"/>
    <x v="128"/>
    <x v="12"/>
    <x v="0"/>
    <x v="8"/>
    <x v="31"/>
    <x v="3894"/>
    <n v="2"/>
    <x v="3764"/>
  </r>
  <r>
    <d v="2020-09-18T00:00:00"/>
    <x v="1"/>
    <x v="8"/>
    <x v="502"/>
    <x v="44"/>
    <x v="2"/>
    <x v="5"/>
    <x v="820"/>
    <x v="3895"/>
    <n v="7"/>
    <x v="191"/>
  </r>
  <r>
    <d v="2020-09-18T00:00:00"/>
    <x v="1"/>
    <x v="8"/>
    <x v="128"/>
    <x v="12"/>
    <x v="2"/>
    <x v="9"/>
    <x v="1553"/>
    <x v="3896"/>
    <n v="3"/>
    <x v="397"/>
  </r>
  <r>
    <d v="2020-09-18T00:00:00"/>
    <x v="1"/>
    <x v="8"/>
    <x v="277"/>
    <x v="1"/>
    <x v="2"/>
    <x v="7"/>
    <x v="597"/>
    <x v="1628"/>
    <n v="3"/>
    <x v="1704"/>
  </r>
  <r>
    <d v="2020-09-18T00:00:00"/>
    <x v="1"/>
    <x v="8"/>
    <x v="645"/>
    <x v="34"/>
    <x v="2"/>
    <x v="9"/>
    <x v="1538"/>
    <x v="2026"/>
    <n v="2"/>
    <x v="3765"/>
  </r>
  <r>
    <d v="2020-09-18T00:00:00"/>
    <x v="1"/>
    <x v="8"/>
    <x v="150"/>
    <x v="2"/>
    <x v="2"/>
    <x v="7"/>
    <x v="621"/>
    <x v="3897"/>
    <n v="2"/>
    <x v="3766"/>
  </r>
  <r>
    <d v="2020-09-18T00:00:00"/>
    <x v="1"/>
    <x v="8"/>
    <x v="359"/>
    <x v="7"/>
    <x v="2"/>
    <x v="9"/>
    <x v="400"/>
    <x v="3898"/>
    <n v="4"/>
    <x v="443"/>
  </r>
  <r>
    <d v="2020-09-18T00:00:00"/>
    <x v="1"/>
    <x v="8"/>
    <x v="277"/>
    <x v="1"/>
    <x v="2"/>
    <x v="10"/>
    <x v="885"/>
    <x v="3899"/>
    <n v="3"/>
    <x v="1113"/>
  </r>
  <r>
    <d v="2020-09-18T00:00:00"/>
    <x v="1"/>
    <x v="8"/>
    <x v="630"/>
    <x v="14"/>
    <x v="0"/>
    <x v="8"/>
    <x v="1657"/>
    <x v="3900"/>
    <n v="4"/>
    <x v="284"/>
  </r>
  <r>
    <d v="2020-09-18T00:00:00"/>
    <x v="1"/>
    <x v="8"/>
    <x v="630"/>
    <x v="14"/>
    <x v="2"/>
    <x v="9"/>
    <x v="894"/>
    <x v="3901"/>
    <n v="4"/>
    <x v="1384"/>
  </r>
  <r>
    <d v="2020-09-18T00:00:00"/>
    <x v="1"/>
    <x v="8"/>
    <x v="150"/>
    <x v="2"/>
    <x v="2"/>
    <x v="2"/>
    <x v="998"/>
    <x v="3902"/>
    <n v="2"/>
    <x v="3767"/>
  </r>
  <r>
    <d v="2020-09-18T00:00:00"/>
    <x v="1"/>
    <x v="8"/>
    <x v="630"/>
    <x v="14"/>
    <x v="2"/>
    <x v="16"/>
    <x v="817"/>
    <x v="3903"/>
    <n v="2"/>
    <x v="3768"/>
  </r>
  <r>
    <d v="2020-09-18T00:00:00"/>
    <x v="1"/>
    <x v="8"/>
    <x v="630"/>
    <x v="14"/>
    <x v="2"/>
    <x v="9"/>
    <x v="1658"/>
    <x v="3904"/>
    <n v="7"/>
    <x v="2380"/>
  </r>
  <r>
    <d v="2020-09-19T00:00:00"/>
    <x v="1"/>
    <x v="8"/>
    <x v="62"/>
    <x v="29"/>
    <x v="0"/>
    <x v="0"/>
    <x v="1492"/>
    <x v="3905"/>
    <n v="2"/>
    <x v="3769"/>
  </r>
  <r>
    <d v="2020-09-19T00:00:00"/>
    <x v="1"/>
    <x v="8"/>
    <x v="48"/>
    <x v="20"/>
    <x v="1"/>
    <x v="3"/>
    <x v="601"/>
    <x v="3906"/>
    <n v="2"/>
    <x v="3770"/>
  </r>
  <r>
    <d v="2020-09-19T00:00:00"/>
    <x v="1"/>
    <x v="8"/>
    <x v="177"/>
    <x v="6"/>
    <x v="2"/>
    <x v="2"/>
    <x v="1462"/>
    <x v="3907"/>
    <n v="2"/>
    <x v="3771"/>
  </r>
  <r>
    <d v="2020-09-19T00:00:00"/>
    <x v="1"/>
    <x v="8"/>
    <x v="330"/>
    <x v="1"/>
    <x v="1"/>
    <x v="3"/>
    <x v="1180"/>
    <x v="3908"/>
    <n v="5"/>
    <x v="3772"/>
  </r>
  <r>
    <d v="2020-09-19T00:00:00"/>
    <x v="1"/>
    <x v="8"/>
    <x v="62"/>
    <x v="29"/>
    <x v="1"/>
    <x v="1"/>
    <x v="781"/>
    <x v="3909"/>
    <n v="3"/>
    <x v="3773"/>
  </r>
  <r>
    <d v="2020-09-19T00:00:00"/>
    <x v="1"/>
    <x v="8"/>
    <x v="62"/>
    <x v="29"/>
    <x v="0"/>
    <x v="8"/>
    <x v="229"/>
    <x v="3910"/>
    <n v="8"/>
    <x v="1216"/>
  </r>
  <r>
    <d v="2020-09-19T00:00:00"/>
    <x v="1"/>
    <x v="8"/>
    <x v="48"/>
    <x v="20"/>
    <x v="1"/>
    <x v="1"/>
    <x v="1604"/>
    <x v="3911"/>
    <n v="2"/>
    <x v="3774"/>
  </r>
  <r>
    <d v="2020-09-19T00:00:00"/>
    <x v="1"/>
    <x v="8"/>
    <x v="716"/>
    <x v="5"/>
    <x v="2"/>
    <x v="5"/>
    <x v="952"/>
    <x v="3912"/>
    <n v="3"/>
    <x v="3775"/>
  </r>
  <r>
    <d v="2020-09-19T00:00:00"/>
    <x v="1"/>
    <x v="8"/>
    <x v="330"/>
    <x v="1"/>
    <x v="2"/>
    <x v="7"/>
    <x v="272"/>
    <x v="3913"/>
    <n v="3"/>
    <x v="3776"/>
  </r>
  <r>
    <d v="2020-09-19T00:00:00"/>
    <x v="1"/>
    <x v="8"/>
    <x v="48"/>
    <x v="20"/>
    <x v="2"/>
    <x v="5"/>
    <x v="18"/>
    <x v="3914"/>
    <n v="4"/>
    <x v="3777"/>
  </r>
  <r>
    <d v="2020-09-19T00:00:00"/>
    <x v="1"/>
    <x v="8"/>
    <x v="48"/>
    <x v="20"/>
    <x v="2"/>
    <x v="2"/>
    <x v="451"/>
    <x v="3915"/>
    <n v="2"/>
    <x v="3778"/>
  </r>
  <r>
    <d v="2020-09-19T00:00:00"/>
    <x v="1"/>
    <x v="8"/>
    <x v="330"/>
    <x v="1"/>
    <x v="2"/>
    <x v="7"/>
    <x v="806"/>
    <x v="3900"/>
    <n v="2"/>
    <x v="2136"/>
  </r>
  <r>
    <d v="2020-09-19T00:00:00"/>
    <x v="1"/>
    <x v="8"/>
    <x v="62"/>
    <x v="29"/>
    <x v="2"/>
    <x v="7"/>
    <x v="1438"/>
    <x v="3916"/>
    <n v="3"/>
    <x v="2597"/>
  </r>
  <r>
    <d v="2020-09-19T00:00:00"/>
    <x v="1"/>
    <x v="8"/>
    <x v="204"/>
    <x v="12"/>
    <x v="2"/>
    <x v="9"/>
    <x v="594"/>
    <x v="193"/>
    <n v="5"/>
    <x v="734"/>
  </r>
  <r>
    <d v="2020-09-19T00:00:00"/>
    <x v="1"/>
    <x v="8"/>
    <x v="115"/>
    <x v="14"/>
    <x v="2"/>
    <x v="7"/>
    <x v="1021"/>
    <x v="3399"/>
    <n v="5"/>
    <x v="1393"/>
  </r>
  <r>
    <d v="2020-09-20T00:00:00"/>
    <x v="1"/>
    <x v="8"/>
    <x v="314"/>
    <x v="12"/>
    <x v="1"/>
    <x v="3"/>
    <x v="495"/>
    <x v="3917"/>
    <n v="2"/>
    <x v="2189"/>
  </r>
  <r>
    <d v="2020-09-20T00:00:00"/>
    <x v="1"/>
    <x v="8"/>
    <x v="314"/>
    <x v="12"/>
    <x v="0"/>
    <x v="11"/>
    <x v="752"/>
    <x v="3918"/>
    <n v="1"/>
    <x v="3779"/>
  </r>
  <r>
    <d v="2020-09-20T00:00:00"/>
    <x v="1"/>
    <x v="8"/>
    <x v="314"/>
    <x v="12"/>
    <x v="1"/>
    <x v="1"/>
    <x v="105"/>
    <x v="3919"/>
    <n v="3"/>
    <x v="106"/>
  </r>
  <r>
    <d v="2020-09-20T00:00:00"/>
    <x v="1"/>
    <x v="8"/>
    <x v="314"/>
    <x v="12"/>
    <x v="1"/>
    <x v="3"/>
    <x v="1659"/>
    <x v="3920"/>
    <n v="2"/>
    <x v="3780"/>
  </r>
  <r>
    <d v="2020-09-20T00:00:00"/>
    <x v="1"/>
    <x v="8"/>
    <x v="314"/>
    <x v="12"/>
    <x v="0"/>
    <x v="11"/>
    <x v="695"/>
    <x v="3921"/>
    <n v="3"/>
    <x v="3781"/>
  </r>
  <r>
    <d v="2020-09-20T00:00:00"/>
    <x v="1"/>
    <x v="8"/>
    <x v="314"/>
    <x v="12"/>
    <x v="1"/>
    <x v="1"/>
    <x v="213"/>
    <x v="3922"/>
    <n v="2"/>
    <x v="3782"/>
  </r>
  <r>
    <d v="2020-09-20T00:00:00"/>
    <x v="1"/>
    <x v="8"/>
    <x v="314"/>
    <x v="12"/>
    <x v="0"/>
    <x v="11"/>
    <x v="589"/>
    <x v="3923"/>
    <n v="5"/>
    <x v="3783"/>
  </r>
  <r>
    <d v="2020-09-20T00:00:00"/>
    <x v="1"/>
    <x v="8"/>
    <x v="314"/>
    <x v="12"/>
    <x v="0"/>
    <x v="11"/>
    <x v="365"/>
    <x v="3924"/>
    <n v="11"/>
    <x v="3784"/>
  </r>
  <r>
    <d v="2020-09-20T00:00:00"/>
    <x v="1"/>
    <x v="8"/>
    <x v="314"/>
    <x v="12"/>
    <x v="2"/>
    <x v="5"/>
    <x v="543"/>
    <x v="3925"/>
    <n v="3"/>
    <x v="1066"/>
  </r>
  <r>
    <d v="2020-09-20T00:00:00"/>
    <x v="1"/>
    <x v="8"/>
    <x v="314"/>
    <x v="12"/>
    <x v="2"/>
    <x v="12"/>
    <x v="130"/>
    <x v="3926"/>
    <n v="2"/>
    <x v="1294"/>
  </r>
  <r>
    <d v="2020-09-20T00:00:00"/>
    <x v="1"/>
    <x v="8"/>
    <x v="314"/>
    <x v="12"/>
    <x v="2"/>
    <x v="9"/>
    <x v="331"/>
    <x v="3927"/>
    <n v="2"/>
    <x v="1999"/>
  </r>
  <r>
    <d v="2020-09-20T00:00:00"/>
    <x v="1"/>
    <x v="8"/>
    <x v="314"/>
    <x v="12"/>
    <x v="2"/>
    <x v="9"/>
    <x v="362"/>
    <x v="3928"/>
    <n v="9"/>
    <x v="3785"/>
  </r>
  <r>
    <d v="2020-09-20T00:00:00"/>
    <x v="1"/>
    <x v="8"/>
    <x v="314"/>
    <x v="12"/>
    <x v="1"/>
    <x v="3"/>
    <x v="1489"/>
    <x v="3929"/>
    <n v="3"/>
    <x v="3786"/>
  </r>
  <r>
    <d v="2020-09-20T00:00:00"/>
    <x v="1"/>
    <x v="8"/>
    <x v="314"/>
    <x v="12"/>
    <x v="2"/>
    <x v="2"/>
    <x v="1301"/>
    <x v="3930"/>
    <n v="4"/>
    <x v="3787"/>
  </r>
  <r>
    <d v="2020-09-21T00:00:00"/>
    <x v="1"/>
    <x v="8"/>
    <x v="737"/>
    <x v="9"/>
    <x v="1"/>
    <x v="3"/>
    <x v="1660"/>
    <x v="3931"/>
    <n v="2"/>
    <x v="3788"/>
  </r>
  <r>
    <d v="2020-09-21T00:00:00"/>
    <x v="1"/>
    <x v="8"/>
    <x v="470"/>
    <x v="14"/>
    <x v="2"/>
    <x v="13"/>
    <x v="657"/>
    <x v="3040"/>
    <n v="1"/>
    <x v="3789"/>
  </r>
  <r>
    <d v="2020-09-21T00:00:00"/>
    <x v="1"/>
    <x v="8"/>
    <x v="514"/>
    <x v="5"/>
    <x v="2"/>
    <x v="5"/>
    <x v="227"/>
    <x v="3932"/>
    <n v="2"/>
    <x v="3790"/>
  </r>
  <r>
    <d v="2020-09-21T00:00:00"/>
    <x v="1"/>
    <x v="8"/>
    <x v="82"/>
    <x v="6"/>
    <x v="2"/>
    <x v="5"/>
    <x v="1426"/>
    <x v="3933"/>
    <n v="1"/>
    <x v="2552"/>
  </r>
  <r>
    <d v="2020-09-21T00:00:00"/>
    <x v="1"/>
    <x v="8"/>
    <x v="0"/>
    <x v="1"/>
    <x v="2"/>
    <x v="2"/>
    <x v="1135"/>
    <x v="3934"/>
    <n v="1"/>
    <x v="3791"/>
  </r>
  <r>
    <d v="2020-09-21T00:00:00"/>
    <x v="1"/>
    <x v="8"/>
    <x v="723"/>
    <x v="27"/>
    <x v="2"/>
    <x v="5"/>
    <x v="81"/>
    <x v="3935"/>
    <n v="7"/>
    <x v="1607"/>
  </r>
  <r>
    <d v="2020-09-21T00:00:00"/>
    <x v="1"/>
    <x v="8"/>
    <x v="523"/>
    <x v="1"/>
    <x v="2"/>
    <x v="9"/>
    <x v="1538"/>
    <x v="3936"/>
    <n v="7"/>
    <x v="3792"/>
  </r>
  <r>
    <d v="2020-09-21T00:00:00"/>
    <x v="1"/>
    <x v="8"/>
    <x v="737"/>
    <x v="9"/>
    <x v="1"/>
    <x v="3"/>
    <x v="874"/>
    <x v="3937"/>
    <n v="2"/>
    <x v="1095"/>
  </r>
  <r>
    <d v="2020-09-22T00:00:00"/>
    <x v="1"/>
    <x v="8"/>
    <x v="95"/>
    <x v="13"/>
    <x v="2"/>
    <x v="2"/>
    <x v="987"/>
    <x v="3938"/>
    <n v="5"/>
    <x v="2333"/>
  </r>
  <r>
    <d v="2020-09-22T00:00:00"/>
    <x v="1"/>
    <x v="8"/>
    <x v="446"/>
    <x v="5"/>
    <x v="1"/>
    <x v="3"/>
    <x v="62"/>
    <x v="3939"/>
    <n v="2"/>
    <x v="3793"/>
  </r>
  <r>
    <d v="2020-09-22T00:00:00"/>
    <x v="1"/>
    <x v="8"/>
    <x v="278"/>
    <x v="7"/>
    <x v="1"/>
    <x v="1"/>
    <x v="1661"/>
    <x v="3940"/>
    <n v="3"/>
    <x v="3794"/>
  </r>
  <r>
    <d v="2020-09-22T00:00:00"/>
    <x v="1"/>
    <x v="8"/>
    <x v="278"/>
    <x v="7"/>
    <x v="1"/>
    <x v="3"/>
    <x v="483"/>
    <x v="3941"/>
    <n v="6"/>
    <x v="1638"/>
  </r>
  <r>
    <d v="2020-09-22T00:00:00"/>
    <x v="1"/>
    <x v="8"/>
    <x v="226"/>
    <x v="25"/>
    <x v="0"/>
    <x v="0"/>
    <x v="1492"/>
    <x v="3942"/>
    <n v="2"/>
    <x v="3795"/>
  </r>
  <r>
    <d v="2020-09-22T00:00:00"/>
    <x v="1"/>
    <x v="8"/>
    <x v="278"/>
    <x v="7"/>
    <x v="2"/>
    <x v="9"/>
    <x v="1662"/>
    <x v="3943"/>
    <n v="4"/>
    <x v="795"/>
  </r>
  <r>
    <d v="2020-09-22T00:00:00"/>
    <x v="1"/>
    <x v="8"/>
    <x v="58"/>
    <x v="23"/>
    <x v="1"/>
    <x v="1"/>
    <x v="1299"/>
    <x v="3893"/>
    <n v="2"/>
    <x v="3796"/>
  </r>
  <r>
    <d v="2020-09-22T00:00:00"/>
    <x v="1"/>
    <x v="8"/>
    <x v="521"/>
    <x v="33"/>
    <x v="2"/>
    <x v="5"/>
    <x v="236"/>
    <x v="3944"/>
    <n v="4"/>
    <x v="3797"/>
  </r>
  <r>
    <d v="2020-09-22T00:00:00"/>
    <x v="1"/>
    <x v="8"/>
    <x v="180"/>
    <x v="12"/>
    <x v="1"/>
    <x v="3"/>
    <x v="902"/>
    <x v="3945"/>
    <n v="9"/>
    <x v="3798"/>
  </r>
  <r>
    <d v="2020-09-22T00:00:00"/>
    <x v="1"/>
    <x v="8"/>
    <x v="446"/>
    <x v="5"/>
    <x v="2"/>
    <x v="16"/>
    <x v="1369"/>
    <x v="3946"/>
    <n v="7"/>
    <x v="3799"/>
  </r>
  <r>
    <d v="2020-09-22T00:00:00"/>
    <x v="1"/>
    <x v="8"/>
    <x v="142"/>
    <x v="14"/>
    <x v="2"/>
    <x v="7"/>
    <x v="1663"/>
    <x v="2543"/>
    <n v="3"/>
    <x v="3800"/>
  </r>
  <r>
    <d v="2020-09-22T00:00:00"/>
    <x v="1"/>
    <x v="8"/>
    <x v="142"/>
    <x v="14"/>
    <x v="2"/>
    <x v="9"/>
    <x v="1664"/>
    <x v="3947"/>
    <n v="2"/>
    <x v="56"/>
  </r>
  <r>
    <d v="2020-09-22T00:00:00"/>
    <x v="1"/>
    <x v="8"/>
    <x v="277"/>
    <x v="2"/>
    <x v="2"/>
    <x v="10"/>
    <x v="86"/>
    <x v="3948"/>
    <n v="3"/>
    <x v="3801"/>
  </r>
  <r>
    <d v="2020-09-22T00:00:00"/>
    <x v="1"/>
    <x v="8"/>
    <x v="446"/>
    <x v="5"/>
    <x v="2"/>
    <x v="5"/>
    <x v="266"/>
    <x v="3949"/>
    <n v="1"/>
    <x v="3802"/>
  </r>
  <r>
    <d v="2020-09-22T00:00:00"/>
    <x v="1"/>
    <x v="8"/>
    <x v="567"/>
    <x v="1"/>
    <x v="2"/>
    <x v="16"/>
    <x v="407"/>
    <x v="2394"/>
    <n v="2"/>
    <x v="1696"/>
  </r>
  <r>
    <d v="2020-09-22T00:00:00"/>
    <x v="1"/>
    <x v="8"/>
    <x v="277"/>
    <x v="2"/>
    <x v="2"/>
    <x v="5"/>
    <x v="482"/>
    <x v="3950"/>
    <n v="7"/>
    <x v="3803"/>
  </r>
  <r>
    <d v="2020-09-22T00:00:00"/>
    <x v="1"/>
    <x v="8"/>
    <x v="521"/>
    <x v="33"/>
    <x v="1"/>
    <x v="3"/>
    <x v="202"/>
    <x v="3951"/>
    <n v="5"/>
    <x v="1977"/>
  </r>
  <r>
    <d v="2020-09-22T00:00:00"/>
    <x v="1"/>
    <x v="8"/>
    <x v="180"/>
    <x v="12"/>
    <x v="0"/>
    <x v="8"/>
    <x v="853"/>
    <x v="3952"/>
    <n v="1"/>
    <x v="3804"/>
  </r>
  <r>
    <d v="2020-09-22T00:00:00"/>
    <x v="1"/>
    <x v="8"/>
    <x v="738"/>
    <x v="12"/>
    <x v="2"/>
    <x v="5"/>
    <x v="1046"/>
    <x v="3953"/>
    <n v="3"/>
    <x v="3805"/>
  </r>
  <r>
    <d v="2020-09-22T00:00:00"/>
    <x v="1"/>
    <x v="8"/>
    <x v="579"/>
    <x v="44"/>
    <x v="2"/>
    <x v="9"/>
    <x v="426"/>
    <x v="3554"/>
    <n v="3"/>
    <x v="3806"/>
  </r>
  <r>
    <d v="2020-09-22T00:00:00"/>
    <x v="1"/>
    <x v="8"/>
    <x v="226"/>
    <x v="25"/>
    <x v="2"/>
    <x v="14"/>
    <x v="1102"/>
    <x v="3954"/>
    <n v="9"/>
    <x v="585"/>
  </r>
  <r>
    <d v="2020-09-22T00:00:00"/>
    <x v="1"/>
    <x v="8"/>
    <x v="278"/>
    <x v="7"/>
    <x v="2"/>
    <x v="5"/>
    <x v="1269"/>
    <x v="3955"/>
    <n v="8"/>
    <x v="3807"/>
  </r>
  <r>
    <d v="2020-09-23T00:00:00"/>
    <x v="1"/>
    <x v="8"/>
    <x v="637"/>
    <x v="1"/>
    <x v="2"/>
    <x v="5"/>
    <x v="1044"/>
    <x v="3956"/>
    <n v="3"/>
    <x v="3808"/>
  </r>
  <r>
    <d v="2020-09-23T00:00:00"/>
    <x v="1"/>
    <x v="8"/>
    <x v="84"/>
    <x v="9"/>
    <x v="2"/>
    <x v="13"/>
    <x v="1588"/>
    <x v="3904"/>
    <n v="2"/>
    <x v="2649"/>
  </r>
  <r>
    <d v="2020-09-23T00:00:00"/>
    <x v="1"/>
    <x v="8"/>
    <x v="599"/>
    <x v="1"/>
    <x v="2"/>
    <x v="13"/>
    <x v="657"/>
    <x v="3957"/>
    <n v="2"/>
    <x v="3809"/>
  </r>
  <r>
    <d v="2020-09-23T00:00:00"/>
    <x v="1"/>
    <x v="8"/>
    <x v="637"/>
    <x v="1"/>
    <x v="2"/>
    <x v="9"/>
    <x v="467"/>
    <x v="2514"/>
    <n v="8"/>
    <x v="3810"/>
  </r>
  <r>
    <d v="2020-09-23T00:00:00"/>
    <x v="1"/>
    <x v="8"/>
    <x v="200"/>
    <x v="22"/>
    <x v="0"/>
    <x v="0"/>
    <x v="746"/>
    <x v="3958"/>
    <n v="2"/>
    <x v="3811"/>
  </r>
  <r>
    <d v="2020-09-23T00:00:00"/>
    <x v="1"/>
    <x v="8"/>
    <x v="725"/>
    <x v="33"/>
    <x v="1"/>
    <x v="3"/>
    <x v="1407"/>
    <x v="3959"/>
    <n v="5"/>
    <x v="3812"/>
  </r>
  <r>
    <d v="2020-09-23T00:00:00"/>
    <x v="1"/>
    <x v="8"/>
    <x v="59"/>
    <x v="6"/>
    <x v="2"/>
    <x v="9"/>
    <x v="1616"/>
    <x v="3960"/>
    <n v="3"/>
    <x v="2725"/>
  </r>
  <r>
    <d v="2020-09-23T00:00:00"/>
    <x v="1"/>
    <x v="8"/>
    <x v="198"/>
    <x v="3"/>
    <x v="1"/>
    <x v="3"/>
    <x v="369"/>
    <x v="3961"/>
    <n v="4"/>
    <x v="3813"/>
  </r>
  <r>
    <d v="2020-09-23T00:00:00"/>
    <x v="1"/>
    <x v="8"/>
    <x v="637"/>
    <x v="1"/>
    <x v="0"/>
    <x v="11"/>
    <x v="1410"/>
    <x v="3962"/>
    <n v="2"/>
    <x v="3814"/>
  </r>
  <r>
    <d v="2020-09-23T00:00:00"/>
    <x v="1"/>
    <x v="8"/>
    <x v="84"/>
    <x v="9"/>
    <x v="2"/>
    <x v="5"/>
    <x v="802"/>
    <x v="2358"/>
    <n v="1"/>
    <x v="3815"/>
  </r>
  <r>
    <d v="2020-09-23T00:00:00"/>
    <x v="1"/>
    <x v="8"/>
    <x v="113"/>
    <x v="2"/>
    <x v="2"/>
    <x v="9"/>
    <x v="604"/>
    <x v="3963"/>
    <n v="2"/>
    <x v="1300"/>
  </r>
  <r>
    <d v="2020-09-23T00:00:00"/>
    <x v="1"/>
    <x v="8"/>
    <x v="382"/>
    <x v="22"/>
    <x v="2"/>
    <x v="10"/>
    <x v="1665"/>
    <x v="3964"/>
    <n v="3"/>
    <x v="517"/>
  </r>
  <r>
    <d v="2020-09-23T00:00:00"/>
    <x v="1"/>
    <x v="8"/>
    <x v="84"/>
    <x v="9"/>
    <x v="2"/>
    <x v="2"/>
    <x v="764"/>
    <x v="3965"/>
    <n v="3"/>
    <x v="3456"/>
  </r>
  <r>
    <d v="2020-09-23T00:00:00"/>
    <x v="1"/>
    <x v="8"/>
    <x v="725"/>
    <x v="33"/>
    <x v="2"/>
    <x v="9"/>
    <x v="265"/>
    <x v="3077"/>
    <n v="2"/>
    <x v="56"/>
  </r>
  <r>
    <d v="2020-09-23T00:00:00"/>
    <x v="1"/>
    <x v="8"/>
    <x v="599"/>
    <x v="1"/>
    <x v="2"/>
    <x v="5"/>
    <x v="1250"/>
    <x v="3966"/>
    <n v="6"/>
    <x v="3816"/>
  </r>
  <r>
    <d v="2020-09-23T00:00:00"/>
    <x v="1"/>
    <x v="8"/>
    <x v="85"/>
    <x v="17"/>
    <x v="2"/>
    <x v="9"/>
    <x v="598"/>
    <x v="3967"/>
    <n v="4"/>
    <x v="286"/>
  </r>
  <r>
    <d v="2020-09-23T00:00:00"/>
    <x v="1"/>
    <x v="8"/>
    <x v="200"/>
    <x v="22"/>
    <x v="1"/>
    <x v="3"/>
    <x v="1204"/>
    <x v="2190"/>
    <n v="2"/>
    <x v="3817"/>
  </r>
  <r>
    <d v="2020-09-23T00:00:00"/>
    <x v="1"/>
    <x v="8"/>
    <x v="85"/>
    <x v="17"/>
    <x v="1"/>
    <x v="1"/>
    <x v="1666"/>
    <x v="3968"/>
    <n v="2"/>
    <x v="3818"/>
  </r>
  <r>
    <d v="2020-09-23T00:00:00"/>
    <x v="1"/>
    <x v="8"/>
    <x v="293"/>
    <x v="22"/>
    <x v="0"/>
    <x v="8"/>
    <x v="966"/>
    <x v="3969"/>
    <n v="3"/>
    <x v="1277"/>
  </r>
  <r>
    <d v="2020-09-23T00:00:00"/>
    <x v="1"/>
    <x v="8"/>
    <x v="85"/>
    <x v="17"/>
    <x v="2"/>
    <x v="13"/>
    <x v="504"/>
    <x v="3970"/>
    <n v="6"/>
    <x v="3819"/>
  </r>
  <r>
    <d v="2020-09-24T00:00:00"/>
    <x v="1"/>
    <x v="8"/>
    <x v="111"/>
    <x v="14"/>
    <x v="1"/>
    <x v="1"/>
    <x v="172"/>
    <x v="3971"/>
    <n v="2"/>
    <x v="3820"/>
  </r>
  <r>
    <d v="2020-09-24T00:00:00"/>
    <x v="1"/>
    <x v="8"/>
    <x v="57"/>
    <x v="27"/>
    <x v="1"/>
    <x v="3"/>
    <x v="1177"/>
    <x v="3678"/>
    <n v="4"/>
    <x v="1749"/>
  </r>
  <r>
    <d v="2020-09-24T00:00:00"/>
    <x v="1"/>
    <x v="8"/>
    <x v="472"/>
    <x v="8"/>
    <x v="0"/>
    <x v="8"/>
    <x v="458"/>
    <x v="3972"/>
    <n v="3"/>
    <x v="3821"/>
  </r>
  <r>
    <d v="2020-09-24T00:00:00"/>
    <x v="1"/>
    <x v="8"/>
    <x v="194"/>
    <x v="9"/>
    <x v="0"/>
    <x v="8"/>
    <x v="444"/>
    <x v="3973"/>
    <n v="10"/>
    <x v="3822"/>
  </r>
  <r>
    <d v="2020-09-24T00:00:00"/>
    <x v="1"/>
    <x v="8"/>
    <x v="190"/>
    <x v="6"/>
    <x v="2"/>
    <x v="14"/>
    <x v="1169"/>
    <x v="3974"/>
    <n v="3"/>
    <x v="3823"/>
  </r>
  <r>
    <d v="2020-09-24T00:00:00"/>
    <x v="1"/>
    <x v="8"/>
    <x v="540"/>
    <x v="26"/>
    <x v="1"/>
    <x v="1"/>
    <x v="585"/>
    <x v="3975"/>
    <n v="2"/>
    <x v="3824"/>
  </r>
  <r>
    <d v="2020-09-24T00:00:00"/>
    <x v="1"/>
    <x v="8"/>
    <x v="55"/>
    <x v="6"/>
    <x v="1"/>
    <x v="1"/>
    <x v="1399"/>
    <x v="3976"/>
    <n v="5"/>
    <x v="3825"/>
  </r>
  <r>
    <d v="2020-09-24T00:00:00"/>
    <x v="1"/>
    <x v="8"/>
    <x v="540"/>
    <x v="26"/>
    <x v="1"/>
    <x v="1"/>
    <x v="1015"/>
    <x v="3977"/>
    <n v="3"/>
    <x v="1385"/>
  </r>
  <r>
    <d v="2020-09-24T00:00:00"/>
    <x v="1"/>
    <x v="8"/>
    <x v="583"/>
    <x v="1"/>
    <x v="1"/>
    <x v="15"/>
    <x v="1667"/>
    <x v="3978"/>
    <n v="3"/>
    <x v="3826"/>
  </r>
  <r>
    <d v="2020-09-24T00:00:00"/>
    <x v="1"/>
    <x v="8"/>
    <x v="137"/>
    <x v="17"/>
    <x v="0"/>
    <x v="11"/>
    <x v="1410"/>
    <x v="3979"/>
    <n v="2"/>
    <x v="3827"/>
  </r>
  <r>
    <d v="2020-09-24T00:00:00"/>
    <x v="1"/>
    <x v="8"/>
    <x v="57"/>
    <x v="27"/>
    <x v="0"/>
    <x v="11"/>
    <x v="271"/>
    <x v="3980"/>
    <n v="4"/>
    <x v="3828"/>
  </r>
  <r>
    <d v="2020-09-24T00:00:00"/>
    <x v="1"/>
    <x v="8"/>
    <x v="57"/>
    <x v="27"/>
    <x v="1"/>
    <x v="3"/>
    <x v="1414"/>
    <x v="3981"/>
    <n v="5"/>
    <x v="3829"/>
  </r>
  <r>
    <d v="2020-09-24T00:00:00"/>
    <x v="1"/>
    <x v="8"/>
    <x v="583"/>
    <x v="1"/>
    <x v="1"/>
    <x v="1"/>
    <x v="584"/>
    <x v="3982"/>
    <n v="3"/>
    <x v="1523"/>
  </r>
  <r>
    <d v="2020-09-24T00:00:00"/>
    <x v="1"/>
    <x v="8"/>
    <x v="432"/>
    <x v="8"/>
    <x v="1"/>
    <x v="1"/>
    <x v="213"/>
    <x v="3983"/>
    <n v="3"/>
    <x v="3830"/>
  </r>
  <r>
    <d v="2020-09-24T00:00:00"/>
    <x v="1"/>
    <x v="8"/>
    <x v="378"/>
    <x v="1"/>
    <x v="2"/>
    <x v="16"/>
    <x v="308"/>
    <x v="3984"/>
    <n v="2"/>
    <x v="3831"/>
  </r>
  <r>
    <d v="2020-09-24T00:00:00"/>
    <x v="1"/>
    <x v="8"/>
    <x v="137"/>
    <x v="17"/>
    <x v="2"/>
    <x v="9"/>
    <x v="1668"/>
    <x v="3985"/>
    <n v="3"/>
    <x v="3832"/>
  </r>
  <r>
    <d v="2020-09-24T00:00:00"/>
    <x v="1"/>
    <x v="8"/>
    <x v="111"/>
    <x v="14"/>
    <x v="2"/>
    <x v="7"/>
    <x v="354"/>
    <x v="3986"/>
    <n v="3"/>
    <x v="3833"/>
  </r>
  <r>
    <d v="2020-09-24T00:00:00"/>
    <x v="1"/>
    <x v="8"/>
    <x v="55"/>
    <x v="6"/>
    <x v="2"/>
    <x v="5"/>
    <x v="519"/>
    <x v="3987"/>
    <n v="3"/>
    <x v="3834"/>
  </r>
  <r>
    <d v="2020-09-24T00:00:00"/>
    <x v="1"/>
    <x v="8"/>
    <x v="111"/>
    <x v="14"/>
    <x v="2"/>
    <x v="14"/>
    <x v="811"/>
    <x v="3988"/>
    <n v="5"/>
    <x v="3835"/>
  </r>
  <r>
    <d v="2020-09-24T00:00:00"/>
    <x v="1"/>
    <x v="8"/>
    <x v="111"/>
    <x v="14"/>
    <x v="2"/>
    <x v="7"/>
    <x v="422"/>
    <x v="2646"/>
    <n v="4"/>
    <x v="3832"/>
  </r>
  <r>
    <d v="2020-09-24T00:00:00"/>
    <x v="1"/>
    <x v="8"/>
    <x v="111"/>
    <x v="14"/>
    <x v="2"/>
    <x v="2"/>
    <x v="1135"/>
    <x v="3989"/>
    <n v="1"/>
    <x v="3791"/>
  </r>
  <r>
    <d v="2020-09-24T00:00:00"/>
    <x v="1"/>
    <x v="8"/>
    <x v="190"/>
    <x v="6"/>
    <x v="1"/>
    <x v="3"/>
    <x v="181"/>
    <x v="3990"/>
    <n v="3"/>
    <x v="3836"/>
  </r>
  <r>
    <d v="2020-09-24T00:00:00"/>
    <x v="1"/>
    <x v="8"/>
    <x v="17"/>
    <x v="14"/>
    <x v="2"/>
    <x v="2"/>
    <x v="1321"/>
    <x v="3991"/>
    <n v="3"/>
    <x v="3837"/>
  </r>
  <r>
    <d v="2020-09-24T00:00:00"/>
    <x v="1"/>
    <x v="8"/>
    <x v="17"/>
    <x v="14"/>
    <x v="2"/>
    <x v="5"/>
    <x v="897"/>
    <x v="3992"/>
    <n v="7"/>
    <x v="3838"/>
  </r>
  <r>
    <d v="2020-09-24T00:00:00"/>
    <x v="1"/>
    <x v="8"/>
    <x v="378"/>
    <x v="1"/>
    <x v="2"/>
    <x v="9"/>
    <x v="876"/>
    <x v="3993"/>
    <n v="6"/>
    <x v="3839"/>
  </r>
  <r>
    <d v="2020-09-25T00:00:00"/>
    <x v="1"/>
    <x v="8"/>
    <x v="162"/>
    <x v="8"/>
    <x v="1"/>
    <x v="3"/>
    <x v="45"/>
    <x v="3994"/>
    <n v="5"/>
    <x v="3840"/>
  </r>
  <r>
    <d v="2020-09-25T00:00:00"/>
    <x v="1"/>
    <x v="8"/>
    <x v="267"/>
    <x v="18"/>
    <x v="2"/>
    <x v="2"/>
    <x v="800"/>
    <x v="3995"/>
    <n v="5"/>
    <x v="3841"/>
  </r>
  <r>
    <d v="2020-09-25T00:00:00"/>
    <x v="1"/>
    <x v="8"/>
    <x v="342"/>
    <x v="5"/>
    <x v="2"/>
    <x v="16"/>
    <x v="703"/>
    <x v="3996"/>
    <n v="2"/>
    <x v="3842"/>
  </r>
  <r>
    <d v="2020-09-25T00:00:00"/>
    <x v="1"/>
    <x v="8"/>
    <x v="413"/>
    <x v="27"/>
    <x v="0"/>
    <x v="11"/>
    <x v="752"/>
    <x v="3997"/>
    <n v="3"/>
    <x v="3843"/>
  </r>
  <r>
    <d v="2020-09-25T00:00:00"/>
    <x v="1"/>
    <x v="8"/>
    <x v="546"/>
    <x v="12"/>
    <x v="0"/>
    <x v="11"/>
    <x v="49"/>
    <x v="3998"/>
    <n v="3"/>
    <x v="3844"/>
  </r>
  <r>
    <d v="2020-09-25T00:00:00"/>
    <x v="1"/>
    <x v="8"/>
    <x v="413"/>
    <x v="27"/>
    <x v="2"/>
    <x v="5"/>
    <x v="1269"/>
    <x v="3999"/>
    <n v="2"/>
    <x v="1226"/>
  </r>
  <r>
    <d v="2020-09-25T00:00:00"/>
    <x v="1"/>
    <x v="8"/>
    <x v="342"/>
    <x v="5"/>
    <x v="2"/>
    <x v="5"/>
    <x v="1618"/>
    <x v="4000"/>
    <n v="5"/>
    <x v="3845"/>
  </r>
  <r>
    <d v="2020-09-25T00:00:00"/>
    <x v="1"/>
    <x v="8"/>
    <x v="546"/>
    <x v="12"/>
    <x v="2"/>
    <x v="7"/>
    <x v="586"/>
    <x v="4001"/>
    <n v="2"/>
    <x v="683"/>
  </r>
  <r>
    <d v="2020-09-25T00:00:00"/>
    <x v="1"/>
    <x v="8"/>
    <x v="162"/>
    <x v="8"/>
    <x v="2"/>
    <x v="7"/>
    <x v="715"/>
    <x v="4002"/>
    <n v="6"/>
    <x v="3846"/>
  </r>
  <r>
    <d v="2020-09-25T00:00:00"/>
    <x v="1"/>
    <x v="8"/>
    <x v="546"/>
    <x v="12"/>
    <x v="2"/>
    <x v="14"/>
    <x v="1050"/>
    <x v="4003"/>
    <n v="2"/>
    <x v="336"/>
  </r>
  <r>
    <d v="2020-09-25T00:00:00"/>
    <x v="1"/>
    <x v="8"/>
    <x v="626"/>
    <x v="8"/>
    <x v="2"/>
    <x v="10"/>
    <x v="221"/>
    <x v="4004"/>
    <n v="4"/>
    <x v="3600"/>
  </r>
  <r>
    <d v="2020-09-25T00:00:00"/>
    <x v="1"/>
    <x v="8"/>
    <x v="585"/>
    <x v="45"/>
    <x v="2"/>
    <x v="2"/>
    <x v="1447"/>
    <x v="235"/>
    <n v="5"/>
    <x v="376"/>
  </r>
  <r>
    <d v="2020-09-25T00:00:00"/>
    <x v="1"/>
    <x v="8"/>
    <x v="546"/>
    <x v="12"/>
    <x v="0"/>
    <x v="8"/>
    <x v="414"/>
    <x v="4005"/>
    <n v="8"/>
    <x v="3847"/>
  </r>
  <r>
    <d v="2020-09-26T00:00:00"/>
    <x v="1"/>
    <x v="8"/>
    <x v="105"/>
    <x v="6"/>
    <x v="0"/>
    <x v="11"/>
    <x v="454"/>
    <x v="4006"/>
    <n v="4"/>
    <x v="3848"/>
  </r>
  <r>
    <d v="2020-09-26T00:00:00"/>
    <x v="1"/>
    <x v="8"/>
    <x v="371"/>
    <x v="1"/>
    <x v="2"/>
    <x v="5"/>
    <x v="1614"/>
    <x v="4007"/>
    <n v="3"/>
    <x v="3849"/>
  </r>
  <r>
    <d v="2020-09-26T00:00:00"/>
    <x v="1"/>
    <x v="8"/>
    <x v="616"/>
    <x v="29"/>
    <x v="2"/>
    <x v="7"/>
    <x v="204"/>
    <x v="4008"/>
    <n v="1"/>
    <x v="3850"/>
  </r>
  <r>
    <d v="2020-09-26T00:00:00"/>
    <x v="1"/>
    <x v="8"/>
    <x v="371"/>
    <x v="1"/>
    <x v="0"/>
    <x v="8"/>
    <x v="1458"/>
    <x v="4009"/>
    <n v="3"/>
    <x v="1543"/>
  </r>
  <r>
    <d v="2020-09-26T00:00:00"/>
    <x v="1"/>
    <x v="8"/>
    <x v="371"/>
    <x v="1"/>
    <x v="2"/>
    <x v="5"/>
    <x v="285"/>
    <x v="4010"/>
    <n v="3"/>
    <x v="308"/>
  </r>
  <r>
    <d v="2020-09-26T00:00:00"/>
    <x v="1"/>
    <x v="8"/>
    <x v="371"/>
    <x v="1"/>
    <x v="2"/>
    <x v="9"/>
    <x v="1053"/>
    <x v="2380"/>
    <n v="6"/>
    <x v="1452"/>
  </r>
  <r>
    <d v="2020-09-26T00:00:00"/>
    <x v="1"/>
    <x v="8"/>
    <x v="371"/>
    <x v="1"/>
    <x v="2"/>
    <x v="10"/>
    <x v="86"/>
    <x v="4011"/>
    <n v="6"/>
    <x v="3851"/>
  </r>
  <r>
    <d v="2020-09-28T00:00:00"/>
    <x v="1"/>
    <x v="8"/>
    <x v="646"/>
    <x v="22"/>
    <x v="2"/>
    <x v="5"/>
    <x v="514"/>
    <x v="2270"/>
    <n v="4"/>
    <x v="3852"/>
  </r>
  <r>
    <d v="2020-09-28T00:00:00"/>
    <x v="1"/>
    <x v="8"/>
    <x v="646"/>
    <x v="22"/>
    <x v="2"/>
    <x v="2"/>
    <x v="281"/>
    <x v="4012"/>
    <n v="2"/>
    <x v="3626"/>
  </r>
  <r>
    <d v="2020-09-28T00:00:00"/>
    <x v="1"/>
    <x v="8"/>
    <x v="646"/>
    <x v="22"/>
    <x v="2"/>
    <x v="13"/>
    <x v="581"/>
    <x v="4013"/>
    <n v="2"/>
    <x v="3853"/>
  </r>
  <r>
    <d v="2020-09-28T00:00:00"/>
    <x v="1"/>
    <x v="8"/>
    <x v="81"/>
    <x v="1"/>
    <x v="0"/>
    <x v="8"/>
    <x v="1111"/>
    <x v="4014"/>
    <n v="3"/>
    <x v="3854"/>
  </r>
  <r>
    <d v="2020-09-28T00:00:00"/>
    <x v="1"/>
    <x v="8"/>
    <x v="592"/>
    <x v="6"/>
    <x v="2"/>
    <x v="9"/>
    <x v="1627"/>
    <x v="4015"/>
    <n v="2"/>
    <x v="288"/>
  </r>
  <r>
    <d v="2020-09-28T00:00:00"/>
    <x v="1"/>
    <x v="8"/>
    <x v="548"/>
    <x v="5"/>
    <x v="2"/>
    <x v="5"/>
    <x v="774"/>
    <x v="4016"/>
    <n v="1"/>
    <x v="3855"/>
  </r>
  <r>
    <d v="2020-09-28T00:00:00"/>
    <x v="1"/>
    <x v="8"/>
    <x v="646"/>
    <x v="22"/>
    <x v="2"/>
    <x v="9"/>
    <x v="1558"/>
    <x v="4017"/>
    <n v="3"/>
    <x v="517"/>
  </r>
  <r>
    <d v="2020-09-28T00:00:00"/>
    <x v="1"/>
    <x v="8"/>
    <x v="534"/>
    <x v="2"/>
    <x v="2"/>
    <x v="16"/>
    <x v="311"/>
    <x v="4018"/>
    <n v="1"/>
    <x v="3856"/>
  </r>
  <r>
    <d v="2020-09-28T00:00:00"/>
    <x v="1"/>
    <x v="8"/>
    <x v="646"/>
    <x v="22"/>
    <x v="1"/>
    <x v="3"/>
    <x v="1243"/>
    <x v="4019"/>
    <n v="2"/>
    <x v="3857"/>
  </r>
  <r>
    <d v="2020-09-28T00:00:00"/>
    <x v="1"/>
    <x v="8"/>
    <x v="646"/>
    <x v="22"/>
    <x v="0"/>
    <x v="8"/>
    <x v="900"/>
    <x v="4020"/>
    <n v="1"/>
    <x v="3858"/>
  </r>
  <r>
    <d v="2020-09-29T00:00:00"/>
    <x v="1"/>
    <x v="8"/>
    <x v="701"/>
    <x v="8"/>
    <x v="0"/>
    <x v="11"/>
    <x v="1206"/>
    <x v="4021"/>
    <n v="1"/>
    <x v="3859"/>
  </r>
  <r>
    <d v="2020-09-29T00:00:00"/>
    <x v="1"/>
    <x v="8"/>
    <x v="68"/>
    <x v="1"/>
    <x v="0"/>
    <x v="8"/>
    <x v="294"/>
    <x v="4022"/>
    <n v="1"/>
    <x v="937"/>
  </r>
  <r>
    <d v="2020-09-29T00:00:00"/>
    <x v="1"/>
    <x v="8"/>
    <x v="273"/>
    <x v="1"/>
    <x v="2"/>
    <x v="16"/>
    <x v="555"/>
    <x v="3984"/>
    <n v="7"/>
    <x v="3860"/>
  </r>
  <r>
    <d v="2020-09-29T00:00:00"/>
    <x v="1"/>
    <x v="8"/>
    <x v="68"/>
    <x v="1"/>
    <x v="2"/>
    <x v="13"/>
    <x v="418"/>
    <x v="1863"/>
    <n v="2"/>
    <x v="3461"/>
  </r>
  <r>
    <d v="2020-09-29T00:00:00"/>
    <x v="1"/>
    <x v="8"/>
    <x v="707"/>
    <x v="1"/>
    <x v="2"/>
    <x v="7"/>
    <x v="1113"/>
    <x v="4023"/>
    <n v="5"/>
    <x v="3861"/>
  </r>
  <r>
    <d v="2020-09-29T00:00:00"/>
    <x v="1"/>
    <x v="8"/>
    <x v="701"/>
    <x v="8"/>
    <x v="1"/>
    <x v="3"/>
    <x v="910"/>
    <x v="4024"/>
    <n v="3"/>
    <x v="3862"/>
  </r>
  <r>
    <d v="2020-09-29T00:00:00"/>
    <x v="1"/>
    <x v="8"/>
    <x v="210"/>
    <x v="21"/>
    <x v="2"/>
    <x v="2"/>
    <x v="1290"/>
    <x v="4025"/>
    <n v="5"/>
    <x v="3863"/>
  </r>
  <r>
    <d v="2020-09-29T00:00:00"/>
    <x v="1"/>
    <x v="8"/>
    <x v="494"/>
    <x v="2"/>
    <x v="1"/>
    <x v="15"/>
    <x v="1669"/>
    <x v="4026"/>
    <n v="3"/>
    <x v="3864"/>
  </r>
  <r>
    <d v="2020-09-29T00:00:00"/>
    <x v="1"/>
    <x v="8"/>
    <x v="701"/>
    <x v="8"/>
    <x v="0"/>
    <x v="4"/>
    <x v="1670"/>
    <x v="4027"/>
    <n v="2"/>
    <x v="3865"/>
  </r>
  <r>
    <d v="2020-09-29T00:00:00"/>
    <x v="1"/>
    <x v="8"/>
    <x v="701"/>
    <x v="8"/>
    <x v="2"/>
    <x v="9"/>
    <x v="349"/>
    <x v="4028"/>
    <n v="3"/>
    <x v="29"/>
  </r>
  <r>
    <d v="2020-09-29T00:00:00"/>
    <x v="1"/>
    <x v="8"/>
    <x v="494"/>
    <x v="2"/>
    <x v="2"/>
    <x v="14"/>
    <x v="445"/>
    <x v="4029"/>
    <n v="2"/>
    <x v="3866"/>
  </r>
  <r>
    <d v="2020-09-29T00:00:00"/>
    <x v="1"/>
    <x v="8"/>
    <x v="602"/>
    <x v="12"/>
    <x v="2"/>
    <x v="10"/>
    <x v="1406"/>
    <x v="3931"/>
    <n v="3"/>
    <x v="3867"/>
  </r>
  <r>
    <d v="2020-09-29T00:00:00"/>
    <x v="1"/>
    <x v="8"/>
    <x v="446"/>
    <x v="12"/>
    <x v="2"/>
    <x v="10"/>
    <x v="86"/>
    <x v="4030"/>
    <n v="3"/>
    <x v="3868"/>
  </r>
  <r>
    <d v="2020-09-29T00:00:00"/>
    <x v="1"/>
    <x v="8"/>
    <x v="494"/>
    <x v="2"/>
    <x v="2"/>
    <x v="10"/>
    <x v="1637"/>
    <x v="4031"/>
    <n v="4"/>
    <x v="3869"/>
  </r>
  <r>
    <d v="2020-09-29T00:00:00"/>
    <x v="1"/>
    <x v="8"/>
    <x v="701"/>
    <x v="8"/>
    <x v="0"/>
    <x v="8"/>
    <x v="1051"/>
    <x v="4032"/>
    <n v="4"/>
    <x v="3870"/>
  </r>
  <r>
    <d v="2020-09-29T00:00:00"/>
    <x v="1"/>
    <x v="8"/>
    <x v="701"/>
    <x v="8"/>
    <x v="2"/>
    <x v="9"/>
    <x v="895"/>
    <x v="4033"/>
    <n v="2"/>
    <x v="1350"/>
  </r>
  <r>
    <d v="2020-09-29T00:00:00"/>
    <x v="1"/>
    <x v="8"/>
    <x v="446"/>
    <x v="12"/>
    <x v="2"/>
    <x v="9"/>
    <x v="143"/>
    <x v="4034"/>
    <n v="5"/>
    <x v="3871"/>
  </r>
  <r>
    <d v="2020-09-29T00:00:00"/>
    <x v="1"/>
    <x v="8"/>
    <x v="68"/>
    <x v="1"/>
    <x v="2"/>
    <x v="5"/>
    <x v="733"/>
    <x v="4035"/>
    <n v="2"/>
    <x v="3872"/>
  </r>
  <r>
    <d v="2020-09-29T00:00:00"/>
    <x v="1"/>
    <x v="8"/>
    <x v="68"/>
    <x v="1"/>
    <x v="2"/>
    <x v="12"/>
    <x v="343"/>
    <x v="4036"/>
    <n v="7"/>
    <x v="3512"/>
  </r>
  <r>
    <d v="2020-09-29T00:00:00"/>
    <x v="1"/>
    <x v="8"/>
    <x v="739"/>
    <x v="8"/>
    <x v="2"/>
    <x v="2"/>
    <x v="408"/>
    <x v="4037"/>
    <n v="2"/>
    <x v="2473"/>
  </r>
  <r>
    <d v="2020-09-29T00:00:00"/>
    <x v="1"/>
    <x v="8"/>
    <x v="68"/>
    <x v="1"/>
    <x v="0"/>
    <x v="11"/>
    <x v="810"/>
    <x v="4038"/>
    <n v="1"/>
    <x v="72"/>
  </r>
  <r>
    <d v="2020-09-30T00:00:00"/>
    <x v="1"/>
    <x v="8"/>
    <x v="231"/>
    <x v="0"/>
    <x v="2"/>
    <x v="9"/>
    <x v="1283"/>
    <x v="4039"/>
    <n v="3"/>
    <x v="3752"/>
  </r>
  <r>
    <d v="2020-09-30T00:00:00"/>
    <x v="1"/>
    <x v="8"/>
    <x v="653"/>
    <x v="9"/>
    <x v="2"/>
    <x v="9"/>
    <x v="32"/>
    <x v="4040"/>
    <n v="3"/>
    <x v="3873"/>
  </r>
  <r>
    <d v="2020-09-30T00:00:00"/>
    <x v="1"/>
    <x v="8"/>
    <x v="30"/>
    <x v="1"/>
    <x v="1"/>
    <x v="3"/>
    <x v="642"/>
    <x v="4041"/>
    <n v="2"/>
    <x v="3874"/>
  </r>
  <r>
    <d v="2020-09-30T00:00:00"/>
    <x v="1"/>
    <x v="8"/>
    <x v="653"/>
    <x v="9"/>
    <x v="2"/>
    <x v="9"/>
    <x v="284"/>
    <x v="3788"/>
    <n v="2"/>
    <x v="2465"/>
  </r>
  <r>
    <d v="2020-09-30T00:00:00"/>
    <x v="1"/>
    <x v="8"/>
    <x v="653"/>
    <x v="9"/>
    <x v="2"/>
    <x v="13"/>
    <x v="191"/>
    <x v="4042"/>
    <n v="1"/>
    <x v="3875"/>
  </r>
  <r>
    <d v="2020-09-30T00:00:00"/>
    <x v="1"/>
    <x v="8"/>
    <x v="42"/>
    <x v="2"/>
    <x v="2"/>
    <x v="5"/>
    <x v="523"/>
    <x v="4043"/>
    <n v="9"/>
    <x v="3876"/>
  </r>
  <r>
    <d v="2020-09-30T00:00:00"/>
    <x v="1"/>
    <x v="8"/>
    <x v="580"/>
    <x v="5"/>
    <x v="2"/>
    <x v="14"/>
    <x v="1671"/>
    <x v="4044"/>
    <n v="7"/>
    <x v="3877"/>
  </r>
  <r>
    <d v="2020-10-01T00:00:00"/>
    <x v="1"/>
    <x v="9"/>
    <x v="609"/>
    <x v="9"/>
    <x v="2"/>
    <x v="9"/>
    <x v="1672"/>
    <x v="4045"/>
    <n v="8"/>
    <x v="3878"/>
  </r>
  <r>
    <d v="2020-10-01T00:00:00"/>
    <x v="1"/>
    <x v="9"/>
    <x v="609"/>
    <x v="9"/>
    <x v="2"/>
    <x v="5"/>
    <x v="1281"/>
    <x v="4046"/>
    <n v="7"/>
    <x v="3879"/>
  </r>
  <r>
    <d v="2020-10-01T00:00:00"/>
    <x v="1"/>
    <x v="9"/>
    <x v="589"/>
    <x v="1"/>
    <x v="0"/>
    <x v="11"/>
    <x v="1145"/>
    <x v="4047"/>
    <n v="4"/>
    <x v="3880"/>
  </r>
  <r>
    <d v="2020-10-01T00:00:00"/>
    <x v="1"/>
    <x v="9"/>
    <x v="66"/>
    <x v="34"/>
    <x v="2"/>
    <x v="9"/>
    <x v="574"/>
    <x v="4048"/>
    <n v="1"/>
    <x v="838"/>
  </r>
  <r>
    <d v="2020-10-01T00:00:00"/>
    <x v="1"/>
    <x v="9"/>
    <x v="213"/>
    <x v="1"/>
    <x v="1"/>
    <x v="3"/>
    <x v="1592"/>
    <x v="4049"/>
    <n v="5"/>
    <x v="3881"/>
  </r>
  <r>
    <d v="2020-10-01T00:00:00"/>
    <x v="1"/>
    <x v="9"/>
    <x v="589"/>
    <x v="1"/>
    <x v="2"/>
    <x v="13"/>
    <x v="1313"/>
    <x v="4050"/>
    <n v="2"/>
    <x v="3882"/>
  </r>
  <r>
    <d v="2020-10-01T00:00:00"/>
    <x v="1"/>
    <x v="9"/>
    <x v="609"/>
    <x v="9"/>
    <x v="0"/>
    <x v="11"/>
    <x v="1208"/>
    <x v="4051"/>
    <n v="3"/>
    <x v="72"/>
  </r>
  <r>
    <d v="2020-10-01T00:00:00"/>
    <x v="1"/>
    <x v="9"/>
    <x v="404"/>
    <x v="12"/>
    <x v="1"/>
    <x v="15"/>
    <x v="570"/>
    <x v="4052"/>
    <n v="11"/>
    <x v="3883"/>
  </r>
  <r>
    <d v="2020-10-01T00:00:00"/>
    <x v="1"/>
    <x v="9"/>
    <x v="589"/>
    <x v="1"/>
    <x v="2"/>
    <x v="5"/>
    <x v="820"/>
    <x v="4053"/>
    <n v="1"/>
    <x v="295"/>
  </r>
  <r>
    <d v="2020-10-01T00:00:00"/>
    <x v="1"/>
    <x v="9"/>
    <x v="609"/>
    <x v="9"/>
    <x v="2"/>
    <x v="9"/>
    <x v="494"/>
    <x v="2841"/>
    <n v="3"/>
    <x v="397"/>
  </r>
  <r>
    <d v="2020-10-01T00:00:00"/>
    <x v="1"/>
    <x v="9"/>
    <x v="388"/>
    <x v="2"/>
    <x v="2"/>
    <x v="7"/>
    <x v="1673"/>
    <x v="4054"/>
    <n v="6"/>
    <x v="3884"/>
  </r>
  <r>
    <d v="2020-10-01T00:00:00"/>
    <x v="1"/>
    <x v="9"/>
    <x v="589"/>
    <x v="1"/>
    <x v="2"/>
    <x v="5"/>
    <x v="7"/>
    <x v="4055"/>
    <n v="13"/>
    <x v="3885"/>
  </r>
  <r>
    <d v="2020-10-02T00:00:00"/>
    <x v="1"/>
    <x v="9"/>
    <x v="346"/>
    <x v="25"/>
    <x v="2"/>
    <x v="7"/>
    <x v="1649"/>
    <x v="2170"/>
    <n v="7"/>
    <x v="3886"/>
  </r>
  <r>
    <d v="2020-10-02T00:00:00"/>
    <x v="1"/>
    <x v="9"/>
    <x v="99"/>
    <x v="12"/>
    <x v="1"/>
    <x v="1"/>
    <x v="1647"/>
    <x v="4056"/>
    <n v="1"/>
    <x v="3142"/>
  </r>
  <r>
    <d v="2020-10-02T00:00:00"/>
    <x v="1"/>
    <x v="9"/>
    <x v="716"/>
    <x v="9"/>
    <x v="1"/>
    <x v="1"/>
    <x v="258"/>
    <x v="4057"/>
    <n v="2"/>
    <x v="279"/>
  </r>
  <r>
    <d v="2020-10-02T00:00:00"/>
    <x v="1"/>
    <x v="9"/>
    <x v="740"/>
    <x v="29"/>
    <x v="2"/>
    <x v="7"/>
    <x v="182"/>
    <x v="4058"/>
    <n v="7"/>
    <x v="3887"/>
  </r>
  <r>
    <d v="2020-10-02T00:00:00"/>
    <x v="1"/>
    <x v="9"/>
    <x v="78"/>
    <x v="1"/>
    <x v="2"/>
    <x v="5"/>
    <x v="410"/>
    <x v="4059"/>
    <n v="5"/>
    <x v="3888"/>
  </r>
  <r>
    <d v="2020-10-02T00:00:00"/>
    <x v="1"/>
    <x v="9"/>
    <x v="346"/>
    <x v="25"/>
    <x v="0"/>
    <x v="8"/>
    <x v="1674"/>
    <x v="4060"/>
    <n v="11"/>
    <x v="3889"/>
  </r>
  <r>
    <d v="2020-10-02T00:00:00"/>
    <x v="1"/>
    <x v="9"/>
    <x v="740"/>
    <x v="29"/>
    <x v="0"/>
    <x v="0"/>
    <x v="1492"/>
    <x v="4061"/>
    <n v="6"/>
    <x v="3890"/>
  </r>
  <r>
    <d v="2020-10-02T00:00:00"/>
    <x v="1"/>
    <x v="9"/>
    <x v="677"/>
    <x v="1"/>
    <x v="1"/>
    <x v="15"/>
    <x v="1645"/>
    <x v="4062"/>
    <n v="11"/>
    <x v="3891"/>
  </r>
  <r>
    <d v="2020-10-02T00:00:00"/>
    <x v="1"/>
    <x v="9"/>
    <x v="78"/>
    <x v="1"/>
    <x v="2"/>
    <x v="2"/>
    <x v="121"/>
    <x v="4063"/>
    <n v="7"/>
    <x v="3892"/>
  </r>
  <r>
    <d v="2020-10-02T00:00:00"/>
    <x v="1"/>
    <x v="9"/>
    <x v="18"/>
    <x v="21"/>
    <x v="0"/>
    <x v="4"/>
    <x v="1327"/>
    <x v="4064"/>
    <n v="7"/>
    <x v="3893"/>
  </r>
  <r>
    <d v="2020-10-02T00:00:00"/>
    <x v="1"/>
    <x v="9"/>
    <x v="346"/>
    <x v="25"/>
    <x v="2"/>
    <x v="5"/>
    <x v="81"/>
    <x v="4065"/>
    <n v="1"/>
    <x v="3894"/>
  </r>
  <r>
    <d v="2020-10-02T00:00:00"/>
    <x v="1"/>
    <x v="9"/>
    <x v="716"/>
    <x v="9"/>
    <x v="2"/>
    <x v="12"/>
    <x v="163"/>
    <x v="4066"/>
    <n v="3"/>
    <x v="3895"/>
  </r>
  <r>
    <d v="2020-10-02T00:00:00"/>
    <x v="1"/>
    <x v="9"/>
    <x v="18"/>
    <x v="21"/>
    <x v="0"/>
    <x v="8"/>
    <x v="853"/>
    <x v="4067"/>
    <n v="1"/>
    <x v="3896"/>
  </r>
  <r>
    <d v="2020-10-02T00:00:00"/>
    <x v="1"/>
    <x v="9"/>
    <x v="358"/>
    <x v="2"/>
    <x v="2"/>
    <x v="13"/>
    <x v="1364"/>
    <x v="4068"/>
    <n v="2"/>
    <x v="2294"/>
  </r>
  <r>
    <d v="2020-10-02T00:00:00"/>
    <x v="1"/>
    <x v="9"/>
    <x v="18"/>
    <x v="21"/>
    <x v="0"/>
    <x v="8"/>
    <x v="269"/>
    <x v="4069"/>
    <n v="2"/>
    <x v="3897"/>
  </r>
  <r>
    <d v="2020-10-02T00:00:00"/>
    <x v="1"/>
    <x v="9"/>
    <x v="18"/>
    <x v="21"/>
    <x v="0"/>
    <x v="8"/>
    <x v="714"/>
    <x v="4070"/>
    <n v="2"/>
    <x v="3898"/>
  </r>
  <r>
    <d v="2020-10-02T00:00:00"/>
    <x v="1"/>
    <x v="9"/>
    <x v="18"/>
    <x v="21"/>
    <x v="2"/>
    <x v="5"/>
    <x v="1044"/>
    <x v="4071"/>
    <n v="3"/>
    <x v="3899"/>
  </r>
  <r>
    <d v="2020-10-02T00:00:00"/>
    <x v="1"/>
    <x v="9"/>
    <x v="740"/>
    <x v="29"/>
    <x v="2"/>
    <x v="16"/>
    <x v="749"/>
    <x v="4072"/>
    <n v="6"/>
    <x v="3900"/>
  </r>
  <r>
    <d v="2020-10-02T00:00:00"/>
    <x v="1"/>
    <x v="9"/>
    <x v="740"/>
    <x v="29"/>
    <x v="2"/>
    <x v="5"/>
    <x v="68"/>
    <x v="4073"/>
    <n v="7"/>
    <x v="3901"/>
  </r>
  <r>
    <d v="2020-10-02T00:00:00"/>
    <x v="1"/>
    <x v="9"/>
    <x v="358"/>
    <x v="2"/>
    <x v="2"/>
    <x v="13"/>
    <x v="1230"/>
    <x v="4074"/>
    <n v="6"/>
    <x v="3902"/>
  </r>
  <r>
    <d v="2020-10-02T00:00:00"/>
    <x v="1"/>
    <x v="9"/>
    <x v="487"/>
    <x v="36"/>
    <x v="0"/>
    <x v="8"/>
    <x v="1657"/>
    <x v="4075"/>
    <n v="2"/>
    <x v="3903"/>
  </r>
  <r>
    <d v="2020-10-02T00:00:00"/>
    <x v="1"/>
    <x v="9"/>
    <x v="18"/>
    <x v="21"/>
    <x v="2"/>
    <x v="9"/>
    <x v="1189"/>
    <x v="4076"/>
    <n v="4"/>
    <x v="286"/>
  </r>
  <r>
    <d v="2020-10-02T00:00:00"/>
    <x v="1"/>
    <x v="9"/>
    <x v="348"/>
    <x v="12"/>
    <x v="2"/>
    <x v="9"/>
    <x v="1320"/>
    <x v="4077"/>
    <n v="4"/>
    <x v="1208"/>
  </r>
  <r>
    <d v="2020-10-02T00:00:00"/>
    <x v="1"/>
    <x v="9"/>
    <x v="677"/>
    <x v="1"/>
    <x v="0"/>
    <x v="8"/>
    <x v="658"/>
    <x v="4078"/>
    <n v="2"/>
    <x v="3904"/>
  </r>
  <r>
    <d v="2020-10-02T00:00:00"/>
    <x v="1"/>
    <x v="9"/>
    <x v="18"/>
    <x v="21"/>
    <x v="2"/>
    <x v="5"/>
    <x v="1361"/>
    <x v="4079"/>
    <n v="4"/>
    <x v="3905"/>
  </r>
  <r>
    <d v="2020-10-02T00:00:00"/>
    <x v="1"/>
    <x v="9"/>
    <x v="346"/>
    <x v="25"/>
    <x v="2"/>
    <x v="5"/>
    <x v="540"/>
    <x v="4080"/>
    <n v="3"/>
    <x v="3906"/>
  </r>
  <r>
    <d v="2020-10-03T00:00:00"/>
    <x v="1"/>
    <x v="9"/>
    <x v="23"/>
    <x v="12"/>
    <x v="0"/>
    <x v="8"/>
    <x v="1207"/>
    <x v="4081"/>
    <n v="4"/>
    <x v="3907"/>
  </r>
  <r>
    <d v="2020-10-03T00:00:00"/>
    <x v="1"/>
    <x v="9"/>
    <x v="155"/>
    <x v="1"/>
    <x v="0"/>
    <x v="4"/>
    <x v="1374"/>
    <x v="4082"/>
    <n v="3"/>
    <x v="2997"/>
  </r>
  <r>
    <d v="2020-10-03T00:00:00"/>
    <x v="1"/>
    <x v="9"/>
    <x v="23"/>
    <x v="12"/>
    <x v="1"/>
    <x v="3"/>
    <x v="46"/>
    <x v="4083"/>
    <n v="3"/>
    <x v="47"/>
  </r>
  <r>
    <d v="2020-10-03T00:00:00"/>
    <x v="1"/>
    <x v="9"/>
    <x v="493"/>
    <x v="27"/>
    <x v="2"/>
    <x v="5"/>
    <x v="1332"/>
    <x v="4084"/>
    <n v="2"/>
    <x v="2179"/>
  </r>
  <r>
    <d v="2020-10-03T00:00:00"/>
    <x v="1"/>
    <x v="9"/>
    <x v="444"/>
    <x v="6"/>
    <x v="2"/>
    <x v="9"/>
    <x v="1675"/>
    <x v="4085"/>
    <n v="3"/>
    <x v="29"/>
  </r>
  <r>
    <d v="2020-10-03T00:00:00"/>
    <x v="1"/>
    <x v="9"/>
    <x v="629"/>
    <x v="2"/>
    <x v="2"/>
    <x v="7"/>
    <x v="412"/>
    <x v="4086"/>
    <n v="5"/>
    <x v="3815"/>
  </r>
  <r>
    <d v="2020-10-03T00:00:00"/>
    <x v="1"/>
    <x v="9"/>
    <x v="23"/>
    <x v="12"/>
    <x v="2"/>
    <x v="7"/>
    <x v="1584"/>
    <x v="4087"/>
    <n v="3"/>
    <x v="3908"/>
  </r>
  <r>
    <d v="2020-10-03T00:00:00"/>
    <x v="1"/>
    <x v="9"/>
    <x v="444"/>
    <x v="6"/>
    <x v="2"/>
    <x v="13"/>
    <x v="1437"/>
    <x v="2977"/>
    <n v="5"/>
    <x v="3909"/>
  </r>
  <r>
    <d v="2020-10-03T00:00:00"/>
    <x v="1"/>
    <x v="9"/>
    <x v="336"/>
    <x v="12"/>
    <x v="2"/>
    <x v="2"/>
    <x v="89"/>
    <x v="4088"/>
    <n v="2"/>
    <x v="2934"/>
  </r>
  <r>
    <d v="2020-10-04T00:00:00"/>
    <x v="1"/>
    <x v="9"/>
    <x v="248"/>
    <x v="0"/>
    <x v="0"/>
    <x v="8"/>
    <x v="25"/>
    <x v="4089"/>
    <n v="1"/>
    <x v="3910"/>
  </r>
  <r>
    <d v="2020-10-05T00:00:00"/>
    <x v="1"/>
    <x v="9"/>
    <x v="421"/>
    <x v="1"/>
    <x v="0"/>
    <x v="8"/>
    <x v="1676"/>
    <x v="2463"/>
    <n v="5"/>
    <x v="3911"/>
  </r>
  <r>
    <d v="2020-10-05T00:00:00"/>
    <x v="1"/>
    <x v="9"/>
    <x v="691"/>
    <x v="12"/>
    <x v="1"/>
    <x v="1"/>
    <x v="1096"/>
    <x v="3881"/>
    <n v="4"/>
    <x v="3912"/>
  </r>
  <r>
    <d v="2020-10-05T00:00:00"/>
    <x v="1"/>
    <x v="9"/>
    <x v="741"/>
    <x v="12"/>
    <x v="1"/>
    <x v="1"/>
    <x v="541"/>
    <x v="4090"/>
    <n v="7"/>
    <x v="3913"/>
  </r>
  <r>
    <d v="2020-10-05T00:00:00"/>
    <x v="1"/>
    <x v="9"/>
    <x v="421"/>
    <x v="1"/>
    <x v="0"/>
    <x v="4"/>
    <x v="355"/>
    <x v="4091"/>
    <n v="3"/>
    <x v="3914"/>
  </r>
  <r>
    <d v="2020-10-05T00:00:00"/>
    <x v="1"/>
    <x v="9"/>
    <x v="691"/>
    <x v="12"/>
    <x v="0"/>
    <x v="11"/>
    <x v="245"/>
    <x v="4092"/>
    <n v="2"/>
    <x v="3915"/>
  </r>
  <r>
    <d v="2020-10-05T00:00:00"/>
    <x v="1"/>
    <x v="9"/>
    <x v="421"/>
    <x v="1"/>
    <x v="0"/>
    <x v="11"/>
    <x v="77"/>
    <x v="4093"/>
    <n v="4"/>
    <x v="78"/>
  </r>
  <r>
    <d v="2020-10-05T00:00:00"/>
    <x v="1"/>
    <x v="9"/>
    <x v="691"/>
    <x v="12"/>
    <x v="1"/>
    <x v="15"/>
    <x v="376"/>
    <x v="4094"/>
    <n v="4"/>
    <x v="3916"/>
  </r>
  <r>
    <d v="2020-10-05T00:00:00"/>
    <x v="1"/>
    <x v="9"/>
    <x v="421"/>
    <x v="1"/>
    <x v="2"/>
    <x v="13"/>
    <x v="841"/>
    <x v="4095"/>
    <n v="4"/>
    <x v="3917"/>
  </r>
  <r>
    <d v="2020-10-05T00:00:00"/>
    <x v="1"/>
    <x v="9"/>
    <x v="421"/>
    <x v="1"/>
    <x v="1"/>
    <x v="1"/>
    <x v="1575"/>
    <x v="4096"/>
    <n v="1"/>
    <x v="3243"/>
  </r>
  <r>
    <d v="2020-10-05T00:00:00"/>
    <x v="1"/>
    <x v="9"/>
    <x v="421"/>
    <x v="1"/>
    <x v="2"/>
    <x v="12"/>
    <x v="163"/>
    <x v="4097"/>
    <n v="5"/>
    <x v="3918"/>
  </r>
  <r>
    <d v="2020-10-05T00:00:00"/>
    <x v="1"/>
    <x v="9"/>
    <x v="612"/>
    <x v="1"/>
    <x v="2"/>
    <x v="5"/>
    <x v="1099"/>
    <x v="2385"/>
    <n v="5"/>
    <x v="3919"/>
  </r>
  <r>
    <d v="2020-10-05T00:00:00"/>
    <x v="1"/>
    <x v="9"/>
    <x v="612"/>
    <x v="1"/>
    <x v="2"/>
    <x v="5"/>
    <x v="1418"/>
    <x v="4098"/>
    <n v="4"/>
    <x v="3920"/>
  </r>
  <r>
    <d v="2020-10-05T00:00:00"/>
    <x v="1"/>
    <x v="9"/>
    <x v="612"/>
    <x v="1"/>
    <x v="2"/>
    <x v="9"/>
    <x v="480"/>
    <x v="2622"/>
    <n v="2"/>
    <x v="868"/>
  </r>
  <r>
    <d v="2020-10-05T00:00:00"/>
    <x v="1"/>
    <x v="9"/>
    <x v="741"/>
    <x v="12"/>
    <x v="2"/>
    <x v="5"/>
    <x v="1476"/>
    <x v="4099"/>
    <n v="3"/>
    <x v="3220"/>
  </r>
  <r>
    <d v="2020-10-05T00:00:00"/>
    <x v="1"/>
    <x v="9"/>
    <x v="197"/>
    <x v="22"/>
    <x v="1"/>
    <x v="3"/>
    <x v="11"/>
    <x v="4100"/>
    <n v="2"/>
    <x v="3921"/>
  </r>
  <r>
    <d v="2020-10-06T00:00:00"/>
    <x v="1"/>
    <x v="9"/>
    <x v="437"/>
    <x v="10"/>
    <x v="2"/>
    <x v="9"/>
    <x v="964"/>
    <x v="4101"/>
    <n v="3"/>
    <x v="415"/>
  </r>
  <r>
    <d v="2020-10-06T00:00:00"/>
    <x v="1"/>
    <x v="9"/>
    <x v="354"/>
    <x v="32"/>
    <x v="2"/>
    <x v="13"/>
    <x v="159"/>
    <x v="3943"/>
    <n v="4"/>
    <x v="3922"/>
  </r>
  <r>
    <d v="2020-10-06T00:00:00"/>
    <x v="1"/>
    <x v="9"/>
    <x v="594"/>
    <x v="17"/>
    <x v="2"/>
    <x v="2"/>
    <x v="164"/>
    <x v="4102"/>
    <n v="2"/>
    <x v="3923"/>
  </r>
  <r>
    <d v="2020-10-06T00:00:00"/>
    <x v="1"/>
    <x v="9"/>
    <x v="656"/>
    <x v="12"/>
    <x v="1"/>
    <x v="3"/>
    <x v="1677"/>
    <x v="4103"/>
    <n v="4"/>
    <x v="3924"/>
  </r>
  <r>
    <d v="2020-10-06T00:00:00"/>
    <x v="1"/>
    <x v="9"/>
    <x v="656"/>
    <x v="12"/>
    <x v="2"/>
    <x v="2"/>
    <x v="404"/>
    <x v="4104"/>
    <n v="3"/>
    <x v="3925"/>
  </r>
  <r>
    <d v="2020-10-06T00:00:00"/>
    <x v="1"/>
    <x v="9"/>
    <x v="575"/>
    <x v="20"/>
    <x v="2"/>
    <x v="7"/>
    <x v="815"/>
    <x v="4105"/>
    <n v="2"/>
    <x v="3926"/>
  </r>
  <r>
    <d v="2020-10-06T00:00:00"/>
    <x v="1"/>
    <x v="9"/>
    <x v="656"/>
    <x v="12"/>
    <x v="2"/>
    <x v="9"/>
    <x v="400"/>
    <x v="4106"/>
    <n v="3"/>
    <x v="1423"/>
  </r>
  <r>
    <d v="2020-10-06T00:00:00"/>
    <x v="1"/>
    <x v="9"/>
    <x v="437"/>
    <x v="10"/>
    <x v="2"/>
    <x v="9"/>
    <x v="598"/>
    <x v="4107"/>
    <n v="1"/>
    <x v="1084"/>
  </r>
  <r>
    <d v="2020-10-06T00:00:00"/>
    <x v="1"/>
    <x v="9"/>
    <x v="354"/>
    <x v="32"/>
    <x v="0"/>
    <x v="8"/>
    <x v="575"/>
    <x v="4108"/>
    <n v="2"/>
    <x v="1470"/>
  </r>
  <r>
    <d v="2020-10-06T00:00:00"/>
    <x v="1"/>
    <x v="9"/>
    <x v="594"/>
    <x v="17"/>
    <x v="2"/>
    <x v="7"/>
    <x v="1088"/>
    <x v="4109"/>
    <n v="2"/>
    <x v="3927"/>
  </r>
  <r>
    <d v="2020-10-06T00:00:00"/>
    <x v="1"/>
    <x v="9"/>
    <x v="128"/>
    <x v="12"/>
    <x v="2"/>
    <x v="9"/>
    <x v="41"/>
    <x v="667"/>
    <n v="1"/>
    <x v="393"/>
  </r>
  <r>
    <d v="2020-10-06T00:00:00"/>
    <x v="1"/>
    <x v="9"/>
    <x v="354"/>
    <x v="32"/>
    <x v="2"/>
    <x v="9"/>
    <x v="290"/>
    <x v="4110"/>
    <n v="2"/>
    <x v="362"/>
  </r>
  <r>
    <d v="2020-10-07T00:00:00"/>
    <x v="1"/>
    <x v="9"/>
    <x v="152"/>
    <x v="25"/>
    <x v="2"/>
    <x v="2"/>
    <x v="716"/>
    <x v="3437"/>
    <n v="2"/>
    <x v="3928"/>
  </r>
  <r>
    <d v="2020-10-07T00:00:00"/>
    <x v="1"/>
    <x v="9"/>
    <x v="719"/>
    <x v="1"/>
    <x v="1"/>
    <x v="1"/>
    <x v="1575"/>
    <x v="4111"/>
    <n v="10"/>
    <x v="3911"/>
  </r>
  <r>
    <d v="2020-10-07T00:00:00"/>
    <x v="1"/>
    <x v="9"/>
    <x v="719"/>
    <x v="1"/>
    <x v="1"/>
    <x v="1"/>
    <x v="541"/>
    <x v="4112"/>
    <n v="7"/>
    <x v="3929"/>
  </r>
  <r>
    <d v="2020-10-07T00:00:00"/>
    <x v="1"/>
    <x v="9"/>
    <x v="18"/>
    <x v="4"/>
    <x v="0"/>
    <x v="4"/>
    <x v="355"/>
    <x v="4113"/>
    <n v="3"/>
    <x v="3930"/>
  </r>
  <r>
    <d v="2020-10-07T00:00:00"/>
    <x v="1"/>
    <x v="9"/>
    <x v="18"/>
    <x v="4"/>
    <x v="1"/>
    <x v="1"/>
    <x v="1405"/>
    <x v="4114"/>
    <n v="2"/>
    <x v="3931"/>
  </r>
  <r>
    <d v="2020-10-07T00:00:00"/>
    <x v="1"/>
    <x v="9"/>
    <x v="560"/>
    <x v="1"/>
    <x v="0"/>
    <x v="0"/>
    <x v="1678"/>
    <x v="4115"/>
    <n v="2"/>
    <x v="897"/>
  </r>
  <r>
    <d v="2020-10-07T00:00:00"/>
    <x v="1"/>
    <x v="9"/>
    <x v="18"/>
    <x v="4"/>
    <x v="2"/>
    <x v="2"/>
    <x v="164"/>
    <x v="4116"/>
    <n v="4"/>
    <x v="3932"/>
  </r>
  <r>
    <d v="2020-10-07T00:00:00"/>
    <x v="1"/>
    <x v="9"/>
    <x v="719"/>
    <x v="1"/>
    <x v="1"/>
    <x v="3"/>
    <x v="46"/>
    <x v="4117"/>
    <n v="9"/>
    <x v="3933"/>
  </r>
  <r>
    <d v="2020-10-07T00:00:00"/>
    <x v="1"/>
    <x v="9"/>
    <x v="273"/>
    <x v="2"/>
    <x v="2"/>
    <x v="5"/>
    <x v="1039"/>
    <x v="4118"/>
    <n v="5"/>
    <x v="3934"/>
  </r>
  <r>
    <d v="2020-10-07T00:00:00"/>
    <x v="1"/>
    <x v="9"/>
    <x v="18"/>
    <x v="4"/>
    <x v="2"/>
    <x v="5"/>
    <x v="410"/>
    <x v="4119"/>
    <n v="6"/>
    <x v="3935"/>
  </r>
  <r>
    <d v="2020-10-07T00:00:00"/>
    <x v="1"/>
    <x v="9"/>
    <x v="18"/>
    <x v="4"/>
    <x v="2"/>
    <x v="12"/>
    <x v="163"/>
    <x v="4120"/>
    <n v="3"/>
    <x v="3936"/>
  </r>
  <r>
    <d v="2020-10-08T00:00:00"/>
    <x v="1"/>
    <x v="9"/>
    <x v="347"/>
    <x v="1"/>
    <x v="1"/>
    <x v="1"/>
    <x v="548"/>
    <x v="4121"/>
    <n v="1"/>
    <x v="3937"/>
  </r>
  <r>
    <d v="2020-10-08T00:00:00"/>
    <x v="1"/>
    <x v="9"/>
    <x v="607"/>
    <x v="12"/>
    <x v="0"/>
    <x v="11"/>
    <x v="969"/>
    <x v="4122"/>
    <n v="2"/>
    <x v="3938"/>
  </r>
  <r>
    <d v="2020-10-08T00:00:00"/>
    <x v="1"/>
    <x v="9"/>
    <x v="347"/>
    <x v="1"/>
    <x v="1"/>
    <x v="3"/>
    <x v="863"/>
    <x v="4050"/>
    <n v="4"/>
    <x v="3939"/>
  </r>
  <r>
    <d v="2020-10-08T00:00:00"/>
    <x v="1"/>
    <x v="9"/>
    <x v="347"/>
    <x v="1"/>
    <x v="1"/>
    <x v="3"/>
    <x v="1177"/>
    <x v="4123"/>
    <n v="2"/>
    <x v="1809"/>
  </r>
  <r>
    <d v="2020-10-08T00:00:00"/>
    <x v="1"/>
    <x v="9"/>
    <x v="593"/>
    <x v="35"/>
    <x v="2"/>
    <x v="2"/>
    <x v="716"/>
    <x v="2559"/>
    <n v="1"/>
    <x v="3940"/>
  </r>
  <r>
    <d v="2020-10-08T00:00:00"/>
    <x v="1"/>
    <x v="9"/>
    <x v="347"/>
    <x v="1"/>
    <x v="2"/>
    <x v="2"/>
    <x v="1273"/>
    <x v="4124"/>
    <n v="2"/>
    <x v="3941"/>
  </r>
  <r>
    <d v="2020-10-09T00:00:00"/>
    <x v="1"/>
    <x v="9"/>
    <x v="572"/>
    <x v="2"/>
    <x v="0"/>
    <x v="11"/>
    <x v="137"/>
    <x v="4125"/>
    <n v="3"/>
    <x v="3942"/>
  </r>
  <r>
    <d v="2020-10-09T00:00:00"/>
    <x v="1"/>
    <x v="9"/>
    <x v="670"/>
    <x v="12"/>
    <x v="0"/>
    <x v="0"/>
    <x v="1087"/>
    <x v="4126"/>
    <n v="3"/>
    <x v="2851"/>
  </r>
  <r>
    <d v="2020-10-09T00:00:00"/>
    <x v="1"/>
    <x v="9"/>
    <x v="46"/>
    <x v="17"/>
    <x v="0"/>
    <x v="4"/>
    <x v="1263"/>
    <x v="4127"/>
    <n v="5"/>
    <x v="3943"/>
  </r>
  <r>
    <d v="2020-10-09T00:00:00"/>
    <x v="1"/>
    <x v="9"/>
    <x v="553"/>
    <x v="4"/>
    <x v="2"/>
    <x v="9"/>
    <x v="1632"/>
    <x v="4128"/>
    <n v="4"/>
    <x v="3944"/>
  </r>
  <r>
    <d v="2020-10-09T00:00:00"/>
    <x v="1"/>
    <x v="9"/>
    <x v="670"/>
    <x v="12"/>
    <x v="2"/>
    <x v="9"/>
    <x v="1679"/>
    <x v="3931"/>
    <n v="2"/>
    <x v="3945"/>
  </r>
  <r>
    <d v="2020-10-09T00:00:00"/>
    <x v="1"/>
    <x v="9"/>
    <x v="670"/>
    <x v="12"/>
    <x v="2"/>
    <x v="5"/>
    <x v="772"/>
    <x v="4129"/>
    <n v="3"/>
    <x v="3946"/>
  </r>
  <r>
    <d v="2020-10-09T00:00:00"/>
    <x v="1"/>
    <x v="9"/>
    <x v="670"/>
    <x v="12"/>
    <x v="2"/>
    <x v="5"/>
    <x v="1680"/>
    <x v="4130"/>
    <n v="6"/>
    <x v="3947"/>
  </r>
  <r>
    <d v="2020-10-09T00:00:00"/>
    <x v="1"/>
    <x v="9"/>
    <x v="437"/>
    <x v="1"/>
    <x v="2"/>
    <x v="9"/>
    <x v="692"/>
    <x v="4131"/>
    <n v="5"/>
    <x v="3948"/>
  </r>
  <r>
    <d v="2020-10-09T00:00:00"/>
    <x v="1"/>
    <x v="9"/>
    <x v="159"/>
    <x v="8"/>
    <x v="0"/>
    <x v="8"/>
    <x v="1674"/>
    <x v="4132"/>
    <n v="4"/>
    <x v="3949"/>
  </r>
  <r>
    <d v="2020-10-09T00:00:00"/>
    <x v="1"/>
    <x v="9"/>
    <x v="572"/>
    <x v="2"/>
    <x v="2"/>
    <x v="7"/>
    <x v="730"/>
    <x v="4133"/>
    <n v="7"/>
    <x v="3950"/>
  </r>
  <r>
    <d v="2020-10-09T00:00:00"/>
    <x v="1"/>
    <x v="9"/>
    <x v="46"/>
    <x v="17"/>
    <x v="0"/>
    <x v="4"/>
    <x v="474"/>
    <x v="4134"/>
    <n v="3"/>
    <x v="3951"/>
  </r>
  <r>
    <d v="2020-10-10T00:00:00"/>
    <x v="1"/>
    <x v="9"/>
    <x v="120"/>
    <x v="17"/>
    <x v="0"/>
    <x v="11"/>
    <x v="134"/>
    <x v="4135"/>
    <n v="3"/>
    <x v="3952"/>
  </r>
  <r>
    <d v="2020-10-12T00:00:00"/>
    <x v="1"/>
    <x v="9"/>
    <x v="672"/>
    <x v="44"/>
    <x v="2"/>
    <x v="5"/>
    <x v="670"/>
    <x v="4136"/>
    <n v="3"/>
    <x v="3953"/>
  </r>
  <r>
    <d v="2020-10-12T00:00:00"/>
    <x v="1"/>
    <x v="9"/>
    <x v="378"/>
    <x v="1"/>
    <x v="2"/>
    <x v="5"/>
    <x v="1153"/>
    <x v="4137"/>
    <n v="5"/>
    <x v="3954"/>
  </r>
  <r>
    <d v="2020-10-12T00:00:00"/>
    <x v="1"/>
    <x v="9"/>
    <x v="259"/>
    <x v="17"/>
    <x v="0"/>
    <x v="11"/>
    <x v="440"/>
    <x v="4138"/>
    <n v="14"/>
    <x v="3955"/>
  </r>
  <r>
    <d v="2020-10-12T00:00:00"/>
    <x v="1"/>
    <x v="9"/>
    <x v="586"/>
    <x v="2"/>
    <x v="1"/>
    <x v="1"/>
    <x v="1030"/>
    <x v="4139"/>
    <n v="7"/>
    <x v="3956"/>
  </r>
  <r>
    <d v="2020-10-12T00:00:00"/>
    <x v="1"/>
    <x v="9"/>
    <x v="292"/>
    <x v="1"/>
    <x v="1"/>
    <x v="3"/>
    <x v="495"/>
    <x v="4140"/>
    <n v="12"/>
    <x v="3957"/>
  </r>
  <r>
    <d v="2020-10-12T00:00:00"/>
    <x v="1"/>
    <x v="9"/>
    <x v="672"/>
    <x v="44"/>
    <x v="1"/>
    <x v="3"/>
    <x v="902"/>
    <x v="4141"/>
    <n v="5"/>
    <x v="1870"/>
  </r>
  <r>
    <d v="2020-10-12T00:00:00"/>
    <x v="1"/>
    <x v="9"/>
    <x v="422"/>
    <x v="47"/>
    <x v="0"/>
    <x v="4"/>
    <x v="866"/>
    <x v="4142"/>
    <n v="3"/>
    <x v="3958"/>
  </r>
  <r>
    <d v="2020-10-12T00:00:00"/>
    <x v="1"/>
    <x v="9"/>
    <x v="586"/>
    <x v="2"/>
    <x v="1"/>
    <x v="3"/>
    <x v="593"/>
    <x v="4143"/>
    <n v="3"/>
    <x v="3959"/>
  </r>
  <r>
    <d v="2020-10-12T00:00:00"/>
    <x v="1"/>
    <x v="9"/>
    <x v="377"/>
    <x v="10"/>
    <x v="0"/>
    <x v="0"/>
    <x v="1654"/>
    <x v="4144"/>
    <n v="5"/>
    <x v="3960"/>
  </r>
  <r>
    <d v="2020-10-12T00:00:00"/>
    <x v="1"/>
    <x v="9"/>
    <x v="586"/>
    <x v="2"/>
    <x v="2"/>
    <x v="9"/>
    <x v="199"/>
    <x v="4145"/>
    <n v="2"/>
    <x v="1296"/>
  </r>
  <r>
    <d v="2020-10-12T00:00:00"/>
    <x v="1"/>
    <x v="9"/>
    <x v="377"/>
    <x v="10"/>
    <x v="2"/>
    <x v="12"/>
    <x v="1167"/>
    <x v="4146"/>
    <n v="5"/>
    <x v="3745"/>
  </r>
  <r>
    <d v="2020-10-12T00:00:00"/>
    <x v="1"/>
    <x v="9"/>
    <x v="378"/>
    <x v="1"/>
    <x v="1"/>
    <x v="3"/>
    <x v="1607"/>
    <x v="4056"/>
    <n v="1"/>
    <x v="3961"/>
  </r>
  <r>
    <d v="2020-10-12T00:00:00"/>
    <x v="1"/>
    <x v="9"/>
    <x v="715"/>
    <x v="4"/>
    <x v="2"/>
    <x v="9"/>
    <x v="1681"/>
    <x v="4147"/>
    <n v="2"/>
    <x v="2226"/>
  </r>
  <r>
    <d v="2020-10-12T00:00:00"/>
    <x v="1"/>
    <x v="9"/>
    <x v="292"/>
    <x v="1"/>
    <x v="2"/>
    <x v="7"/>
    <x v="597"/>
    <x v="4148"/>
    <n v="2"/>
    <x v="3962"/>
  </r>
  <r>
    <d v="2020-10-12T00:00:00"/>
    <x v="1"/>
    <x v="9"/>
    <x v="377"/>
    <x v="10"/>
    <x v="0"/>
    <x v="8"/>
    <x v="161"/>
    <x v="4107"/>
    <n v="2"/>
    <x v="3963"/>
  </r>
  <r>
    <d v="2020-10-12T00:00:00"/>
    <x v="1"/>
    <x v="9"/>
    <x v="58"/>
    <x v="12"/>
    <x v="2"/>
    <x v="9"/>
    <x v="1342"/>
    <x v="3956"/>
    <n v="2"/>
    <x v="3964"/>
  </r>
  <r>
    <d v="2020-10-12T00:00:00"/>
    <x v="1"/>
    <x v="9"/>
    <x v="592"/>
    <x v="2"/>
    <x v="1"/>
    <x v="3"/>
    <x v="1486"/>
    <x v="3968"/>
    <n v="2"/>
    <x v="3965"/>
  </r>
  <r>
    <d v="2020-10-12T00:00:00"/>
    <x v="1"/>
    <x v="9"/>
    <x v="377"/>
    <x v="10"/>
    <x v="1"/>
    <x v="3"/>
    <x v="677"/>
    <x v="4149"/>
    <n v="3"/>
    <x v="806"/>
  </r>
  <r>
    <d v="2020-10-13T00:00:00"/>
    <x v="1"/>
    <x v="9"/>
    <x v="468"/>
    <x v="17"/>
    <x v="2"/>
    <x v="9"/>
    <x v="84"/>
    <x v="4150"/>
    <n v="3"/>
    <x v="30"/>
  </r>
  <r>
    <d v="2020-10-13T00:00:00"/>
    <x v="1"/>
    <x v="9"/>
    <x v="468"/>
    <x v="17"/>
    <x v="2"/>
    <x v="5"/>
    <x v="1333"/>
    <x v="3880"/>
    <n v="4"/>
    <x v="3966"/>
  </r>
  <r>
    <d v="2020-10-13T00:00:00"/>
    <x v="1"/>
    <x v="9"/>
    <x v="487"/>
    <x v="1"/>
    <x v="1"/>
    <x v="3"/>
    <x v="26"/>
    <x v="4151"/>
    <n v="6"/>
    <x v="3967"/>
  </r>
  <r>
    <d v="2020-10-13T00:00:00"/>
    <x v="1"/>
    <x v="9"/>
    <x v="74"/>
    <x v="19"/>
    <x v="2"/>
    <x v="2"/>
    <x v="1568"/>
    <x v="4152"/>
    <n v="8"/>
    <x v="3968"/>
  </r>
  <r>
    <d v="2020-10-13T00:00:00"/>
    <x v="1"/>
    <x v="9"/>
    <x v="317"/>
    <x v="12"/>
    <x v="2"/>
    <x v="13"/>
    <x v="1376"/>
    <x v="4153"/>
    <n v="5"/>
    <x v="3969"/>
  </r>
  <r>
    <d v="2020-10-13T00:00:00"/>
    <x v="1"/>
    <x v="9"/>
    <x v="659"/>
    <x v="28"/>
    <x v="0"/>
    <x v="4"/>
    <x v="645"/>
    <x v="4154"/>
    <n v="4"/>
    <x v="3970"/>
  </r>
  <r>
    <d v="2020-10-13T00:00:00"/>
    <x v="1"/>
    <x v="9"/>
    <x v="487"/>
    <x v="1"/>
    <x v="2"/>
    <x v="5"/>
    <x v="87"/>
    <x v="4155"/>
    <n v="5"/>
    <x v="3971"/>
  </r>
  <r>
    <d v="2020-10-13T00:00:00"/>
    <x v="1"/>
    <x v="9"/>
    <x v="533"/>
    <x v="5"/>
    <x v="2"/>
    <x v="9"/>
    <x v="1658"/>
    <x v="4156"/>
    <n v="2"/>
    <x v="3972"/>
  </r>
  <r>
    <d v="2020-10-13T00:00:00"/>
    <x v="1"/>
    <x v="9"/>
    <x v="468"/>
    <x v="17"/>
    <x v="0"/>
    <x v="8"/>
    <x v="658"/>
    <x v="4157"/>
    <n v="3"/>
    <x v="3973"/>
  </r>
  <r>
    <d v="2020-10-13T00:00:00"/>
    <x v="1"/>
    <x v="9"/>
    <x v="533"/>
    <x v="5"/>
    <x v="2"/>
    <x v="14"/>
    <x v="1682"/>
    <x v="4158"/>
    <n v="3"/>
    <x v="771"/>
  </r>
  <r>
    <d v="2020-10-13T00:00:00"/>
    <x v="1"/>
    <x v="9"/>
    <x v="659"/>
    <x v="28"/>
    <x v="2"/>
    <x v="14"/>
    <x v="700"/>
    <x v="4159"/>
    <n v="3"/>
    <x v="1366"/>
  </r>
  <r>
    <d v="2020-10-13T00:00:00"/>
    <x v="1"/>
    <x v="9"/>
    <x v="487"/>
    <x v="1"/>
    <x v="1"/>
    <x v="1"/>
    <x v="892"/>
    <x v="3869"/>
    <n v="2"/>
    <x v="1128"/>
  </r>
  <r>
    <d v="2020-10-13T00:00:00"/>
    <x v="1"/>
    <x v="9"/>
    <x v="659"/>
    <x v="28"/>
    <x v="2"/>
    <x v="9"/>
    <x v="825"/>
    <x v="4160"/>
    <n v="4"/>
    <x v="1384"/>
  </r>
  <r>
    <d v="2020-10-13T00:00:00"/>
    <x v="1"/>
    <x v="9"/>
    <x v="533"/>
    <x v="5"/>
    <x v="2"/>
    <x v="9"/>
    <x v="1683"/>
    <x v="4161"/>
    <n v="4"/>
    <x v="3974"/>
  </r>
  <r>
    <d v="2020-10-13T00:00:00"/>
    <x v="1"/>
    <x v="9"/>
    <x v="533"/>
    <x v="5"/>
    <x v="2"/>
    <x v="2"/>
    <x v="596"/>
    <x v="4162"/>
    <n v="6"/>
    <x v="3975"/>
  </r>
  <r>
    <d v="2020-10-14T00:00:00"/>
    <x v="1"/>
    <x v="9"/>
    <x v="633"/>
    <x v="1"/>
    <x v="0"/>
    <x v="8"/>
    <x v="1007"/>
    <x v="4163"/>
    <n v="2"/>
    <x v="3976"/>
  </r>
  <r>
    <d v="2020-10-14T00:00:00"/>
    <x v="1"/>
    <x v="9"/>
    <x v="742"/>
    <x v="17"/>
    <x v="2"/>
    <x v="5"/>
    <x v="339"/>
    <x v="4164"/>
    <n v="1"/>
    <x v="3977"/>
  </r>
  <r>
    <d v="2020-10-14T00:00:00"/>
    <x v="1"/>
    <x v="9"/>
    <x v="742"/>
    <x v="17"/>
    <x v="2"/>
    <x v="5"/>
    <x v="485"/>
    <x v="4165"/>
    <n v="9"/>
    <x v="3978"/>
  </r>
  <r>
    <d v="2020-10-14T00:00:00"/>
    <x v="1"/>
    <x v="9"/>
    <x v="214"/>
    <x v="0"/>
    <x v="2"/>
    <x v="5"/>
    <x v="609"/>
    <x v="382"/>
    <n v="7"/>
    <x v="3979"/>
  </r>
  <r>
    <d v="2020-10-14T00:00:00"/>
    <x v="1"/>
    <x v="9"/>
    <x v="567"/>
    <x v="1"/>
    <x v="1"/>
    <x v="3"/>
    <x v="1440"/>
    <x v="4166"/>
    <n v="4"/>
    <x v="3980"/>
  </r>
  <r>
    <d v="2020-10-15T00:00:00"/>
    <x v="1"/>
    <x v="9"/>
    <x v="716"/>
    <x v="1"/>
    <x v="2"/>
    <x v="7"/>
    <x v="1684"/>
    <x v="4167"/>
    <n v="4"/>
    <x v="3981"/>
  </r>
  <r>
    <d v="2020-10-15T00:00:00"/>
    <x v="1"/>
    <x v="9"/>
    <x v="24"/>
    <x v="1"/>
    <x v="2"/>
    <x v="14"/>
    <x v="699"/>
    <x v="4168"/>
    <n v="5"/>
    <x v="3982"/>
  </r>
  <r>
    <d v="2020-10-15T00:00:00"/>
    <x v="1"/>
    <x v="9"/>
    <x v="661"/>
    <x v="1"/>
    <x v="2"/>
    <x v="9"/>
    <x v="925"/>
    <x v="3959"/>
    <n v="5"/>
    <x v="1983"/>
  </r>
  <r>
    <d v="2020-10-15T00:00:00"/>
    <x v="1"/>
    <x v="9"/>
    <x v="661"/>
    <x v="1"/>
    <x v="0"/>
    <x v="4"/>
    <x v="1468"/>
    <x v="4169"/>
    <n v="3"/>
    <x v="3983"/>
  </r>
  <r>
    <d v="2020-10-15T00:00:00"/>
    <x v="1"/>
    <x v="9"/>
    <x v="28"/>
    <x v="1"/>
    <x v="2"/>
    <x v="14"/>
    <x v="859"/>
    <x v="4170"/>
    <n v="3"/>
    <x v="111"/>
  </r>
  <r>
    <d v="2020-10-15T00:00:00"/>
    <x v="1"/>
    <x v="9"/>
    <x v="24"/>
    <x v="1"/>
    <x v="0"/>
    <x v="8"/>
    <x v="1685"/>
    <x v="4171"/>
    <n v="1"/>
    <x v="3984"/>
  </r>
  <r>
    <d v="2020-10-15T00:00:00"/>
    <x v="1"/>
    <x v="9"/>
    <x v="249"/>
    <x v="11"/>
    <x v="2"/>
    <x v="14"/>
    <x v="114"/>
    <x v="4172"/>
    <n v="5"/>
    <x v="3985"/>
  </r>
  <r>
    <d v="2020-10-15T00:00:00"/>
    <x v="1"/>
    <x v="9"/>
    <x v="438"/>
    <x v="40"/>
    <x v="2"/>
    <x v="7"/>
    <x v="815"/>
    <x v="4173"/>
    <n v="2"/>
    <x v="2750"/>
  </r>
  <r>
    <d v="2020-10-16T00:00:00"/>
    <x v="1"/>
    <x v="9"/>
    <x v="743"/>
    <x v="19"/>
    <x v="2"/>
    <x v="5"/>
    <x v="1151"/>
    <x v="4174"/>
    <n v="5"/>
    <x v="3986"/>
  </r>
  <r>
    <d v="2020-10-16T00:00:00"/>
    <x v="1"/>
    <x v="9"/>
    <x v="597"/>
    <x v="20"/>
    <x v="2"/>
    <x v="9"/>
    <x v="1283"/>
    <x v="4175"/>
    <n v="7"/>
    <x v="3987"/>
  </r>
  <r>
    <d v="2020-10-16T00:00:00"/>
    <x v="1"/>
    <x v="9"/>
    <x v="291"/>
    <x v="12"/>
    <x v="0"/>
    <x v="8"/>
    <x v="1567"/>
    <x v="4176"/>
    <n v="13"/>
    <x v="3988"/>
  </r>
  <r>
    <d v="2020-10-16T00:00:00"/>
    <x v="1"/>
    <x v="9"/>
    <x v="407"/>
    <x v="20"/>
    <x v="1"/>
    <x v="15"/>
    <x v="1686"/>
    <x v="4177"/>
    <n v="5"/>
    <x v="3989"/>
  </r>
  <r>
    <d v="2020-10-16T00:00:00"/>
    <x v="1"/>
    <x v="9"/>
    <x v="343"/>
    <x v="21"/>
    <x v="0"/>
    <x v="4"/>
    <x v="1209"/>
    <x v="4178"/>
    <n v="7"/>
    <x v="3990"/>
  </r>
  <r>
    <d v="2020-10-16T00:00:00"/>
    <x v="1"/>
    <x v="9"/>
    <x v="343"/>
    <x v="21"/>
    <x v="1"/>
    <x v="3"/>
    <x v="1641"/>
    <x v="4179"/>
    <n v="2"/>
    <x v="3991"/>
  </r>
  <r>
    <d v="2020-10-17T00:00:00"/>
    <x v="1"/>
    <x v="9"/>
    <x v="744"/>
    <x v="1"/>
    <x v="2"/>
    <x v="7"/>
    <x v="125"/>
    <x v="4180"/>
    <n v="4"/>
    <x v="3992"/>
  </r>
  <r>
    <d v="2020-10-17T00:00:00"/>
    <x v="1"/>
    <x v="9"/>
    <x v="630"/>
    <x v="35"/>
    <x v="2"/>
    <x v="9"/>
    <x v="1328"/>
    <x v="3077"/>
    <n v="2"/>
    <x v="56"/>
  </r>
  <r>
    <d v="2020-10-17T00:00:00"/>
    <x v="1"/>
    <x v="9"/>
    <x v="630"/>
    <x v="35"/>
    <x v="2"/>
    <x v="2"/>
    <x v="1687"/>
    <x v="4181"/>
    <n v="2"/>
    <x v="3993"/>
  </r>
  <r>
    <d v="2020-10-17T00:00:00"/>
    <x v="1"/>
    <x v="9"/>
    <x v="359"/>
    <x v="1"/>
    <x v="1"/>
    <x v="1"/>
    <x v="862"/>
    <x v="4182"/>
    <n v="1"/>
    <x v="3994"/>
  </r>
  <r>
    <d v="2020-10-19T00:00:00"/>
    <x v="1"/>
    <x v="9"/>
    <x v="465"/>
    <x v="17"/>
    <x v="0"/>
    <x v="4"/>
    <x v="995"/>
    <x v="4183"/>
    <n v="1"/>
    <x v="3995"/>
  </r>
  <r>
    <d v="2020-10-19T00:00:00"/>
    <x v="1"/>
    <x v="9"/>
    <x v="255"/>
    <x v="5"/>
    <x v="2"/>
    <x v="7"/>
    <x v="306"/>
    <x v="4184"/>
    <n v="7"/>
    <x v="3996"/>
  </r>
  <r>
    <d v="2020-10-19T00:00:00"/>
    <x v="1"/>
    <x v="9"/>
    <x v="255"/>
    <x v="5"/>
    <x v="1"/>
    <x v="1"/>
    <x v="548"/>
    <x v="4185"/>
    <n v="4"/>
    <x v="3997"/>
  </r>
  <r>
    <d v="2020-10-19T00:00:00"/>
    <x v="1"/>
    <x v="9"/>
    <x v="58"/>
    <x v="2"/>
    <x v="0"/>
    <x v="0"/>
    <x v="1688"/>
    <x v="4186"/>
    <n v="3"/>
    <x v="3998"/>
  </r>
  <r>
    <d v="2020-10-19T00:00:00"/>
    <x v="1"/>
    <x v="9"/>
    <x v="708"/>
    <x v="4"/>
    <x v="2"/>
    <x v="5"/>
    <x v="337"/>
    <x v="4187"/>
    <n v="4"/>
    <x v="3999"/>
  </r>
  <r>
    <d v="2020-10-19T00:00:00"/>
    <x v="1"/>
    <x v="9"/>
    <x v="58"/>
    <x v="2"/>
    <x v="2"/>
    <x v="5"/>
    <x v="1465"/>
    <x v="4188"/>
    <n v="2"/>
    <x v="4000"/>
  </r>
  <r>
    <d v="2020-10-19T00:00:00"/>
    <x v="1"/>
    <x v="9"/>
    <x v="745"/>
    <x v="1"/>
    <x v="2"/>
    <x v="10"/>
    <x v="341"/>
    <x v="4189"/>
    <n v="2"/>
    <x v="4001"/>
  </r>
  <r>
    <d v="2020-10-19T00:00:00"/>
    <x v="1"/>
    <x v="9"/>
    <x v="255"/>
    <x v="5"/>
    <x v="2"/>
    <x v="9"/>
    <x v="1354"/>
    <x v="3125"/>
    <n v="4"/>
    <x v="2264"/>
  </r>
  <r>
    <d v="2020-10-19T00:00:00"/>
    <x v="1"/>
    <x v="9"/>
    <x v="745"/>
    <x v="1"/>
    <x v="0"/>
    <x v="8"/>
    <x v="619"/>
    <x v="4190"/>
    <n v="2"/>
    <x v="4002"/>
  </r>
  <r>
    <d v="2020-10-19T00:00:00"/>
    <x v="1"/>
    <x v="9"/>
    <x v="745"/>
    <x v="1"/>
    <x v="0"/>
    <x v="4"/>
    <x v="1689"/>
    <x v="4191"/>
    <n v="2"/>
    <x v="4003"/>
  </r>
  <r>
    <d v="2020-10-19T00:00:00"/>
    <x v="1"/>
    <x v="9"/>
    <x v="97"/>
    <x v="2"/>
    <x v="1"/>
    <x v="1"/>
    <x v="1522"/>
    <x v="4192"/>
    <n v="3"/>
    <x v="4004"/>
  </r>
  <r>
    <d v="2020-10-19T00:00:00"/>
    <x v="1"/>
    <x v="9"/>
    <x v="423"/>
    <x v="2"/>
    <x v="2"/>
    <x v="9"/>
    <x v="84"/>
    <x v="4193"/>
    <n v="3"/>
    <x v="485"/>
  </r>
  <r>
    <d v="2020-10-19T00:00:00"/>
    <x v="1"/>
    <x v="9"/>
    <x v="524"/>
    <x v="26"/>
    <x v="2"/>
    <x v="2"/>
    <x v="957"/>
    <x v="4194"/>
    <n v="3"/>
    <x v="4005"/>
  </r>
  <r>
    <d v="2020-10-19T00:00:00"/>
    <x v="1"/>
    <x v="9"/>
    <x v="745"/>
    <x v="1"/>
    <x v="2"/>
    <x v="14"/>
    <x v="183"/>
    <x v="4195"/>
    <n v="10"/>
    <x v="4006"/>
  </r>
  <r>
    <d v="2020-10-19T00:00:00"/>
    <x v="1"/>
    <x v="9"/>
    <x v="379"/>
    <x v="1"/>
    <x v="2"/>
    <x v="5"/>
    <x v="358"/>
    <x v="4196"/>
    <n v="3"/>
    <x v="1347"/>
  </r>
  <r>
    <d v="2020-10-19T00:00:00"/>
    <x v="1"/>
    <x v="9"/>
    <x v="524"/>
    <x v="26"/>
    <x v="0"/>
    <x v="8"/>
    <x v="232"/>
    <x v="4197"/>
    <n v="4"/>
    <x v="4007"/>
  </r>
  <r>
    <d v="2020-10-20T00:00:00"/>
    <x v="1"/>
    <x v="9"/>
    <x v="325"/>
    <x v="33"/>
    <x v="2"/>
    <x v="5"/>
    <x v="733"/>
    <x v="4198"/>
    <n v="5"/>
    <x v="4008"/>
  </r>
  <r>
    <d v="2020-10-20T00:00:00"/>
    <x v="1"/>
    <x v="9"/>
    <x v="101"/>
    <x v="8"/>
    <x v="0"/>
    <x v="4"/>
    <x v="954"/>
    <x v="4199"/>
    <n v="2"/>
    <x v="4009"/>
  </r>
  <r>
    <d v="2020-10-20T00:00:00"/>
    <x v="1"/>
    <x v="9"/>
    <x v="101"/>
    <x v="8"/>
    <x v="2"/>
    <x v="2"/>
    <x v="1279"/>
    <x v="4200"/>
    <n v="2"/>
    <x v="4010"/>
  </r>
  <r>
    <d v="2020-10-20T00:00:00"/>
    <x v="1"/>
    <x v="9"/>
    <x v="461"/>
    <x v="6"/>
    <x v="2"/>
    <x v="2"/>
    <x v="370"/>
    <x v="4201"/>
    <n v="2"/>
    <x v="412"/>
  </r>
  <r>
    <d v="2020-10-20T00:00:00"/>
    <x v="1"/>
    <x v="9"/>
    <x v="610"/>
    <x v="1"/>
    <x v="2"/>
    <x v="14"/>
    <x v="1377"/>
    <x v="4202"/>
    <n v="1"/>
    <x v="4011"/>
  </r>
  <r>
    <d v="2020-10-20T00:00:00"/>
    <x v="1"/>
    <x v="9"/>
    <x v="325"/>
    <x v="33"/>
    <x v="2"/>
    <x v="7"/>
    <x v="1035"/>
    <x v="4203"/>
    <n v="4"/>
    <x v="4012"/>
  </r>
  <r>
    <d v="2020-10-20T00:00:00"/>
    <x v="1"/>
    <x v="9"/>
    <x v="132"/>
    <x v="4"/>
    <x v="1"/>
    <x v="1"/>
    <x v="1047"/>
    <x v="4204"/>
    <n v="2"/>
    <x v="4013"/>
  </r>
  <r>
    <d v="2020-10-20T00:00:00"/>
    <x v="1"/>
    <x v="9"/>
    <x v="461"/>
    <x v="6"/>
    <x v="2"/>
    <x v="7"/>
    <x v="204"/>
    <x v="4004"/>
    <n v="2"/>
    <x v="4014"/>
  </r>
  <r>
    <d v="2020-10-20T00:00:00"/>
    <x v="1"/>
    <x v="9"/>
    <x v="461"/>
    <x v="6"/>
    <x v="2"/>
    <x v="9"/>
    <x v="1061"/>
    <x v="4205"/>
    <n v="1"/>
    <x v="4015"/>
  </r>
  <r>
    <d v="2020-10-20T00:00:00"/>
    <x v="1"/>
    <x v="9"/>
    <x v="461"/>
    <x v="6"/>
    <x v="0"/>
    <x v="8"/>
    <x v="1690"/>
    <x v="4206"/>
    <n v="4"/>
    <x v="4016"/>
  </r>
  <r>
    <d v="2020-10-20T00:00:00"/>
    <x v="1"/>
    <x v="9"/>
    <x v="132"/>
    <x v="4"/>
    <x v="2"/>
    <x v="9"/>
    <x v="580"/>
    <x v="4207"/>
    <n v="3"/>
    <x v="4017"/>
  </r>
  <r>
    <d v="2020-10-20T00:00:00"/>
    <x v="1"/>
    <x v="9"/>
    <x v="107"/>
    <x v="12"/>
    <x v="2"/>
    <x v="14"/>
    <x v="859"/>
    <x v="4208"/>
    <n v="5"/>
    <x v="4018"/>
  </r>
  <r>
    <d v="2020-10-20T00:00:00"/>
    <x v="1"/>
    <x v="9"/>
    <x v="610"/>
    <x v="1"/>
    <x v="2"/>
    <x v="5"/>
    <x v="1528"/>
    <x v="4209"/>
    <n v="4"/>
    <x v="4019"/>
  </r>
  <r>
    <d v="2020-10-20T00:00:00"/>
    <x v="1"/>
    <x v="9"/>
    <x v="325"/>
    <x v="33"/>
    <x v="2"/>
    <x v="9"/>
    <x v="706"/>
    <x v="4210"/>
    <n v="2"/>
    <x v="3645"/>
  </r>
  <r>
    <d v="2020-10-20T00:00:00"/>
    <x v="1"/>
    <x v="9"/>
    <x v="423"/>
    <x v="5"/>
    <x v="2"/>
    <x v="9"/>
    <x v="1084"/>
    <x v="4211"/>
    <n v="3"/>
    <x v="314"/>
  </r>
  <r>
    <d v="2020-10-21T00:00:00"/>
    <x v="1"/>
    <x v="9"/>
    <x v="531"/>
    <x v="8"/>
    <x v="2"/>
    <x v="13"/>
    <x v="743"/>
    <x v="4212"/>
    <n v="2"/>
    <x v="4020"/>
  </r>
  <r>
    <d v="2020-10-21T00:00:00"/>
    <x v="1"/>
    <x v="9"/>
    <x v="616"/>
    <x v="3"/>
    <x v="0"/>
    <x v="4"/>
    <x v="126"/>
    <x v="4213"/>
    <n v="1"/>
    <x v="4021"/>
  </r>
  <r>
    <d v="2020-10-21T00:00:00"/>
    <x v="1"/>
    <x v="9"/>
    <x v="534"/>
    <x v="5"/>
    <x v="1"/>
    <x v="1"/>
    <x v="550"/>
    <x v="4214"/>
    <n v="2"/>
    <x v="4022"/>
  </r>
  <r>
    <d v="2020-10-21T00:00:00"/>
    <x v="1"/>
    <x v="9"/>
    <x v="151"/>
    <x v="29"/>
    <x v="0"/>
    <x v="11"/>
    <x v="1577"/>
    <x v="4215"/>
    <n v="2"/>
    <x v="4023"/>
  </r>
  <r>
    <d v="2020-10-21T00:00:00"/>
    <x v="1"/>
    <x v="9"/>
    <x v="746"/>
    <x v="6"/>
    <x v="0"/>
    <x v="11"/>
    <x v="1307"/>
    <x v="4216"/>
    <n v="3"/>
    <x v="4024"/>
  </r>
  <r>
    <d v="2020-10-21T00:00:00"/>
    <x v="1"/>
    <x v="9"/>
    <x v="697"/>
    <x v="24"/>
    <x v="2"/>
    <x v="2"/>
    <x v="901"/>
    <x v="4217"/>
    <n v="8"/>
    <x v="4025"/>
  </r>
  <r>
    <d v="2020-10-21T00:00:00"/>
    <x v="1"/>
    <x v="9"/>
    <x v="616"/>
    <x v="3"/>
    <x v="1"/>
    <x v="1"/>
    <x v="180"/>
    <x v="4218"/>
    <n v="8"/>
    <x v="4026"/>
  </r>
  <r>
    <d v="2020-10-21T00:00:00"/>
    <x v="1"/>
    <x v="9"/>
    <x v="235"/>
    <x v="20"/>
    <x v="2"/>
    <x v="5"/>
    <x v="1361"/>
    <x v="4219"/>
    <n v="1"/>
    <x v="4027"/>
  </r>
  <r>
    <d v="2020-10-21T00:00:00"/>
    <x v="1"/>
    <x v="9"/>
    <x v="531"/>
    <x v="8"/>
    <x v="2"/>
    <x v="5"/>
    <x v="1465"/>
    <x v="4220"/>
    <n v="4"/>
    <x v="4028"/>
  </r>
  <r>
    <d v="2020-10-21T00:00:00"/>
    <x v="1"/>
    <x v="9"/>
    <x v="151"/>
    <x v="29"/>
    <x v="2"/>
    <x v="9"/>
    <x v="55"/>
    <x v="4221"/>
    <n v="1"/>
    <x v="137"/>
  </r>
  <r>
    <d v="2020-10-21T00:00:00"/>
    <x v="1"/>
    <x v="9"/>
    <x v="531"/>
    <x v="8"/>
    <x v="2"/>
    <x v="9"/>
    <x v="962"/>
    <x v="4222"/>
    <n v="1"/>
    <x v="4029"/>
  </r>
  <r>
    <d v="2020-10-21T00:00:00"/>
    <x v="1"/>
    <x v="9"/>
    <x v="151"/>
    <x v="29"/>
    <x v="1"/>
    <x v="3"/>
    <x v="835"/>
    <x v="4223"/>
    <n v="2"/>
    <x v="4030"/>
  </r>
  <r>
    <d v="2020-10-21T00:00:00"/>
    <x v="1"/>
    <x v="9"/>
    <x v="54"/>
    <x v="7"/>
    <x v="2"/>
    <x v="5"/>
    <x v="1235"/>
    <x v="4224"/>
    <n v="5"/>
    <x v="1001"/>
  </r>
  <r>
    <d v="2020-10-21T00:00:00"/>
    <x v="1"/>
    <x v="9"/>
    <x v="193"/>
    <x v="17"/>
    <x v="2"/>
    <x v="13"/>
    <x v="1588"/>
    <x v="4225"/>
    <n v="2"/>
    <x v="4031"/>
  </r>
  <r>
    <d v="2020-10-21T00:00:00"/>
    <x v="1"/>
    <x v="9"/>
    <x v="378"/>
    <x v="6"/>
    <x v="2"/>
    <x v="7"/>
    <x v="272"/>
    <x v="4226"/>
    <n v="4"/>
    <x v="2133"/>
  </r>
  <r>
    <d v="2020-10-21T00:00:00"/>
    <x v="1"/>
    <x v="9"/>
    <x v="746"/>
    <x v="6"/>
    <x v="0"/>
    <x v="8"/>
    <x v="837"/>
    <x v="4227"/>
    <n v="3"/>
    <x v="4032"/>
  </r>
  <r>
    <d v="2020-10-21T00:00:00"/>
    <x v="1"/>
    <x v="9"/>
    <x v="54"/>
    <x v="7"/>
    <x v="2"/>
    <x v="5"/>
    <x v="523"/>
    <x v="4228"/>
    <n v="6"/>
    <x v="4033"/>
  </r>
  <r>
    <d v="2020-10-21T00:00:00"/>
    <x v="1"/>
    <x v="9"/>
    <x v="534"/>
    <x v="5"/>
    <x v="2"/>
    <x v="2"/>
    <x v="998"/>
    <x v="4229"/>
    <n v="3"/>
    <x v="4034"/>
  </r>
  <r>
    <d v="2020-10-22T00:00:00"/>
    <x v="1"/>
    <x v="9"/>
    <x v="579"/>
    <x v="29"/>
    <x v="0"/>
    <x v="4"/>
    <x v="614"/>
    <x v="4230"/>
    <n v="5"/>
    <x v="706"/>
  </r>
  <r>
    <d v="2020-10-22T00:00:00"/>
    <x v="1"/>
    <x v="9"/>
    <x v="103"/>
    <x v="3"/>
    <x v="0"/>
    <x v="4"/>
    <x v="472"/>
    <x v="4231"/>
    <n v="2"/>
    <x v="4035"/>
  </r>
  <r>
    <d v="2020-10-22T00:00:00"/>
    <x v="1"/>
    <x v="9"/>
    <x v="103"/>
    <x v="3"/>
    <x v="2"/>
    <x v="2"/>
    <x v="1691"/>
    <x v="4232"/>
    <n v="3"/>
    <x v="4036"/>
  </r>
  <r>
    <d v="2020-10-22T00:00:00"/>
    <x v="1"/>
    <x v="9"/>
    <x v="491"/>
    <x v="22"/>
    <x v="0"/>
    <x v="11"/>
    <x v="1692"/>
    <x v="4233"/>
    <n v="4"/>
    <x v="4037"/>
  </r>
  <r>
    <d v="2020-10-22T00:00:00"/>
    <x v="1"/>
    <x v="9"/>
    <x v="449"/>
    <x v="12"/>
    <x v="1"/>
    <x v="1"/>
    <x v="235"/>
    <x v="4234"/>
    <n v="8"/>
    <x v="4038"/>
  </r>
  <r>
    <d v="2020-10-22T00:00:00"/>
    <x v="1"/>
    <x v="9"/>
    <x v="449"/>
    <x v="12"/>
    <x v="1"/>
    <x v="6"/>
    <x v="552"/>
    <x v="4235"/>
    <n v="4"/>
    <x v="4039"/>
  </r>
  <r>
    <d v="2020-10-22T00:00:00"/>
    <x v="1"/>
    <x v="9"/>
    <x v="491"/>
    <x v="22"/>
    <x v="2"/>
    <x v="5"/>
    <x v="346"/>
    <x v="4236"/>
    <n v="4"/>
    <x v="4040"/>
  </r>
  <r>
    <d v="2020-10-22T00:00:00"/>
    <x v="1"/>
    <x v="9"/>
    <x v="457"/>
    <x v="5"/>
    <x v="2"/>
    <x v="10"/>
    <x v="1693"/>
    <x v="3385"/>
    <n v="4"/>
    <x v="4041"/>
  </r>
  <r>
    <d v="2020-10-22T00:00:00"/>
    <x v="1"/>
    <x v="9"/>
    <x v="449"/>
    <x v="12"/>
    <x v="1"/>
    <x v="1"/>
    <x v="258"/>
    <x v="4237"/>
    <n v="1"/>
    <x v="4042"/>
  </r>
  <r>
    <d v="2020-10-22T00:00:00"/>
    <x v="1"/>
    <x v="9"/>
    <x v="457"/>
    <x v="5"/>
    <x v="1"/>
    <x v="1"/>
    <x v="517"/>
    <x v="2642"/>
    <n v="5"/>
    <x v="4043"/>
  </r>
  <r>
    <d v="2020-10-22T00:00:00"/>
    <x v="1"/>
    <x v="9"/>
    <x v="248"/>
    <x v="3"/>
    <x v="2"/>
    <x v="7"/>
    <x v="1504"/>
    <x v="4238"/>
    <n v="4"/>
    <x v="4044"/>
  </r>
  <r>
    <d v="2020-10-22T00:00:00"/>
    <x v="1"/>
    <x v="9"/>
    <x v="449"/>
    <x v="12"/>
    <x v="2"/>
    <x v="10"/>
    <x v="357"/>
    <x v="3016"/>
    <n v="5"/>
    <x v="394"/>
  </r>
  <r>
    <d v="2020-10-23T00:00:00"/>
    <x v="1"/>
    <x v="9"/>
    <x v="342"/>
    <x v="35"/>
    <x v="0"/>
    <x v="8"/>
    <x v="946"/>
    <x v="4239"/>
    <n v="2"/>
    <x v="4045"/>
  </r>
  <r>
    <d v="2020-10-23T00:00:00"/>
    <x v="1"/>
    <x v="9"/>
    <x v="342"/>
    <x v="35"/>
    <x v="0"/>
    <x v="4"/>
    <x v="355"/>
    <x v="4240"/>
    <n v="4"/>
    <x v="4046"/>
  </r>
  <r>
    <d v="2020-10-23T00:00:00"/>
    <x v="1"/>
    <x v="9"/>
    <x v="747"/>
    <x v="2"/>
    <x v="2"/>
    <x v="2"/>
    <x v="99"/>
    <x v="4241"/>
    <n v="4"/>
    <x v="4047"/>
  </r>
  <r>
    <d v="2020-10-23T00:00:00"/>
    <x v="1"/>
    <x v="9"/>
    <x v="342"/>
    <x v="35"/>
    <x v="0"/>
    <x v="4"/>
    <x v="173"/>
    <x v="4242"/>
    <n v="3"/>
    <x v="181"/>
  </r>
  <r>
    <d v="2020-10-23T00:00:00"/>
    <x v="1"/>
    <x v="9"/>
    <x v="238"/>
    <x v="2"/>
    <x v="1"/>
    <x v="1"/>
    <x v="760"/>
    <x v="4243"/>
    <n v="5"/>
    <x v="914"/>
  </r>
  <r>
    <d v="2020-10-23T00:00:00"/>
    <x v="1"/>
    <x v="9"/>
    <x v="748"/>
    <x v="6"/>
    <x v="1"/>
    <x v="1"/>
    <x v="188"/>
    <x v="4244"/>
    <n v="3"/>
    <x v="4048"/>
  </r>
  <r>
    <d v="2020-10-23T00:00:00"/>
    <x v="1"/>
    <x v="9"/>
    <x v="238"/>
    <x v="2"/>
    <x v="2"/>
    <x v="5"/>
    <x v="7"/>
    <x v="4245"/>
    <n v="3"/>
    <x v="1740"/>
  </r>
  <r>
    <d v="2020-10-23T00:00:00"/>
    <x v="1"/>
    <x v="9"/>
    <x v="747"/>
    <x v="2"/>
    <x v="2"/>
    <x v="2"/>
    <x v="1074"/>
    <x v="4246"/>
    <n v="1"/>
    <x v="4049"/>
  </r>
  <r>
    <d v="2020-10-23T00:00:00"/>
    <x v="1"/>
    <x v="9"/>
    <x v="749"/>
    <x v="12"/>
    <x v="2"/>
    <x v="9"/>
    <x v="1694"/>
    <x v="4247"/>
    <n v="2"/>
    <x v="1164"/>
  </r>
  <r>
    <d v="2020-10-23T00:00:00"/>
    <x v="1"/>
    <x v="9"/>
    <x v="342"/>
    <x v="35"/>
    <x v="2"/>
    <x v="13"/>
    <x v="1565"/>
    <x v="4248"/>
    <n v="1"/>
    <x v="4050"/>
  </r>
  <r>
    <d v="2020-10-23T00:00:00"/>
    <x v="1"/>
    <x v="9"/>
    <x v="342"/>
    <x v="35"/>
    <x v="0"/>
    <x v="8"/>
    <x v="1057"/>
    <x v="4249"/>
    <n v="4"/>
    <x v="3015"/>
  </r>
  <r>
    <d v="2020-10-23T00:00:00"/>
    <x v="1"/>
    <x v="9"/>
    <x v="238"/>
    <x v="2"/>
    <x v="2"/>
    <x v="7"/>
    <x v="1403"/>
    <x v="4250"/>
    <n v="3"/>
    <x v="4051"/>
  </r>
  <r>
    <d v="2020-10-23T00:00:00"/>
    <x v="1"/>
    <x v="9"/>
    <x v="747"/>
    <x v="2"/>
    <x v="2"/>
    <x v="5"/>
    <x v="254"/>
    <x v="4251"/>
    <n v="3"/>
    <x v="4052"/>
  </r>
  <r>
    <d v="2020-10-23T00:00:00"/>
    <x v="1"/>
    <x v="9"/>
    <x v="749"/>
    <x v="12"/>
    <x v="1"/>
    <x v="1"/>
    <x v="500"/>
    <x v="4252"/>
    <n v="3"/>
    <x v="4053"/>
  </r>
  <r>
    <d v="2020-10-23T00:00:00"/>
    <x v="1"/>
    <x v="9"/>
    <x v="342"/>
    <x v="35"/>
    <x v="2"/>
    <x v="9"/>
    <x v="1695"/>
    <x v="2841"/>
    <n v="8"/>
    <x v="4054"/>
  </r>
  <r>
    <d v="2020-10-23T00:00:00"/>
    <x v="1"/>
    <x v="9"/>
    <x v="749"/>
    <x v="12"/>
    <x v="2"/>
    <x v="9"/>
    <x v="1218"/>
    <x v="2465"/>
    <n v="5"/>
    <x v="4055"/>
  </r>
  <r>
    <d v="2020-10-23T00:00:00"/>
    <x v="1"/>
    <x v="9"/>
    <x v="747"/>
    <x v="2"/>
    <x v="1"/>
    <x v="3"/>
    <x v="4"/>
    <x v="4253"/>
    <n v="1"/>
    <x v="4056"/>
  </r>
  <r>
    <d v="2020-10-23T00:00:00"/>
    <x v="1"/>
    <x v="9"/>
    <x v="749"/>
    <x v="12"/>
    <x v="0"/>
    <x v="8"/>
    <x v="1346"/>
    <x v="4254"/>
    <n v="11"/>
    <x v="4057"/>
  </r>
  <r>
    <d v="2020-10-24T00:00:00"/>
    <x v="1"/>
    <x v="9"/>
    <x v="444"/>
    <x v="2"/>
    <x v="0"/>
    <x v="4"/>
    <x v="1589"/>
    <x v="4255"/>
    <n v="5"/>
    <x v="4058"/>
  </r>
  <r>
    <d v="2020-10-24T00:00:00"/>
    <x v="1"/>
    <x v="9"/>
    <x v="160"/>
    <x v="16"/>
    <x v="2"/>
    <x v="12"/>
    <x v="163"/>
    <x v="4256"/>
    <n v="4"/>
    <x v="1178"/>
  </r>
  <r>
    <d v="2020-10-26T00:00:00"/>
    <x v="1"/>
    <x v="9"/>
    <x v="604"/>
    <x v="5"/>
    <x v="1"/>
    <x v="1"/>
    <x v="1629"/>
    <x v="4257"/>
    <n v="5"/>
    <x v="4059"/>
  </r>
  <r>
    <d v="2020-10-26T00:00:00"/>
    <x v="1"/>
    <x v="9"/>
    <x v="311"/>
    <x v="18"/>
    <x v="2"/>
    <x v="10"/>
    <x v="1210"/>
    <x v="4258"/>
    <n v="7"/>
    <x v="4060"/>
  </r>
  <r>
    <d v="2020-10-26T00:00:00"/>
    <x v="1"/>
    <x v="9"/>
    <x v="311"/>
    <x v="18"/>
    <x v="0"/>
    <x v="4"/>
    <x v="1374"/>
    <x v="4259"/>
    <n v="5"/>
    <x v="4061"/>
  </r>
  <r>
    <d v="2020-10-26T00:00:00"/>
    <x v="1"/>
    <x v="9"/>
    <x v="26"/>
    <x v="27"/>
    <x v="2"/>
    <x v="14"/>
    <x v="1102"/>
    <x v="4260"/>
    <n v="2"/>
    <x v="1543"/>
  </r>
  <r>
    <d v="2020-10-26T00:00:00"/>
    <x v="1"/>
    <x v="9"/>
    <x v="26"/>
    <x v="27"/>
    <x v="1"/>
    <x v="3"/>
    <x v="1489"/>
    <x v="4261"/>
    <n v="1"/>
    <x v="3566"/>
  </r>
  <r>
    <d v="2020-10-26T00:00:00"/>
    <x v="1"/>
    <x v="9"/>
    <x v="604"/>
    <x v="5"/>
    <x v="2"/>
    <x v="14"/>
    <x v="1306"/>
    <x v="4069"/>
    <n v="5"/>
    <x v="4062"/>
  </r>
  <r>
    <d v="2020-10-26T00:00:00"/>
    <x v="1"/>
    <x v="9"/>
    <x v="604"/>
    <x v="5"/>
    <x v="2"/>
    <x v="5"/>
    <x v="314"/>
    <x v="4262"/>
    <n v="3"/>
    <x v="4063"/>
  </r>
  <r>
    <d v="2020-10-26T00:00:00"/>
    <x v="1"/>
    <x v="9"/>
    <x v="738"/>
    <x v="5"/>
    <x v="1"/>
    <x v="1"/>
    <x v="470"/>
    <x v="4263"/>
    <n v="1"/>
    <x v="4064"/>
  </r>
  <r>
    <d v="2020-10-26T00:00:00"/>
    <x v="1"/>
    <x v="9"/>
    <x v="310"/>
    <x v="2"/>
    <x v="2"/>
    <x v="2"/>
    <x v="1393"/>
    <x v="4264"/>
    <n v="2"/>
    <x v="4065"/>
  </r>
  <r>
    <d v="2020-10-26T00:00:00"/>
    <x v="1"/>
    <x v="9"/>
    <x v="738"/>
    <x v="5"/>
    <x v="2"/>
    <x v="5"/>
    <x v="698"/>
    <x v="4265"/>
    <n v="7"/>
    <x v="4066"/>
  </r>
  <r>
    <d v="2020-10-27T00:00:00"/>
    <x v="1"/>
    <x v="9"/>
    <x v="9"/>
    <x v="1"/>
    <x v="1"/>
    <x v="1"/>
    <x v="607"/>
    <x v="4266"/>
    <n v="4"/>
    <x v="4067"/>
  </r>
  <r>
    <d v="2020-10-27T00:00:00"/>
    <x v="1"/>
    <x v="9"/>
    <x v="545"/>
    <x v="1"/>
    <x v="0"/>
    <x v="4"/>
    <x v="954"/>
    <x v="4267"/>
    <n v="1"/>
    <x v="4068"/>
  </r>
  <r>
    <d v="2020-10-27T00:00:00"/>
    <x v="1"/>
    <x v="9"/>
    <x v="9"/>
    <x v="1"/>
    <x v="0"/>
    <x v="0"/>
    <x v="1087"/>
    <x v="4268"/>
    <n v="5"/>
    <x v="384"/>
  </r>
  <r>
    <d v="2020-10-27T00:00:00"/>
    <x v="1"/>
    <x v="9"/>
    <x v="225"/>
    <x v="6"/>
    <x v="2"/>
    <x v="5"/>
    <x v="1418"/>
    <x v="4269"/>
    <n v="3"/>
    <x v="4069"/>
  </r>
  <r>
    <d v="2020-10-27T00:00:00"/>
    <x v="1"/>
    <x v="9"/>
    <x v="277"/>
    <x v="2"/>
    <x v="2"/>
    <x v="10"/>
    <x v="1693"/>
    <x v="584"/>
    <n v="2"/>
    <x v="4070"/>
  </r>
  <r>
    <d v="2020-10-27T00:00:00"/>
    <x v="1"/>
    <x v="9"/>
    <x v="277"/>
    <x v="2"/>
    <x v="2"/>
    <x v="9"/>
    <x v="1000"/>
    <x v="4270"/>
    <n v="2"/>
    <x v="1350"/>
  </r>
  <r>
    <d v="2020-10-27T00:00:00"/>
    <x v="1"/>
    <x v="9"/>
    <x v="225"/>
    <x v="6"/>
    <x v="2"/>
    <x v="7"/>
    <x v="507"/>
    <x v="4271"/>
    <n v="3"/>
    <x v="4071"/>
  </r>
  <r>
    <d v="2020-10-27T00:00:00"/>
    <x v="1"/>
    <x v="9"/>
    <x v="423"/>
    <x v="17"/>
    <x v="2"/>
    <x v="7"/>
    <x v="712"/>
    <x v="4272"/>
    <n v="3"/>
    <x v="2704"/>
  </r>
  <r>
    <d v="2020-10-27T00:00:00"/>
    <x v="1"/>
    <x v="9"/>
    <x v="423"/>
    <x v="17"/>
    <x v="1"/>
    <x v="1"/>
    <x v="1463"/>
    <x v="4273"/>
    <n v="2"/>
    <x v="4072"/>
  </r>
  <r>
    <d v="2020-10-27T00:00:00"/>
    <x v="1"/>
    <x v="9"/>
    <x v="121"/>
    <x v="20"/>
    <x v="2"/>
    <x v="9"/>
    <x v="32"/>
    <x v="4274"/>
    <n v="1"/>
    <x v="4073"/>
  </r>
  <r>
    <d v="2020-10-27T00:00:00"/>
    <x v="1"/>
    <x v="9"/>
    <x v="225"/>
    <x v="6"/>
    <x v="2"/>
    <x v="9"/>
    <x v="84"/>
    <x v="4275"/>
    <n v="7"/>
    <x v="4074"/>
  </r>
  <r>
    <d v="2020-10-27T00:00:00"/>
    <x v="1"/>
    <x v="9"/>
    <x v="545"/>
    <x v="1"/>
    <x v="1"/>
    <x v="1"/>
    <x v="827"/>
    <x v="4276"/>
    <n v="5"/>
    <x v="3624"/>
  </r>
  <r>
    <d v="2020-10-28T00:00:00"/>
    <x v="1"/>
    <x v="9"/>
    <x v="157"/>
    <x v="4"/>
    <x v="2"/>
    <x v="2"/>
    <x v="281"/>
    <x v="4277"/>
    <n v="2"/>
    <x v="3626"/>
  </r>
  <r>
    <d v="2020-10-28T00:00:00"/>
    <x v="1"/>
    <x v="9"/>
    <x v="750"/>
    <x v="2"/>
    <x v="2"/>
    <x v="9"/>
    <x v="1696"/>
    <x v="4278"/>
    <n v="3"/>
    <x v="29"/>
  </r>
  <r>
    <d v="2020-10-28T00:00:00"/>
    <x v="1"/>
    <x v="9"/>
    <x v="750"/>
    <x v="2"/>
    <x v="1"/>
    <x v="3"/>
    <x v="483"/>
    <x v="4279"/>
    <n v="2"/>
    <x v="532"/>
  </r>
  <r>
    <d v="2020-10-28T00:00:00"/>
    <x v="1"/>
    <x v="9"/>
    <x v="625"/>
    <x v="26"/>
    <x v="2"/>
    <x v="14"/>
    <x v="529"/>
    <x v="4280"/>
    <n v="3"/>
    <x v="830"/>
  </r>
  <r>
    <d v="2020-10-28T00:00:00"/>
    <x v="1"/>
    <x v="9"/>
    <x v="750"/>
    <x v="2"/>
    <x v="1"/>
    <x v="3"/>
    <x v="677"/>
    <x v="2976"/>
    <n v="2"/>
    <x v="3246"/>
  </r>
  <r>
    <d v="2020-10-28T00:00:00"/>
    <x v="1"/>
    <x v="9"/>
    <x v="698"/>
    <x v="12"/>
    <x v="2"/>
    <x v="10"/>
    <x v="158"/>
    <x v="4281"/>
    <n v="2"/>
    <x v="4075"/>
  </r>
  <r>
    <d v="2020-10-28T00:00:00"/>
    <x v="1"/>
    <x v="9"/>
    <x v="157"/>
    <x v="4"/>
    <x v="0"/>
    <x v="8"/>
    <x v="463"/>
    <x v="4282"/>
    <n v="3"/>
    <x v="1910"/>
  </r>
  <r>
    <d v="2020-10-28T00:00:00"/>
    <x v="1"/>
    <x v="9"/>
    <x v="157"/>
    <x v="4"/>
    <x v="2"/>
    <x v="9"/>
    <x v="1519"/>
    <x v="1278"/>
    <n v="3"/>
    <x v="2935"/>
  </r>
  <r>
    <d v="2020-10-29T00:00:00"/>
    <x v="1"/>
    <x v="9"/>
    <x v="243"/>
    <x v="12"/>
    <x v="2"/>
    <x v="9"/>
    <x v="1013"/>
    <x v="4283"/>
    <n v="8"/>
    <x v="4076"/>
  </r>
  <r>
    <d v="2020-10-30T00:00:00"/>
    <x v="1"/>
    <x v="9"/>
    <x v="751"/>
    <x v="9"/>
    <x v="0"/>
    <x v="11"/>
    <x v="579"/>
    <x v="4284"/>
    <n v="2"/>
    <x v="4077"/>
  </r>
  <r>
    <d v="2020-10-30T00:00:00"/>
    <x v="1"/>
    <x v="9"/>
    <x v="65"/>
    <x v="19"/>
    <x v="2"/>
    <x v="2"/>
    <x v="1068"/>
    <x v="4285"/>
    <n v="7"/>
    <x v="4078"/>
  </r>
  <r>
    <d v="2020-10-30T00:00:00"/>
    <x v="1"/>
    <x v="9"/>
    <x v="690"/>
    <x v="9"/>
    <x v="2"/>
    <x v="5"/>
    <x v="314"/>
    <x v="4286"/>
    <n v="3"/>
    <x v="4079"/>
  </r>
  <r>
    <d v="2020-10-30T00:00:00"/>
    <x v="1"/>
    <x v="9"/>
    <x v="511"/>
    <x v="1"/>
    <x v="1"/>
    <x v="1"/>
    <x v="971"/>
    <x v="4287"/>
    <n v="2"/>
    <x v="3187"/>
  </r>
  <r>
    <d v="2020-10-30T00:00:00"/>
    <x v="1"/>
    <x v="9"/>
    <x v="751"/>
    <x v="9"/>
    <x v="0"/>
    <x v="0"/>
    <x v="1073"/>
    <x v="4288"/>
    <n v="2"/>
    <x v="4080"/>
  </r>
  <r>
    <d v="2020-10-30T00:00:00"/>
    <x v="1"/>
    <x v="9"/>
    <x v="704"/>
    <x v="2"/>
    <x v="0"/>
    <x v="4"/>
    <x v="1572"/>
    <x v="4289"/>
    <n v="2"/>
    <x v="4081"/>
  </r>
  <r>
    <d v="2020-10-30T00:00:00"/>
    <x v="1"/>
    <x v="9"/>
    <x v="519"/>
    <x v="5"/>
    <x v="1"/>
    <x v="3"/>
    <x v="47"/>
    <x v="4290"/>
    <n v="7"/>
    <x v="4082"/>
  </r>
  <r>
    <d v="2020-10-30T00:00:00"/>
    <x v="1"/>
    <x v="9"/>
    <x v="751"/>
    <x v="9"/>
    <x v="0"/>
    <x v="11"/>
    <x v="48"/>
    <x v="4291"/>
    <n v="8"/>
    <x v="4083"/>
  </r>
  <r>
    <d v="2020-10-30T00:00:00"/>
    <x v="1"/>
    <x v="9"/>
    <x v="511"/>
    <x v="1"/>
    <x v="2"/>
    <x v="13"/>
    <x v="595"/>
    <x v="4292"/>
    <n v="14"/>
    <x v="4084"/>
  </r>
  <r>
    <d v="2020-10-30T00:00:00"/>
    <x v="1"/>
    <x v="9"/>
    <x v="487"/>
    <x v="9"/>
    <x v="0"/>
    <x v="8"/>
    <x v="1097"/>
    <x v="3470"/>
    <n v="2"/>
    <x v="4085"/>
  </r>
  <r>
    <d v="2020-10-30T00:00:00"/>
    <x v="1"/>
    <x v="9"/>
    <x v="519"/>
    <x v="5"/>
    <x v="2"/>
    <x v="9"/>
    <x v="825"/>
    <x v="4293"/>
    <n v="4"/>
    <x v="286"/>
  </r>
  <r>
    <d v="2020-10-30T00:00:00"/>
    <x v="1"/>
    <x v="9"/>
    <x v="511"/>
    <x v="1"/>
    <x v="2"/>
    <x v="9"/>
    <x v="1624"/>
    <x v="4294"/>
    <n v="2"/>
    <x v="4086"/>
  </r>
  <r>
    <d v="2020-10-30T00:00:00"/>
    <x v="1"/>
    <x v="9"/>
    <x v="511"/>
    <x v="1"/>
    <x v="2"/>
    <x v="7"/>
    <x v="501"/>
    <x v="4295"/>
    <n v="5"/>
    <x v="4087"/>
  </r>
  <r>
    <d v="2020-10-30T00:00:00"/>
    <x v="1"/>
    <x v="9"/>
    <x v="704"/>
    <x v="2"/>
    <x v="0"/>
    <x v="8"/>
    <x v="1615"/>
    <x v="4296"/>
    <n v="2"/>
    <x v="4088"/>
  </r>
  <r>
    <d v="2020-10-30T00:00:00"/>
    <x v="1"/>
    <x v="9"/>
    <x v="519"/>
    <x v="5"/>
    <x v="0"/>
    <x v="8"/>
    <x v="641"/>
    <x v="4297"/>
    <n v="2"/>
    <x v="4089"/>
  </r>
  <r>
    <d v="2020-10-30T00:00:00"/>
    <x v="1"/>
    <x v="9"/>
    <x v="65"/>
    <x v="19"/>
    <x v="0"/>
    <x v="11"/>
    <x v="1145"/>
    <x v="4298"/>
    <n v="1"/>
    <x v="4090"/>
  </r>
  <r>
    <d v="2020-10-30T00:00:00"/>
    <x v="1"/>
    <x v="9"/>
    <x v="690"/>
    <x v="9"/>
    <x v="2"/>
    <x v="5"/>
    <x v="1212"/>
    <x v="4299"/>
    <n v="2"/>
    <x v="4091"/>
  </r>
  <r>
    <d v="2020-10-30T00:00:00"/>
    <x v="1"/>
    <x v="9"/>
    <x v="519"/>
    <x v="5"/>
    <x v="2"/>
    <x v="2"/>
    <x v="747"/>
    <x v="4300"/>
    <n v="2"/>
    <x v="4092"/>
  </r>
  <r>
    <d v="2020-10-30T00:00:00"/>
    <x v="1"/>
    <x v="9"/>
    <x v="65"/>
    <x v="19"/>
    <x v="2"/>
    <x v="16"/>
    <x v="857"/>
    <x v="4301"/>
    <n v="2"/>
    <x v="1059"/>
  </r>
  <r>
    <d v="2020-10-30T00:00:00"/>
    <x v="1"/>
    <x v="9"/>
    <x v="65"/>
    <x v="19"/>
    <x v="2"/>
    <x v="14"/>
    <x v="1004"/>
    <x v="4302"/>
    <n v="8"/>
    <x v="378"/>
  </r>
  <r>
    <d v="2020-10-30T00:00:00"/>
    <x v="1"/>
    <x v="9"/>
    <x v="511"/>
    <x v="1"/>
    <x v="2"/>
    <x v="14"/>
    <x v="1697"/>
    <x v="4303"/>
    <n v="6"/>
    <x v="4093"/>
  </r>
  <r>
    <d v="2020-10-30T00:00:00"/>
    <x v="1"/>
    <x v="9"/>
    <x v="511"/>
    <x v="1"/>
    <x v="0"/>
    <x v="11"/>
    <x v="752"/>
    <x v="4304"/>
    <n v="1"/>
    <x v="4094"/>
  </r>
  <r>
    <d v="2020-10-30T00:00:00"/>
    <x v="1"/>
    <x v="9"/>
    <x v="704"/>
    <x v="2"/>
    <x v="2"/>
    <x v="2"/>
    <x v="89"/>
    <x v="4305"/>
    <n v="6"/>
    <x v="4095"/>
  </r>
  <r>
    <d v="2020-10-31T00:00:00"/>
    <x v="1"/>
    <x v="9"/>
    <x v="416"/>
    <x v="17"/>
    <x v="1"/>
    <x v="1"/>
    <x v="849"/>
    <x v="4306"/>
    <n v="4"/>
    <x v="4096"/>
  </r>
  <r>
    <d v="2020-10-31T00:00:00"/>
    <x v="1"/>
    <x v="9"/>
    <x v="351"/>
    <x v="2"/>
    <x v="2"/>
    <x v="7"/>
    <x v="1502"/>
    <x v="3963"/>
    <n v="2"/>
    <x v="13"/>
  </r>
  <r>
    <d v="2020-10-31T00:00:00"/>
    <x v="1"/>
    <x v="9"/>
    <x v="416"/>
    <x v="17"/>
    <x v="2"/>
    <x v="10"/>
    <x v="38"/>
    <x v="4307"/>
    <n v="3"/>
    <x v="3759"/>
  </r>
  <r>
    <d v="2020-11-01T00:00:00"/>
    <x v="1"/>
    <x v="10"/>
    <x v="620"/>
    <x v="26"/>
    <x v="2"/>
    <x v="9"/>
    <x v="326"/>
    <x v="4308"/>
    <n v="10"/>
    <x v="4097"/>
  </r>
  <r>
    <d v="2020-11-01T00:00:00"/>
    <x v="1"/>
    <x v="10"/>
    <x v="176"/>
    <x v="9"/>
    <x v="0"/>
    <x v="4"/>
    <x v="1298"/>
    <x v="4309"/>
    <n v="9"/>
    <x v="4098"/>
  </r>
  <r>
    <d v="2020-11-01T00:00:00"/>
    <x v="1"/>
    <x v="10"/>
    <x v="176"/>
    <x v="9"/>
    <x v="2"/>
    <x v="5"/>
    <x v="756"/>
    <x v="4077"/>
    <n v="5"/>
    <x v="311"/>
  </r>
  <r>
    <d v="2020-11-01T00:00:00"/>
    <x v="1"/>
    <x v="10"/>
    <x v="620"/>
    <x v="26"/>
    <x v="2"/>
    <x v="9"/>
    <x v="41"/>
    <x v="4310"/>
    <n v="1"/>
    <x v="393"/>
  </r>
  <r>
    <d v="2020-11-02T00:00:00"/>
    <x v="1"/>
    <x v="10"/>
    <x v="164"/>
    <x v="19"/>
    <x v="2"/>
    <x v="2"/>
    <x v="450"/>
    <x v="3533"/>
    <n v="4"/>
    <x v="4099"/>
  </r>
  <r>
    <d v="2020-11-02T00:00:00"/>
    <x v="1"/>
    <x v="10"/>
    <x v="377"/>
    <x v="30"/>
    <x v="2"/>
    <x v="13"/>
    <x v="1470"/>
    <x v="3672"/>
    <n v="10"/>
    <x v="4100"/>
  </r>
  <r>
    <d v="2020-11-02T00:00:00"/>
    <x v="1"/>
    <x v="10"/>
    <x v="481"/>
    <x v="1"/>
    <x v="2"/>
    <x v="13"/>
    <x v="1466"/>
    <x v="4311"/>
    <n v="5"/>
    <x v="3292"/>
  </r>
  <r>
    <d v="2020-11-02T00:00:00"/>
    <x v="1"/>
    <x v="10"/>
    <x v="684"/>
    <x v="8"/>
    <x v="0"/>
    <x v="11"/>
    <x v="560"/>
    <x v="4312"/>
    <n v="2"/>
    <x v="4101"/>
  </r>
  <r>
    <d v="2020-11-02T00:00:00"/>
    <x v="1"/>
    <x v="10"/>
    <x v="321"/>
    <x v="8"/>
    <x v="2"/>
    <x v="16"/>
    <x v="322"/>
    <x v="4313"/>
    <n v="2"/>
    <x v="4102"/>
  </r>
  <r>
    <d v="2020-11-02T00:00:00"/>
    <x v="1"/>
    <x v="10"/>
    <x v="295"/>
    <x v="1"/>
    <x v="2"/>
    <x v="2"/>
    <x v="1387"/>
    <x v="4314"/>
    <n v="7"/>
    <x v="4103"/>
  </r>
  <r>
    <d v="2020-11-02T00:00:00"/>
    <x v="1"/>
    <x v="10"/>
    <x v="295"/>
    <x v="1"/>
    <x v="2"/>
    <x v="5"/>
    <x v="1698"/>
    <x v="4315"/>
    <n v="6"/>
    <x v="4104"/>
  </r>
  <r>
    <d v="2020-11-02T00:00:00"/>
    <x v="1"/>
    <x v="10"/>
    <x v="208"/>
    <x v="5"/>
    <x v="1"/>
    <x v="1"/>
    <x v="584"/>
    <x v="4316"/>
    <n v="4"/>
    <x v="4105"/>
  </r>
  <r>
    <d v="2020-11-02T00:00:00"/>
    <x v="1"/>
    <x v="10"/>
    <x v="164"/>
    <x v="19"/>
    <x v="0"/>
    <x v="11"/>
    <x v="310"/>
    <x v="4317"/>
    <n v="4"/>
    <x v="339"/>
  </r>
  <r>
    <d v="2020-11-02T00:00:00"/>
    <x v="1"/>
    <x v="10"/>
    <x v="164"/>
    <x v="19"/>
    <x v="1"/>
    <x v="3"/>
    <x v="871"/>
    <x v="4318"/>
    <n v="9"/>
    <x v="4106"/>
  </r>
  <r>
    <d v="2020-11-02T00:00:00"/>
    <x v="1"/>
    <x v="10"/>
    <x v="164"/>
    <x v="19"/>
    <x v="2"/>
    <x v="10"/>
    <x v="1406"/>
    <x v="4319"/>
    <n v="2"/>
    <x v="4107"/>
  </r>
  <r>
    <d v="2020-11-02T00:00:00"/>
    <x v="1"/>
    <x v="10"/>
    <x v="573"/>
    <x v="18"/>
    <x v="2"/>
    <x v="7"/>
    <x v="1304"/>
    <x v="4320"/>
    <n v="2"/>
    <x v="683"/>
  </r>
  <r>
    <d v="2020-11-02T00:00:00"/>
    <x v="1"/>
    <x v="10"/>
    <x v="388"/>
    <x v="9"/>
    <x v="2"/>
    <x v="9"/>
    <x v="124"/>
    <x v="4321"/>
    <n v="5"/>
    <x v="4108"/>
  </r>
  <r>
    <d v="2020-11-02T00:00:00"/>
    <x v="1"/>
    <x v="10"/>
    <x v="377"/>
    <x v="30"/>
    <x v="2"/>
    <x v="9"/>
    <x v="284"/>
    <x v="4322"/>
    <n v="2"/>
    <x v="2465"/>
  </r>
  <r>
    <d v="2020-11-02T00:00:00"/>
    <x v="1"/>
    <x v="10"/>
    <x v="208"/>
    <x v="5"/>
    <x v="2"/>
    <x v="10"/>
    <x v="1444"/>
    <x v="4323"/>
    <n v="3"/>
    <x v="2625"/>
  </r>
  <r>
    <d v="2020-11-02T00:00:00"/>
    <x v="1"/>
    <x v="10"/>
    <x v="14"/>
    <x v="40"/>
    <x v="2"/>
    <x v="9"/>
    <x v="1627"/>
    <x v="4324"/>
    <n v="3"/>
    <x v="397"/>
  </r>
  <r>
    <d v="2020-11-02T00:00:00"/>
    <x v="1"/>
    <x v="10"/>
    <x v="295"/>
    <x v="1"/>
    <x v="2"/>
    <x v="7"/>
    <x v="659"/>
    <x v="4325"/>
    <n v="5"/>
    <x v="4109"/>
  </r>
  <r>
    <d v="2020-11-02T00:00:00"/>
    <x v="1"/>
    <x v="10"/>
    <x v="208"/>
    <x v="5"/>
    <x v="0"/>
    <x v="8"/>
    <x v="789"/>
    <x v="4326"/>
    <n v="1"/>
    <x v="4110"/>
  </r>
  <r>
    <d v="2020-11-02T00:00:00"/>
    <x v="1"/>
    <x v="10"/>
    <x v="295"/>
    <x v="1"/>
    <x v="2"/>
    <x v="12"/>
    <x v="1443"/>
    <x v="4327"/>
    <n v="3"/>
    <x v="4111"/>
  </r>
  <r>
    <d v="2020-11-02T00:00:00"/>
    <x v="1"/>
    <x v="10"/>
    <x v="562"/>
    <x v="38"/>
    <x v="2"/>
    <x v="12"/>
    <x v="163"/>
    <x v="2261"/>
    <n v="3"/>
    <x v="3455"/>
  </r>
  <r>
    <d v="2020-11-02T00:00:00"/>
    <x v="1"/>
    <x v="10"/>
    <x v="208"/>
    <x v="5"/>
    <x v="2"/>
    <x v="13"/>
    <x v="1470"/>
    <x v="4328"/>
    <n v="3"/>
    <x v="4112"/>
  </r>
  <r>
    <d v="2020-11-02T00:00:00"/>
    <x v="1"/>
    <x v="10"/>
    <x v="562"/>
    <x v="38"/>
    <x v="2"/>
    <x v="7"/>
    <x v="616"/>
    <x v="4329"/>
    <n v="6"/>
    <x v="4113"/>
  </r>
  <r>
    <d v="2020-11-02T00:00:00"/>
    <x v="1"/>
    <x v="10"/>
    <x v="295"/>
    <x v="1"/>
    <x v="0"/>
    <x v="8"/>
    <x v="1699"/>
    <x v="4330"/>
    <n v="3"/>
    <x v="4114"/>
  </r>
  <r>
    <d v="2020-11-02T00:00:00"/>
    <x v="1"/>
    <x v="10"/>
    <x v="421"/>
    <x v="17"/>
    <x v="2"/>
    <x v="7"/>
    <x v="1090"/>
    <x v="4331"/>
    <n v="4"/>
    <x v="4115"/>
  </r>
  <r>
    <d v="2020-11-02T00:00:00"/>
    <x v="1"/>
    <x v="10"/>
    <x v="295"/>
    <x v="1"/>
    <x v="2"/>
    <x v="10"/>
    <x v="939"/>
    <x v="4332"/>
    <n v="7"/>
    <x v="4116"/>
  </r>
  <r>
    <d v="2020-11-03T00:00:00"/>
    <x v="1"/>
    <x v="10"/>
    <x v="289"/>
    <x v="9"/>
    <x v="2"/>
    <x v="9"/>
    <x v="626"/>
    <x v="4333"/>
    <n v="7"/>
    <x v="4117"/>
  </r>
  <r>
    <d v="2020-11-03T00:00:00"/>
    <x v="1"/>
    <x v="10"/>
    <x v="206"/>
    <x v="1"/>
    <x v="1"/>
    <x v="3"/>
    <x v="205"/>
    <x v="4334"/>
    <n v="5"/>
    <x v="217"/>
  </r>
  <r>
    <d v="2020-11-03T00:00:00"/>
    <x v="1"/>
    <x v="10"/>
    <x v="289"/>
    <x v="9"/>
    <x v="0"/>
    <x v="11"/>
    <x v="1566"/>
    <x v="4335"/>
    <n v="4"/>
    <x v="4118"/>
  </r>
  <r>
    <d v="2020-11-03T00:00:00"/>
    <x v="1"/>
    <x v="10"/>
    <x v="717"/>
    <x v="6"/>
    <x v="1"/>
    <x v="1"/>
    <x v="1221"/>
    <x v="4336"/>
    <n v="2"/>
    <x v="1855"/>
  </r>
  <r>
    <d v="2020-11-03T00:00:00"/>
    <x v="1"/>
    <x v="10"/>
    <x v="445"/>
    <x v="1"/>
    <x v="0"/>
    <x v="4"/>
    <x v="1336"/>
    <x v="4337"/>
    <n v="4"/>
    <x v="4119"/>
  </r>
  <r>
    <d v="2020-11-03T00:00:00"/>
    <x v="1"/>
    <x v="10"/>
    <x v="66"/>
    <x v="6"/>
    <x v="1"/>
    <x v="6"/>
    <x v="1382"/>
    <x v="4338"/>
    <n v="2"/>
    <x v="4120"/>
  </r>
  <r>
    <d v="2020-11-03T00:00:00"/>
    <x v="1"/>
    <x v="10"/>
    <x v="206"/>
    <x v="1"/>
    <x v="0"/>
    <x v="4"/>
    <x v="69"/>
    <x v="4339"/>
    <n v="12"/>
    <x v="4121"/>
  </r>
  <r>
    <d v="2020-11-03T00:00:00"/>
    <x v="1"/>
    <x v="10"/>
    <x v="752"/>
    <x v="27"/>
    <x v="2"/>
    <x v="14"/>
    <x v="1071"/>
    <x v="4340"/>
    <n v="3"/>
    <x v="717"/>
  </r>
  <r>
    <d v="2020-11-03T00:00:00"/>
    <x v="1"/>
    <x v="10"/>
    <x v="294"/>
    <x v="4"/>
    <x v="2"/>
    <x v="9"/>
    <x v="1338"/>
    <x v="4341"/>
    <n v="3"/>
    <x v="4122"/>
  </r>
  <r>
    <d v="2020-11-03T00:00:00"/>
    <x v="1"/>
    <x v="10"/>
    <x v="434"/>
    <x v="21"/>
    <x v="0"/>
    <x v="8"/>
    <x v="942"/>
    <x v="4342"/>
    <n v="1"/>
    <x v="4123"/>
  </r>
  <r>
    <d v="2020-11-03T00:00:00"/>
    <x v="1"/>
    <x v="10"/>
    <x v="66"/>
    <x v="6"/>
    <x v="2"/>
    <x v="5"/>
    <x v="189"/>
    <x v="4343"/>
    <n v="2"/>
    <x v="4124"/>
  </r>
  <r>
    <d v="2020-11-03T00:00:00"/>
    <x v="1"/>
    <x v="10"/>
    <x v="752"/>
    <x v="27"/>
    <x v="2"/>
    <x v="9"/>
    <x v="975"/>
    <x v="4344"/>
    <n v="2"/>
    <x v="1545"/>
  </r>
  <r>
    <d v="2020-11-03T00:00:00"/>
    <x v="1"/>
    <x v="10"/>
    <x v="26"/>
    <x v="1"/>
    <x v="2"/>
    <x v="9"/>
    <x v="1558"/>
    <x v="4148"/>
    <n v="6"/>
    <x v="1642"/>
  </r>
  <r>
    <d v="2020-11-03T00:00:00"/>
    <x v="1"/>
    <x v="10"/>
    <x v="236"/>
    <x v="19"/>
    <x v="2"/>
    <x v="9"/>
    <x v="1700"/>
    <x v="193"/>
    <n v="5"/>
    <x v="4055"/>
  </r>
  <r>
    <d v="2020-11-03T00:00:00"/>
    <x v="1"/>
    <x v="10"/>
    <x v="749"/>
    <x v="14"/>
    <x v="2"/>
    <x v="14"/>
    <x v="57"/>
    <x v="4345"/>
    <n v="3"/>
    <x v="1647"/>
  </r>
  <r>
    <d v="2020-11-03T00:00:00"/>
    <x v="1"/>
    <x v="10"/>
    <x v="9"/>
    <x v="9"/>
    <x v="2"/>
    <x v="5"/>
    <x v="522"/>
    <x v="4191"/>
    <n v="4"/>
    <x v="4125"/>
  </r>
  <r>
    <d v="2020-11-03T00:00:00"/>
    <x v="1"/>
    <x v="10"/>
    <x v="66"/>
    <x v="6"/>
    <x v="2"/>
    <x v="9"/>
    <x v="332"/>
    <x v="4346"/>
    <n v="2"/>
    <x v="542"/>
  </r>
  <r>
    <d v="2020-11-03T00:00:00"/>
    <x v="1"/>
    <x v="10"/>
    <x v="238"/>
    <x v="5"/>
    <x v="2"/>
    <x v="5"/>
    <x v="1605"/>
    <x v="4347"/>
    <n v="3"/>
    <x v="4126"/>
  </r>
  <r>
    <d v="2020-11-03T00:00:00"/>
    <x v="1"/>
    <x v="10"/>
    <x v="142"/>
    <x v="5"/>
    <x v="1"/>
    <x v="3"/>
    <x v="1100"/>
    <x v="4348"/>
    <n v="3"/>
    <x v="4127"/>
  </r>
  <r>
    <d v="2020-11-03T00:00:00"/>
    <x v="1"/>
    <x v="10"/>
    <x v="600"/>
    <x v="9"/>
    <x v="1"/>
    <x v="3"/>
    <x v="775"/>
    <x v="4349"/>
    <n v="3"/>
    <x v="4128"/>
  </r>
  <r>
    <d v="2020-11-03T00:00:00"/>
    <x v="1"/>
    <x v="10"/>
    <x v="543"/>
    <x v="44"/>
    <x v="0"/>
    <x v="8"/>
    <x v="148"/>
    <x v="4350"/>
    <n v="3"/>
    <x v="637"/>
  </r>
  <r>
    <d v="2020-11-03T00:00:00"/>
    <x v="1"/>
    <x v="10"/>
    <x v="66"/>
    <x v="6"/>
    <x v="2"/>
    <x v="7"/>
    <x v="1368"/>
    <x v="4351"/>
    <n v="2"/>
    <x v="4129"/>
  </r>
  <r>
    <d v="2020-11-03T00:00:00"/>
    <x v="1"/>
    <x v="10"/>
    <x v="752"/>
    <x v="27"/>
    <x v="2"/>
    <x v="2"/>
    <x v="764"/>
    <x v="4352"/>
    <n v="5"/>
    <x v="4130"/>
  </r>
  <r>
    <d v="2020-11-04T00:00:00"/>
    <x v="1"/>
    <x v="10"/>
    <x v="58"/>
    <x v="21"/>
    <x v="1"/>
    <x v="3"/>
    <x v="1660"/>
    <x v="2579"/>
    <n v="3"/>
    <x v="4131"/>
  </r>
  <r>
    <d v="2020-11-04T00:00:00"/>
    <x v="1"/>
    <x v="10"/>
    <x v="58"/>
    <x v="21"/>
    <x v="1"/>
    <x v="1"/>
    <x v="1643"/>
    <x v="4353"/>
    <n v="9"/>
    <x v="4132"/>
  </r>
  <r>
    <d v="2020-11-04T00:00:00"/>
    <x v="1"/>
    <x v="10"/>
    <x v="753"/>
    <x v="4"/>
    <x v="2"/>
    <x v="13"/>
    <x v="941"/>
    <x v="4354"/>
    <n v="2"/>
    <x v="1503"/>
  </r>
  <r>
    <d v="2020-11-04T00:00:00"/>
    <x v="1"/>
    <x v="10"/>
    <x v="34"/>
    <x v="8"/>
    <x v="2"/>
    <x v="2"/>
    <x v="99"/>
    <x v="4355"/>
    <n v="3"/>
    <x v="4133"/>
  </r>
  <r>
    <d v="2020-11-04T00:00:00"/>
    <x v="1"/>
    <x v="10"/>
    <x v="496"/>
    <x v="4"/>
    <x v="0"/>
    <x v="4"/>
    <x v="1112"/>
    <x v="4356"/>
    <n v="3"/>
    <x v="4134"/>
  </r>
  <r>
    <d v="2020-11-04T00:00:00"/>
    <x v="1"/>
    <x v="10"/>
    <x v="496"/>
    <x v="4"/>
    <x v="1"/>
    <x v="1"/>
    <x v="1266"/>
    <x v="4357"/>
    <n v="5"/>
    <x v="4135"/>
  </r>
  <r>
    <d v="2020-11-04T00:00:00"/>
    <x v="1"/>
    <x v="10"/>
    <x v="753"/>
    <x v="4"/>
    <x v="1"/>
    <x v="15"/>
    <x v="1701"/>
    <x v="4358"/>
    <n v="4"/>
    <x v="4136"/>
  </r>
  <r>
    <d v="2020-11-04T00:00:00"/>
    <x v="1"/>
    <x v="10"/>
    <x v="306"/>
    <x v="2"/>
    <x v="2"/>
    <x v="5"/>
    <x v="1702"/>
    <x v="4359"/>
    <n v="2"/>
    <x v="4137"/>
  </r>
  <r>
    <d v="2020-11-04T00:00:00"/>
    <x v="1"/>
    <x v="10"/>
    <x v="58"/>
    <x v="21"/>
    <x v="2"/>
    <x v="14"/>
    <x v="527"/>
    <x v="4360"/>
    <n v="2"/>
    <x v="1561"/>
  </r>
  <r>
    <d v="2020-11-04T00:00:00"/>
    <x v="1"/>
    <x v="10"/>
    <x v="322"/>
    <x v="21"/>
    <x v="2"/>
    <x v="9"/>
    <x v="388"/>
    <x v="4361"/>
    <n v="2"/>
    <x v="429"/>
  </r>
  <r>
    <d v="2020-11-04T00:00:00"/>
    <x v="1"/>
    <x v="10"/>
    <x v="448"/>
    <x v="2"/>
    <x v="2"/>
    <x v="14"/>
    <x v="486"/>
    <x v="4362"/>
    <n v="2"/>
    <x v="2665"/>
  </r>
  <r>
    <d v="2020-11-04T00:00:00"/>
    <x v="1"/>
    <x v="10"/>
    <x v="390"/>
    <x v="33"/>
    <x v="2"/>
    <x v="7"/>
    <x v="1531"/>
    <x v="4363"/>
    <n v="2"/>
    <x v="4138"/>
  </r>
  <r>
    <d v="2020-11-04T00:00:00"/>
    <x v="1"/>
    <x v="10"/>
    <x v="306"/>
    <x v="2"/>
    <x v="2"/>
    <x v="5"/>
    <x v="756"/>
    <x v="4364"/>
    <n v="6"/>
    <x v="4139"/>
  </r>
  <r>
    <d v="2020-11-04T00:00:00"/>
    <x v="1"/>
    <x v="10"/>
    <x v="58"/>
    <x v="21"/>
    <x v="2"/>
    <x v="5"/>
    <x v="7"/>
    <x v="4245"/>
    <n v="2"/>
    <x v="4140"/>
  </r>
  <r>
    <d v="2020-11-04T00:00:00"/>
    <x v="1"/>
    <x v="10"/>
    <x v="306"/>
    <x v="2"/>
    <x v="2"/>
    <x v="5"/>
    <x v="434"/>
    <x v="4058"/>
    <n v="4"/>
    <x v="4141"/>
  </r>
  <r>
    <d v="2020-11-04T00:00:00"/>
    <x v="1"/>
    <x v="10"/>
    <x v="306"/>
    <x v="2"/>
    <x v="2"/>
    <x v="2"/>
    <x v="288"/>
    <x v="3408"/>
    <n v="3"/>
    <x v="4142"/>
  </r>
  <r>
    <d v="2020-11-04T00:00:00"/>
    <x v="1"/>
    <x v="10"/>
    <x v="34"/>
    <x v="8"/>
    <x v="1"/>
    <x v="3"/>
    <x v="1136"/>
    <x v="4365"/>
    <n v="4"/>
    <x v="2781"/>
  </r>
  <r>
    <d v="2020-11-05T00:00:00"/>
    <x v="1"/>
    <x v="10"/>
    <x v="123"/>
    <x v="24"/>
    <x v="2"/>
    <x v="9"/>
    <x v="1338"/>
    <x v="4325"/>
    <n v="10"/>
    <x v="4143"/>
  </r>
  <r>
    <d v="2020-11-05T00:00:00"/>
    <x v="1"/>
    <x v="10"/>
    <x v="754"/>
    <x v="12"/>
    <x v="1"/>
    <x v="1"/>
    <x v="111"/>
    <x v="4366"/>
    <n v="2"/>
    <x v="4144"/>
  </r>
  <r>
    <d v="2020-11-05T00:00:00"/>
    <x v="1"/>
    <x v="10"/>
    <x v="754"/>
    <x v="12"/>
    <x v="0"/>
    <x v="8"/>
    <x v="1449"/>
    <x v="4367"/>
    <n v="5"/>
    <x v="4145"/>
  </r>
  <r>
    <d v="2020-11-05T00:00:00"/>
    <x v="1"/>
    <x v="10"/>
    <x v="754"/>
    <x v="12"/>
    <x v="2"/>
    <x v="9"/>
    <x v="786"/>
    <x v="3694"/>
    <n v="2"/>
    <x v="2657"/>
  </r>
  <r>
    <d v="2020-11-05T00:00:00"/>
    <x v="1"/>
    <x v="10"/>
    <x v="754"/>
    <x v="12"/>
    <x v="0"/>
    <x v="11"/>
    <x v="1029"/>
    <x v="4368"/>
    <n v="2"/>
    <x v="4146"/>
  </r>
  <r>
    <d v="2020-11-05T00:00:00"/>
    <x v="1"/>
    <x v="10"/>
    <x v="123"/>
    <x v="24"/>
    <x v="2"/>
    <x v="9"/>
    <x v="84"/>
    <x v="4369"/>
    <n v="3"/>
    <x v="3873"/>
  </r>
  <r>
    <d v="2020-11-05T00:00:00"/>
    <x v="1"/>
    <x v="10"/>
    <x v="371"/>
    <x v="44"/>
    <x v="1"/>
    <x v="3"/>
    <x v="918"/>
    <x v="4370"/>
    <n v="1"/>
    <x v="1888"/>
  </r>
  <r>
    <d v="2020-11-05T00:00:00"/>
    <x v="1"/>
    <x v="10"/>
    <x v="754"/>
    <x v="12"/>
    <x v="2"/>
    <x v="5"/>
    <x v="1292"/>
    <x v="4371"/>
    <n v="6"/>
    <x v="4147"/>
  </r>
  <r>
    <d v="2020-11-05T00:00:00"/>
    <x v="1"/>
    <x v="10"/>
    <x v="754"/>
    <x v="12"/>
    <x v="0"/>
    <x v="4"/>
    <x v="1386"/>
    <x v="4372"/>
    <n v="2"/>
    <x v="4148"/>
  </r>
  <r>
    <d v="2020-11-05T00:00:00"/>
    <x v="1"/>
    <x v="10"/>
    <x v="468"/>
    <x v="20"/>
    <x v="2"/>
    <x v="2"/>
    <x v="1568"/>
    <x v="4373"/>
    <n v="7"/>
    <x v="4149"/>
  </r>
  <r>
    <d v="2020-11-05T00:00:00"/>
    <x v="1"/>
    <x v="10"/>
    <x v="140"/>
    <x v="12"/>
    <x v="1"/>
    <x v="3"/>
    <x v="940"/>
    <x v="4374"/>
    <n v="5"/>
    <x v="4150"/>
  </r>
  <r>
    <d v="2020-11-05T00:00:00"/>
    <x v="1"/>
    <x v="10"/>
    <x v="440"/>
    <x v="2"/>
    <x v="1"/>
    <x v="1"/>
    <x v="437"/>
    <x v="4375"/>
    <n v="4"/>
    <x v="4151"/>
  </r>
  <r>
    <d v="2020-11-05T00:00:00"/>
    <x v="1"/>
    <x v="10"/>
    <x v="123"/>
    <x v="24"/>
    <x v="2"/>
    <x v="9"/>
    <x v="924"/>
    <x v="4376"/>
    <n v="1"/>
    <x v="4152"/>
  </r>
  <r>
    <d v="2020-11-05T00:00:00"/>
    <x v="1"/>
    <x v="10"/>
    <x v="468"/>
    <x v="20"/>
    <x v="2"/>
    <x v="5"/>
    <x v="122"/>
    <x v="4377"/>
    <n v="2"/>
    <x v="4153"/>
  </r>
  <r>
    <d v="2020-11-05T00:00:00"/>
    <x v="1"/>
    <x v="10"/>
    <x v="357"/>
    <x v="1"/>
    <x v="2"/>
    <x v="9"/>
    <x v="1189"/>
    <x v="4378"/>
    <n v="2"/>
    <x v="56"/>
  </r>
  <r>
    <d v="2020-11-05T00:00:00"/>
    <x v="1"/>
    <x v="10"/>
    <x v="754"/>
    <x v="12"/>
    <x v="2"/>
    <x v="5"/>
    <x v="1149"/>
    <x v="4379"/>
    <n v="1"/>
    <x v="3832"/>
  </r>
  <r>
    <d v="2020-11-05T00:00:00"/>
    <x v="1"/>
    <x v="10"/>
    <x v="621"/>
    <x v="17"/>
    <x v="2"/>
    <x v="5"/>
    <x v="1236"/>
    <x v="4380"/>
    <n v="5"/>
    <x v="4154"/>
  </r>
  <r>
    <d v="2020-11-05T00:00:00"/>
    <x v="1"/>
    <x v="10"/>
    <x v="754"/>
    <x v="12"/>
    <x v="2"/>
    <x v="9"/>
    <x v="691"/>
    <x v="3030"/>
    <n v="2"/>
    <x v="56"/>
  </r>
  <r>
    <d v="2020-11-06T00:00:00"/>
    <x v="1"/>
    <x v="10"/>
    <x v="123"/>
    <x v="9"/>
    <x v="1"/>
    <x v="3"/>
    <x v="495"/>
    <x v="3886"/>
    <n v="3"/>
    <x v="4155"/>
  </r>
  <r>
    <d v="2020-11-06T00:00:00"/>
    <x v="1"/>
    <x v="10"/>
    <x v="509"/>
    <x v="5"/>
    <x v="0"/>
    <x v="11"/>
    <x v="1206"/>
    <x v="4381"/>
    <n v="2"/>
    <x v="4156"/>
  </r>
  <r>
    <d v="2020-11-06T00:00:00"/>
    <x v="1"/>
    <x v="10"/>
    <x v="72"/>
    <x v="4"/>
    <x v="2"/>
    <x v="2"/>
    <x v="139"/>
    <x v="4382"/>
    <n v="4"/>
    <x v="4157"/>
  </r>
  <r>
    <d v="2020-11-06T00:00:00"/>
    <x v="1"/>
    <x v="10"/>
    <x v="590"/>
    <x v="12"/>
    <x v="2"/>
    <x v="9"/>
    <x v="1349"/>
    <x v="1129"/>
    <n v="9"/>
    <x v="4158"/>
  </r>
  <r>
    <d v="2020-11-06T00:00:00"/>
    <x v="1"/>
    <x v="10"/>
    <x v="123"/>
    <x v="9"/>
    <x v="0"/>
    <x v="11"/>
    <x v="936"/>
    <x v="4383"/>
    <n v="2"/>
    <x v="4159"/>
  </r>
  <r>
    <d v="2020-11-06T00:00:00"/>
    <x v="1"/>
    <x v="10"/>
    <x v="72"/>
    <x v="4"/>
    <x v="2"/>
    <x v="13"/>
    <x v="647"/>
    <x v="4384"/>
    <n v="3"/>
    <x v="4160"/>
  </r>
  <r>
    <d v="2020-11-06T00:00:00"/>
    <x v="1"/>
    <x v="10"/>
    <x v="123"/>
    <x v="9"/>
    <x v="0"/>
    <x v="4"/>
    <x v="1112"/>
    <x v="4385"/>
    <n v="7"/>
    <x v="4161"/>
  </r>
  <r>
    <d v="2020-11-06T00:00:00"/>
    <x v="1"/>
    <x v="10"/>
    <x v="282"/>
    <x v="2"/>
    <x v="2"/>
    <x v="5"/>
    <x v="737"/>
    <x v="4386"/>
    <n v="2"/>
    <x v="4162"/>
  </r>
  <r>
    <d v="2020-11-06T00:00:00"/>
    <x v="1"/>
    <x v="10"/>
    <x v="544"/>
    <x v="19"/>
    <x v="2"/>
    <x v="9"/>
    <x v="1241"/>
    <x v="4387"/>
    <n v="1"/>
    <x v="2622"/>
  </r>
  <r>
    <d v="2020-11-06T00:00:00"/>
    <x v="1"/>
    <x v="10"/>
    <x v="735"/>
    <x v="29"/>
    <x v="2"/>
    <x v="5"/>
    <x v="160"/>
    <x v="4388"/>
    <n v="1"/>
    <x v="4163"/>
  </r>
  <r>
    <d v="2020-11-06T00:00:00"/>
    <x v="1"/>
    <x v="10"/>
    <x v="102"/>
    <x v="1"/>
    <x v="2"/>
    <x v="7"/>
    <x v="1703"/>
    <x v="4389"/>
    <n v="2"/>
    <x v="4164"/>
  </r>
  <r>
    <d v="2020-11-06T00:00:00"/>
    <x v="1"/>
    <x v="10"/>
    <x v="23"/>
    <x v="27"/>
    <x v="2"/>
    <x v="7"/>
    <x v="824"/>
    <x v="4390"/>
    <n v="5"/>
    <x v="2152"/>
  </r>
  <r>
    <d v="2020-11-06T00:00:00"/>
    <x v="1"/>
    <x v="10"/>
    <x v="72"/>
    <x v="4"/>
    <x v="0"/>
    <x v="8"/>
    <x v="983"/>
    <x v="4391"/>
    <n v="2"/>
    <x v="4165"/>
  </r>
  <r>
    <d v="2020-11-06T00:00:00"/>
    <x v="1"/>
    <x v="10"/>
    <x v="306"/>
    <x v="1"/>
    <x v="2"/>
    <x v="9"/>
    <x v="1101"/>
    <x v="4392"/>
    <n v="5"/>
    <x v="1221"/>
  </r>
  <r>
    <d v="2020-11-06T00:00:00"/>
    <x v="1"/>
    <x v="10"/>
    <x v="23"/>
    <x v="27"/>
    <x v="2"/>
    <x v="9"/>
    <x v="84"/>
    <x v="4393"/>
    <n v="1"/>
    <x v="171"/>
  </r>
  <r>
    <d v="2020-11-06T00:00:00"/>
    <x v="1"/>
    <x v="10"/>
    <x v="102"/>
    <x v="1"/>
    <x v="2"/>
    <x v="10"/>
    <x v="1278"/>
    <x v="1581"/>
    <n v="2"/>
    <x v="3508"/>
  </r>
  <r>
    <d v="2020-11-06T00:00:00"/>
    <x v="1"/>
    <x v="10"/>
    <x v="670"/>
    <x v="2"/>
    <x v="2"/>
    <x v="2"/>
    <x v="1301"/>
    <x v="4394"/>
    <n v="2"/>
    <x v="2384"/>
  </r>
  <r>
    <d v="2020-11-06T00:00:00"/>
    <x v="1"/>
    <x v="10"/>
    <x v="102"/>
    <x v="1"/>
    <x v="0"/>
    <x v="8"/>
    <x v="658"/>
    <x v="4395"/>
    <n v="1"/>
    <x v="4166"/>
  </r>
  <r>
    <d v="2020-11-06T00:00:00"/>
    <x v="1"/>
    <x v="10"/>
    <x v="306"/>
    <x v="1"/>
    <x v="2"/>
    <x v="14"/>
    <x v="1174"/>
    <x v="4367"/>
    <n v="4"/>
    <x v="3363"/>
  </r>
  <r>
    <d v="2020-11-06T00:00:00"/>
    <x v="1"/>
    <x v="10"/>
    <x v="72"/>
    <x v="4"/>
    <x v="2"/>
    <x v="5"/>
    <x v="897"/>
    <x v="4396"/>
    <n v="8"/>
    <x v="4167"/>
  </r>
  <r>
    <d v="2020-11-06T00:00:00"/>
    <x v="1"/>
    <x v="10"/>
    <x v="306"/>
    <x v="1"/>
    <x v="2"/>
    <x v="9"/>
    <x v="84"/>
    <x v="4397"/>
    <n v="4"/>
    <x v="3064"/>
  </r>
  <r>
    <d v="2020-11-06T00:00:00"/>
    <x v="1"/>
    <x v="10"/>
    <x v="306"/>
    <x v="1"/>
    <x v="1"/>
    <x v="3"/>
    <x v="1270"/>
    <x v="4398"/>
    <n v="1"/>
    <x v="4168"/>
  </r>
  <r>
    <d v="2020-11-06T00:00:00"/>
    <x v="1"/>
    <x v="10"/>
    <x v="72"/>
    <x v="4"/>
    <x v="2"/>
    <x v="9"/>
    <x v="1627"/>
    <x v="4399"/>
    <n v="6"/>
    <x v="570"/>
  </r>
  <r>
    <d v="2020-11-06T00:00:00"/>
    <x v="1"/>
    <x v="10"/>
    <x v="509"/>
    <x v="5"/>
    <x v="2"/>
    <x v="9"/>
    <x v="626"/>
    <x v="4400"/>
    <n v="3"/>
    <x v="2935"/>
  </r>
  <r>
    <d v="2020-11-06T00:00:00"/>
    <x v="1"/>
    <x v="10"/>
    <x v="173"/>
    <x v="10"/>
    <x v="2"/>
    <x v="2"/>
    <x v="1704"/>
    <x v="4401"/>
    <n v="3"/>
    <x v="4169"/>
  </r>
  <r>
    <d v="2020-11-06T00:00:00"/>
    <x v="1"/>
    <x v="10"/>
    <x v="51"/>
    <x v="2"/>
    <x v="0"/>
    <x v="8"/>
    <x v="619"/>
    <x v="4402"/>
    <n v="5"/>
    <x v="4170"/>
  </r>
  <r>
    <d v="2020-11-06T00:00:00"/>
    <x v="1"/>
    <x v="10"/>
    <x v="306"/>
    <x v="1"/>
    <x v="2"/>
    <x v="9"/>
    <x v="626"/>
    <x v="3739"/>
    <n v="3"/>
    <x v="725"/>
  </r>
  <r>
    <d v="2020-11-07T00:00:00"/>
    <x v="1"/>
    <x v="10"/>
    <x v="203"/>
    <x v="23"/>
    <x v="2"/>
    <x v="13"/>
    <x v="1126"/>
    <x v="4403"/>
    <n v="7"/>
    <x v="4171"/>
  </r>
  <r>
    <d v="2020-11-07T00:00:00"/>
    <x v="1"/>
    <x v="10"/>
    <x v="685"/>
    <x v="0"/>
    <x v="0"/>
    <x v="11"/>
    <x v="605"/>
    <x v="3997"/>
    <n v="3"/>
    <x v="4172"/>
  </r>
  <r>
    <d v="2020-11-07T00:00:00"/>
    <x v="1"/>
    <x v="10"/>
    <x v="526"/>
    <x v="5"/>
    <x v="0"/>
    <x v="4"/>
    <x v="193"/>
    <x v="4404"/>
    <n v="4"/>
    <x v="4173"/>
  </r>
  <r>
    <d v="2020-11-07T00:00:00"/>
    <x v="1"/>
    <x v="10"/>
    <x v="526"/>
    <x v="5"/>
    <x v="1"/>
    <x v="1"/>
    <x v="1184"/>
    <x v="4405"/>
    <n v="5"/>
    <x v="4174"/>
  </r>
  <r>
    <d v="2020-11-07T00:00:00"/>
    <x v="1"/>
    <x v="10"/>
    <x v="502"/>
    <x v="1"/>
    <x v="1"/>
    <x v="3"/>
    <x v="814"/>
    <x v="4406"/>
    <n v="4"/>
    <x v="4175"/>
  </r>
  <r>
    <d v="2020-11-07T00:00:00"/>
    <x v="1"/>
    <x v="10"/>
    <x v="410"/>
    <x v="1"/>
    <x v="1"/>
    <x v="1"/>
    <x v="1705"/>
    <x v="4407"/>
    <n v="7"/>
    <x v="4176"/>
  </r>
  <r>
    <d v="2020-11-07T00:00:00"/>
    <x v="1"/>
    <x v="10"/>
    <x v="29"/>
    <x v="12"/>
    <x v="1"/>
    <x v="3"/>
    <x v="1706"/>
    <x v="4408"/>
    <n v="4"/>
    <x v="4177"/>
  </r>
  <r>
    <d v="2020-11-07T00:00:00"/>
    <x v="1"/>
    <x v="10"/>
    <x v="502"/>
    <x v="1"/>
    <x v="2"/>
    <x v="5"/>
    <x v="189"/>
    <x v="4409"/>
    <n v="4"/>
    <x v="4178"/>
  </r>
  <r>
    <d v="2020-11-07T00:00:00"/>
    <x v="1"/>
    <x v="10"/>
    <x v="618"/>
    <x v="3"/>
    <x v="2"/>
    <x v="5"/>
    <x v="1039"/>
    <x v="3941"/>
    <n v="9"/>
    <x v="4179"/>
  </r>
  <r>
    <d v="2020-11-07T00:00:00"/>
    <x v="1"/>
    <x v="10"/>
    <x v="410"/>
    <x v="1"/>
    <x v="1"/>
    <x v="3"/>
    <x v="299"/>
    <x v="4410"/>
    <n v="3"/>
    <x v="4180"/>
  </r>
  <r>
    <d v="2020-11-08T00:00:00"/>
    <x v="1"/>
    <x v="10"/>
    <x v="684"/>
    <x v="12"/>
    <x v="2"/>
    <x v="7"/>
    <x v="1684"/>
    <x v="3341"/>
    <n v="5"/>
    <x v="4181"/>
  </r>
  <r>
    <d v="2020-11-08T00:00:00"/>
    <x v="1"/>
    <x v="10"/>
    <x v="755"/>
    <x v="0"/>
    <x v="0"/>
    <x v="8"/>
    <x v="1115"/>
    <x v="4411"/>
    <n v="10"/>
    <x v="4182"/>
  </r>
  <r>
    <d v="2020-11-09T00:00:00"/>
    <x v="1"/>
    <x v="10"/>
    <x v="372"/>
    <x v="1"/>
    <x v="1"/>
    <x v="3"/>
    <x v="1508"/>
    <x v="4412"/>
    <n v="1"/>
    <x v="1157"/>
  </r>
  <r>
    <d v="2020-11-09T00:00:00"/>
    <x v="1"/>
    <x v="10"/>
    <x v="469"/>
    <x v="12"/>
    <x v="0"/>
    <x v="8"/>
    <x v="148"/>
    <x v="4413"/>
    <n v="7"/>
    <x v="4183"/>
  </r>
  <r>
    <d v="2020-11-09T00:00:00"/>
    <x v="1"/>
    <x v="10"/>
    <x v="522"/>
    <x v="6"/>
    <x v="1"/>
    <x v="3"/>
    <x v="185"/>
    <x v="4414"/>
    <n v="3"/>
    <x v="4184"/>
  </r>
  <r>
    <d v="2020-11-09T00:00:00"/>
    <x v="1"/>
    <x v="10"/>
    <x v="54"/>
    <x v="1"/>
    <x v="0"/>
    <x v="11"/>
    <x v="752"/>
    <x v="4415"/>
    <n v="3"/>
    <x v="1241"/>
  </r>
  <r>
    <d v="2020-11-09T00:00:00"/>
    <x v="1"/>
    <x v="10"/>
    <x v="522"/>
    <x v="6"/>
    <x v="1"/>
    <x v="1"/>
    <x v="116"/>
    <x v="4416"/>
    <n v="4"/>
    <x v="2071"/>
  </r>
  <r>
    <d v="2020-11-09T00:00:00"/>
    <x v="1"/>
    <x v="10"/>
    <x v="278"/>
    <x v="1"/>
    <x v="0"/>
    <x v="11"/>
    <x v="1038"/>
    <x v="4417"/>
    <n v="3"/>
    <x v="4185"/>
  </r>
  <r>
    <d v="2020-11-09T00:00:00"/>
    <x v="1"/>
    <x v="10"/>
    <x v="506"/>
    <x v="0"/>
    <x v="2"/>
    <x v="2"/>
    <x v="164"/>
    <x v="4418"/>
    <n v="3"/>
    <x v="4186"/>
  </r>
  <r>
    <d v="2020-11-09T00:00:00"/>
    <x v="1"/>
    <x v="10"/>
    <x v="506"/>
    <x v="0"/>
    <x v="1"/>
    <x v="3"/>
    <x v="1623"/>
    <x v="4419"/>
    <n v="3"/>
    <x v="4187"/>
  </r>
  <r>
    <d v="2020-11-09T00:00:00"/>
    <x v="1"/>
    <x v="10"/>
    <x v="506"/>
    <x v="0"/>
    <x v="2"/>
    <x v="2"/>
    <x v="164"/>
    <x v="4420"/>
    <n v="9"/>
    <x v="4188"/>
  </r>
  <r>
    <d v="2020-11-09T00:00:00"/>
    <x v="1"/>
    <x v="10"/>
    <x v="506"/>
    <x v="0"/>
    <x v="2"/>
    <x v="5"/>
    <x v="539"/>
    <x v="4421"/>
    <n v="2"/>
    <x v="635"/>
  </r>
  <r>
    <d v="2020-11-09T00:00:00"/>
    <x v="1"/>
    <x v="10"/>
    <x v="372"/>
    <x v="1"/>
    <x v="2"/>
    <x v="2"/>
    <x v="1707"/>
    <x v="4422"/>
    <n v="2"/>
    <x v="4189"/>
  </r>
  <r>
    <d v="2020-11-09T00:00:00"/>
    <x v="1"/>
    <x v="10"/>
    <x v="521"/>
    <x v="1"/>
    <x v="0"/>
    <x v="8"/>
    <x v="414"/>
    <x v="2570"/>
    <n v="8"/>
    <x v="3847"/>
  </r>
  <r>
    <d v="2020-11-10T00:00:00"/>
    <x v="1"/>
    <x v="10"/>
    <x v="756"/>
    <x v="1"/>
    <x v="1"/>
    <x v="3"/>
    <x v="1323"/>
    <x v="4423"/>
    <n v="7"/>
    <x v="4190"/>
  </r>
  <r>
    <d v="2020-11-10T00:00:00"/>
    <x v="1"/>
    <x v="10"/>
    <x v="757"/>
    <x v="20"/>
    <x v="1"/>
    <x v="15"/>
    <x v="1708"/>
    <x v="4424"/>
    <n v="2"/>
    <x v="4191"/>
  </r>
  <r>
    <d v="2020-11-10T00:00:00"/>
    <x v="1"/>
    <x v="10"/>
    <x v="757"/>
    <x v="20"/>
    <x v="1"/>
    <x v="1"/>
    <x v="1147"/>
    <x v="4425"/>
    <n v="2"/>
    <x v="4192"/>
  </r>
  <r>
    <d v="2020-11-10T00:00:00"/>
    <x v="1"/>
    <x v="10"/>
    <x v="757"/>
    <x v="20"/>
    <x v="1"/>
    <x v="3"/>
    <x v="283"/>
    <x v="4426"/>
    <n v="6"/>
    <x v="4193"/>
  </r>
  <r>
    <d v="2020-11-10T00:00:00"/>
    <x v="1"/>
    <x v="10"/>
    <x v="156"/>
    <x v="1"/>
    <x v="0"/>
    <x v="11"/>
    <x v="1356"/>
    <x v="4427"/>
    <n v="2"/>
    <x v="4194"/>
  </r>
  <r>
    <d v="2020-11-10T00:00:00"/>
    <x v="1"/>
    <x v="10"/>
    <x v="184"/>
    <x v="2"/>
    <x v="0"/>
    <x v="8"/>
    <x v="1709"/>
    <x v="4428"/>
    <n v="5"/>
    <x v="4195"/>
  </r>
  <r>
    <d v="2020-11-10T00:00:00"/>
    <x v="1"/>
    <x v="10"/>
    <x v="557"/>
    <x v="9"/>
    <x v="2"/>
    <x v="13"/>
    <x v="230"/>
    <x v="4429"/>
    <n v="5"/>
    <x v="4196"/>
  </r>
  <r>
    <d v="2020-11-10T00:00:00"/>
    <x v="1"/>
    <x v="10"/>
    <x v="489"/>
    <x v="12"/>
    <x v="1"/>
    <x v="1"/>
    <x v="1523"/>
    <x v="4430"/>
    <n v="2"/>
    <x v="4197"/>
  </r>
  <r>
    <d v="2020-11-10T00:00:00"/>
    <x v="1"/>
    <x v="10"/>
    <x v="757"/>
    <x v="20"/>
    <x v="0"/>
    <x v="11"/>
    <x v="936"/>
    <x v="4431"/>
    <n v="4"/>
    <x v="4198"/>
  </r>
  <r>
    <d v="2020-11-10T00:00:00"/>
    <x v="1"/>
    <x v="10"/>
    <x v="489"/>
    <x v="12"/>
    <x v="2"/>
    <x v="5"/>
    <x v="1614"/>
    <x v="4432"/>
    <n v="3"/>
    <x v="3849"/>
  </r>
  <r>
    <d v="2020-11-10T00:00:00"/>
    <x v="1"/>
    <x v="10"/>
    <x v="758"/>
    <x v="1"/>
    <x v="2"/>
    <x v="7"/>
    <x v="812"/>
    <x v="4433"/>
    <n v="3"/>
    <x v="4199"/>
  </r>
  <r>
    <d v="2020-11-10T00:00:00"/>
    <x v="1"/>
    <x v="10"/>
    <x v="557"/>
    <x v="9"/>
    <x v="2"/>
    <x v="5"/>
    <x v="1186"/>
    <x v="4434"/>
    <n v="1"/>
    <x v="4200"/>
  </r>
  <r>
    <d v="2020-11-10T00:00:00"/>
    <x v="1"/>
    <x v="10"/>
    <x v="598"/>
    <x v="9"/>
    <x v="2"/>
    <x v="5"/>
    <x v="899"/>
    <x v="4435"/>
    <n v="3"/>
    <x v="4201"/>
  </r>
  <r>
    <d v="2020-11-10T00:00:00"/>
    <x v="1"/>
    <x v="10"/>
    <x v="516"/>
    <x v="6"/>
    <x v="2"/>
    <x v="5"/>
    <x v="932"/>
    <x v="4436"/>
    <n v="5"/>
    <x v="4202"/>
  </r>
  <r>
    <d v="2020-11-10T00:00:00"/>
    <x v="1"/>
    <x v="10"/>
    <x v="757"/>
    <x v="20"/>
    <x v="2"/>
    <x v="5"/>
    <x v="241"/>
    <x v="4437"/>
    <n v="14"/>
    <x v="4203"/>
  </r>
  <r>
    <d v="2020-11-11T00:00:00"/>
    <x v="1"/>
    <x v="10"/>
    <x v="659"/>
    <x v="21"/>
    <x v="0"/>
    <x v="8"/>
    <x v="138"/>
    <x v="483"/>
    <n v="5"/>
    <x v="4204"/>
  </r>
  <r>
    <d v="2020-11-11T00:00:00"/>
    <x v="1"/>
    <x v="10"/>
    <x v="638"/>
    <x v="1"/>
    <x v="2"/>
    <x v="5"/>
    <x v="1044"/>
    <x v="4438"/>
    <n v="5"/>
    <x v="4205"/>
  </r>
  <r>
    <d v="2020-11-11T00:00:00"/>
    <x v="1"/>
    <x v="10"/>
    <x v="526"/>
    <x v="25"/>
    <x v="2"/>
    <x v="7"/>
    <x v="1555"/>
    <x v="4439"/>
    <n v="7"/>
    <x v="3117"/>
  </r>
  <r>
    <d v="2020-11-11T00:00:00"/>
    <x v="1"/>
    <x v="10"/>
    <x v="566"/>
    <x v="6"/>
    <x v="2"/>
    <x v="13"/>
    <x v="1124"/>
    <x v="4440"/>
    <n v="5"/>
    <x v="4206"/>
  </r>
  <r>
    <d v="2020-11-11T00:00:00"/>
    <x v="1"/>
    <x v="10"/>
    <x v="399"/>
    <x v="8"/>
    <x v="2"/>
    <x v="9"/>
    <x v="494"/>
    <x v="4441"/>
    <n v="2"/>
    <x v="288"/>
  </r>
  <r>
    <d v="2020-11-11T00:00:00"/>
    <x v="1"/>
    <x v="10"/>
    <x v="25"/>
    <x v="2"/>
    <x v="2"/>
    <x v="14"/>
    <x v="114"/>
    <x v="4442"/>
    <n v="5"/>
    <x v="4207"/>
  </r>
  <r>
    <d v="2020-11-11T00:00:00"/>
    <x v="1"/>
    <x v="10"/>
    <x v="331"/>
    <x v="7"/>
    <x v="2"/>
    <x v="5"/>
    <x v="1146"/>
    <x v="4443"/>
    <n v="3"/>
    <x v="4208"/>
  </r>
  <r>
    <d v="2020-11-11T00:00:00"/>
    <x v="1"/>
    <x v="10"/>
    <x v="638"/>
    <x v="1"/>
    <x v="2"/>
    <x v="9"/>
    <x v="740"/>
    <x v="3807"/>
    <n v="3"/>
    <x v="397"/>
  </r>
  <r>
    <d v="2020-11-11T00:00:00"/>
    <x v="1"/>
    <x v="10"/>
    <x v="25"/>
    <x v="2"/>
    <x v="2"/>
    <x v="5"/>
    <x v="921"/>
    <x v="4444"/>
    <n v="4"/>
    <x v="4209"/>
  </r>
  <r>
    <d v="2020-11-11T00:00:00"/>
    <x v="1"/>
    <x v="10"/>
    <x v="179"/>
    <x v="48"/>
    <x v="2"/>
    <x v="16"/>
    <x v="1514"/>
    <x v="4445"/>
    <n v="3"/>
    <x v="4210"/>
  </r>
  <r>
    <d v="2020-11-11T00:00:00"/>
    <x v="1"/>
    <x v="10"/>
    <x v="638"/>
    <x v="1"/>
    <x v="2"/>
    <x v="13"/>
    <x v="694"/>
    <x v="4446"/>
    <n v="1"/>
    <x v="4211"/>
  </r>
  <r>
    <d v="2020-11-11T00:00:00"/>
    <x v="1"/>
    <x v="10"/>
    <x v="389"/>
    <x v="12"/>
    <x v="2"/>
    <x v="2"/>
    <x v="1289"/>
    <x v="3040"/>
    <n v="1"/>
    <x v="72"/>
  </r>
  <r>
    <d v="2020-11-11T00:00:00"/>
    <x v="1"/>
    <x v="10"/>
    <x v="68"/>
    <x v="2"/>
    <x v="1"/>
    <x v="1"/>
    <x v="1428"/>
    <x v="4447"/>
    <n v="2"/>
    <x v="4212"/>
  </r>
  <r>
    <d v="2020-11-11T00:00:00"/>
    <x v="1"/>
    <x v="10"/>
    <x v="20"/>
    <x v="41"/>
    <x v="2"/>
    <x v="12"/>
    <x v="1398"/>
    <x v="2385"/>
    <n v="4"/>
    <x v="4213"/>
  </r>
  <r>
    <d v="2020-11-11T00:00:00"/>
    <x v="1"/>
    <x v="10"/>
    <x v="758"/>
    <x v="1"/>
    <x v="0"/>
    <x v="8"/>
    <x v="658"/>
    <x v="4448"/>
    <n v="4"/>
    <x v="4214"/>
  </r>
  <r>
    <d v="2020-11-12T00:00:00"/>
    <x v="1"/>
    <x v="10"/>
    <x v="395"/>
    <x v="2"/>
    <x v="1"/>
    <x v="1"/>
    <x v="937"/>
    <x v="4449"/>
    <n v="1"/>
    <x v="4215"/>
  </r>
  <r>
    <d v="2020-11-12T00:00:00"/>
    <x v="1"/>
    <x v="10"/>
    <x v="434"/>
    <x v="20"/>
    <x v="1"/>
    <x v="3"/>
    <x v="144"/>
    <x v="4450"/>
    <n v="6"/>
    <x v="4216"/>
  </r>
  <r>
    <d v="2020-11-12T00:00:00"/>
    <x v="1"/>
    <x v="10"/>
    <x v="395"/>
    <x v="2"/>
    <x v="2"/>
    <x v="2"/>
    <x v="333"/>
    <x v="3303"/>
    <n v="3"/>
    <x v="4217"/>
  </r>
  <r>
    <d v="2020-11-12T00:00:00"/>
    <x v="1"/>
    <x v="10"/>
    <x v="572"/>
    <x v="9"/>
    <x v="2"/>
    <x v="13"/>
    <x v="1364"/>
    <x v="2621"/>
    <n v="2"/>
    <x v="4218"/>
  </r>
  <r>
    <d v="2020-11-12T00:00:00"/>
    <x v="1"/>
    <x v="10"/>
    <x v="296"/>
    <x v="20"/>
    <x v="0"/>
    <x v="11"/>
    <x v="1029"/>
    <x v="4451"/>
    <n v="2"/>
    <x v="1401"/>
  </r>
  <r>
    <d v="2020-11-12T00:00:00"/>
    <x v="1"/>
    <x v="10"/>
    <x v="296"/>
    <x v="20"/>
    <x v="0"/>
    <x v="8"/>
    <x v="1710"/>
    <x v="2360"/>
    <n v="2"/>
    <x v="4219"/>
  </r>
  <r>
    <d v="2020-11-12T00:00:00"/>
    <x v="1"/>
    <x v="10"/>
    <x v="759"/>
    <x v="2"/>
    <x v="2"/>
    <x v="9"/>
    <x v="1711"/>
    <x v="4452"/>
    <n v="9"/>
    <x v="1156"/>
  </r>
  <r>
    <d v="2020-11-12T00:00:00"/>
    <x v="1"/>
    <x v="10"/>
    <x v="374"/>
    <x v="5"/>
    <x v="2"/>
    <x v="2"/>
    <x v="237"/>
    <x v="4453"/>
    <n v="2"/>
    <x v="2947"/>
  </r>
  <r>
    <d v="2020-11-12T00:00:00"/>
    <x v="1"/>
    <x v="10"/>
    <x v="655"/>
    <x v="8"/>
    <x v="1"/>
    <x v="1"/>
    <x v="760"/>
    <x v="4454"/>
    <n v="3"/>
    <x v="4220"/>
  </r>
  <r>
    <d v="2020-11-12T00:00:00"/>
    <x v="1"/>
    <x v="10"/>
    <x v="759"/>
    <x v="2"/>
    <x v="2"/>
    <x v="2"/>
    <x v="121"/>
    <x v="4455"/>
    <n v="3"/>
    <x v="2230"/>
  </r>
  <r>
    <d v="2020-11-12T00:00:00"/>
    <x v="1"/>
    <x v="10"/>
    <x v="296"/>
    <x v="20"/>
    <x v="1"/>
    <x v="1"/>
    <x v="631"/>
    <x v="4456"/>
    <n v="2"/>
    <x v="4221"/>
  </r>
  <r>
    <d v="2020-11-12T00:00:00"/>
    <x v="1"/>
    <x v="10"/>
    <x v="133"/>
    <x v="9"/>
    <x v="2"/>
    <x v="7"/>
    <x v="66"/>
    <x v="4457"/>
    <n v="3"/>
    <x v="67"/>
  </r>
  <r>
    <d v="2020-11-12T00:00:00"/>
    <x v="1"/>
    <x v="10"/>
    <x v="296"/>
    <x v="20"/>
    <x v="1"/>
    <x v="1"/>
    <x v="1543"/>
    <x v="4458"/>
    <n v="2"/>
    <x v="2324"/>
  </r>
  <r>
    <d v="2020-11-12T00:00:00"/>
    <x v="1"/>
    <x v="10"/>
    <x v="526"/>
    <x v="1"/>
    <x v="2"/>
    <x v="9"/>
    <x v="604"/>
    <x v="3152"/>
    <n v="2"/>
    <x v="1164"/>
  </r>
  <r>
    <d v="2020-11-12T00:00:00"/>
    <x v="1"/>
    <x v="10"/>
    <x v="759"/>
    <x v="2"/>
    <x v="2"/>
    <x v="9"/>
    <x v="1578"/>
    <x v="4459"/>
    <n v="3"/>
    <x v="3255"/>
  </r>
  <r>
    <d v="2020-11-12T00:00:00"/>
    <x v="1"/>
    <x v="10"/>
    <x v="278"/>
    <x v="1"/>
    <x v="2"/>
    <x v="5"/>
    <x v="1235"/>
    <x v="4460"/>
    <n v="4"/>
    <x v="4222"/>
  </r>
  <r>
    <d v="2020-11-12T00:00:00"/>
    <x v="1"/>
    <x v="10"/>
    <x v="641"/>
    <x v="1"/>
    <x v="2"/>
    <x v="9"/>
    <x v="1218"/>
    <x v="4461"/>
    <n v="2"/>
    <x v="1077"/>
  </r>
  <r>
    <d v="2020-11-12T00:00:00"/>
    <x v="1"/>
    <x v="10"/>
    <x v="387"/>
    <x v="6"/>
    <x v="2"/>
    <x v="9"/>
    <x v="1017"/>
    <x v="4462"/>
    <n v="5"/>
    <x v="3546"/>
  </r>
  <r>
    <d v="2020-11-12T00:00:00"/>
    <x v="1"/>
    <x v="10"/>
    <x v="395"/>
    <x v="2"/>
    <x v="0"/>
    <x v="8"/>
    <x v="837"/>
    <x v="4463"/>
    <n v="3"/>
    <x v="4223"/>
  </r>
  <r>
    <d v="2020-11-12T00:00:00"/>
    <x v="1"/>
    <x v="10"/>
    <x v="395"/>
    <x v="2"/>
    <x v="2"/>
    <x v="10"/>
    <x v="1278"/>
    <x v="2096"/>
    <n v="2"/>
    <x v="3147"/>
  </r>
  <r>
    <d v="2020-11-12T00:00:00"/>
    <x v="1"/>
    <x v="10"/>
    <x v="548"/>
    <x v="8"/>
    <x v="1"/>
    <x v="3"/>
    <x v="1440"/>
    <x v="4464"/>
    <n v="2"/>
    <x v="4224"/>
  </r>
  <r>
    <d v="2020-11-12T00:00:00"/>
    <x v="1"/>
    <x v="10"/>
    <x v="133"/>
    <x v="9"/>
    <x v="2"/>
    <x v="14"/>
    <x v="1082"/>
    <x v="1959"/>
    <n v="2"/>
    <x v="4225"/>
  </r>
  <r>
    <d v="2020-11-12T00:00:00"/>
    <x v="1"/>
    <x v="10"/>
    <x v="101"/>
    <x v="12"/>
    <x v="2"/>
    <x v="5"/>
    <x v="122"/>
    <x v="4167"/>
    <n v="5"/>
    <x v="4226"/>
  </r>
  <r>
    <d v="2020-11-12T00:00:00"/>
    <x v="1"/>
    <x v="10"/>
    <x v="548"/>
    <x v="8"/>
    <x v="2"/>
    <x v="9"/>
    <x v="1338"/>
    <x v="4465"/>
    <n v="2"/>
    <x v="4227"/>
  </r>
  <r>
    <d v="2020-11-12T00:00:00"/>
    <x v="1"/>
    <x v="10"/>
    <x v="572"/>
    <x v="9"/>
    <x v="2"/>
    <x v="12"/>
    <x v="163"/>
    <x v="4466"/>
    <n v="3"/>
    <x v="3455"/>
  </r>
  <r>
    <d v="2020-11-12T00:00:00"/>
    <x v="1"/>
    <x v="10"/>
    <x v="296"/>
    <x v="20"/>
    <x v="1"/>
    <x v="3"/>
    <x v="1265"/>
    <x v="641"/>
    <n v="4"/>
    <x v="4228"/>
  </r>
  <r>
    <d v="2020-11-12T00:00:00"/>
    <x v="1"/>
    <x v="10"/>
    <x v="296"/>
    <x v="20"/>
    <x v="2"/>
    <x v="9"/>
    <x v="654"/>
    <x v="2570"/>
    <n v="5"/>
    <x v="759"/>
  </r>
  <r>
    <d v="2020-11-12T00:00:00"/>
    <x v="1"/>
    <x v="10"/>
    <x v="133"/>
    <x v="9"/>
    <x v="2"/>
    <x v="16"/>
    <x v="528"/>
    <x v="3524"/>
    <n v="3"/>
    <x v="1191"/>
  </r>
  <r>
    <d v="2020-11-12T00:00:00"/>
    <x v="1"/>
    <x v="10"/>
    <x v="395"/>
    <x v="2"/>
    <x v="2"/>
    <x v="5"/>
    <x v="889"/>
    <x v="4467"/>
    <n v="5"/>
    <x v="4229"/>
  </r>
  <r>
    <d v="2020-11-12T00:00:00"/>
    <x v="1"/>
    <x v="10"/>
    <x v="395"/>
    <x v="2"/>
    <x v="1"/>
    <x v="3"/>
    <x v="1424"/>
    <x v="2183"/>
    <n v="2"/>
    <x v="4230"/>
  </r>
  <r>
    <d v="2020-11-13T00:00:00"/>
    <x v="1"/>
    <x v="10"/>
    <x v="501"/>
    <x v="2"/>
    <x v="2"/>
    <x v="2"/>
    <x v="1650"/>
    <x v="4468"/>
    <n v="4"/>
    <x v="4231"/>
  </r>
  <r>
    <d v="2020-11-13T00:00:00"/>
    <x v="1"/>
    <x v="10"/>
    <x v="613"/>
    <x v="12"/>
    <x v="0"/>
    <x v="8"/>
    <x v="634"/>
    <x v="4469"/>
    <n v="3"/>
    <x v="4232"/>
  </r>
  <r>
    <d v="2020-11-13T00:00:00"/>
    <x v="1"/>
    <x v="10"/>
    <x v="647"/>
    <x v="12"/>
    <x v="1"/>
    <x v="3"/>
    <x v="1712"/>
    <x v="4470"/>
    <n v="4"/>
    <x v="4233"/>
  </r>
  <r>
    <d v="2020-11-13T00:00:00"/>
    <x v="1"/>
    <x v="10"/>
    <x v="501"/>
    <x v="2"/>
    <x v="0"/>
    <x v="0"/>
    <x v="385"/>
    <x v="4471"/>
    <n v="3"/>
    <x v="4234"/>
  </r>
  <r>
    <d v="2020-11-13T00:00:00"/>
    <x v="1"/>
    <x v="10"/>
    <x v="595"/>
    <x v="36"/>
    <x v="1"/>
    <x v="3"/>
    <x v="1385"/>
    <x v="4472"/>
    <n v="8"/>
    <x v="4235"/>
  </r>
  <r>
    <d v="2020-11-13T00:00:00"/>
    <x v="1"/>
    <x v="10"/>
    <x v="253"/>
    <x v="17"/>
    <x v="2"/>
    <x v="2"/>
    <x v="387"/>
    <x v="4473"/>
    <n v="3"/>
    <x v="428"/>
  </r>
  <r>
    <d v="2020-11-13T00:00:00"/>
    <x v="1"/>
    <x v="10"/>
    <x v="254"/>
    <x v="9"/>
    <x v="2"/>
    <x v="2"/>
    <x v="404"/>
    <x v="4474"/>
    <n v="3"/>
    <x v="3925"/>
  </r>
  <r>
    <d v="2020-11-13T00:00:00"/>
    <x v="1"/>
    <x v="10"/>
    <x v="254"/>
    <x v="9"/>
    <x v="2"/>
    <x v="5"/>
    <x v="514"/>
    <x v="4475"/>
    <n v="11"/>
    <x v="4236"/>
  </r>
  <r>
    <d v="2020-11-13T00:00:00"/>
    <x v="1"/>
    <x v="10"/>
    <x v="303"/>
    <x v="12"/>
    <x v="1"/>
    <x v="1"/>
    <x v="1526"/>
    <x v="4476"/>
    <n v="5"/>
    <x v="4237"/>
  </r>
  <r>
    <d v="2020-11-13T00:00:00"/>
    <x v="1"/>
    <x v="10"/>
    <x v="574"/>
    <x v="8"/>
    <x v="1"/>
    <x v="15"/>
    <x v="1713"/>
    <x v="4477"/>
    <n v="7"/>
    <x v="4238"/>
  </r>
  <r>
    <d v="2020-11-13T00:00:00"/>
    <x v="1"/>
    <x v="10"/>
    <x v="262"/>
    <x v="21"/>
    <x v="2"/>
    <x v="2"/>
    <x v="121"/>
    <x v="4478"/>
    <n v="4"/>
    <x v="4239"/>
  </r>
  <r>
    <d v="2020-11-13T00:00:00"/>
    <x v="1"/>
    <x v="10"/>
    <x v="254"/>
    <x v="9"/>
    <x v="0"/>
    <x v="11"/>
    <x v="589"/>
    <x v="4479"/>
    <n v="6"/>
    <x v="4240"/>
  </r>
  <r>
    <d v="2020-11-13T00:00:00"/>
    <x v="1"/>
    <x v="10"/>
    <x v="262"/>
    <x v="21"/>
    <x v="2"/>
    <x v="9"/>
    <x v="1624"/>
    <x v="4480"/>
    <n v="3"/>
    <x v="3598"/>
  </r>
  <r>
    <d v="2020-11-13T00:00:00"/>
    <x v="1"/>
    <x v="10"/>
    <x v="309"/>
    <x v="6"/>
    <x v="2"/>
    <x v="7"/>
    <x v="690"/>
    <x v="4481"/>
    <n v="1"/>
    <x v="4241"/>
  </r>
  <r>
    <d v="2020-11-13T00:00:00"/>
    <x v="1"/>
    <x v="10"/>
    <x v="574"/>
    <x v="8"/>
    <x v="2"/>
    <x v="5"/>
    <x v="1248"/>
    <x v="4482"/>
    <n v="10"/>
    <x v="4242"/>
  </r>
  <r>
    <d v="2020-11-13T00:00:00"/>
    <x v="1"/>
    <x v="10"/>
    <x v="254"/>
    <x v="9"/>
    <x v="2"/>
    <x v="14"/>
    <x v="1190"/>
    <x v="4086"/>
    <n v="3"/>
    <x v="2728"/>
  </r>
  <r>
    <d v="2020-11-13T00:00:00"/>
    <x v="1"/>
    <x v="10"/>
    <x v="156"/>
    <x v="2"/>
    <x v="2"/>
    <x v="13"/>
    <x v="1512"/>
    <x v="4483"/>
    <n v="6"/>
    <x v="4243"/>
  </r>
  <r>
    <d v="2020-11-13T00:00:00"/>
    <x v="1"/>
    <x v="10"/>
    <x v="411"/>
    <x v="12"/>
    <x v="2"/>
    <x v="2"/>
    <x v="206"/>
    <x v="4484"/>
    <n v="1"/>
    <x v="218"/>
  </r>
  <r>
    <d v="2020-11-13T00:00:00"/>
    <x v="1"/>
    <x v="10"/>
    <x v="613"/>
    <x v="12"/>
    <x v="1"/>
    <x v="1"/>
    <x v="517"/>
    <x v="4485"/>
    <n v="4"/>
    <x v="1308"/>
  </r>
  <r>
    <d v="2020-11-13T00:00:00"/>
    <x v="1"/>
    <x v="10"/>
    <x v="280"/>
    <x v="1"/>
    <x v="1"/>
    <x v="1"/>
    <x v="913"/>
    <x v="4486"/>
    <n v="5"/>
    <x v="1610"/>
  </r>
  <r>
    <d v="2020-11-13T00:00:00"/>
    <x v="1"/>
    <x v="10"/>
    <x v="574"/>
    <x v="8"/>
    <x v="1"/>
    <x v="3"/>
    <x v="547"/>
    <x v="4487"/>
    <n v="4"/>
    <x v="4244"/>
  </r>
  <r>
    <d v="2020-11-13T00:00:00"/>
    <x v="1"/>
    <x v="10"/>
    <x v="49"/>
    <x v="1"/>
    <x v="1"/>
    <x v="3"/>
    <x v="1160"/>
    <x v="4488"/>
    <n v="5"/>
    <x v="1706"/>
  </r>
  <r>
    <d v="2020-11-14T00:00:00"/>
    <x v="1"/>
    <x v="10"/>
    <x v="431"/>
    <x v="12"/>
    <x v="2"/>
    <x v="2"/>
    <x v="1601"/>
    <x v="4489"/>
    <n v="6"/>
    <x v="4245"/>
  </r>
  <r>
    <d v="2020-11-14T00:00:00"/>
    <x v="1"/>
    <x v="10"/>
    <x v="118"/>
    <x v="8"/>
    <x v="1"/>
    <x v="1"/>
    <x v="613"/>
    <x v="4490"/>
    <n v="10"/>
    <x v="4246"/>
  </r>
  <r>
    <d v="2020-11-14T00:00:00"/>
    <x v="1"/>
    <x v="10"/>
    <x v="437"/>
    <x v="2"/>
    <x v="1"/>
    <x v="3"/>
    <x v="247"/>
    <x v="4491"/>
    <n v="6"/>
    <x v="4247"/>
  </r>
  <r>
    <d v="2020-11-14T00:00:00"/>
    <x v="1"/>
    <x v="10"/>
    <x v="240"/>
    <x v="1"/>
    <x v="0"/>
    <x v="11"/>
    <x v="291"/>
    <x v="4492"/>
    <n v="2"/>
    <x v="2109"/>
  </r>
  <r>
    <d v="2020-11-14T00:00:00"/>
    <x v="1"/>
    <x v="10"/>
    <x v="118"/>
    <x v="8"/>
    <x v="2"/>
    <x v="5"/>
    <x v="1146"/>
    <x v="4493"/>
    <n v="2"/>
    <x v="4248"/>
  </r>
  <r>
    <d v="2020-11-14T00:00:00"/>
    <x v="1"/>
    <x v="10"/>
    <x v="309"/>
    <x v="2"/>
    <x v="2"/>
    <x v="5"/>
    <x v="1501"/>
    <x v="4494"/>
    <n v="5"/>
    <x v="4249"/>
  </r>
  <r>
    <d v="2020-11-14T00:00:00"/>
    <x v="1"/>
    <x v="10"/>
    <x v="547"/>
    <x v="12"/>
    <x v="2"/>
    <x v="5"/>
    <x v="1421"/>
    <x v="2542"/>
    <n v="2"/>
    <x v="996"/>
  </r>
  <r>
    <d v="2020-11-14T00:00:00"/>
    <x v="1"/>
    <x v="10"/>
    <x v="361"/>
    <x v="1"/>
    <x v="2"/>
    <x v="7"/>
    <x v="1373"/>
    <x v="4495"/>
    <n v="8"/>
    <x v="4250"/>
  </r>
  <r>
    <d v="2020-11-14T00:00:00"/>
    <x v="1"/>
    <x v="10"/>
    <x v="318"/>
    <x v="27"/>
    <x v="2"/>
    <x v="10"/>
    <x v="221"/>
    <x v="4496"/>
    <n v="2"/>
    <x v="3508"/>
  </r>
  <r>
    <d v="2020-11-14T00:00:00"/>
    <x v="1"/>
    <x v="10"/>
    <x v="437"/>
    <x v="2"/>
    <x v="2"/>
    <x v="7"/>
    <x v="1214"/>
    <x v="201"/>
    <n v="2"/>
    <x v="4251"/>
  </r>
  <r>
    <d v="2020-11-15T00:00:00"/>
    <x v="1"/>
    <x v="10"/>
    <x v="722"/>
    <x v="6"/>
    <x v="0"/>
    <x v="8"/>
    <x v="1152"/>
    <x v="4497"/>
    <n v="4"/>
    <x v="4252"/>
  </r>
  <r>
    <d v="2020-11-15T00:00:00"/>
    <x v="1"/>
    <x v="10"/>
    <x v="722"/>
    <x v="6"/>
    <x v="0"/>
    <x v="8"/>
    <x v="491"/>
    <x v="4498"/>
    <n v="4"/>
    <x v="72"/>
  </r>
  <r>
    <d v="2020-11-16T00:00:00"/>
    <x v="1"/>
    <x v="10"/>
    <x v="666"/>
    <x v="8"/>
    <x v="2"/>
    <x v="7"/>
    <x v="406"/>
    <x v="716"/>
    <n v="3"/>
    <x v="495"/>
  </r>
  <r>
    <d v="2020-11-16T00:00:00"/>
    <x v="1"/>
    <x v="10"/>
    <x v="92"/>
    <x v="9"/>
    <x v="1"/>
    <x v="1"/>
    <x v="172"/>
    <x v="4499"/>
    <n v="3"/>
    <x v="3494"/>
  </r>
  <r>
    <d v="2020-11-16T00:00:00"/>
    <x v="1"/>
    <x v="10"/>
    <x v="327"/>
    <x v="1"/>
    <x v="0"/>
    <x v="8"/>
    <x v="344"/>
    <x v="4500"/>
    <n v="3"/>
    <x v="4253"/>
  </r>
  <r>
    <d v="2020-11-16T00:00:00"/>
    <x v="1"/>
    <x v="10"/>
    <x v="721"/>
    <x v="12"/>
    <x v="1"/>
    <x v="1"/>
    <x v="150"/>
    <x v="4501"/>
    <n v="6"/>
    <x v="4254"/>
  </r>
  <r>
    <d v="2020-11-16T00:00:00"/>
    <x v="1"/>
    <x v="10"/>
    <x v="32"/>
    <x v="12"/>
    <x v="2"/>
    <x v="9"/>
    <x v="123"/>
    <x v="4502"/>
    <n v="3"/>
    <x v="126"/>
  </r>
  <r>
    <d v="2020-11-16T00:00:00"/>
    <x v="1"/>
    <x v="10"/>
    <x v="666"/>
    <x v="8"/>
    <x v="1"/>
    <x v="3"/>
    <x v="26"/>
    <x v="4503"/>
    <n v="5"/>
    <x v="4255"/>
  </r>
  <r>
    <d v="2020-11-16T00:00:00"/>
    <x v="1"/>
    <x v="10"/>
    <x v="92"/>
    <x v="9"/>
    <x v="0"/>
    <x v="8"/>
    <x v="956"/>
    <x v="4504"/>
    <n v="2"/>
    <x v="4256"/>
  </r>
  <r>
    <d v="2020-11-16T00:00:00"/>
    <x v="1"/>
    <x v="10"/>
    <x v="565"/>
    <x v="1"/>
    <x v="2"/>
    <x v="2"/>
    <x v="1316"/>
    <x v="4505"/>
    <n v="8"/>
    <x v="4257"/>
  </r>
  <r>
    <d v="2020-11-16T00:00:00"/>
    <x v="1"/>
    <x v="10"/>
    <x v="666"/>
    <x v="8"/>
    <x v="1"/>
    <x v="6"/>
    <x v="324"/>
    <x v="4506"/>
    <n v="3"/>
    <x v="4258"/>
  </r>
  <r>
    <d v="2020-11-16T00:00:00"/>
    <x v="1"/>
    <x v="10"/>
    <x v="760"/>
    <x v="1"/>
    <x v="1"/>
    <x v="15"/>
    <x v="488"/>
    <x v="4507"/>
    <n v="3"/>
    <x v="4259"/>
  </r>
  <r>
    <d v="2020-11-16T00:00:00"/>
    <x v="1"/>
    <x v="10"/>
    <x v="327"/>
    <x v="1"/>
    <x v="0"/>
    <x v="8"/>
    <x v="789"/>
    <x v="4508"/>
    <n v="3"/>
    <x v="964"/>
  </r>
  <r>
    <d v="2020-11-16T00:00:00"/>
    <x v="1"/>
    <x v="10"/>
    <x v="506"/>
    <x v="8"/>
    <x v="2"/>
    <x v="5"/>
    <x v="1146"/>
    <x v="2476"/>
    <n v="1"/>
    <x v="4260"/>
  </r>
  <r>
    <d v="2020-11-16T00:00:00"/>
    <x v="1"/>
    <x v="10"/>
    <x v="92"/>
    <x v="9"/>
    <x v="2"/>
    <x v="2"/>
    <x v="1114"/>
    <x v="4509"/>
    <n v="1"/>
    <x v="4261"/>
  </r>
  <r>
    <d v="2020-11-16T00:00:00"/>
    <x v="1"/>
    <x v="10"/>
    <x v="114"/>
    <x v="1"/>
    <x v="0"/>
    <x v="8"/>
    <x v="1139"/>
    <x v="4510"/>
    <n v="3"/>
    <x v="2017"/>
  </r>
  <r>
    <d v="2020-11-16T00:00:00"/>
    <x v="1"/>
    <x v="10"/>
    <x v="761"/>
    <x v="1"/>
    <x v="2"/>
    <x v="7"/>
    <x v="1083"/>
    <x v="4511"/>
    <n v="4"/>
    <x v="4262"/>
  </r>
  <r>
    <d v="2020-11-16T00:00:00"/>
    <x v="1"/>
    <x v="10"/>
    <x v="426"/>
    <x v="1"/>
    <x v="2"/>
    <x v="2"/>
    <x v="747"/>
    <x v="4512"/>
    <n v="7"/>
    <x v="4263"/>
  </r>
  <r>
    <d v="2020-11-16T00:00:00"/>
    <x v="1"/>
    <x v="10"/>
    <x v="92"/>
    <x v="9"/>
    <x v="2"/>
    <x v="9"/>
    <x v="1199"/>
    <x v="4513"/>
    <n v="6"/>
    <x v="4264"/>
  </r>
  <r>
    <d v="2020-11-16T00:00:00"/>
    <x v="1"/>
    <x v="10"/>
    <x v="432"/>
    <x v="12"/>
    <x v="1"/>
    <x v="15"/>
    <x v="1544"/>
    <x v="4514"/>
    <n v="4"/>
    <x v="4265"/>
  </r>
  <r>
    <d v="2020-11-17T00:00:00"/>
    <x v="1"/>
    <x v="10"/>
    <x v="282"/>
    <x v="12"/>
    <x v="0"/>
    <x v="8"/>
    <x v="1714"/>
    <x v="4515"/>
    <n v="4"/>
    <x v="4266"/>
  </r>
  <r>
    <d v="2020-11-17T00:00:00"/>
    <x v="1"/>
    <x v="10"/>
    <x v="371"/>
    <x v="14"/>
    <x v="1"/>
    <x v="1"/>
    <x v="1453"/>
    <x v="4516"/>
    <n v="5"/>
    <x v="2658"/>
  </r>
  <r>
    <d v="2020-11-17T00:00:00"/>
    <x v="1"/>
    <x v="10"/>
    <x v="608"/>
    <x v="17"/>
    <x v="1"/>
    <x v="3"/>
    <x v="863"/>
    <x v="4050"/>
    <n v="5"/>
    <x v="4267"/>
  </r>
  <r>
    <d v="2020-11-17T00:00:00"/>
    <x v="1"/>
    <x v="10"/>
    <x v="118"/>
    <x v="4"/>
    <x v="2"/>
    <x v="9"/>
    <x v="1715"/>
    <x v="4517"/>
    <n v="7"/>
    <x v="4268"/>
  </r>
  <r>
    <d v="2020-11-17T00:00:00"/>
    <x v="1"/>
    <x v="10"/>
    <x v="14"/>
    <x v="2"/>
    <x v="0"/>
    <x v="0"/>
    <x v="261"/>
    <x v="4518"/>
    <n v="2"/>
    <x v="4269"/>
  </r>
  <r>
    <d v="2020-11-17T00:00:00"/>
    <x v="1"/>
    <x v="10"/>
    <x v="118"/>
    <x v="4"/>
    <x v="1"/>
    <x v="3"/>
    <x v="431"/>
    <x v="4519"/>
    <n v="5"/>
    <x v="4270"/>
  </r>
  <r>
    <d v="2020-11-17T00:00:00"/>
    <x v="1"/>
    <x v="10"/>
    <x v="535"/>
    <x v="12"/>
    <x v="2"/>
    <x v="2"/>
    <x v="1279"/>
    <x v="4520"/>
    <n v="3"/>
    <x v="4271"/>
  </r>
  <r>
    <d v="2020-11-17T00:00:00"/>
    <x v="1"/>
    <x v="10"/>
    <x v="336"/>
    <x v="23"/>
    <x v="1"/>
    <x v="6"/>
    <x v="552"/>
    <x v="4521"/>
    <n v="3"/>
    <x v="4272"/>
  </r>
  <r>
    <d v="2020-11-17T00:00:00"/>
    <x v="1"/>
    <x v="10"/>
    <x v="421"/>
    <x v="9"/>
    <x v="2"/>
    <x v="5"/>
    <x v="1019"/>
    <x v="4522"/>
    <n v="2"/>
    <x v="2820"/>
  </r>
  <r>
    <d v="2020-11-17T00:00:00"/>
    <x v="1"/>
    <x v="10"/>
    <x v="345"/>
    <x v="29"/>
    <x v="2"/>
    <x v="5"/>
    <x v="1133"/>
    <x v="4523"/>
    <n v="7"/>
    <x v="1717"/>
  </r>
  <r>
    <d v="2020-11-17T00:00:00"/>
    <x v="1"/>
    <x v="10"/>
    <x v="345"/>
    <x v="29"/>
    <x v="2"/>
    <x v="9"/>
    <x v="1596"/>
    <x v="4047"/>
    <n v="3"/>
    <x v="4273"/>
  </r>
  <r>
    <d v="2020-11-17T00:00:00"/>
    <x v="1"/>
    <x v="10"/>
    <x v="245"/>
    <x v="0"/>
    <x v="2"/>
    <x v="5"/>
    <x v="399"/>
    <x v="159"/>
    <n v="6"/>
    <x v="4274"/>
  </r>
  <r>
    <d v="2020-11-17T00:00:00"/>
    <x v="1"/>
    <x v="10"/>
    <x v="133"/>
    <x v="18"/>
    <x v="2"/>
    <x v="13"/>
    <x v="656"/>
    <x v="3955"/>
    <n v="2"/>
    <x v="4275"/>
  </r>
  <r>
    <d v="2020-11-17T00:00:00"/>
    <x v="1"/>
    <x v="10"/>
    <x v="282"/>
    <x v="12"/>
    <x v="2"/>
    <x v="9"/>
    <x v="1075"/>
    <x v="4524"/>
    <n v="6"/>
    <x v="679"/>
  </r>
  <r>
    <d v="2020-11-17T00:00:00"/>
    <x v="1"/>
    <x v="10"/>
    <x v="437"/>
    <x v="26"/>
    <x v="2"/>
    <x v="7"/>
    <x v="1090"/>
    <x v="4525"/>
    <n v="3"/>
    <x v="4276"/>
  </r>
  <r>
    <d v="2020-11-17T00:00:00"/>
    <x v="1"/>
    <x v="10"/>
    <x v="371"/>
    <x v="14"/>
    <x v="1"/>
    <x v="3"/>
    <x v="1677"/>
    <x v="4526"/>
    <n v="1"/>
    <x v="2895"/>
  </r>
  <r>
    <d v="2020-11-18T00:00:00"/>
    <x v="1"/>
    <x v="10"/>
    <x v="320"/>
    <x v="6"/>
    <x v="2"/>
    <x v="2"/>
    <x v="1273"/>
    <x v="4527"/>
    <n v="5"/>
    <x v="4277"/>
  </r>
  <r>
    <d v="2020-11-18T00:00:00"/>
    <x v="1"/>
    <x v="10"/>
    <x v="754"/>
    <x v="9"/>
    <x v="2"/>
    <x v="2"/>
    <x v="408"/>
    <x v="4528"/>
    <n v="3"/>
    <x v="4278"/>
  </r>
  <r>
    <d v="2020-11-18T00:00:00"/>
    <x v="1"/>
    <x v="10"/>
    <x v="225"/>
    <x v="7"/>
    <x v="2"/>
    <x v="2"/>
    <x v="1633"/>
    <x v="3928"/>
    <n v="6"/>
    <x v="4279"/>
  </r>
  <r>
    <d v="2020-11-18T00:00:00"/>
    <x v="1"/>
    <x v="10"/>
    <x v="754"/>
    <x v="9"/>
    <x v="1"/>
    <x v="3"/>
    <x v="461"/>
    <x v="4529"/>
    <n v="4"/>
    <x v="3087"/>
  </r>
  <r>
    <d v="2020-11-18T00:00:00"/>
    <x v="1"/>
    <x v="10"/>
    <x v="680"/>
    <x v="17"/>
    <x v="0"/>
    <x v="11"/>
    <x v="605"/>
    <x v="4530"/>
    <n v="2"/>
    <x v="4280"/>
  </r>
  <r>
    <d v="2020-11-18T00:00:00"/>
    <x v="1"/>
    <x v="10"/>
    <x v="754"/>
    <x v="9"/>
    <x v="2"/>
    <x v="2"/>
    <x v="321"/>
    <x v="4531"/>
    <n v="6"/>
    <x v="4281"/>
  </r>
  <r>
    <d v="2020-11-18T00:00:00"/>
    <x v="1"/>
    <x v="10"/>
    <x v="320"/>
    <x v="6"/>
    <x v="2"/>
    <x v="13"/>
    <x v="595"/>
    <x v="4532"/>
    <n v="4"/>
    <x v="4282"/>
  </r>
  <r>
    <d v="2020-11-18T00:00:00"/>
    <x v="1"/>
    <x v="10"/>
    <x v="225"/>
    <x v="7"/>
    <x v="0"/>
    <x v="8"/>
    <x v="383"/>
    <x v="4533"/>
    <n v="2"/>
    <x v="4283"/>
  </r>
  <r>
    <d v="2020-11-18T00:00:00"/>
    <x v="1"/>
    <x v="10"/>
    <x v="754"/>
    <x v="9"/>
    <x v="2"/>
    <x v="12"/>
    <x v="1384"/>
    <x v="591"/>
    <n v="2"/>
    <x v="4284"/>
  </r>
  <r>
    <d v="2020-11-18T00:00:00"/>
    <x v="1"/>
    <x v="10"/>
    <x v="225"/>
    <x v="7"/>
    <x v="2"/>
    <x v="14"/>
    <x v="639"/>
    <x v="4534"/>
    <n v="2"/>
    <x v="1345"/>
  </r>
  <r>
    <d v="2020-11-18T00:00:00"/>
    <x v="1"/>
    <x v="10"/>
    <x v="156"/>
    <x v="25"/>
    <x v="0"/>
    <x v="8"/>
    <x v="340"/>
    <x v="3085"/>
    <n v="4"/>
    <x v="3642"/>
  </r>
  <r>
    <d v="2020-11-18T00:00:00"/>
    <x v="1"/>
    <x v="10"/>
    <x v="220"/>
    <x v="6"/>
    <x v="2"/>
    <x v="16"/>
    <x v="311"/>
    <x v="4535"/>
    <n v="1"/>
    <x v="4285"/>
  </r>
  <r>
    <d v="2020-11-18T00:00:00"/>
    <x v="1"/>
    <x v="10"/>
    <x v="754"/>
    <x v="9"/>
    <x v="2"/>
    <x v="5"/>
    <x v="807"/>
    <x v="3690"/>
    <n v="2"/>
    <x v="1543"/>
  </r>
  <r>
    <d v="2020-11-18T00:00:00"/>
    <x v="1"/>
    <x v="10"/>
    <x v="320"/>
    <x v="6"/>
    <x v="2"/>
    <x v="9"/>
    <x v="1312"/>
    <x v="4536"/>
    <n v="4"/>
    <x v="286"/>
  </r>
  <r>
    <d v="2020-11-18T00:00:00"/>
    <x v="1"/>
    <x v="10"/>
    <x v="320"/>
    <x v="6"/>
    <x v="2"/>
    <x v="5"/>
    <x v="1182"/>
    <x v="4537"/>
    <n v="8"/>
    <x v="4286"/>
  </r>
  <r>
    <d v="2020-11-18T00:00:00"/>
    <x v="1"/>
    <x v="10"/>
    <x v="320"/>
    <x v="6"/>
    <x v="2"/>
    <x v="9"/>
    <x v="1716"/>
    <x v="4538"/>
    <n v="8"/>
    <x v="883"/>
  </r>
  <r>
    <d v="2020-11-18T00:00:00"/>
    <x v="1"/>
    <x v="10"/>
    <x v="680"/>
    <x v="17"/>
    <x v="2"/>
    <x v="10"/>
    <x v="1359"/>
    <x v="4539"/>
    <n v="6"/>
    <x v="4287"/>
  </r>
  <r>
    <d v="2020-11-18T00:00:00"/>
    <x v="1"/>
    <x v="10"/>
    <x v="220"/>
    <x v="6"/>
    <x v="2"/>
    <x v="9"/>
    <x v="169"/>
    <x v="4540"/>
    <n v="1"/>
    <x v="4288"/>
  </r>
  <r>
    <d v="2020-11-18T00:00:00"/>
    <x v="1"/>
    <x v="10"/>
    <x v="225"/>
    <x v="7"/>
    <x v="2"/>
    <x v="2"/>
    <x v="650"/>
    <x v="4541"/>
    <n v="1"/>
    <x v="4289"/>
  </r>
  <r>
    <d v="2020-11-18T00:00:00"/>
    <x v="1"/>
    <x v="10"/>
    <x v="487"/>
    <x v="8"/>
    <x v="2"/>
    <x v="7"/>
    <x v="556"/>
    <x v="4542"/>
    <n v="7"/>
    <x v="79"/>
  </r>
  <r>
    <d v="2020-11-18T00:00:00"/>
    <x v="1"/>
    <x v="10"/>
    <x v="66"/>
    <x v="12"/>
    <x v="1"/>
    <x v="1"/>
    <x v="993"/>
    <x v="3908"/>
    <n v="5"/>
    <x v="4290"/>
  </r>
  <r>
    <d v="2020-11-19T00:00:00"/>
    <x v="1"/>
    <x v="10"/>
    <x v="43"/>
    <x v="2"/>
    <x v="2"/>
    <x v="7"/>
    <x v="578"/>
    <x v="4543"/>
    <n v="4"/>
    <x v="4291"/>
  </r>
  <r>
    <d v="2020-11-19T00:00:00"/>
    <x v="1"/>
    <x v="10"/>
    <x v="281"/>
    <x v="12"/>
    <x v="0"/>
    <x v="4"/>
    <x v="474"/>
    <x v="4544"/>
    <n v="3"/>
    <x v="2093"/>
  </r>
  <r>
    <d v="2020-11-19T00:00:00"/>
    <x v="1"/>
    <x v="10"/>
    <x v="528"/>
    <x v="2"/>
    <x v="0"/>
    <x v="11"/>
    <x v="1206"/>
    <x v="4545"/>
    <n v="3"/>
    <x v="4292"/>
  </r>
  <r>
    <d v="2020-11-19T00:00:00"/>
    <x v="1"/>
    <x v="10"/>
    <x v="518"/>
    <x v="17"/>
    <x v="0"/>
    <x v="4"/>
    <x v="872"/>
    <x v="4546"/>
    <n v="3"/>
    <x v="4293"/>
  </r>
  <r>
    <d v="2020-11-19T00:00:00"/>
    <x v="1"/>
    <x v="10"/>
    <x v="220"/>
    <x v="2"/>
    <x v="0"/>
    <x v="11"/>
    <x v="560"/>
    <x v="4547"/>
    <n v="3"/>
    <x v="4294"/>
  </r>
  <r>
    <d v="2020-11-19T00:00:00"/>
    <x v="1"/>
    <x v="10"/>
    <x v="274"/>
    <x v="2"/>
    <x v="0"/>
    <x v="11"/>
    <x v="1038"/>
    <x v="4548"/>
    <n v="2"/>
    <x v="4295"/>
  </r>
  <r>
    <d v="2020-11-19T00:00:00"/>
    <x v="1"/>
    <x v="10"/>
    <x v="519"/>
    <x v="1"/>
    <x v="2"/>
    <x v="2"/>
    <x v="74"/>
    <x v="4549"/>
    <n v="9"/>
    <x v="75"/>
  </r>
  <r>
    <d v="2020-11-19T00:00:00"/>
    <x v="1"/>
    <x v="10"/>
    <x v="125"/>
    <x v="2"/>
    <x v="0"/>
    <x v="4"/>
    <x v="394"/>
    <x v="4550"/>
    <n v="6"/>
    <x v="4296"/>
  </r>
  <r>
    <d v="2020-11-19T00:00:00"/>
    <x v="1"/>
    <x v="10"/>
    <x v="48"/>
    <x v="19"/>
    <x v="0"/>
    <x v="8"/>
    <x v="1179"/>
    <x v="4551"/>
    <n v="6"/>
    <x v="4297"/>
  </r>
  <r>
    <d v="2020-11-19T00:00:00"/>
    <x v="1"/>
    <x v="10"/>
    <x v="477"/>
    <x v="12"/>
    <x v="2"/>
    <x v="13"/>
    <x v="847"/>
    <x v="4552"/>
    <n v="7"/>
    <x v="4298"/>
  </r>
  <r>
    <d v="2020-11-19T00:00:00"/>
    <x v="1"/>
    <x v="10"/>
    <x v="528"/>
    <x v="2"/>
    <x v="2"/>
    <x v="5"/>
    <x v="87"/>
    <x v="4553"/>
    <n v="6"/>
    <x v="4299"/>
  </r>
  <r>
    <d v="2020-11-19T00:00:00"/>
    <x v="1"/>
    <x v="10"/>
    <x v="43"/>
    <x v="2"/>
    <x v="0"/>
    <x v="8"/>
    <x v="942"/>
    <x v="4342"/>
    <n v="2"/>
    <x v="4300"/>
  </r>
  <r>
    <d v="2020-11-19T00:00:00"/>
    <x v="1"/>
    <x v="10"/>
    <x v="528"/>
    <x v="2"/>
    <x v="2"/>
    <x v="7"/>
    <x v="1717"/>
    <x v="4554"/>
    <n v="5"/>
    <x v="4301"/>
  </r>
  <r>
    <d v="2020-11-19T00:00:00"/>
    <x v="1"/>
    <x v="10"/>
    <x v="43"/>
    <x v="2"/>
    <x v="2"/>
    <x v="16"/>
    <x v="826"/>
    <x v="4555"/>
    <n v="1"/>
    <x v="3884"/>
  </r>
  <r>
    <d v="2020-11-19T00:00:00"/>
    <x v="1"/>
    <x v="10"/>
    <x v="477"/>
    <x v="12"/>
    <x v="2"/>
    <x v="10"/>
    <x v="86"/>
    <x v="4556"/>
    <n v="3"/>
    <x v="4302"/>
  </r>
  <r>
    <d v="2020-11-19T00:00:00"/>
    <x v="1"/>
    <x v="10"/>
    <x v="762"/>
    <x v="18"/>
    <x v="2"/>
    <x v="7"/>
    <x v="1591"/>
    <x v="3334"/>
    <n v="7"/>
    <x v="2862"/>
  </r>
  <r>
    <d v="2020-11-19T00:00:00"/>
    <x v="1"/>
    <x v="10"/>
    <x v="570"/>
    <x v="12"/>
    <x v="2"/>
    <x v="9"/>
    <x v="493"/>
    <x v="4557"/>
    <n v="2"/>
    <x v="1967"/>
  </r>
  <r>
    <d v="2020-11-19T00:00:00"/>
    <x v="1"/>
    <x v="10"/>
    <x v="427"/>
    <x v="18"/>
    <x v="2"/>
    <x v="12"/>
    <x v="717"/>
    <x v="4558"/>
    <n v="7"/>
    <x v="4303"/>
  </r>
  <r>
    <d v="2020-11-19T00:00:00"/>
    <x v="1"/>
    <x v="10"/>
    <x v="705"/>
    <x v="1"/>
    <x v="1"/>
    <x v="1"/>
    <x v="1191"/>
    <x v="2695"/>
    <n v="4"/>
    <x v="4304"/>
  </r>
  <r>
    <d v="2020-11-19T00:00:00"/>
    <x v="1"/>
    <x v="10"/>
    <x v="48"/>
    <x v="19"/>
    <x v="2"/>
    <x v="5"/>
    <x v="899"/>
    <x v="3956"/>
    <n v="2"/>
    <x v="4305"/>
  </r>
  <r>
    <d v="2020-11-19T00:00:00"/>
    <x v="1"/>
    <x v="10"/>
    <x v="519"/>
    <x v="1"/>
    <x v="0"/>
    <x v="8"/>
    <x v="1718"/>
    <x v="4559"/>
    <n v="1"/>
    <x v="4306"/>
  </r>
  <r>
    <d v="2020-11-19T00:00:00"/>
    <x v="1"/>
    <x v="10"/>
    <x v="43"/>
    <x v="2"/>
    <x v="2"/>
    <x v="9"/>
    <x v="1719"/>
    <x v="4560"/>
    <n v="4"/>
    <x v="4307"/>
  </r>
  <r>
    <d v="2020-11-19T00:00:00"/>
    <x v="1"/>
    <x v="10"/>
    <x v="570"/>
    <x v="12"/>
    <x v="2"/>
    <x v="5"/>
    <x v="802"/>
    <x v="4561"/>
    <n v="6"/>
    <x v="4308"/>
  </r>
  <r>
    <d v="2020-11-19T00:00:00"/>
    <x v="1"/>
    <x v="10"/>
    <x v="125"/>
    <x v="2"/>
    <x v="2"/>
    <x v="7"/>
    <x v="1438"/>
    <x v="4562"/>
    <n v="4"/>
    <x v="4309"/>
  </r>
  <r>
    <d v="2020-11-19T00:00:00"/>
    <x v="1"/>
    <x v="10"/>
    <x v="763"/>
    <x v="8"/>
    <x v="2"/>
    <x v="5"/>
    <x v="1361"/>
    <x v="4563"/>
    <n v="7"/>
    <x v="4310"/>
  </r>
  <r>
    <d v="2020-11-19T00:00:00"/>
    <x v="1"/>
    <x v="10"/>
    <x v="281"/>
    <x v="12"/>
    <x v="2"/>
    <x v="5"/>
    <x v="1122"/>
    <x v="4564"/>
    <n v="7"/>
    <x v="4311"/>
  </r>
  <r>
    <d v="2020-11-20T00:00:00"/>
    <x v="1"/>
    <x v="10"/>
    <x v="635"/>
    <x v="12"/>
    <x v="2"/>
    <x v="7"/>
    <x v="520"/>
    <x v="4565"/>
    <n v="3"/>
    <x v="4312"/>
  </r>
  <r>
    <d v="2020-11-20T00:00:00"/>
    <x v="1"/>
    <x v="10"/>
    <x v="568"/>
    <x v="1"/>
    <x v="2"/>
    <x v="5"/>
    <x v="353"/>
    <x v="4566"/>
    <n v="7"/>
    <x v="4313"/>
  </r>
  <r>
    <d v="2020-11-20T00:00:00"/>
    <x v="1"/>
    <x v="10"/>
    <x v="188"/>
    <x v="8"/>
    <x v="0"/>
    <x v="8"/>
    <x v="153"/>
    <x v="4567"/>
    <n v="5"/>
    <x v="4314"/>
  </r>
  <r>
    <d v="2020-11-20T00:00:00"/>
    <x v="1"/>
    <x v="10"/>
    <x v="635"/>
    <x v="12"/>
    <x v="0"/>
    <x v="0"/>
    <x v="931"/>
    <x v="4568"/>
    <n v="2"/>
    <x v="4315"/>
  </r>
  <r>
    <d v="2020-11-20T00:00:00"/>
    <x v="1"/>
    <x v="10"/>
    <x v="313"/>
    <x v="21"/>
    <x v="0"/>
    <x v="11"/>
    <x v="1516"/>
    <x v="4569"/>
    <n v="2"/>
    <x v="4316"/>
  </r>
  <r>
    <d v="2020-11-20T00:00:00"/>
    <x v="1"/>
    <x v="10"/>
    <x v="634"/>
    <x v="1"/>
    <x v="0"/>
    <x v="11"/>
    <x v="1720"/>
    <x v="4570"/>
    <n v="5"/>
    <x v="4317"/>
  </r>
  <r>
    <d v="2020-11-20T00:00:00"/>
    <x v="1"/>
    <x v="10"/>
    <x v="345"/>
    <x v="12"/>
    <x v="1"/>
    <x v="1"/>
    <x v="1579"/>
    <x v="4571"/>
    <n v="1"/>
    <x v="4318"/>
  </r>
  <r>
    <d v="2020-11-20T00:00:00"/>
    <x v="1"/>
    <x v="10"/>
    <x v="635"/>
    <x v="12"/>
    <x v="1"/>
    <x v="1"/>
    <x v="631"/>
    <x v="4572"/>
    <n v="3"/>
    <x v="3518"/>
  </r>
  <r>
    <d v="2020-11-20T00:00:00"/>
    <x v="1"/>
    <x v="10"/>
    <x v="345"/>
    <x v="12"/>
    <x v="1"/>
    <x v="3"/>
    <x v="907"/>
    <x v="4573"/>
    <n v="3"/>
    <x v="4319"/>
  </r>
  <r>
    <d v="2020-11-20T00:00:00"/>
    <x v="1"/>
    <x v="10"/>
    <x v="188"/>
    <x v="8"/>
    <x v="0"/>
    <x v="8"/>
    <x v="383"/>
    <x v="4574"/>
    <n v="2"/>
    <x v="4320"/>
  </r>
  <r>
    <d v="2020-11-20T00:00:00"/>
    <x v="1"/>
    <x v="10"/>
    <x v="763"/>
    <x v="4"/>
    <x v="2"/>
    <x v="7"/>
    <x v="1617"/>
    <x v="4575"/>
    <n v="7"/>
    <x v="4321"/>
  </r>
  <r>
    <d v="2020-11-20T00:00:00"/>
    <x v="1"/>
    <x v="10"/>
    <x v="42"/>
    <x v="19"/>
    <x v="0"/>
    <x v="8"/>
    <x v="148"/>
    <x v="4576"/>
    <n v="2"/>
    <x v="4322"/>
  </r>
  <r>
    <d v="2020-11-20T00:00:00"/>
    <x v="1"/>
    <x v="10"/>
    <x v="763"/>
    <x v="4"/>
    <x v="2"/>
    <x v="7"/>
    <x v="1088"/>
    <x v="4577"/>
    <n v="3"/>
    <x v="4323"/>
  </r>
  <r>
    <d v="2020-11-20T00:00:00"/>
    <x v="1"/>
    <x v="10"/>
    <x v="412"/>
    <x v="27"/>
    <x v="2"/>
    <x v="7"/>
    <x v="1721"/>
    <x v="4578"/>
    <n v="10"/>
    <x v="4324"/>
  </r>
  <r>
    <d v="2020-11-20T00:00:00"/>
    <x v="1"/>
    <x v="10"/>
    <x v="568"/>
    <x v="1"/>
    <x v="0"/>
    <x v="8"/>
    <x v="198"/>
    <x v="4579"/>
    <n v="3"/>
    <x v="1268"/>
  </r>
  <r>
    <d v="2020-11-20T00:00:00"/>
    <x v="1"/>
    <x v="10"/>
    <x v="635"/>
    <x v="12"/>
    <x v="2"/>
    <x v="9"/>
    <x v="1017"/>
    <x v="4069"/>
    <n v="7"/>
    <x v="812"/>
  </r>
  <r>
    <d v="2020-11-20T00:00:00"/>
    <x v="1"/>
    <x v="10"/>
    <x v="345"/>
    <x v="12"/>
    <x v="0"/>
    <x v="8"/>
    <x v="1542"/>
    <x v="4580"/>
    <n v="3"/>
    <x v="4325"/>
  </r>
  <r>
    <d v="2020-11-21T00:00:00"/>
    <x v="1"/>
    <x v="10"/>
    <x v="302"/>
    <x v="9"/>
    <x v="2"/>
    <x v="9"/>
    <x v="413"/>
    <x v="4581"/>
    <n v="8"/>
    <x v="456"/>
  </r>
  <r>
    <d v="2020-11-21T00:00:00"/>
    <x v="1"/>
    <x v="10"/>
    <x v="302"/>
    <x v="9"/>
    <x v="2"/>
    <x v="5"/>
    <x v="456"/>
    <x v="4582"/>
    <n v="5"/>
    <x v="4326"/>
  </r>
  <r>
    <d v="2020-11-21T00:00:00"/>
    <x v="1"/>
    <x v="10"/>
    <x v="237"/>
    <x v="1"/>
    <x v="1"/>
    <x v="1"/>
    <x v="550"/>
    <x v="4583"/>
    <n v="3"/>
    <x v="2578"/>
  </r>
  <r>
    <d v="2020-11-21T00:00:00"/>
    <x v="1"/>
    <x v="10"/>
    <x v="302"/>
    <x v="9"/>
    <x v="1"/>
    <x v="15"/>
    <x v="1722"/>
    <x v="4584"/>
    <n v="1"/>
    <x v="4327"/>
  </r>
  <r>
    <d v="2020-11-21T00:00:00"/>
    <x v="1"/>
    <x v="10"/>
    <x v="237"/>
    <x v="1"/>
    <x v="2"/>
    <x v="7"/>
    <x v="521"/>
    <x v="3254"/>
    <n v="2"/>
    <x v="683"/>
  </r>
  <r>
    <d v="2020-11-21T00:00:00"/>
    <x v="1"/>
    <x v="10"/>
    <x v="236"/>
    <x v="1"/>
    <x v="2"/>
    <x v="7"/>
    <x v="1159"/>
    <x v="4585"/>
    <n v="4"/>
    <x v="1436"/>
  </r>
  <r>
    <d v="2020-11-21T00:00:00"/>
    <x v="1"/>
    <x v="10"/>
    <x v="237"/>
    <x v="1"/>
    <x v="2"/>
    <x v="13"/>
    <x v="903"/>
    <x v="4586"/>
    <n v="1"/>
    <x v="4328"/>
  </r>
  <r>
    <d v="2020-11-21T00:00:00"/>
    <x v="1"/>
    <x v="10"/>
    <x v="237"/>
    <x v="1"/>
    <x v="2"/>
    <x v="12"/>
    <x v="479"/>
    <x v="4587"/>
    <n v="2"/>
    <x v="4329"/>
  </r>
  <r>
    <d v="2020-11-21T00:00:00"/>
    <x v="1"/>
    <x v="10"/>
    <x v="231"/>
    <x v="5"/>
    <x v="2"/>
    <x v="9"/>
    <x v="1000"/>
    <x v="4588"/>
    <n v="2"/>
    <x v="1350"/>
  </r>
  <r>
    <d v="2020-11-21T00:00:00"/>
    <x v="1"/>
    <x v="10"/>
    <x v="565"/>
    <x v="12"/>
    <x v="0"/>
    <x v="8"/>
    <x v="1115"/>
    <x v="4589"/>
    <n v="1"/>
    <x v="4330"/>
  </r>
  <r>
    <d v="2020-11-21T00:00:00"/>
    <x v="1"/>
    <x v="10"/>
    <x v="231"/>
    <x v="5"/>
    <x v="2"/>
    <x v="2"/>
    <x v="1723"/>
    <x v="4590"/>
    <n v="4"/>
    <x v="4331"/>
  </r>
  <r>
    <d v="2020-11-21T00:00:00"/>
    <x v="1"/>
    <x v="10"/>
    <x v="127"/>
    <x v="2"/>
    <x v="1"/>
    <x v="1"/>
    <x v="541"/>
    <x v="4591"/>
    <n v="3"/>
    <x v="607"/>
  </r>
  <r>
    <d v="2020-11-21T00:00:00"/>
    <x v="1"/>
    <x v="10"/>
    <x v="236"/>
    <x v="1"/>
    <x v="2"/>
    <x v="5"/>
    <x v="1153"/>
    <x v="4592"/>
    <n v="2"/>
    <x v="4332"/>
  </r>
  <r>
    <d v="2020-11-21T00:00:00"/>
    <x v="1"/>
    <x v="10"/>
    <x v="499"/>
    <x v="9"/>
    <x v="0"/>
    <x v="4"/>
    <x v="273"/>
    <x v="4593"/>
    <n v="1"/>
    <x v="4074"/>
  </r>
  <r>
    <d v="2020-11-21T00:00:00"/>
    <x v="1"/>
    <x v="10"/>
    <x v="237"/>
    <x v="1"/>
    <x v="2"/>
    <x v="2"/>
    <x v="321"/>
    <x v="4594"/>
    <n v="2"/>
    <x v="3399"/>
  </r>
  <r>
    <d v="2020-11-22T00:00:00"/>
    <x v="1"/>
    <x v="10"/>
    <x v="547"/>
    <x v="2"/>
    <x v="2"/>
    <x v="7"/>
    <x v="621"/>
    <x v="4595"/>
    <n v="8"/>
    <x v="4333"/>
  </r>
  <r>
    <d v="2020-11-23T00:00:00"/>
    <x v="1"/>
    <x v="10"/>
    <x v="376"/>
    <x v="2"/>
    <x v="2"/>
    <x v="9"/>
    <x v="429"/>
    <x v="4596"/>
    <n v="2"/>
    <x v="472"/>
  </r>
  <r>
    <d v="2020-11-23T00:00:00"/>
    <x v="1"/>
    <x v="10"/>
    <x v="157"/>
    <x v="4"/>
    <x v="1"/>
    <x v="3"/>
    <x v="1641"/>
    <x v="4597"/>
    <n v="8"/>
    <x v="4334"/>
  </r>
  <r>
    <d v="2020-11-23T00:00:00"/>
    <x v="1"/>
    <x v="10"/>
    <x v="376"/>
    <x v="2"/>
    <x v="0"/>
    <x v="4"/>
    <x v="995"/>
    <x v="4598"/>
    <n v="1"/>
    <x v="4335"/>
  </r>
  <r>
    <d v="2020-11-23T00:00:00"/>
    <x v="1"/>
    <x v="10"/>
    <x v="74"/>
    <x v="2"/>
    <x v="1"/>
    <x v="1"/>
    <x v="708"/>
    <x v="4599"/>
    <n v="5"/>
    <x v="3019"/>
  </r>
  <r>
    <d v="2020-11-23T00:00:00"/>
    <x v="1"/>
    <x v="10"/>
    <x v="639"/>
    <x v="17"/>
    <x v="1"/>
    <x v="1"/>
    <x v="1405"/>
    <x v="4114"/>
    <n v="2"/>
    <x v="3931"/>
  </r>
  <r>
    <d v="2020-11-23T00:00:00"/>
    <x v="1"/>
    <x v="10"/>
    <x v="577"/>
    <x v="25"/>
    <x v="2"/>
    <x v="5"/>
    <x v="1186"/>
    <x v="4600"/>
    <n v="8"/>
    <x v="4336"/>
  </r>
  <r>
    <d v="2020-11-23T00:00:00"/>
    <x v="1"/>
    <x v="10"/>
    <x v="150"/>
    <x v="25"/>
    <x v="2"/>
    <x v="16"/>
    <x v="311"/>
    <x v="4601"/>
    <n v="2"/>
    <x v="4337"/>
  </r>
  <r>
    <d v="2020-11-23T00:00:00"/>
    <x v="1"/>
    <x v="10"/>
    <x v="639"/>
    <x v="17"/>
    <x v="0"/>
    <x v="8"/>
    <x v="1103"/>
    <x v="4602"/>
    <n v="1"/>
    <x v="4338"/>
  </r>
  <r>
    <d v="2020-11-23T00:00:00"/>
    <x v="1"/>
    <x v="10"/>
    <x v="376"/>
    <x v="2"/>
    <x v="2"/>
    <x v="5"/>
    <x v="360"/>
    <x v="4603"/>
    <n v="2"/>
    <x v="4339"/>
  </r>
  <r>
    <d v="2020-11-23T00:00:00"/>
    <x v="1"/>
    <x v="10"/>
    <x v="489"/>
    <x v="5"/>
    <x v="2"/>
    <x v="5"/>
    <x v="588"/>
    <x v="4604"/>
    <n v="1"/>
    <x v="4340"/>
  </r>
  <r>
    <d v="2020-11-23T00:00:00"/>
    <x v="1"/>
    <x v="10"/>
    <x v="577"/>
    <x v="25"/>
    <x v="0"/>
    <x v="8"/>
    <x v="198"/>
    <x v="4605"/>
    <n v="2"/>
    <x v="4341"/>
  </r>
  <r>
    <d v="2020-11-23T00:00:00"/>
    <x v="1"/>
    <x v="10"/>
    <x v="157"/>
    <x v="4"/>
    <x v="2"/>
    <x v="7"/>
    <x v="912"/>
    <x v="4606"/>
    <n v="1"/>
    <x v="3368"/>
  </r>
  <r>
    <d v="2020-11-23T00:00:00"/>
    <x v="1"/>
    <x v="10"/>
    <x v="157"/>
    <x v="4"/>
    <x v="1"/>
    <x v="1"/>
    <x v="1724"/>
    <x v="4607"/>
    <n v="1"/>
    <x v="4342"/>
  </r>
  <r>
    <d v="2020-11-23T00:00:00"/>
    <x v="1"/>
    <x v="10"/>
    <x v="347"/>
    <x v="17"/>
    <x v="2"/>
    <x v="9"/>
    <x v="39"/>
    <x v="4608"/>
    <n v="2"/>
    <x v="542"/>
  </r>
  <r>
    <d v="2020-11-23T00:00:00"/>
    <x v="1"/>
    <x v="10"/>
    <x v="639"/>
    <x v="17"/>
    <x v="2"/>
    <x v="14"/>
    <x v="1190"/>
    <x v="2780"/>
    <n v="5"/>
    <x v="2356"/>
  </r>
  <r>
    <d v="2020-11-23T00:00:00"/>
    <x v="1"/>
    <x v="10"/>
    <x v="25"/>
    <x v="5"/>
    <x v="0"/>
    <x v="8"/>
    <x v="509"/>
    <x v="4609"/>
    <n v="9"/>
    <x v="4343"/>
  </r>
  <r>
    <d v="2020-11-23T00:00:00"/>
    <x v="1"/>
    <x v="10"/>
    <x v="376"/>
    <x v="2"/>
    <x v="2"/>
    <x v="9"/>
    <x v="1164"/>
    <x v="4610"/>
    <n v="7"/>
    <x v="379"/>
  </r>
  <r>
    <d v="2020-11-24T00:00:00"/>
    <x v="1"/>
    <x v="10"/>
    <x v="291"/>
    <x v="21"/>
    <x v="2"/>
    <x v="10"/>
    <x v="1359"/>
    <x v="4611"/>
    <n v="7"/>
    <x v="4344"/>
  </r>
  <r>
    <d v="2020-11-24T00:00:00"/>
    <x v="1"/>
    <x v="10"/>
    <x v="661"/>
    <x v="39"/>
    <x v="1"/>
    <x v="1"/>
    <x v="1629"/>
    <x v="2597"/>
    <n v="2"/>
    <x v="4345"/>
  </r>
  <r>
    <d v="2020-11-24T00:00:00"/>
    <x v="1"/>
    <x v="10"/>
    <x v="738"/>
    <x v="5"/>
    <x v="1"/>
    <x v="1"/>
    <x v="773"/>
    <x v="4612"/>
    <n v="2"/>
    <x v="4346"/>
  </r>
  <r>
    <d v="2020-11-24T00:00:00"/>
    <x v="1"/>
    <x v="10"/>
    <x v="634"/>
    <x v="12"/>
    <x v="2"/>
    <x v="10"/>
    <x v="104"/>
    <x v="4613"/>
    <n v="2"/>
    <x v="105"/>
  </r>
  <r>
    <d v="2020-11-24T00:00:00"/>
    <x v="1"/>
    <x v="10"/>
    <x v="228"/>
    <x v="1"/>
    <x v="1"/>
    <x v="3"/>
    <x v="1323"/>
    <x v="4614"/>
    <n v="14"/>
    <x v="4347"/>
  </r>
  <r>
    <d v="2020-11-24T00:00:00"/>
    <x v="1"/>
    <x v="10"/>
    <x v="738"/>
    <x v="5"/>
    <x v="2"/>
    <x v="9"/>
    <x v="925"/>
    <x v="4615"/>
    <n v="7"/>
    <x v="3555"/>
  </r>
  <r>
    <d v="2020-11-24T00:00:00"/>
    <x v="1"/>
    <x v="10"/>
    <x v="661"/>
    <x v="39"/>
    <x v="2"/>
    <x v="5"/>
    <x v="973"/>
    <x v="4616"/>
    <n v="8"/>
    <x v="4348"/>
  </r>
  <r>
    <d v="2020-11-24T00:00:00"/>
    <x v="1"/>
    <x v="10"/>
    <x v="634"/>
    <x v="12"/>
    <x v="0"/>
    <x v="0"/>
    <x v="1080"/>
    <x v="4617"/>
    <n v="2"/>
    <x v="4349"/>
  </r>
  <r>
    <d v="2020-11-24T00:00:00"/>
    <x v="1"/>
    <x v="10"/>
    <x v="191"/>
    <x v="1"/>
    <x v="0"/>
    <x v="4"/>
    <x v="6"/>
    <x v="4618"/>
    <n v="2"/>
    <x v="4350"/>
  </r>
  <r>
    <d v="2020-11-24T00:00:00"/>
    <x v="1"/>
    <x v="10"/>
    <x v="153"/>
    <x v="20"/>
    <x v="2"/>
    <x v="2"/>
    <x v="361"/>
    <x v="4619"/>
    <n v="8"/>
    <x v="4351"/>
  </r>
  <r>
    <d v="2020-11-24T00:00:00"/>
    <x v="1"/>
    <x v="10"/>
    <x v="691"/>
    <x v="12"/>
    <x v="0"/>
    <x v="11"/>
    <x v="49"/>
    <x v="4620"/>
    <n v="6"/>
    <x v="4352"/>
  </r>
  <r>
    <d v="2020-11-24T00:00:00"/>
    <x v="1"/>
    <x v="10"/>
    <x v="306"/>
    <x v="19"/>
    <x v="2"/>
    <x v="2"/>
    <x v="64"/>
    <x v="4621"/>
    <n v="12"/>
    <x v="4353"/>
  </r>
  <r>
    <d v="2020-11-24T00:00:00"/>
    <x v="1"/>
    <x v="10"/>
    <x v="726"/>
    <x v="1"/>
    <x v="2"/>
    <x v="9"/>
    <x v="1411"/>
    <x v="2580"/>
    <n v="1"/>
    <x v="2499"/>
  </r>
  <r>
    <d v="2020-11-24T00:00:00"/>
    <x v="1"/>
    <x v="10"/>
    <x v="291"/>
    <x v="21"/>
    <x v="2"/>
    <x v="5"/>
    <x v="1605"/>
    <x v="4622"/>
    <n v="3"/>
    <x v="4126"/>
  </r>
  <r>
    <d v="2020-11-24T00:00:00"/>
    <x v="1"/>
    <x v="10"/>
    <x v="73"/>
    <x v="2"/>
    <x v="2"/>
    <x v="12"/>
    <x v="479"/>
    <x v="4623"/>
    <n v="3"/>
    <x v="4354"/>
  </r>
  <r>
    <d v="2020-11-24T00:00:00"/>
    <x v="1"/>
    <x v="10"/>
    <x v="153"/>
    <x v="20"/>
    <x v="2"/>
    <x v="5"/>
    <x v="1609"/>
    <x v="4624"/>
    <n v="2"/>
    <x v="4355"/>
  </r>
  <r>
    <d v="2020-11-24T00:00:00"/>
    <x v="1"/>
    <x v="10"/>
    <x v="634"/>
    <x v="12"/>
    <x v="2"/>
    <x v="9"/>
    <x v="1331"/>
    <x v="591"/>
    <n v="2"/>
    <x v="56"/>
  </r>
  <r>
    <d v="2020-11-24T00:00:00"/>
    <x v="1"/>
    <x v="10"/>
    <x v="634"/>
    <x v="12"/>
    <x v="2"/>
    <x v="7"/>
    <x v="1005"/>
    <x v="4625"/>
    <n v="9"/>
    <x v="4356"/>
  </r>
  <r>
    <d v="2020-11-24T00:00:00"/>
    <x v="1"/>
    <x v="10"/>
    <x v="691"/>
    <x v="12"/>
    <x v="2"/>
    <x v="9"/>
    <x v="284"/>
    <x v="3418"/>
    <n v="1"/>
    <x v="4357"/>
  </r>
  <r>
    <d v="2020-11-24T00:00:00"/>
    <x v="1"/>
    <x v="10"/>
    <x v="90"/>
    <x v="2"/>
    <x v="2"/>
    <x v="13"/>
    <x v="729"/>
    <x v="4626"/>
    <n v="1"/>
    <x v="4358"/>
  </r>
  <r>
    <d v="2020-11-24T00:00:00"/>
    <x v="1"/>
    <x v="10"/>
    <x v="293"/>
    <x v="38"/>
    <x v="2"/>
    <x v="2"/>
    <x v="1114"/>
    <x v="4627"/>
    <n v="1"/>
    <x v="4261"/>
  </r>
  <r>
    <d v="2020-11-24T00:00:00"/>
    <x v="1"/>
    <x v="10"/>
    <x v="697"/>
    <x v="4"/>
    <x v="2"/>
    <x v="5"/>
    <x v="270"/>
    <x v="4628"/>
    <n v="8"/>
    <x v="4359"/>
  </r>
  <r>
    <d v="2020-11-24T00:00:00"/>
    <x v="1"/>
    <x v="10"/>
    <x v="306"/>
    <x v="19"/>
    <x v="2"/>
    <x v="5"/>
    <x v="81"/>
    <x v="2380"/>
    <n v="1"/>
    <x v="3894"/>
  </r>
  <r>
    <d v="2020-11-24T00:00:00"/>
    <x v="1"/>
    <x v="10"/>
    <x v="68"/>
    <x v="1"/>
    <x v="2"/>
    <x v="7"/>
    <x v="556"/>
    <x v="4629"/>
    <n v="4"/>
    <x v="4360"/>
  </r>
  <r>
    <d v="2020-11-24T00:00:00"/>
    <x v="1"/>
    <x v="10"/>
    <x v="191"/>
    <x v="1"/>
    <x v="0"/>
    <x v="4"/>
    <x v="474"/>
    <x v="4630"/>
    <n v="2"/>
    <x v="523"/>
  </r>
  <r>
    <d v="2020-11-25T00:00:00"/>
    <x v="1"/>
    <x v="10"/>
    <x v="137"/>
    <x v="2"/>
    <x v="2"/>
    <x v="13"/>
    <x v="1225"/>
    <x v="4631"/>
    <n v="5"/>
    <x v="4361"/>
  </r>
  <r>
    <d v="2020-11-25T00:00:00"/>
    <x v="1"/>
    <x v="10"/>
    <x v="137"/>
    <x v="2"/>
    <x v="1"/>
    <x v="1"/>
    <x v="773"/>
    <x v="4632"/>
    <n v="5"/>
    <x v="4362"/>
  </r>
  <r>
    <d v="2020-11-25T00:00:00"/>
    <x v="1"/>
    <x v="10"/>
    <x v="649"/>
    <x v="1"/>
    <x v="0"/>
    <x v="0"/>
    <x v="52"/>
    <x v="4633"/>
    <n v="3"/>
    <x v="4363"/>
  </r>
  <r>
    <d v="2020-11-25T00:00:00"/>
    <x v="1"/>
    <x v="10"/>
    <x v="448"/>
    <x v="25"/>
    <x v="2"/>
    <x v="2"/>
    <x v="1473"/>
    <x v="4634"/>
    <n v="3"/>
    <x v="72"/>
  </r>
  <r>
    <d v="2020-11-25T00:00:00"/>
    <x v="1"/>
    <x v="10"/>
    <x v="482"/>
    <x v="19"/>
    <x v="0"/>
    <x v="11"/>
    <x v="1034"/>
    <x v="4635"/>
    <n v="2"/>
    <x v="4364"/>
  </r>
  <r>
    <d v="2020-11-25T00:00:00"/>
    <x v="1"/>
    <x v="10"/>
    <x v="127"/>
    <x v="6"/>
    <x v="0"/>
    <x v="0"/>
    <x v="1678"/>
    <x v="4636"/>
    <n v="5"/>
    <x v="4365"/>
  </r>
  <r>
    <d v="2020-11-25T00:00:00"/>
    <x v="1"/>
    <x v="10"/>
    <x v="137"/>
    <x v="2"/>
    <x v="0"/>
    <x v="11"/>
    <x v="738"/>
    <x v="4637"/>
    <n v="5"/>
    <x v="4366"/>
  </r>
  <r>
    <d v="2020-11-25T00:00:00"/>
    <x v="1"/>
    <x v="10"/>
    <x v="649"/>
    <x v="1"/>
    <x v="2"/>
    <x v="2"/>
    <x v="764"/>
    <x v="4638"/>
    <n v="1"/>
    <x v="4367"/>
  </r>
  <r>
    <d v="2020-11-25T00:00:00"/>
    <x v="1"/>
    <x v="10"/>
    <x v="79"/>
    <x v="1"/>
    <x v="2"/>
    <x v="7"/>
    <x v="690"/>
    <x v="4639"/>
    <n v="2"/>
    <x v="808"/>
  </r>
  <r>
    <d v="2020-11-25T00:00:00"/>
    <x v="1"/>
    <x v="10"/>
    <x v="137"/>
    <x v="2"/>
    <x v="2"/>
    <x v="7"/>
    <x v="815"/>
    <x v="4640"/>
    <n v="4"/>
    <x v="4368"/>
  </r>
  <r>
    <d v="2020-11-25T00:00:00"/>
    <x v="1"/>
    <x v="10"/>
    <x v="184"/>
    <x v="1"/>
    <x v="1"/>
    <x v="1"/>
    <x v="1047"/>
    <x v="4283"/>
    <n v="5"/>
    <x v="4369"/>
  </r>
  <r>
    <d v="2020-11-25T00:00:00"/>
    <x v="1"/>
    <x v="10"/>
    <x v="184"/>
    <x v="1"/>
    <x v="2"/>
    <x v="9"/>
    <x v="400"/>
    <x v="4641"/>
    <n v="6"/>
    <x v="4370"/>
  </r>
  <r>
    <d v="2020-11-25T00:00:00"/>
    <x v="1"/>
    <x v="10"/>
    <x v="455"/>
    <x v="14"/>
    <x v="2"/>
    <x v="9"/>
    <x v="1695"/>
    <x v="4642"/>
    <n v="9"/>
    <x v="4371"/>
  </r>
  <r>
    <d v="2020-11-26T00:00:00"/>
    <x v="1"/>
    <x v="10"/>
    <x v="141"/>
    <x v="8"/>
    <x v="2"/>
    <x v="13"/>
    <x v="565"/>
    <x v="4643"/>
    <n v="3"/>
    <x v="4372"/>
  </r>
  <r>
    <d v="2020-11-26T00:00:00"/>
    <x v="1"/>
    <x v="10"/>
    <x v="215"/>
    <x v="24"/>
    <x v="1"/>
    <x v="1"/>
    <x v="1546"/>
    <x v="4644"/>
    <n v="2"/>
    <x v="4373"/>
  </r>
  <r>
    <d v="2020-11-26T00:00:00"/>
    <x v="1"/>
    <x v="10"/>
    <x v="716"/>
    <x v="12"/>
    <x v="2"/>
    <x v="5"/>
    <x v="733"/>
    <x v="4645"/>
    <n v="4"/>
    <x v="4374"/>
  </r>
  <r>
    <d v="2020-11-26T00:00:00"/>
    <x v="1"/>
    <x v="10"/>
    <x v="262"/>
    <x v="12"/>
    <x v="0"/>
    <x v="8"/>
    <x v="1630"/>
    <x v="4646"/>
    <n v="5"/>
    <x v="3631"/>
  </r>
  <r>
    <d v="2020-11-26T00:00:00"/>
    <x v="1"/>
    <x v="10"/>
    <x v="287"/>
    <x v="30"/>
    <x v="0"/>
    <x v="8"/>
    <x v="1567"/>
    <x v="3725"/>
    <n v="3"/>
    <x v="3204"/>
  </r>
  <r>
    <d v="2020-11-26T00:00:00"/>
    <x v="1"/>
    <x v="10"/>
    <x v="122"/>
    <x v="8"/>
    <x v="1"/>
    <x v="1"/>
    <x v="382"/>
    <x v="4647"/>
    <n v="8"/>
    <x v="4375"/>
  </r>
  <r>
    <d v="2020-11-26T00:00:00"/>
    <x v="1"/>
    <x v="10"/>
    <x v="141"/>
    <x v="8"/>
    <x v="2"/>
    <x v="13"/>
    <x v="1364"/>
    <x v="1522"/>
    <n v="7"/>
    <x v="4376"/>
  </r>
  <r>
    <d v="2020-11-26T00:00:00"/>
    <x v="1"/>
    <x v="10"/>
    <x v="215"/>
    <x v="24"/>
    <x v="0"/>
    <x v="4"/>
    <x v="355"/>
    <x v="4648"/>
    <n v="3"/>
    <x v="4377"/>
  </r>
  <r>
    <d v="2020-11-26T00:00:00"/>
    <x v="1"/>
    <x v="10"/>
    <x v="215"/>
    <x v="24"/>
    <x v="0"/>
    <x v="11"/>
    <x v="233"/>
    <x v="4649"/>
    <n v="3"/>
    <x v="4378"/>
  </r>
  <r>
    <d v="2020-11-26T00:00:00"/>
    <x v="1"/>
    <x v="10"/>
    <x v="262"/>
    <x v="12"/>
    <x v="1"/>
    <x v="1"/>
    <x v="1295"/>
    <x v="4650"/>
    <n v="5"/>
    <x v="4379"/>
  </r>
  <r>
    <d v="2020-11-26T00:00:00"/>
    <x v="1"/>
    <x v="10"/>
    <x v="215"/>
    <x v="24"/>
    <x v="1"/>
    <x v="1"/>
    <x v="117"/>
    <x v="4651"/>
    <n v="4"/>
    <x v="4380"/>
  </r>
  <r>
    <d v="2020-11-26T00:00:00"/>
    <x v="1"/>
    <x v="10"/>
    <x v="342"/>
    <x v="14"/>
    <x v="2"/>
    <x v="7"/>
    <x v="1373"/>
    <x v="4652"/>
    <n v="3"/>
    <x v="416"/>
  </r>
  <r>
    <d v="2020-11-26T00:00:00"/>
    <x v="1"/>
    <x v="10"/>
    <x v="215"/>
    <x v="24"/>
    <x v="0"/>
    <x v="8"/>
    <x v="1537"/>
    <x v="4653"/>
    <n v="2"/>
    <x v="3022"/>
  </r>
  <r>
    <d v="2020-11-26T00:00:00"/>
    <x v="1"/>
    <x v="10"/>
    <x v="356"/>
    <x v="17"/>
    <x v="2"/>
    <x v="5"/>
    <x v="725"/>
    <x v="4654"/>
    <n v="8"/>
    <x v="4381"/>
  </r>
  <r>
    <d v="2020-11-26T00:00:00"/>
    <x v="1"/>
    <x v="10"/>
    <x v="287"/>
    <x v="30"/>
    <x v="1"/>
    <x v="3"/>
    <x v="547"/>
    <x v="4655"/>
    <n v="2"/>
    <x v="4382"/>
  </r>
  <r>
    <d v="2020-11-26T00:00:00"/>
    <x v="1"/>
    <x v="10"/>
    <x v="716"/>
    <x v="12"/>
    <x v="2"/>
    <x v="13"/>
    <x v="1470"/>
    <x v="4656"/>
    <n v="7"/>
    <x v="4383"/>
  </r>
  <r>
    <d v="2020-11-27T00:00:00"/>
    <x v="1"/>
    <x v="10"/>
    <x v="198"/>
    <x v="1"/>
    <x v="2"/>
    <x v="5"/>
    <x v="666"/>
    <x v="4657"/>
    <n v="7"/>
    <x v="4384"/>
  </r>
  <r>
    <d v="2020-11-27T00:00:00"/>
    <x v="1"/>
    <x v="10"/>
    <x v="424"/>
    <x v="12"/>
    <x v="2"/>
    <x v="5"/>
    <x v="1379"/>
    <x v="4658"/>
    <n v="6"/>
    <x v="4385"/>
  </r>
  <r>
    <d v="2020-11-27T00:00:00"/>
    <x v="1"/>
    <x v="10"/>
    <x v="506"/>
    <x v="7"/>
    <x v="1"/>
    <x v="3"/>
    <x v="1323"/>
    <x v="4659"/>
    <n v="9"/>
    <x v="4386"/>
  </r>
  <r>
    <d v="2020-11-27T00:00:00"/>
    <x v="1"/>
    <x v="10"/>
    <x v="240"/>
    <x v="1"/>
    <x v="1"/>
    <x v="3"/>
    <x v="1571"/>
    <x v="4660"/>
    <n v="8"/>
    <x v="4387"/>
  </r>
  <r>
    <d v="2020-11-27T00:00:00"/>
    <x v="1"/>
    <x v="10"/>
    <x v="62"/>
    <x v="24"/>
    <x v="2"/>
    <x v="9"/>
    <x v="467"/>
    <x v="4661"/>
    <n v="6"/>
    <x v="4388"/>
  </r>
  <r>
    <d v="2020-11-27T00:00:00"/>
    <x v="1"/>
    <x v="10"/>
    <x v="240"/>
    <x v="1"/>
    <x v="2"/>
    <x v="9"/>
    <x v="701"/>
    <x v="4662"/>
    <n v="5"/>
    <x v="2719"/>
  </r>
  <r>
    <d v="2020-11-27T00:00:00"/>
    <x v="1"/>
    <x v="10"/>
    <x v="62"/>
    <x v="24"/>
    <x v="2"/>
    <x v="5"/>
    <x v="129"/>
    <x v="4663"/>
    <n v="3"/>
    <x v="4389"/>
  </r>
  <r>
    <d v="2020-11-27T00:00:00"/>
    <x v="1"/>
    <x v="10"/>
    <x v="424"/>
    <x v="12"/>
    <x v="2"/>
    <x v="7"/>
    <x v="35"/>
    <x v="4664"/>
    <n v="3"/>
    <x v="435"/>
  </r>
  <r>
    <d v="2020-11-27T00:00:00"/>
    <x v="1"/>
    <x v="10"/>
    <x v="523"/>
    <x v="4"/>
    <x v="2"/>
    <x v="7"/>
    <x v="1478"/>
    <x v="4665"/>
    <n v="5"/>
    <x v="4390"/>
  </r>
  <r>
    <d v="2020-11-27T00:00:00"/>
    <x v="1"/>
    <x v="10"/>
    <x v="198"/>
    <x v="1"/>
    <x v="0"/>
    <x v="8"/>
    <x v="455"/>
    <x v="4666"/>
    <n v="3"/>
    <x v="2193"/>
  </r>
  <r>
    <d v="2020-11-27T00:00:00"/>
    <x v="1"/>
    <x v="10"/>
    <x v="523"/>
    <x v="4"/>
    <x v="2"/>
    <x v="13"/>
    <x v="154"/>
    <x v="4667"/>
    <n v="1"/>
    <x v="4391"/>
  </r>
  <r>
    <d v="2020-11-27T00:00:00"/>
    <x v="1"/>
    <x v="10"/>
    <x v="506"/>
    <x v="7"/>
    <x v="0"/>
    <x v="8"/>
    <x v="1714"/>
    <x v="4668"/>
    <n v="1"/>
    <x v="4392"/>
  </r>
  <r>
    <d v="2020-11-27T00:00:00"/>
    <x v="1"/>
    <x v="10"/>
    <x v="725"/>
    <x v="1"/>
    <x v="1"/>
    <x v="1"/>
    <x v="827"/>
    <x v="1453"/>
    <n v="4"/>
    <x v="4393"/>
  </r>
  <r>
    <d v="2020-11-28T00:00:00"/>
    <x v="1"/>
    <x v="10"/>
    <x v="526"/>
    <x v="1"/>
    <x v="2"/>
    <x v="14"/>
    <x v="792"/>
    <x v="4669"/>
    <n v="5"/>
    <x v="4394"/>
  </r>
  <r>
    <d v="2020-11-28T00:00:00"/>
    <x v="1"/>
    <x v="10"/>
    <x v="429"/>
    <x v="12"/>
    <x v="2"/>
    <x v="10"/>
    <x v="255"/>
    <x v="4670"/>
    <n v="2"/>
    <x v="4395"/>
  </r>
  <r>
    <d v="2020-11-28T00:00:00"/>
    <x v="1"/>
    <x v="10"/>
    <x v="723"/>
    <x v="22"/>
    <x v="2"/>
    <x v="9"/>
    <x v="786"/>
    <x v="4671"/>
    <n v="2"/>
    <x v="1758"/>
  </r>
  <r>
    <d v="2020-11-28T00:00:00"/>
    <x v="1"/>
    <x v="10"/>
    <x v="197"/>
    <x v="5"/>
    <x v="0"/>
    <x v="8"/>
    <x v="95"/>
    <x v="4672"/>
    <n v="7"/>
    <x v="4396"/>
  </r>
  <r>
    <d v="2020-11-28T00:00:00"/>
    <x v="1"/>
    <x v="10"/>
    <x v="197"/>
    <x v="5"/>
    <x v="0"/>
    <x v="8"/>
    <x v="538"/>
    <x v="4673"/>
    <n v="6"/>
    <x v="4397"/>
  </r>
  <r>
    <d v="2020-11-28T00:00:00"/>
    <x v="1"/>
    <x v="10"/>
    <x v="395"/>
    <x v="0"/>
    <x v="0"/>
    <x v="8"/>
    <x v="538"/>
    <x v="4674"/>
    <n v="5"/>
    <x v="603"/>
  </r>
  <r>
    <d v="2020-11-28T00:00:00"/>
    <x v="1"/>
    <x v="10"/>
    <x v="429"/>
    <x v="12"/>
    <x v="1"/>
    <x v="1"/>
    <x v="1294"/>
    <x v="4675"/>
    <n v="11"/>
    <x v="4398"/>
  </r>
  <r>
    <d v="2020-11-28T00:00:00"/>
    <x v="1"/>
    <x v="10"/>
    <x v="197"/>
    <x v="5"/>
    <x v="0"/>
    <x v="4"/>
    <x v="1509"/>
    <x v="4676"/>
    <n v="12"/>
    <x v="4399"/>
  </r>
  <r>
    <d v="2020-11-28T00:00:00"/>
    <x v="1"/>
    <x v="10"/>
    <x v="395"/>
    <x v="0"/>
    <x v="0"/>
    <x v="8"/>
    <x v="473"/>
    <x v="4677"/>
    <n v="5"/>
    <x v="4400"/>
  </r>
  <r>
    <d v="2020-11-28T00:00:00"/>
    <x v="1"/>
    <x v="10"/>
    <x v="395"/>
    <x v="0"/>
    <x v="2"/>
    <x v="7"/>
    <x v="403"/>
    <x v="4678"/>
    <n v="1"/>
    <x v="4401"/>
  </r>
  <r>
    <d v="2020-11-28T00:00:00"/>
    <x v="1"/>
    <x v="10"/>
    <x v="197"/>
    <x v="5"/>
    <x v="2"/>
    <x v="9"/>
    <x v="1218"/>
    <x v="4679"/>
    <n v="6"/>
    <x v="3048"/>
  </r>
  <r>
    <d v="2020-11-28T00:00:00"/>
    <x v="1"/>
    <x v="10"/>
    <x v="197"/>
    <x v="5"/>
    <x v="2"/>
    <x v="9"/>
    <x v="732"/>
    <x v="4680"/>
    <n v="3"/>
    <x v="29"/>
  </r>
  <r>
    <d v="2020-11-29T00:00:00"/>
    <x v="1"/>
    <x v="10"/>
    <x v="254"/>
    <x v="21"/>
    <x v="0"/>
    <x v="8"/>
    <x v="1725"/>
    <x v="4681"/>
    <n v="5"/>
    <x v="4402"/>
  </r>
  <r>
    <d v="2020-11-29T00:00:00"/>
    <x v="1"/>
    <x v="10"/>
    <x v="254"/>
    <x v="21"/>
    <x v="0"/>
    <x v="11"/>
    <x v="310"/>
    <x v="4682"/>
    <n v="2"/>
    <x v="4403"/>
  </r>
  <r>
    <d v="2020-11-30T00:00:00"/>
    <x v="1"/>
    <x v="10"/>
    <x v="709"/>
    <x v="12"/>
    <x v="2"/>
    <x v="2"/>
    <x v="1534"/>
    <x v="4683"/>
    <n v="4"/>
    <x v="4404"/>
  </r>
  <r>
    <d v="2020-11-30T00:00:00"/>
    <x v="1"/>
    <x v="10"/>
    <x v="648"/>
    <x v="12"/>
    <x v="2"/>
    <x v="5"/>
    <x v="1361"/>
    <x v="4684"/>
    <n v="3"/>
    <x v="4405"/>
  </r>
  <r>
    <d v="2020-11-30T00:00:00"/>
    <x v="1"/>
    <x v="10"/>
    <x v="540"/>
    <x v="2"/>
    <x v="1"/>
    <x v="3"/>
    <x v="489"/>
    <x v="3089"/>
    <n v="3"/>
    <x v="1189"/>
  </r>
  <r>
    <d v="2020-11-30T00:00:00"/>
    <x v="1"/>
    <x v="10"/>
    <x v="415"/>
    <x v="23"/>
    <x v="2"/>
    <x v="7"/>
    <x v="244"/>
    <x v="4685"/>
    <n v="6"/>
    <x v="4406"/>
  </r>
  <r>
    <d v="2020-11-30T00:00:00"/>
    <x v="1"/>
    <x v="10"/>
    <x v="565"/>
    <x v="16"/>
    <x v="2"/>
    <x v="2"/>
    <x v="532"/>
    <x v="4686"/>
    <n v="5"/>
    <x v="4407"/>
  </r>
  <r>
    <d v="2020-11-30T00:00:00"/>
    <x v="1"/>
    <x v="10"/>
    <x v="709"/>
    <x v="12"/>
    <x v="2"/>
    <x v="2"/>
    <x v="146"/>
    <x v="4687"/>
    <n v="3"/>
    <x v="4408"/>
  </r>
  <r>
    <d v="2020-11-30T00:00:00"/>
    <x v="1"/>
    <x v="10"/>
    <x v="504"/>
    <x v="4"/>
    <x v="1"/>
    <x v="3"/>
    <x v="1187"/>
    <x v="4688"/>
    <n v="3"/>
    <x v="4409"/>
  </r>
  <r>
    <d v="2020-11-30T00:00:00"/>
    <x v="1"/>
    <x v="10"/>
    <x v="709"/>
    <x v="12"/>
    <x v="1"/>
    <x v="1"/>
    <x v="1726"/>
    <x v="4689"/>
    <n v="3"/>
    <x v="4410"/>
  </r>
  <r>
    <d v="2020-11-30T00:00:00"/>
    <x v="1"/>
    <x v="10"/>
    <x v="399"/>
    <x v="8"/>
    <x v="2"/>
    <x v="13"/>
    <x v="992"/>
    <x v="4690"/>
    <n v="4"/>
    <x v="4411"/>
  </r>
  <r>
    <d v="2020-11-30T00:00:00"/>
    <x v="1"/>
    <x v="10"/>
    <x v="245"/>
    <x v="5"/>
    <x v="0"/>
    <x v="11"/>
    <x v="723"/>
    <x v="4691"/>
    <n v="6"/>
    <x v="4412"/>
  </r>
  <r>
    <d v="2020-11-30T00:00:00"/>
    <x v="1"/>
    <x v="10"/>
    <x v="648"/>
    <x v="12"/>
    <x v="0"/>
    <x v="11"/>
    <x v="233"/>
    <x v="4692"/>
    <n v="5"/>
    <x v="4413"/>
  </r>
  <r>
    <d v="2020-11-30T00:00:00"/>
    <x v="1"/>
    <x v="10"/>
    <x v="504"/>
    <x v="4"/>
    <x v="0"/>
    <x v="4"/>
    <x v="415"/>
    <x v="4693"/>
    <n v="7"/>
    <x v="4414"/>
  </r>
  <r>
    <d v="2020-11-30T00:00:00"/>
    <x v="1"/>
    <x v="10"/>
    <x v="623"/>
    <x v="2"/>
    <x v="2"/>
    <x v="12"/>
    <x v="1384"/>
    <x v="2989"/>
    <n v="2"/>
    <x v="4415"/>
  </r>
  <r>
    <d v="2020-11-30T00:00:00"/>
    <x v="1"/>
    <x v="10"/>
    <x v="525"/>
    <x v="1"/>
    <x v="0"/>
    <x v="8"/>
    <x v="1727"/>
    <x v="4694"/>
    <n v="3"/>
    <x v="4416"/>
  </r>
  <r>
    <d v="2020-11-30T00:00:00"/>
    <x v="1"/>
    <x v="10"/>
    <x v="469"/>
    <x v="6"/>
    <x v="1"/>
    <x v="1"/>
    <x v="748"/>
    <x v="4695"/>
    <n v="3"/>
    <x v="891"/>
  </r>
  <r>
    <d v="2020-12-01T00:00:00"/>
    <x v="1"/>
    <x v="11"/>
    <x v="459"/>
    <x v="25"/>
    <x v="2"/>
    <x v="2"/>
    <x v="281"/>
    <x v="4696"/>
    <n v="1"/>
    <x v="4417"/>
  </r>
  <r>
    <d v="2020-12-01T00:00:00"/>
    <x v="1"/>
    <x v="11"/>
    <x v="277"/>
    <x v="9"/>
    <x v="0"/>
    <x v="8"/>
    <x v="414"/>
    <x v="4697"/>
    <n v="12"/>
    <x v="4418"/>
  </r>
  <r>
    <d v="2020-12-01T00:00:00"/>
    <x v="1"/>
    <x v="11"/>
    <x v="471"/>
    <x v="22"/>
    <x v="1"/>
    <x v="1"/>
    <x v="1183"/>
    <x v="4698"/>
    <n v="2"/>
    <x v="4419"/>
  </r>
  <r>
    <d v="2020-12-01T00:00:00"/>
    <x v="1"/>
    <x v="11"/>
    <x v="459"/>
    <x v="25"/>
    <x v="2"/>
    <x v="2"/>
    <x v="1060"/>
    <x v="4699"/>
    <n v="4"/>
    <x v="3265"/>
  </r>
  <r>
    <d v="2020-12-01T00:00:00"/>
    <x v="1"/>
    <x v="11"/>
    <x v="226"/>
    <x v="5"/>
    <x v="2"/>
    <x v="10"/>
    <x v="34"/>
    <x v="4192"/>
    <n v="5"/>
    <x v="4420"/>
  </r>
  <r>
    <d v="2020-12-01T00:00:00"/>
    <x v="1"/>
    <x v="11"/>
    <x v="643"/>
    <x v="9"/>
    <x v="0"/>
    <x v="0"/>
    <x v="1244"/>
    <x v="3836"/>
    <n v="2"/>
    <x v="4421"/>
  </r>
  <r>
    <d v="2020-12-01T00:00:00"/>
    <x v="1"/>
    <x v="11"/>
    <x v="459"/>
    <x v="25"/>
    <x v="1"/>
    <x v="1"/>
    <x v="862"/>
    <x v="3857"/>
    <n v="2"/>
    <x v="4422"/>
  </r>
  <r>
    <d v="2020-12-01T00:00:00"/>
    <x v="1"/>
    <x v="11"/>
    <x v="510"/>
    <x v="2"/>
    <x v="1"/>
    <x v="1"/>
    <x v="1340"/>
    <x v="4700"/>
    <n v="5"/>
    <x v="4423"/>
  </r>
  <r>
    <d v="2020-12-01T00:00:00"/>
    <x v="1"/>
    <x v="11"/>
    <x v="91"/>
    <x v="12"/>
    <x v="2"/>
    <x v="2"/>
    <x v="1032"/>
    <x v="4701"/>
    <n v="3"/>
    <x v="4424"/>
  </r>
  <r>
    <d v="2020-12-01T00:00:00"/>
    <x v="1"/>
    <x v="11"/>
    <x v="510"/>
    <x v="2"/>
    <x v="0"/>
    <x v="11"/>
    <x v="829"/>
    <x v="4702"/>
    <n v="3"/>
    <x v="2778"/>
  </r>
  <r>
    <d v="2020-12-01T00:00:00"/>
    <x v="1"/>
    <x v="11"/>
    <x v="627"/>
    <x v="5"/>
    <x v="0"/>
    <x v="11"/>
    <x v="1307"/>
    <x v="4703"/>
    <n v="2"/>
    <x v="4425"/>
  </r>
  <r>
    <d v="2020-12-01T00:00:00"/>
    <x v="1"/>
    <x v="11"/>
    <x v="471"/>
    <x v="22"/>
    <x v="1"/>
    <x v="1"/>
    <x v="225"/>
    <x v="4704"/>
    <n v="4"/>
    <x v="4426"/>
  </r>
  <r>
    <d v="2020-12-01T00:00:00"/>
    <x v="1"/>
    <x v="11"/>
    <x v="471"/>
    <x v="22"/>
    <x v="1"/>
    <x v="1"/>
    <x v="1299"/>
    <x v="4705"/>
    <n v="3"/>
    <x v="3071"/>
  </r>
  <r>
    <d v="2020-12-01T00:00:00"/>
    <x v="1"/>
    <x v="11"/>
    <x v="277"/>
    <x v="9"/>
    <x v="2"/>
    <x v="2"/>
    <x v="219"/>
    <x v="4706"/>
    <n v="4"/>
    <x v="4427"/>
  </r>
  <r>
    <d v="2020-12-01T00:00:00"/>
    <x v="1"/>
    <x v="11"/>
    <x v="399"/>
    <x v="1"/>
    <x v="0"/>
    <x v="8"/>
    <x v="956"/>
    <x v="4707"/>
    <n v="9"/>
    <x v="4428"/>
  </r>
  <r>
    <d v="2020-12-01T00:00:00"/>
    <x v="1"/>
    <x v="11"/>
    <x v="647"/>
    <x v="11"/>
    <x v="0"/>
    <x v="11"/>
    <x v="1577"/>
    <x v="4708"/>
    <n v="3"/>
    <x v="4429"/>
  </r>
  <r>
    <d v="2020-12-01T00:00:00"/>
    <x v="1"/>
    <x v="11"/>
    <x v="471"/>
    <x v="22"/>
    <x v="2"/>
    <x v="5"/>
    <x v="430"/>
    <x v="4709"/>
    <n v="7"/>
    <x v="4430"/>
  </r>
  <r>
    <d v="2020-12-01T00:00:00"/>
    <x v="1"/>
    <x v="11"/>
    <x v="291"/>
    <x v="2"/>
    <x v="2"/>
    <x v="9"/>
    <x v="740"/>
    <x v="2633"/>
    <n v="2"/>
    <x v="288"/>
  </r>
  <r>
    <d v="2020-12-01T00:00:00"/>
    <x v="1"/>
    <x v="11"/>
    <x v="586"/>
    <x v="8"/>
    <x v="0"/>
    <x v="8"/>
    <x v="1097"/>
    <x v="4710"/>
    <n v="2"/>
    <x v="4431"/>
  </r>
  <r>
    <d v="2020-12-01T00:00:00"/>
    <x v="1"/>
    <x v="11"/>
    <x v="91"/>
    <x v="12"/>
    <x v="2"/>
    <x v="5"/>
    <x v="1235"/>
    <x v="4711"/>
    <n v="5"/>
    <x v="4432"/>
  </r>
  <r>
    <d v="2020-12-01T00:00:00"/>
    <x v="1"/>
    <x v="11"/>
    <x v="459"/>
    <x v="25"/>
    <x v="2"/>
    <x v="5"/>
    <x v="122"/>
    <x v="3236"/>
    <n v="4"/>
    <x v="125"/>
  </r>
  <r>
    <d v="2020-12-01T00:00:00"/>
    <x v="1"/>
    <x v="11"/>
    <x v="277"/>
    <x v="9"/>
    <x v="2"/>
    <x v="5"/>
    <x v="682"/>
    <x v="2154"/>
    <n v="5"/>
    <x v="4226"/>
  </r>
  <r>
    <d v="2020-12-01T00:00:00"/>
    <x v="1"/>
    <x v="11"/>
    <x v="627"/>
    <x v="5"/>
    <x v="2"/>
    <x v="5"/>
    <x v="1325"/>
    <x v="4712"/>
    <n v="7"/>
    <x v="4433"/>
  </r>
  <r>
    <d v="2020-12-01T00:00:00"/>
    <x v="1"/>
    <x v="11"/>
    <x v="471"/>
    <x v="22"/>
    <x v="2"/>
    <x v="13"/>
    <x v="986"/>
    <x v="4713"/>
    <n v="3"/>
    <x v="4434"/>
  </r>
  <r>
    <d v="2020-12-01T00:00:00"/>
    <x v="1"/>
    <x v="11"/>
    <x v="91"/>
    <x v="12"/>
    <x v="1"/>
    <x v="3"/>
    <x v="938"/>
    <x v="4714"/>
    <n v="3"/>
    <x v="4435"/>
  </r>
  <r>
    <d v="2020-12-01T00:00:00"/>
    <x v="1"/>
    <x v="11"/>
    <x v="627"/>
    <x v="5"/>
    <x v="2"/>
    <x v="14"/>
    <x v="1082"/>
    <x v="4715"/>
    <n v="4"/>
    <x v="1481"/>
  </r>
  <r>
    <d v="2020-12-01T00:00:00"/>
    <x v="1"/>
    <x v="11"/>
    <x v="703"/>
    <x v="1"/>
    <x v="2"/>
    <x v="5"/>
    <x v="545"/>
    <x v="4716"/>
    <n v="2"/>
    <x v="4436"/>
  </r>
  <r>
    <d v="2020-12-01T00:00:00"/>
    <x v="1"/>
    <x v="11"/>
    <x v="400"/>
    <x v="5"/>
    <x v="2"/>
    <x v="2"/>
    <x v="1550"/>
    <x v="4717"/>
    <n v="3"/>
    <x v="4437"/>
  </r>
  <r>
    <d v="2020-12-01T00:00:00"/>
    <x v="1"/>
    <x v="11"/>
    <x v="647"/>
    <x v="11"/>
    <x v="2"/>
    <x v="9"/>
    <x v="1331"/>
    <x v="4718"/>
    <n v="3"/>
    <x v="397"/>
  </r>
  <r>
    <d v="2020-12-01T00:00:00"/>
    <x v="1"/>
    <x v="11"/>
    <x v="643"/>
    <x v="9"/>
    <x v="2"/>
    <x v="9"/>
    <x v="1105"/>
    <x v="4719"/>
    <n v="7"/>
    <x v="4438"/>
  </r>
  <r>
    <d v="2020-12-01T00:00:00"/>
    <x v="1"/>
    <x v="11"/>
    <x v="703"/>
    <x v="1"/>
    <x v="2"/>
    <x v="9"/>
    <x v="1075"/>
    <x v="2427"/>
    <n v="7"/>
    <x v="640"/>
  </r>
  <r>
    <d v="2020-12-01T00:00:00"/>
    <x v="1"/>
    <x v="11"/>
    <x v="459"/>
    <x v="25"/>
    <x v="2"/>
    <x v="12"/>
    <x v="384"/>
    <x v="4720"/>
    <n v="9"/>
    <x v="4439"/>
  </r>
  <r>
    <d v="2020-12-01T00:00:00"/>
    <x v="1"/>
    <x v="11"/>
    <x v="226"/>
    <x v="5"/>
    <x v="1"/>
    <x v="1"/>
    <x v="993"/>
    <x v="4721"/>
    <n v="7"/>
    <x v="4440"/>
  </r>
  <r>
    <d v="2020-12-01T00:00:00"/>
    <x v="1"/>
    <x v="11"/>
    <x v="400"/>
    <x v="5"/>
    <x v="0"/>
    <x v="8"/>
    <x v="386"/>
    <x v="4722"/>
    <n v="5"/>
    <x v="427"/>
  </r>
  <r>
    <d v="2020-12-02T00:00:00"/>
    <x v="1"/>
    <x v="11"/>
    <x v="370"/>
    <x v="1"/>
    <x v="2"/>
    <x v="5"/>
    <x v="200"/>
    <x v="4723"/>
    <n v="2"/>
    <x v="211"/>
  </r>
  <r>
    <d v="2020-12-02T00:00:00"/>
    <x v="1"/>
    <x v="11"/>
    <x v="370"/>
    <x v="1"/>
    <x v="2"/>
    <x v="13"/>
    <x v="1256"/>
    <x v="2094"/>
    <n v="3"/>
    <x v="4441"/>
  </r>
  <r>
    <d v="2020-12-02T00:00:00"/>
    <x v="1"/>
    <x v="11"/>
    <x v="535"/>
    <x v="1"/>
    <x v="2"/>
    <x v="9"/>
    <x v="1662"/>
    <x v="2786"/>
    <n v="2"/>
    <x v="494"/>
  </r>
  <r>
    <d v="2020-12-02T00:00:00"/>
    <x v="1"/>
    <x v="11"/>
    <x v="666"/>
    <x v="22"/>
    <x v="2"/>
    <x v="2"/>
    <x v="625"/>
    <x v="4724"/>
    <n v="1"/>
    <x v="4442"/>
  </r>
  <r>
    <d v="2020-12-02T00:00:00"/>
    <x v="1"/>
    <x v="11"/>
    <x v="177"/>
    <x v="8"/>
    <x v="1"/>
    <x v="1"/>
    <x v="1728"/>
    <x v="4725"/>
    <n v="2"/>
    <x v="4443"/>
  </r>
  <r>
    <d v="2020-12-02T00:00:00"/>
    <x v="1"/>
    <x v="11"/>
    <x v="566"/>
    <x v="1"/>
    <x v="2"/>
    <x v="7"/>
    <x v="406"/>
    <x v="4726"/>
    <n v="5"/>
    <x v="4444"/>
  </r>
  <r>
    <d v="2020-12-02T00:00:00"/>
    <x v="1"/>
    <x v="11"/>
    <x v="666"/>
    <x v="22"/>
    <x v="0"/>
    <x v="0"/>
    <x v="803"/>
    <x v="4727"/>
    <n v="8"/>
    <x v="4445"/>
  </r>
  <r>
    <d v="2020-12-02T00:00:00"/>
    <x v="1"/>
    <x v="11"/>
    <x v="211"/>
    <x v="26"/>
    <x v="2"/>
    <x v="13"/>
    <x v="1357"/>
    <x v="4728"/>
    <n v="7"/>
    <x v="4446"/>
  </r>
  <r>
    <d v="2020-12-02T00:00:00"/>
    <x v="1"/>
    <x v="11"/>
    <x v="379"/>
    <x v="2"/>
    <x v="2"/>
    <x v="13"/>
    <x v="875"/>
    <x v="4729"/>
    <n v="5"/>
    <x v="4447"/>
  </r>
  <r>
    <d v="2020-12-02T00:00:00"/>
    <x v="1"/>
    <x v="11"/>
    <x v="666"/>
    <x v="22"/>
    <x v="0"/>
    <x v="8"/>
    <x v="491"/>
    <x v="4730"/>
    <n v="6"/>
    <x v="72"/>
  </r>
  <r>
    <d v="2020-12-02T00:00:00"/>
    <x v="1"/>
    <x v="11"/>
    <x v="535"/>
    <x v="1"/>
    <x v="2"/>
    <x v="2"/>
    <x v="110"/>
    <x v="4731"/>
    <n v="9"/>
    <x v="4448"/>
  </r>
  <r>
    <d v="2020-12-02T00:00:00"/>
    <x v="1"/>
    <x v="11"/>
    <x v="71"/>
    <x v="5"/>
    <x v="2"/>
    <x v="5"/>
    <x v="1018"/>
    <x v="4732"/>
    <n v="4"/>
    <x v="4449"/>
  </r>
  <r>
    <d v="2020-12-02T00:00:00"/>
    <x v="1"/>
    <x v="11"/>
    <x v="415"/>
    <x v="18"/>
    <x v="0"/>
    <x v="11"/>
    <x v="1034"/>
    <x v="4733"/>
    <n v="2"/>
    <x v="4364"/>
  </r>
  <r>
    <d v="2020-12-02T00:00:00"/>
    <x v="1"/>
    <x v="11"/>
    <x v="666"/>
    <x v="22"/>
    <x v="0"/>
    <x v="11"/>
    <x v="763"/>
    <x v="4734"/>
    <n v="5"/>
    <x v="4450"/>
  </r>
  <r>
    <d v="2020-12-02T00:00:00"/>
    <x v="1"/>
    <x v="11"/>
    <x v="211"/>
    <x v="26"/>
    <x v="1"/>
    <x v="1"/>
    <x v="1299"/>
    <x v="4735"/>
    <n v="5"/>
    <x v="4451"/>
  </r>
  <r>
    <d v="2020-12-02T00:00:00"/>
    <x v="1"/>
    <x v="11"/>
    <x v="566"/>
    <x v="1"/>
    <x v="0"/>
    <x v="11"/>
    <x v="171"/>
    <x v="4736"/>
    <n v="9"/>
    <x v="4452"/>
  </r>
  <r>
    <d v="2020-12-02T00:00:00"/>
    <x v="1"/>
    <x v="11"/>
    <x v="740"/>
    <x v="34"/>
    <x v="1"/>
    <x v="1"/>
    <x v="505"/>
    <x v="3159"/>
    <n v="4"/>
    <x v="4453"/>
  </r>
  <r>
    <d v="2020-12-02T00:00:00"/>
    <x v="1"/>
    <x v="11"/>
    <x v="535"/>
    <x v="1"/>
    <x v="2"/>
    <x v="9"/>
    <x v="316"/>
    <x v="4737"/>
    <n v="2"/>
    <x v="1545"/>
  </r>
  <r>
    <d v="2020-12-02T00:00:00"/>
    <x v="1"/>
    <x v="11"/>
    <x v="177"/>
    <x v="8"/>
    <x v="2"/>
    <x v="7"/>
    <x v="507"/>
    <x v="4738"/>
    <n v="9"/>
    <x v="4454"/>
  </r>
  <r>
    <d v="2020-12-02T00:00:00"/>
    <x v="1"/>
    <x v="11"/>
    <x v="266"/>
    <x v="2"/>
    <x v="2"/>
    <x v="7"/>
    <x v="1066"/>
    <x v="2631"/>
    <n v="5"/>
    <x v="4455"/>
  </r>
  <r>
    <d v="2020-12-02T00:00:00"/>
    <x v="1"/>
    <x v="11"/>
    <x v="573"/>
    <x v="4"/>
    <x v="2"/>
    <x v="7"/>
    <x v="1729"/>
    <x v="4739"/>
    <n v="1"/>
    <x v="4456"/>
  </r>
  <r>
    <d v="2020-12-02T00:00:00"/>
    <x v="1"/>
    <x v="11"/>
    <x v="370"/>
    <x v="1"/>
    <x v="2"/>
    <x v="7"/>
    <x v="274"/>
    <x v="4740"/>
    <n v="6"/>
    <x v="4457"/>
  </r>
  <r>
    <d v="2020-12-02T00:00:00"/>
    <x v="1"/>
    <x v="11"/>
    <x v="370"/>
    <x v="1"/>
    <x v="2"/>
    <x v="5"/>
    <x v="1055"/>
    <x v="4741"/>
    <n v="6"/>
    <x v="4458"/>
  </r>
  <r>
    <d v="2020-12-02T00:00:00"/>
    <x v="1"/>
    <x v="11"/>
    <x v="211"/>
    <x v="26"/>
    <x v="2"/>
    <x v="16"/>
    <x v="311"/>
    <x v="4742"/>
    <n v="2"/>
    <x v="4337"/>
  </r>
  <r>
    <d v="2020-12-02T00:00:00"/>
    <x v="1"/>
    <x v="11"/>
    <x v="666"/>
    <x v="22"/>
    <x v="2"/>
    <x v="5"/>
    <x v="360"/>
    <x v="4743"/>
    <n v="8"/>
    <x v="4459"/>
  </r>
  <r>
    <d v="2020-12-02T00:00:00"/>
    <x v="1"/>
    <x v="11"/>
    <x v="370"/>
    <x v="1"/>
    <x v="2"/>
    <x v="9"/>
    <x v="1695"/>
    <x v="4744"/>
    <n v="2"/>
    <x v="4460"/>
  </r>
  <r>
    <d v="2020-12-02T00:00:00"/>
    <x v="1"/>
    <x v="11"/>
    <x v="379"/>
    <x v="2"/>
    <x v="0"/>
    <x v="8"/>
    <x v="242"/>
    <x v="4745"/>
    <n v="4"/>
    <x v="4461"/>
  </r>
  <r>
    <d v="2020-12-02T00:00:00"/>
    <x v="1"/>
    <x v="11"/>
    <x v="257"/>
    <x v="6"/>
    <x v="2"/>
    <x v="7"/>
    <x v="730"/>
    <x v="2188"/>
    <n v="5"/>
    <x v="4462"/>
  </r>
  <r>
    <d v="2020-12-02T00:00:00"/>
    <x v="1"/>
    <x v="11"/>
    <x v="666"/>
    <x v="22"/>
    <x v="1"/>
    <x v="1"/>
    <x v="707"/>
    <x v="4746"/>
    <n v="6"/>
    <x v="4463"/>
  </r>
  <r>
    <d v="2020-12-02T00:00:00"/>
    <x v="1"/>
    <x v="11"/>
    <x v="165"/>
    <x v="6"/>
    <x v="2"/>
    <x v="5"/>
    <x v="845"/>
    <x v="4747"/>
    <n v="5"/>
    <x v="4464"/>
  </r>
  <r>
    <d v="2020-12-02T00:00:00"/>
    <x v="1"/>
    <x v="11"/>
    <x v="666"/>
    <x v="22"/>
    <x v="1"/>
    <x v="1"/>
    <x v="1432"/>
    <x v="4748"/>
    <n v="2"/>
    <x v="2574"/>
  </r>
  <r>
    <d v="2020-12-02T00:00:00"/>
    <x v="1"/>
    <x v="11"/>
    <x v="232"/>
    <x v="18"/>
    <x v="2"/>
    <x v="7"/>
    <x v="1109"/>
    <x v="4749"/>
    <n v="3"/>
    <x v="4465"/>
  </r>
  <r>
    <d v="2020-12-02T00:00:00"/>
    <x v="1"/>
    <x v="11"/>
    <x v="140"/>
    <x v="20"/>
    <x v="2"/>
    <x v="5"/>
    <x v="456"/>
    <x v="4750"/>
    <n v="6"/>
    <x v="4466"/>
  </r>
  <r>
    <d v="2020-12-02T00:00:00"/>
    <x v="1"/>
    <x v="11"/>
    <x v="566"/>
    <x v="1"/>
    <x v="1"/>
    <x v="1"/>
    <x v="111"/>
    <x v="4751"/>
    <n v="1"/>
    <x v="4467"/>
  </r>
  <r>
    <d v="2020-12-03T00:00:00"/>
    <x v="1"/>
    <x v="11"/>
    <x v="710"/>
    <x v="12"/>
    <x v="2"/>
    <x v="5"/>
    <x v="725"/>
    <x v="2193"/>
    <n v="5"/>
    <x v="4468"/>
  </r>
  <r>
    <d v="2020-12-03T00:00:00"/>
    <x v="1"/>
    <x v="11"/>
    <x v="85"/>
    <x v="22"/>
    <x v="1"/>
    <x v="3"/>
    <x v="914"/>
    <x v="4752"/>
    <n v="6"/>
    <x v="4469"/>
  </r>
  <r>
    <d v="2020-12-03T00:00:00"/>
    <x v="1"/>
    <x v="11"/>
    <x v="85"/>
    <x v="22"/>
    <x v="1"/>
    <x v="3"/>
    <x v="914"/>
    <x v="4753"/>
    <n v="8"/>
    <x v="4470"/>
  </r>
  <r>
    <d v="2020-12-03T00:00:00"/>
    <x v="1"/>
    <x v="11"/>
    <x v="710"/>
    <x v="12"/>
    <x v="1"/>
    <x v="1"/>
    <x v="1467"/>
    <x v="4754"/>
    <n v="1"/>
    <x v="4471"/>
  </r>
  <r>
    <d v="2020-12-03T00:00:00"/>
    <x v="1"/>
    <x v="11"/>
    <x v="309"/>
    <x v="1"/>
    <x v="2"/>
    <x v="9"/>
    <x v="1446"/>
    <x v="4755"/>
    <n v="3"/>
    <x v="177"/>
  </r>
  <r>
    <d v="2020-12-03T00:00:00"/>
    <x v="1"/>
    <x v="11"/>
    <x v="404"/>
    <x v="9"/>
    <x v="0"/>
    <x v="4"/>
    <x v="1263"/>
    <x v="4756"/>
    <n v="2"/>
    <x v="4472"/>
  </r>
  <r>
    <d v="2020-12-03T00:00:00"/>
    <x v="1"/>
    <x v="11"/>
    <x v="85"/>
    <x v="22"/>
    <x v="2"/>
    <x v="7"/>
    <x v="521"/>
    <x v="4757"/>
    <n v="6"/>
    <x v="1012"/>
  </r>
  <r>
    <d v="2020-12-03T00:00:00"/>
    <x v="1"/>
    <x v="11"/>
    <x v="85"/>
    <x v="22"/>
    <x v="2"/>
    <x v="9"/>
    <x v="930"/>
    <x v="4758"/>
    <n v="2"/>
    <x v="4473"/>
  </r>
  <r>
    <d v="2020-12-03T00:00:00"/>
    <x v="1"/>
    <x v="11"/>
    <x v="710"/>
    <x v="12"/>
    <x v="2"/>
    <x v="14"/>
    <x v="970"/>
    <x v="4759"/>
    <n v="1"/>
    <x v="995"/>
  </r>
  <r>
    <d v="2020-12-03T00:00:00"/>
    <x v="1"/>
    <x v="11"/>
    <x v="85"/>
    <x v="22"/>
    <x v="0"/>
    <x v="8"/>
    <x v="161"/>
    <x v="4760"/>
    <n v="1"/>
    <x v="4474"/>
  </r>
  <r>
    <d v="2020-12-03T00:00:00"/>
    <x v="1"/>
    <x v="11"/>
    <x v="85"/>
    <x v="22"/>
    <x v="0"/>
    <x v="8"/>
    <x v="490"/>
    <x v="4761"/>
    <n v="3"/>
    <x v="4475"/>
  </r>
  <r>
    <d v="2020-12-03T00:00:00"/>
    <x v="1"/>
    <x v="11"/>
    <x v="624"/>
    <x v="4"/>
    <x v="2"/>
    <x v="5"/>
    <x v="252"/>
    <x v="4762"/>
    <n v="6"/>
    <x v="4476"/>
  </r>
  <r>
    <d v="2020-12-03T00:00:00"/>
    <x v="1"/>
    <x v="11"/>
    <x v="85"/>
    <x v="22"/>
    <x v="0"/>
    <x v="8"/>
    <x v="473"/>
    <x v="2182"/>
    <n v="5"/>
    <x v="522"/>
  </r>
  <r>
    <d v="2020-12-03T00:00:00"/>
    <x v="1"/>
    <x v="11"/>
    <x v="153"/>
    <x v="2"/>
    <x v="0"/>
    <x v="8"/>
    <x v="1542"/>
    <x v="4763"/>
    <n v="2"/>
    <x v="4477"/>
  </r>
  <r>
    <d v="2020-12-03T00:00:00"/>
    <x v="1"/>
    <x v="11"/>
    <x v="710"/>
    <x v="12"/>
    <x v="2"/>
    <x v="5"/>
    <x v="697"/>
    <x v="4764"/>
    <n v="2"/>
    <x v="2607"/>
  </r>
  <r>
    <d v="2020-12-03T00:00:00"/>
    <x v="1"/>
    <x v="11"/>
    <x v="703"/>
    <x v="2"/>
    <x v="2"/>
    <x v="9"/>
    <x v="1600"/>
    <x v="4765"/>
    <n v="2"/>
    <x v="288"/>
  </r>
  <r>
    <d v="2020-12-03T00:00:00"/>
    <x v="1"/>
    <x v="11"/>
    <x v="624"/>
    <x v="4"/>
    <x v="2"/>
    <x v="9"/>
    <x v="170"/>
    <x v="4766"/>
    <n v="4"/>
    <x v="3600"/>
  </r>
  <r>
    <d v="2020-12-03T00:00:00"/>
    <x v="1"/>
    <x v="11"/>
    <x v="235"/>
    <x v="6"/>
    <x v="1"/>
    <x v="3"/>
    <x v="335"/>
    <x v="4767"/>
    <n v="1"/>
    <x v="4478"/>
  </r>
  <r>
    <d v="2020-12-03T00:00:00"/>
    <x v="1"/>
    <x v="11"/>
    <x v="85"/>
    <x v="22"/>
    <x v="2"/>
    <x v="16"/>
    <x v="176"/>
    <x v="4768"/>
    <n v="7"/>
    <x v="4479"/>
  </r>
  <r>
    <d v="2020-12-03T00:00:00"/>
    <x v="1"/>
    <x v="11"/>
    <x v="624"/>
    <x v="4"/>
    <x v="2"/>
    <x v="13"/>
    <x v="305"/>
    <x v="4769"/>
    <n v="3"/>
    <x v="4480"/>
  </r>
  <r>
    <d v="2020-12-04T00:00:00"/>
    <x v="1"/>
    <x v="11"/>
    <x v="364"/>
    <x v="27"/>
    <x v="1"/>
    <x v="3"/>
    <x v="790"/>
    <x v="4770"/>
    <n v="1"/>
    <x v="4481"/>
  </r>
  <r>
    <d v="2020-12-04T00:00:00"/>
    <x v="1"/>
    <x v="11"/>
    <x v="315"/>
    <x v="5"/>
    <x v="0"/>
    <x v="11"/>
    <x v="1730"/>
    <x v="4771"/>
    <n v="7"/>
    <x v="4482"/>
  </r>
  <r>
    <d v="2020-12-04T00:00:00"/>
    <x v="1"/>
    <x v="11"/>
    <x v="725"/>
    <x v="10"/>
    <x v="0"/>
    <x v="11"/>
    <x v="300"/>
    <x v="4772"/>
    <n v="3"/>
    <x v="4483"/>
  </r>
  <r>
    <d v="2020-12-04T00:00:00"/>
    <x v="1"/>
    <x v="11"/>
    <x v="764"/>
    <x v="5"/>
    <x v="0"/>
    <x v="11"/>
    <x v="336"/>
    <x v="4773"/>
    <n v="10"/>
    <x v="4484"/>
  </r>
  <r>
    <d v="2020-12-04T00:00:00"/>
    <x v="1"/>
    <x v="11"/>
    <x v="764"/>
    <x v="5"/>
    <x v="1"/>
    <x v="3"/>
    <x v="561"/>
    <x v="4774"/>
    <n v="4"/>
    <x v="946"/>
  </r>
  <r>
    <d v="2020-12-04T00:00:00"/>
    <x v="1"/>
    <x v="11"/>
    <x v="725"/>
    <x v="10"/>
    <x v="0"/>
    <x v="11"/>
    <x v="569"/>
    <x v="4775"/>
    <n v="3"/>
    <x v="3781"/>
  </r>
  <r>
    <d v="2020-12-04T00:00:00"/>
    <x v="1"/>
    <x v="11"/>
    <x v="364"/>
    <x v="27"/>
    <x v="1"/>
    <x v="3"/>
    <x v="1677"/>
    <x v="4776"/>
    <n v="5"/>
    <x v="3358"/>
  </r>
  <r>
    <d v="2020-12-04T00:00:00"/>
    <x v="1"/>
    <x v="11"/>
    <x v="1"/>
    <x v="21"/>
    <x v="1"/>
    <x v="15"/>
    <x v="945"/>
    <x v="4777"/>
    <n v="2"/>
    <x v="4485"/>
  </r>
  <r>
    <d v="2020-12-04T00:00:00"/>
    <x v="1"/>
    <x v="11"/>
    <x v="501"/>
    <x v="5"/>
    <x v="0"/>
    <x v="8"/>
    <x v="1007"/>
    <x v="4778"/>
    <n v="3"/>
    <x v="4486"/>
  </r>
  <r>
    <d v="2020-12-04T00:00:00"/>
    <x v="1"/>
    <x v="11"/>
    <x v="534"/>
    <x v="5"/>
    <x v="2"/>
    <x v="5"/>
    <x v="7"/>
    <x v="4779"/>
    <n v="3"/>
    <x v="4487"/>
  </r>
  <r>
    <d v="2020-12-04T00:00:00"/>
    <x v="1"/>
    <x v="11"/>
    <x v="725"/>
    <x v="10"/>
    <x v="0"/>
    <x v="8"/>
    <x v="1731"/>
    <x v="4780"/>
    <n v="1"/>
    <x v="2765"/>
  </r>
  <r>
    <d v="2020-12-04T00:00:00"/>
    <x v="1"/>
    <x v="11"/>
    <x v="364"/>
    <x v="27"/>
    <x v="2"/>
    <x v="7"/>
    <x v="1106"/>
    <x v="4781"/>
    <n v="5"/>
    <x v="4488"/>
  </r>
  <r>
    <d v="2020-12-04T00:00:00"/>
    <x v="1"/>
    <x v="11"/>
    <x v="764"/>
    <x v="5"/>
    <x v="2"/>
    <x v="9"/>
    <x v="1732"/>
    <x v="4782"/>
    <n v="5"/>
    <x v="4489"/>
  </r>
  <r>
    <d v="2020-12-04T00:00:00"/>
    <x v="1"/>
    <x v="11"/>
    <x v="347"/>
    <x v="1"/>
    <x v="2"/>
    <x v="9"/>
    <x v="284"/>
    <x v="4783"/>
    <n v="2"/>
    <x v="2465"/>
  </r>
  <r>
    <d v="2020-12-04T00:00:00"/>
    <x v="1"/>
    <x v="11"/>
    <x v="764"/>
    <x v="5"/>
    <x v="2"/>
    <x v="7"/>
    <x v="449"/>
    <x v="4784"/>
    <n v="3"/>
    <x v="4490"/>
  </r>
  <r>
    <d v="2020-12-04T00:00:00"/>
    <x v="1"/>
    <x v="11"/>
    <x v="32"/>
    <x v="17"/>
    <x v="2"/>
    <x v="2"/>
    <x v="571"/>
    <x v="4785"/>
    <n v="2"/>
    <x v="4491"/>
  </r>
  <r>
    <d v="2020-12-04T00:00:00"/>
    <x v="1"/>
    <x v="11"/>
    <x v="764"/>
    <x v="5"/>
    <x v="0"/>
    <x v="8"/>
    <x v="1733"/>
    <x v="4786"/>
    <n v="2"/>
    <x v="4492"/>
  </r>
  <r>
    <d v="2020-12-04T00:00:00"/>
    <x v="1"/>
    <x v="11"/>
    <x v="765"/>
    <x v="8"/>
    <x v="2"/>
    <x v="9"/>
    <x v="655"/>
    <x v="4787"/>
    <n v="3"/>
    <x v="1935"/>
  </r>
  <r>
    <d v="2020-12-05T00:00:00"/>
    <x v="1"/>
    <x v="11"/>
    <x v="766"/>
    <x v="1"/>
    <x v="2"/>
    <x v="9"/>
    <x v="728"/>
    <x v="1200"/>
    <n v="3"/>
    <x v="760"/>
  </r>
  <r>
    <d v="2020-12-05T00:00:00"/>
    <x v="1"/>
    <x v="11"/>
    <x v="227"/>
    <x v="24"/>
    <x v="1"/>
    <x v="3"/>
    <x v="461"/>
    <x v="4788"/>
    <n v="3"/>
    <x v="1853"/>
  </r>
  <r>
    <d v="2020-12-05T00:00:00"/>
    <x v="1"/>
    <x v="11"/>
    <x v="529"/>
    <x v="9"/>
    <x v="2"/>
    <x v="5"/>
    <x v="1186"/>
    <x v="4789"/>
    <n v="6"/>
    <x v="4493"/>
  </r>
  <r>
    <d v="2020-12-05T00:00:00"/>
    <x v="1"/>
    <x v="11"/>
    <x v="189"/>
    <x v="15"/>
    <x v="1"/>
    <x v="3"/>
    <x v="275"/>
    <x v="4790"/>
    <n v="7"/>
    <x v="4494"/>
  </r>
  <r>
    <d v="2020-12-05T00:00:00"/>
    <x v="1"/>
    <x v="11"/>
    <x v="529"/>
    <x v="9"/>
    <x v="0"/>
    <x v="8"/>
    <x v="344"/>
    <x v="4791"/>
    <n v="5"/>
    <x v="4495"/>
  </r>
  <r>
    <d v="2020-12-05T00:00:00"/>
    <x v="1"/>
    <x v="11"/>
    <x v="47"/>
    <x v="12"/>
    <x v="2"/>
    <x v="13"/>
    <x v="389"/>
    <x v="4792"/>
    <n v="5"/>
    <x v="4496"/>
  </r>
  <r>
    <d v="2020-12-05T00:00:00"/>
    <x v="1"/>
    <x v="11"/>
    <x v="675"/>
    <x v="9"/>
    <x v="2"/>
    <x v="5"/>
    <x v="737"/>
    <x v="304"/>
    <n v="6"/>
    <x v="2530"/>
  </r>
  <r>
    <d v="2020-12-05T00:00:00"/>
    <x v="1"/>
    <x v="11"/>
    <x v="529"/>
    <x v="9"/>
    <x v="2"/>
    <x v="5"/>
    <x v="935"/>
    <x v="4793"/>
    <n v="2"/>
    <x v="1716"/>
  </r>
  <r>
    <d v="2020-12-05T00:00:00"/>
    <x v="1"/>
    <x v="11"/>
    <x v="734"/>
    <x v="12"/>
    <x v="2"/>
    <x v="9"/>
    <x v="67"/>
    <x v="209"/>
    <n v="6"/>
    <x v="336"/>
  </r>
  <r>
    <d v="2020-12-05T00:00:00"/>
    <x v="1"/>
    <x v="11"/>
    <x v="734"/>
    <x v="12"/>
    <x v="2"/>
    <x v="14"/>
    <x v="700"/>
    <x v="4794"/>
    <n v="3"/>
    <x v="1366"/>
  </r>
  <r>
    <d v="2020-12-05T00:00:00"/>
    <x v="1"/>
    <x v="11"/>
    <x v="675"/>
    <x v="9"/>
    <x v="2"/>
    <x v="5"/>
    <x v="640"/>
    <x v="4795"/>
    <n v="3"/>
    <x v="4497"/>
  </r>
  <r>
    <d v="2020-12-05T00:00:00"/>
    <x v="1"/>
    <x v="11"/>
    <x v="529"/>
    <x v="9"/>
    <x v="1"/>
    <x v="1"/>
    <x v="30"/>
    <x v="4279"/>
    <n v="3"/>
    <x v="4498"/>
  </r>
  <r>
    <d v="2020-12-05T00:00:00"/>
    <x v="1"/>
    <x v="11"/>
    <x v="160"/>
    <x v="12"/>
    <x v="2"/>
    <x v="14"/>
    <x v="811"/>
    <x v="4796"/>
    <n v="3"/>
    <x v="785"/>
  </r>
  <r>
    <d v="2020-12-05T00:00:00"/>
    <x v="1"/>
    <x v="11"/>
    <x v="227"/>
    <x v="24"/>
    <x v="2"/>
    <x v="9"/>
    <x v="1411"/>
    <x v="4677"/>
    <n v="5"/>
    <x v="4499"/>
  </r>
  <r>
    <d v="2020-12-05T00:00:00"/>
    <x v="1"/>
    <x v="11"/>
    <x v="47"/>
    <x v="12"/>
    <x v="0"/>
    <x v="8"/>
    <x v="1375"/>
    <x v="4797"/>
    <n v="3"/>
    <x v="4500"/>
  </r>
  <r>
    <d v="2020-12-05T00:00:00"/>
    <x v="1"/>
    <x v="11"/>
    <x v="227"/>
    <x v="24"/>
    <x v="2"/>
    <x v="13"/>
    <x v="1089"/>
    <x v="4798"/>
    <n v="3"/>
    <x v="1533"/>
  </r>
  <r>
    <d v="2020-12-05T00:00:00"/>
    <x v="1"/>
    <x v="11"/>
    <x v="47"/>
    <x v="12"/>
    <x v="0"/>
    <x v="8"/>
    <x v="1611"/>
    <x v="3622"/>
    <n v="2"/>
    <x v="4501"/>
  </r>
  <r>
    <d v="2020-12-05T00:00:00"/>
    <x v="1"/>
    <x v="11"/>
    <x v="160"/>
    <x v="12"/>
    <x v="0"/>
    <x v="8"/>
    <x v="1207"/>
    <x v="2350"/>
    <n v="2"/>
    <x v="1814"/>
  </r>
  <r>
    <d v="2020-12-05T00:00:00"/>
    <x v="1"/>
    <x v="11"/>
    <x v="529"/>
    <x v="9"/>
    <x v="2"/>
    <x v="5"/>
    <x v="725"/>
    <x v="4448"/>
    <n v="5"/>
    <x v="4468"/>
  </r>
  <r>
    <d v="2020-12-06T00:00:00"/>
    <x v="1"/>
    <x v="11"/>
    <x v="667"/>
    <x v="1"/>
    <x v="2"/>
    <x v="2"/>
    <x v="662"/>
    <x v="4799"/>
    <n v="1"/>
    <x v="929"/>
  </r>
  <r>
    <d v="2020-12-07T00:00:00"/>
    <x v="1"/>
    <x v="11"/>
    <x v="560"/>
    <x v="18"/>
    <x v="0"/>
    <x v="8"/>
    <x v="1690"/>
    <x v="4800"/>
    <n v="6"/>
    <x v="4502"/>
  </r>
  <r>
    <d v="2020-12-07T00:00:00"/>
    <x v="1"/>
    <x v="11"/>
    <x v="619"/>
    <x v="8"/>
    <x v="1"/>
    <x v="3"/>
    <x v="185"/>
    <x v="3102"/>
    <n v="2"/>
    <x v="4503"/>
  </r>
  <r>
    <d v="2020-12-07T00:00:00"/>
    <x v="1"/>
    <x v="11"/>
    <x v="89"/>
    <x v="16"/>
    <x v="2"/>
    <x v="13"/>
    <x v="230"/>
    <x v="4801"/>
    <n v="4"/>
    <x v="4504"/>
  </r>
  <r>
    <d v="2020-12-07T00:00:00"/>
    <x v="1"/>
    <x v="11"/>
    <x v="29"/>
    <x v="1"/>
    <x v="1"/>
    <x v="1"/>
    <x v="955"/>
    <x v="4802"/>
    <n v="3"/>
    <x v="4505"/>
  </r>
  <r>
    <d v="2020-12-07T00:00:00"/>
    <x v="1"/>
    <x v="11"/>
    <x v="154"/>
    <x v="2"/>
    <x v="2"/>
    <x v="12"/>
    <x v="1384"/>
    <x v="4803"/>
    <n v="3"/>
    <x v="4506"/>
  </r>
  <r>
    <d v="2020-12-07T00:00:00"/>
    <x v="1"/>
    <x v="11"/>
    <x v="34"/>
    <x v="17"/>
    <x v="2"/>
    <x v="5"/>
    <x v="1134"/>
    <x v="4804"/>
    <n v="5"/>
    <x v="4507"/>
  </r>
  <r>
    <d v="2020-12-07T00:00:00"/>
    <x v="1"/>
    <x v="11"/>
    <x v="154"/>
    <x v="2"/>
    <x v="2"/>
    <x v="9"/>
    <x v="1026"/>
    <x v="4805"/>
    <n v="3"/>
    <x v="29"/>
  </r>
  <r>
    <d v="2020-12-07T00:00:00"/>
    <x v="1"/>
    <x v="11"/>
    <x v="89"/>
    <x v="16"/>
    <x v="1"/>
    <x v="3"/>
    <x v="1265"/>
    <x v="4123"/>
    <n v="4"/>
    <x v="4508"/>
  </r>
  <r>
    <d v="2020-12-07T00:00:00"/>
    <x v="1"/>
    <x v="11"/>
    <x v="380"/>
    <x v="1"/>
    <x v="2"/>
    <x v="9"/>
    <x v="1061"/>
    <x v="201"/>
    <n v="6"/>
    <x v="4509"/>
  </r>
  <r>
    <d v="2020-12-08T00:00:00"/>
    <x v="1"/>
    <x v="11"/>
    <x v="532"/>
    <x v="1"/>
    <x v="2"/>
    <x v="9"/>
    <x v="1017"/>
    <x v="4806"/>
    <n v="9"/>
    <x v="40"/>
  </r>
  <r>
    <d v="2020-12-08T00:00:00"/>
    <x v="1"/>
    <x v="11"/>
    <x v="328"/>
    <x v="1"/>
    <x v="2"/>
    <x v="5"/>
    <x v="456"/>
    <x v="4807"/>
    <n v="3"/>
    <x v="504"/>
  </r>
  <r>
    <d v="2020-12-08T00:00:00"/>
    <x v="1"/>
    <x v="11"/>
    <x v="328"/>
    <x v="1"/>
    <x v="2"/>
    <x v="9"/>
    <x v="381"/>
    <x v="4167"/>
    <n v="4"/>
    <x v="4510"/>
  </r>
  <r>
    <d v="2020-12-08T00:00:00"/>
    <x v="1"/>
    <x v="11"/>
    <x v="219"/>
    <x v="5"/>
    <x v="1"/>
    <x v="1"/>
    <x v="799"/>
    <x v="4808"/>
    <n v="2"/>
    <x v="4511"/>
  </r>
  <r>
    <d v="2020-12-08T00:00:00"/>
    <x v="1"/>
    <x v="11"/>
    <x v="750"/>
    <x v="1"/>
    <x v="0"/>
    <x v="11"/>
    <x v="1720"/>
    <x v="4809"/>
    <n v="2"/>
    <x v="4512"/>
  </r>
  <r>
    <d v="2020-12-08T00:00:00"/>
    <x v="1"/>
    <x v="11"/>
    <x v="455"/>
    <x v="12"/>
    <x v="0"/>
    <x v="8"/>
    <x v="1028"/>
    <x v="4810"/>
    <n v="2"/>
    <x v="1400"/>
  </r>
  <r>
    <d v="2020-12-08T00:00:00"/>
    <x v="1"/>
    <x v="11"/>
    <x v="532"/>
    <x v="1"/>
    <x v="0"/>
    <x v="8"/>
    <x v="1734"/>
    <x v="4811"/>
    <n v="2"/>
    <x v="4513"/>
  </r>
  <r>
    <d v="2020-12-08T00:00:00"/>
    <x v="1"/>
    <x v="11"/>
    <x v="750"/>
    <x v="1"/>
    <x v="1"/>
    <x v="3"/>
    <x v="874"/>
    <x v="4812"/>
    <n v="5"/>
    <x v="4514"/>
  </r>
  <r>
    <d v="2020-12-08T00:00:00"/>
    <x v="1"/>
    <x v="11"/>
    <x v="419"/>
    <x v="7"/>
    <x v="1"/>
    <x v="3"/>
    <x v="1251"/>
    <x v="4813"/>
    <n v="3"/>
    <x v="4515"/>
  </r>
  <r>
    <d v="2020-12-08T00:00:00"/>
    <x v="1"/>
    <x v="11"/>
    <x v="608"/>
    <x v="5"/>
    <x v="0"/>
    <x v="11"/>
    <x v="1058"/>
    <x v="4814"/>
    <n v="4"/>
    <x v="4516"/>
  </r>
  <r>
    <d v="2020-12-08T00:00:00"/>
    <x v="1"/>
    <x v="11"/>
    <x v="455"/>
    <x v="12"/>
    <x v="2"/>
    <x v="2"/>
    <x v="535"/>
    <x v="4815"/>
    <n v="3"/>
    <x v="72"/>
  </r>
  <r>
    <d v="2020-12-08T00:00:00"/>
    <x v="1"/>
    <x v="11"/>
    <x v="419"/>
    <x v="7"/>
    <x v="0"/>
    <x v="0"/>
    <x v="931"/>
    <x v="4816"/>
    <n v="4"/>
    <x v="4517"/>
  </r>
  <r>
    <d v="2020-12-08T00:00:00"/>
    <x v="1"/>
    <x v="11"/>
    <x v="551"/>
    <x v="35"/>
    <x v="2"/>
    <x v="2"/>
    <x v="149"/>
    <x v="4817"/>
    <n v="6"/>
    <x v="4518"/>
  </r>
  <r>
    <d v="2020-12-08T00:00:00"/>
    <x v="1"/>
    <x v="11"/>
    <x v="750"/>
    <x v="1"/>
    <x v="0"/>
    <x v="4"/>
    <x v="1572"/>
    <x v="4818"/>
    <n v="7"/>
    <x v="4519"/>
  </r>
  <r>
    <d v="2020-12-08T00:00:00"/>
    <x v="1"/>
    <x v="11"/>
    <x v="419"/>
    <x v="7"/>
    <x v="2"/>
    <x v="13"/>
    <x v="260"/>
    <x v="4819"/>
    <n v="3"/>
    <x v="4520"/>
  </r>
  <r>
    <d v="2020-12-08T00:00:00"/>
    <x v="1"/>
    <x v="11"/>
    <x v="750"/>
    <x v="1"/>
    <x v="1"/>
    <x v="6"/>
    <x v="1219"/>
    <x v="4820"/>
    <n v="3"/>
    <x v="4521"/>
  </r>
  <r>
    <d v="2020-12-08T00:00:00"/>
    <x v="1"/>
    <x v="11"/>
    <x v="750"/>
    <x v="1"/>
    <x v="0"/>
    <x v="0"/>
    <x v="1492"/>
    <x v="4821"/>
    <n v="13"/>
    <x v="4522"/>
  </r>
  <r>
    <d v="2020-12-08T00:00:00"/>
    <x v="1"/>
    <x v="11"/>
    <x v="219"/>
    <x v="5"/>
    <x v="2"/>
    <x v="7"/>
    <x v="1065"/>
    <x v="4822"/>
    <n v="4"/>
    <x v="4523"/>
  </r>
  <r>
    <d v="2020-12-08T00:00:00"/>
    <x v="1"/>
    <x v="11"/>
    <x v="328"/>
    <x v="1"/>
    <x v="2"/>
    <x v="5"/>
    <x v="410"/>
    <x v="4823"/>
    <n v="1"/>
    <x v="4524"/>
  </r>
  <r>
    <d v="2020-12-08T00:00:00"/>
    <x v="1"/>
    <x v="11"/>
    <x v="750"/>
    <x v="1"/>
    <x v="2"/>
    <x v="9"/>
    <x v="1695"/>
    <x v="1851"/>
    <n v="5"/>
    <x v="4525"/>
  </r>
  <r>
    <d v="2020-12-08T00:00:00"/>
    <x v="1"/>
    <x v="11"/>
    <x v="750"/>
    <x v="1"/>
    <x v="2"/>
    <x v="9"/>
    <x v="558"/>
    <x v="4824"/>
    <n v="1"/>
    <x v="130"/>
  </r>
  <r>
    <d v="2020-12-08T00:00:00"/>
    <x v="1"/>
    <x v="11"/>
    <x v="455"/>
    <x v="12"/>
    <x v="2"/>
    <x v="9"/>
    <x v="1189"/>
    <x v="4825"/>
    <n v="3"/>
    <x v="397"/>
  </r>
  <r>
    <d v="2020-12-08T00:00:00"/>
    <x v="1"/>
    <x v="11"/>
    <x v="750"/>
    <x v="1"/>
    <x v="2"/>
    <x v="14"/>
    <x v="811"/>
    <x v="4826"/>
    <n v="9"/>
    <x v="4526"/>
  </r>
  <r>
    <d v="2020-12-08T00:00:00"/>
    <x v="1"/>
    <x v="11"/>
    <x v="455"/>
    <x v="12"/>
    <x v="2"/>
    <x v="2"/>
    <x v="1447"/>
    <x v="4699"/>
    <n v="4"/>
    <x v="3642"/>
  </r>
  <r>
    <d v="2020-12-08T00:00:00"/>
    <x v="1"/>
    <x v="11"/>
    <x v="532"/>
    <x v="1"/>
    <x v="2"/>
    <x v="2"/>
    <x v="1240"/>
    <x v="4827"/>
    <n v="3"/>
    <x v="4527"/>
  </r>
  <r>
    <d v="2020-12-08T00:00:00"/>
    <x v="1"/>
    <x v="11"/>
    <x v="419"/>
    <x v="7"/>
    <x v="2"/>
    <x v="9"/>
    <x v="331"/>
    <x v="499"/>
    <n v="4"/>
    <x v="4528"/>
  </r>
  <r>
    <d v="2020-12-08T00:00:00"/>
    <x v="1"/>
    <x v="11"/>
    <x v="750"/>
    <x v="1"/>
    <x v="2"/>
    <x v="9"/>
    <x v="653"/>
    <x v="194"/>
    <n v="1"/>
    <x v="4529"/>
  </r>
  <r>
    <d v="2020-12-08T00:00:00"/>
    <x v="1"/>
    <x v="11"/>
    <x v="328"/>
    <x v="1"/>
    <x v="2"/>
    <x v="2"/>
    <x v="716"/>
    <x v="4828"/>
    <n v="1"/>
    <x v="3940"/>
  </r>
  <r>
    <d v="2020-12-08T00:00:00"/>
    <x v="1"/>
    <x v="11"/>
    <x v="605"/>
    <x v="1"/>
    <x v="2"/>
    <x v="13"/>
    <x v="1535"/>
    <x v="4829"/>
    <n v="1"/>
    <x v="4287"/>
  </r>
  <r>
    <d v="2020-12-08T00:00:00"/>
    <x v="1"/>
    <x v="11"/>
    <x v="419"/>
    <x v="7"/>
    <x v="2"/>
    <x v="14"/>
    <x v="699"/>
    <x v="4830"/>
    <n v="2"/>
    <x v="4530"/>
  </r>
  <r>
    <d v="2020-12-09T00:00:00"/>
    <x v="1"/>
    <x v="11"/>
    <x v="152"/>
    <x v="25"/>
    <x v="1"/>
    <x v="3"/>
    <x v="1511"/>
    <x v="3418"/>
    <n v="6"/>
    <x v="3108"/>
  </r>
  <r>
    <d v="2020-12-09T00:00:00"/>
    <x v="1"/>
    <x v="11"/>
    <x v="165"/>
    <x v="1"/>
    <x v="0"/>
    <x v="0"/>
    <x v="1551"/>
    <x v="4831"/>
    <n v="3"/>
    <x v="4531"/>
  </r>
  <r>
    <d v="2020-12-09T00:00:00"/>
    <x v="1"/>
    <x v="11"/>
    <x v="228"/>
    <x v="19"/>
    <x v="1"/>
    <x v="3"/>
    <x v="275"/>
    <x v="2655"/>
    <n v="5"/>
    <x v="4532"/>
  </r>
  <r>
    <d v="2020-12-09T00:00:00"/>
    <x v="1"/>
    <x v="11"/>
    <x v="329"/>
    <x v="17"/>
    <x v="2"/>
    <x v="9"/>
    <x v="706"/>
    <x v="4832"/>
    <n v="9"/>
    <x v="4533"/>
  </r>
  <r>
    <d v="2020-12-09T00:00:00"/>
    <x v="1"/>
    <x v="11"/>
    <x v="588"/>
    <x v="1"/>
    <x v="2"/>
    <x v="13"/>
    <x v="688"/>
    <x v="4833"/>
    <n v="1"/>
    <x v="4534"/>
  </r>
  <r>
    <d v="2020-12-09T00:00:00"/>
    <x v="1"/>
    <x v="11"/>
    <x v="228"/>
    <x v="19"/>
    <x v="2"/>
    <x v="13"/>
    <x v="947"/>
    <x v="4834"/>
    <n v="5"/>
    <x v="4535"/>
  </r>
  <r>
    <d v="2020-12-09T00:00:00"/>
    <x v="1"/>
    <x v="11"/>
    <x v="598"/>
    <x v="20"/>
    <x v="2"/>
    <x v="9"/>
    <x v="1165"/>
    <x v="4835"/>
    <n v="5"/>
    <x v="438"/>
  </r>
  <r>
    <d v="2020-12-09T00:00:00"/>
    <x v="1"/>
    <x v="11"/>
    <x v="269"/>
    <x v="1"/>
    <x v="1"/>
    <x v="1"/>
    <x v="549"/>
    <x v="4836"/>
    <n v="4"/>
    <x v="4536"/>
  </r>
  <r>
    <d v="2020-12-09T00:00:00"/>
    <x v="1"/>
    <x v="11"/>
    <x v="151"/>
    <x v="25"/>
    <x v="0"/>
    <x v="11"/>
    <x v="313"/>
    <x v="4837"/>
    <n v="3"/>
    <x v="4537"/>
  </r>
  <r>
    <d v="2020-12-09T00:00:00"/>
    <x v="1"/>
    <x v="11"/>
    <x v="588"/>
    <x v="1"/>
    <x v="0"/>
    <x v="4"/>
    <x v="472"/>
    <x v="4838"/>
    <n v="9"/>
    <x v="4538"/>
  </r>
  <r>
    <d v="2020-12-09T00:00:00"/>
    <x v="1"/>
    <x v="11"/>
    <x v="562"/>
    <x v="5"/>
    <x v="2"/>
    <x v="7"/>
    <x v="1324"/>
    <x v="4764"/>
    <n v="1"/>
    <x v="4539"/>
  </r>
  <r>
    <d v="2020-12-09T00:00:00"/>
    <x v="1"/>
    <x v="11"/>
    <x v="186"/>
    <x v="24"/>
    <x v="2"/>
    <x v="5"/>
    <x v="1419"/>
    <x v="4839"/>
    <n v="5"/>
    <x v="4540"/>
  </r>
  <r>
    <d v="2020-12-09T00:00:00"/>
    <x v="1"/>
    <x v="11"/>
    <x v="228"/>
    <x v="19"/>
    <x v="1"/>
    <x v="6"/>
    <x v="591"/>
    <x v="4840"/>
    <n v="2"/>
    <x v="4541"/>
  </r>
  <r>
    <d v="2020-12-09T00:00:00"/>
    <x v="1"/>
    <x v="11"/>
    <x v="303"/>
    <x v="2"/>
    <x v="0"/>
    <x v="8"/>
    <x v="965"/>
    <x v="4841"/>
    <n v="3"/>
    <x v="4542"/>
  </r>
  <r>
    <d v="2020-12-09T00:00:00"/>
    <x v="1"/>
    <x v="11"/>
    <x v="588"/>
    <x v="1"/>
    <x v="2"/>
    <x v="7"/>
    <x v="621"/>
    <x v="1515"/>
    <n v="2"/>
    <x v="716"/>
  </r>
  <r>
    <d v="2020-12-09T00:00:00"/>
    <x v="1"/>
    <x v="11"/>
    <x v="303"/>
    <x v="2"/>
    <x v="2"/>
    <x v="5"/>
    <x v="1419"/>
    <x v="3162"/>
    <n v="3"/>
    <x v="4162"/>
  </r>
  <r>
    <d v="2020-12-09T00:00:00"/>
    <x v="1"/>
    <x v="11"/>
    <x v="228"/>
    <x v="19"/>
    <x v="2"/>
    <x v="14"/>
    <x v="1498"/>
    <x v="2531"/>
    <n v="2"/>
    <x v="4543"/>
  </r>
  <r>
    <d v="2020-12-09T00:00:00"/>
    <x v="1"/>
    <x v="11"/>
    <x v="152"/>
    <x v="25"/>
    <x v="2"/>
    <x v="9"/>
    <x v="84"/>
    <x v="3273"/>
    <n v="3"/>
    <x v="709"/>
  </r>
  <r>
    <d v="2020-12-09T00:00:00"/>
    <x v="1"/>
    <x v="11"/>
    <x v="252"/>
    <x v="5"/>
    <x v="2"/>
    <x v="5"/>
    <x v="807"/>
    <x v="4842"/>
    <n v="7"/>
    <x v="990"/>
  </r>
  <r>
    <d v="2020-12-09T00:00:00"/>
    <x v="1"/>
    <x v="11"/>
    <x v="228"/>
    <x v="19"/>
    <x v="2"/>
    <x v="2"/>
    <x v="1068"/>
    <x v="4843"/>
    <n v="1"/>
    <x v="4544"/>
  </r>
  <r>
    <d v="2020-12-09T00:00:00"/>
    <x v="1"/>
    <x v="11"/>
    <x v="228"/>
    <x v="19"/>
    <x v="2"/>
    <x v="5"/>
    <x v="19"/>
    <x v="3632"/>
    <n v="2"/>
    <x v="4545"/>
  </r>
  <r>
    <d v="2020-12-09T00:00:00"/>
    <x v="1"/>
    <x v="11"/>
    <x v="186"/>
    <x v="24"/>
    <x v="2"/>
    <x v="9"/>
    <x v="577"/>
    <x v="4844"/>
    <n v="5"/>
    <x v="4546"/>
  </r>
  <r>
    <d v="2020-12-09T00:00:00"/>
    <x v="1"/>
    <x v="11"/>
    <x v="478"/>
    <x v="17"/>
    <x v="2"/>
    <x v="9"/>
    <x v="761"/>
    <x v="4845"/>
    <n v="2"/>
    <x v="915"/>
  </r>
  <r>
    <d v="2020-12-09T00:00:00"/>
    <x v="1"/>
    <x v="11"/>
    <x v="303"/>
    <x v="2"/>
    <x v="2"/>
    <x v="2"/>
    <x v="1301"/>
    <x v="4846"/>
    <n v="3"/>
    <x v="4547"/>
  </r>
  <r>
    <d v="2020-12-09T00:00:00"/>
    <x v="1"/>
    <x v="11"/>
    <x v="151"/>
    <x v="25"/>
    <x v="2"/>
    <x v="9"/>
    <x v="567"/>
    <x v="2188"/>
    <n v="2"/>
    <x v="56"/>
  </r>
  <r>
    <d v="2020-12-09T00:00:00"/>
    <x v="1"/>
    <x v="11"/>
    <x v="2"/>
    <x v="8"/>
    <x v="2"/>
    <x v="2"/>
    <x v="98"/>
    <x v="4847"/>
    <n v="1"/>
    <x v="4548"/>
  </r>
  <r>
    <d v="2020-12-09T00:00:00"/>
    <x v="1"/>
    <x v="11"/>
    <x v="151"/>
    <x v="25"/>
    <x v="2"/>
    <x v="5"/>
    <x v="1196"/>
    <x v="4848"/>
    <n v="2"/>
    <x v="4549"/>
  </r>
  <r>
    <d v="2020-12-09T00:00:00"/>
    <x v="1"/>
    <x v="11"/>
    <x v="152"/>
    <x v="25"/>
    <x v="2"/>
    <x v="5"/>
    <x v="1182"/>
    <x v="3954"/>
    <n v="4"/>
    <x v="4550"/>
  </r>
  <r>
    <d v="2020-12-09T00:00:00"/>
    <x v="1"/>
    <x v="11"/>
    <x v="598"/>
    <x v="20"/>
    <x v="2"/>
    <x v="5"/>
    <x v="530"/>
    <x v="4849"/>
    <n v="3"/>
    <x v="4551"/>
  </r>
  <r>
    <d v="2020-12-09T00:00:00"/>
    <x v="1"/>
    <x v="11"/>
    <x v="152"/>
    <x v="25"/>
    <x v="2"/>
    <x v="7"/>
    <x v="556"/>
    <x v="4850"/>
    <n v="5"/>
    <x v="1592"/>
  </r>
  <r>
    <d v="2020-12-09T00:00:00"/>
    <x v="1"/>
    <x v="11"/>
    <x v="228"/>
    <x v="19"/>
    <x v="2"/>
    <x v="5"/>
    <x v="122"/>
    <x v="4851"/>
    <n v="4"/>
    <x v="125"/>
  </r>
  <r>
    <d v="2020-12-09T00:00:00"/>
    <x v="1"/>
    <x v="11"/>
    <x v="268"/>
    <x v="25"/>
    <x v="2"/>
    <x v="5"/>
    <x v="899"/>
    <x v="4852"/>
    <n v="5"/>
    <x v="563"/>
  </r>
  <r>
    <d v="2020-12-09T00:00:00"/>
    <x v="1"/>
    <x v="11"/>
    <x v="2"/>
    <x v="8"/>
    <x v="2"/>
    <x v="10"/>
    <x v="158"/>
    <x v="4853"/>
    <n v="3"/>
    <x v="163"/>
  </r>
  <r>
    <d v="2020-12-10T00:00:00"/>
    <x v="1"/>
    <x v="11"/>
    <x v="20"/>
    <x v="5"/>
    <x v="0"/>
    <x v="8"/>
    <x v="54"/>
    <x v="4854"/>
    <n v="5"/>
    <x v="4552"/>
  </r>
  <r>
    <d v="2020-12-10T00:00:00"/>
    <x v="1"/>
    <x v="11"/>
    <x v="398"/>
    <x v="1"/>
    <x v="1"/>
    <x v="1"/>
    <x v="607"/>
    <x v="4855"/>
    <n v="4"/>
    <x v="4067"/>
  </r>
  <r>
    <d v="2020-12-10T00:00:00"/>
    <x v="1"/>
    <x v="11"/>
    <x v="727"/>
    <x v="5"/>
    <x v="0"/>
    <x v="8"/>
    <x v="257"/>
    <x v="4856"/>
    <n v="2"/>
    <x v="4553"/>
  </r>
  <r>
    <d v="2020-12-10T00:00:00"/>
    <x v="1"/>
    <x v="11"/>
    <x v="5"/>
    <x v="9"/>
    <x v="2"/>
    <x v="2"/>
    <x v="361"/>
    <x v="4857"/>
    <n v="5"/>
    <x v="825"/>
  </r>
  <r>
    <d v="2020-12-10T00:00:00"/>
    <x v="1"/>
    <x v="11"/>
    <x v="92"/>
    <x v="11"/>
    <x v="2"/>
    <x v="13"/>
    <x v="831"/>
    <x v="4858"/>
    <n v="7"/>
    <x v="4554"/>
  </r>
  <r>
    <d v="2020-12-10T00:00:00"/>
    <x v="1"/>
    <x v="11"/>
    <x v="353"/>
    <x v="16"/>
    <x v="1"/>
    <x v="3"/>
    <x v="1142"/>
    <x v="4859"/>
    <n v="3"/>
    <x v="4555"/>
  </r>
  <r>
    <d v="2020-12-10T00:00:00"/>
    <x v="1"/>
    <x v="11"/>
    <x v="557"/>
    <x v="31"/>
    <x v="0"/>
    <x v="4"/>
    <x v="82"/>
    <x v="4860"/>
    <n v="4"/>
    <x v="4556"/>
  </r>
  <r>
    <d v="2020-12-10T00:00:00"/>
    <x v="1"/>
    <x v="11"/>
    <x v="610"/>
    <x v="39"/>
    <x v="0"/>
    <x v="8"/>
    <x v="714"/>
    <x v="4861"/>
    <n v="2"/>
    <x v="1257"/>
  </r>
  <r>
    <d v="2020-12-10T00:00:00"/>
    <x v="1"/>
    <x v="11"/>
    <x v="92"/>
    <x v="11"/>
    <x v="2"/>
    <x v="10"/>
    <x v="885"/>
    <x v="4862"/>
    <n v="3"/>
    <x v="1113"/>
  </r>
  <r>
    <d v="2020-12-10T00:00:00"/>
    <x v="1"/>
    <x v="11"/>
    <x v="5"/>
    <x v="9"/>
    <x v="2"/>
    <x v="7"/>
    <x v="1430"/>
    <x v="4863"/>
    <n v="3"/>
    <x v="4557"/>
  </r>
  <r>
    <d v="2020-12-10T00:00:00"/>
    <x v="1"/>
    <x v="11"/>
    <x v="20"/>
    <x v="5"/>
    <x v="2"/>
    <x v="5"/>
    <x v="73"/>
    <x v="4864"/>
    <n v="1"/>
    <x v="4558"/>
  </r>
  <r>
    <d v="2020-12-10T00:00:00"/>
    <x v="1"/>
    <x v="11"/>
    <x v="5"/>
    <x v="1"/>
    <x v="2"/>
    <x v="5"/>
    <x v="1418"/>
    <x v="4865"/>
    <n v="4"/>
    <x v="3920"/>
  </r>
  <r>
    <d v="2020-12-10T00:00:00"/>
    <x v="1"/>
    <x v="11"/>
    <x v="727"/>
    <x v="5"/>
    <x v="2"/>
    <x v="9"/>
    <x v="732"/>
    <x v="4866"/>
    <n v="2"/>
    <x v="288"/>
  </r>
  <r>
    <d v="2020-12-10T00:00:00"/>
    <x v="1"/>
    <x v="11"/>
    <x v="353"/>
    <x v="16"/>
    <x v="1"/>
    <x v="1"/>
    <x v="30"/>
    <x v="4867"/>
    <n v="3"/>
    <x v="148"/>
  </r>
  <r>
    <d v="2020-12-10T00:00:00"/>
    <x v="1"/>
    <x v="11"/>
    <x v="406"/>
    <x v="5"/>
    <x v="1"/>
    <x v="3"/>
    <x v="835"/>
    <x v="4868"/>
    <n v="1"/>
    <x v="4559"/>
  </r>
  <r>
    <d v="2020-12-10T00:00:00"/>
    <x v="1"/>
    <x v="11"/>
    <x v="398"/>
    <x v="1"/>
    <x v="2"/>
    <x v="9"/>
    <x v="265"/>
    <x v="4869"/>
    <n v="2"/>
    <x v="56"/>
  </r>
  <r>
    <d v="2020-12-10T00:00:00"/>
    <x v="1"/>
    <x v="11"/>
    <x v="395"/>
    <x v="34"/>
    <x v="2"/>
    <x v="5"/>
    <x v="231"/>
    <x v="4870"/>
    <n v="3"/>
    <x v="937"/>
  </r>
  <r>
    <d v="2020-12-10T00:00:00"/>
    <x v="1"/>
    <x v="11"/>
    <x v="188"/>
    <x v="6"/>
    <x v="0"/>
    <x v="8"/>
    <x v="490"/>
    <x v="4871"/>
    <n v="3"/>
    <x v="4560"/>
  </r>
  <r>
    <d v="2020-12-10T00:00:00"/>
    <x v="1"/>
    <x v="11"/>
    <x v="5"/>
    <x v="1"/>
    <x v="2"/>
    <x v="5"/>
    <x v="973"/>
    <x v="2723"/>
    <n v="2"/>
    <x v="2269"/>
  </r>
  <r>
    <d v="2020-12-10T00:00:00"/>
    <x v="1"/>
    <x v="11"/>
    <x v="5"/>
    <x v="9"/>
    <x v="1"/>
    <x v="3"/>
    <x v="483"/>
    <x v="4872"/>
    <n v="3"/>
    <x v="2536"/>
  </r>
  <r>
    <d v="2020-12-10T00:00:00"/>
    <x v="1"/>
    <x v="11"/>
    <x v="353"/>
    <x v="16"/>
    <x v="2"/>
    <x v="5"/>
    <x v="1618"/>
    <x v="4873"/>
    <n v="8"/>
    <x v="4561"/>
  </r>
  <r>
    <d v="2020-12-11T00:00:00"/>
    <x v="1"/>
    <x v="11"/>
    <x v="315"/>
    <x v="6"/>
    <x v="1"/>
    <x v="1"/>
    <x v="541"/>
    <x v="4874"/>
    <n v="4"/>
    <x v="4562"/>
  </r>
  <r>
    <d v="2020-12-11T00:00:00"/>
    <x v="1"/>
    <x v="11"/>
    <x v="276"/>
    <x v="17"/>
    <x v="1"/>
    <x v="3"/>
    <x v="1571"/>
    <x v="4875"/>
    <n v="7"/>
    <x v="4563"/>
  </r>
  <r>
    <d v="2020-12-11T00:00:00"/>
    <x v="1"/>
    <x v="11"/>
    <x v="362"/>
    <x v="12"/>
    <x v="1"/>
    <x v="1"/>
    <x v="1595"/>
    <x v="4876"/>
    <n v="2"/>
    <x v="4564"/>
  </r>
  <r>
    <d v="2020-12-11T00:00:00"/>
    <x v="1"/>
    <x v="11"/>
    <x v="685"/>
    <x v="26"/>
    <x v="1"/>
    <x v="1"/>
    <x v="1431"/>
    <x v="4877"/>
    <n v="3"/>
    <x v="4565"/>
  </r>
  <r>
    <d v="2020-12-11T00:00:00"/>
    <x v="1"/>
    <x v="11"/>
    <x v="571"/>
    <x v="17"/>
    <x v="0"/>
    <x v="11"/>
    <x v="1410"/>
    <x v="4878"/>
    <n v="2"/>
    <x v="3827"/>
  </r>
  <r>
    <d v="2020-12-11T00:00:00"/>
    <x v="1"/>
    <x v="11"/>
    <x v="315"/>
    <x v="6"/>
    <x v="0"/>
    <x v="4"/>
    <x v="1634"/>
    <x v="4879"/>
    <n v="6"/>
    <x v="4566"/>
  </r>
  <r>
    <d v="2020-12-11T00:00:00"/>
    <x v="1"/>
    <x v="11"/>
    <x v="762"/>
    <x v="10"/>
    <x v="2"/>
    <x v="5"/>
    <x v="318"/>
    <x v="4880"/>
    <n v="2"/>
    <x v="1537"/>
  </r>
  <r>
    <d v="2020-12-11T00:00:00"/>
    <x v="1"/>
    <x v="11"/>
    <x v="315"/>
    <x v="6"/>
    <x v="2"/>
    <x v="7"/>
    <x v="1090"/>
    <x v="4881"/>
    <n v="1"/>
    <x v="4567"/>
  </r>
  <r>
    <d v="2020-12-11T00:00:00"/>
    <x v="1"/>
    <x v="11"/>
    <x v="307"/>
    <x v="41"/>
    <x v="2"/>
    <x v="10"/>
    <x v="1735"/>
    <x v="4882"/>
    <n v="1"/>
    <x v="4568"/>
  </r>
  <r>
    <d v="2020-12-11T00:00:00"/>
    <x v="1"/>
    <x v="11"/>
    <x v="571"/>
    <x v="17"/>
    <x v="2"/>
    <x v="9"/>
    <x v="1696"/>
    <x v="4883"/>
    <n v="2"/>
    <x v="288"/>
  </r>
  <r>
    <d v="2020-12-11T00:00:00"/>
    <x v="1"/>
    <x v="11"/>
    <x v="307"/>
    <x v="41"/>
    <x v="2"/>
    <x v="5"/>
    <x v="820"/>
    <x v="4884"/>
    <n v="3"/>
    <x v="1005"/>
  </r>
  <r>
    <d v="2020-12-11T00:00:00"/>
    <x v="1"/>
    <x v="11"/>
    <x v="762"/>
    <x v="10"/>
    <x v="2"/>
    <x v="13"/>
    <x v="1238"/>
    <x v="4885"/>
    <n v="7"/>
    <x v="4569"/>
  </r>
  <r>
    <d v="2020-12-11T00:00:00"/>
    <x v="1"/>
    <x v="11"/>
    <x v="374"/>
    <x v="2"/>
    <x v="2"/>
    <x v="13"/>
    <x v="1736"/>
    <x v="4886"/>
    <n v="2"/>
    <x v="4570"/>
  </r>
  <r>
    <d v="2020-12-11T00:00:00"/>
    <x v="1"/>
    <x v="11"/>
    <x v="225"/>
    <x v="10"/>
    <x v="2"/>
    <x v="12"/>
    <x v="1162"/>
    <x v="4887"/>
    <n v="3"/>
    <x v="4571"/>
  </r>
  <r>
    <d v="2020-12-11T00:00:00"/>
    <x v="1"/>
    <x v="11"/>
    <x v="362"/>
    <x v="12"/>
    <x v="2"/>
    <x v="5"/>
    <x v="266"/>
    <x v="4888"/>
    <n v="1"/>
    <x v="4572"/>
  </r>
  <r>
    <d v="2020-12-11T00:00:00"/>
    <x v="1"/>
    <x v="11"/>
    <x v="362"/>
    <x v="12"/>
    <x v="2"/>
    <x v="9"/>
    <x v="1053"/>
    <x v="4889"/>
    <n v="3"/>
    <x v="545"/>
  </r>
  <r>
    <d v="2020-12-11T00:00:00"/>
    <x v="1"/>
    <x v="11"/>
    <x v="326"/>
    <x v="12"/>
    <x v="2"/>
    <x v="5"/>
    <x v="399"/>
    <x v="4890"/>
    <n v="4"/>
    <x v="4573"/>
  </r>
  <r>
    <d v="2020-12-11T00:00:00"/>
    <x v="1"/>
    <x v="11"/>
    <x v="326"/>
    <x v="12"/>
    <x v="1"/>
    <x v="3"/>
    <x v="1489"/>
    <x v="4891"/>
    <n v="2"/>
    <x v="4574"/>
  </r>
  <r>
    <d v="2020-12-11T00:00:00"/>
    <x v="1"/>
    <x v="11"/>
    <x v="563"/>
    <x v="5"/>
    <x v="0"/>
    <x v="11"/>
    <x v="810"/>
    <x v="4892"/>
    <n v="1"/>
    <x v="4575"/>
  </r>
  <r>
    <d v="2020-12-11T00:00:00"/>
    <x v="1"/>
    <x v="11"/>
    <x v="762"/>
    <x v="10"/>
    <x v="2"/>
    <x v="5"/>
    <x v="759"/>
    <x v="4893"/>
    <n v="5"/>
    <x v="4576"/>
  </r>
  <r>
    <d v="2020-12-11T00:00:00"/>
    <x v="1"/>
    <x v="11"/>
    <x v="571"/>
    <x v="17"/>
    <x v="0"/>
    <x v="8"/>
    <x v="257"/>
    <x v="4894"/>
    <n v="1"/>
    <x v="4577"/>
  </r>
  <r>
    <d v="2020-12-11T00:00:00"/>
    <x v="1"/>
    <x v="11"/>
    <x v="315"/>
    <x v="6"/>
    <x v="0"/>
    <x v="11"/>
    <x v="359"/>
    <x v="4895"/>
    <n v="1"/>
    <x v="4578"/>
  </r>
  <r>
    <d v="2020-12-13T00:00:00"/>
    <x v="1"/>
    <x v="11"/>
    <x v="526"/>
    <x v="1"/>
    <x v="0"/>
    <x v="8"/>
    <x v="1485"/>
    <x v="4896"/>
    <n v="8"/>
    <x v="4579"/>
  </r>
  <r>
    <d v="2020-12-13T00:00:00"/>
    <x v="1"/>
    <x v="11"/>
    <x v="526"/>
    <x v="1"/>
    <x v="2"/>
    <x v="14"/>
    <x v="890"/>
    <x v="4897"/>
    <n v="3"/>
    <x v="2728"/>
  </r>
  <r>
    <d v="2020-12-13T00:00:00"/>
    <x v="1"/>
    <x v="11"/>
    <x v="540"/>
    <x v="12"/>
    <x v="0"/>
    <x v="0"/>
    <x v="103"/>
    <x v="4898"/>
    <n v="3"/>
    <x v="4580"/>
  </r>
  <r>
    <d v="2020-12-13T00:00:00"/>
    <x v="1"/>
    <x v="11"/>
    <x v="526"/>
    <x v="1"/>
    <x v="2"/>
    <x v="9"/>
    <x v="660"/>
    <x v="2984"/>
    <n v="2"/>
    <x v="210"/>
  </r>
  <r>
    <d v="2020-12-13T00:00:00"/>
    <x v="1"/>
    <x v="11"/>
    <x v="526"/>
    <x v="1"/>
    <x v="2"/>
    <x v="9"/>
    <x v="1189"/>
    <x v="4899"/>
    <n v="6"/>
    <x v="679"/>
  </r>
  <r>
    <d v="2020-12-13T00:00:00"/>
    <x v="1"/>
    <x v="11"/>
    <x v="632"/>
    <x v="9"/>
    <x v="2"/>
    <x v="2"/>
    <x v="764"/>
    <x v="4900"/>
    <n v="3"/>
    <x v="3456"/>
  </r>
  <r>
    <d v="2020-12-14T00:00:00"/>
    <x v="1"/>
    <x v="11"/>
    <x v="612"/>
    <x v="1"/>
    <x v="2"/>
    <x v="5"/>
    <x v="145"/>
    <x v="4901"/>
    <n v="14"/>
    <x v="4581"/>
  </r>
  <r>
    <d v="2020-12-14T00:00:00"/>
    <x v="1"/>
    <x v="11"/>
    <x v="45"/>
    <x v="26"/>
    <x v="2"/>
    <x v="2"/>
    <x v="1032"/>
    <x v="4902"/>
    <n v="1"/>
    <x v="4582"/>
  </r>
  <r>
    <d v="2020-12-14T00:00:00"/>
    <x v="1"/>
    <x v="11"/>
    <x v="138"/>
    <x v="17"/>
    <x v="2"/>
    <x v="7"/>
    <x v="963"/>
    <x v="4903"/>
    <n v="6"/>
    <x v="4583"/>
  </r>
  <r>
    <d v="2020-12-14T00:00:00"/>
    <x v="1"/>
    <x v="11"/>
    <x v="138"/>
    <x v="17"/>
    <x v="0"/>
    <x v="8"/>
    <x v="1714"/>
    <x v="4904"/>
    <n v="3"/>
    <x v="4584"/>
  </r>
  <r>
    <d v="2020-12-14T00:00:00"/>
    <x v="1"/>
    <x v="11"/>
    <x v="45"/>
    <x v="26"/>
    <x v="2"/>
    <x v="16"/>
    <x v="141"/>
    <x v="4905"/>
    <n v="3"/>
    <x v="145"/>
  </r>
  <r>
    <d v="2020-12-14T00:00:00"/>
    <x v="1"/>
    <x v="11"/>
    <x v="496"/>
    <x v="33"/>
    <x v="1"/>
    <x v="3"/>
    <x v="205"/>
    <x v="4906"/>
    <n v="4"/>
    <x v="2321"/>
  </r>
  <r>
    <d v="2020-12-14T00:00:00"/>
    <x v="1"/>
    <x v="11"/>
    <x v="171"/>
    <x v="17"/>
    <x v="1"/>
    <x v="3"/>
    <x v="234"/>
    <x v="2304"/>
    <n v="3"/>
    <x v="4585"/>
  </r>
  <r>
    <d v="2020-12-14T00:00:00"/>
    <x v="1"/>
    <x v="11"/>
    <x v="171"/>
    <x v="17"/>
    <x v="1"/>
    <x v="1"/>
    <x v="1096"/>
    <x v="4907"/>
    <n v="3"/>
    <x v="1552"/>
  </r>
  <r>
    <d v="2020-12-14T00:00:00"/>
    <x v="1"/>
    <x v="11"/>
    <x v="612"/>
    <x v="1"/>
    <x v="2"/>
    <x v="10"/>
    <x v="1637"/>
    <x v="4908"/>
    <n v="5"/>
    <x v="4586"/>
  </r>
  <r>
    <d v="2020-12-14T00:00:00"/>
    <x v="1"/>
    <x v="11"/>
    <x v="138"/>
    <x v="17"/>
    <x v="0"/>
    <x v="8"/>
    <x v="680"/>
    <x v="4909"/>
    <n v="6"/>
    <x v="4587"/>
  </r>
  <r>
    <d v="2020-12-14T00:00:00"/>
    <x v="1"/>
    <x v="11"/>
    <x v="45"/>
    <x v="26"/>
    <x v="0"/>
    <x v="4"/>
    <x v="645"/>
    <x v="4910"/>
    <n v="2"/>
    <x v="4588"/>
  </r>
  <r>
    <d v="2020-12-14T00:00:00"/>
    <x v="1"/>
    <x v="11"/>
    <x v="327"/>
    <x v="2"/>
    <x v="0"/>
    <x v="4"/>
    <x v="1322"/>
    <x v="4911"/>
    <n v="4"/>
    <x v="4589"/>
  </r>
  <r>
    <d v="2020-12-14T00:00:00"/>
    <x v="1"/>
    <x v="11"/>
    <x v="45"/>
    <x v="26"/>
    <x v="1"/>
    <x v="6"/>
    <x v="1450"/>
    <x v="4281"/>
    <n v="2"/>
    <x v="4590"/>
  </r>
  <r>
    <d v="2020-12-14T00:00:00"/>
    <x v="1"/>
    <x v="11"/>
    <x v="171"/>
    <x v="17"/>
    <x v="0"/>
    <x v="8"/>
    <x v="1657"/>
    <x v="4912"/>
    <n v="1"/>
    <x v="4591"/>
  </r>
  <r>
    <d v="2020-12-14T00:00:00"/>
    <x v="1"/>
    <x v="11"/>
    <x v="138"/>
    <x v="17"/>
    <x v="1"/>
    <x v="3"/>
    <x v="483"/>
    <x v="4913"/>
    <n v="3"/>
    <x v="4592"/>
  </r>
  <r>
    <d v="2020-12-14T00:00:00"/>
    <x v="1"/>
    <x v="11"/>
    <x v="612"/>
    <x v="1"/>
    <x v="0"/>
    <x v="8"/>
    <x v="1057"/>
    <x v="4914"/>
    <n v="3"/>
    <x v="4593"/>
  </r>
  <r>
    <d v="2020-12-14T00:00:00"/>
    <x v="1"/>
    <x v="11"/>
    <x v="45"/>
    <x v="26"/>
    <x v="2"/>
    <x v="12"/>
    <x v="179"/>
    <x v="4915"/>
    <n v="6"/>
    <x v="4594"/>
  </r>
  <r>
    <d v="2020-12-14T00:00:00"/>
    <x v="1"/>
    <x v="11"/>
    <x v="496"/>
    <x v="33"/>
    <x v="1"/>
    <x v="3"/>
    <x v="214"/>
    <x v="4916"/>
    <n v="5"/>
    <x v="2115"/>
  </r>
  <r>
    <d v="2020-12-15T00:00:00"/>
    <x v="1"/>
    <x v="11"/>
    <x v="392"/>
    <x v="1"/>
    <x v="1"/>
    <x v="1"/>
    <x v="1412"/>
    <x v="4917"/>
    <n v="3"/>
    <x v="2502"/>
  </r>
  <r>
    <d v="2020-12-15T00:00:00"/>
    <x v="1"/>
    <x v="11"/>
    <x v="630"/>
    <x v="17"/>
    <x v="2"/>
    <x v="7"/>
    <x v="397"/>
    <x v="4918"/>
    <n v="7"/>
    <x v="4595"/>
  </r>
  <r>
    <d v="2020-12-15T00:00:00"/>
    <x v="1"/>
    <x v="11"/>
    <x v="392"/>
    <x v="1"/>
    <x v="2"/>
    <x v="9"/>
    <x v="999"/>
    <x v="4919"/>
    <n v="3"/>
    <x v="4596"/>
  </r>
  <r>
    <d v="2020-12-15T00:00:00"/>
    <x v="1"/>
    <x v="11"/>
    <x v="130"/>
    <x v="9"/>
    <x v="0"/>
    <x v="8"/>
    <x v="1216"/>
    <x v="4920"/>
    <n v="3"/>
    <x v="4597"/>
  </r>
  <r>
    <d v="2020-12-15T00:00:00"/>
    <x v="1"/>
    <x v="11"/>
    <x v="392"/>
    <x v="1"/>
    <x v="2"/>
    <x v="13"/>
    <x v="1365"/>
    <x v="4921"/>
    <n v="4"/>
    <x v="4598"/>
  </r>
  <r>
    <d v="2020-12-16T00:00:00"/>
    <x v="1"/>
    <x v="11"/>
    <x v="622"/>
    <x v="1"/>
    <x v="0"/>
    <x v="11"/>
    <x v="300"/>
    <x v="4922"/>
    <n v="2"/>
    <x v="3603"/>
  </r>
  <r>
    <d v="2020-12-16T00:00:00"/>
    <x v="1"/>
    <x v="11"/>
    <x v="562"/>
    <x v="1"/>
    <x v="1"/>
    <x v="3"/>
    <x v="1180"/>
    <x v="4923"/>
    <n v="5"/>
    <x v="3772"/>
  </r>
  <r>
    <d v="2020-12-16T00:00:00"/>
    <x v="1"/>
    <x v="11"/>
    <x v="107"/>
    <x v="1"/>
    <x v="2"/>
    <x v="2"/>
    <x v="1707"/>
    <x v="4924"/>
    <n v="5"/>
    <x v="4599"/>
  </r>
  <r>
    <d v="2020-12-16T00:00:00"/>
    <x v="1"/>
    <x v="11"/>
    <x v="562"/>
    <x v="1"/>
    <x v="1"/>
    <x v="3"/>
    <x v="784"/>
    <x v="4925"/>
    <n v="5"/>
    <x v="4600"/>
  </r>
  <r>
    <d v="2020-12-16T00:00:00"/>
    <x v="1"/>
    <x v="11"/>
    <x v="631"/>
    <x v="3"/>
    <x v="2"/>
    <x v="5"/>
    <x v="192"/>
    <x v="4926"/>
    <n v="5"/>
    <x v="4601"/>
  </r>
  <r>
    <d v="2020-12-16T00:00:00"/>
    <x v="1"/>
    <x v="11"/>
    <x v="562"/>
    <x v="1"/>
    <x v="2"/>
    <x v="14"/>
    <x v="56"/>
    <x v="4927"/>
    <n v="3"/>
    <x v="57"/>
  </r>
  <r>
    <d v="2020-12-16T00:00:00"/>
    <x v="1"/>
    <x v="11"/>
    <x v="107"/>
    <x v="1"/>
    <x v="2"/>
    <x v="9"/>
    <x v="493"/>
    <x v="4928"/>
    <n v="2"/>
    <x v="1967"/>
  </r>
  <r>
    <d v="2020-12-16T00:00:00"/>
    <x v="1"/>
    <x v="11"/>
    <x v="622"/>
    <x v="1"/>
    <x v="0"/>
    <x v="8"/>
    <x v="24"/>
    <x v="4929"/>
    <n v="2"/>
    <x v="1454"/>
  </r>
  <r>
    <d v="2020-12-16T00:00:00"/>
    <x v="1"/>
    <x v="11"/>
    <x v="622"/>
    <x v="1"/>
    <x v="2"/>
    <x v="5"/>
    <x v="1146"/>
    <x v="4930"/>
    <n v="5"/>
    <x v="4602"/>
  </r>
  <r>
    <d v="2020-12-16T00:00:00"/>
    <x v="1"/>
    <x v="11"/>
    <x v="65"/>
    <x v="12"/>
    <x v="2"/>
    <x v="5"/>
    <x v="1122"/>
    <x v="4931"/>
    <n v="4"/>
    <x v="4603"/>
  </r>
  <r>
    <d v="2020-12-16T00:00:00"/>
    <x v="1"/>
    <x v="11"/>
    <x v="562"/>
    <x v="1"/>
    <x v="2"/>
    <x v="5"/>
    <x v="1248"/>
    <x v="4932"/>
    <n v="2"/>
    <x v="4604"/>
  </r>
  <r>
    <d v="2020-12-16T00:00:00"/>
    <x v="1"/>
    <x v="11"/>
    <x v="562"/>
    <x v="1"/>
    <x v="2"/>
    <x v="7"/>
    <x v="1532"/>
    <x v="4933"/>
    <n v="5"/>
    <x v="3722"/>
  </r>
  <r>
    <d v="2020-12-16T00:00:00"/>
    <x v="1"/>
    <x v="11"/>
    <x v="622"/>
    <x v="1"/>
    <x v="0"/>
    <x v="11"/>
    <x v="637"/>
    <x v="4934"/>
    <n v="2"/>
    <x v="4605"/>
  </r>
  <r>
    <d v="2020-12-17T00:00:00"/>
    <x v="1"/>
    <x v="11"/>
    <x v="180"/>
    <x v="2"/>
    <x v="2"/>
    <x v="13"/>
    <x v="546"/>
    <x v="4935"/>
    <n v="2"/>
    <x v="4606"/>
  </r>
  <r>
    <d v="2020-12-17T00:00:00"/>
    <x v="1"/>
    <x v="11"/>
    <x v="297"/>
    <x v="12"/>
    <x v="0"/>
    <x v="8"/>
    <x v="920"/>
    <x v="4936"/>
    <n v="2"/>
    <x v="4607"/>
  </r>
  <r>
    <d v="2020-12-17T00:00:00"/>
    <x v="1"/>
    <x v="11"/>
    <x v="297"/>
    <x v="12"/>
    <x v="2"/>
    <x v="2"/>
    <x v="808"/>
    <x v="4937"/>
    <n v="2"/>
    <x v="4608"/>
  </r>
  <r>
    <d v="2020-12-17T00:00:00"/>
    <x v="1"/>
    <x v="11"/>
    <x v="180"/>
    <x v="1"/>
    <x v="2"/>
    <x v="9"/>
    <x v="924"/>
    <x v="4938"/>
    <n v="3"/>
    <x v="4609"/>
  </r>
  <r>
    <d v="2020-12-17T00:00:00"/>
    <x v="1"/>
    <x v="11"/>
    <x v="330"/>
    <x v="7"/>
    <x v="2"/>
    <x v="2"/>
    <x v="1460"/>
    <x v="4939"/>
    <n v="2"/>
    <x v="4610"/>
  </r>
  <r>
    <d v="2020-12-17T00:00:00"/>
    <x v="1"/>
    <x v="11"/>
    <x v="2"/>
    <x v="1"/>
    <x v="2"/>
    <x v="2"/>
    <x v="64"/>
    <x v="4940"/>
    <n v="4"/>
    <x v="233"/>
  </r>
  <r>
    <d v="2020-12-17T00:00:00"/>
    <x v="1"/>
    <x v="11"/>
    <x v="563"/>
    <x v="18"/>
    <x v="0"/>
    <x v="11"/>
    <x v="695"/>
    <x v="4941"/>
    <n v="5"/>
    <x v="4611"/>
  </r>
  <r>
    <d v="2020-12-17T00:00:00"/>
    <x v="1"/>
    <x v="11"/>
    <x v="104"/>
    <x v="18"/>
    <x v="2"/>
    <x v="2"/>
    <x v="164"/>
    <x v="4942"/>
    <n v="3"/>
    <x v="4186"/>
  </r>
  <r>
    <d v="2020-12-17T00:00:00"/>
    <x v="1"/>
    <x v="11"/>
    <x v="2"/>
    <x v="1"/>
    <x v="2"/>
    <x v="16"/>
    <x v="1358"/>
    <x v="4943"/>
    <n v="1"/>
    <x v="4612"/>
  </r>
  <r>
    <d v="2020-12-17T00:00:00"/>
    <x v="1"/>
    <x v="11"/>
    <x v="180"/>
    <x v="1"/>
    <x v="2"/>
    <x v="5"/>
    <x v="1246"/>
    <x v="4944"/>
    <n v="5"/>
    <x v="4613"/>
  </r>
  <r>
    <d v="2020-12-17T00:00:00"/>
    <x v="1"/>
    <x v="11"/>
    <x v="297"/>
    <x v="12"/>
    <x v="2"/>
    <x v="5"/>
    <x v="640"/>
    <x v="4945"/>
    <n v="3"/>
    <x v="4497"/>
  </r>
  <r>
    <d v="2020-12-17T00:00:00"/>
    <x v="1"/>
    <x v="11"/>
    <x v="696"/>
    <x v="24"/>
    <x v="2"/>
    <x v="9"/>
    <x v="692"/>
    <x v="4946"/>
    <n v="4"/>
    <x v="4614"/>
  </r>
  <r>
    <d v="2020-12-17T00:00:00"/>
    <x v="1"/>
    <x v="11"/>
    <x v="644"/>
    <x v="1"/>
    <x v="2"/>
    <x v="5"/>
    <x v="295"/>
    <x v="4947"/>
    <n v="2"/>
    <x v="1257"/>
  </r>
  <r>
    <d v="2020-12-18T00:00:00"/>
    <x v="1"/>
    <x v="11"/>
    <x v="191"/>
    <x v="8"/>
    <x v="2"/>
    <x v="9"/>
    <x v="968"/>
    <x v="4948"/>
    <n v="5"/>
    <x v="3123"/>
  </r>
  <r>
    <d v="2020-12-18T00:00:00"/>
    <x v="1"/>
    <x v="11"/>
    <x v="497"/>
    <x v="1"/>
    <x v="1"/>
    <x v="3"/>
    <x v="863"/>
    <x v="4949"/>
    <n v="2"/>
    <x v="4615"/>
  </r>
  <r>
    <d v="2020-12-18T00:00:00"/>
    <x v="1"/>
    <x v="11"/>
    <x v="40"/>
    <x v="7"/>
    <x v="0"/>
    <x v="8"/>
    <x v="1583"/>
    <x v="4950"/>
    <n v="5"/>
    <x v="4616"/>
  </r>
  <r>
    <d v="2020-12-18T00:00:00"/>
    <x v="1"/>
    <x v="11"/>
    <x v="497"/>
    <x v="1"/>
    <x v="0"/>
    <x v="0"/>
    <x v="1737"/>
    <x v="4951"/>
    <n v="1"/>
    <x v="4617"/>
  </r>
  <r>
    <d v="2020-12-18T00:00:00"/>
    <x v="1"/>
    <x v="11"/>
    <x v="191"/>
    <x v="8"/>
    <x v="2"/>
    <x v="13"/>
    <x v="409"/>
    <x v="4952"/>
    <n v="2"/>
    <x v="4618"/>
  </r>
  <r>
    <d v="2020-12-18T00:00:00"/>
    <x v="1"/>
    <x v="11"/>
    <x v="40"/>
    <x v="7"/>
    <x v="1"/>
    <x v="3"/>
    <x v="1371"/>
    <x v="4953"/>
    <n v="3"/>
    <x v="4619"/>
  </r>
  <r>
    <d v="2020-12-18T00:00:00"/>
    <x v="1"/>
    <x v="11"/>
    <x v="526"/>
    <x v="1"/>
    <x v="2"/>
    <x v="9"/>
    <x v="762"/>
    <x v="4954"/>
    <n v="5"/>
    <x v="734"/>
  </r>
  <r>
    <d v="2020-12-18T00:00:00"/>
    <x v="1"/>
    <x v="11"/>
    <x v="576"/>
    <x v="12"/>
    <x v="0"/>
    <x v="11"/>
    <x v="828"/>
    <x v="4955"/>
    <n v="9"/>
    <x v="4620"/>
  </r>
  <r>
    <d v="2020-12-18T00:00:00"/>
    <x v="1"/>
    <x v="11"/>
    <x v="576"/>
    <x v="12"/>
    <x v="2"/>
    <x v="13"/>
    <x v="581"/>
    <x v="4956"/>
    <n v="13"/>
    <x v="4621"/>
  </r>
  <r>
    <d v="2020-12-18T00:00:00"/>
    <x v="1"/>
    <x v="11"/>
    <x v="215"/>
    <x v="1"/>
    <x v="2"/>
    <x v="7"/>
    <x v="919"/>
    <x v="4957"/>
    <n v="2"/>
    <x v="1139"/>
  </r>
  <r>
    <d v="2020-12-18T00:00:00"/>
    <x v="1"/>
    <x v="11"/>
    <x v="191"/>
    <x v="8"/>
    <x v="2"/>
    <x v="5"/>
    <x v="759"/>
    <x v="4958"/>
    <n v="3"/>
    <x v="4622"/>
  </r>
  <r>
    <d v="2020-12-18T00:00:00"/>
    <x v="1"/>
    <x v="11"/>
    <x v="398"/>
    <x v="4"/>
    <x v="2"/>
    <x v="7"/>
    <x v="1106"/>
    <x v="4959"/>
    <n v="9"/>
    <x v="4623"/>
  </r>
  <r>
    <d v="2020-12-18T00:00:00"/>
    <x v="1"/>
    <x v="11"/>
    <x v="144"/>
    <x v="5"/>
    <x v="2"/>
    <x v="7"/>
    <x v="1108"/>
    <x v="4960"/>
    <n v="7"/>
    <x v="4624"/>
  </r>
  <r>
    <d v="2020-12-18T00:00:00"/>
    <x v="1"/>
    <x v="11"/>
    <x v="191"/>
    <x v="8"/>
    <x v="2"/>
    <x v="12"/>
    <x v="373"/>
    <x v="4961"/>
    <n v="3"/>
    <x v="4625"/>
  </r>
  <r>
    <d v="2020-12-18T00:00:00"/>
    <x v="1"/>
    <x v="11"/>
    <x v="526"/>
    <x v="1"/>
    <x v="2"/>
    <x v="7"/>
    <x v="1352"/>
    <x v="4962"/>
    <n v="3"/>
    <x v="2448"/>
  </r>
  <r>
    <d v="2020-12-18T00:00:00"/>
    <x v="1"/>
    <x v="11"/>
    <x v="526"/>
    <x v="1"/>
    <x v="2"/>
    <x v="9"/>
    <x v="1189"/>
    <x v="4963"/>
    <n v="2"/>
    <x v="56"/>
  </r>
  <r>
    <d v="2020-12-18T00:00:00"/>
    <x v="1"/>
    <x v="11"/>
    <x v="576"/>
    <x v="12"/>
    <x v="2"/>
    <x v="7"/>
    <x v="498"/>
    <x v="4964"/>
    <n v="2"/>
    <x v="4626"/>
  </r>
  <r>
    <d v="2020-12-18T00:00:00"/>
    <x v="1"/>
    <x v="11"/>
    <x v="637"/>
    <x v="12"/>
    <x v="0"/>
    <x v="8"/>
    <x v="218"/>
    <x v="4965"/>
    <n v="2"/>
    <x v="2325"/>
  </r>
  <r>
    <d v="2020-12-18T00:00:00"/>
    <x v="1"/>
    <x v="11"/>
    <x v="497"/>
    <x v="1"/>
    <x v="2"/>
    <x v="5"/>
    <x v="733"/>
    <x v="4966"/>
    <n v="2"/>
    <x v="3872"/>
  </r>
  <r>
    <d v="2020-12-18T00:00:00"/>
    <x v="1"/>
    <x v="11"/>
    <x v="576"/>
    <x v="12"/>
    <x v="2"/>
    <x v="7"/>
    <x v="1088"/>
    <x v="4967"/>
    <n v="6"/>
    <x v="4627"/>
  </r>
  <r>
    <d v="2020-12-19T00:00:00"/>
    <x v="1"/>
    <x v="11"/>
    <x v="502"/>
    <x v="22"/>
    <x v="0"/>
    <x v="0"/>
    <x v="78"/>
    <x v="4968"/>
    <n v="7"/>
    <x v="4628"/>
  </r>
  <r>
    <d v="2020-12-19T00:00:00"/>
    <x v="1"/>
    <x v="11"/>
    <x v="216"/>
    <x v="1"/>
    <x v="2"/>
    <x v="5"/>
    <x v="921"/>
    <x v="4969"/>
    <n v="2"/>
    <x v="4629"/>
  </r>
  <r>
    <d v="2020-12-19T00:00:00"/>
    <x v="1"/>
    <x v="11"/>
    <x v="502"/>
    <x v="22"/>
    <x v="2"/>
    <x v="2"/>
    <x v="462"/>
    <x v="4970"/>
    <n v="2"/>
    <x v="4630"/>
  </r>
  <r>
    <d v="2020-12-19T00:00:00"/>
    <x v="1"/>
    <x v="11"/>
    <x v="493"/>
    <x v="28"/>
    <x v="2"/>
    <x v="16"/>
    <x v="1369"/>
    <x v="4971"/>
    <n v="2"/>
    <x v="4631"/>
  </r>
  <r>
    <d v="2020-12-19T00:00:00"/>
    <x v="1"/>
    <x v="11"/>
    <x v="502"/>
    <x v="22"/>
    <x v="0"/>
    <x v="8"/>
    <x v="509"/>
    <x v="4972"/>
    <n v="5"/>
    <x v="4632"/>
  </r>
  <r>
    <d v="2020-12-20T00:00:00"/>
    <x v="1"/>
    <x v="11"/>
    <x v="767"/>
    <x v="12"/>
    <x v="2"/>
    <x v="9"/>
    <x v="653"/>
    <x v="4973"/>
    <n v="5"/>
    <x v="2389"/>
  </r>
  <r>
    <d v="2020-12-20T00:00:00"/>
    <x v="1"/>
    <x v="11"/>
    <x v="119"/>
    <x v="12"/>
    <x v="2"/>
    <x v="5"/>
    <x v="217"/>
    <x v="4974"/>
    <n v="1"/>
    <x v="4633"/>
  </r>
  <r>
    <d v="2020-12-20T00:00:00"/>
    <x v="1"/>
    <x v="11"/>
    <x v="119"/>
    <x v="12"/>
    <x v="2"/>
    <x v="9"/>
    <x v="349"/>
    <x v="4975"/>
    <n v="1"/>
    <x v="1084"/>
  </r>
  <r>
    <d v="2020-12-20T00:00:00"/>
    <x v="1"/>
    <x v="11"/>
    <x v="767"/>
    <x v="12"/>
    <x v="2"/>
    <x v="9"/>
    <x v="297"/>
    <x v="4976"/>
    <n v="3"/>
    <x v="4634"/>
  </r>
  <r>
    <d v="2020-12-20T00:00:00"/>
    <x v="1"/>
    <x v="11"/>
    <x v="767"/>
    <x v="12"/>
    <x v="2"/>
    <x v="5"/>
    <x v="725"/>
    <x v="4977"/>
    <n v="3"/>
    <x v="3351"/>
  </r>
  <r>
    <d v="2020-12-21T00:00:00"/>
    <x v="1"/>
    <x v="11"/>
    <x v="152"/>
    <x v="10"/>
    <x v="2"/>
    <x v="16"/>
    <x v="555"/>
    <x v="4978"/>
    <n v="5"/>
    <x v="627"/>
  </r>
  <r>
    <d v="2020-12-21T00:00:00"/>
    <x v="1"/>
    <x v="11"/>
    <x v="49"/>
    <x v="1"/>
    <x v="2"/>
    <x v="2"/>
    <x v="110"/>
    <x v="4979"/>
    <n v="2"/>
    <x v="811"/>
  </r>
  <r>
    <d v="2020-12-21T00:00:00"/>
    <x v="1"/>
    <x v="11"/>
    <x v="152"/>
    <x v="10"/>
    <x v="2"/>
    <x v="9"/>
    <x v="1452"/>
    <x v="4980"/>
    <n v="3"/>
    <x v="177"/>
  </r>
  <r>
    <d v="2020-12-21T00:00:00"/>
    <x v="1"/>
    <x v="11"/>
    <x v="152"/>
    <x v="10"/>
    <x v="1"/>
    <x v="1"/>
    <x v="1315"/>
    <x v="4981"/>
    <n v="3"/>
    <x v="4635"/>
  </r>
  <r>
    <d v="2020-12-21T00:00:00"/>
    <x v="1"/>
    <x v="11"/>
    <x v="305"/>
    <x v="24"/>
    <x v="2"/>
    <x v="2"/>
    <x v="1271"/>
    <x v="4982"/>
    <n v="1"/>
    <x v="4636"/>
  </r>
  <r>
    <d v="2020-12-21T00:00:00"/>
    <x v="1"/>
    <x v="11"/>
    <x v="682"/>
    <x v="1"/>
    <x v="2"/>
    <x v="2"/>
    <x v="625"/>
    <x v="4983"/>
    <n v="7"/>
    <x v="3482"/>
  </r>
  <r>
    <d v="2020-12-21T00:00:00"/>
    <x v="1"/>
    <x v="11"/>
    <x v="270"/>
    <x v="1"/>
    <x v="2"/>
    <x v="7"/>
    <x v="1352"/>
    <x v="4984"/>
    <n v="3"/>
    <x v="2448"/>
  </r>
  <r>
    <d v="2020-12-21T00:00:00"/>
    <x v="1"/>
    <x v="11"/>
    <x v="203"/>
    <x v="39"/>
    <x v="2"/>
    <x v="5"/>
    <x v="682"/>
    <x v="4985"/>
    <n v="6"/>
    <x v="4637"/>
  </r>
  <r>
    <d v="2020-12-21T00:00:00"/>
    <x v="1"/>
    <x v="11"/>
    <x v="270"/>
    <x v="1"/>
    <x v="2"/>
    <x v="7"/>
    <x v="1341"/>
    <x v="4986"/>
    <n v="2"/>
    <x v="4638"/>
  </r>
  <r>
    <d v="2020-12-21T00:00:00"/>
    <x v="1"/>
    <x v="11"/>
    <x v="107"/>
    <x v="34"/>
    <x v="0"/>
    <x v="8"/>
    <x v="490"/>
    <x v="4987"/>
    <n v="2"/>
    <x v="4639"/>
  </r>
  <r>
    <d v="2020-12-21T00:00:00"/>
    <x v="1"/>
    <x v="11"/>
    <x v="768"/>
    <x v="19"/>
    <x v="1"/>
    <x v="3"/>
    <x v="835"/>
    <x v="4988"/>
    <n v="4"/>
    <x v="4640"/>
  </r>
  <r>
    <d v="2020-12-22T00:00:00"/>
    <x v="1"/>
    <x v="11"/>
    <x v="364"/>
    <x v="25"/>
    <x v="1"/>
    <x v="3"/>
    <x v="36"/>
    <x v="4989"/>
    <n v="1"/>
    <x v="4641"/>
  </r>
  <r>
    <d v="2020-12-22T00:00:00"/>
    <x v="1"/>
    <x v="11"/>
    <x v="684"/>
    <x v="36"/>
    <x v="0"/>
    <x v="11"/>
    <x v="207"/>
    <x v="4990"/>
    <n v="2"/>
    <x v="4642"/>
  </r>
  <r>
    <d v="2020-12-22T00:00:00"/>
    <x v="1"/>
    <x v="11"/>
    <x v="398"/>
    <x v="20"/>
    <x v="0"/>
    <x v="4"/>
    <x v="995"/>
    <x v="4314"/>
    <n v="2"/>
    <x v="4643"/>
  </r>
  <r>
    <d v="2020-12-22T00:00:00"/>
    <x v="1"/>
    <x v="11"/>
    <x v="364"/>
    <x v="25"/>
    <x v="1"/>
    <x v="3"/>
    <x v="1407"/>
    <x v="4933"/>
    <n v="5"/>
    <x v="3812"/>
  </r>
  <r>
    <d v="2020-12-22T00:00:00"/>
    <x v="1"/>
    <x v="11"/>
    <x v="90"/>
    <x v="35"/>
    <x v="0"/>
    <x v="0"/>
    <x v="1413"/>
    <x v="4991"/>
    <n v="1"/>
    <x v="4644"/>
  </r>
  <r>
    <d v="2020-12-22T00:00:00"/>
    <x v="1"/>
    <x v="11"/>
    <x v="364"/>
    <x v="25"/>
    <x v="0"/>
    <x v="4"/>
    <x v="446"/>
    <x v="4992"/>
    <n v="2"/>
    <x v="2701"/>
  </r>
  <r>
    <d v="2020-12-22T00:00:00"/>
    <x v="1"/>
    <x v="11"/>
    <x v="677"/>
    <x v="1"/>
    <x v="1"/>
    <x v="3"/>
    <x v="234"/>
    <x v="4993"/>
    <n v="5"/>
    <x v="4645"/>
  </r>
  <r>
    <d v="2020-12-22T00:00:00"/>
    <x v="1"/>
    <x v="11"/>
    <x v="721"/>
    <x v="27"/>
    <x v="0"/>
    <x v="4"/>
    <x v="173"/>
    <x v="4994"/>
    <n v="2"/>
    <x v="4646"/>
  </r>
  <r>
    <d v="2020-12-22T00:00:00"/>
    <x v="1"/>
    <x v="11"/>
    <x v="596"/>
    <x v="8"/>
    <x v="1"/>
    <x v="1"/>
    <x v="1128"/>
    <x v="4995"/>
    <n v="7"/>
    <x v="4647"/>
  </r>
  <r>
    <d v="2020-12-22T00:00:00"/>
    <x v="1"/>
    <x v="11"/>
    <x v="90"/>
    <x v="35"/>
    <x v="2"/>
    <x v="16"/>
    <x v="417"/>
    <x v="4996"/>
    <n v="6"/>
    <x v="4648"/>
  </r>
  <r>
    <d v="2020-12-22T00:00:00"/>
    <x v="1"/>
    <x v="11"/>
    <x v="769"/>
    <x v="30"/>
    <x v="2"/>
    <x v="13"/>
    <x v="693"/>
    <x v="4997"/>
    <n v="3"/>
    <x v="4649"/>
  </r>
  <r>
    <d v="2020-12-22T00:00:00"/>
    <x v="1"/>
    <x v="11"/>
    <x v="222"/>
    <x v="21"/>
    <x v="0"/>
    <x v="4"/>
    <x v="37"/>
    <x v="4998"/>
    <n v="6"/>
    <x v="4650"/>
  </r>
  <r>
    <d v="2020-12-22T00:00:00"/>
    <x v="1"/>
    <x v="11"/>
    <x v="398"/>
    <x v="2"/>
    <x v="2"/>
    <x v="5"/>
    <x v="545"/>
    <x v="4999"/>
    <n v="5"/>
    <x v="4651"/>
  </r>
  <r>
    <d v="2020-12-22T00:00:00"/>
    <x v="1"/>
    <x v="11"/>
    <x v="364"/>
    <x v="25"/>
    <x v="0"/>
    <x v="11"/>
    <x v="763"/>
    <x v="5000"/>
    <n v="7"/>
    <x v="4652"/>
  </r>
  <r>
    <d v="2020-12-22T00:00:00"/>
    <x v="1"/>
    <x v="11"/>
    <x v="545"/>
    <x v="44"/>
    <x v="2"/>
    <x v="7"/>
    <x v="1673"/>
    <x v="5001"/>
    <n v="3"/>
    <x v="4653"/>
  </r>
  <r>
    <d v="2020-12-22T00:00:00"/>
    <x v="1"/>
    <x v="11"/>
    <x v="419"/>
    <x v="6"/>
    <x v="2"/>
    <x v="10"/>
    <x v="86"/>
    <x v="5002"/>
    <n v="1"/>
    <x v="4654"/>
  </r>
  <r>
    <d v="2020-12-22T00:00:00"/>
    <x v="1"/>
    <x v="11"/>
    <x v="222"/>
    <x v="21"/>
    <x v="2"/>
    <x v="7"/>
    <x v="834"/>
    <x v="5003"/>
    <n v="7"/>
    <x v="4655"/>
  </r>
  <r>
    <d v="2020-12-22T00:00:00"/>
    <x v="1"/>
    <x v="11"/>
    <x v="596"/>
    <x v="8"/>
    <x v="2"/>
    <x v="5"/>
    <x v="590"/>
    <x v="5004"/>
    <n v="1"/>
    <x v="4656"/>
  </r>
  <r>
    <d v="2020-12-22T00:00:00"/>
    <x v="1"/>
    <x v="11"/>
    <x v="398"/>
    <x v="2"/>
    <x v="2"/>
    <x v="9"/>
    <x v="334"/>
    <x v="1469"/>
    <n v="5"/>
    <x v="17"/>
  </r>
  <r>
    <d v="2020-12-22T00:00:00"/>
    <x v="1"/>
    <x v="11"/>
    <x v="545"/>
    <x v="44"/>
    <x v="2"/>
    <x v="14"/>
    <x v="1306"/>
    <x v="5005"/>
    <n v="5"/>
    <x v="824"/>
  </r>
  <r>
    <d v="2020-12-22T00:00:00"/>
    <x v="1"/>
    <x v="11"/>
    <x v="545"/>
    <x v="44"/>
    <x v="2"/>
    <x v="2"/>
    <x v="596"/>
    <x v="5006"/>
    <n v="3"/>
    <x v="4657"/>
  </r>
  <r>
    <d v="2020-12-22T00:00:00"/>
    <x v="1"/>
    <x v="11"/>
    <x v="222"/>
    <x v="21"/>
    <x v="2"/>
    <x v="2"/>
    <x v="957"/>
    <x v="5007"/>
    <n v="3"/>
    <x v="4658"/>
  </r>
  <r>
    <d v="2020-12-22T00:00:00"/>
    <x v="1"/>
    <x v="11"/>
    <x v="721"/>
    <x v="27"/>
    <x v="2"/>
    <x v="2"/>
    <x v="1550"/>
    <x v="5008"/>
    <n v="2"/>
    <x v="4659"/>
  </r>
  <r>
    <d v="2020-12-22T00:00:00"/>
    <x v="1"/>
    <x v="11"/>
    <x v="222"/>
    <x v="21"/>
    <x v="1"/>
    <x v="3"/>
    <x v="275"/>
    <x v="5009"/>
    <n v="2"/>
    <x v="4660"/>
  </r>
  <r>
    <d v="2020-12-22T00:00:00"/>
    <x v="1"/>
    <x v="11"/>
    <x v="222"/>
    <x v="21"/>
    <x v="2"/>
    <x v="13"/>
    <x v="821"/>
    <x v="5010"/>
    <n v="5"/>
    <x v="4661"/>
  </r>
  <r>
    <d v="2020-12-22T00:00:00"/>
    <x v="1"/>
    <x v="11"/>
    <x v="545"/>
    <x v="44"/>
    <x v="1"/>
    <x v="1"/>
    <x v="1132"/>
    <x v="5011"/>
    <n v="4"/>
    <x v="4662"/>
  </r>
  <r>
    <d v="2020-12-22T00:00:00"/>
    <x v="1"/>
    <x v="11"/>
    <x v="398"/>
    <x v="2"/>
    <x v="2"/>
    <x v="9"/>
    <x v="1084"/>
    <x v="5012"/>
    <n v="5"/>
    <x v="4663"/>
  </r>
  <r>
    <d v="2020-12-23T00:00:00"/>
    <x v="1"/>
    <x v="11"/>
    <x v="54"/>
    <x v="17"/>
    <x v="2"/>
    <x v="9"/>
    <x v="1662"/>
    <x v="5013"/>
    <n v="4"/>
    <x v="4664"/>
  </r>
  <r>
    <d v="2020-12-23T00:00:00"/>
    <x v="1"/>
    <x v="11"/>
    <x v="187"/>
    <x v="11"/>
    <x v="0"/>
    <x v="8"/>
    <x v="1573"/>
    <x v="5014"/>
    <n v="3"/>
    <x v="4665"/>
  </r>
  <r>
    <d v="2020-12-23T00:00:00"/>
    <x v="1"/>
    <x v="11"/>
    <x v="770"/>
    <x v="33"/>
    <x v="2"/>
    <x v="10"/>
    <x v="203"/>
    <x v="5015"/>
    <n v="3"/>
    <x v="4666"/>
  </r>
  <r>
    <d v="2020-12-23T00:00:00"/>
    <x v="1"/>
    <x v="11"/>
    <x v="688"/>
    <x v="21"/>
    <x v="2"/>
    <x v="2"/>
    <x v="535"/>
    <x v="5016"/>
    <n v="3"/>
    <x v="4667"/>
  </r>
  <r>
    <d v="2020-12-23T00:00:00"/>
    <x v="1"/>
    <x v="11"/>
    <x v="770"/>
    <x v="33"/>
    <x v="2"/>
    <x v="2"/>
    <x v="281"/>
    <x v="5017"/>
    <n v="4"/>
    <x v="4668"/>
  </r>
  <r>
    <d v="2020-12-23T00:00:00"/>
    <x v="1"/>
    <x v="11"/>
    <x v="770"/>
    <x v="33"/>
    <x v="1"/>
    <x v="1"/>
    <x v="1380"/>
    <x v="5018"/>
    <n v="3"/>
    <x v="4669"/>
  </r>
  <r>
    <d v="2020-12-23T00:00:00"/>
    <x v="1"/>
    <x v="11"/>
    <x v="770"/>
    <x v="33"/>
    <x v="2"/>
    <x v="9"/>
    <x v="277"/>
    <x v="5019"/>
    <n v="2"/>
    <x v="4670"/>
  </r>
  <r>
    <d v="2020-12-23T00:00:00"/>
    <x v="1"/>
    <x v="11"/>
    <x v="688"/>
    <x v="21"/>
    <x v="2"/>
    <x v="7"/>
    <x v="1478"/>
    <x v="5020"/>
    <n v="7"/>
    <x v="4671"/>
  </r>
  <r>
    <d v="2020-12-23T00:00:00"/>
    <x v="1"/>
    <x v="11"/>
    <x v="216"/>
    <x v="2"/>
    <x v="2"/>
    <x v="9"/>
    <x v="1590"/>
    <x v="5021"/>
    <n v="8"/>
    <x v="512"/>
  </r>
  <r>
    <d v="2020-12-23T00:00:00"/>
    <x v="1"/>
    <x v="11"/>
    <x v="54"/>
    <x v="17"/>
    <x v="2"/>
    <x v="5"/>
    <x v="519"/>
    <x v="5022"/>
    <n v="4"/>
    <x v="4672"/>
  </r>
  <r>
    <d v="2020-12-23T00:00:00"/>
    <x v="1"/>
    <x v="11"/>
    <x v="135"/>
    <x v="1"/>
    <x v="2"/>
    <x v="7"/>
    <x v="1738"/>
    <x v="5023"/>
    <n v="4"/>
    <x v="4673"/>
  </r>
  <r>
    <d v="2020-12-23T00:00:00"/>
    <x v="1"/>
    <x v="11"/>
    <x v="100"/>
    <x v="11"/>
    <x v="0"/>
    <x v="8"/>
    <x v="1537"/>
    <x v="5024"/>
    <n v="2"/>
    <x v="3022"/>
  </r>
  <r>
    <d v="2020-12-23T00:00:00"/>
    <x v="1"/>
    <x v="11"/>
    <x v="216"/>
    <x v="2"/>
    <x v="2"/>
    <x v="13"/>
    <x v="1230"/>
    <x v="5025"/>
    <n v="8"/>
    <x v="4674"/>
  </r>
  <r>
    <d v="2020-12-23T00:00:00"/>
    <x v="1"/>
    <x v="11"/>
    <x v="770"/>
    <x v="33"/>
    <x v="2"/>
    <x v="2"/>
    <x v="780"/>
    <x v="5026"/>
    <n v="4"/>
    <x v="4675"/>
  </r>
  <r>
    <d v="2020-12-23T00:00:00"/>
    <x v="1"/>
    <x v="11"/>
    <x v="688"/>
    <x v="21"/>
    <x v="0"/>
    <x v="8"/>
    <x v="1685"/>
    <x v="5027"/>
    <n v="4"/>
    <x v="4676"/>
  </r>
  <r>
    <d v="2020-12-24T00:00:00"/>
    <x v="1"/>
    <x v="11"/>
    <x v="771"/>
    <x v="1"/>
    <x v="2"/>
    <x v="5"/>
    <x v="456"/>
    <x v="5028"/>
    <n v="3"/>
    <x v="504"/>
  </r>
  <r>
    <d v="2020-12-24T00:00:00"/>
    <x v="1"/>
    <x v="11"/>
    <x v="133"/>
    <x v="28"/>
    <x v="0"/>
    <x v="11"/>
    <x v="1739"/>
    <x v="5029"/>
    <n v="4"/>
    <x v="4677"/>
  </r>
  <r>
    <d v="2020-12-24T00:00:00"/>
    <x v="1"/>
    <x v="11"/>
    <x v="589"/>
    <x v="2"/>
    <x v="2"/>
    <x v="2"/>
    <x v="1598"/>
    <x v="5030"/>
    <n v="2"/>
    <x v="4678"/>
  </r>
  <r>
    <d v="2020-12-24T00:00:00"/>
    <x v="1"/>
    <x v="11"/>
    <x v="412"/>
    <x v="12"/>
    <x v="0"/>
    <x v="11"/>
    <x v="829"/>
    <x v="5031"/>
    <n v="2"/>
    <x v="4679"/>
  </r>
  <r>
    <d v="2020-12-24T00:00:00"/>
    <x v="1"/>
    <x v="11"/>
    <x v="133"/>
    <x v="28"/>
    <x v="1"/>
    <x v="15"/>
    <x v="1708"/>
    <x v="5032"/>
    <n v="3"/>
    <x v="4680"/>
  </r>
  <r>
    <d v="2020-12-24T00:00:00"/>
    <x v="1"/>
    <x v="11"/>
    <x v="508"/>
    <x v="12"/>
    <x v="2"/>
    <x v="5"/>
    <x v="293"/>
    <x v="5033"/>
    <n v="3"/>
    <x v="4681"/>
  </r>
  <r>
    <d v="2020-12-24T00:00:00"/>
    <x v="1"/>
    <x v="11"/>
    <x v="322"/>
    <x v="20"/>
    <x v="0"/>
    <x v="11"/>
    <x v="1036"/>
    <x v="5034"/>
    <n v="3"/>
    <x v="4682"/>
  </r>
  <r>
    <d v="2020-12-24T00:00:00"/>
    <x v="1"/>
    <x v="11"/>
    <x v="412"/>
    <x v="12"/>
    <x v="2"/>
    <x v="5"/>
    <x v="1515"/>
    <x v="5035"/>
    <n v="3"/>
    <x v="4683"/>
  </r>
  <r>
    <d v="2020-12-24T00:00:00"/>
    <x v="1"/>
    <x v="11"/>
    <x v="74"/>
    <x v="9"/>
    <x v="2"/>
    <x v="2"/>
    <x v="1473"/>
    <x v="5036"/>
    <n v="6"/>
    <x v="72"/>
  </r>
  <r>
    <d v="2020-12-24T00:00:00"/>
    <x v="1"/>
    <x v="11"/>
    <x v="771"/>
    <x v="1"/>
    <x v="1"/>
    <x v="6"/>
    <x v="830"/>
    <x v="5037"/>
    <n v="6"/>
    <x v="4684"/>
  </r>
  <r>
    <d v="2020-12-24T00:00:00"/>
    <x v="1"/>
    <x v="11"/>
    <x v="598"/>
    <x v="26"/>
    <x v="2"/>
    <x v="5"/>
    <x v="843"/>
    <x v="5038"/>
    <n v="5"/>
    <x v="4685"/>
  </r>
  <r>
    <d v="2020-12-24T00:00:00"/>
    <x v="1"/>
    <x v="11"/>
    <x v="322"/>
    <x v="20"/>
    <x v="0"/>
    <x v="8"/>
    <x v="94"/>
    <x v="5039"/>
    <n v="4"/>
    <x v="4686"/>
  </r>
  <r>
    <d v="2020-12-24T00:00:00"/>
    <x v="1"/>
    <x v="11"/>
    <x v="658"/>
    <x v="12"/>
    <x v="0"/>
    <x v="8"/>
    <x v="441"/>
    <x v="5040"/>
    <n v="1"/>
    <x v="4687"/>
  </r>
  <r>
    <d v="2020-12-24T00:00:00"/>
    <x v="1"/>
    <x v="11"/>
    <x v="330"/>
    <x v="32"/>
    <x v="2"/>
    <x v="5"/>
    <x v="1456"/>
    <x v="5041"/>
    <n v="3"/>
    <x v="4688"/>
  </r>
  <r>
    <d v="2020-12-24T00:00:00"/>
    <x v="1"/>
    <x v="11"/>
    <x v="598"/>
    <x v="26"/>
    <x v="2"/>
    <x v="9"/>
    <x v="1331"/>
    <x v="5042"/>
    <n v="3"/>
    <x v="397"/>
  </r>
  <r>
    <d v="2020-12-24T00:00:00"/>
    <x v="1"/>
    <x v="11"/>
    <x v="207"/>
    <x v="12"/>
    <x v="2"/>
    <x v="13"/>
    <x v="512"/>
    <x v="5043"/>
    <n v="3"/>
    <x v="4689"/>
  </r>
  <r>
    <d v="2020-12-25T00:00:00"/>
    <x v="1"/>
    <x v="11"/>
    <x v="432"/>
    <x v="36"/>
    <x v="2"/>
    <x v="9"/>
    <x v="977"/>
    <x v="5044"/>
    <n v="2"/>
    <x v="1292"/>
  </r>
  <r>
    <d v="2020-12-25T00:00:00"/>
    <x v="1"/>
    <x v="11"/>
    <x v="432"/>
    <x v="36"/>
    <x v="1"/>
    <x v="1"/>
    <x v="5"/>
    <x v="5045"/>
    <n v="2"/>
    <x v="98"/>
  </r>
  <r>
    <d v="2020-12-25T00:00:00"/>
    <x v="1"/>
    <x v="11"/>
    <x v="633"/>
    <x v="19"/>
    <x v="2"/>
    <x v="2"/>
    <x v="408"/>
    <x v="5046"/>
    <n v="3"/>
    <x v="4278"/>
  </r>
  <r>
    <d v="2020-12-25T00:00:00"/>
    <x v="1"/>
    <x v="11"/>
    <x v="763"/>
    <x v="6"/>
    <x v="1"/>
    <x v="15"/>
    <x v="1653"/>
    <x v="5047"/>
    <n v="2"/>
    <x v="4690"/>
  </r>
  <r>
    <d v="2020-12-25T00:00:00"/>
    <x v="1"/>
    <x v="11"/>
    <x v="140"/>
    <x v="8"/>
    <x v="1"/>
    <x v="3"/>
    <x v="1118"/>
    <x v="5048"/>
    <n v="7"/>
    <x v="4691"/>
  </r>
  <r>
    <d v="2020-12-25T00:00:00"/>
    <x v="1"/>
    <x v="11"/>
    <x v="602"/>
    <x v="1"/>
    <x v="2"/>
    <x v="5"/>
    <x v="514"/>
    <x v="5049"/>
    <n v="3"/>
    <x v="2110"/>
  </r>
  <r>
    <d v="2020-12-25T00:00:00"/>
    <x v="1"/>
    <x v="11"/>
    <x v="400"/>
    <x v="12"/>
    <x v="0"/>
    <x v="0"/>
    <x v="103"/>
    <x v="5050"/>
    <n v="2"/>
    <x v="4692"/>
  </r>
  <r>
    <d v="2020-12-25T00:00:00"/>
    <x v="1"/>
    <x v="11"/>
    <x v="602"/>
    <x v="1"/>
    <x v="2"/>
    <x v="2"/>
    <x v="219"/>
    <x v="5051"/>
    <n v="2"/>
    <x v="4693"/>
  </r>
  <r>
    <d v="2020-12-25T00:00:00"/>
    <x v="1"/>
    <x v="11"/>
    <x v="140"/>
    <x v="8"/>
    <x v="0"/>
    <x v="4"/>
    <x v="592"/>
    <x v="5052"/>
    <n v="2"/>
    <x v="4694"/>
  </r>
  <r>
    <d v="2020-12-25T00:00:00"/>
    <x v="1"/>
    <x v="11"/>
    <x v="633"/>
    <x v="19"/>
    <x v="0"/>
    <x v="11"/>
    <x v="710"/>
    <x v="5053"/>
    <n v="5"/>
    <x v="4695"/>
  </r>
  <r>
    <d v="2020-12-25T00:00:00"/>
    <x v="1"/>
    <x v="11"/>
    <x v="432"/>
    <x v="36"/>
    <x v="2"/>
    <x v="9"/>
    <x v="574"/>
    <x v="5054"/>
    <n v="6"/>
    <x v="684"/>
  </r>
  <r>
    <d v="2020-12-25T00:00:00"/>
    <x v="1"/>
    <x v="11"/>
    <x v="432"/>
    <x v="36"/>
    <x v="2"/>
    <x v="12"/>
    <x v="1154"/>
    <x v="5055"/>
    <n v="2"/>
    <x v="1692"/>
  </r>
  <r>
    <d v="2020-12-25T00:00:00"/>
    <x v="1"/>
    <x v="11"/>
    <x v="140"/>
    <x v="8"/>
    <x v="2"/>
    <x v="5"/>
    <x v="200"/>
    <x v="1823"/>
    <n v="1"/>
    <x v="4696"/>
  </r>
  <r>
    <d v="2020-12-25T00:00:00"/>
    <x v="1"/>
    <x v="11"/>
    <x v="638"/>
    <x v="2"/>
    <x v="2"/>
    <x v="5"/>
    <x v="807"/>
    <x v="5056"/>
    <n v="3"/>
    <x v="4697"/>
  </r>
  <r>
    <d v="2020-12-25T00:00:00"/>
    <x v="1"/>
    <x v="11"/>
    <x v="483"/>
    <x v="10"/>
    <x v="1"/>
    <x v="3"/>
    <x v="1740"/>
    <x v="5057"/>
    <n v="3"/>
    <x v="4698"/>
  </r>
  <r>
    <d v="2020-12-25T00:00:00"/>
    <x v="1"/>
    <x v="11"/>
    <x v="473"/>
    <x v="9"/>
    <x v="2"/>
    <x v="5"/>
    <x v="442"/>
    <x v="5058"/>
    <n v="1"/>
    <x v="4699"/>
  </r>
  <r>
    <d v="2020-12-25T00:00:00"/>
    <x v="1"/>
    <x v="11"/>
    <x v="638"/>
    <x v="2"/>
    <x v="2"/>
    <x v="5"/>
    <x v="973"/>
    <x v="2048"/>
    <n v="5"/>
    <x v="4700"/>
  </r>
  <r>
    <d v="2020-12-25T00:00:00"/>
    <x v="1"/>
    <x v="11"/>
    <x v="638"/>
    <x v="2"/>
    <x v="2"/>
    <x v="7"/>
    <x v="162"/>
    <x v="5059"/>
    <n v="2"/>
    <x v="4701"/>
  </r>
  <r>
    <d v="2020-12-25T00:00:00"/>
    <x v="1"/>
    <x v="11"/>
    <x v="763"/>
    <x v="6"/>
    <x v="0"/>
    <x v="8"/>
    <x v="1057"/>
    <x v="5060"/>
    <n v="3"/>
    <x v="2939"/>
  </r>
  <r>
    <d v="2020-12-25T00:00:00"/>
    <x v="1"/>
    <x v="11"/>
    <x v="638"/>
    <x v="2"/>
    <x v="2"/>
    <x v="16"/>
    <x v="311"/>
    <x v="5061"/>
    <n v="7"/>
    <x v="4702"/>
  </r>
  <r>
    <d v="2020-12-25T00:00:00"/>
    <x v="1"/>
    <x v="11"/>
    <x v="140"/>
    <x v="8"/>
    <x v="2"/>
    <x v="12"/>
    <x v="163"/>
    <x v="5062"/>
    <n v="13"/>
    <x v="1914"/>
  </r>
  <r>
    <d v="2020-12-25T00:00:00"/>
    <x v="1"/>
    <x v="11"/>
    <x v="638"/>
    <x v="2"/>
    <x v="2"/>
    <x v="5"/>
    <x v="1501"/>
    <x v="5063"/>
    <n v="9"/>
    <x v="4703"/>
  </r>
  <r>
    <d v="2020-12-25T00:00:00"/>
    <x v="1"/>
    <x v="11"/>
    <x v="251"/>
    <x v="12"/>
    <x v="0"/>
    <x v="8"/>
    <x v="1207"/>
    <x v="5064"/>
    <n v="2"/>
    <x v="1814"/>
  </r>
  <r>
    <d v="2020-12-26T00:00:00"/>
    <x v="1"/>
    <x v="11"/>
    <x v="174"/>
    <x v="34"/>
    <x v="2"/>
    <x v="2"/>
    <x v="1271"/>
    <x v="5065"/>
    <n v="2"/>
    <x v="4704"/>
  </r>
  <r>
    <d v="2020-12-26T00:00:00"/>
    <x v="1"/>
    <x v="11"/>
    <x v="380"/>
    <x v="8"/>
    <x v="2"/>
    <x v="5"/>
    <x v="1170"/>
    <x v="5066"/>
    <n v="2"/>
    <x v="4705"/>
  </r>
  <r>
    <d v="2020-12-26T00:00:00"/>
    <x v="1"/>
    <x v="11"/>
    <x v="57"/>
    <x v="2"/>
    <x v="2"/>
    <x v="9"/>
    <x v="39"/>
    <x v="5067"/>
    <n v="3"/>
    <x v="4706"/>
  </r>
  <r>
    <d v="2020-12-26T00:00:00"/>
    <x v="1"/>
    <x v="11"/>
    <x v="444"/>
    <x v="41"/>
    <x v="2"/>
    <x v="9"/>
    <x v="1123"/>
    <x v="5068"/>
    <n v="5"/>
    <x v="1883"/>
  </r>
  <r>
    <d v="2020-12-27T00:00:00"/>
    <x v="1"/>
    <x v="11"/>
    <x v="148"/>
    <x v="8"/>
    <x v="1"/>
    <x v="1"/>
    <x v="1467"/>
    <x v="5069"/>
    <n v="2"/>
    <x v="4707"/>
  </r>
  <r>
    <d v="2020-12-27T00:00:00"/>
    <x v="1"/>
    <x v="11"/>
    <x v="148"/>
    <x v="8"/>
    <x v="2"/>
    <x v="7"/>
    <x v="1065"/>
    <x v="5070"/>
    <n v="4"/>
    <x v="4523"/>
  </r>
  <r>
    <d v="2020-12-28T00:00:00"/>
    <x v="1"/>
    <x v="11"/>
    <x v="733"/>
    <x v="12"/>
    <x v="2"/>
    <x v="14"/>
    <x v="307"/>
    <x v="5071"/>
    <n v="7"/>
    <x v="4708"/>
  </r>
  <r>
    <d v="2020-12-28T00:00:00"/>
    <x v="1"/>
    <x v="11"/>
    <x v="226"/>
    <x v="21"/>
    <x v="2"/>
    <x v="2"/>
    <x v="139"/>
    <x v="5072"/>
    <n v="1"/>
    <x v="697"/>
  </r>
  <r>
    <d v="2020-12-28T00:00:00"/>
    <x v="1"/>
    <x v="11"/>
    <x v="140"/>
    <x v="44"/>
    <x v="2"/>
    <x v="2"/>
    <x v="967"/>
    <x v="5073"/>
    <n v="5"/>
    <x v="1460"/>
  </r>
  <r>
    <d v="2020-12-28T00:00:00"/>
    <x v="1"/>
    <x v="11"/>
    <x v="698"/>
    <x v="17"/>
    <x v="0"/>
    <x v="11"/>
    <x v="1260"/>
    <x v="5074"/>
    <n v="2"/>
    <x v="4709"/>
  </r>
  <r>
    <d v="2020-12-28T00:00:00"/>
    <x v="1"/>
    <x v="11"/>
    <x v="90"/>
    <x v="1"/>
    <x v="0"/>
    <x v="11"/>
    <x v="675"/>
    <x v="5075"/>
    <n v="6"/>
    <x v="4710"/>
  </r>
  <r>
    <d v="2020-12-28T00:00:00"/>
    <x v="1"/>
    <x v="11"/>
    <x v="363"/>
    <x v="1"/>
    <x v="2"/>
    <x v="2"/>
    <x v="164"/>
    <x v="5076"/>
    <n v="4"/>
    <x v="2620"/>
  </r>
  <r>
    <d v="2020-12-28T00:00:00"/>
    <x v="1"/>
    <x v="11"/>
    <x v="698"/>
    <x v="17"/>
    <x v="0"/>
    <x v="8"/>
    <x v="1318"/>
    <x v="5077"/>
    <n v="2"/>
    <x v="4711"/>
  </r>
  <r>
    <d v="2020-12-28T00:00:00"/>
    <x v="1"/>
    <x v="11"/>
    <x v="559"/>
    <x v="22"/>
    <x v="2"/>
    <x v="5"/>
    <x v="1133"/>
    <x v="5078"/>
    <n v="2"/>
    <x v="2814"/>
  </r>
  <r>
    <d v="2020-12-28T00:00:00"/>
    <x v="1"/>
    <x v="11"/>
    <x v="253"/>
    <x v="46"/>
    <x v="2"/>
    <x v="7"/>
    <x v="1088"/>
    <x v="5079"/>
    <n v="1"/>
    <x v="4712"/>
  </r>
  <r>
    <d v="2020-12-28T00:00:00"/>
    <x v="1"/>
    <x v="11"/>
    <x v="255"/>
    <x v="9"/>
    <x v="0"/>
    <x v="8"/>
    <x v="1318"/>
    <x v="5080"/>
    <n v="2"/>
    <x v="4713"/>
  </r>
  <r>
    <d v="2020-12-28T00:00:00"/>
    <x v="1"/>
    <x v="11"/>
    <x v="698"/>
    <x v="17"/>
    <x v="2"/>
    <x v="5"/>
    <x v="471"/>
    <x v="5081"/>
    <n v="5"/>
    <x v="4714"/>
  </r>
  <r>
    <d v="2020-12-28T00:00:00"/>
    <x v="1"/>
    <x v="11"/>
    <x v="253"/>
    <x v="46"/>
    <x v="2"/>
    <x v="5"/>
    <x v="434"/>
    <x v="5082"/>
    <n v="5"/>
    <x v="4715"/>
  </r>
  <r>
    <d v="2020-12-28T00:00:00"/>
    <x v="1"/>
    <x v="11"/>
    <x v="140"/>
    <x v="44"/>
    <x v="2"/>
    <x v="9"/>
    <x v="1448"/>
    <x v="5083"/>
    <n v="1"/>
    <x v="4716"/>
  </r>
  <r>
    <d v="2020-12-28T00:00:00"/>
    <x v="1"/>
    <x v="11"/>
    <x v="698"/>
    <x v="17"/>
    <x v="0"/>
    <x v="8"/>
    <x v="1051"/>
    <x v="5084"/>
    <n v="3"/>
    <x v="4717"/>
  </r>
  <r>
    <d v="2020-12-28T00:00:00"/>
    <x v="1"/>
    <x v="11"/>
    <x v="772"/>
    <x v="2"/>
    <x v="2"/>
    <x v="7"/>
    <x v="1090"/>
    <x v="5085"/>
    <n v="2"/>
    <x v="4718"/>
  </r>
  <r>
    <d v="2020-12-28T00:00:00"/>
    <x v="1"/>
    <x v="11"/>
    <x v="733"/>
    <x v="12"/>
    <x v="2"/>
    <x v="12"/>
    <x v="864"/>
    <x v="3256"/>
    <n v="4"/>
    <x v="4719"/>
  </r>
  <r>
    <d v="2020-12-28T00:00:00"/>
    <x v="1"/>
    <x v="11"/>
    <x v="733"/>
    <x v="12"/>
    <x v="1"/>
    <x v="1"/>
    <x v="1543"/>
    <x v="5086"/>
    <n v="3"/>
    <x v="4720"/>
  </r>
  <r>
    <d v="2020-12-28T00:00:00"/>
    <x v="1"/>
    <x v="11"/>
    <x v="733"/>
    <x v="12"/>
    <x v="2"/>
    <x v="5"/>
    <x v="7"/>
    <x v="5087"/>
    <n v="7"/>
    <x v="4721"/>
  </r>
  <r>
    <d v="2020-12-28T00:00:00"/>
    <x v="1"/>
    <x v="11"/>
    <x v="772"/>
    <x v="2"/>
    <x v="0"/>
    <x v="0"/>
    <x v="0"/>
    <x v="5088"/>
    <n v="2"/>
    <x v="4722"/>
  </r>
  <r>
    <d v="2020-12-29T00:00:00"/>
    <x v="1"/>
    <x v="11"/>
    <x v="5"/>
    <x v="1"/>
    <x v="0"/>
    <x v="8"/>
    <x v="1062"/>
    <x v="5089"/>
    <n v="8"/>
    <x v="4723"/>
  </r>
  <r>
    <d v="2020-12-29T00:00:00"/>
    <x v="1"/>
    <x v="11"/>
    <x v="303"/>
    <x v="25"/>
    <x v="2"/>
    <x v="9"/>
    <x v="574"/>
    <x v="5090"/>
    <n v="2"/>
    <x v="4724"/>
  </r>
  <r>
    <d v="2020-12-29T00:00:00"/>
    <x v="1"/>
    <x v="11"/>
    <x v="355"/>
    <x v="19"/>
    <x v="0"/>
    <x v="11"/>
    <x v="118"/>
    <x v="5091"/>
    <n v="3"/>
    <x v="4725"/>
  </r>
  <r>
    <d v="2020-12-29T00:00:00"/>
    <x v="1"/>
    <x v="11"/>
    <x v="355"/>
    <x v="19"/>
    <x v="0"/>
    <x v="11"/>
    <x v="1213"/>
    <x v="5092"/>
    <n v="1"/>
    <x v="4726"/>
  </r>
  <r>
    <d v="2020-12-29T00:00:00"/>
    <x v="1"/>
    <x v="11"/>
    <x v="386"/>
    <x v="1"/>
    <x v="1"/>
    <x v="1"/>
    <x v="1147"/>
    <x v="5093"/>
    <n v="3"/>
    <x v="1675"/>
  </r>
  <r>
    <d v="2020-12-29T00:00:00"/>
    <x v="1"/>
    <x v="11"/>
    <x v="386"/>
    <x v="1"/>
    <x v="0"/>
    <x v="11"/>
    <x v="245"/>
    <x v="5094"/>
    <n v="4"/>
    <x v="4727"/>
  </r>
  <r>
    <d v="2020-12-29T00:00:00"/>
    <x v="1"/>
    <x v="11"/>
    <x v="557"/>
    <x v="12"/>
    <x v="2"/>
    <x v="12"/>
    <x v="373"/>
    <x v="5095"/>
    <n v="3"/>
    <x v="4728"/>
  </r>
  <r>
    <d v="2020-12-29T00:00:00"/>
    <x v="1"/>
    <x v="11"/>
    <x v="355"/>
    <x v="19"/>
    <x v="0"/>
    <x v="11"/>
    <x v="829"/>
    <x v="5096"/>
    <n v="8"/>
    <x v="4729"/>
  </r>
  <r>
    <d v="2020-12-29T00:00:00"/>
    <x v="1"/>
    <x v="11"/>
    <x v="355"/>
    <x v="19"/>
    <x v="2"/>
    <x v="5"/>
    <x v="367"/>
    <x v="5097"/>
    <n v="1"/>
    <x v="4730"/>
  </r>
  <r>
    <d v="2020-12-29T00:00:00"/>
    <x v="1"/>
    <x v="11"/>
    <x v="599"/>
    <x v="9"/>
    <x v="2"/>
    <x v="12"/>
    <x v="1741"/>
    <x v="5098"/>
    <n v="5"/>
    <x v="4731"/>
  </r>
  <r>
    <d v="2020-12-29T00:00:00"/>
    <x v="1"/>
    <x v="11"/>
    <x v="355"/>
    <x v="19"/>
    <x v="2"/>
    <x v="7"/>
    <x v="14"/>
    <x v="5099"/>
    <n v="1"/>
    <x v="15"/>
  </r>
  <r>
    <d v="2020-12-29T00:00:00"/>
    <x v="1"/>
    <x v="11"/>
    <x v="599"/>
    <x v="9"/>
    <x v="0"/>
    <x v="8"/>
    <x v="1733"/>
    <x v="5100"/>
    <n v="2"/>
    <x v="4732"/>
  </r>
  <r>
    <d v="2020-12-30T00:00:00"/>
    <x v="1"/>
    <x v="11"/>
    <x v="483"/>
    <x v="12"/>
    <x v="1"/>
    <x v="1"/>
    <x v="402"/>
    <x v="5101"/>
    <n v="7"/>
    <x v="4733"/>
  </r>
  <r>
    <d v="2020-12-30T00:00:00"/>
    <x v="1"/>
    <x v="11"/>
    <x v="23"/>
    <x v="24"/>
    <x v="2"/>
    <x v="13"/>
    <x v="941"/>
    <x v="5102"/>
    <n v="2"/>
    <x v="4734"/>
  </r>
  <r>
    <d v="2020-12-30T00:00:00"/>
    <x v="1"/>
    <x v="11"/>
    <x v="4"/>
    <x v="1"/>
    <x v="2"/>
    <x v="5"/>
    <x v="209"/>
    <x v="5103"/>
    <n v="2"/>
    <x v="4735"/>
  </r>
  <r>
    <d v="2020-12-30T00:00:00"/>
    <x v="1"/>
    <x v="11"/>
    <x v="483"/>
    <x v="12"/>
    <x v="0"/>
    <x v="0"/>
    <x v="385"/>
    <x v="5104"/>
    <n v="4"/>
    <x v="4736"/>
  </r>
  <r>
    <d v="2020-12-30T00:00:00"/>
    <x v="1"/>
    <x v="11"/>
    <x v="4"/>
    <x v="1"/>
    <x v="2"/>
    <x v="5"/>
    <x v="1019"/>
    <x v="5105"/>
    <n v="2"/>
    <x v="2820"/>
  </r>
  <r>
    <d v="2020-12-30T00:00:00"/>
    <x v="1"/>
    <x v="11"/>
    <x v="196"/>
    <x v="22"/>
    <x v="2"/>
    <x v="12"/>
    <x v="50"/>
    <x v="5106"/>
    <n v="3"/>
    <x v="4737"/>
  </r>
  <r>
    <d v="2020-12-30T00:00:00"/>
    <x v="1"/>
    <x v="11"/>
    <x v="483"/>
    <x v="12"/>
    <x v="2"/>
    <x v="5"/>
    <x v="1501"/>
    <x v="5107"/>
    <n v="3"/>
    <x v="4738"/>
  </r>
  <r>
    <d v="2020-12-31T00:00:00"/>
    <x v="1"/>
    <x v="11"/>
    <x v="196"/>
    <x v="22"/>
    <x v="2"/>
    <x v="12"/>
    <x v="50"/>
    <x v="5108"/>
    <n v="3"/>
    <x v="4737"/>
  </r>
  <r>
    <m/>
    <x v="2"/>
    <x v="12"/>
    <x v="773"/>
    <x v="49"/>
    <x v="3"/>
    <x v="17"/>
    <x v="1742"/>
    <x v="5109"/>
    <m/>
    <x v="47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1">
  <r>
    <x v="0"/>
    <s v="Brendan Murry"/>
  </r>
  <r>
    <x v="0"/>
    <s v="Lena Radford"/>
  </r>
  <r>
    <x v="0"/>
    <s v="Christine Abelman"/>
  </r>
  <r>
    <x v="0"/>
    <s v="Bill Overfelt"/>
  </r>
  <r>
    <x v="0"/>
    <s v="Erica Bern"/>
  </r>
  <r>
    <x v="0"/>
    <s v="Ben Peterman"/>
  </r>
  <r>
    <x v="0"/>
    <s v="Anthony Johnson"/>
  </r>
  <r>
    <x v="0"/>
    <s v="Dianna Wilson"/>
  </r>
  <r>
    <x v="0"/>
    <s v="Neoma Murray"/>
  </r>
  <r>
    <x v="0"/>
    <s v="Jack O'Briant"/>
  </r>
  <r>
    <x v="0"/>
    <s v="Vivek Sundaresam"/>
  </r>
  <r>
    <x v="0"/>
    <s v="Laura Armstrong"/>
  </r>
  <r>
    <x v="0"/>
    <s v="Maureen Fritzler"/>
  </r>
  <r>
    <x v="0"/>
    <s v="Ken Black"/>
  </r>
  <r>
    <x v="0"/>
    <s v="Joy Bell-"/>
  </r>
  <r>
    <x v="0"/>
    <s v="Deanra Eno"/>
  </r>
  <r>
    <x v="0"/>
    <s v="Mark Packer"/>
  </r>
  <r>
    <x v="0"/>
    <s v="Anna Gayman"/>
  </r>
  <r>
    <x v="0"/>
    <s v="Dean percer"/>
  </r>
  <r>
    <x v="0"/>
    <s v="Roy Collins"/>
  </r>
  <r>
    <x v="0"/>
    <s v="William Brown"/>
  </r>
  <r>
    <x v="0"/>
    <s v="Bill Eplett"/>
  </r>
  <r>
    <x v="0"/>
    <s v="Eric Hoffmann"/>
  </r>
  <r>
    <x v="0"/>
    <s v="Chuck Clark"/>
  </r>
  <r>
    <x v="0"/>
    <s v="Dionis Lloyd"/>
  </r>
  <r>
    <x v="0"/>
    <s v="Tamara Dahlen"/>
  </r>
  <r>
    <x v="0"/>
    <s v="Paul Gonzalez"/>
  </r>
  <r>
    <x v="0"/>
    <s v="Carlos Meador"/>
  </r>
  <r>
    <x v="0"/>
    <s v="Marc Crier"/>
  </r>
  <r>
    <x v="0"/>
    <s v="Frank Preis"/>
  </r>
  <r>
    <x v="0"/>
    <s v="Bradley Talbott"/>
  </r>
  <r>
    <x v="0"/>
    <s v="Toby Braunhardt"/>
  </r>
  <r>
    <x v="0"/>
    <s v="Christy Brittain"/>
  </r>
  <r>
    <x v="0"/>
    <s v="Claudia Bergmann"/>
  </r>
  <r>
    <x v="0"/>
    <s v="Henry Goldwyn"/>
  </r>
  <r>
    <x v="0"/>
    <s v="Todd Boyes"/>
  </r>
  <r>
    <x v="0"/>
    <s v="Jonathan Doherty"/>
  </r>
  <r>
    <x v="0"/>
    <s v="Jeremy Farry"/>
  </r>
  <r>
    <x v="0"/>
    <s v="Steven Cartwright"/>
  </r>
  <r>
    <x v="0"/>
    <s v="Tim Brockman"/>
  </r>
  <r>
    <x v="0"/>
    <s v="Harold Engle"/>
  </r>
  <r>
    <x v="0"/>
    <s v="David Flashing"/>
  </r>
  <r>
    <x v="0"/>
    <s v="Sample Company A"/>
  </r>
  <r>
    <x v="0"/>
    <s v="Aimee Bixby"/>
  </r>
  <r>
    <x v="0"/>
    <s v="Jason Klamczynski"/>
  </r>
  <r>
    <x v="0"/>
    <s v="Ben Ferrer"/>
  </r>
  <r>
    <x v="0"/>
    <s v="Cyma Kinney"/>
  </r>
  <r>
    <x v="0"/>
    <s v="Suzanne McNair"/>
  </r>
  <r>
    <x v="0"/>
    <s v="Adrian Barton"/>
  </r>
  <r>
    <x v="0"/>
    <s v="Sanjit Engle"/>
  </r>
  <r>
    <x v="0"/>
    <s v="Noel Staavos"/>
  </r>
  <r>
    <x v="0"/>
    <s v="Liz Carlisle"/>
  </r>
  <r>
    <x v="0"/>
    <s v="Tracy Blumstein"/>
  </r>
  <r>
    <x v="0"/>
    <s v="Maribeth Schnelling"/>
  </r>
  <r>
    <x v="0"/>
    <s v="Jennifer Braxton"/>
  </r>
  <r>
    <x v="0"/>
    <s v="Paul Prost"/>
  </r>
  <r>
    <x v="0"/>
    <s v="Annie Zypern"/>
  </r>
  <r>
    <x v="0"/>
    <s v="Karen Bern"/>
  </r>
  <r>
    <x v="0"/>
    <s v="Christina Anderson"/>
  </r>
  <r>
    <x v="0"/>
    <s v="Bobby Elias"/>
  </r>
  <r>
    <x v="0"/>
    <s v="Cathy Hwang"/>
  </r>
  <r>
    <x v="0"/>
    <s v="Mark Haberlin"/>
  </r>
  <r>
    <x v="0"/>
    <s v="Justin Ritter"/>
  </r>
  <r>
    <x v="0"/>
    <s v="Phillip Breyer"/>
  </r>
  <r>
    <x v="0"/>
    <s v="John Stevenson"/>
  </r>
  <r>
    <x v="0"/>
    <s v="Ross DeVincentis"/>
  </r>
  <r>
    <x v="0"/>
    <s v="Dave Kipp"/>
  </r>
  <r>
    <x v="0"/>
    <s v="Fred McMath"/>
  </r>
  <r>
    <x v="0"/>
    <s v="Patrick Gardner"/>
  </r>
  <r>
    <x v="0"/>
    <s v="Erin Ashbrook"/>
  </r>
  <r>
    <x v="0"/>
    <s v="John Dryer"/>
  </r>
  <r>
    <x v="0"/>
    <s v="Giulietta Weimer"/>
  </r>
  <r>
    <x v="0"/>
    <s v="Jill Fjeld"/>
  </r>
  <r>
    <x v="0"/>
    <s v="Greg Tran"/>
  </r>
  <r>
    <x v="0"/>
    <s v="Alan Hwang"/>
  </r>
  <r>
    <x v="0"/>
    <s v="Matthew Clasen"/>
  </r>
  <r>
    <x v="0"/>
    <s v="Benjamin Venier"/>
  </r>
  <r>
    <x v="0"/>
    <s v="Lindsay Castell"/>
  </r>
  <r>
    <x v="0"/>
    <s v="Paul Van Hugh"/>
  </r>
  <r>
    <x v="0"/>
    <s v="Tracy Zic"/>
  </r>
  <r>
    <x v="0"/>
    <s v="Alyssa Crouse"/>
  </r>
  <r>
    <x v="0"/>
    <s v="Bruce Degenhardt"/>
  </r>
  <r>
    <x v="0"/>
    <s v="Dan Lawera"/>
  </r>
  <r>
    <x v="0"/>
    <s v="Eric Barreto"/>
  </r>
  <r>
    <x v="0"/>
    <s v="Don Weiss"/>
  </r>
  <r>
    <x v="0"/>
    <s v="Lena Cacioppo"/>
  </r>
  <r>
    <x v="0"/>
    <s v="Rick Reed"/>
  </r>
  <r>
    <x v="0"/>
    <s v="Karen Daniels"/>
  </r>
  <r>
    <x v="0"/>
    <s v="Odella Nelson"/>
  </r>
  <r>
    <x v="0"/>
    <s v="Brosina Hoffman"/>
  </r>
  <r>
    <x v="0"/>
    <s v="Jason Gross"/>
  </r>
  <r>
    <x v="0"/>
    <s v="Craig Carreira"/>
  </r>
  <r>
    <x v="0"/>
    <s v="Chris Cortes"/>
  </r>
  <r>
    <x v="0"/>
    <s v="Theresa Swint"/>
  </r>
  <r>
    <x v="0"/>
    <s v="Alex Avila"/>
  </r>
  <r>
    <x v="0"/>
    <s v="Michael Granlund"/>
  </r>
  <r>
    <x v="0"/>
    <s v="Randy Ferguson"/>
  </r>
  <r>
    <x v="0"/>
    <s v="Rick Duston"/>
  </r>
  <r>
    <x v="0"/>
    <s v="Eleni McCrary"/>
  </r>
  <r>
    <x v="0"/>
    <s v="Rob Williams"/>
  </r>
  <r>
    <x v="0"/>
    <s v="Julia Barnett"/>
  </r>
  <r>
    <x v="0"/>
    <s v="Ed Braxton"/>
  </r>
  <r>
    <x v="0"/>
    <s v="Zuschuss Carroll"/>
  </r>
  <r>
    <x v="0"/>
    <s v="Brian DeCherney"/>
  </r>
  <r>
    <x v="0"/>
    <s v="Giulietta Baptist"/>
  </r>
  <r>
    <x v="0"/>
    <s v="Sanjit Jacobs"/>
  </r>
  <r>
    <x v="0"/>
    <s v="Stephanie Phelps"/>
  </r>
  <r>
    <x v="0"/>
    <s v="Rick Bensley"/>
  </r>
  <r>
    <x v="0"/>
    <s v="Pamela Stobb"/>
  </r>
  <r>
    <x v="0"/>
    <s v="Caroline Jumper"/>
  </r>
  <r>
    <x v="0"/>
    <s v="Bryan Davis"/>
  </r>
  <r>
    <x v="0"/>
    <s v="Karen Ferguson"/>
  </r>
  <r>
    <x v="0"/>
    <s v="Rick Huthwaite"/>
  </r>
  <r>
    <x v="0"/>
    <s v="Maya Herman"/>
  </r>
  <r>
    <x v="0"/>
    <s v="Mick Brown"/>
  </r>
  <r>
    <x v="0"/>
    <s v="Julie Prescott"/>
  </r>
  <r>
    <x v="0"/>
    <s v="Brad Thomas"/>
  </r>
  <r>
    <x v="0"/>
    <s v="Mike Caudle"/>
  </r>
  <r>
    <x v="0"/>
    <s v="Clytie Kelty"/>
  </r>
  <r>
    <x v="0"/>
    <s v="Dean Katz"/>
  </r>
  <r>
    <x v="0"/>
    <s v="Scot Wooten"/>
  </r>
  <r>
    <x v="0"/>
    <s v="Tamara Willingham"/>
  </r>
  <r>
    <x v="0"/>
    <s v="Liz Thompson"/>
  </r>
  <r>
    <x v="0"/>
    <s v="Adam Bellavance"/>
  </r>
  <r>
    <x v="0"/>
    <s v="Edward Hooks"/>
  </r>
  <r>
    <x v="0"/>
    <s v="Stewart Carmichael"/>
  </r>
  <r>
    <x v="0"/>
    <s v="Dennis Bolton"/>
  </r>
  <r>
    <x v="0"/>
    <s v="Henia Zydlo"/>
  </r>
  <r>
    <x v="0"/>
    <s v="Muhammed MacIntyre"/>
  </r>
  <r>
    <x v="0"/>
    <s v="Sibella Parks"/>
  </r>
  <r>
    <x v="0"/>
    <s v="Paul Lucas"/>
  </r>
  <r>
    <x v="0"/>
    <s v="Fred Chung"/>
  </r>
  <r>
    <x v="0"/>
    <s v="Muhammed Yedwab"/>
  </r>
  <r>
    <x v="0"/>
    <s v="Christine Sundaresam"/>
  </r>
  <r>
    <x v="0"/>
    <s v="Vivian Mathis"/>
  </r>
  <r>
    <x v="0"/>
    <s v="Gary Zandusky"/>
  </r>
  <r>
    <x v="0"/>
    <s v="Anna Chung"/>
  </r>
  <r>
    <x v="0"/>
    <s v="Rose O'Brian"/>
  </r>
  <r>
    <x v="0"/>
    <s v="Dave Brooks"/>
  </r>
  <r>
    <x v="0"/>
    <s v="Bobby Trafton"/>
  </r>
  <r>
    <x v="0"/>
    <s v="Susan Vittorini"/>
  </r>
  <r>
    <x v="0"/>
    <s v="Corey Catlett"/>
  </r>
  <r>
    <x v="0"/>
    <s v="Peter Bühler"/>
  </r>
  <r>
    <x v="0"/>
    <s v="Robert Dilbeck"/>
  </r>
  <r>
    <x v="0"/>
    <s v="Aaron Hawkins"/>
  </r>
  <r>
    <x v="0"/>
    <s v="Kean Takahito"/>
  </r>
  <r>
    <x v="0"/>
    <s v="Dario Medina"/>
  </r>
  <r>
    <x v="0"/>
    <s v="Robert Barroso"/>
  </r>
  <r>
    <x v="0"/>
    <s v="Dan Reichenbach"/>
  </r>
  <r>
    <x v="0"/>
    <s v="Vivek Grady"/>
  </r>
  <r>
    <x v="0"/>
    <s v="Dan Campbell"/>
  </r>
  <r>
    <x v="0"/>
    <s v="Damala Kotsonis"/>
  </r>
  <r>
    <x v="0"/>
    <s v="Dean Braden"/>
  </r>
  <r>
    <x v="0"/>
    <s v="Mark Van Huff"/>
  </r>
  <r>
    <x v="0"/>
    <s v="David Smith"/>
  </r>
  <r>
    <x v="0"/>
    <s v="Aaron Smayling"/>
  </r>
  <r>
    <x v="0"/>
    <s v="Maria Etezadi"/>
  </r>
  <r>
    <x v="0"/>
    <s v="Janet Martin"/>
  </r>
  <r>
    <x v="0"/>
    <s v="Troy Blackwell"/>
  </r>
  <r>
    <x v="0"/>
    <s v="Cathy Prescott"/>
  </r>
  <r>
    <x v="0"/>
    <s v="Carlos Soltero"/>
  </r>
  <r>
    <x v="0"/>
    <s v="Erica Hackney"/>
  </r>
  <r>
    <x v="0"/>
    <s v="Raymond Buch"/>
  </r>
  <r>
    <x v="0"/>
    <s v="Barry Blumstein"/>
  </r>
  <r>
    <x v="0"/>
    <s v="Thomas Boland"/>
  </r>
  <r>
    <x v="0"/>
    <s v="Daniel Byrd"/>
  </r>
  <r>
    <x v="0"/>
    <s v="Denny Joy"/>
  </r>
  <r>
    <x v="0"/>
    <s v="Zuschuss Donatelli"/>
  </r>
  <r>
    <x v="0"/>
    <s v="Steven Roelle"/>
  </r>
  <r>
    <x v="0"/>
    <s v="Evan Henry"/>
  </r>
  <r>
    <x v="0"/>
    <s v="Becky Castell"/>
  </r>
  <r>
    <x v="0"/>
    <s v="Gary Mitchum"/>
  </r>
  <r>
    <x v="0"/>
    <s v="Justin Hirsh"/>
  </r>
  <r>
    <x v="0"/>
    <s v="Valerie Mitchum"/>
  </r>
  <r>
    <x v="0"/>
    <s v="Yoseph Carroll"/>
  </r>
  <r>
    <x v="0"/>
    <s v="Dorris liebe"/>
  </r>
  <r>
    <x v="0"/>
    <s v="Sarah Foster"/>
  </r>
  <r>
    <x v="0"/>
    <s v="Erin Smith"/>
  </r>
  <r>
    <x v="0"/>
    <s v="Alan Shonely"/>
  </r>
  <r>
    <x v="0"/>
    <s v="Jeremy Lonsdale"/>
  </r>
  <r>
    <x v="0"/>
    <s v="Logan Currie"/>
  </r>
  <r>
    <x v="0"/>
    <s v="Eugene Hildebrand"/>
  </r>
  <r>
    <x v="0"/>
    <s v="Raymond Messe"/>
  </r>
  <r>
    <x v="0"/>
    <s v="Christine Kargatis"/>
  </r>
  <r>
    <x v="0"/>
    <s v="Edward Becker"/>
  </r>
  <r>
    <x v="0"/>
    <s v="Sean Wendt"/>
  </r>
  <r>
    <x v="0"/>
    <s v="Herbert Flentye"/>
  </r>
  <r>
    <x v="0"/>
    <s v="Filia McAdams"/>
  </r>
  <r>
    <x v="0"/>
    <s v="Brian Thompson"/>
  </r>
  <r>
    <x v="0"/>
    <s v="Quincy Jones"/>
  </r>
  <r>
    <x v="0"/>
    <s v="Brian Dahlen"/>
  </r>
  <r>
    <x v="0"/>
    <s v="Beth Paige"/>
  </r>
  <r>
    <x v="0"/>
    <s v="Jason Fortune-"/>
  </r>
  <r>
    <x v="0"/>
    <s v="Susan Pistek"/>
  </r>
  <r>
    <x v="0"/>
    <s v="Philip Brown"/>
  </r>
  <r>
    <x v="0"/>
    <s v="Tom Boeckenhauer"/>
  </r>
  <r>
    <x v="0"/>
    <s v="Jill Matthias"/>
  </r>
  <r>
    <x v="0"/>
    <s v="Ross Baird"/>
  </r>
  <r>
    <x v="0"/>
    <s v="Bill Donatelli"/>
  </r>
  <r>
    <x v="0"/>
    <s v="Julie Kriz"/>
  </r>
  <r>
    <x v="0"/>
    <s v="Arthur Prichep"/>
  </r>
  <r>
    <x v="0"/>
    <s v="Bill Shonely"/>
  </r>
  <r>
    <x v="0"/>
    <s v="Bryan Mills"/>
  </r>
  <r>
    <x v="0"/>
    <s v="Pete Kriz"/>
  </r>
  <r>
    <x v="0"/>
    <s v="Jessica Myrick"/>
  </r>
  <r>
    <x v="0"/>
    <s v="Charles Sheldon"/>
  </r>
  <r>
    <x v="0"/>
    <s v="Clay Rozendal"/>
  </r>
  <r>
    <x v="0"/>
    <s v="Roy Französisch"/>
  </r>
  <r>
    <x v="0"/>
    <s v="Thea Hudgings"/>
  </r>
  <r>
    <x v="0"/>
    <s v="Cindy Schnelling"/>
  </r>
  <r>
    <x v="0"/>
    <s v="Jas O'Carroll"/>
  </r>
  <r>
    <x v="0"/>
    <s v="Kunst Miller"/>
  </r>
  <r>
    <x v="0"/>
    <s v="Duane Noonan"/>
  </r>
  <r>
    <x v="0"/>
    <s v="Tanja Norvell"/>
  </r>
  <r>
    <x v="0"/>
    <s v="Ed Ludwig"/>
  </r>
  <r>
    <x v="0"/>
    <s v="Tonja Turnell"/>
  </r>
  <r>
    <x v="0"/>
    <s v="Michael Moore"/>
  </r>
  <r>
    <x v="0"/>
    <s v="Grace Kelly"/>
  </r>
  <r>
    <x v="0"/>
    <s v="Heather Kirkland"/>
  </r>
  <r>
    <x v="0"/>
    <s v="Max Jones"/>
  </r>
  <r>
    <x v="0"/>
    <s v="Art Ferguson"/>
  </r>
  <r>
    <x v="0"/>
    <s v="Cathy Armstrong"/>
  </r>
  <r>
    <x v="0"/>
    <s v="Jack Lebron"/>
  </r>
  <r>
    <x v="0"/>
    <s v="Craig Leslie"/>
  </r>
  <r>
    <x v="0"/>
    <s v="John Lucas"/>
  </r>
  <r>
    <x v="0"/>
    <s v="Nona Balk"/>
  </r>
  <r>
    <x v="0"/>
    <s v="Erica Hernandez"/>
  </r>
  <r>
    <x v="0"/>
    <s v="Rob Beeghly"/>
  </r>
  <r>
    <x v="0"/>
    <s v="John Lee"/>
  </r>
  <r>
    <x v="0"/>
    <s v="Ken Dana"/>
  </r>
  <r>
    <x v="0"/>
    <s v="Chris McAfee"/>
  </r>
  <r>
    <x v="0"/>
    <s v="Cindy Chapman"/>
  </r>
  <r>
    <x v="0"/>
    <s v="Adam Shillingsburg"/>
  </r>
  <r>
    <x v="0"/>
    <s v="Nick Radford"/>
  </r>
  <r>
    <x v="0"/>
    <s v="Susan MacKendrick"/>
  </r>
  <r>
    <x v="0"/>
    <s v="Natalie DeCherney"/>
  </r>
  <r>
    <x v="0"/>
    <s v="Patrick Jones"/>
  </r>
  <r>
    <x v="0"/>
    <s v="Barry Franz"/>
  </r>
  <r>
    <x v="0"/>
    <s v="Darrin Martin"/>
  </r>
  <r>
    <x v="0"/>
    <s v="Amy Hunt"/>
  </r>
  <r>
    <x v="0"/>
    <s v="Lindsay Williams"/>
  </r>
  <r>
    <x v="0"/>
    <s v="Brad Eason"/>
  </r>
  <r>
    <x v="0"/>
    <s v="Gene McClure"/>
  </r>
  <r>
    <x v="0"/>
    <s v="George Bell"/>
  </r>
  <r>
    <x v="0"/>
    <s v="Clay Ludtke"/>
  </r>
  <r>
    <x v="0"/>
    <s v="Trudy Brown"/>
  </r>
  <r>
    <x v="0"/>
    <s v="Sonia Sunley"/>
  </r>
  <r>
    <x v="0"/>
    <s v="Julia West"/>
  </r>
  <r>
    <x v="0"/>
    <s v="Paul Stevenson"/>
  </r>
  <r>
    <x v="0"/>
    <s v="Ricardo Sperren"/>
  </r>
  <r>
    <x v="0"/>
    <s v="Thea Hendricks"/>
  </r>
  <r>
    <x v="0"/>
    <s v="Cynthia Voltz"/>
  </r>
  <r>
    <x v="0"/>
    <s v="Roger Demir"/>
  </r>
  <r>
    <x v="0"/>
    <s v="Christopher Schild"/>
  </r>
  <r>
    <x v="0"/>
    <s v="Ted Trevino"/>
  </r>
  <r>
    <x v="0"/>
    <s v="Harry Marie"/>
  </r>
  <r>
    <x v="0"/>
    <s v="Logan Haushalter"/>
  </r>
  <r>
    <x v="0"/>
    <s v="Michael Kennedy"/>
  </r>
  <r>
    <x v="0"/>
    <s v="Tiffany House"/>
  </r>
  <r>
    <x v="0"/>
    <s v="Steve Nguyen"/>
  </r>
  <r>
    <x v="0"/>
    <s v="Thomas Thornton"/>
  </r>
  <r>
    <x v="0"/>
    <s v="Darren Powers"/>
  </r>
  <r>
    <x v="0"/>
    <s v="Michael Nguyen"/>
  </r>
  <r>
    <x v="0"/>
    <s v="Jim Radford"/>
  </r>
  <r>
    <x v="0"/>
    <s v="Denny Ordway"/>
  </r>
  <r>
    <x v="0"/>
    <s v="Sanjit Chand"/>
  </r>
  <r>
    <x v="0"/>
    <s v="Roy Phan"/>
  </r>
  <r>
    <x v="0"/>
    <s v="Arthur Gainer"/>
  </r>
  <r>
    <x v="0"/>
    <s v="Luke Weiss"/>
  </r>
  <r>
    <x v="0"/>
    <s v="Laurel Elliston"/>
  </r>
  <r>
    <x v="0"/>
    <s v="Bradley Nguyen"/>
  </r>
  <r>
    <x v="0"/>
    <s v="Bill Tyler"/>
  </r>
  <r>
    <x v="0"/>
    <s v="Anna Häberlin"/>
  </r>
  <r>
    <x v="0"/>
    <s v="Joe Kamberova"/>
  </r>
  <r>
    <x v="0"/>
    <s v="Linda Cazamias"/>
  </r>
  <r>
    <x v="0"/>
    <s v="Christine Phan"/>
  </r>
  <r>
    <x v="0"/>
    <s v="Alejandro Savely"/>
  </r>
  <r>
    <x v="0"/>
    <s v="Sally Hughsby"/>
  </r>
  <r>
    <x v="0"/>
    <s v="Jim Epp"/>
  </r>
  <r>
    <x v="0"/>
    <s v="Lisa DeCherney"/>
  </r>
  <r>
    <x v="0"/>
    <s v="Ken Lonsdale"/>
  </r>
  <r>
    <x v="0"/>
    <s v="Anne Pryor"/>
  </r>
  <r>
    <x v="0"/>
    <s v="Christopher Conant"/>
  </r>
  <r>
    <x v="0"/>
    <s v="Dennis Pardue"/>
  </r>
  <r>
    <x v="0"/>
    <s v="Maurice Satty"/>
  </r>
  <r>
    <x v="0"/>
    <s v="Stewart Visinsky"/>
  </r>
  <r>
    <x v="0"/>
    <s v="Brian Stugart"/>
  </r>
  <r>
    <x v="0"/>
    <s v="Lynn Smith"/>
  </r>
  <r>
    <x v="0"/>
    <s v="Valerie Dominguez"/>
  </r>
  <r>
    <x v="0"/>
    <s v="Kimberly Carter"/>
  </r>
  <r>
    <x v="0"/>
    <s v="Rob Lucas"/>
  </r>
  <r>
    <x v="0"/>
    <s v="Maribeth Yedwab"/>
  </r>
  <r>
    <x v="0"/>
    <s v="Robert Waldorf"/>
  </r>
  <r>
    <x v="0"/>
    <s v="Brooke Gillingham"/>
  </r>
  <r>
    <x v="0"/>
    <s v="Justin MacKendrick"/>
  </r>
  <r>
    <x v="0"/>
    <s v="Nancy Lomonaco"/>
  </r>
  <r>
    <x v="0"/>
    <s v="Eugene Moren"/>
  </r>
  <r>
    <x v="0"/>
    <s v="Annie Thurman"/>
  </r>
  <r>
    <x v="0"/>
    <s v="Karen Carlisle"/>
  </r>
  <r>
    <x v="0"/>
    <s v="Edward Nazzal"/>
  </r>
  <r>
    <x v="0"/>
    <s v="Joni Sundaresam"/>
  </r>
  <r>
    <x v="0"/>
    <s v="Janet Lee"/>
  </r>
  <r>
    <x v="0"/>
    <s v="Chloris Kastensmidt"/>
  </r>
  <r>
    <x v="0"/>
    <s v="Ken Brennan"/>
  </r>
  <r>
    <x v="0"/>
    <s v="Scot Coram"/>
  </r>
  <r>
    <x v="0"/>
    <s v="Liz Preis"/>
  </r>
  <r>
    <x v="0"/>
    <s v="Frank Merwin"/>
  </r>
  <r>
    <x v="0"/>
    <s v="Roy Skaria"/>
  </r>
  <r>
    <x v="0"/>
    <s v="Greg Matthias"/>
  </r>
  <r>
    <x v="0"/>
    <s v="Toby Carlisle"/>
  </r>
  <r>
    <x v="0"/>
    <s v="Benjamin Farhat"/>
  </r>
  <r>
    <x v="0"/>
    <s v="Olvera Toch"/>
  </r>
  <r>
    <x v="0"/>
    <s v="Mary Zewe"/>
  </r>
  <r>
    <x v="0"/>
    <s v="Erica Smith"/>
  </r>
  <r>
    <x v="0"/>
    <s v="Seth Vernon"/>
  </r>
  <r>
    <x v="0"/>
    <s v="Darrin Van Huff"/>
  </r>
  <r>
    <x v="0"/>
    <s v="Philisse Overcash"/>
  </r>
  <r>
    <x v="0"/>
    <s v="Craig Reiter"/>
  </r>
  <r>
    <x v="0"/>
    <s v="Arthur Wiediger"/>
  </r>
  <r>
    <x v="0"/>
    <s v="Marc Harrigan"/>
  </r>
  <r>
    <x v="0"/>
    <s v="Jim Sink"/>
  </r>
  <r>
    <x v="0"/>
    <s v="Anthony Rawles"/>
  </r>
  <r>
    <x v="0"/>
    <s v="James Lanier"/>
  </r>
  <r>
    <x v="0"/>
    <s v="Jennifer Jackson"/>
  </r>
  <r>
    <x v="0"/>
    <s v="Ted Butterfield"/>
  </r>
  <r>
    <x v="0"/>
    <s v="Ivan Gibson"/>
  </r>
  <r>
    <x v="0"/>
    <s v="Mike Vittorini"/>
  </r>
  <r>
    <x v="0"/>
    <s v="Lena Creighton"/>
  </r>
  <r>
    <x v="0"/>
    <s v="Denise Monton"/>
  </r>
  <r>
    <x v="0"/>
    <s v="Lena Hernandez"/>
  </r>
  <r>
    <x v="0"/>
    <s v="Dave Poirier"/>
  </r>
  <r>
    <x v="0"/>
    <s v="Catherine Glotzbach"/>
  </r>
  <r>
    <x v="0"/>
    <s v="Irene Maddox"/>
  </r>
  <r>
    <x v="0"/>
    <s v="Maureen Gnade"/>
  </r>
  <r>
    <x v="0"/>
    <s v="Ruben Dartt"/>
  </r>
  <r>
    <x v="0"/>
    <s v="Sally Matthias"/>
  </r>
  <r>
    <x v="0"/>
    <s v="Hunter Lopez"/>
  </r>
  <r>
    <x v="0"/>
    <s v="Dave Hallsten"/>
  </r>
  <r>
    <x v="0"/>
    <s v="John Grady"/>
  </r>
  <r>
    <x v="0"/>
    <s v="Alejandro Ballentine"/>
  </r>
  <r>
    <x v="0"/>
    <s v="Lela Donovan"/>
  </r>
  <r>
    <x v="0"/>
    <s v="Skye Norling"/>
  </r>
  <r>
    <x v="0"/>
    <s v="Adam Hart"/>
  </r>
  <r>
    <x v="0"/>
    <s v="Victoria Pisteka"/>
  </r>
  <r>
    <x v="0"/>
    <s v="Phillip Flathmann"/>
  </r>
  <r>
    <x v="0"/>
    <s v="Katharine Harms"/>
  </r>
  <r>
    <x v="0"/>
    <s v="Roland Fjeld"/>
  </r>
  <r>
    <x v="0"/>
    <s v="Chris Selesnick"/>
  </r>
  <r>
    <x v="0"/>
    <s v="Becky Pak"/>
  </r>
  <r>
    <x v="0"/>
    <s v="Corey-Lock"/>
  </r>
  <r>
    <x v="0"/>
    <s v="Philip Fox"/>
  </r>
  <r>
    <x v="0"/>
    <s v="Adrian Hane"/>
  </r>
  <r>
    <x v="0"/>
    <s v="Jay Fein"/>
  </r>
  <r>
    <x v="0"/>
    <s v="Stephanie Ulpright"/>
  </r>
  <r>
    <x v="0"/>
    <s v="Nick Zandusky"/>
  </r>
  <r>
    <x v="0"/>
    <s v="Katherine Hughes"/>
  </r>
  <r>
    <x v="0"/>
    <s v="Guy Thornton"/>
  </r>
  <r>
    <x v="0"/>
    <s v="Anna Andreadi"/>
  </r>
  <r>
    <x v="0"/>
    <s v="Steve Chapman"/>
  </r>
  <r>
    <x v="0"/>
    <s v="Barry Französisch"/>
  </r>
  <r>
    <x v="0"/>
    <s v="Chad Cunningham"/>
  </r>
  <r>
    <x v="0"/>
    <s v="Joe Elijah"/>
  </r>
  <r>
    <x v="0"/>
    <s v="Allen Armold"/>
  </r>
  <r>
    <x v="0"/>
    <s v="Kristen Hastings"/>
  </r>
  <r>
    <x v="0"/>
    <s v="Theone Pippenger"/>
  </r>
  <r>
    <x v="0"/>
    <s v="Steven Ward"/>
  </r>
  <r>
    <x v="0"/>
    <s v="Rob Haberlin"/>
  </r>
  <r>
    <x v="0"/>
    <s v="Richard Eichhorn"/>
  </r>
  <r>
    <x v="0"/>
    <s v="Anemone Ratner"/>
  </r>
  <r>
    <x v="0"/>
    <s v="Mark Cousins"/>
  </r>
  <r>
    <x v="0"/>
    <s v="Alice McCarthy"/>
  </r>
  <r>
    <x v="0"/>
    <s v="Ruben Ausman"/>
  </r>
  <r>
    <x v="0"/>
    <s v="Matt Collister"/>
  </r>
  <r>
    <x v="0"/>
    <s v="Andrew Allen"/>
  </r>
  <r>
    <x v="0"/>
    <s v="Dennis Kane"/>
  </r>
  <r>
    <x v="0"/>
    <s v="Linda Southworth"/>
  </r>
  <r>
    <x v="0"/>
    <s v="Jennifer Patt"/>
  </r>
  <r>
    <x v="0"/>
    <s v="Nora Paige"/>
  </r>
  <r>
    <x v="0"/>
    <s v="Neil Knudson"/>
  </r>
  <r>
    <x v="0"/>
    <s v="Joy Smith"/>
  </r>
  <r>
    <x v="0"/>
    <s v="Tracy Collins"/>
  </r>
  <r>
    <x v="0"/>
    <s v="Pauline Johnson"/>
  </r>
  <r>
    <x v="0"/>
    <s v="Kristina Nunn"/>
  </r>
  <r>
    <x v="0"/>
    <s v="Neil Französisch"/>
  </r>
  <r>
    <x v="0"/>
    <s v="Ivan Liston"/>
  </r>
  <r>
    <x v="0"/>
    <s v="Darren Budd"/>
  </r>
  <r>
    <x v="0"/>
    <s v="James Galang"/>
  </r>
  <r>
    <x v="0"/>
    <s v="Larry Blacks"/>
  </r>
  <r>
    <x v="0"/>
    <s v="Ken Heidel"/>
  </r>
  <r>
    <x v="0"/>
    <s v="Meg Tillman"/>
  </r>
  <r>
    <x v="0"/>
    <s v="Katherine Murray"/>
  </r>
  <r>
    <x v="0"/>
    <s v="Steve Carroll"/>
  </r>
  <r>
    <x v="0"/>
    <s v="Khloe Miller"/>
  </r>
  <r>
    <x v="0"/>
    <s v="Pierre Wener"/>
  </r>
  <r>
    <x v="0"/>
    <s v="Ritsa Hightower"/>
  </r>
  <r>
    <x v="0"/>
    <s v="Lindsay Shagiari"/>
  </r>
  <r>
    <x v="0"/>
    <s v="Susan Gilcrest"/>
  </r>
  <r>
    <x v="0"/>
    <s v="Thomas Seio"/>
  </r>
  <r>
    <x v="0"/>
    <s v="Alex Grayson"/>
  </r>
  <r>
    <x v="0"/>
    <s v="Max Ludwig"/>
  </r>
  <r>
    <x v="0"/>
    <s v="Ralph Arnett"/>
  </r>
  <r>
    <x v="0"/>
    <s v="Vivek Gonzalez"/>
  </r>
  <r>
    <x v="0"/>
    <s v="Liz MacKendrick"/>
  </r>
  <r>
    <x v="0"/>
    <s v="Dorothy Wardle"/>
  </r>
  <r>
    <x v="0"/>
    <s v="Corinna Mitchell"/>
  </r>
  <r>
    <x v="0"/>
    <s v="Charles Crestani"/>
  </r>
  <r>
    <x v="0"/>
    <s v="Helen Andreada"/>
  </r>
  <r>
    <x v="0"/>
    <s v="Gary Hansen"/>
  </r>
  <r>
    <x v="0"/>
    <s v="Michelle Tran"/>
  </r>
  <r>
    <x v="0"/>
    <s v="Nora Preis"/>
  </r>
  <r>
    <x v="0"/>
    <s v="Deborah Brumfield"/>
  </r>
  <r>
    <x v="0"/>
    <s v="Erin Mull"/>
  </r>
  <r>
    <x v="0"/>
    <s v="Hunter Glantz"/>
  </r>
  <r>
    <x v="0"/>
    <s v="Carol Triggs"/>
  </r>
  <r>
    <x v="0"/>
    <s v="Toby Ritter"/>
  </r>
  <r>
    <x v="0"/>
    <s v="Max Engle"/>
  </r>
  <r>
    <x v="0"/>
    <s v="Craig Yedwab"/>
  </r>
  <r>
    <x v="0"/>
    <s v="John Castell"/>
  </r>
  <r>
    <x v="0"/>
    <s v="Anthony O'Donnell"/>
  </r>
  <r>
    <x v="0"/>
    <s v="Jeremy Pistek"/>
  </r>
  <r>
    <x v="0"/>
    <s v="Helen Wasserman"/>
  </r>
  <r>
    <x v="0"/>
    <s v="Greg Guthrie"/>
  </r>
  <r>
    <x v="0"/>
    <s v="Natalie Fritzler"/>
  </r>
  <r>
    <x v="0"/>
    <s v="Matt Abelman"/>
  </r>
  <r>
    <x v="0"/>
    <s v="Resi Pölking"/>
  </r>
  <r>
    <x v="0"/>
    <s v="Rachel Payne"/>
  </r>
  <r>
    <x v="0"/>
    <s v="Jay Kimmel"/>
  </r>
  <r>
    <x v="0"/>
    <s v="Dorothy Dickinson"/>
  </r>
  <r>
    <x v="0"/>
    <s v="Sheri Gordon"/>
  </r>
  <r>
    <x v="0"/>
    <s v="Deirdre Greer"/>
  </r>
  <r>
    <x v="0"/>
    <s v="Tony Chapman"/>
  </r>
  <r>
    <x v="0"/>
    <s v="Pauline Webber"/>
  </r>
  <r>
    <x v="0"/>
    <s v="Mick Hernandez"/>
  </r>
  <r>
    <x v="0"/>
    <s v="Maxwell Schwartz"/>
  </r>
  <r>
    <x v="0"/>
    <s v="Don Jones"/>
  </r>
  <r>
    <x v="0"/>
    <s v="Tom Stivers"/>
  </r>
  <r>
    <x v="0"/>
    <s v="Shirley Schmidt"/>
  </r>
  <r>
    <x v="0"/>
    <s v="Xylona Preis"/>
  </r>
  <r>
    <x v="0"/>
    <s v="Stuart Van"/>
  </r>
  <r>
    <x v="0"/>
    <s v="Sung Shariari"/>
  </r>
  <r>
    <x v="0"/>
    <s v="Elizabeth Moffitt"/>
  </r>
  <r>
    <x v="0"/>
    <s v="Chad Sievert"/>
  </r>
  <r>
    <x v="0"/>
    <s v="Tom Prescott"/>
  </r>
  <r>
    <x v="0"/>
    <s v="Meg O'Connel"/>
  </r>
  <r>
    <x v="0"/>
    <s v="Patrick O'Brill"/>
  </r>
  <r>
    <x v="0"/>
    <s v="Bruce Geld"/>
  </r>
  <r>
    <x v="0"/>
    <s v="Joseph Airdo"/>
  </r>
  <r>
    <x v="0"/>
    <s v="Laurel Beltran"/>
  </r>
  <r>
    <x v="0"/>
    <s v="Sam Zeldin"/>
  </r>
  <r>
    <x v="0"/>
    <s v="Tom Ashbrook"/>
  </r>
  <r>
    <x v="0"/>
    <s v="Toby Gnade"/>
  </r>
  <r>
    <x v="0"/>
    <s v="Becky Martin"/>
  </r>
  <r>
    <x v="0"/>
    <s v="Paul Knutson"/>
  </r>
  <r>
    <x v="0"/>
    <s v="Matt Hagelstein"/>
  </r>
  <r>
    <x v="0"/>
    <s v="Christina VanderZanden"/>
  </r>
  <r>
    <x v="0"/>
    <s v="Delfina Latchford"/>
  </r>
  <r>
    <x v="0"/>
    <s v="Ionia McGrath"/>
  </r>
  <r>
    <x v="0"/>
    <s v="Marina Lichtenstein"/>
  </r>
  <r>
    <x v="0"/>
    <s v="Jasper Cacioppo"/>
  </r>
  <r>
    <x v="0"/>
    <s v="Joseph Holt"/>
  </r>
  <r>
    <x v="0"/>
    <s v="Don Miller"/>
  </r>
  <r>
    <x v="0"/>
    <s v="Pete Takahito"/>
  </r>
  <r>
    <x v="0"/>
    <s v="Maribeth Dona"/>
  </r>
  <r>
    <x v="0"/>
    <s v="Fred Wasserman"/>
  </r>
  <r>
    <x v="0"/>
    <s v="Elpida Rittenbach"/>
  </r>
  <r>
    <x v="0"/>
    <s v="Mary O'Rourke"/>
  </r>
  <r>
    <x v="0"/>
    <s v="Karl Braun"/>
  </r>
  <r>
    <x v="0"/>
    <s v="Michael Grace"/>
  </r>
  <r>
    <x v="0"/>
    <s v="Troy Staebel"/>
  </r>
  <r>
    <x v="0"/>
    <s v="Parhena Norris"/>
  </r>
  <r>
    <x v="0"/>
    <s v="Kean Thornton"/>
  </r>
  <r>
    <x v="0"/>
    <s v="Dianna Vittorini"/>
  </r>
  <r>
    <x v="0"/>
    <s v="Kelly Collister"/>
  </r>
  <r>
    <x v="0"/>
    <s v="Giulietta Dortch"/>
  </r>
  <r>
    <x v="0"/>
    <s v="Eugene Barchas"/>
  </r>
  <r>
    <x v="0"/>
    <s v="Ryan Crowe"/>
  </r>
  <r>
    <x v="0"/>
    <s v="Alejandro Grove"/>
  </r>
  <r>
    <x v="0"/>
    <s v="Justin Deggeller"/>
  </r>
  <r>
    <x v="0"/>
    <s v="Angele Hood"/>
  </r>
  <r>
    <x v="0"/>
    <s v="Keith Dawkins"/>
  </r>
  <r>
    <x v="0"/>
    <s v="Corey Roper"/>
  </r>
  <r>
    <x v="0"/>
    <s v="Cindy Stewart"/>
  </r>
  <r>
    <x v="0"/>
    <s v="Brendan Sweed"/>
  </r>
  <r>
    <x v="0"/>
    <s v="Patrick O'Donnell"/>
  </r>
  <r>
    <x v="0"/>
    <s v="Henry MacAllister"/>
  </r>
  <r>
    <x v="0"/>
    <s v="Anne McFarland"/>
  </r>
  <r>
    <x v="0"/>
    <s v="Magdelene Morse"/>
  </r>
  <r>
    <x v="0"/>
    <s v="Jane Waco"/>
  </r>
  <r>
    <x v="0"/>
    <s v="Shirley Daniels"/>
  </r>
  <r>
    <x v="0"/>
    <s v="Frank Hawley"/>
  </r>
  <r>
    <x v="0"/>
    <s v="Greg Maxwell"/>
  </r>
  <r>
    <x v="0"/>
    <s v="Helen Abelman"/>
  </r>
  <r>
    <x v="0"/>
    <s v="Heather Jas"/>
  </r>
  <r>
    <x v="0"/>
    <s v="Amy Cox"/>
  </r>
  <r>
    <x v="0"/>
    <s v="Ann Steele"/>
  </r>
  <r>
    <x v="0"/>
    <s v="Nora Pelletier"/>
  </r>
  <r>
    <x v="0"/>
    <s v="Kelly Lampkin"/>
  </r>
  <r>
    <x v="0"/>
    <s v="Russell Applegate"/>
  </r>
  <r>
    <x v="0"/>
    <s v="Candace McMahon"/>
  </r>
  <r>
    <x v="0"/>
    <s v="Benjamin Patterson"/>
  </r>
  <r>
    <x v="0"/>
    <s v="Nicole Hansen"/>
  </r>
  <r>
    <x v="0"/>
    <s v="Katrina Edelman"/>
  </r>
  <r>
    <x v="0"/>
    <s v="Tony Sayre"/>
  </r>
  <r>
    <x v="0"/>
    <s v="Chuck Magee"/>
  </r>
  <r>
    <x v="0"/>
    <s v="Shahid Collister"/>
  </r>
  <r>
    <x v="0"/>
    <s v="Lisa Ryan"/>
  </r>
  <r>
    <x v="0"/>
    <s v="Brian Moss"/>
  </r>
  <r>
    <x v="0"/>
    <s v="Shaun Weien"/>
  </r>
  <r>
    <x v="0"/>
    <s v="Andy Reiter"/>
  </r>
  <r>
    <x v="0"/>
    <s v="Maris LaWare"/>
  </r>
  <r>
    <x v="0"/>
    <s v="Sarah Jordon"/>
  </r>
  <r>
    <x v="0"/>
    <s v="Jamie Kunitz"/>
  </r>
  <r>
    <x v="0"/>
    <s v="Tim Taslimi"/>
  </r>
  <r>
    <x v="0"/>
    <s v="Tamara Chand"/>
  </r>
  <r>
    <x v="0"/>
    <s v="Emily Burns"/>
  </r>
  <r>
    <x v="0"/>
    <s v="Tracy Poddar"/>
  </r>
  <r>
    <x v="0"/>
    <s v="Daniel Raglin"/>
  </r>
  <r>
    <x v="0"/>
    <s v="Melanie Seite"/>
  </r>
  <r>
    <x v="0"/>
    <s v="Jonathan Howell"/>
  </r>
  <r>
    <x v="0"/>
    <s v="Mick Crebagga"/>
  </r>
  <r>
    <x v="0"/>
    <s v="Bart Watters"/>
  </r>
  <r>
    <x v="0"/>
    <s v="Joel Eaton"/>
  </r>
  <r>
    <x v="0"/>
    <s v="Peter McVee"/>
  </r>
  <r>
    <x v="0"/>
    <s v="Doug Bickford"/>
  </r>
  <r>
    <x v="0"/>
    <s v="Michael Paige"/>
  </r>
  <r>
    <x v="0"/>
    <s v="Maria Zettner"/>
  </r>
  <r>
    <x v="0"/>
    <s v="Emily Phan"/>
  </r>
  <r>
    <x v="0"/>
    <s v="Noah Childs"/>
  </r>
  <r>
    <x v="0"/>
    <s v="Nathan Cano"/>
  </r>
  <r>
    <x v="0"/>
    <s v="Patrick Bzostek"/>
  </r>
  <r>
    <x v="0"/>
    <s v="Cynthia Delaney"/>
  </r>
  <r>
    <x v="0"/>
    <s v="Frank Carlisle"/>
  </r>
  <r>
    <x v="0"/>
    <s v="Luke Foster"/>
  </r>
  <r>
    <x v="0"/>
    <s v="Andrew Gjertsen"/>
  </r>
  <r>
    <x v="0"/>
    <s v="Charles McCrossin"/>
  </r>
  <r>
    <x v="0"/>
    <s v="Victoria Wilson"/>
  </r>
  <r>
    <x v="0"/>
    <s v="MaryBeth Skach"/>
  </r>
  <r>
    <x v="0"/>
    <s v="Emily Ducich"/>
  </r>
  <r>
    <x v="0"/>
    <s v="Jill Stevenson"/>
  </r>
  <r>
    <x v="0"/>
    <s v="Jeremy Ellison"/>
  </r>
  <r>
    <x v="0"/>
    <s v="Bart Pistole"/>
  </r>
  <r>
    <x v="0"/>
    <s v="Ben Wallace"/>
  </r>
  <r>
    <x v="0"/>
    <s v="Pete Armstrong"/>
  </r>
  <r>
    <x v="0"/>
    <s v="Denise Leinenbach"/>
  </r>
  <r>
    <x v="0"/>
    <s v="Victoria Brennan"/>
  </r>
  <r>
    <x v="0"/>
    <s v="Jim Mitchum"/>
  </r>
  <r>
    <x v="0"/>
    <s v="Katrina Willman"/>
  </r>
  <r>
    <x v="0"/>
    <s v="Frank Olsen"/>
  </r>
  <r>
    <x v="0"/>
    <s v="Sylvia Foulston"/>
  </r>
  <r>
    <x v="0"/>
    <s v="Natalie Webber"/>
  </r>
  <r>
    <x v="0"/>
    <s v="Lisa Hazard"/>
  </r>
  <r>
    <x v="0"/>
    <s v="Carl Weiss"/>
  </r>
  <r>
    <x v="0"/>
    <s v="Michelle Arnett"/>
  </r>
  <r>
    <x v="0"/>
    <s v="Evan Bailliet"/>
  </r>
  <r>
    <x v="0"/>
    <s v="Liz Willingham"/>
  </r>
  <r>
    <x v="0"/>
    <s v="Eudokia Martin"/>
  </r>
  <r>
    <x v="0"/>
    <s v="Penelope Sewall"/>
  </r>
  <r>
    <x v="0"/>
    <s v="Michael Chen"/>
  </r>
  <r>
    <x v="0"/>
    <s v="Claire Gute"/>
  </r>
  <r>
    <x v="0"/>
    <s v="Pamela Coakley"/>
  </r>
  <r>
    <x v="0"/>
    <s v="Debra Catini"/>
  </r>
  <r>
    <x v="0"/>
    <s v="Art Foster"/>
  </r>
  <r>
    <x v="0"/>
    <s v="Kalyca Meade"/>
  </r>
  <r>
    <x v="0"/>
    <s v="Arianne Irving"/>
  </r>
  <r>
    <x v="0"/>
    <s v="Aaron Bergman"/>
  </r>
  <r>
    <x v="0"/>
    <s v="Scott Williamson"/>
  </r>
  <r>
    <x v="0"/>
    <s v="Brenda Bowman"/>
  </r>
  <r>
    <x v="0"/>
    <s v="Berenike Kampe"/>
  </r>
  <r>
    <x v="0"/>
    <s v="Liz Pelletier"/>
  </r>
  <r>
    <x v="0"/>
    <s v="Sung Chung"/>
  </r>
  <r>
    <x v="0"/>
    <s v="Adrian Shami"/>
  </r>
  <r>
    <x v="0"/>
    <s v="Ralph Ritter"/>
  </r>
  <r>
    <x v="0"/>
    <s v="Maria Bertelson"/>
  </r>
  <r>
    <x v="0"/>
    <s v="Barry Gonzalez"/>
  </r>
  <r>
    <x v="0"/>
    <s v="Sean Braxton"/>
  </r>
  <r>
    <x v="0"/>
    <s v="Ashley Jarboe"/>
  </r>
  <r>
    <x v="0"/>
    <s v="Doug Jacobs"/>
  </r>
  <r>
    <x v="0"/>
    <s v="Janet Molinari"/>
  </r>
  <r>
    <x v="0"/>
    <s v="Allen Goldenen"/>
  </r>
  <r>
    <x v="0"/>
    <s v="David Wiener"/>
  </r>
  <r>
    <x v="0"/>
    <s v="Barbara Fisher"/>
  </r>
  <r>
    <x v="0"/>
    <s v="Matt Connell"/>
  </r>
  <r>
    <x v="0"/>
    <s v="Shirley Jackson"/>
  </r>
  <r>
    <x v="0"/>
    <s v="Frank Atkinson"/>
  </r>
  <r>
    <x v="0"/>
    <s v="Rob Dowd"/>
  </r>
  <r>
    <x v="0"/>
    <s v="Luke Schmidt"/>
  </r>
  <r>
    <x v="0"/>
    <s v="Matthew Grinstein"/>
  </r>
  <r>
    <x v="0"/>
    <s v="Nat Carroll"/>
  </r>
  <r>
    <x v="0"/>
    <s v="Alyssa Tate"/>
  </r>
  <r>
    <x v="0"/>
    <s v="Neola Schneider"/>
  </r>
  <r>
    <x v="0"/>
    <s v="Carol Darley"/>
  </r>
  <r>
    <x v="0"/>
    <s v="George Ashbrook"/>
  </r>
  <r>
    <x v="0"/>
    <s v="Sung Pak"/>
  </r>
  <r>
    <x v="0"/>
    <s v="Barry Pond"/>
  </r>
  <r>
    <x v="0"/>
    <s v="Mark Hamilton"/>
  </r>
  <r>
    <x v="0"/>
    <s v="Cassandra Brandow"/>
  </r>
  <r>
    <x v="0"/>
    <s v="Sally Knutson"/>
  </r>
  <r>
    <x v="0"/>
    <s v="Anthony Jacobs"/>
  </r>
  <r>
    <x v="0"/>
    <s v="Nick Crebassa"/>
  </r>
  <r>
    <x v="0"/>
    <s v="Bruce Stewart"/>
  </r>
  <r>
    <x v="0"/>
    <s v="Eva Jacobs"/>
  </r>
  <r>
    <x v="0"/>
    <s v="John Murray"/>
  </r>
  <r>
    <x v="0"/>
    <s v="Fred Hopkins"/>
  </r>
  <r>
    <x v="0"/>
    <s v="Carl Ludwig"/>
  </r>
  <r>
    <x v="0"/>
    <s v="Jamie Frazer"/>
  </r>
  <r>
    <x v="0"/>
    <s v="Alan Schoenberger"/>
  </r>
  <r>
    <x v="0"/>
    <s v="Mike Kennedy"/>
  </r>
  <r>
    <x v="0"/>
    <s v="Gary McGarr"/>
  </r>
  <r>
    <x v="0"/>
    <s v="Emily Grady"/>
  </r>
  <r>
    <x v="0"/>
    <s v="Ellis Ballard"/>
  </r>
  <r>
    <x v="0"/>
    <s v="Justin Ellison"/>
  </r>
  <r>
    <x v="0"/>
    <s v="Aleksandra Gannaway"/>
  </r>
  <r>
    <x v="0"/>
    <s v="Mike Pelletier"/>
  </r>
  <r>
    <x v="0"/>
    <s v="Stefania Perrino"/>
  </r>
  <r>
    <x v="0"/>
    <s v="Gene Hale"/>
  </r>
  <r>
    <x v="0"/>
    <s v="Paul MacIntyre"/>
  </r>
  <r>
    <x v="0"/>
    <s v="Sara Luxemburg"/>
  </r>
  <r>
    <x v="0"/>
    <s v="Cynthia Arntzen"/>
  </r>
  <r>
    <x v="0"/>
    <s v="Erin Creighton"/>
  </r>
  <r>
    <x v="0"/>
    <s v="Shahid Hopkins"/>
  </r>
  <r>
    <x v="0"/>
    <s v="Sandra Flanagan"/>
  </r>
  <r>
    <x v="0"/>
    <s v="Alan Haines"/>
  </r>
  <r>
    <x v="0"/>
    <s v="Andy Yotov"/>
  </r>
  <r>
    <x v="0"/>
    <s v="Stuart Calhoun"/>
  </r>
  <r>
    <x v="0"/>
    <s v="Matt Collins"/>
  </r>
  <r>
    <x v="0"/>
    <s v="Sue Ann Reed"/>
  </r>
  <r>
    <x v="0"/>
    <s v="Carol Adams"/>
  </r>
  <r>
    <x v="0"/>
    <s v="Sean Christensen"/>
  </r>
  <r>
    <x v="0"/>
    <s v="Trudy Schmidt"/>
  </r>
  <r>
    <x v="0"/>
    <s v="Laurel Workman"/>
  </r>
  <r>
    <x v="0"/>
    <s v="Saphhira Shifley"/>
  </r>
  <r>
    <x v="0"/>
    <s v="Andrew Roberts"/>
  </r>
  <r>
    <x v="0"/>
    <s v="Mitch Webber"/>
  </r>
  <r>
    <x v="0"/>
    <s v="Joni Wasserman"/>
  </r>
  <r>
    <x v="0"/>
    <s v="Kelly Andreada"/>
  </r>
  <r>
    <x v="0"/>
    <s v="Carlos Daly"/>
  </r>
  <r>
    <x v="0"/>
    <s v="Carl Jackson"/>
  </r>
  <r>
    <x v="0"/>
    <s v="Duane Benoit"/>
  </r>
  <r>
    <x v="1"/>
    <s v="Janet Martin"/>
  </r>
  <r>
    <x v="1"/>
    <s v="Steven Cartwright"/>
  </r>
  <r>
    <x v="1"/>
    <s v="Dennis Pardue"/>
  </r>
  <r>
    <x v="1"/>
    <s v="Guy Armstrong"/>
  </r>
  <r>
    <x v="1"/>
    <s v="Trudy Schmidt"/>
  </r>
  <r>
    <x v="1"/>
    <s v="Aaron Smayling"/>
  </r>
  <r>
    <x v="1"/>
    <s v="Fred Wasserman"/>
  </r>
  <r>
    <x v="1"/>
    <s v="Christopher Martinez"/>
  </r>
  <r>
    <x v="1"/>
    <s v="Delfina Latchford"/>
  </r>
  <r>
    <x v="1"/>
    <s v="Jamie Frazer"/>
  </r>
  <r>
    <x v="1"/>
    <s v="Bart Watters"/>
  </r>
  <r>
    <x v="1"/>
    <s v="Thais Sissman"/>
  </r>
  <r>
    <x v="1"/>
    <s v="Ricardo Sperren"/>
  </r>
  <r>
    <x v="1"/>
    <s v="Beth Paige"/>
  </r>
  <r>
    <x v="1"/>
    <s v="David Bremer"/>
  </r>
  <r>
    <x v="1"/>
    <s v="Linda Southworth"/>
  </r>
  <r>
    <x v="1"/>
    <s v="Dianna Arnett"/>
  </r>
  <r>
    <x v="1"/>
    <s v="Cathy Prescott"/>
  </r>
  <r>
    <x v="1"/>
    <s v="Brosina Hoffman"/>
  </r>
  <r>
    <x v="1"/>
    <s v="Sean O'Donnell"/>
  </r>
  <r>
    <x v="1"/>
    <s v="Hallie Redmond"/>
  </r>
  <r>
    <x v="1"/>
    <s v="Tracy Poddar"/>
  </r>
  <r>
    <x v="1"/>
    <s v="Rob Beeghly"/>
  </r>
  <r>
    <x v="1"/>
    <s v="Tim Brockman"/>
  </r>
  <r>
    <x v="1"/>
    <s v="Robert Waldorf"/>
  </r>
  <r>
    <x v="1"/>
    <s v="Tonja Turnell"/>
  </r>
  <r>
    <x v="1"/>
    <s v="Sanjit Chand"/>
  </r>
  <r>
    <x v="1"/>
    <s v="Andy Reiter"/>
  </r>
  <r>
    <x v="1"/>
    <s v="Jack O'Briant"/>
  </r>
  <r>
    <x v="1"/>
    <s v="Raymond Messe"/>
  </r>
  <r>
    <x v="1"/>
    <s v="Neola Schneider"/>
  </r>
  <r>
    <x v="1"/>
    <s v="Dan Lawera"/>
  </r>
  <r>
    <x v="1"/>
    <s v="Thea Hendricks"/>
  </r>
  <r>
    <x v="1"/>
    <s v="Cynthia Voltz"/>
  </r>
  <r>
    <x v="1"/>
    <s v="Tamara Manning"/>
  </r>
  <r>
    <x v="1"/>
    <s v="Jeremy Farry"/>
  </r>
  <r>
    <x v="1"/>
    <s v="Maris LaWare"/>
  </r>
  <r>
    <x v="1"/>
    <s v="Darrin Sayre"/>
  </r>
  <r>
    <x v="1"/>
    <s v="Mick Hernandez"/>
  </r>
  <r>
    <x v="1"/>
    <s v="Bobby Elias"/>
  </r>
  <r>
    <x v="1"/>
    <s v="Penelope Sewall"/>
  </r>
  <r>
    <x v="1"/>
    <s v="Alan Dominguez"/>
  </r>
  <r>
    <x v="1"/>
    <s v="Edward Hooks"/>
  </r>
  <r>
    <x v="1"/>
    <s v="Harold Pawlan"/>
  </r>
  <r>
    <x v="1"/>
    <s v="Chris Selesnick"/>
  </r>
  <r>
    <x v="1"/>
    <s v="Matt Connell"/>
  </r>
  <r>
    <x v="1"/>
    <s v="Keith Dawkins"/>
  </r>
  <r>
    <x v="1"/>
    <s v="Theone Pippenger"/>
  </r>
  <r>
    <x v="1"/>
    <s v="Bradley Drucker"/>
  </r>
  <r>
    <x v="1"/>
    <s v="Carol Adams"/>
  </r>
  <r>
    <x v="1"/>
    <s v="Caroline Jumper"/>
  </r>
  <r>
    <x v="1"/>
    <s v="Claire Gute"/>
  </r>
  <r>
    <x v="1"/>
    <s v="John Huston"/>
  </r>
  <r>
    <x v="1"/>
    <s v="Toby Gnade"/>
  </r>
  <r>
    <x v="1"/>
    <s v="Beth Thompson"/>
  </r>
  <r>
    <x v="1"/>
    <s v="Giulietta Baptist"/>
  </r>
  <r>
    <x v="1"/>
    <s v="Craig Leslie"/>
  </r>
  <r>
    <x v="1"/>
    <s v="Vivek Gonzalez"/>
  </r>
  <r>
    <x v="1"/>
    <s v="Rob Dowd"/>
  </r>
  <r>
    <x v="1"/>
    <s v="Bryan Davis"/>
  </r>
  <r>
    <x v="1"/>
    <s v="Clytie Kelty"/>
  </r>
  <r>
    <x v="1"/>
    <s v="Liz Preis"/>
  </r>
  <r>
    <x v="1"/>
    <s v="Eugene Hildebrand"/>
  </r>
  <r>
    <x v="1"/>
    <s v="Michael Moore"/>
  </r>
  <r>
    <x v="1"/>
    <s v="Benjamin Venier"/>
  </r>
  <r>
    <x v="1"/>
    <s v="Emily Burns"/>
  </r>
  <r>
    <x v="1"/>
    <s v="Sam Zeldin"/>
  </r>
  <r>
    <x v="1"/>
    <s v="Dorothy Wardle"/>
  </r>
  <r>
    <x v="1"/>
    <s v="John Lee"/>
  </r>
  <r>
    <x v="1"/>
    <s v="Bill Overfelt"/>
  </r>
  <r>
    <x v="1"/>
    <s v="Shahid Collister"/>
  </r>
  <r>
    <x v="1"/>
    <s v="Ross DeVincentis"/>
  </r>
  <r>
    <x v="1"/>
    <s v="Matt Collins"/>
  </r>
  <r>
    <x v="1"/>
    <s v="Jay Fein"/>
  </r>
  <r>
    <x v="1"/>
    <s v="Cassandra Brandow"/>
  </r>
  <r>
    <x v="1"/>
    <s v="Fred Chung"/>
  </r>
  <r>
    <x v="1"/>
    <s v="Sibella Parks"/>
  </r>
  <r>
    <x v="1"/>
    <s v="Mark Van Huff"/>
  </r>
  <r>
    <x v="1"/>
    <s v="Skye Norling"/>
  </r>
  <r>
    <x v="1"/>
    <s v="Tom Prescott"/>
  </r>
  <r>
    <x v="1"/>
    <s v="Sarah Bern"/>
  </r>
  <r>
    <x v="1"/>
    <s v="Marina Lichtenstein"/>
  </r>
  <r>
    <x v="1"/>
    <s v="Mike Pelletier"/>
  </r>
  <r>
    <x v="1"/>
    <s v="Michael Nguyen"/>
  </r>
  <r>
    <x v="1"/>
    <s v="Cari Sayre"/>
  </r>
  <r>
    <x v="1"/>
    <s v="Magdelene Morse"/>
  </r>
  <r>
    <x v="1"/>
    <s v="Victoria Wilson"/>
  </r>
  <r>
    <x v="1"/>
    <s v="Don Jones"/>
  </r>
  <r>
    <x v="1"/>
    <s v="Mark Hamilton"/>
  </r>
  <r>
    <x v="1"/>
    <s v="Fred Harton"/>
  </r>
  <r>
    <x v="1"/>
    <s v="Jennifer Patt"/>
  </r>
  <r>
    <x v="1"/>
    <s v="Stewart Visinsky"/>
  </r>
  <r>
    <x v="1"/>
    <s v="Nat Gilpin"/>
  </r>
  <r>
    <x v="1"/>
    <s v="Joy Smith"/>
  </r>
  <r>
    <x v="1"/>
    <s v="Luke Foster"/>
  </r>
  <r>
    <x v="1"/>
    <s v="Christine Kargatis"/>
  </r>
  <r>
    <x v="1"/>
    <s v="Cyra Reiten"/>
  </r>
  <r>
    <x v="1"/>
    <s v="Julie Kriz"/>
  </r>
  <r>
    <x v="1"/>
    <s v="Gary Hansen"/>
  </r>
  <r>
    <x v="1"/>
    <s v="Lauren Leatherbury"/>
  </r>
  <r>
    <x v="1"/>
    <s v="Max Engle"/>
  </r>
  <r>
    <x v="1"/>
    <s v="Nicole Hansen"/>
  </r>
  <r>
    <x v="1"/>
    <s v="Emily Ducich"/>
  </r>
  <r>
    <x v="1"/>
    <s v="Katherine Murray"/>
  </r>
  <r>
    <x v="1"/>
    <s v="Helen Wasserman"/>
  </r>
  <r>
    <x v="1"/>
    <s v="Julie Prescott"/>
  </r>
  <r>
    <x v="1"/>
    <s v="Bart Pistole"/>
  </r>
  <r>
    <x v="1"/>
    <s v="Dave Kipp"/>
  </r>
  <r>
    <x v="1"/>
    <s v="Ann Chong"/>
  </r>
  <r>
    <x v="1"/>
    <s v="Erin Smith"/>
  </r>
  <r>
    <x v="1"/>
    <s v="Christy Brittain"/>
  </r>
  <r>
    <x v="1"/>
    <s v="Scot Wooten"/>
  </r>
  <r>
    <x v="1"/>
    <s v="Michelle Huthwaite"/>
  </r>
  <r>
    <x v="1"/>
    <s v="Dave Brooks"/>
  </r>
  <r>
    <x v="1"/>
    <s v="Bradley Talbott"/>
  </r>
  <r>
    <x v="1"/>
    <s v="Becky Martin"/>
  </r>
  <r>
    <x v="1"/>
    <s v="Duane Benoit"/>
  </r>
  <r>
    <x v="1"/>
    <s v="Dorothy Badders"/>
  </r>
  <r>
    <x v="1"/>
    <s v="Ken Dana"/>
  </r>
  <r>
    <x v="1"/>
    <s v="Maribeth Yedwab"/>
  </r>
  <r>
    <x v="1"/>
    <s v="Stewart Carmichael"/>
  </r>
  <r>
    <x v="1"/>
    <s v="Roland Schwarz"/>
  </r>
  <r>
    <x v="1"/>
    <s v="Joseph Airdo"/>
  </r>
  <r>
    <x v="1"/>
    <s v="Emily Phan"/>
  </r>
  <r>
    <x v="1"/>
    <s v="Ed Jacobs"/>
  </r>
  <r>
    <x v="1"/>
    <s v="Bill Tyler"/>
  </r>
  <r>
    <x v="1"/>
    <s v="Richard Eichhorn"/>
  </r>
  <r>
    <x v="1"/>
    <s v="Darren Powers"/>
  </r>
  <r>
    <x v="1"/>
    <s v="Sung Pak"/>
  </r>
  <r>
    <x v="1"/>
    <s v="Julia Dunbar"/>
  </r>
  <r>
    <x v="1"/>
    <s v="Claudia Bergmann"/>
  </r>
  <r>
    <x v="1"/>
    <s v="Pete Kriz"/>
  </r>
  <r>
    <x v="1"/>
    <s v="Frank Carlisle"/>
  </r>
  <r>
    <x v="1"/>
    <s v="Don Weiss"/>
  </r>
  <r>
    <x v="1"/>
    <s v="Roland Murray"/>
  </r>
  <r>
    <x v="1"/>
    <s v="Ben Ferrer"/>
  </r>
  <r>
    <x v="1"/>
    <s v="Sally Hughsby"/>
  </r>
  <r>
    <x v="1"/>
    <s v="Shahid Hopkins"/>
  </r>
  <r>
    <x v="1"/>
    <s v="Michael Granlund"/>
  </r>
  <r>
    <x v="1"/>
    <s v="Alan Hwang"/>
  </r>
  <r>
    <x v="1"/>
    <s v="Victoria Brennan"/>
  </r>
  <r>
    <x v="1"/>
    <s v="Lindsay Williams"/>
  </r>
  <r>
    <x v="1"/>
    <s v="Karl Braun"/>
  </r>
  <r>
    <x v="1"/>
    <s v="Candace McMahon"/>
  </r>
  <r>
    <x v="1"/>
    <s v="Maribeth Dona"/>
  </r>
  <r>
    <x v="1"/>
    <s v="Karen Seio"/>
  </r>
  <r>
    <x v="1"/>
    <s v="Paul Van Hugh"/>
  </r>
  <r>
    <x v="1"/>
    <s v="Marc Harrigan"/>
  </r>
  <r>
    <x v="1"/>
    <s v="Max Jones"/>
  </r>
  <r>
    <x v="1"/>
    <s v="Ken Black"/>
  </r>
  <r>
    <x v="1"/>
    <s v="Bill Stewart"/>
  </r>
  <r>
    <x v="1"/>
    <s v="Benjamin Farhat"/>
  </r>
  <r>
    <x v="1"/>
    <s v="Stephanie Ulpright"/>
  </r>
  <r>
    <x v="1"/>
    <s v="Joy Bell-"/>
  </r>
  <r>
    <x v="1"/>
    <s v="Meg Tillman"/>
  </r>
  <r>
    <x v="1"/>
    <s v="Karen Ferguson"/>
  </r>
  <r>
    <x v="1"/>
    <s v="Sanjit Engle"/>
  </r>
  <r>
    <x v="1"/>
    <s v="Frank Hawley"/>
  </r>
  <r>
    <x v="1"/>
    <s v="Brad Norvell"/>
  </r>
  <r>
    <x v="1"/>
    <s v="Susan Pistek"/>
  </r>
  <r>
    <x v="1"/>
    <s v="Matthew Grinstein"/>
  </r>
  <r>
    <x v="1"/>
    <s v="Valerie Mitchum"/>
  </r>
  <r>
    <x v="1"/>
    <s v="Denny Blanton"/>
  </r>
  <r>
    <x v="1"/>
    <s v="Philisse Overcash"/>
  </r>
  <r>
    <x v="1"/>
    <s v="Clay Ludtke"/>
  </r>
  <r>
    <x v="1"/>
    <s v="Ann Steele"/>
  </r>
  <r>
    <x v="1"/>
    <s v="Carol Darley"/>
  </r>
  <r>
    <x v="1"/>
    <s v="Jason Klamczynski"/>
  </r>
  <r>
    <x v="1"/>
    <s v="Thomas Thornton"/>
  </r>
  <r>
    <x v="1"/>
    <s v="Barry Pond"/>
  </r>
  <r>
    <x v="1"/>
    <s v="Edward Nazzal"/>
  </r>
  <r>
    <x v="1"/>
    <s v="Scott Williamson"/>
  </r>
  <r>
    <x v="1"/>
    <s v="Natalie DeCherney"/>
  </r>
  <r>
    <x v="1"/>
    <s v="George Zrebassa"/>
  </r>
  <r>
    <x v="1"/>
    <s v="Sue Ann Reed"/>
  </r>
  <r>
    <x v="1"/>
    <s v="Vivek Grady"/>
  </r>
  <r>
    <x v="1"/>
    <s v="Catherine Glotzbach"/>
  </r>
  <r>
    <x v="1"/>
    <s v="Roger Demir"/>
  </r>
  <r>
    <x v="1"/>
    <s v="Harry Greene"/>
  </r>
  <r>
    <x v="1"/>
    <s v="Troy Blackwell"/>
  </r>
  <r>
    <x v="1"/>
    <s v="Pauline Webber"/>
  </r>
  <r>
    <x v="1"/>
    <s v="Paul Stevenson"/>
  </r>
  <r>
    <x v="1"/>
    <s v="Ted Butterfield"/>
  </r>
  <r>
    <x v="1"/>
    <s v="Anna Chung"/>
  </r>
  <r>
    <x v="1"/>
    <s v="Bill Eplett"/>
  </r>
  <r>
    <x v="1"/>
    <s v="Mary Zewe"/>
  </r>
  <r>
    <x v="1"/>
    <s v="Raymond Buch"/>
  </r>
  <r>
    <x v="1"/>
    <s v="Erin Creighton"/>
  </r>
  <r>
    <x v="1"/>
    <s v="Sanjit Jacobs"/>
  </r>
  <r>
    <x v="1"/>
    <s v="Brian Moss"/>
  </r>
  <r>
    <x v="1"/>
    <s v="Harold Ryan"/>
  </r>
  <r>
    <x v="1"/>
    <s v="Justin Deggeller"/>
  </r>
  <r>
    <x v="1"/>
    <s v="Christina VanderZanden"/>
  </r>
  <r>
    <x v="1"/>
    <s v="John Castell"/>
  </r>
  <r>
    <x v="1"/>
    <s v="Filia McAdams"/>
  </r>
  <r>
    <x v="1"/>
    <s v="Michelle Lonsdale"/>
  </r>
  <r>
    <x v="1"/>
    <s v="Heather Kirkland"/>
  </r>
  <r>
    <x v="1"/>
    <s v="Gary McGarr"/>
  </r>
  <r>
    <x v="1"/>
    <s v="Maria Zettner"/>
  </r>
  <r>
    <x v="1"/>
    <s v="Evan Minnotte"/>
  </r>
  <r>
    <x v="1"/>
    <s v="Brendan Dodson"/>
  </r>
  <r>
    <x v="1"/>
    <s v="Lena Cacioppo"/>
  </r>
  <r>
    <x v="1"/>
    <s v="Alejandro Grove"/>
  </r>
  <r>
    <x v="1"/>
    <s v="Cyma Kinney"/>
  </r>
  <r>
    <x v="1"/>
    <s v="Dave Hallsten"/>
  </r>
  <r>
    <x v="1"/>
    <s v="Alan Barnes"/>
  </r>
  <r>
    <x v="1"/>
    <s v="Tom Boeckenhauer"/>
  </r>
  <r>
    <x v="1"/>
    <s v="Tony Molinari"/>
  </r>
  <r>
    <x v="1"/>
    <s v="Becky Pak"/>
  </r>
  <r>
    <x v="1"/>
    <s v="Maria Etezadi"/>
  </r>
  <r>
    <x v="1"/>
    <s v="Daniel Byrd"/>
  </r>
  <r>
    <x v="1"/>
    <s v="Denny Ordway"/>
  </r>
  <r>
    <x v="1"/>
    <s v="David Smith"/>
  </r>
  <r>
    <x v="1"/>
    <s v="Chad McGuire"/>
  </r>
  <r>
    <x v="1"/>
    <s v="Jim Epp"/>
  </r>
  <r>
    <x v="1"/>
    <s v="Emily Grady"/>
  </r>
  <r>
    <x v="1"/>
    <s v="Henry Goldwyn"/>
  </r>
  <r>
    <x v="1"/>
    <s v="Scott Cohen"/>
  </r>
  <r>
    <x v="1"/>
    <s v="Adam Shillingsburg"/>
  </r>
  <r>
    <x v="1"/>
    <s v="George Bell"/>
  </r>
  <r>
    <x v="1"/>
    <s v="Maribeth Schnelling"/>
  </r>
  <r>
    <x v="1"/>
    <s v="Barry Französisch"/>
  </r>
  <r>
    <x v="1"/>
    <s v="Nick Crebassa"/>
  </r>
  <r>
    <x v="1"/>
    <s v="Tony Chapman"/>
  </r>
  <r>
    <x v="1"/>
    <s v="Amy Hunt"/>
  </r>
  <r>
    <x v="1"/>
    <s v="Alyssa Tate"/>
  </r>
  <r>
    <x v="1"/>
    <s v="Katherine Hughes"/>
  </r>
  <r>
    <x v="1"/>
    <s v="Anne McFarland"/>
  </r>
  <r>
    <x v="1"/>
    <s v="Tom Ashbrook"/>
  </r>
  <r>
    <x v="1"/>
    <s v="Max Ludwig"/>
  </r>
  <r>
    <x v="1"/>
    <s v="Charles Sheldon"/>
  </r>
  <r>
    <x v="1"/>
    <s v="Christopher Schild"/>
  </r>
  <r>
    <x v="1"/>
    <s v="Adrian Hane"/>
  </r>
  <r>
    <x v="1"/>
    <s v="Denise Monton"/>
  </r>
  <r>
    <x v="1"/>
    <s v="Noah Childs"/>
  </r>
  <r>
    <x v="1"/>
    <s v="Bryan Spruell"/>
  </r>
  <r>
    <x v="1"/>
    <s v="Ken Lonsdale"/>
  </r>
  <r>
    <x v="1"/>
    <s v="Dennis Bolton"/>
  </r>
  <r>
    <x v="1"/>
    <s v="Russell D'Ascenzo"/>
  </r>
  <r>
    <x v="1"/>
    <s v="Bruce Stewart"/>
  </r>
  <r>
    <x v="1"/>
    <s v="Mitch Gastineau"/>
  </r>
  <r>
    <x v="1"/>
    <s v="Luke Weiss"/>
  </r>
  <r>
    <x v="1"/>
    <s v="Henry MacAllister"/>
  </r>
  <r>
    <x v="1"/>
    <s v="Jack Lebron"/>
  </r>
  <r>
    <x v="1"/>
    <s v="Sample Company A"/>
  </r>
  <r>
    <x v="1"/>
    <s v="Bill Donatelli"/>
  </r>
  <r>
    <x v="1"/>
    <s v="Yana Sorensen"/>
  </r>
  <r>
    <x v="1"/>
    <s v="Rob Williams"/>
  </r>
  <r>
    <x v="1"/>
    <s v="Dave Poirier"/>
  </r>
  <r>
    <x v="1"/>
    <s v="Christine Sundaresam"/>
  </r>
  <r>
    <x v="1"/>
    <s v="Harry Marie"/>
  </r>
  <r>
    <x v="1"/>
    <s v="Noel Staavos"/>
  </r>
  <r>
    <x v="1"/>
    <s v="Adam Hart"/>
  </r>
  <r>
    <x v="1"/>
    <s v="Shirley Daniels"/>
  </r>
  <r>
    <x v="1"/>
    <s v="Andrew Allen"/>
  </r>
  <r>
    <x v="1"/>
    <s v="Joel Eaton"/>
  </r>
  <r>
    <x v="1"/>
    <s v="Edward Becker"/>
  </r>
  <r>
    <x v="1"/>
    <s v="Paul Lucas"/>
  </r>
  <r>
    <x v="1"/>
    <s v="Roy Französisch"/>
  </r>
  <r>
    <x v="1"/>
    <s v="Jesus Ocampo"/>
  </r>
  <r>
    <x v="1"/>
    <s v="Bruce Geld"/>
  </r>
  <r>
    <x v="1"/>
    <s v="Brendan Murry"/>
  </r>
  <r>
    <x v="1"/>
    <s v="Pamela Stobb"/>
  </r>
  <r>
    <x v="1"/>
    <s v="Sharelle Roach"/>
  </r>
  <r>
    <x v="1"/>
    <s v="Brad Eason"/>
  </r>
  <r>
    <x v="1"/>
    <s v="Sarah Jordon"/>
  </r>
  <r>
    <x v="1"/>
    <s v="Shirley Jackson"/>
  </r>
  <r>
    <x v="1"/>
    <s v="Joni Wasserman"/>
  </r>
  <r>
    <x v="1"/>
    <s v="Katherine Nockton"/>
  </r>
  <r>
    <x v="1"/>
    <s v="Resi Pölking"/>
  </r>
  <r>
    <x v="1"/>
    <s v="Meg O'Connel"/>
  </r>
  <r>
    <x v="1"/>
    <s v="Bruce Degenhardt"/>
  </r>
  <r>
    <x v="1"/>
    <s v="Parhena Norris"/>
  </r>
  <r>
    <x v="1"/>
    <s v="Sally Knutson"/>
  </r>
  <r>
    <x v="1"/>
    <s v="Sean Christensen"/>
  </r>
  <r>
    <x v="1"/>
    <s v="Greg Guthrie"/>
  </r>
  <r>
    <x v="1"/>
    <s v="Tamara Dahlen"/>
  </r>
  <r>
    <x v="1"/>
    <s v="Art Ferguson"/>
  </r>
  <r>
    <x v="1"/>
    <s v="Damala Kotsonis"/>
  </r>
  <r>
    <x v="1"/>
    <s v="Christine Phan"/>
  </r>
  <r>
    <x v="1"/>
    <s v="Susan Vittorini"/>
  </r>
  <r>
    <x v="1"/>
    <s v="Speros Goranitis"/>
  </r>
  <r>
    <x v="1"/>
    <s v="Rob Lucas"/>
  </r>
  <r>
    <x v="1"/>
    <s v="Larry Hughes"/>
  </r>
  <r>
    <x v="1"/>
    <s v="Mick Brown"/>
  </r>
  <r>
    <x v="1"/>
    <s v="Larry Blacks"/>
  </r>
  <r>
    <x v="1"/>
    <s v="Arthur Prichep"/>
  </r>
  <r>
    <x v="1"/>
    <s v="Janet Lee"/>
  </r>
  <r>
    <x v="1"/>
    <s v="Kean Thornton"/>
  </r>
  <r>
    <x v="1"/>
    <s v="Dionis Lloyd"/>
  </r>
  <r>
    <x v="1"/>
    <s v="Quincy Jones"/>
  </r>
  <r>
    <x v="1"/>
    <s v="Nick Zandusky"/>
  </r>
  <r>
    <x v="1"/>
    <s v="Neoma Murray"/>
  </r>
  <r>
    <x v="1"/>
    <s v="Erin Ashbrook"/>
  </r>
  <r>
    <x v="1"/>
    <s v="Saphhira Shifley"/>
  </r>
  <r>
    <x v="1"/>
    <s v="Arthur Gainer"/>
  </r>
  <r>
    <x v="1"/>
    <s v="Elizabeth Moffitt"/>
  </r>
  <r>
    <x v="1"/>
    <s v="Dorothy Dickinson"/>
  </r>
  <r>
    <x v="1"/>
    <s v="Darren Budd"/>
  </r>
  <r>
    <x v="1"/>
    <s v="Mike Kennedy"/>
  </r>
  <r>
    <x v="1"/>
    <s v="Chris Cortes"/>
  </r>
  <r>
    <x v="1"/>
    <s v="Muhammed Yedwab"/>
  </r>
  <r>
    <x v="1"/>
    <s v="Lisa Hazard"/>
  </r>
  <r>
    <x v="1"/>
    <s v="Arianne Irving"/>
  </r>
  <r>
    <x v="1"/>
    <s v="Darren Koutras"/>
  </r>
  <r>
    <x v="1"/>
    <s v="Toby Carlisle"/>
  </r>
  <r>
    <x v="1"/>
    <s v="Doug Bickford"/>
  </r>
  <r>
    <x v="1"/>
    <s v="Gary Zandusky"/>
  </r>
  <r>
    <x v="1"/>
    <s v="Carlos Soltero"/>
  </r>
  <r>
    <x v="1"/>
    <s v="Rick Wilson"/>
  </r>
  <r>
    <x v="1"/>
    <s v="Adam Bellavance"/>
  </r>
  <r>
    <x v="1"/>
    <s v="Michelle Moray"/>
  </r>
  <r>
    <x v="1"/>
    <s v="Ed Braxton"/>
  </r>
  <r>
    <x v="1"/>
    <s v="Laurel Beltran"/>
  </r>
  <r>
    <x v="1"/>
    <s v="Todd Sumrall"/>
  </r>
  <r>
    <x v="1"/>
    <s v="Liz Pelletier"/>
  </r>
  <r>
    <x v="1"/>
    <s v="Zuschuss Carroll"/>
  </r>
  <r>
    <x v="1"/>
    <s v="Chloris Kastensmidt"/>
  </r>
  <r>
    <x v="1"/>
    <s v="Cynthia Arntzen"/>
  </r>
  <r>
    <x v="1"/>
    <s v="Alyssa Crouse"/>
  </r>
  <r>
    <x v="1"/>
    <s v="Jonathan Howell"/>
  </r>
  <r>
    <x v="1"/>
    <s v="Carl Weiss"/>
  </r>
  <r>
    <x v="1"/>
    <s v="Ross Baird"/>
  </r>
  <r>
    <x v="1"/>
    <s v="Greg Tran"/>
  </r>
  <r>
    <x v="1"/>
    <s v="Anthony Jacobs"/>
  </r>
  <r>
    <x v="1"/>
    <s v="Pauline Johnson"/>
  </r>
  <r>
    <x v="1"/>
    <s v="Eva Jacobs"/>
  </r>
  <r>
    <x v="1"/>
    <s v="Jason Fortune-"/>
  </r>
  <r>
    <x v="1"/>
    <s v="Joy Daniels"/>
  </r>
  <r>
    <x v="1"/>
    <s v="John Murray"/>
  </r>
  <r>
    <x v="1"/>
    <s v="Todd Boyes"/>
  </r>
  <r>
    <x v="1"/>
    <s v="Paul Prost"/>
  </r>
  <r>
    <x v="1"/>
    <s v="Adrian Barton"/>
  </r>
  <r>
    <x v="1"/>
    <s v="Susan Gilcrest"/>
  </r>
  <r>
    <x v="1"/>
    <s v="Toby Swindell"/>
  </r>
  <r>
    <x v="1"/>
    <s v="Annie Thurman"/>
  </r>
  <r>
    <x v="1"/>
    <s v="Becky Castell"/>
  </r>
  <r>
    <x v="1"/>
    <s v="Neil Ducich"/>
  </r>
  <r>
    <x v="1"/>
    <s v="Patrick Jones"/>
  </r>
  <r>
    <x v="1"/>
    <s v="Nat Carroll"/>
  </r>
  <r>
    <x v="1"/>
    <s v="Chuck Clark"/>
  </r>
  <r>
    <x v="1"/>
    <s v="Rick Duston"/>
  </r>
  <r>
    <x v="1"/>
    <s v="Allen Rosenblatt"/>
  </r>
  <r>
    <x v="1"/>
    <s v="John Grady"/>
  </r>
  <r>
    <x v="1"/>
    <s v="Eric Hoffmann"/>
  </r>
  <r>
    <x v="1"/>
    <s v="Laurel Elliston"/>
  </r>
  <r>
    <x v="1"/>
    <s v="Vicky Freymann"/>
  </r>
  <r>
    <x v="1"/>
    <s v="Vivek Sundaresam"/>
  </r>
  <r>
    <x v="1"/>
    <s v="Trudy Brown"/>
  </r>
  <r>
    <x v="1"/>
    <s v="Jeremy Lonsdale"/>
  </r>
  <r>
    <x v="1"/>
    <s v="Kimberly Carter"/>
  </r>
  <r>
    <x v="1"/>
    <s v="Carlos Daly"/>
  </r>
  <r>
    <x v="1"/>
    <s v="Bryan Mills"/>
  </r>
  <r>
    <x v="1"/>
    <s v="Roy Phan"/>
  </r>
  <r>
    <x v="1"/>
    <s v="James Galang"/>
  </r>
  <r>
    <x v="1"/>
    <s v="Duane Noonan"/>
  </r>
  <r>
    <x v="1"/>
    <s v="Dianna Wilson"/>
  </r>
  <r>
    <x v="1"/>
    <s v="Tiffany House"/>
  </r>
  <r>
    <x v="1"/>
    <s v="Michael Dominguez"/>
  </r>
  <r>
    <x v="1"/>
    <s v="Alice McCarthy"/>
  </r>
  <r>
    <x v="1"/>
    <s v="Lori Olson"/>
  </r>
  <r>
    <x v="1"/>
    <s v="Patrick O'Donnell"/>
  </r>
  <r>
    <x v="1"/>
    <s v="Henia Zydlo"/>
  </r>
  <r>
    <x v="1"/>
    <s v="Guy Thornton"/>
  </r>
  <r>
    <x v="1"/>
    <s v="Kelly Andreada"/>
  </r>
  <r>
    <x v="1"/>
    <s v="Suzanne McNair"/>
  </r>
  <r>
    <x v="1"/>
    <s v="Barry Weirich"/>
  </r>
  <r>
    <x v="1"/>
    <s v="Barry Blumstein"/>
  </r>
  <r>
    <x v="1"/>
    <s v="Alejandro Ballentine"/>
  </r>
  <r>
    <x v="1"/>
    <s v="Cari Schnelling"/>
  </r>
  <r>
    <x v="1"/>
    <s v="John Dryer"/>
  </r>
  <r>
    <x v="1"/>
    <s v="Nick Radford"/>
  </r>
  <r>
    <x v="1"/>
    <s v="Giulietta Dortch"/>
  </r>
  <r>
    <x v="1"/>
    <s v="Erica Hernandez"/>
  </r>
  <r>
    <x v="1"/>
    <s v="Dan Campbell"/>
  </r>
  <r>
    <x v="1"/>
    <s v="Carol Triggs"/>
  </r>
  <r>
    <x v="1"/>
    <s v="Erin Mull"/>
  </r>
  <r>
    <x v="1"/>
    <s v="Frank Olsen"/>
  </r>
  <r>
    <x v="1"/>
    <s v="Maureen Gastineau"/>
  </r>
  <r>
    <x v="1"/>
    <s v="Dorris liebe"/>
  </r>
  <r>
    <x v="1"/>
    <s v="Liz Willingham"/>
  </r>
  <r>
    <x v="1"/>
    <s v="Ben Wallace"/>
  </r>
  <r>
    <x v="1"/>
    <s v="Anna Gayman"/>
  </r>
  <r>
    <x v="1"/>
    <s v="Michelle Tran"/>
  </r>
  <r>
    <x v="1"/>
    <s v="Linda Cazamias"/>
  </r>
  <r>
    <x v="1"/>
    <s v="Muhammed MacIntyre"/>
  </r>
  <r>
    <x v="1"/>
    <s v="Carl Ludwig"/>
  </r>
  <r>
    <x v="1"/>
    <s v="Dianna Vittorini"/>
  </r>
  <r>
    <x v="1"/>
    <s v="Kristina Nunn"/>
  </r>
  <r>
    <x v="1"/>
    <s v="Zuschuss Donatelli"/>
  </r>
  <r>
    <x v="1"/>
    <s v="Sarah Brown"/>
  </r>
  <r>
    <x v="1"/>
    <s v="Troy Staebel"/>
  </r>
  <r>
    <x v="1"/>
    <s v="Lena Creighton"/>
  </r>
  <r>
    <x v="1"/>
    <s v="Hunter Glantz"/>
  </r>
  <r>
    <x v="1"/>
    <s v="Paul Gonzalez"/>
  </r>
  <r>
    <x v="1"/>
    <s v="Tamara Willingham"/>
  </r>
  <r>
    <x v="1"/>
    <s v="Dean percer"/>
  </r>
  <r>
    <x v="1"/>
    <s v="Joe Elijah"/>
  </r>
  <r>
    <x v="1"/>
    <s v="Thomas Seio"/>
  </r>
  <r>
    <x v="1"/>
    <s v="Kristen Hastings"/>
  </r>
  <r>
    <x v="1"/>
    <s v="Stuart Calhoun"/>
  </r>
  <r>
    <x v="1"/>
    <s v="Clay Cheatham"/>
  </r>
  <r>
    <x v="1"/>
    <s v="Michael Kennedy"/>
  </r>
  <r>
    <x v="1"/>
    <s v="Steven Roelle"/>
  </r>
  <r>
    <x v="1"/>
    <s v="Philip Fox"/>
  </r>
  <r>
    <x v="1"/>
    <s v="Ryan Akin"/>
  </r>
  <r>
    <x v="1"/>
    <s v="Luke Schmidt"/>
  </r>
  <r>
    <x v="1"/>
    <s v="Katherine Ducich"/>
  </r>
  <r>
    <x v="1"/>
    <s v="Neil Knudson"/>
  </r>
  <r>
    <x v="1"/>
    <s v="Craig Carreira"/>
  </r>
  <r>
    <x v="1"/>
    <s v="Katharine Harms"/>
  </r>
  <r>
    <x v="1"/>
    <s v="Jim Sink"/>
  </r>
  <r>
    <x v="1"/>
    <s v="Deborah Brumfield"/>
  </r>
  <r>
    <x v="1"/>
    <s v="George Ashbrook"/>
  </r>
  <r>
    <x v="1"/>
    <s v="Jeremy Ellison"/>
  </r>
  <r>
    <x v="1"/>
    <s v="Toby Ritter"/>
  </r>
  <r>
    <x v="1"/>
    <s v="Shui Tom"/>
  </r>
  <r>
    <x v="1"/>
    <s v="Alan Shonely"/>
  </r>
  <r>
    <x v="1"/>
    <s v="Rick Bensley"/>
  </r>
  <r>
    <x v="1"/>
    <s v="Joe Kamberova"/>
  </r>
  <r>
    <x v="1"/>
    <s v="Sonia Cooley"/>
  </r>
  <r>
    <x v="1"/>
    <s v="Matthew Clasen"/>
  </r>
  <r>
    <x v="1"/>
    <s v="Maria Bertelson"/>
  </r>
  <r>
    <x v="1"/>
    <s v="Fred McMath"/>
  </r>
  <r>
    <x v="1"/>
    <s v="Olvera Toch"/>
  </r>
  <r>
    <x v="1"/>
    <s v="Dan Reichenbach"/>
  </r>
  <r>
    <x v="1"/>
    <s v="Nora Preis"/>
  </r>
  <r>
    <x v="1"/>
    <s v="Tracy Hopkins"/>
  </r>
  <r>
    <x v="1"/>
    <s v="Michelle Arnett"/>
  </r>
  <r>
    <x v="1"/>
    <s v="William Brown"/>
  </r>
  <r>
    <x v="1"/>
    <s v="Alex Avila"/>
  </r>
  <r>
    <x v="1"/>
    <s v="Dean Katz"/>
  </r>
  <r>
    <x v="1"/>
    <s v="Victor Preis"/>
  </r>
  <r>
    <x v="1"/>
    <s v="Ralph Arnett"/>
  </r>
  <r>
    <x v="1"/>
    <s v="Sheri Gordon"/>
  </r>
  <r>
    <x v="1"/>
    <s v="Darrin Van Huff"/>
  </r>
  <r>
    <x v="1"/>
    <s v="Tony Sayre"/>
  </r>
  <r>
    <x v="1"/>
    <s v="Frank Merwin"/>
  </r>
  <r>
    <x v="1"/>
    <s v="Chuck Sachs"/>
  </r>
  <r>
    <x v="1"/>
    <s v="Christina Anderson"/>
  </r>
  <r>
    <x v="1"/>
    <s v="Jim Kriz"/>
  </r>
  <r>
    <x v="1"/>
    <s v="Michael Oakman"/>
  </r>
  <r>
    <x v="1"/>
    <s v="Patrick O'Brill"/>
  </r>
  <r>
    <x v="1"/>
    <s v="Angele Hood"/>
  </r>
  <r>
    <x v="1"/>
    <s v="Fred Hopkins"/>
  </r>
  <r>
    <x v="1"/>
    <s v="Michael Paige"/>
  </r>
  <r>
    <x v="1"/>
    <s v="Harold Engle"/>
  </r>
  <r>
    <x v="1"/>
    <s v="Jenna Caffey"/>
  </r>
  <r>
    <x v="1"/>
    <s v="Mathew Reese"/>
  </r>
  <r>
    <x v="1"/>
    <s v="Sean Miller"/>
  </r>
  <r>
    <x v="1"/>
    <s v="Frank Gastineau"/>
  </r>
  <r>
    <x v="1"/>
    <s v="Beth Fritzler"/>
  </r>
  <r>
    <x v="1"/>
    <s v="Tom Stivers"/>
  </r>
  <r>
    <x v="1"/>
    <s v="Karen Bern"/>
  </r>
  <r>
    <x v="1"/>
    <s v="Natalie Webber"/>
  </r>
  <r>
    <x v="1"/>
    <s v="Rick Reed"/>
  </r>
  <r>
    <x v="1"/>
    <s v="Sandra Flanagan"/>
  </r>
  <r>
    <x v="1"/>
    <s v="Natalie Fritzler"/>
  </r>
  <r>
    <x v="1"/>
    <s v="Anthony Johnson"/>
  </r>
  <r>
    <x v="1"/>
    <s v="Shaun Weien"/>
  </r>
  <r>
    <x v="1"/>
    <s v="Seth Vernon"/>
  </r>
  <r>
    <x v="1"/>
    <s v="Anthony Rawles"/>
  </r>
  <r>
    <x v="1"/>
    <s v="Sarah Foster"/>
  </r>
  <r>
    <x v="1"/>
    <s v="Kelly Lampkin"/>
  </r>
  <r>
    <x v="1"/>
    <s v="Gene McClure"/>
  </r>
  <r>
    <x v="1"/>
    <s v="Sean Wendt"/>
  </r>
  <r>
    <x v="1"/>
    <s v="Pete Takahito"/>
  </r>
  <r>
    <x v="1"/>
    <s v="Eric Barreto"/>
  </r>
  <r>
    <x v="1"/>
    <s v="Annie Zypern"/>
  </r>
  <r>
    <x v="1"/>
    <s v="Lena Hernandez"/>
  </r>
  <r>
    <x v="1"/>
    <s v="Nathan Mautz"/>
  </r>
  <r>
    <x v="1"/>
    <s v="Tracy Blumstein"/>
  </r>
  <r>
    <x v="1"/>
    <s v="Lisa Ryan"/>
  </r>
  <r>
    <x v="1"/>
    <s v="Mike Gockenbach"/>
  </r>
  <r>
    <x v="1"/>
    <s v="Dennis Kane"/>
  </r>
  <r>
    <x v="1"/>
    <s v="Matt Hagelstein"/>
  </r>
  <r>
    <x v="1"/>
    <s v="Giulietta Weimer"/>
  </r>
  <r>
    <x v="1"/>
    <s v="Laura Armstrong"/>
  </r>
  <r>
    <x v="1"/>
    <s v="Roland Fjeld"/>
  </r>
  <r>
    <x v="1"/>
    <s v="Greg Matthias"/>
  </r>
  <r>
    <x v="1"/>
    <s v="Katrina Willman"/>
  </r>
  <r>
    <x v="1"/>
    <s v="Eric Murdock"/>
  </r>
  <r>
    <x v="1"/>
    <s v="Charlotte Melton"/>
  </r>
  <r>
    <x v="1"/>
    <s v="Scot Coram"/>
  </r>
  <r>
    <x v="1"/>
    <s v="Gary Mitchum"/>
  </r>
  <r>
    <x v="1"/>
    <s v="Cindy Chapman"/>
  </r>
  <r>
    <x v="1"/>
    <s v="Jay Kimmel"/>
  </r>
  <r>
    <x v="1"/>
    <s v="Ivan Liston"/>
  </r>
  <r>
    <x v="1"/>
    <s v="Steve Chapman"/>
  </r>
  <r>
    <x v="1"/>
    <s v="Sylvia Foulston"/>
  </r>
  <r>
    <x v="1"/>
    <s v="Daniel Raglin"/>
  </r>
  <r>
    <x v="1"/>
    <s v="Dana Kaydos"/>
  </r>
  <r>
    <x v="1"/>
    <s v="Brenda Bowman"/>
  </r>
  <r>
    <x v="1"/>
    <s v="Justin MacKendrick"/>
  </r>
  <r>
    <x v="1"/>
    <s v="Rick Hansen"/>
  </r>
  <r>
    <x v="1"/>
    <s v="Russell Applegate"/>
  </r>
  <r>
    <x v="1"/>
    <s v="Nicole Fjeld"/>
  </r>
  <r>
    <x v="1"/>
    <s v="Charles McCrossin"/>
  </r>
  <r>
    <x v="1"/>
    <s v="Jennifer Braxton"/>
  </r>
  <r>
    <x v="1"/>
    <s v="Doug O'Connell"/>
  </r>
  <r>
    <x v="1"/>
    <s v="Eleni McCrary"/>
  </r>
  <r>
    <x v="1"/>
    <s v="Patrick Ryan"/>
  </r>
  <r>
    <x v="1"/>
    <s v="Sung Chung"/>
  </r>
  <r>
    <x v="1"/>
    <s v="Darrin Martin"/>
  </r>
  <r>
    <x v="1"/>
    <s v="Alan Haines"/>
  </r>
  <r>
    <x v="1"/>
    <s v="Heather Jas"/>
  </r>
  <r>
    <x v="1"/>
    <s v="Steve Carroll"/>
  </r>
  <r>
    <x v="1"/>
    <s v="Ben Peterman"/>
  </r>
  <r>
    <x v="1"/>
    <s v="Stefania Perrino"/>
  </r>
  <r>
    <x v="1"/>
    <s v="Maxwell Schwartz"/>
  </r>
  <r>
    <x v="1"/>
    <s v="Ashley Jarboe"/>
  </r>
  <r>
    <x v="1"/>
    <s v="Barry Gonzalez"/>
  </r>
  <r>
    <x v="1"/>
    <s v="Arthur Wiediger"/>
  </r>
  <r>
    <x v="1"/>
    <s v="Bradley Nguyen"/>
  </r>
  <r>
    <x v="1"/>
    <s v="Sung Shariari"/>
  </r>
  <r>
    <x v="1"/>
    <s v="Anthony Witt"/>
  </r>
  <r>
    <x v="1"/>
    <s v="Jill Stevenson"/>
  </r>
  <r>
    <x v="1"/>
    <s v="Ralph Kennedy"/>
  </r>
  <r>
    <x v="1"/>
    <s v="Phillip Flathmann"/>
  </r>
  <r>
    <x v="1"/>
    <s v="Mick Crebagga"/>
  </r>
  <r>
    <x v="1"/>
    <s v="Katrina Bavinger"/>
  </r>
  <r>
    <x v="1"/>
    <s v="Aleksandra Gannaway"/>
  </r>
  <r>
    <x v="1"/>
    <s v="Aimee Bixby"/>
  </r>
  <r>
    <x v="1"/>
    <s v="Greg Maxwell"/>
  </r>
  <r>
    <x v="1"/>
    <s v="Vivian Mathis"/>
  </r>
  <r>
    <x v="1"/>
    <s v="Michael Grace"/>
  </r>
  <r>
    <x v="1"/>
    <s v="Dario Medina"/>
  </r>
  <r>
    <x v="1"/>
    <s v="Trudy Glocke"/>
  </r>
  <r>
    <x v="1"/>
    <s v="Ruben Dartt"/>
  </r>
  <r>
    <x v="1"/>
    <s v="Robert Dilbeck"/>
  </r>
  <r>
    <x v="1"/>
    <s v="Allen Armold"/>
  </r>
  <r>
    <x v="1"/>
    <s v="Allen Goldenen"/>
  </r>
  <r>
    <x v="1"/>
    <s v="Jasper Cacioppo"/>
  </r>
  <r>
    <x v="1"/>
    <s v="Eugene Barchas"/>
  </r>
  <r>
    <x v="1"/>
    <s v="Eudokia Martin"/>
  </r>
  <r>
    <x v="1"/>
    <s v="Alex Russell"/>
  </r>
  <r>
    <x v="1"/>
    <s v="Sean Braxton"/>
  </r>
  <r>
    <x v="1"/>
    <s v="Liz Carlisle"/>
  </r>
  <r>
    <x v="1"/>
    <s v="Logan Currie"/>
  </r>
  <r>
    <x v="1"/>
    <s v="Grace Kelly"/>
  </r>
  <r>
    <x v="1"/>
    <s v="Ken Heidel"/>
  </r>
  <r>
    <x v="1"/>
    <s v="Helen Abelman"/>
  </r>
  <r>
    <x v="1"/>
    <s v="Shahid Shariari"/>
  </r>
  <r>
    <x v="1"/>
    <s v="Jennifer Ferguson"/>
  </r>
  <r>
    <x v="1"/>
    <s v="Helen Andreada"/>
  </r>
  <r>
    <x v="1"/>
    <s v="Ryan Crowe"/>
  </r>
  <r>
    <x v="1"/>
    <s v="Bart Folk"/>
  </r>
  <r>
    <x v="1"/>
    <s v="Jessica Myrick"/>
  </r>
  <r>
    <x v="1"/>
    <s v="Roger Barcio"/>
  </r>
  <r>
    <x v="1"/>
    <s v="Craig Yedwab"/>
  </r>
  <r>
    <x v="1"/>
    <s v="Liz Thompson"/>
  </r>
  <r>
    <x v="1"/>
    <s v="Theresa Coyne"/>
  </r>
  <r>
    <x v="1"/>
    <s v="Erica Smith"/>
  </r>
  <r>
    <x v="1"/>
    <s v="Charles Crestani"/>
  </r>
  <r>
    <x v="1"/>
    <s v="Evan Henry"/>
  </r>
  <r>
    <x v="1"/>
    <s v="Alan Schoenberger"/>
  </r>
  <r>
    <x v="1"/>
    <s v="Pete Armstrong"/>
  </r>
  <r>
    <x v="1"/>
    <s v="Justin Ritter"/>
  </r>
  <r>
    <x v="1"/>
    <s v="Muhammed Lee"/>
  </r>
  <r>
    <x v="1"/>
    <s v="Peter Bühler"/>
  </r>
  <r>
    <x v="1"/>
    <s v="Berenike Kampe"/>
  </r>
  <r>
    <x v="1"/>
    <s v="Shaun Chance"/>
  </r>
  <r>
    <x v="1"/>
    <s v="David Wiener"/>
  </r>
  <r>
    <x v="1"/>
    <s v="Maya Herman"/>
  </r>
  <r>
    <x v="1"/>
    <s v="Brooke Gillingham"/>
  </r>
  <r>
    <x v="1"/>
    <s v="Kelly Collister"/>
  </r>
  <r>
    <x v="1"/>
    <s v="Philip Brown"/>
  </r>
  <r>
    <x v="1"/>
    <s v="Brian Dahlen"/>
  </r>
  <r>
    <x v="1"/>
    <s v="Frank Atkinson"/>
  </r>
  <r>
    <x v="1"/>
    <s v="Rose O'Brian"/>
  </r>
  <r>
    <x v="1"/>
    <s v="Ruben Ausman"/>
  </r>
  <r>
    <x v="1"/>
    <s v="Sara Luxemburg"/>
  </r>
  <r>
    <x v="1"/>
    <s v="Patrick Gardner"/>
  </r>
  <r>
    <x v="1"/>
    <s v="Jas O'Carroll"/>
  </r>
  <r>
    <x v="1"/>
    <s v="Michelle Ellison"/>
  </r>
  <r>
    <x v="1"/>
    <s v="Barbara Fisher"/>
  </r>
  <r>
    <x v="1"/>
    <s v="Ellis Ballard"/>
  </r>
  <r>
    <x v="1"/>
    <s v="Tanja Norvell"/>
  </r>
  <r>
    <x v="1"/>
    <s v="Corinna Mitchell"/>
  </r>
  <r>
    <x v="1"/>
    <s v="Juliana Krohn"/>
  </r>
  <r>
    <x v="1"/>
    <s v="Jane Waco"/>
  </r>
  <r>
    <x v="1"/>
    <s v="Amy Cox"/>
  </r>
  <r>
    <x v="1"/>
    <s v="Laurel Workman"/>
  </r>
  <r>
    <x v="1"/>
    <s v="Hunter Lopez"/>
  </r>
  <r>
    <x v="1"/>
    <s v="Phillina Ober"/>
  </r>
  <r>
    <x v="1"/>
    <s v="Xylona Preis"/>
  </r>
  <r>
    <x v="1"/>
    <s v="Dean Braden"/>
  </r>
  <r>
    <x v="1"/>
    <s v="Debra Catini"/>
  </r>
  <r>
    <x v="1"/>
    <s v="Evan Bailliet"/>
  </r>
  <r>
    <x v="1"/>
    <s v="Steve Nguyen"/>
  </r>
  <r>
    <x v="1"/>
    <s v="Nora Paige"/>
  </r>
  <r>
    <x v="1"/>
    <s v="Craig Reiter"/>
  </r>
  <r>
    <x v="1"/>
    <s v="Andrew Gjertsen"/>
  </r>
  <r>
    <x v="1"/>
    <s v="Anthony Garverick"/>
  </r>
  <r>
    <x v="1"/>
    <s v="Ed Ludwig"/>
  </r>
  <r>
    <x v="1"/>
    <s v="Marc Crier"/>
  </r>
  <r>
    <x v="1"/>
    <s v="Stuart Van"/>
  </r>
  <r>
    <x v="1"/>
    <s v="Bobby Odegard"/>
  </r>
  <r>
    <x v="1"/>
    <s v="Victoria Pisteka"/>
  </r>
  <r>
    <x v="1"/>
    <s v="Astrea Jones"/>
  </r>
  <r>
    <x v="1"/>
    <s v="Mary O'Rourke"/>
  </r>
  <r>
    <x v="1"/>
    <s v="Hilary Holden"/>
  </r>
  <r>
    <x v="1"/>
    <s v="Matt Abelman"/>
  </r>
  <r>
    <x v="1"/>
    <s v="Ivan Gibson"/>
  </r>
  <r>
    <x v="1"/>
    <s v="Justin Ellison"/>
  </r>
  <r>
    <x v="1"/>
    <s v="Patricia Hirasaki"/>
  </r>
  <r>
    <x v="1"/>
    <s v="Brian DeCherney"/>
  </r>
  <r>
    <x v="1"/>
    <s v="Randy Bradley"/>
  </r>
  <r>
    <x v="1"/>
    <s v="Jocasta Rupert"/>
  </r>
  <r>
    <x v="1"/>
    <s v="Julie Creighton"/>
  </r>
  <r>
    <x v="1"/>
    <s v="Jim Mitchum"/>
  </r>
  <r>
    <x v="1"/>
    <s v="Nona Balk"/>
  </r>
  <r>
    <x v="1"/>
    <s v="Keith Herrera"/>
  </r>
  <r>
    <x v="1"/>
    <s v="Jim Karlsson"/>
  </r>
  <r>
    <x v="1"/>
    <s v="Jamie Kunitz"/>
  </r>
  <r>
    <x v="1"/>
    <s v="Thomas Boland"/>
  </r>
  <r>
    <x v="1"/>
    <s v="Cindy Stewart"/>
  </r>
  <r>
    <x v="1"/>
    <s v="Nancy Lomonaco"/>
  </r>
  <r>
    <x v="1"/>
    <s v="Thea Hudgings"/>
  </r>
  <r>
    <x v="1"/>
    <s v="Kalyca Meade"/>
  </r>
  <r>
    <x v="1"/>
    <s v="Clay Rozendal"/>
  </r>
  <r>
    <x v="1"/>
    <s v="Daniel Lacy"/>
  </r>
  <r>
    <x v="1"/>
    <s v="Denise Leinenbach"/>
  </r>
  <r>
    <x v="1"/>
    <s v="Grant Thornton"/>
  </r>
  <r>
    <x v="1"/>
    <s v="James Lanier"/>
  </r>
  <r>
    <x v="1"/>
    <s v="Christina DeMoss"/>
  </r>
  <r>
    <x v="1"/>
    <s v="Anna Andreadi"/>
  </r>
  <r>
    <x v="1"/>
    <s v="Jill Fjeld"/>
  </r>
  <r>
    <x v="1"/>
    <s v="Christopher Conant"/>
  </r>
  <r>
    <x v="1"/>
    <s v="Frank Preis"/>
  </r>
  <r>
    <x v="1"/>
    <s v="Kean Nguyen"/>
  </r>
  <r>
    <x v="1"/>
    <s v="Matt Collister"/>
  </r>
  <r>
    <x v="1"/>
    <s v="Peter McVee"/>
  </r>
  <r>
    <x v="1"/>
    <s v="Gary Hwang"/>
  </r>
  <r>
    <x v="1"/>
    <s v="Ann Blume"/>
  </r>
  <r>
    <x v="1"/>
    <s v="Michael Chen"/>
  </r>
  <r>
    <x v="1"/>
    <s v="Thomas Brumley"/>
  </r>
  <r>
    <x v="1"/>
    <s v="Lindsay Shagiari"/>
  </r>
  <r>
    <x v="1"/>
    <s v="Eugene Moren"/>
  </r>
  <r>
    <x v="1"/>
    <s v="Nathan Gelder"/>
  </r>
  <r>
    <x v="1"/>
    <s v="Katrina Edelman"/>
  </r>
  <r>
    <x v="1"/>
    <s v="Ted Trevino"/>
  </r>
  <r>
    <x v="1"/>
    <s v="Ken Brennan"/>
  </r>
  <r>
    <x v="1"/>
    <s v="Mitch Willingham"/>
  </r>
  <r>
    <x v="1"/>
    <s v="Eileen Kiefer"/>
  </r>
  <r>
    <x v="1"/>
    <s v="Anne Pryor"/>
  </r>
  <r>
    <x v="1"/>
    <s v="Nathan Cano"/>
  </r>
  <r>
    <x v="1"/>
    <s v="Richard Bierner"/>
  </r>
  <r>
    <x v="1"/>
    <s v="Adrian Shami"/>
  </r>
  <r>
    <x v="1"/>
    <s v="Jennifer Halladay"/>
  </r>
  <r>
    <x v="1"/>
    <s v="Brian Thompson"/>
  </r>
  <r>
    <x v="1"/>
    <s v="Barry Franz"/>
  </r>
  <r>
    <x v="1"/>
    <s v="Benjamin Patterson"/>
  </r>
  <r>
    <x v="1"/>
    <s v="Janet Molinari"/>
  </r>
  <r>
    <x v="1"/>
    <s v="Jason Gross"/>
  </r>
  <r>
    <x v="1"/>
    <s v="Brendan Sweed"/>
  </r>
  <r>
    <x v="1"/>
    <s v="Tracy Zic"/>
  </r>
  <r>
    <x v="1"/>
    <s v="Corey Catlett"/>
  </r>
  <r>
    <x v="1"/>
    <s v="Lynn Smith"/>
  </r>
  <r>
    <x v="1"/>
    <s v="Deirdre Greer"/>
  </r>
  <r>
    <x v="1"/>
    <s v="Joseph Holt"/>
  </r>
  <r>
    <x v="1"/>
    <s v="Kunst Miller"/>
  </r>
  <r>
    <x v="1"/>
    <s v="Michael Stewart"/>
  </r>
  <r>
    <x v="1"/>
    <s v="Lena Radford"/>
  </r>
  <r>
    <x v="1"/>
    <s v="Larry Tron"/>
  </r>
  <r>
    <x v="1"/>
    <s v="Naresj Patel"/>
  </r>
  <r>
    <x v="1"/>
    <s v="Patrick Bzostek"/>
  </r>
  <r>
    <x v="1"/>
    <s v="Tracy Collins"/>
  </r>
  <r>
    <x v="1"/>
    <s v="Jeremy Pistek"/>
  </r>
  <r>
    <x v="1"/>
    <s v="Herbert Flentye"/>
  </r>
  <r>
    <x v="1"/>
    <s v="Christine Abelman"/>
  </r>
  <r>
    <x v="1"/>
    <s v="Alex Grayson"/>
  </r>
  <r>
    <x v="1"/>
    <s v="Alejandro Savely"/>
  </r>
  <r>
    <x v="1"/>
    <s v="Ralph Ritter"/>
  </r>
  <r>
    <x v="1"/>
    <s v="Roy Skaria"/>
  </r>
  <r>
    <x v="1"/>
    <s v="Mike Vittorini"/>
  </r>
  <r>
    <x v="1"/>
    <s v="Mitch Webber"/>
  </r>
  <r>
    <x v="1"/>
    <s v="Khloe Miller"/>
  </r>
  <r>
    <x v="1"/>
    <s v="Andy Yotov"/>
  </r>
  <r>
    <x v="1"/>
    <s v="Andrew Roberts"/>
  </r>
  <r>
    <x v="1"/>
    <s v="Doug Jacobs"/>
  </r>
  <r>
    <x v="1"/>
    <s v="Aaron Hawkins"/>
  </r>
  <r>
    <x v="1"/>
    <s v="David Kendrick"/>
  </r>
  <r>
    <x v="1"/>
    <s v="Brian Derr"/>
  </r>
  <r>
    <x v="1"/>
    <s v="Sandra Glassco"/>
  </r>
  <r>
    <x v="1"/>
    <s v="Monica Federle"/>
  </r>
  <r>
    <x v="1"/>
    <s v="Julia Barnett"/>
  </r>
  <r>
    <x v="1"/>
    <s v="Robert Marley"/>
  </r>
  <r>
    <x v="1"/>
    <s v="Yoseph Carroll"/>
  </r>
  <r>
    <x v="1"/>
    <s v="Pamela Coakley"/>
  </r>
  <r>
    <x v="1"/>
    <s v="Greg Hansen"/>
  </r>
  <r>
    <x v="1"/>
    <s v="Erica Bern"/>
  </r>
  <r>
    <x v="1"/>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30B8FB-C8DF-47FD-8EE6-20670CE963D4}" name="PivotTable1"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showAll="0"/>
    <pivotField showAll="0">
      <items count="4">
        <item x="0"/>
        <item x="1"/>
        <item x="2"/>
        <item t="default"/>
      </items>
    </pivotField>
    <pivotField showAll="0"/>
    <pivotField showAll="0"/>
    <pivotField showAll="0"/>
    <pivotField showAll="0">
      <items count="5">
        <item x="0"/>
        <item x="2"/>
        <item x="1"/>
        <item x="3"/>
        <item t="default"/>
      </items>
    </pivotField>
    <pivotField axis="axisRow" showAll="0" sortType="descending">
      <items count="19">
        <item x="3"/>
        <item x="13"/>
        <item x="7"/>
        <item x="5"/>
        <item x="0"/>
        <item x="11"/>
        <item x="6"/>
        <item x="10"/>
        <item x="12"/>
        <item x="8"/>
        <item x="14"/>
        <item x="15"/>
        <item x="9"/>
        <item x="1"/>
        <item x="2"/>
        <item x="16"/>
        <item x="4"/>
        <item h="1" x="17"/>
        <item t="default"/>
      </items>
      <autoSortScope>
        <pivotArea dataOnly="0" outline="0" fieldPosition="0">
          <references count="1">
            <reference field="4294967294" count="1" selected="0">
              <x v="0"/>
            </reference>
          </references>
        </pivotArea>
      </autoSortScope>
    </pivotField>
    <pivotField showAll="0">
      <items count="1744">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633"/>
        <item x="302"/>
        <item x="1161"/>
        <item x="806"/>
        <item x="306"/>
        <item x="1554"/>
        <item x="1555"/>
        <item x="1451"/>
        <item x="1390"/>
        <item x="1214"/>
        <item x="765"/>
        <item x="1220"/>
        <item x="520"/>
        <item x="861"/>
        <item x="1586"/>
        <item x="244"/>
        <item x="578"/>
        <item x="1634"/>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52"/>
        <item x="591"/>
        <item x="753"/>
        <item x="1450"/>
        <item x="174"/>
        <item x="1002"/>
        <item x="1153"/>
        <item x="241"/>
        <item x="432"/>
        <item x="1330"/>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900"/>
        <item x="1045"/>
        <item x="1630"/>
        <item x="1459"/>
        <item x="218"/>
        <item x="658"/>
        <item x="1676"/>
        <item x="1011"/>
        <item x="516"/>
        <item x="1139"/>
        <item x="61"/>
        <item x="721"/>
        <item x="1615"/>
        <item x="1192"/>
        <item x="481"/>
        <item x="24"/>
        <item x="161"/>
        <item x="27"/>
        <item x="1537"/>
        <item x="1690"/>
        <item x="1704"/>
        <item x="1633"/>
        <item x="946"/>
        <item x="196"/>
        <item x="634"/>
        <item x="112"/>
        <item x="920"/>
        <item x="778"/>
        <item x="95"/>
        <item x="1581"/>
        <item x="1231"/>
        <item x="921"/>
        <item x="1279"/>
        <item x="1673"/>
        <item x="1427"/>
        <item x="1595"/>
        <item x="548"/>
        <item x="727"/>
        <item x="1252"/>
        <item x="690"/>
        <item x="330"/>
        <item x="1504"/>
        <item x="1401"/>
        <item x="449"/>
        <item x="372"/>
        <item x="66"/>
        <item x="518"/>
        <item x="829"/>
        <item x="1264"/>
        <item x="1699"/>
        <item x="1169"/>
        <item x="1155"/>
        <item x="1680"/>
        <item x="649"/>
        <item x="1515"/>
        <item x="1708"/>
        <item x="84"/>
        <item x="786"/>
        <item x="783"/>
        <item x="125"/>
        <item x="1419"/>
        <item x="1598"/>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177"/>
        <item x="983"/>
        <item x="1725"/>
        <item x="15"/>
        <item x="1718"/>
        <item x="1277"/>
        <item x="138"/>
        <item x="1185"/>
        <item x="1685"/>
        <item x="603"/>
        <item x="484"/>
        <item x="1567"/>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661"/>
        <item x="1603"/>
        <item x="49"/>
        <item x="313"/>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500"/>
        <item x="1381"/>
        <item x="258"/>
        <item x="231"/>
        <item x="236"/>
        <item x="1134"/>
        <item x="1253"/>
        <item x="318"/>
        <item x="424"/>
        <item x="1182"/>
        <item x="1044"/>
        <item x="682"/>
        <item x="264"/>
        <item x="1076"/>
        <item x="503"/>
        <item x="655"/>
        <item x="64"/>
        <item x="1739"/>
        <item x="891"/>
        <item x="373"/>
        <item x="799"/>
        <item x="1132"/>
        <item x="1414"/>
        <item x="1613"/>
        <item x="461"/>
        <item x="696"/>
        <item x="572"/>
        <item x="677"/>
        <item x="43"/>
        <item x="3"/>
        <item x="784"/>
        <item x="369"/>
        <item x="1635"/>
        <item x="1329"/>
        <item x="1415"/>
        <item x="277"/>
        <item x="1546"/>
        <item x="227"/>
        <item x="482"/>
        <item x="745"/>
        <item x="805"/>
        <item x="150"/>
        <item x="1643"/>
        <item x="1534"/>
        <item x="1447"/>
        <item x="1354"/>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852"/>
        <item x="1151"/>
        <item x="1094"/>
        <item x="810"/>
        <item x="1243"/>
        <item x="995"/>
        <item x="1374"/>
        <item x="1406"/>
        <item x="625"/>
        <item x="1095"/>
        <item x="1040"/>
        <item x="1601"/>
        <item x="1653"/>
        <item x="1644"/>
        <item x="1367"/>
        <item x="1027"/>
        <item x="517"/>
        <item x="768"/>
        <item x="29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436"/>
        <item x="1010"/>
        <item x="1344"/>
        <item x="1245"/>
        <item x="1469"/>
        <item x="538"/>
        <item x="883"/>
        <item x="707"/>
        <item x="1097"/>
        <item x="1207"/>
        <item x="1066"/>
        <item x="508"/>
        <item x="1369"/>
        <item x="923"/>
        <item x="1351"/>
        <item x="263"/>
        <item x="1657"/>
        <item x="813"/>
        <item x="1216"/>
        <item x="907"/>
        <item x="119"/>
        <item x="1118"/>
        <item x="1607"/>
        <item x="1371"/>
        <item x="1706"/>
        <item x="1511"/>
        <item x="1623"/>
        <item x="1424"/>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28"/>
        <item x="1684"/>
        <item x="14"/>
        <item x="406"/>
        <item x="398"/>
        <item x="1453"/>
        <item x="542"/>
        <item x="617"/>
        <item x="755"/>
        <item x="1429"/>
        <item x="708"/>
        <item x="1412"/>
        <item x="937"/>
        <item x="862"/>
        <item x="585"/>
        <item x="1128"/>
        <item x="5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34"/>
        <item x="1584"/>
        <item x="1389"/>
        <item x="1522"/>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191"/>
        <item x="1575"/>
        <item x="4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242"/>
        <item x="877"/>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1098"/>
        <item x="822"/>
        <item x="948"/>
        <item x="737"/>
        <item x="1742"/>
        <item t="default"/>
      </items>
    </pivotField>
    <pivotField dataField="1" showAll="0"/>
    <pivotField showAll="0"/>
    <pivotField showAll="0"/>
  </pivotFields>
  <rowFields count="1">
    <field x="6"/>
  </rowFields>
  <rowItems count="17">
    <i>
      <x v="13"/>
    </i>
    <i>
      <x v="5"/>
    </i>
    <i>
      <x v="3"/>
    </i>
    <i>
      <x v="14"/>
    </i>
    <i>
      <x/>
    </i>
    <i>
      <x v="16"/>
    </i>
    <i>
      <x v="12"/>
    </i>
    <i>
      <x v="9"/>
    </i>
    <i>
      <x v="11"/>
    </i>
    <i>
      <x v="1"/>
    </i>
    <i>
      <x v="6"/>
    </i>
    <i>
      <x v="4"/>
    </i>
    <i>
      <x v="2"/>
    </i>
    <i>
      <x v="15"/>
    </i>
    <i>
      <x v="10"/>
    </i>
    <i>
      <x v="7"/>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7CBD4D-88FE-41B3-86EB-02CD2160AC30}" name="PivotTable4"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D6" firstHeaderRow="1" firstDataRow="2" firstDataCol="1"/>
  <pivotFields count="11">
    <pivotField showAll="0"/>
    <pivotField axis="axisRow" showAll="0">
      <items count="4">
        <item x="0"/>
        <item x="1"/>
        <item h="1" x="2"/>
        <item t="default"/>
      </items>
    </pivotField>
    <pivotField showAll="0"/>
    <pivotField showAll="0">
      <items count="775">
        <item x="564"/>
        <item x="144"/>
        <item x="155"/>
        <item x="123"/>
        <item x="342"/>
        <item x="232"/>
        <item x="48"/>
        <item x="351"/>
        <item x="570"/>
        <item x="43"/>
        <item x="675"/>
        <item x="647"/>
        <item x="621"/>
        <item x="74"/>
        <item x="605"/>
        <item x="178"/>
        <item x="339"/>
        <item x="476"/>
        <item x="276"/>
        <item x="611"/>
        <item x="94"/>
        <item x="398"/>
        <item x="731"/>
        <item x="370"/>
        <item x="362"/>
        <item x="578"/>
        <item x="695"/>
        <item x="80"/>
        <item x="588"/>
        <item x="493"/>
        <item x="239"/>
        <item x="373"/>
        <item x="533"/>
        <item x="631"/>
        <item x="508"/>
        <item x="622"/>
        <item x="368"/>
        <item x="478"/>
        <item x="757"/>
        <item x="658"/>
        <item x="494"/>
        <item x="357"/>
        <item x="136"/>
        <item x="17"/>
        <item x="272"/>
        <item x="485"/>
        <item x="281"/>
        <item x="297"/>
        <item x="56"/>
        <item x="742"/>
        <item x="597"/>
        <item x="6"/>
        <item x="418"/>
        <item x="321"/>
        <item x="727"/>
        <item x="563"/>
        <item x="220"/>
        <item x="561"/>
        <item x="267"/>
        <item x="200"/>
        <item x="318"/>
        <item x="575"/>
        <item x="744"/>
        <item x="580"/>
        <item x="163"/>
        <item x="237"/>
        <item x="359"/>
        <item x="573"/>
        <item x="593"/>
        <item x="699"/>
        <item x="734"/>
        <item x="540"/>
        <item x="520"/>
        <item x="170"/>
        <item x="451"/>
        <item x="348"/>
        <item x="45"/>
        <item x="5"/>
        <item x="541"/>
        <item x="310"/>
        <item x="499"/>
        <item x="76"/>
        <item x="567"/>
        <item x="717"/>
        <item x="191"/>
        <item x="651"/>
        <item x="198"/>
        <item x="21"/>
        <item x="3"/>
        <item x="201"/>
        <item x="666"/>
        <item x="271"/>
        <item x="59"/>
        <item x="743"/>
        <item x="139"/>
        <item x="241"/>
        <item x="667"/>
        <item x="116"/>
        <item x="649"/>
        <item x="270"/>
        <item x="30"/>
        <item x="566"/>
        <item x="674"/>
        <item x="0"/>
        <item x="482"/>
        <item x="190"/>
        <item x="103"/>
        <item x="768"/>
        <item x="506"/>
        <item x="286"/>
        <item x="188"/>
        <item x="293"/>
        <item x="89"/>
        <item x="81"/>
        <item x="445"/>
        <item x="599"/>
        <item x="110"/>
        <item x="202"/>
        <item x="679"/>
        <item x="498"/>
        <item x="653"/>
        <item x="700"/>
        <item x="636"/>
        <item x="603"/>
        <item x="551"/>
        <item x="635"/>
        <item x="27"/>
        <item x="160"/>
        <item x="626"/>
        <item x="590"/>
        <item x="413"/>
        <item x="109"/>
        <item x="595"/>
        <item x="331"/>
        <item x="221"/>
        <item x="60"/>
        <item x="159"/>
        <item x="360"/>
        <item x="677"/>
        <item x="441"/>
        <item x="405"/>
        <item x="534"/>
        <item x="205"/>
        <item x="721"/>
        <item x="302"/>
        <item x="92"/>
        <item x="230"/>
        <item x="347"/>
        <item x="58"/>
        <item x="754"/>
        <item x="454"/>
        <item x="2"/>
        <item x="183"/>
        <item x="275"/>
        <item x="133"/>
        <item x="282"/>
        <item x="639"/>
        <item x="253"/>
        <item x="32"/>
        <item x="23"/>
        <item x="503"/>
        <item x="710"/>
        <item x="231"/>
        <item x="209"/>
        <item x="481"/>
        <item x="558"/>
        <item x="33"/>
        <item x="703"/>
        <item x="244"/>
        <item x="206"/>
        <item x="118"/>
        <item x="141"/>
        <item x="480"/>
        <item x="349"/>
        <item x="404"/>
        <item x="91"/>
        <item x="223"/>
        <item x="317"/>
        <item x="416"/>
        <item x="46"/>
        <item x="617"/>
        <item x="530"/>
        <item x="251"/>
        <item x="656"/>
        <item x="151"/>
        <item x="150"/>
        <item x="82"/>
        <item x="148"/>
        <item x="722"/>
        <item x="165"/>
        <item x="752"/>
        <item x="516"/>
        <item x="146"/>
        <item x="385"/>
        <item x="688"/>
        <item x="261"/>
        <item x="238"/>
        <item x="646"/>
        <item x="315"/>
        <item x="138"/>
        <item x="337"/>
        <item x="66"/>
        <item x="330"/>
        <item x="641"/>
        <item x="41"/>
        <item x="767"/>
        <item x="154"/>
        <item x="579"/>
        <item x="152"/>
        <item x="119"/>
        <item x="18"/>
        <item x="15"/>
        <item x="410"/>
        <item x="560"/>
        <item x="429"/>
        <item x="455"/>
        <item x="543"/>
        <item x="328"/>
        <item x="126"/>
        <item x="374"/>
        <item x="283"/>
        <item x="668"/>
        <item x="166"/>
        <item x="264"/>
        <item x="642"/>
        <item x="471"/>
        <item x="7"/>
        <item x="24"/>
        <item x="434"/>
        <item x="460"/>
        <item x="84"/>
        <item x="660"/>
        <item x="427"/>
        <item x="403"/>
        <item x="175"/>
        <item x="523"/>
        <item x="576"/>
        <item x="725"/>
        <item x="637"/>
        <item x="212"/>
        <item x="101"/>
        <item x="662"/>
        <item x="214"/>
        <item x="184"/>
        <item x="124"/>
        <item x="299"/>
        <item x="761"/>
        <item x="98"/>
        <item x="440"/>
        <item x="609"/>
        <item x="464"/>
        <item x="514"/>
        <item x="537"/>
        <item x="608"/>
        <item x="526"/>
        <item x="83"/>
        <item x="22"/>
        <item x="720"/>
        <item x="4"/>
        <item x="161"/>
        <item x="226"/>
        <item x="313"/>
        <item x="69"/>
        <item x="618"/>
        <item x="411"/>
        <item x="177"/>
        <item x="555"/>
        <item x="474"/>
        <item x="181"/>
        <item x="296"/>
        <item x="600"/>
        <item x="553"/>
        <item x="169"/>
        <item x="673"/>
        <item x="187"/>
        <item x="583"/>
        <item x="531"/>
        <item x="716"/>
        <item x="489"/>
        <item x="306"/>
        <item x="547"/>
        <item x="29"/>
        <item x="131"/>
        <item x="654"/>
        <item x="602"/>
        <item x="67"/>
        <item x="463"/>
        <item x="407"/>
        <item x="756"/>
        <item x="607"/>
        <item x="171"/>
        <item x="135"/>
        <item x="614"/>
        <item x="242"/>
        <item x="591"/>
        <item x="243"/>
        <item x="669"/>
        <item x="104"/>
        <item x="473"/>
        <item x="71"/>
        <item x="217"/>
        <item x="753"/>
        <item x="421"/>
        <item x="772"/>
        <item x="308"/>
        <item x="490"/>
        <item x="73"/>
        <item x="638"/>
        <item x="356"/>
        <item x="644"/>
        <item x="40"/>
        <item x="648"/>
        <item x="671"/>
        <item x="670"/>
        <item x="255"/>
        <item x="492"/>
        <item x="218"/>
        <item x="491"/>
        <item x="406"/>
        <item x="420"/>
        <item x="127"/>
        <item x="34"/>
        <item x="484"/>
        <item x="186"/>
        <item x="745"/>
        <item x="412"/>
        <item x="336"/>
        <item x="456"/>
        <item x="332"/>
        <item x="325"/>
        <item x="384"/>
        <item x="222"/>
        <item x="9"/>
        <item x="386"/>
        <item x="322"/>
        <item x="604"/>
        <item x="511"/>
        <item x="487"/>
        <item x="301"/>
        <item x="157"/>
        <item x="577"/>
        <item x="210"/>
        <item x="192"/>
        <item x="90"/>
        <item x="44"/>
        <item x="458"/>
        <item x="352"/>
        <item x="426"/>
        <item x="713"/>
        <item x="54"/>
        <item x="733"/>
        <item x="763"/>
        <item x="323"/>
        <item x="376"/>
        <item x="539"/>
        <item x="37"/>
        <item x="179"/>
        <item x="419"/>
        <item x="204"/>
        <item x="683"/>
        <item x="72"/>
        <item x="196"/>
        <item x="538"/>
        <item x="278"/>
        <item x="751"/>
        <item x="711"/>
        <item x="545"/>
        <item x="263"/>
        <item x="320"/>
        <item x="748"/>
        <item x="361"/>
        <item x="273"/>
        <item x="521"/>
        <item x="417"/>
        <item x="70"/>
        <item x="338"/>
        <item x="650"/>
        <item x="228"/>
        <item x="224"/>
        <item x="601"/>
        <item x="64"/>
        <item x="36"/>
        <item x="518"/>
        <item x="300"/>
        <item x="633"/>
        <item x="446"/>
        <item x="459"/>
        <item x="14"/>
        <item x="692"/>
        <item x="379"/>
        <item x="100"/>
        <item x="663"/>
        <item x="247"/>
        <item x="740"/>
        <item x="749"/>
        <item x="199"/>
        <item x="115"/>
        <item x="477"/>
        <item x="610"/>
        <item x="172"/>
        <item x="294"/>
        <item x="62"/>
        <item x="562"/>
        <item x="57"/>
        <item x="298"/>
        <item x="87"/>
        <item x="111"/>
        <item x="665"/>
        <item x="466"/>
        <item x="345"/>
        <item x="705"/>
        <item x="355"/>
        <item x="390"/>
        <item x="685"/>
        <item x="729"/>
        <item x="501"/>
        <item x="546"/>
        <item x="755"/>
        <item x="145"/>
        <item x="470"/>
        <item x="479"/>
        <item x="750"/>
        <item x="634"/>
        <item x="472"/>
        <item x="496"/>
        <item x="13"/>
        <item x="303"/>
        <item x="229"/>
        <item x="388"/>
        <item x="280"/>
        <item x="392"/>
        <item x="289"/>
        <item x="363"/>
        <item x="382"/>
        <item x="211"/>
        <item x="387"/>
        <item x="687"/>
        <item x="765"/>
        <item x="11"/>
        <item x="447"/>
        <item x="269"/>
        <item x="629"/>
        <item x="657"/>
        <item x="340"/>
        <item x="85"/>
        <item x="327"/>
        <item x="329"/>
        <item x="1"/>
        <item x="274"/>
        <item x="375"/>
        <item x="77"/>
        <item x="395"/>
        <item x="240"/>
        <item x="279"/>
        <item x="550"/>
        <item x="505"/>
        <item x="51"/>
        <item x="402"/>
        <item x="568"/>
        <item x="305"/>
        <item x="122"/>
        <item x="554"/>
        <item x="180"/>
        <item x="256"/>
        <item x="698"/>
        <item x="532"/>
        <item x="585"/>
        <item x="268"/>
        <item x="287"/>
        <item x="486"/>
        <item x="28"/>
        <item x="319"/>
        <item x="572"/>
        <item x="156"/>
        <item x="525"/>
        <item x="462"/>
        <item x="53"/>
        <item x="291"/>
        <item x="457"/>
        <item x="509"/>
        <item x="369"/>
        <item x="61"/>
        <item x="594"/>
        <item x="16"/>
        <item x="153"/>
        <item x="465"/>
        <item x="312"/>
        <item x="536"/>
        <item x="714"/>
        <item x="423"/>
        <item x="624"/>
        <item x="372"/>
        <item x="581"/>
        <item x="453"/>
        <item x="75"/>
        <item x="586"/>
        <item x="12"/>
        <item x="701"/>
        <item x="333"/>
        <item x="284"/>
        <item x="415"/>
        <item x="219"/>
        <item x="399"/>
        <item x="433"/>
        <item x="113"/>
        <item x="443"/>
        <item x="389"/>
        <item x="517"/>
        <item x="557"/>
        <item x="697"/>
        <item x="467"/>
        <item x="95"/>
        <item x="257"/>
        <item x="216"/>
        <item x="262"/>
        <item x="712"/>
        <item x="524"/>
        <item x="764"/>
        <item x="552"/>
        <item x="739"/>
        <item x="659"/>
        <item x="672"/>
        <item x="690"/>
        <item x="408"/>
        <item x="114"/>
        <item x="519"/>
        <item x="432"/>
        <item x="117"/>
        <item x="719"/>
        <item x="606"/>
        <item x="612"/>
        <item x="326"/>
        <item x="681"/>
        <item x="632"/>
        <item x="760"/>
        <item x="770"/>
        <item x="737"/>
        <item x="128"/>
        <item x="132"/>
        <item x="295"/>
        <item x="766"/>
        <item x="587"/>
        <item x="655"/>
        <item x="235"/>
        <item x="422"/>
        <item x="549"/>
        <item x="528"/>
        <item x="759"/>
        <item x="718"/>
        <item x="694"/>
        <item x="383"/>
        <item x="378"/>
        <item x="589"/>
        <item x="8"/>
        <item x="598"/>
        <item x="233"/>
        <item x="354"/>
        <item x="724"/>
        <item x="500"/>
        <item x="527"/>
        <item x="50"/>
        <item x="225"/>
        <item x="377"/>
        <item x="495"/>
        <item x="409"/>
        <item x="88"/>
        <item x="311"/>
        <item x="559"/>
        <item x="108"/>
        <item x="469"/>
        <item x="746"/>
        <item x="529"/>
        <item x="68"/>
        <item x="236"/>
        <item x="444"/>
        <item x="483"/>
        <item x="726"/>
        <item x="26"/>
        <item x="452"/>
        <item x="130"/>
        <item x="615"/>
        <item x="55"/>
        <item x="248"/>
        <item x="78"/>
        <item x="381"/>
        <item x="431"/>
        <item x="556"/>
        <item x="542"/>
        <item x="203"/>
        <item x="461"/>
        <item x="142"/>
        <item x="522"/>
        <item x="194"/>
        <item x="350"/>
        <item x="316"/>
        <item x="741"/>
        <item x="63"/>
        <item x="344"/>
        <item x="393"/>
        <item x="189"/>
        <item x="425"/>
        <item x="400"/>
        <item x="728"/>
        <item x="571"/>
        <item x="747"/>
        <item x="96"/>
        <item x="162"/>
        <item x="182"/>
        <item x="424"/>
        <item x="249"/>
        <item x="762"/>
        <item x="367"/>
        <item x="107"/>
        <item x="97"/>
        <item x="723"/>
        <item x="112"/>
        <item x="86"/>
        <item x="689"/>
        <item x="394"/>
        <item x="227"/>
        <item x="584"/>
        <item x="366"/>
        <item x="290"/>
        <item x="99"/>
        <item x="147"/>
        <item x="143"/>
        <item x="771"/>
        <item x="292"/>
        <item x="735"/>
        <item x="252"/>
        <item x="346"/>
        <item x="664"/>
        <item x="661"/>
        <item x="137"/>
        <item x="197"/>
        <item x="65"/>
        <item x="19"/>
        <item x="207"/>
        <item x="266"/>
        <item x="307"/>
        <item x="371"/>
        <item x="334"/>
        <item x="497"/>
        <item x="680"/>
        <item x="704"/>
        <item x="475"/>
        <item x="277"/>
        <item x="596"/>
        <item x="335"/>
        <item x="448"/>
        <item x="42"/>
        <item x="620"/>
        <item x="769"/>
        <item x="265"/>
        <item x="49"/>
        <item x="105"/>
        <item x="630"/>
        <item x="616"/>
        <item x="652"/>
        <item x="702"/>
        <item x="176"/>
        <item x="510"/>
        <item x="304"/>
        <item x="120"/>
        <item x="678"/>
        <item x="565"/>
        <item x="574"/>
        <item x="627"/>
        <item x="715"/>
        <item x="643"/>
        <item x="185"/>
        <item x="314"/>
        <item x="504"/>
        <item x="619"/>
        <item x="732"/>
        <item x="684"/>
        <item x="738"/>
        <item x="507"/>
        <item x="428"/>
        <item x="488"/>
        <item x="582"/>
        <item x="436"/>
        <item x="706"/>
        <item x="129"/>
        <item x="341"/>
        <item x="707"/>
        <item x="246"/>
        <item x="686"/>
        <item x="613"/>
        <item x="106"/>
        <item x="353"/>
        <item x="391"/>
        <item x="358"/>
        <item x="259"/>
        <item x="38"/>
        <item x="168"/>
        <item x="365"/>
        <item x="125"/>
        <item x="285"/>
        <item x="623"/>
        <item x="438"/>
        <item x="625"/>
        <item x="569"/>
        <item x="592"/>
        <item x="439"/>
        <item x="396"/>
        <item x="234"/>
        <item x="193"/>
        <item x="140"/>
        <item x="47"/>
        <item x="548"/>
        <item x="513"/>
        <item x="25"/>
        <item x="645"/>
        <item x="121"/>
        <item x="213"/>
        <item x="324"/>
        <item x="254"/>
        <item x="640"/>
        <item x="250"/>
        <item x="208"/>
        <item x="364"/>
        <item x="736"/>
        <item x="93"/>
        <item x="164"/>
        <item x="758"/>
        <item x="397"/>
        <item x="260"/>
        <item x="258"/>
        <item x="39"/>
        <item x="512"/>
        <item x="31"/>
        <item x="309"/>
        <item x="450"/>
        <item x="414"/>
        <item x="693"/>
        <item x="35"/>
        <item x="691"/>
        <item x="449"/>
        <item x="195"/>
        <item x="442"/>
        <item x="435"/>
        <item x="215"/>
        <item x="430"/>
        <item x="676"/>
        <item x="502"/>
        <item x="52"/>
        <item x="380"/>
        <item x="708"/>
        <item x="515"/>
        <item x="79"/>
        <item x="158"/>
        <item x="468"/>
        <item x="245"/>
        <item x="730"/>
        <item x="628"/>
        <item x="288"/>
        <item x="173"/>
        <item x="696"/>
        <item x="709"/>
        <item x="544"/>
        <item x="343"/>
        <item x="535"/>
        <item x="401"/>
        <item x="149"/>
        <item x="10"/>
        <item x="134"/>
        <item x="20"/>
        <item x="437"/>
        <item x="682"/>
        <item x="174"/>
        <item x="102"/>
        <item x="167"/>
        <item x="773"/>
        <item t="default"/>
      </items>
    </pivotField>
    <pivotField showAll="0"/>
    <pivotField axis="axisCol" showAll="0">
      <items count="5">
        <item x="0"/>
        <item x="2"/>
        <item x="1"/>
        <item h="1" x="3"/>
        <item t="default"/>
      </items>
    </pivotField>
    <pivotField showAll="0"/>
    <pivotField showAll="0"/>
    <pivotField showAll="0"/>
    <pivotField showAll="0"/>
    <pivotField dataField="1" showAll="0">
      <items count="4741">
        <item x="1957"/>
        <item x="4136"/>
        <item x="2770"/>
        <item x="4507"/>
        <item x="4299"/>
        <item x="373"/>
        <item x="3999"/>
        <item x="3452"/>
        <item x="3685"/>
        <item x="2314"/>
        <item x="3799"/>
        <item x="3893"/>
        <item x="3990"/>
        <item x="1555"/>
        <item x="4238"/>
        <item x="1034"/>
        <item x="458"/>
        <item x="186"/>
        <item x="4447"/>
        <item x="1249"/>
        <item x="1477"/>
        <item x="4414"/>
        <item x="258"/>
        <item x="3470"/>
        <item x="4399"/>
        <item x="3652"/>
        <item x="83"/>
        <item x="3989"/>
        <item x="1585"/>
        <item x="4449"/>
        <item x="2852"/>
        <item x="3323"/>
        <item x="3943"/>
        <item x="4195"/>
        <item x="2427"/>
        <item x="4566"/>
        <item x="2434"/>
        <item x="3744"/>
        <item x="2244"/>
        <item x="3665"/>
        <item x="3890"/>
        <item x="1037"/>
        <item x="3302"/>
        <item x="2215"/>
        <item x="4445"/>
        <item x="2906"/>
        <item x="703"/>
        <item x="3247"/>
        <item x="1126"/>
        <item x="3462"/>
        <item x="2174"/>
        <item x="2594"/>
        <item x="922"/>
        <item x="1317"/>
        <item x="2167"/>
        <item x="1956"/>
        <item x="1996"/>
        <item x="1325"/>
        <item x="2567"/>
        <item x="3536"/>
        <item x="3223"/>
        <item x="4587"/>
        <item x="1733"/>
        <item x="4485"/>
        <item x="2463"/>
        <item x="170"/>
        <item x="2184"/>
        <item x="3402"/>
        <item x="1199"/>
        <item x="1087"/>
        <item x="3830"/>
        <item x="1718"/>
        <item x="1508"/>
        <item x="4650"/>
        <item x="2714"/>
        <item x="2788"/>
        <item x="300"/>
        <item x="3811"/>
        <item x="1640"/>
        <item x="2313"/>
        <item x="2648"/>
        <item x="134"/>
        <item x="1511"/>
        <item x="2196"/>
        <item x="741"/>
        <item x="800"/>
        <item x="1480"/>
        <item x="2180"/>
        <item x="1856"/>
        <item x="3819"/>
        <item x="2080"/>
        <item x="201"/>
        <item x="4134"/>
        <item x="1572"/>
        <item x="3865"/>
        <item x="2288"/>
        <item x="4105"/>
        <item x="2477"/>
        <item x="4628"/>
        <item x="2550"/>
        <item x="4361"/>
        <item x="4606"/>
        <item x="3222"/>
        <item x="2543"/>
        <item x="1140"/>
        <item x="2298"/>
        <item x="2185"/>
        <item x="3717"/>
        <item x="321"/>
        <item x="1409"/>
        <item x="1290"/>
        <item x="514"/>
        <item x="3337"/>
        <item x="357"/>
        <item x="763"/>
        <item x="1739"/>
        <item x="2840"/>
        <item x="1351"/>
        <item x="2035"/>
        <item x="1098"/>
        <item x="2875"/>
        <item x="1589"/>
        <item x="1235"/>
        <item x="2085"/>
        <item x="2123"/>
        <item x="3286"/>
        <item x="4198"/>
        <item x="409"/>
        <item x="3966"/>
        <item x="272"/>
        <item x="492"/>
        <item x="4173"/>
        <item x="255"/>
        <item x="2021"/>
        <item x="2120"/>
        <item x="1509"/>
        <item x="4643"/>
        <item x="555"/>
        <item x="2604"/>
        <item x="4293"/>
        <item x="3769"/>
        <item x="181"/>
        <item x="452"/>
        <item x="2923"/>
        <item x="558"/>
        <item x="706"/>
        <item x="1965"/>
        <item x="767"/>
        <item x="2884"/>
        <item x="778"/>
        <item x="3608"/>
        <item x="252"/>
        <item x="1528"/>
        <item x="1963"/>
        <item x="3057"/>
        <item x="947"/>
        <item x="1980"/>
        <item x="3259"/>
        <item x="4519"/>
        <item x="2858"/>
        <item x="1008"/>
        <item x="502"/>
        <item x="2289"/>
        <item x="2462"/>
        <item x="3594"/>
        <item x="4694"/>
        <item x="3234"/>
        <item x="2713"/>
        <item x="375"/>
        <item x="1418"/>
        <item x="70"/>
        <item x="202"/>
        <item x="3609"/>
        <item x="3473"/>
        <item x="282"/>
        <item x="1727"/>
        <item x="4589"/>
        <item x="2980"/>
        <item x="3211"/>
        <item x="1499"/>
        <item x="1474"/>
        <item x="280"/>
        <item x="432"/>
        <item x="3573"/>
        <item x="2347"/>
        <item x="4220"/>
        <item x="3998"/>
        <item x="2688"/>
        <item x="1251"/>
        <item x="3524"/>
        <item x="633"/>
        <item x="2461"/>
        <item x="3119"/>
        <item x="3157"/>
        <item x="642"/>
        <item x="1736"/>
        <item x="3516"/>
        <item x="345"/>
        <item x="1491"/>
        <item x="1194"/>
        <item x="4102"/>
        <item x="2577"/>
        <item x="4365"/>
        <item x="4058"/>
        <item x="11"/>
        <item x="1033"/>
        <item x="2515"/>
        <item x="95"/>
        <item x="1893"/>
        <item x="3040"/>
        <item x="4022"/>
        <item x="3958"/>
        <item x="1231"/>
        <item x="4009"/>
        <item x="513"/>
        <item x="3354"/>
        <item x="4674"/>
        <item x="1991"/>
        <item x="4159"/>
        <item x="4174"/>
        <item x="196"/>
        <item x="3083"/>
        <item x="4296"/>
        <item x="509"/>
        <item x="2835"/>
        <item x="2848"/>
        <item x="3601"/>
        <item x="4081"/>
        <item x="2401"/>
        <item x="1197"/>
        <item x="1565"/>
        <item x="53"/>
        <item x="3995"/>
        <item x="453"/>
        <item x="434"/>
        <item x="4148"/>
        <item x="2659"/>
        <item x="1088"/>
        <item x="4577"/>
        <item x="3699"/>
        <item x="4700"/>
        <item x="4066"/>
        <item x="3018"/>
        <item x="4191"/>
        <item x="1307"/>
        <item x="1288"/>
        <item x="4239"/>
        <item x="1406"/>
        <item x="4031"/>
        <item x="324"/>
        <item x="78"/>
        <item x="4703"/>
        <item x="3852"/>
        <item x="3602"/>
        <item x="4516"/>
        <item x="4047"/>
        <item x="437"/>
        <item x="2886"/>
        <item x="1968"/>
        <item x="3848"/>
        <item x="3392"/>
        <item x="3997"/>
        <item x="1193"/>
        <item x="179"/>
        <item x="1101"/>
        <item x="3902"/>
        <item x="4082"/>
        <item x="2947"/>
        <item x="3863"/>
        <item x="2992"/>
        <item x="4667"/>
        <item x="3215"/>
        <item x="3388"/>
        <item x="4381"/>
        <item x="4294"/>
        <item x="2920"/>
        <item x="1186"/>
        <item x="4588"/>
        <item x="3339"/>
        <item x="2890"/>
        <item x="2338"/>
        <item x="3024"/>
        <item x="2786"/>
        <item x="4157"/>
        <item x="2125"/>
        <item x="842"/>
        <item x="1420"/>
        <item x="1102"/>
        <item x="428"/>
        <item x="3306"/>
        <item x="1889"/>
        <item x="3102"/>
        <item x="3659"/>
        <item x="3073"/>
        <item x="2667"/>
        <item x="3952"/>
        <item x="3650"/>
        <item x="2230"/>
        <item x="129"/>
        <item x="2398"/>
        <item x="2006"/>
        <item x="1639"/>
        <item x="1250"/>
        <item x="3000"/>
        <item x="1785"/>
        <item x="2938"/>
        <item x="2549"/>
        <item x="4292"/>
        <item x="4317"/>
        <item x="4310"/>
        <item x="4229"/>
        <item x="3256"/>
        <item x="4466"/>
        <item x="2865"/>
        <item x="2762"/>
        <item x="4727"/>
        <item x="3571"/>
        <item x="821"/>
        <item x="569"/>
        <item x="511"/>
        <item x="2768"/>
        <item x="3530"/>
        <item x="4133"/>
        <item x="3158"/>
        <item x="3842"/>
        <item x="3321"/>
        <item x="3951"/>
        <item x="3978"/>
        <item x="2829"/>
        <item x="4351"/>
        <item x="254"/>
        <item x="2592"/>
        <item x="4375"/>
        <item x="1534"/>
        <item x="1145"/>
        <item x="3649"/>
        <item x="3208"/>
        <item x="3116"/>
        <item x="2294"/>
        <item x="694"/>
        <item x="2744"/>
        <item x="1615"/>
        <item x="322"/>
        <item x="3405"/>
        <item x="398"/>
        <item x="2680"/>
        <item x="4194"/>
        <item x="315"/>
        <item x="3930"/>
        <item x="4193"/>
        <item x="921"/>
        <item x="273"/>
        <item x="4707"/>
        <item x="4101"/>
        <item x="2967"/>
        <item x="2284"/>
        <item x="460"/>
        <item x="3365"/>
        <item x="1622"/>
        <item x="1342"/>
        <item x="3172"/>
        <item x="3039"/>
        <item x="4710"/>
        <item x="919"/>
        <item x="3935"/>
        <item x="4464"/>
        <item x="650"/>
        <item x="1141"/>
        <item x="3485"/>
        <item x="4249"/>
        <item x="3145"/>
        <item x="1318"/>
        <item x="3942"/>
        <item x="3156"/>
        <item x="606"/>
        <item x="2438"/>
        <item x="4132"/>
        <item x="1050"/>
        <item x="2627"/>
        <item x="1563"/>
        <item x="2748"/>
        <item x="4209"/>
        <item x="114"/>
        <item x="395"/>
        <item x="487"/>
        <item x="2122"/>
        <item x="231"/>
        <item x="4335"/>
        <item x="4156"/>
        <item x="2018"/>
        <item x="2197"/>
        <item x="3089"/>
        <item x="2191"/>
        <item x="2661"/>
        <item x="1682"/>
        <item x="1705"/>
        <item x="4363"/>
        <item x="1542"/>
        <item x="3626"/>
        <item x="2093"/>
        <item x="1158"/>
        <item x="3716"/>
        <item x="1784"/>
        <item x="2729"/>
        <item x="3016"/>
        <item x="2651"/>
        <item x="3929"/>
        <item x="4037"/>
        <item x="946"/>
        <item x="2368"/>
        <item x="1755"/>
        <item x="4425"/>
        <item x="257"/>
        <item x="3632"/>
        <item x="3125"/>
        <item x="841"/>
        <item x="738"/>
        <item x="557"/>
        <item x="4063"/>
        <item x="356"/>
        <item x="1201"/>
        <item x="4247"/>
        <item x="4234"/>
        <item x="894"/>
        <item x="2386"/>
        <item x="4584"/>
        <item x="1685"/>
        <item x="156"/>
        <item x="1458"/>
        <item x="779"/>
        <item x="3905"/>
        <item x="1576"/>
        <item x="1524"/>
        <item x="845"/>
        <item x="2421"/>
        <item x="3366"/>
        <item x="4154"/>
        <item x="4203"/>
        <item x="4280"/>
        <item x="3118"/>
        <item x="207"/>
        <item x="4315"/>
        <item x="4443"/>
        <item x="3425"/>
        <item x="2209"/>
        <item x="1507"/>
        <item x="1568"/>
        <item x="1284"/>
        <item x="4358"/>
        <item x="4243"/>
        <item x="20"/>
        <item x="1973"/>
        <item x="626"/>
        <item x="4459"/>
        <item x="4366"/>
        <item x="655"/>
        <item x="1908"/>
        <item x="2250"/>
        <item x="1551"/>
        <item x="3176"/>
        <item x="2897"/>
        <item x="4316"/>
        <item x="3977"/>
        <item x="713"/>
        <item x="4083"/>
        <item x="2684"/>
        <item x="1945"/>
        <item x="2295"/>
        <item x="400"/>
        <item x="3352"/>
        <item x="3441"/>
        <item x="3474"/>
        <item x="4672"/>
        <item x="264"/>
        <item x="222"/>
        <item x="2587"/>
        <item x="3899"/>
        <item x="810"/>
        <item x="1845"/>
        <item x="1184"/>
        <item x="587"/>
        <item x="3338"/>
        <item x="2812"/>
        <item x="2780"/>
        <item x="2302"/>
        <item x="4476"/>
        <item x="1651"/>
        <item x="1822"/>
        <item x="4511"/>
        <item x="459"/>
        <item x="1469"/>
        <item x="285"/>
        <item x="479"/>
        <item x="1127"/>
        <item x="2397"/>
        <item x="3621"/>
        <item x="2236"/>
        <item x="554"/>
        <item x="59"/>
        <item x="2505"/>
        <item x="1741"/>
        <item x="279"/>
        <item x="1041"/>
        <item x="615"/>
        <item x="4170"/>
        <item x="836"/>
        <item x="562"/>
        <item x="1230"/>
        <item x="1306"/>
        <item x="4277"/>
        <item x="2693"/>
        <item x="3079"/>
        <item x="1009"/>
        <item x="2888"/>
        <item x="3803"/>
        <item x="4512"/>
        <item x="1137"/>
        <item x="2816"/>
        <item x="1864"/>
        <item x="2810"/>
        <item x="3955"/>
        <item x="115"/>
        <item x="2778"/>
        <item x="840"/>
        <item x="3723"/>
        <item x="306"/>
        <item x="3709"/>
        <item x="1352"/>
        <item x="1770"/>
        <item x="2007"/>
        <item x="4223"/>
        <item x="3249"/>
        <item x="4630"/>
        <item x="2861"/>
        <item x="1232"/>
        <item x="1298"/>
        <item x="3876"/>
        <item x="3069"/>
        <item x="1875"/>
        <item x="2741"/>
        <item x="2511"/>
        <item x="2457"/>
        <item x="1038"/>
        <item x="3901"/>
        <item x="4562"/>
        <item x="1185"/>
        <item x="3149"/>
        <item x="1873"/>
        <item x="4286"/>
        <item x="4349"/>
        <item x="1738"/>
        <item x="2912"/>
        <item x="2774"/>
        <item x="2851"/>
        <item x="4217"/>
        <item x="1566"/>
        <item x="38"/>
        <item x="3859"/>
        <item x="256"/>
        <item x="4412"/>
        <item x="3662"/>
        <item x="4355"/>
        <item x="4052"/>
        <item x="3580"/>
        <item x="668"/>
        <item x="4346"/>
        <item x="2342"/>
        <item x="1252"/>
        <item x="1556"/>
        <item x="2905"/>
        <item x="3827"/>
        <item x="2322"/>
        <item x="1626"/>
        <item x="2043"/>
        <item x="2803"/>
        <item x="897"/>
        <item x="4269"/>
        <item x="1725"/>
        <item x="3085"/>
        <item x="4463"/>
        <item x="2151"/>
        <item x="4477"/>
        <item x="261"/>
        <item x="212"/>
        <item x="2220"/>
        <item x="1684"/>
        <item x="1693"/>
        <item x="4300"/>
        <item x="3777"/>
        <item x="1042"/>
        <item x="1104"/>
        <item x="480"/>
        <item x="4046"/>
        <item x="3252"/>
        <item x="3195"/>
        <item x="744"/>
        <item x="267"/>
        <item x="2399"/>
        <item x="2299"/>
        <item x="3424"/>
        <item x="1719"/>
        <item x="2727"/>
        <item x="1239"/>
        <item x="4064"/>
        <item x="796"/>
        <item x="908"/>
        <item x="4139"/>
        <item x="902"/>
        <item x="697"/>
        <item x="4396"/>
        <item x="287"/>
        <item x="1394"/>
        <item x="2464"/>
        <item x="1825"/>
        <item x="692"/>
        <item x="451"/>
        <item x="1330"/>
        <item x="4617"/>
        <item x="4359"/>
        <item x="1237"/>
        <item x="4142"/>
        <item x="2300"/>
        <item x="198"/>
        <item x="607"/>
        <item x="2508"/>
        <item x="1187"/>
        <item x="3724"/>
        <item x="1905"/>
        <item x="4578"/>
        <item x="1657"/>
        <item x="2037"/>
        <item x="2262"/>
        <item x="1338"/>
        <item x="2411"/>
        <item x="669"/>
        <item x="2757"/>
        <item x="2103"/>
        <item x="2797"/>
        <item x="1304"/>
        <item x="3653"/>
        <item x="4722"/>
        <item x="3001"/>
        <item x="1510"/>
        <item x="2456"/>
        <item x="3486"/>
        <item x="3834"/>
        <item x="3005"/>
        <item x="3464"/>
        <item x="1440"/>
        <item x="3161"/>
        <item x="1591"/>
        <item x="16"/>
        <item x="1171"/>
        <item x="4216"/>
        <item x="1189"/>
        <item x="2547"/>
        <item x="2914"/>
        <item x="2952"/>
        <item x="4167"/>
        <item x="1892"/>
        <item x="3248"/>
        <item x="4696"/>
        <item x="2280"/>
        <item x="3226"/>
        <item x="4484"/>
        <item x="489"/>
        <item x="3758"/>
        <item x="2764"/>
        <item x="3013"/>
        <item x="2545"/>
        <item x="4551"/>
        <item x="1036"/>
        <item x="31"/>
        <item x="575"/>
        <item x="4651"/>
        <item x="1780"/>
        <item x="1467"/>
        <item x="2292"/>
        <item x="1918"/>
        <item x="834"/>
        <item x="3068"/>
        <item x="2088"/>
        <item x="1645"/>
        <item x="2841"/>
        <item x="2775"/>
        <item x="1557"/>
        <item x="1753"/>
        <item x="4339"/>
        <item x="2096"/>
        <item x="1909"/>
        <item x="4575"/>
        <item x="745"/>
        <item x="3678"/>
        <item x="2385"/>
        <item x="3818"/>
        <item x="3138"/>
        <item x="4295"/>
        <item x="665"/>
        <item x="2552"/>
        <item x="2451"/>
        <item x="1828"/>
        <item x="4088"/>
        <item x="2188"/>
        <item x="1827"/>
        <item x="2546"/>
        <item x="1229"/>
        <item x="1011"/>
        <item x="2839"/>
        <item x="1091"/>
        <item x="2455"/>
        <item x="990"/>
        <item x="3230"/>
        <item x="1086"/>
        <item x="815"/>
        <item x="4467"/>
        <item x="1128"/>
        <item x="1082"/>
        <item x="3487"/>
        <item x="2171"/>
        <item x="2249"/>
        <item x="904"/>
        <item x="2804"/>
        <item x="4126"/>
        <item x="1324"/>
        <item x="1994"/>
        <item x="2715"/>
        <item x="862"/>
        <item x="4202"/>
        <item x="2199"/>
        <item x="574"/>
        <item x="3175"/>
        <item x="2872"/>
        <item x="4242"/>
        <item x="1301"/>
        <item x="4548"/>
        <item x="1932"/>
        <item x="2580"/>
        <item x="2596"/>
        <item x="1286"/>
        <item x="2877"/>
        <item x="2570"/>
        <item x="3297"/>
        <item x="4690"/>
        <item x="634"/>
        <item x="2192"/>
        <item x="3591"/>
        <item x="206"/>
        <item x="1413"/>
        <item x="4498"/>
        <item x="2908"/>
        <item x="1807"/>
        <item x="1136"/>
        <item x="167"/>
        <item x="3111"/>
        <item x="3973"/>
        <item x="1922"/>
        <item x="2337"/>
        <item x="2772"/>
        <item x="1063"/>
        <item x="4027"/>
        <item x="3718"/>
        <item x="4043"/>
        <item x="385"/>
        <item x="1302"/>
        <item x="2997"/>
        <item x="4141"/>
        <item x="2473"/>
        <item x="2783"/>
        <item x="3934"/>
        <item x="3845"/>
        <item x="199"/>
        <item x="1575"/>
        <item x="1740"/>
        <item x="5"/>
        <item x="2781"/>
        <item x="3324"/>
        <item x="910"/>
        <item x="4077"/>
        <item x="844"/>
        <item x="2758"/>
        <item x="4622"/>
        <item x="3637"/>
        <item x="3031"/>
        <item x="1447"/>
        <item x="4340"/>
        <item x="2711"/>
        <item x="613"/>
        <item x="4542"/>
        <item x="2815"/>
        <item x="49"/>
        <item x="3331"/>
        <item x="1986"/>
        <item x="2696"/>
        <item x="1735"/>
        <item x="4219"/>
        <item x="3410"/>
        <item x="4433"/>
        <item x="250"/>
        <item x="2254"/>
        <item x="531"/>
        <item x="4"/>
        <item x="3667"/>
        <item x="3159"/>
        <item x="401"/>
        <item x="3551"/>
        <item x="581"/>
        <item x="4697"/>
        <item x="1993"/>
        <item x="3188"/>
        <item x="3174"/>
        <item x="2793"/>
        <item x="4028"/>
        <item x="4592"/>
        <item x="365"/>
        <item x="1490"/>
        <item x="1212"/>
        <item x="2763"/>
        <item x="591"/>
        <item x="903"/>
        <item x="292"/>
        <item x="4430"/>
        <item x="2740"/>
        <item x="2792"/>
        <item x="1833"/>
        <item x="969"/>
        <item x="704"/>
        <item x="1818"/>
        <item x="3346"/>
        <item x="2329"/>
        <item x="764"/>
        <item x="1531"/>
        <item x="3077"/>
        <item x="4034"/>
        <item x="4487"/>
        <item x="1570"/>
        <item x="3802"/>
        <item x="3367"/>
        <item x="3702"/>
        <item x="625"/>
        <item x="2420"/>
        <item x="1724"/>
        <item x="2200"/>
        <item x="3055"/>
        <item x="372"/>
        <item x="2227"/>
        <item x="2132"/>
        <item x="4338"/>
        <item x="4069"/>
        <item x="1843"/>
        <item x="3122"/>
        <item x="803"/>
        <item x="205"/>
        <item x="949"/>
        <item x="3105"/>
        <item x="2488"/>
        <item x="4163"/>
        <item x="499"/>
        <item x="4570"/>
        <item x="4461"/>
        <item x="2442"/>
        <item x="2453"/>
        <item x="2375"/>
        <item x="3670"/>
        <item x="507"/>
        <item x="898"/>
        <item x="3148"/>
        <item x="3673"/>
        <item x="2716"/>
        <item x="2847"/>
        <item x="4000"/>
        <item x="1483"/>
        <item x="3080"/>
        <item x="3062"/>
        <item x="1717"/>
        <item x="1421"/>
        <item x="481"/>
        <item x="1117"/>
        <item x="3775"/>
        <item x="3344"/>
        <item x="4003"/>
        <item x="1819"/>
        <item x="1778"/>
        <item x="2950"/>
        <item x="532"/>
        <item x="1359"/>
        <item x="611"/>
        <item x="4709"/>
        <item x="3663"/>
        <item x="500"/>
        <item x="3037"/>
        <item x="2736"/>
        <item x="3611"/>
        <item x="1190"/>
        <item x="1081"/>
        <item x="1573"/>
        <item x="4124"/>
        <item x="2484"/>
        <item x="3767"/>
        <item x="4140"/>
        <item x="3572"/>
        <item x="2202"/>
        <item x="707"/>
        <item x="1895"/>
        <item x="4248"/>
        <item x="1195"/>
        <item x="200"/>
        <item x="155"/>
        <item x="3749"/>
        <item x="1571"/>
        <item x="3246"/>
        <item x="1241"/>
        <item x="136"/>
        <item x="4482"/>
        <item x="2437"/>
        <item x="4714"/>
        <item x="82"/>
        <item x="769"/>
        <item x="3044"/>
        <item x="1134"/>
        <item x="2995"/>
        <item x="673"/>
        <item x="1964"/>
        <item x="4705"/>
        <item x="2423"/>
        <item x="3056"/>
        <item x="2558"/>
        <item x="4040"/>
        <item x="3778"/>
        <item x="4092"/>
        <item x="4558"/>
        <item x="2087"/>
        <item x="1312"/>
        <item x="1779"/>
        <item x="4717"/>
        <item x="1196"/>
        <item x="1934"/>
        <item x="3666"/>
        <item x="4137"/>
        <item x="3372"/>
        <item x="3254"/>
        <item x="605"/>
        <item x="478"/>
        <item x="586"/>
        <item x="244"/>
        <item x="743"/>
        <item x="1119"/>
        <item x="3475"/>
        <item x="3190"/>
        <item x="4056"/>
        <item x="2105"/>
        <item x="1805"/>
        <item x="1512"/>
        <item x="1879"/>
        <item x="493"/>
        <item x="3672"/>
        <item x="2276"/>
        <item x="2999"/>
        <item x="4162"/>
        <item x="2871"/>
        <item x="1891"/>
        <item x="671"/>
        <item x="3855"/>
        <item x="2327"/>
        <item x="4153"/>
        <item x="784"/>
        <item x="523"/>
        <item x="4255"/>
        <item x="651"/>
        <item x="2870"/>
        <item x="3790"/>
        <item x="3965"/>
        <item x="197"/>
        <item x="1039"/>
        <item x="2824"/>
        <item x="973"/>
        <item x="2099"/>
        <item x="294"/>
        <item x="4711"/>
        <item x="4260"/>
        <item x="2507"/>
        <item x="208"/>
        <item x="822"/>
        <item x="4591"/>
        <item x="4656"/>
        <item x="988"/>
        <item x="909"/>
        <item x="1303"/>
        <item x="3625"/>
        <item x="3162"/>
        <item x="3471"/>
        <item x="3312"/>
        <item x="2955"/>
        <item x="2814"/>
        <item x="2506"/>
        <item x="2958"/>
        <item x="4094"/>
        <item x="3465"/>
        <item x="195"/>
        <item x="3285"/>
        <item x="412"/>
        <item x="1874"/>
        <item x="4285"/>
        <item x="3049"/>
        <item x="873"/>
        <item x="4737"/>
        <item x="1920"/>
        <item x="4230"/>
        <item x="3856"/>
        <item x="3036"/>
        <item x="3617"/>
        <item x="72"/>
        <item x="884"/>
        <item x="2328"/>
        <item x="2378"/>
        <item x="3262"/>
        <item x="1633"/>
        <item x="1428"/>
        <item x="2739"/>
        <item x="4241"/>
        <item x="1569"/>
        <item x="1147"/>
        <item x="4111"/>
        <item x="638"/>
        <item x="4337"/>
        <item x="102"/>
        <item x="2470"/>
        <item x="1073"/>
        <item x="343"/>
        <item x="1765"/>
        <item x="1383"/>
        <item x="51"/>
        <item x="1459"/>
        <item x="2065"/>
        <item x="1022"/>
        <item x="666"/>
        <item x="3168"/>
        <item x="2485"/>
        <item x="3012"/>
        <item x="997"/>
        <item x="1414"/>
        <item x="3537"/>
        <item x="3385"/>
        <item x="2623"/>
        <item x="3941"/>
        <item x="792"/>
        <item x="2019"/>
        <item x="2854"/>
        <item x="573"/>
        <item x="3519"/>
        <item x="4539"/>
        <item x="3961"/>
        <item x="850"/>
        <item x="3384"/>
        <item x="3454"/>
        <item x="2393"/>
        <item x="2263"/>
        <item x="3884"/>
        <item x="2544"/>
        <item x="295"/>
        <item x="4127"/>
        <item x="4042"/>
        <item x="3623"/>
        <item x="817"/>
        <item x="3850"/>
        <item x="3766"/>
        <item x="890"/>
        <item x="4071"/>
        <item x="10"/>
        <item x="3063"/>
        <item x="13"/>
        <item x="3817"/>
        <item x="2050"/>
        <item x="4544"/>
        <item x="2307"/>
        <item x="2998"/>
        <item x="3614"/>
        <item x="2887"/>
        <item x="1225"/>
        <item x="2518"/>
        <item x="4110"/>
        <item x="4050"/>
        <item x="2819"/>
        <item x="1577"/>
        <item x="2951"/>
        <item x="1921"/>
        <item x="1370"/>
        <item x="2324"/>
        <item x="3560"/>
        <item x="123"/>
        <item x="3550"/>
        <item x="3096"/>
        <item x="1035"/>
        <item x="2426"/>
        <item x="1623"/>
        <item x="1319"/>
        <item x="2994"/>
        <item x="948"/>
        <item x="2832"/>
        <item x="3191"/>
        <item x="4401"/>
        <item x="2845"/>
        <item x="4390"/>
        <item x="2833"/>
        <item x="3008"/>
        <item x="187"/>
        <item x="148"/>
        <item x="3561"/>
        <item x="466"/>
        <item x="1313"/>
        <item x="2102"/>
        <item x="895"/>
        <item x="4415"/>
        <item x="3675"/>
        <item x="3160"/>
        <item x="791"/>
        <item x="1558"/>
        <item x="2517"/>
        <item x="420"/>
        <item x="4712"/>
        <item x="1933"/>
        <item x="2538"/>
        <item x="312"/>
        <item x="1446"/>
        <item x="1154"/>
        <item x="3538"/>
        <item x="4051"/>
        <item x="289"/>
        <item x="880"/>
        <item x="1360"/>
        <item x="3846"/>
        <item x="1562"/>
        <item x="1244"/>
        <item x="2635"/>
        <item x="2349"/>
        <item x="4263"/>
        <item x="3539"/>
        <item x="361"/>
        <item x="4089"/>
        <item x="4123"/>
        <item x="1012"/>
        <item x="3472"/>
        <item x="3260"/>
        <item x="3875"/>
        <item x="518"/>
        <item x="4168"/>
        <item x="925"/>
        <item x="4595"/>
        <item x="2201"/>
        <item x="1261"/>
        <item x="2279"/>
        <item x="2953"/>
        <item x="3099"/>
        <item x="1486"/>
        <item x="1862"/>
        <item x="848"/>
        <item x="1417"/>
        <item x="1180"/>
        <item x="1207"/>
        <item x="1439"/>
        <item x="3526"/>
        <item x="4671"/>
        <item x="3368"/>
        <item x="4653"/>
        <item x="2933"/>
        <item x="4014"/>
        <item x="3909"/>
        <item x="341"/>
        <item x="1172"/>
        <item x="3325"/>
        <item x="2915"/>
        <item x="2228"/>
        <item x="3027"/>
        <item x="1522"/>
        <item x="1590"/>
        <item x="3294"/>
        <item x="1692"/>
        <item x="3927"/>
        <item x="325"/>
        <item x="1804"/>
        <item x="4049"/>
        <item x="2266"/>
        <item x="708"/>
        <item x="2717"/>
        <item x="1817"/>
        <item x="3488"/>
        <item x="4506"/>
        <item x="4112"/>
        <item x="979"/>
        <item x="3060"/>
        <item x="491"/>
        <item x="1731"/>
        <item x="3522"/>
        <item x="3043"/>
        <item x="2654"/>
        <item x="3898"/>
        <item x="4319"/>
        <item x="1672"/>
        <item x="808"/>
        <item x="36"/>
        <item x="3184"/>
        <item x="2334"/>
        <item x="4567"/>
        <item x="3857"/>
        <item x="3686"/>
        <item x="1800"/>
        <item x="2615"/>
        <item x="4029"/>
        <item x="1610"/>
        <item x="4626"/>
        <item x="476"/>
        <item x="2973"/>
        <item x="4699"/>
        <item x="4013"/>
        <item x="989"/>
        <item x="3894"/>
        <item x="4138"/>
        <item x="4284"/>
        <item x="4623"/>
        <item x="1600"/>
        <item x="683"/>
        <item x="1629"/>
        <item x="827"/>
        <item x="918"/>
        <item x="445"/>
        <item x="3004"/>
        <item x="2850"/>
        <item x="2662"/>
        <item x="1831"/>
        <item x="293"/>
        <item x="995"/>
        <item x="440"/>
        <item x="3155"/>
        <item x="2097"/>
        <item x="109"/>
        <item x="3242"/>
        <item x="735"/>
        <item x="2765"/>
        <item x="3896"/>
        <item x="543"/>
        <item x="4320"/>
        <item x="3671"/>
        <item x="1936"/>
        <item x="203"/>
        <item x="3962"/>
        <item x="1884"/>
        <item x="1926"/>
        <item x="1412"/>
        <item x="1912"/>
        <item x="100"/>
        <item x="301"/>
        <item x="2287"/>
        <item x="1160"/>
        <item x="268"/>
        <item x="1949"/>
        <item x="2278"/>
        <item x="3636"/>
        <item x="1368"/>
        <item x="2140"/>
        <item x="3599"/>
        <item x="1139"/>
        <item x="4404"/>
        <item x="3192"/>
        <item x="1173"/>
        <item x="2746"/>
        <item x="2261"/>
        <item x="3345"/>
        <item x="2139"/>
        <item x="3527"/>
        <item x="4638"/>
        <item x="3654"/>
        <item x="3132"/>
        <item x="1364"/>
        <item x="528"/>
        <item x="1561"/>
        <item x="4454"/>
        <item x="2293"/>
        <item x="1408"/>
        <item x="2104"/>
        <item x="4431"/>
        <item x="3618"/>
        <item x="3131"/>
        <item x="4625"/>
        <item x="2387"/>
        <item x="4164"/>
        <item x="501"/>
        <item x="3585"/>
        <item x="1294"/>
        <item x="2448"/>
        <item x="3140"/>
        <item x="4323"/>
        <item x="2650"/>
        <item x="4011"/>
        <item x="2172"/>
        <item x="137"/>
        <item x="2384"/>
        <item x="2699"/>
        <item x="135"/>
        <item x="3061"/>
        <item x="436"/>
        <item x="2734"/>
        <item x="2571"/>
        <item x="2579"/>
        <item x="3035"/>
        <item x="3926"/>
        <item x="1387"/>
        <item x="1432"/>
        <item x="262"/>
        <item x="3638"/>
        <item x="1060"/>
        <item x="2479"/>
        <item x="551"/>
        <item x="1463"/>
        <item x="4686"/>
        <item x="4716"/>
        <item x="3528"/>
        <item x="2940"/>
        <item x="4658"/>
        <item x="1581"/>
        <item x="442"/>
        <item x="3106"/>
        <item x="2282"/>
        <item x="154"/>
        <item x="525"/>
        <item x="2756"/>
        <item x="2133"/>
        <item x="435"/>
        <item x="4152"/>
        <item x="993"/>
        <item x="4072"/>
        <item x="1913"/>
        <item x="772"/>
        <item x="3203"/>
        <item x="2260"/>
        <item x="2759"/>
        <item x="2761"/>
        <item x="2676"/>
        <item x="128"/>
        <item x="3081"/>
        <item x="3511"/>
        <item x="2916"/>
        <item x="4342"/>
        <item x="515"/>
        <item x="4199"/>
        <item x="4455"/>
        <item x="2141"/>
        <item x="3304"/>
        <item x="802"/>
        <item x="127"/>
        <item x="2281"/>
        <item x="4571"/>
        <item x="579"/>
        <item x="3318"/>
        <item x="3072"/>
        <item x="2569"/>
        <item x="3831"/>
        <item x="2704"/>
        <item x="2157"/>
        <item x="3579"/>
        <item x="4582"/>
        <item x="3597"/>
        <item x="1806"/>
        <item x="2395"/>
        <item x="2291"/>
        <item x="4333"/>
        <item x="4328"/>
        <item x="4604"/>
        <item x="3688"/>
        <item x="447"/>
        <item x="3750"/>
        <item x="1654"/>
        <item x="867"/>
        <item x="2219"/>
        <item x="1217"/>
        <item x="1495"/>
        <item x="2086"/>
        <item x="67"/>
        <item x="1897"/>
        <item x="780"/>
        <item x="1205"/>
        <item x="2354"/>
        <item x="736"/>
        <item x="3815"/>
        <item x="695"/>
        <item x="3303"/>
        <item x="2194"/>
        <item x="2928"/>
        <item x="4437"/>
        <item x="4624"/>
        <item x="2064"/>
        <item x="567"/>
        <item x="520"/>
        <item x="3641"/>
        <item x="4633"/>
        <item x="2738"/>
        <item x="1924"/>
        <item x="1842"/>
        <item x="4701"/>
        <item x="1704"/>
        <item x="559"/>
        <item x="3668"/>
        <item x="463"/>
        <item x="1204"/>
        <item x="3643"/>
        <item x="4304"/>
        <item x="3051"/>
        <item x="2392"/>
        <item x="2836"/>
        <item x="2606"/>
        <item x="2656"/>
        <item x="383"/>
        <item x="623"/>
        <item x="4456"/>
        <item x="3836"/>
        <item x="3915"/>
        <item x="3173"/>
        <item x="592"/>
        <item x="2090"/>
        <item x="4015"/>
        <item x="775"/>
        <item x="2993"/>
        <item x="363"/>
        <item x="4177"/>
        <item x="2524"/>
        <item x="1271"/>
        <item x="2326"/>
        <item x="2259"/>
        <item x="4488"/>
        <item x="2751"/>
        <item x="2225"/>
        <item x="1248"/>
        <item x="4354"/>
        <item x="2944"/>
        <item x="3866"/>
        <item x="1005"/>
        <item x="2568"/>
        <item x="486"/>
        <item x="370"/>
        <item x="1553"/>
        <item x="4107"/>
        <item x="140"/>
        <item x="3025"/>
        <item x="1710"/>
        <item x="3515"/>
        <item x="1350"/>
        <item x="1006"/>
        <item x="714"/>
        <item x="4543"/>
        <item x="1919"/>
        <item x="2899"/>
        <item x="2226"/>
        <item x="560"/>
        <item x="1992"/>
        <item x="4486"/>
        <item x="4321"/>
        <item x="3243"/>
        <item x="2519"/>
        <item x="4693"/>
        <item x="1997"/>
        <item x="2697"/>
        <item x="4718"/>
        <item x="3559"/>
        <item x="4547"/>
        <item x="3588"/>
        <item x="4733"/>
        <item x="64"/>
        <item x="4283"/>
        <item x="508"/>
        <item x="3992"/>
        <item x="2408"/>
        <item x="2449"/>
        <item x="3713"/>
        <item x="716"/>
        <item x="1796"/>
        <item x="488"/>
        <item x="1090"/>
        <item x="2860"/>
        <item x="454"/>
        <item x="865"/>
        <item x="2165"/>
        <item x="4367"/>
        <item x="4211"/>
        <item x="2622"/>
        <item x="3584"/>
        <item x="331"/>
        <item x="3439"/>
        <item x="403"/>
        <item x="2625"/>
        <item x="4357"/>
        <item x="929"/>
        <item x="3408"/>
        <item x="4655"/>
        <item x="2702"/>
        <item x="414"/>
        <item x="313"/>
        <item x="4654"/>
        <item x="1475"/>
        <item x="1470"/>
        <item x="3520"/>
        <item x="4728"/>
        <item x="3567"/>
        <item x="1543"/>
        <item x="561"/>
        <item x="4166"/>
        <item x="2644"/>
        <item x="1220"/>
        <item x="1588"/>
        <item x="3710"/>
        <item x="4224"/>
        <item x="334"/>
        <item x="1716"/>
        <item x="996"/>
        <item x="4713"/>
        <item x="1687"/>
        <item x="3214"/>
        <item x="3033"/>
        <item x="1110"/>
        <item x="2100"/>
        <item x="2169"/>
        <item x="2481"/>
        <item x="1340"/>
        <item x="1930"/>
        <item x="2589"/>
        <item x="342"/>
        <item x="3273"/>
        <item x="2305"/>
        <item x="2212"/>
        <item x="1084"/>
        <item x="3908"/>
        <item x="1043"/>
        <item x="1433"/>
        <item x="1053"/>
        <item x="2406"/>
        <item x="882"/>
        <item x="4458"/>
        <item x="954"/>
        <item x="1436"/>
        <item x="4189"/>
        <item x="4490"/>
        <item x="3409"/>
        <item x="3612"/>
        <item x="926"/>
        <item x="1653"/>
        <item x="348"/>
        <item x="374"/>
        <item x="3913"/>
        <item x="3759"/>
        <item x="391"/>
        <item x="3938"/>
        <item x="3746"/>
        <item x="3764"/>
        <item x="2554"/>
        <item x="2156"/>
        <item x="450"/>
        <item x="429"/>
        <item x="444"/>
        <item x="901"/>
        <item x="3858"/>
        <item x="1673"/>
        <item x="337"/>
        <item x="418"/>
        <item x="2101"/>
        <item x="3704"/>
        <item x="1763"/>
        <item x="789"/>
        <item x="977"/>
        <item x="629"/>
        <item x="3598"/>
        <item x="1124"/>
        <item x="522"/>
        <item x="1500"/>
        <item x="998"/>
        <item x="2984"/>
        <item x="1929"/>
        <item x="1300"/>
        <item x="2806"/>
        <item x="600"/>
        <item x="218"/>
        <item x="1858"/>
        <item x="4559"/>
        <item x="1198"/>
        <item x="4207"/>
        <item x="1234"/>
        <item x="2480"/>
        <item x="1649"/>
        <item x="1947"/>
        <item x="2586"/>
        <item x="1985"/>
        <item x="2089"/>
        <item x="549"/>
        <item x="3676"/>
        <item x="3903"/>
        <item x="1580"/>
        <item x="2791"/>
        <item x="1578"/>
        <item x="402"/>
        <item x="1345"/>
        <item x="1697"/>
        <item x="2405"/>
        <item x="2943"/>
        <item x="2983"/>
        <item x="4568"/>
        <item x="4369"/>
        <item x="737"/>
        <item x="978"/>
        <item x="2499"/>
        <item x="2752"/>
        <item x="547"/>
        <item x="4434"/>
        <item x="2396"/>
        <item x="1125"/>
        <item x="2257"/>
        <item x="3944"/>
        <item x="4329"/>
        <item x="4227"/>
        <item x="191"/>
        <item x="2782"/>
        <item x="3714"/>
        <item x="2311"/>
        <item x="1637"/>
        <item x="907"/>
        <item x="849"/>
        <item x="133"/>
        <item x="1348"/>
        <item x="2735"/>
        <item x="1362"/>
        <item x="1316"/>
        <item x="3497"/>
        <item x="2771"/>
        <item x="117"/>
        <item x="2152"/>
        <item x="3378"/>
        <item x="288"/>
        <item x="1071"/>
        <item x="4612"/>
        <item x="4523"/>
        <item x="2045"/>
        <item x="4085"/>
        <item x="1277"/>
        <item x="1931"/>
        <item x="4436"/>
        <item x="364"/>
        <item x="4417"/>
        <item x="1464"/>
        <item x="3976"/>
        <item x="1462"/>
        <item x="4086"/>
        <item x="3832"/>
        <item x="1333"/>
        <item x="99"/>
        <item x="944"/>
        <item x="416"/>
        <item x="4368"/>
        <item x="542"/>
        <item x="4473"/>
        <item x="798"/>
        <item x="961"/>
        <item x="3615"/>
        <item x="1353"/>
        <item x="216"/>
        <item x="2213"/>
        <item x="1296"/>
        <item x="3163"/>
        <item x="3582"/>
        <item x="852"/>
        <item x="3619"/>
        <item x="731"/>
        <item x="2195"/>
        <item x="25"/>
        <item x="3613"/>
        <item x="366"/>
        <item x="1689"/>
        <item x="1430"/>
        <item x="1545"/>
        <item x="2178"/>
        <item x="2478"/>
        <item x="4565"/>
        <item x="2339"/>
        <item x="3348"/>
        <item x="3791"/>
        <item x="1226"/>
        <item x="2063"/>
        <item x="3674"/>
        <item x="955"/>
        <item x="3092"/>
        <item x="1904"/>
        <item x="3867"/>
        <item x="4301"/>
        <item x="3282"/>
        <item x="1851"/>
        <item x="4331"/>
        <item x="700"/>
        <item x="1293"/>
        <item x="765"/>
        <item x="3587"/>
        <item x="2624"/>
        <item x="97"/>
        <item x="1732"/>
        <item x="3540"/>
        <item x="2301"/>
        <item x="685"/>
        <item x="1066"/>
        <item x="1981"/>
        <item x="3804"/>
        <item x="3026"/>
        <item x="1123"/>
        <item x="4144"/>
        <item x="4632"/>
        <item x="4720"/>
        <item x="2844"/>
        <item x="503"/>
        <item x="3375"/>
        <item x="1465"/>
        <item x="984"/>
        <item x="3748"/>
        <item x="4095"/>
        <item x="2978"/>
        <item x="2275"/>
        <item x="144"/>
        <item x="3972"/>
        <item x="3023"/>
        <item x="1896"/>
        <item x="2873"/>
        <item x="773"/>
        <item x="3917"/>
        <item x="3895"/>
        <item x="1266"/>
        <item x="3091"/>
        <item x="3616"/>
        <item x="423"/>
        <item x="4012"/>
        <item x="3586"/>
        <item x="3276"/>
        <item x="970"/>
        <item x="991"/>
        <item x="1093"/>
        <item x="3406"/>
        <item x="2356"/>
        <item x="2383"/>
        <item x="1431"/>
        <item x="1153"/>
        <item x="3379"/>
        <item x="4462"/>
        <item x="2248"/>
        <item x="4129"/>
        <item x="3093"/>
        <item x="2750"/>
        <item x="43"/>
        <item x="4109"/>
        <item x="976"/>
        <item x="2728"/>
        <item x="1948"/>
        <item x="4078"/>
        <item x="1966"/>
        <item x="3370"/>
        <item x="2946"/>
        <item x="1291"/>
        <item x="3113"/>
        <item x="3757"/>
        <item x="1257"/>
        <item x="52"/>
        <item x="2972"/>
        <item x="406"/>
        <item x="4001"/>
        <item x="3946"/>
        <item x="3274"/>
        <item x="3139"/>
        <item x="3359"/>
        <item x="266"/>
        <item x="4391"/>
        <item x="572"/>
        <item x="1586"/>
        <item x="2177"/>
        <item x="3067"/>
        <item x="3309"/>
        <item x="3900"/>
        <item x="3991"/>
        <item x="564"/>
        <item x="2917"/>
        <item x="3147"/>
        <item x="635"/>
        <item x="3854"/>
        <item x="1747"/>
        <item x="2170"/>
        <item x="1346"/>
        <item x="1468"/>
        <item x="1797"/>
        <item x="1902"/>
        <item x="964"/>
        <item x="1497"/>
        <item x="580"/>
        <item x="1079"/>
        <item x="3770"/>
        <item x="2954"/>
        <item x="4017"/>
        <item x="2646"/>
        <item x="455"/>
        <item x="1504"/>
        <item x="986"/>
        <item x="4251"/>
        <item x="2820"/>
        <item x="2600"/>
        <item x="4480"/>
        <item x="785"/>
        <item x="1395"/>
        <item x="2874"/>
        <item x="4225"/>
        <item x="1514"/>
        <item x="1444"/>
        <item x="4491"/>
        <item x="3994"/>
        <item x="2394"/>
        <item x="396"/>
        <item x="2163"/>
        <item x="3430"/>
        <item x="130"/>
        <item x="3299"/>
        <item x="4474"/>
        <item x="338"/>
        <item x="3029"/>
        <item x="3964"/>
        <item x="2079"/>
        <item x="1094"/>
        <item x="1056"/>
        <item x="2498"/>
        <item x="3141"/>
        <item x="1077"/>
        <item x="3095"/>
        <item x="2532"/>
        <item x="2913"/>
        <item x="950"/>
        <item x="3453"/>
        <item x="3133"/>
        <item x="2483"/>
        <item x="4692"/>
        <item x="1025"/>
        <item x="1062"/>
        <item x="2153"/>
        <item x="1365"/>
        <item x="3263"/>
        <item x="1631"/>
        <item x="2211"/>
        <item x="4683"/>
        <item x="2842"/>
        <item x="3776"/>
        <item x="960"/>
        <item x="1535"/>
        <item x="2315"/>
        <item x="2809"/>
        <item x="4222"/>
        <item x="2536"/>
        <item x="1155"/>
        <item x="2370"/>
        <item x="190"/>
        <item x="806"/>
        <item x="3833"/>
        <item x="2574"/>
        <item x="3510"/>
        <item x="2258"/>
        <item x="4062"/>
        <item x="915"/>
        <item x="162"/>
        <item x="1880"/>
        <item x="604"/>
        <item x="3801"/>
        <item x="4702"/>
        <item x="2753"/>
        <item x="1532"/>
        <item x="1712"/>
        <item x="4457"/>
        <item x="4572"/>
        <item x="2098"/>
        <item x="1560"/>
        <item x="1378"/>
        <item x="3078"/>
        <item x="1540"/>
        <item x="4540"/>
        <item x="1890"/>
        <item x="226"/>
        <item x="1113"/>
        <item x="2607"/>
        <item x="1493"/>
        <item x="892"/>
        <item x="711"/>
        <item x="932"/>
        <item x="4032"/>
        <item x="4613"/>
        <item x="3914"/>
        <item x="3496"/>
        <item x="14"/>
        <item x="1481"/>
        <item x="4601"/>
        <item x="2017"/>
        <item x="1374"/>
        <item x="1270"/>
        <item x="517"/>
        <item x="1366"/>
        <item x="2990"/>
        <item x="4004"/>
        <item x="4091"/>
        <item x="1369"/>
        <item x="3460"/>
        <item x="3326"/>
        <item x="1246"/>
        <item x="2330"/>
        <item x="1178"/>
        <item x="1720"/>
        <item x="2834"/>
        <item x="2767"/>
        <item x="4307"/>
        <item x="4122"/>
        <item x="4557"/>
        <item x="1729"/>
        <item x="4460"/>
        <item x="1076"/>
        <item x="1295"/>
        <item x="8"/>
        <item x="3225"/>
        <item x="1450"/>
        <item x="2252"/>
        <item x="4226"/>
        <item x="2371"/>
        <item x="4408"/>
        <item x="3396"/>
        <item x="3290"/>
        <item x="495"/>
        <item x="4427"/>
        <item x="3201"/>
        <item x="1213"/>
        <item x="2530"/>
        <item x="3094"/>
        <item x="4115"/>
        <item x="1355"/>
        <item x="29"/>
        <item x="1824"/>
        <item x="3054"/>
        <item x="1336"/>
        <item x="3361"/>
        <item x="1192"/>
        <item x="3360"/>
        <item x="3245"/>
        <item x="582"/>
        <item x="308"/>
        <item x="3395"/>
        <item x="4070"/>
        <item x="3622"/>
        <item x="323"/>
        <item x="4065"/>
        <item x="147"/>
        <item x="951"/>
        <item x="4681"/>
        <item x="1648"/>
        <item x="1445"/>
        <item x="3751"/>
        <item x="3589"/>
        <item x="727"/>
        <item x="4706"/>
        <item x="1182"/>
        <item x="856"/>
        <item x="766"/>
        <item x="2529"/>
        <item x="814"/>
        <item x="1164"/>
        <item x="2382"/>
        <item x="484"/>
        <item x="1647"/>
        <item x="3350"/>
        <item x="4560"/>
        <item x="2404"/>
        <item x="189"/>
        <item x="1222"/>
        <item x="4393"/>
        <item x="2465"/>
        <item x="3217"/>
        <item x="2351"/>
        <item x="2939"/>
        <item x="2784"/>
        <item x="1757"/>
        <item x="1448"/>
        <item x="2489"/>
        <item x="2303"/>
        <item x="3255"/>
        <item x="2049"/>
        <item x="1769"/>
        <item x="636"/>
        <item x="413"/>
        <item x="1830"/>
        <item x="1258"/>
        <item x="461"/>
        <item x="2934"/>
        <item x="3265"/>
        <item x="3950"/>
        <item x="3547"/>
        <item x="4730"/>
        <item x="74"/>
        <item x="91"/>
        <item x="3974"/>
        <item x="1407"/>
        <item x="4479"/>
        <item x="3936"/>
        <item x="2042"/>
        <item x="305"/>
        <item x="3457"/>
        <item x="3897"/>
        <item x="4673"/>
        <item x="3904"/>
        <item x="2653"/>
        <item x="21"/>
        <item x="1598"/>
        <item x="4125"/>
        <item x="2664"/>
        <item x="3975"/>
        <item x="3677"/>
        <item x="1567"/>
        <item x="4254"/>
        <item x="3120"/>
        <item x="349"/>
        <item x="3400"/>
        <item x="3985"/>
        <item x="1882"/>
        <item x="505"/>
        <item x="1927"/>
        <item x="389"/>
        <item x="2193"/>
        <item x="913"/>
        <item x="3706"/>
        <item x="4016"/>
        <item x="2136"/>
        <item x="2138"/>
        <item x="4500"/>
        <item x="4262"/>
        <item x="3603"/>
        <item x="4609"/>
        <item x="1988"/>
        <item x="807"/>
        <item x="1866"/>
        <item x="4432"/>
        <item x="1696"/>
        <item x="1852"/>
        <item x="4685"/>
        <item x="653"/>
        <item x="3947"/>
        <item x="1327"/>
        <item x="878"/>
        <item x="4231"/>
        <item x="2454"/>
        <item x="3272"/>
        <item x="601"/>
        <item x="1174"/>
        <item x="2796"/>
        <item x="2846"/>
        <item x="56"/>
        <item x="1405"/>
        <item x="2265"/>
        <item x="3296"/>
        <item x="630"/>
        <item x="1887"/>
        <item x="945"/>
        <item x="2137"/>
        <item x="2956"/>
        <item x="424"/>
        <item x="260"/>
        <item x="471"/>
        <item x="3335"/>
        <item x="1766"/>
        <item x="1999"/>
        <item x="3261"/>
        <item x="210"/>
        <item x="4165"/>
        <item x="3747"/>
        <item x="1449"/>
        <item x="3983"/>
        <item x="2352"/>
        <item x="1967"/>
        <item x="2737"/>
        <item x="3707"/>
        <item x="813"/>
        <item x="4719"/>
        <item x="2062"/>
        <item x="3800"/>
        <item x="2400"/>
        <item x="3590"/>
        <item x="2918"/>
        <item x="4735"/>
        <item x="1809"/>
        <item x="54"/>
        <item x="149"/>
        <item x="2450"/>
        <item x="3738"/>
        <item x="1007"/>
        <item x="2703"/>
        <item x="874"/>
        <item x="639"/>
        <item x="228"/>
        <item x="2251"/>
        <item x="384"/>
        <item x="2367"/>
        <item x="2597"/>
        <item x="473"/>
        <item x="4087"/>
        <item x="1679"/>
        <item x="1849"/>
        <item x="3690"/>
        <item x="1616"/>
        <item x="1265"/>
        <item x="4569"/>
        <item x="3100"/>
        <item x="846"/>
        <item x="4273"/>
        <item x="3107"/>
        <item x="4210"/>
        <item x="1051"/>
        <item x="1397"/>
        <item x="1391"/>
        <item x="4424"/>
        <item x="2332"/>
        <item x="2862"/>
        <item x="1356"/>
        <item x="3703"/>
        <item x="1886"/>
        <item x="145"/>
        <item x="2609"/>
        <item x="2190"/>
        <item x="3124"/>
        <item x="4662"/>
        <item x="693"/>
        <item x="2150"/>
        <item x="1859"/>
        <item x="2379"/>
        <item x="2164"/>
        <item x="317"/>
        <item x="4030"/>
        <item x="768"/>
        <item x="236"/>
        <item x="3680"/>
        <item x="2823"/>
        <item x="3183"/>
        <item x="3566"/>
        <item x="1289"/>
        <item x="4687"/>
        <item x="4492"/>
        <item x="3918"/>
        <item x="589"/>
        <item x="717"/>
        <item x="2376"/>
        <item x="283"/>
        <item x="927"/>
        <item x="2670"/>
        <item x="284"/>
        <item x="2016"/>
        <item x="3009"/>
        <item x="4435"/>
        <item x="2645"/>
        <item x="1323"/>
        <item x="2206"/>
        <item x="1484"/>
        <item x="3620"/>
        <item x="1835"/>
        <item x="113"/>
        <item x="2418"/>
        <item x="3877"/>
        <item x="1644"/>
        <item x="367"/>
        <item x="788"/>
        <item x="2666"/>
        <item x="2320"/>
        <item x="718"/>
        <item x="4639"/>
        <item x="2805"/>
        <item x="4475"/>
        <item x="2516"/>
        <item x="1262"/>
        <item x="709"/>
        <item x="2168"/>
        <item x="2350"/>
        <item x="1376"/>
        <item x="2857"/>
        <item x="1026"/>
        <item x="457"/>
        <item x="1065"/>
        <item x="2986"/>
        <item x="787"/>
        <item x="94"/>
        <item x="4306"/>
        <item x="3509"/>
        <item x="3556"/>
        <item x="3627"/>
        <item x="224"/>
        <item x="103"/>
        <item x="3349"/>
        <item x="923"/>
        <item x="2619"/>
        <item x="3624"/>
        <item x="1106"/>
        <item x="4478"/>
        <item x="4580"/>
        <item x="2707"/>
        <item x="4343"/>
        <item x="111"/>
        <item x="3920"/>
        <item x="1840"/>
        <item x="933"/>
        <item x="3691"/>
        <item x="286"/>
        <item x="544"/>
        <item x="2272"/>
        <item x="3165"/>
        <item x="3644"/>
        <item x="2863"/>
        <item x="2039"/>
        <item x="2927"/>
        <item x="2482"/>
        <item x="2331"/>
        <item x="2452"/>
        <item x="248"/>
        <item x="4356"/>
        <item x="2205"/>
        <item x="1789"/>
        <item x="660"/>
        <item x="3420"/>
        <item x="2264"/>
        <item x="2256"/>
        <item x="2878"/>
        <item x="3870"/>
        <item x="352"/>
        <item x="2129"/>
        <item x="2893"/>
        <item x="3407"/>
        <item x="521"/>
        <item x="125"/>
        <item x="3508"/>
        <item x="1916"/>
        <item x="3126"/>
        <item x="223"/>
        <item x="1473"/>
        <item x="1781"/>
        <item x="4400"/>
        <item x="3353"/>
        <item x="3414"/>
        <item x="2843"/>
        <item x="3835"/>
        <item x="1848"/>
        <item x="1454"/>
        <item x="4019"/>
        <item x="39"/>
        <item x="184"/>
        <item x="1099"/>
        <item x="4660"/>
        <item x="4178"/>
        <item x="1287"/>
        <item x="2705"/>
        <item x="3490"/>
        <item x="1423"/>
        <item x="3347"/>
        <item x="2582"/>
        <item x="896"/>
        <item x="1466"/>
        <item x="3098"/>
        <item x="28"/>
        <item x="3581"/>
        <item x="3523"/>
        <item x="2443"/>
        <item x="1937"/>
        <item x="1367"/>
        <item x="2441"/>
        <item x="79"/>
        <item x="3639"/>
        <item x="1520"/>
        <item x="1273"/>
        <item x="4659"/>
        <item x="2161"/>
        <item x="3432"/>
        <item x="71"/>
        <item x="3277"/>
        <item x="1667"/>
        <item x="311"/>
        <item x="3014"/>
        <item x="1808"/>
        <item x="4573"/>
        <item x="1625"/>
        <item x="659"/>
        <item x="3288"/>
        <item x="1402"/>
        <item x="3048"/>
        <item x="1150"/>
        <item x="330"/>
        <item x="4599"/>
        <item x="2669"/>
        <item x="2807"/>
        <item x="742"/>
        <item x="3218"/>
        <item x="3765"/>
        <item x="431"/>
        <item x="2357"/>
        <item x="4261"/>
        <item x="4688"/>
        <item x="690"/>
        <item x="2685"/>
        <item x="3568"/>
        <item x="751"/>
        <item x="2687"/>
        <item x="805"/>
        <item x="2617"/>
        <item x="353"/>
        <item x="545"/>
        <item x="2041"/>
        <item x="2344"/>
        <item x="3779"/>
        <item x="1191"/>
        <item x="3143"/>
        <item x="2663"/>
        <item x="2531"/>
        <item x="386"/>
        <item x="4594"/>
        <item x="1183"/>
        <item x="1659"/>
        <item x="1811"/>
        <item x="1730"/>
        <item x="230"/>
        <item x="4602"/>
        <item x="3669"/>
        <item x="2286"/>
        <item x="84"/>
        <item x="3202"/>
        <item x="1161"/>
        <item x="2377"/>
        <item x="1398"/>
        <item x="68"/>
        <item x="3398"/>
        <item x="2466"/>
        <item x="2985"/>
        <item x="3642"/>
        <item x="571"/>
        <item x="1954"/>
        <item x="168"/>
        <item x="421"/>
        <item x="465"/>
        <item x="4302"/>
        <item x="4497"/>
        <item x="759"/>
        <item x="213"/>
        <item x="2794"/>
        <item x="4524"/>
        <item x="3394"/>
        <item x="1341"/>
        <item x="1379"/>
        <item x="2467"/>
        <item x="4610"/>
        <item x="3456"/>
        <item x="2709"/>
        <item x="2425"/>
        <item x="583"/>
        <item x="1946"/>
        <item x="4215"/>
        <item x="4005"/>
        <item x="2115"/>
        <item x="1133"/>
        <item x="2325"/>
        <item x="1453"/>
        <item x="3216"/>
        <item x="2296"/>
        <item x="4208"/>
        <item x="3910"/>
        <item x="377"/>
        <item x="2203"/>
        <item x="2373"/>
        <item x="887"/>
        <item x="4527"/>
        <item x="307"/>
        <item x="462"/>
        <item x="4489"/>
        <item x="824"/>
        <item x="3275"/>
        <item x="4291"/>
        <item x="3722"/>
        <item x="1821"/>
        <item x="771"/>
        <item x="309"/>
        <item x="2149"/>
        <item x="992"/>
        <item x="2117"/>
        <item x="3334"/>
        <item x="2605"/>
        <item x="1267"/>
        <item x="1148"/>
        <item x="1276"/>
        <item x="4309"/>
        <item x="2821"/>
        <item x="1762"/>
        <item x="3745"/>
        <item x="220"/>
        <item x="3311"/>
        <item x="3692"/>
        <item x="2029"/>
        <item x="1559"/>
        <item x="3600"/>
        <item x="2274"/>
        <item x="3696"/>
        <item x="2665"/>
        <item x="3945"/>
        <item x="3583"/>
        <item x="1339"/>
        <item x="32"/>
        <item x="855"/>
        <item x="2210"/>
        <item x="150"/>
        <item x="240"/>
        <item x="891"/>
        <item x="2561"/>
        <item x="2588"/>
        <item x="3687"/>
        <item x="425"/>
        <item x="857"/>
        <item x="3816"/>
        <item x="17"/>
        <item x="2749"/>
        <item x="4025"/>
        <item x="4350"/>
        <item x="1517"/>
        <item x="3455"/>
        <item x="4244"/>
        <item x="332"/>
        <item x="2407"/>
        <item x="1709"/>
        <item x="2525"/>
        <item x="4090"/>
        <item x="4113"/>
        <item x="4325"/>
        <item x="4605"/>
        <item x="3949"/>
        <item x="1122"/>
        <item x="1373"/>
        <item x="3050"/>
        <item x="2131"/>
        <item x="552"/>
        <item x="3278"/>
        <item x="1032"/>
        <item x="61"/>
        <item x="3206"/>
        <item x="4419"/>
        <item x="3996"/>
        <item x="3458"/>
        <item x="2030"/>
        <item x="2610"/>
        <item x="631"/>
        <item x="678"/>
        <item x="2937"/>
        <item x="2598"/>
        <item x="318"/>
        <item x="3984"/>
        <item x="1004"/>
        <item x="3112"/>
        <item x="397"/>
        <item x="3130"/>
        <item x="3546"/>
        <item x="2825"/>
        <item x="832"/>
        <item x="702"/>
        <item x="2366"/>
        <item x="2907"/>
        <item x="3869"/>
        <item x="4440"/>
        <item x="912"/>
        <item x="4068"/>
        <item x="234"/>
        <item x="3993"/>
        <item x="58"/>
        <item x="3880"/>
        <item x="3369"/>
        <item x="1539"/>
        <item x="1521"/>
        <item x="593"/>
        <item x="2787"/>
        <item x="2760"/>
        <item x="4201"/>
        <item x="4416"/>
        <item x="3771"/>
        <item x="1530"/>
        <item x="4278"/>
        <item x="2961"/>
        <item x="1708"/>
        <item x="4731"/>
        <item x="369"/>
        <item x="1078"/>
        <item x="2541"/>
        <item x="774"/>
        <item x="3065"/>
        <item x="4324"/>
        <item x="1650"/>
        <item x="1760"/>
        <item x="1027"/>
        <item x="4689"/>
        <item x="3554"/>
        <item x="1982"/>
        <item x="871"/>
        <item x="1847"/>
        <item x="328"/>
        <item x="143"/>
        <item x="2514"/>
        <item x="3224"/>
        <item x="4597"/>
        <item x="858"/>
        <item x="4372"/>
        <item x="1638"/>
        <item x="1737"/>
        <item x="1138"/>
        <item x="333"/>
        <item x="1228"/>
        <item x="1607"/>
        <item x="3022"/>
        <item x="1837"/>
        <item x="1211"/>
        <item x="548"/>
        <item x="4250"/>
        <item x="336"/>
        <item x="2148"/>
        <item x="485"/>
        <item x="1401"/>
        <item x="1698"/>
        <item x="4360"/>
        <item x="1224"/>
        <item x="3768"/>
        <item x="3440"/>
        <item x="15"/>
        <item x="4053"/>
        <item x="1652"/>
        <item x="2353"/>
        <item x="3045"/>
        <item x="1389"/>
        <item x="2415"/>
        <item x="2671"/>
        <item x="1690"/>
        <item x="3837"/>
        <item x="4200"/>
        <item x="959"/>
        <item x="2040"/>
        <item x="3320"/>
        <item x="2974"/>
        <item x="940"/>
        <item x="3034"/>
        <item x="443"/>
        <item x="1597"/>
        <item x="830"/>
        <item x="3153"/>
        <item x="73"/>
        <item x="2626"/>
        <item x="299"/>
        <item x="3925"/>
        <item x="1111"/>
        <item x="376"/>
        <item x="4002"/>
        <item x="512"/>
        <item x="4465"/>
        <item x="1970"/>
        <item x="464"/>
        <item x="2273"/>
        <item x="4603"/>
        <item x="1632"/>
        <item x="4657"/>
        <item x="928"/>
        <item x="3498"/>
        <item x="2724"/>
        <item x="2469"/>
        <item x="3280"/>
        <item x="3376"/>
        <item x="4114"/>
        <item x="1001"/>
        <item x="1844"/>
        <item x="1059"/>
        <item x="2162"/>
        <item x="1003"/>
        <item x="4469"/>
        <item x="3640"/>
        <item x="4289"/>
        <item x="728"/>
        <item x="118"/>
        <item x="1516"/>
        <item x="974"/>
        <item x="3887"/>
        <item x="1096"/>
        <item x="4596"/>
        <item x="4108"/>
        <item x="1020"/>
        <item x="4305"/>
        <item x="3494"/>
        <item x="3741"/>
        <item x="3514"/>
        <item x="794"/>
        <item x="3739"/>
        <item x="1676"/>
        <item x="4619"/>
        <item x="1901"/>
        <item x="3705"/>
        <item x="4128"/>
        <item x="22"/>
        <item x="1527"/>
        <item x="570"/>
        <item x="966"/>
        <item x="2975"/>
        <item x="3289"/>
        <item x="1814"/>
        <item x="2458"/>
        <item x="151"/>
        <item x="1210"/>
        <item x="2601"/>
        <item x="3868"/>
        <item x="3489"/>
        <item x="4593"/>
        <item x="1815"/>
        <item x="4341"/>
        <item x="952"/>
        <item x="4041"/>
        <item x="3244"/>
        <item x="3940"/>
        <item x="2710"/>
        <item x="122"/>
        <item x="3404"/>
        <item x="1915"/>
        <item x="310"/>
        <item x="3357"/>
        <item x="2134"/>
        <item x="705"/>
        <item x="691"/>
        <item x="1146"/>
        <item x="1695"/>
        <item x="1260"/>
        <item x="4637"/>
        <item x="4721"/>
        <item x="1636"/>
        <item x="1170"/>
        <item x="4330"/>
        <item x="3250"/>
        <item x="2868"/>
        <item x="2776"/>
        <item x="2632"/>
        <item x="1899"/>
        <item x="646"/>
        <item x="469"/>
        <item x="2440"/>
        <item x="3086"/>
        <item x="664"/>
        <item x="3548"/>
        <item x="1829"/>
        <item x="1813"/>
        <item x="1594"/>
        <item x="3397"/>
        <item x="4629"/>
        <item x="1928"/>
        <item x="1013"/>
        <item x="2548"/>
        <item x="1206"/>
        <item x="3740"/>
        <item x="2631"/>
        <item x="1320"/>
        <item x="2198"/>
        <item x="3541"/>
        <item x="2876"/>
        <item x="4322"/>
        <item x="854"/>
        <item x="1151"/>
        <item x="1116"/>
        <item x="3937"/>
        <item x="3513"/>
        <item x="530"/>
        <item x="2044"/>
        <item x="1305"/>
        <item x="3431"/>
        <item x="2224"/>
        <item x="86"/>
        <item x="3448"/>
        <item x="498"/>
        <item x="1761"/>
        <item x="3689"/>
        <item x="1131"/>
        <item x="3459"/>
        <item x="2015"/>
        <item x="687"/>
        <item x="2553"/>
        <item x="44"/>
        <item x="408"/>
        <item x="2014"/>
        <item x="3185"/>
        <item x="3293"/>
        <item x="3419"/>
        <item x="1666"/>
        <item x="4214"/>
        <item x="4055"/>
        <item x="672"/>
        <item x="419"/>
        <item x="183"/>
        <item x="2808"/>
        <item x="645"/>
        <item x="185"/>
        <item x="2372"/>
        <item x="4044"/>
        <item x="4169"/>
        <item x="4018"/>
        <item x="3374"/>
        <item x="2472"/>
        <item x="3737"/>
        <item x="1114"/>
        <item x="1227"/>
        <item x="1620"/>
        <item x="3517"/>
        <item x="1646"/>
        <item x="4736"/>
        <item x="171"/>
        <item x="833"/>
        <item x="4382"/>
        <item x="861"/>
        <item x="1525"/>
        <item x="407"/>
        <item x="1308"/>
        <item x="2766"/>
        <item x="77"/>
        <item x="3806"/>
        <item x="1105"/>
        <item x="3443"/>
        <item x="4275"/>
        <item x="2116"/>
        <item x="2830"/>
        <item x="3074"/>
        <item x="4212"/>
        <item x="598"/>
        <item x="1925"/>
        <item x="1404"/>
        <item x="2811"/>
        <item x="938"/>
        <item x="941"/>
        <item x="1384"/>
        <item x="2573"/>
        <item x="1592"/>
        <item x="3479"/>
        <item x="4303"/>
        <item x="3664"/>
        <item x="496"/>
        <item x="863"/>
        <item x="3390"/>
        <item x="1671"/>
        <item x="2413"/>
        <item x="1756"/>
        <item x="4528"/>
        <item x="1221"/>
        <item x="2608"/>
        <item x="4715"/>
        <item x="3177"/>
        <item x="379"/>
        <item x="3787"/>
        <item x="1427"/>
        <item x="2909"/>
        <item x="688"/>
        <item x="1914"/>
        <item x="819"/>
        <item x="381"/>
        <item x="2976"/>
        <item x="1074"/>
        <item x="859"/>
        <item x="4442"/>
        <item x="905"/>
        <item x="618"/>
        <item x="1357"/>
        <item x="1749"/>
        <item x="439"/>
        <item x="2855"/>
        <item x="4228"/>
        <item x="3310"/>
        <item x="4618"/>
        <item x="2176"/>
        <item x="1605"/>
        <item x="1838"/>
        <item x="350"/>
        <item x="2271"/>
        <item x="1601"/>
        <item x="546"/>
        <item x="46"/>
        <item x="3002"/>
        <item x="2061"/>
        <item x="1898"/>
        <item x="4614"/>
        <item x="27"/>
        <item x="2611"/>
        <item x="2335"/>
        <item x="4525"/>
        <item x="585"/>
        <item x="3228"/>
        <item x="2497"/>
        <item x="934"/>
        <item x="1703"/>
        <item x="1857"/>
        <item x="1860"/>
        <item x="3006"/>
        <item x="2285"/>
        <item x="3437"/>
        <item x="1911"/>
        <item x="1393"/>
        <item x="1506"/>
        <item x="3919"/>
        <item x="235"/>
        <item x="4545"/>
        <item x="2773"/>
        <item x="3921"/>
        <item x="6"/>
        <item x="1574"/>
        <item x="4574"/>
        <item x="2591"/>
        <item x="4526"/>
        <item x="4698"/>
        <item x="2075"/>
        <item x="399"/>
        <item x="739"/>
        <item x="2977"/>
        <item x="1681"/>
        <item x="971"/>
        <item x="4180"/>
        <item x="446"/>
        <item x="1877"/>
        <item x="427"/>
        <item x="644"/>
        <item x="355"/>
        <item x="3648"/>
        <item x="1347"/>
        <item x="753"/>
        <item x="698"/>
        <item x="1505"/>
        <item x="1322"/>
        <item x="253"/>
        <item x="1179"/>
        <item x="4308"/>
        <item x="682"/>
        <item x="2135"/>
        <item x="3529"/>
        <item x="1548"/>
        <item x="174"/>
        <item x="877"/>
        <item x="4470"/>
        <item x="3355"/>
        <item x="793"/>
        <item x="3592"/>
        <item x="265"/>
        <item x="534"/>
        <item x="4130"/>
        <item x="1254"/>
        <item x="1332"/>
        <item x="2742"/>
        <item x="4276"/>
        <item x="1614"/>
        <item x="1713"/>
        <item x="3283"/>
        <item x="2340"/>
        <item x="378"/>
        <item x="550"/>
        <item x="1554"/>
        <item x="1608"/>
        <item x="4204"/>
        <item x="3319"/>
        <item x="1219"/>
        <item x="883"/>
        <item x="2409"/>
        <item x="667"/>
        <item x="2637"/>
        <item x="3805"/>
        <item x="1375"/>
        <item x="1979"/>
        <item x="3693"/>
        <item x="1503"/>
        <item x="1331"/>
        <item x="142"/>
        <item x="89"/>
        <item x="1602"/>
        <item x="4383"/>
        <item x="297"/>
        <item x="3015"/>
        <item x="4007"/>
        <item x="4668"/>
        <item x="2223"/>
        <item x="2323"/>
        <item x="2502"/>
        <item x="3046"/>
        <item x="4332"/>
        <item x="1494"/>
        <item x="2221"/>
        <item x="1163"/>
        <item x="917"/>
        <item x="599"/>
        <item x="238"/>
        <item x="320"/>
        <item x="1802"/>
        <item x="3166"/>
        <item x="3097"/>
        <item x="597"/>
        <item x="69"/>
        <item x="2255"/>
        <item x="1095"/>
        <item x="4192"/>
        <item x="4006"/>
        <item x="3313"/>
        <item x="3356"/>
        <item x="1314"/>
        <item x="809"/>
        <item x="161"/>
        <item x="3839"/>
        <item x="242"/>
        <item x="533"/>
        <item x="3399"/>
        <item x="1944"/>
        <item x="3980"/>
        <item x="4370"/>
        <item x="2077"/>
        <item x="1054"/>
        <item x="449"/>
        <item x="1977"/>
        <item x="4552"/>
        <item x="4546"/>
        <item x="1010"/>
        <item x="1334"/>
        <item x="2919"/>
        <item x="2572"/>
        <item x="4513"/>
        <item x="327"/>
        <item x="529"/>
        <item x="3655"/>
        <item x="178"/>
        <item x="4550"/>
        <item x="2306"/>
        <item x="937"/>
        <item x="3807"/>
        <item x="4288"/>
        <item x="734"/>
        <item x="1910"/>
        <item x="2204"/>
        <item x="4131"/>
        <item x="3381"/>
        <item x="2433"/>
        <item x="390"/>
        <item x="2490"/>
        <item x="2959"/>
        <item x="2957"/>
        <item x="66"/>
        <item x="2095"/>
        <item x="4531"/>
        <item x="1069"/>
        <item x="719"/>
        <item x="2723"/>
        <item x="3491"/>
        <item x="1714"/>
        <item x="1438"/>
        <item x="1390"/>
        <item x="368"/>
        <item x="2147"/>
        <item x="2640"/>
        <item x="60"/>
        <item x="1863"/>
        <item x="3052"/>
        <item x="314"/>
        <item x="1881"/>
        <item x="1624"/>
        <item x="275"/>
        <item x="497"/>
        <item x="3038"/>
        <item x="720"/>
        <item x="4246"/>
        <item x="1202"/>
        <item x="2436"/>
        <item x="2235"/>
        <item x="1452"/>
        <item x="2078"/>
        <item x="4020"/>
        <item x="2410"/>
        <item x="2935"/>
        <item x="4439"/>
        <item x="4073"/>
        <item x="1744"/>
        <item x="4661"/>
        <item x="4598"/>
        <item x="621"/>
        <item x="2474"/>
        <item x="3872"/>
        <item x="790"/>
        <item x="263"/>
        <item x="2416"/>
        <item x="3386"/>
        <item x="1722"/>
        <item x="3948"/>
        <item x="2533"/>
        <item x="3681"/>
        <item x="1533"/>
        <item x="3542"/>
        <item x="1268"/>
        <item x="1579"/>
        <item x="4634"/>
        <item x="3115"/>
        <item x="3931"/>
        <item x="1998"/>
        <item x="828"/>
        <item x="3187"/>
        <item x="1456"/>
        <item x="2677"/>
        <item x="4099"/>
        <item x="1726"/>
        <item x="1995"/>
        <item x="2439"/>
        <item x="3512"/>
        <item x="1790"/>
        <item x="1538"/>
        <item x="2486"/>
        <item x="1961"/>
        <item x="1865"/>
        <item x="3656"/>
        <item x="2534"/>
        <item x="1144"/>
        <item x="3401"/>
        <item x="843"/>
        <item x="936"/>
        <item x="3142"/>
        <item x="1787"/>
        <item x="1488"/>
        <item x="3682"/>
        <item x="2945"/>
        <item x="1812"/>
        <item x="3291"/>
        <item x="2686"/>
        <item x="590"/>
        <item x="41"/>
        <item x="920"/>
        <item x="4675"/>
        <item x="637"/>
        <item x="2629"/>
        <item x="968"/>
        <item x="3963"/>
        <item x="4627"/>
        <item x="3088"/>
        <item x="4499"/>
        <item x="164"/>
        <item x="2333"/>
        <item x="1072"/>
        <item x="747"/>
        <item x="1642"/>
        <item x="4334"/>
        <item x="3351"/>
        <item x="3030"/>
        <item x="1152"/>
        <item x="2435"/>
        <item x="3552"/>
        <item x="241"/>
        <item x="76"/>
        <item x="3838"/>
        <item x="1658"/>
        <item x="3127"/>
        <item x="303"/>
        <item x="1701"/>
        <item x="1489"/>
        <item x="3150"/>
        <item x="2743"/>
        <item x="448"/>
        <item x="1952"/>
        <item x="3426"/>
        <item x="1661"/>
        <item x="1112"/>
        <item x="2889"/>
        <item x="4576"/>
        <item x="2853"/>
        <item x="3785"/>
        <item x="1017"/>
        <item x="2175"/>
        <item x="3781"/>
        <item x="4501"/>
        <item x="93"/>
        <item x="362"/>
        <item x="953"/>
        <item x="169"/>
        <item x="4311"/>
        <item x="2583"/>
        <item x="2785"/>
        <item x="1867"/>
        <item x="1630"/>
        <item x="752"/>
        <item x="761"/>
        <item x="304"/>
        <item x="1583"/>
        <item x="3725"/>
        <item x="3979"/>
        <item x="2894"/>
        <item x="2233"/>
        <item x="1068"/>
        <item x="340"/>
        <item x="1872"/>
        <item x="3403"/>
        <item x="2674"/>
        <item x="2556"/>
        <item x="3169"/>
        <item x="679"/>
        <item x="1337"/>
        <item x="2234"/>
        <item x="2358"/>
        <item x="699"/>
        <item x="4636"/>
        <item x="3645"/>
        <item x="2988"/>
        <item x="2996"/>
        <item x="4438"/>
        <item x="1526"/>
        <item x="1752"/>
        <item x="2475"/>
        <item x="588"/>
        <item x="3742"/>
        <item x="4402"/>
        <item x="3152"/>
        <item x="4179"/>
        <item x="4676"/>
        <item x="2616"/>
        <item x="3114"/>
        <item x="2712"/>
        <item x="870"/>
        <item x="259"/>
        <item x="3773"/>
        <item x="2316"/>
        <item x="4392"/>
        <item x="2826"/>
        <item x="1083"/>
        <item x="1665"/>
        <item x="4312"/>
        <item x="2698"/>
        <item x="296"/>
        <item x="3295"/>
        <item x="2208"/>
        <item x="2493"/>
        <item x="4033"/>
        <item x="1547"/>
        <item x="656"/>
        <item x="1959"/>
        <item x="2076"/>
        <item x="2864"/>
        <item x="1971"/>
        <item x="1974"/>
        <item x="881"/>
        <item x="4549"/>
        <item x="3019"/>
        <item x="1223"/>
        <item x="1771"/>
        <item x="2526"/>
        <item x="2510"/>
        <item x="756"/>
        <item x="3300"/>
        <item x="1552"/>
        <item x="3447"/>
        <item x="229"/>
        <item x="4059"/>
        <item x="4738"/>
        <item x="3743"/>
        <item x="584"/>
        <item x="1958"/>
        <item x="2987"/>
        <item x="4678"/>
        <item x="1906"/>
        <item x="3422"/>
        <item x="3363"/>
        <item x="2048"/>
        <item x="2146"/>
        <item x="3711"/>
        <item x="527"/>
        <item x="1746"/>
        <item x="3028"/>
        <item x="1455"/>
        <item x="2145"/>
        <item x="1501"/>
        <item x="393"/>
        <item x="2754"/>
        <item x="1772"/>
        <item x="627"/>
        <item x="1834"/>
        <item x="3332"/>
        <item x="3657"/>
        <item x="3730"/>
        <item x="1564"/>
        <item x="2731"/>
        <item x="3708"/>
        <item x="3786"/>
        <item x="1264"/>
        <item x="2046"/>
        <item x="2060"/>
        <item x="4732"/>
        <item x="4586"/>
        <item x="1279"/>
        <item x="30"/>
        <item x="4074"/>
        <item x="1883"/>
        <item x="4274"/>
        <item x="4093"/>
        <item x="888"/>
        <item x="4670"/>
        <item x="2866"/>
        <item x="1584"/>
        <item x="247"/>
        <item x="2960"/>
        <item x="3847"/>
        <item x="866"/>
        <item x="3503"/>
        <item x="2655"/>
        <item x="712"/>
        <item x="1803"/>
        <item x="4287"/>
        <item x="3885"/>
        <item x="1471"/>
        <item x="3298"/>
        <item x="1529"/>
        <item x="4121"/>
        <item x="1175"/>
        <item x="4100"/>
        <item x="116"/>
        <item x="271"/>
        <item x="3415"/>
        <item x="2374"/>
        <item x="3164"/>
        <item x="2672"/>
        <item x="441"/>
        <item x="2599"/>
        <item x="2542"/>
        <item x="4054"/>
        <item x="1617"/>
        <item x="681"/>
        <item x="2747"/>
        <item x="1130"/>
        <item x="2247"/>
        <item x="2849"/>
        <item x="2446"/>
        <item x="519"/>
        <item x="4213"/>
        <item x="163"/>
        <item x="62"/>
        <item x="1660"/>
        <item x="930"/>
        <item x="1328"/>
        <item x="1476"/>
        <item x="640"/>
        <item x="783"/>
        <item x="2189"/>
        <item x="3907"/>
        <item x="1876"/>
        <item x="2732"/>
        <item x="538"/>
        <item x="3881"/>
        <item x="3421"/>
        <item x="4561"/>
        <item x="2904"/>
        <item x="346"/>
        <item x="4218"/>
        <item x="2679"/>
        <item x="2636"/>
        <item x="2491"/>
        <item x="1253"/>
        <item x="1871"/>
        <item x="57"/>
        <item x="3064"/>
        <item x="3928"/>
        <item x="620"/>
        <item x="3387"/>
        <item x="4441"/>
        <item x="490"/>
        <item x="3251"/>
        <item x="4538"/>
        <item x="3476"/>
        <item x="3219"/>
        <item x="812"/>
        <item x="2590"/>
        <item x="1764"/>
        <item x="1482"/>
        <item x="1108"/>
        <item x="4076"/>
        <item x="2112"/>
        <item x="211"/>
        <item x="1309"/>
        <item x="1188"/>
        <item x="3449"/>
        <item x="4103"/>
        <item x="2817"/>
        <item x="1675"/>
        <item x="2896"/>
        <item x="4581"/>
        <item x="1702"/>
        <item x="3886"/>
        <item x="3679"/>
        <item x="3121"/>
        <item x="1018"/>
        <item x="3712"/>
        <item x="335"/>
        <item x="2581"/>
        <item x="1759"/>
        <item x="2269"/>
        <item x="4616"/>
        <item x="2013"/>
        <item x="3793"/>
        <item x="942"/>
        <item x="1208"/>
        <item x="4405"/>
        <item x="2647"/>
        <item x="3463"/>
        <item x="2527"/>
        <item x="1935"/>
        <item x="4563"/>
        <item x="221"/>
        <item x="4553"/>
        <item x="4036"/>
        <item x="3416"/>
        <item x="1472"/>
        <item x="1278"/>
        <item x="2094"/>
        <item x="4508"/>
        <item x="1058"/>
        <item x="1329"/>
        <item x="1321"/>
        <item x="98"/>
        <item x="2691"/>
        <item x="2929"/>
        <item x="818"/>
        <item x="3808"/>
        <item x="602"/>
        <item x="641"/>
        <item x="2424"/>
        <item x="1424"/>
        <item x="4256"/>
        <item x="1975"/>
        <item x="2936"/>
        <item x="2026"/>
        <item x="3253"/>
        <item x="4371"/>
        <item x="1593"/>
        <item x="4376"/>
        <item x="4253"/>
        <item x="4075"/>
        <item x="2270"/>
        <item x="4235"/>
        <item x="1587"/>
        <item x="1419"/>
        <item x="4265"/>
        <item x="3789"/>
        <item x="2130"/>
        <item x="1092"/>
        <item x="4146"/>
        <item x="1917"/>
        <item x="3871"/>
        <item x="426"/>
        <item x="3279"/>
        <item x="2186"/>
        <item x="4344"/>
        <item x="4257"/>
        <item x="2380"/>
        <item x="900"/>
        <item x="3821"/>
        <item x="1903"/>
        <item x="1777"/>
        <item x="243"/>
        <item x="35"/>
        <item x="4423"/>
        <item x="1745"/>
        <item x="2000"/>
        <item x="980"/>
        <item x="2942"/>
        <item x="456"/>
        <item x="2155"/>
        <item x="1263"/>
        <item x="4279"/>
        <item x="1002"/>
        <item x="4583"/>
        <item x="3340"/>
        <item x="2476"/>
        <item x="4509"/>
        <item x="4245"/>
        <item x="662"/>
        <item x="1810"/>
        <item x="3820"/>
        <item x="1669"/>
        <item x="1878"/>
        <item x="1850"/>
        <item x="3070"/>
        <item x="298"/>
        <item x="3794"/>
        <item x="2345"/>
        <item x="2121"/>
        <item x="2277"/>
        <item x="829"/>
        <item x="2991"/>
        <item x="962"/>
        <item x="2557"/>
        <item x="3461"/>
        <item x="3433"/>
        <item x="3327"/>
        <item x="1680"/>
        <item x="1826"/>
        <item x="3380"/>
        <item x="4502"/>
        <item x="2253"/>
        <item x="3220"/>
        <item x="4503"/>
        <item x="2678"/>
        <item x="578"/>
        <item x="3861"/>
        <item x="3047"/>
        <item x="2902"/>
        <item x="3427"/>
        <item x="3178"/>
        <item x="1674"/>
        <item x="594"/>
        <item x="3715"/>
        <item x="1416"/>
        <item x="3287"/>
        <item x="3423"/>
        <item x="3853"/>
        <item x="1754"/>
        <item x="2593"/>
        <item x="3981"/>
        <item x="816"/>
        <item x="3788"/>
        <item x="2388"/>
        <item x="1040"/>
        <item x="3646"/>
        <item x="2798"/>
        <item x="4663"/>
        <item x="3543"/>
        <item x="3231"/>
        <item x="958"/>
        <item x="3186"/>
        <item x="1582"/>
        <item x="3906"/>
        <item x="3760"/>
        <item x="556"/>
        <item x="2027"/>
        <item x="4118"/>
        <item x="689"/>
        <item x="563"/>
        <item x="801"/>
        <item x="2028"/>
        <item x="3911"/>
        <item x="1283"/>
        <item x="3128"/>
        <item x="2069"/>
        <item x="1855"/>
        <item x="608"/>
        <item x="3684"/>
        <item x="2070"/>
        <item x="2509"/>
        <item x="3477"/>
        <item x="3445"/>
        <item x="1677"/>
        <item x="4313"/>
        <item x="4607"/>
        <item x="3879"/>
        <item x="4529"/>
        <item x="1457"/>
        <item x="2880"/>
        <item x="1021"/>
        <item x="3328"/>
        <item x="1259"/>
        <item x="2822"/>
        <item x="1031"/>
        <item x="4640"/>
        <item x="3956"/>
        <item x="4079"/>
        <item x="85"/>
        <item x="868"/>
        <item x="2297"/>
        <item x="3792"/>
        <item x="2584"/>
        <item x="1181"/>
        <item x="3362"/>
        <item x="875"/>
        <item x="539"/>
        <item x="4530"/>
        <item x="4314"/>
        <item x="2109"/>
        <item x="725"/>
        <item x="2962"/>
        <item x="3860"/>
        <item x="0"/>
        <item x="106"/>
        <item x="2837"/>
        <item x="166"/>
        <item x="2818"/>
        <item x="1247"/>
        <item x="4585"/>
        <item x="3"/>
        <item x="3075"/>
        <item x="3010"/>
        <item x="3082"/>
        <item x="721"/>
        <item x="394"/>
        <item x="3658"/>
        <item x="1176"/>
        <item x="2883"/>
        <item x="2895"/>
        <item x="40"/>
        <item x="1794"/>
        <item x="3593"/>
        <item x="3314"/>
        <item x="152"/>
        <item x="2182"/>
        <item x="1285"/>
        <item x="4057"/>
        <item x="1706"/>
        <item x="1281"/>
        <item x="4564"/>
        <item x="1782"/>
        <item x="2412"/>
        <item x="1634"/>
        <item x="3499"/>
        <item x="472"/>
        <item x="4468"/>
        <item x="1641"/>
        <item x="4394"/>
        <item x="3774"/>
        <item x="3411"/>
        <item x="2114"/>
        <item x="3336"/>
        <item x="2879"/>
        <item x="1783"/>
        <item x="3123"/>
        <item x="1976"/>
        <item x="568"/>
        <item x="677"/>
        <item x="2128"/>
        <item x="3953"/>
        <item x="1311"/>
        <item x="4481"/>
        <item x="1049"/>
        <item x="2124"/>
        <item x="1596"/>
        <item x="2431"/>
        <item x="2799"/>
        <item x="1519"/>
        <item x="3266"/>
        <item x="1064"/>
        <item x="1434"/>
        <item x="2222"/>
        <item x="1118"/>
        <item x="3333"/>
        <item x="617"/>
        <item x="1215"/>
        <item x="1396"/>
        <item x="2364"/>
        <item x="4426"/>
        <item x="4149"/>
        <item x="3727"/>
        <item x="1655"/>
        <item x="4641"/>
        <item x="3450"/>
        <item x="2689"/>
        <item x="726"/>
        <item x="535"/>
        <item x="1515"/>
        <item x="4232"/>
        <item x="1242"/>
        <item x="612"/>
        <item x="1014"/>
        <item x="1256"/>
        <item x="1758"/>
        <item x="4418"/>
        <item x="2585"/>
        <item x="4143"/>
        <item x="2071"/>
        <item x="1243"/>
        <item x="3500"/>
        <item x="3329"/>
        <item x="4522"/>
        <item x="526"/>
        <item x="3772"/>
        <item x="1372"/>
        <item x="232"/>
        <item x="34"/>
        <item x="3197"/>
        <item x="48"/>
        <item x="2308"/>
        <item x="3205"/>
        <item x="380"/>
        <item x="4515"/>
        <item x="1023"/>
        <item x="1688"/>
        <item x="2555"/>
        <item x="1691"/>
        <item x="3891"/>
        <item x="3731"/>
        <item x="3544"/>
        <item x="188"/>
        <item x="157"/>
        <item x="33"/>
        <item x="2083"/>
        <item x="1791"/>
        <item x="1613"/>
        <item x="3180"/>
        <item x="3923"/>
        <item x="4374"/>
        <item x="4155"/>
        <item x="3373"/>
        <item x="1606"/>
        <item x="4181"/>
        <item x="1823"/>
        <item x="3851"/>
        <item x="3531"/>
        <item x="1868"/>
        <item x="2779"/>
        <item x="4171"/>
        <item x="4631"/>
        <item x="146"/>
        <item x="1048"/>
        <item x="2706"/>
        <item x="2500"/>
        <item x="1055"/>
        <item x="2828"/>
        <item x="3478"/>
        <item x="811"/>
        <item x="2649"/>
        <item x="3647"/>
        <item x="182"/>
        <item x="1361"/>
        <item x="2501"/>
        <item x="2360"/>
        <item x="1599"/>
        <item x="1595"/>
        <item x="879"/>
        <item x="1200"/>
        <item x="749"/>
        <item x="2025"/>
        <item x="3032"/>
        <item x="1240"/>
        <item x="504"/>
        <item x="1400"/>
        <item x="2789"/>
        <item x="3634"/>
        <item x="3762"/>
        <item x="3694"/>
        <item x="1460"/>
        <item x="943"/>
        <item x="3506"/>
        <item x="26"/>
        <item x="2047"/>
        <item x="2813"/>
        <item x="1550"/>
        <item x="4264"/>
        <item x="4067"/>
        <item x="4648"/>
        <item x="4708"/>
        <item x="1960"/>
        <item x="510"/>
        <item x="3628"/>
        <item x="1233"/>
        <item x="2911"/>
        <item x="733"/>
        <item x="139"/>
        <item x="468"/>
        <item x="3436"/>
        <item x="2159"/>
        <item x="2001"/>
        <item x="3103"/>
        <item x="1627"/>
        <item x="776"/>
        <item x="686"/>
        <item x="4420"/>
        <item x="3264"/>
        <item x="2801"/>
        <item x="4642"/>
        <item x="1100"/>
        <item x="4422"/>
        <item x="701"/>
        <item x="982"/>
        <item x="1721"/>
        <item x="2422"/>
        <item x="2010"/>
        <item x="3761"/>
        <item x="4395"/>
        <item x="474"/>
        <item x="3840"/>
        <item x="864"/>
        <item x="2690"/>
        <item x="3053"/>
        <item x="4385"/>
        <item x="999"/>
        <item x="3017"/>
        <item x="516"/>
        <item x="138"/>
        <item x="4119"/>
        <item x="1177"/>
        <item x="4290"/>
        <item x="2800"/>
        <item x="3954"/>
        <item x="2113"/>
        <item x="4471"/>
        <item x="2941"/>
        <item x="1315"/>
        <item x="3193"/>
        <item x="1451"/>
        <item x="3492"/>
        <item x="55"/>
        <item x="4723"/>
        <item x="4362"/>
        <item x="4704"/>
        <item x="2346"/>
        <item x="180"/>
        <item x="3442"/>
        <item x="354"/>
        <item x="4514"/>
        <item x="3505"/>
        <item x="3631"/>
        <item x="470"/>
        <item x="1437"/>
        <item x="4080"/>
        <item x="1678"/>
        <item x="2692"/>
        <item x="291"/>
        <item x="2612"/>
        <item x="924"/>
        <item x="4096"/>
        <item x="4665"/>
        <item x="1"/>
        <item x="4116"/>
        <item x="1057"/>
        <item x="1984"/>
        <item x="404"/>
        <item x="4184"/>
        <item x="3825"/>
        <item x="4145"/>
        <item x="2979"/>
        <item x="886"/>
        <item x="2949"/>
        <item x="3504"/>
        <item x="2417"/>
        <item x="2445"/>
        <item x="1792"/>
        <item x="825"/>
        <item x="2414"/>
        <item x="119"/>
        <item x="3562"/>
        <item x="2827"/>
        <item x="3207"/>
        <item x="1788"/>
        <item x="1836"/>
        <item x="860"/>
        <item x="975"/>
        <item x="4205"/>
        <item x="3604"/>
        <item x="4345"/>
        <item x="2673"/>
        <item x="121"/>
        <item x="2217"/>
        <item x="2881"/>
        <item x="2127"/>
        <item x="3967"/>
        <item x="141"/>
        <item x="2459"/>
        <item x="4495"/>
        <item x="422"/>
        <item x="42"/>
        <item x="237"/>
        <item x="3569"/>
        <item x="2419"/>
        <item x="1015"/>
        <item x="3170"/>
        <item x="3204"/>
        <item x="4510"/>
        <item x="2012"/>
        <item x="4183"/>
        <item x="2641"/>
        <item x="12"/>
        <item x="1853"/>
        <item x="972"/>
        <item x="245"/>
        <item x="1443"/>
        <item x="1442"/>
        <item x="1255"/>
        <item x="1168"/>
        <item x="4384"/>
        <item x="3795"/>
        <item x="4421"/>
        <item x="967"/>
        <item x="1683"/>
        <item x="2882"/>
        <item x="4517"/>
        <item x="3549"/>
        <item x="483"/>
        <item x="4608"/>
        <item x="3726"/>
        <item x="4691"/>
        <item x="2429"/>
        <item x="2154"/>
        <item x="3196"/>
        <item x="760"/>
        <item x="3101"/>
        <item x="661"/>
        <item x="1773"/>
        <item x="3108"/>
        <item x="1377"/>
        <item x="2730"/>
        <item x="1280"/>
        <item x="3888"/>
        <item x="2910"/>
        <item x="1776"/>
        <item x="2359"/>
        <item x="2535"/>
        <item x="540"/>
        <item x="3501"/>
        <item x="1203"/>
        <item x="2970"/>
        <item x="4024"/>
        <item x="63"/>
        <item x="987"/>
        <item x="4373"/>
        <item x="757"/>
        <item x="3553"/>
        <item x="4407"/>
        <item x="4452"/>
        <item x="4190"/>
        <item x="4172"/>
        <item x="1109"/>
        <item x="3292"/>
        <item x="4160"/>
        <item x="3912"/>
        <item x="1157"/>
        <item x="3428"/>
        <item x="209"/>
        <item x="387"/>
        <item x="853"/>
        <item x="4536"/>
        <item x="2309"/>
        <item x="3864"/>
        <item x="246"/>
        <item x="4444"/>
        <item x="2008"/>
        <item x="3878"/>
        <item x="1742"/>
        <item x="4406"/>
        <item x="3371"/>
        <item x="1135"/>
        <item x="3563"/>
        <item x="3269"/>
        <item x="2391"/>
        <item x="956"/>
        <item x="4483"/>
        <item x="4600"/>
        <item x="2639"/>
        <item x="2859"/>
        <item x="4281"/>
        <item x="1169"/>
        <item x="1546"/>
        <item x="1894"/>
        <item x="1061"/>
        <item x="1292"/>
        <item x="2900"/>
        <item x="3629"/>
        <item x="3144"/>
        <item x="2769"/>
        <item x="4505"/>
        <item x="566"/>
        <item x="729"/>
        <item x="1923"/>
        <item x="2595"/>
        <item x="2642"/>
        <item x="2512"/>
        <item x="2468"/>
        <item x="3630"/>
        <item x="251"/>
        <item x="3154"/>
        <item x="3451"/>
        <item x="963"/>
        <item x="4023"/>
        <item x="3841"/>
        <item x="3315"/>
        <item x="2708"/>
        <item x="3874"/>
        <item x="3809"/>
        <item x="4679"/>
        <item x="4532"/>
        <item x="215"/>
        <item x="3179"/>
        <item x="1028"/>
        <item x="90"/>
        <item x="4533"/>
        <item x="4282"/>
        <item x="576"/>
        <item x="4403"/>
        <item x="3281"/>
        <item x="2011"/>
        <item x="1786"/>
        <item x="1103"/>
        <item x="2559"/>
        <item x="1938"/>
        <item x="214"/>
        <item x="2361"/>
        <item x="2578"/>
        <item x="165"/>
        <item x="3239"/>
        <item x="3181"/>
        <item x="19"/>
        <item x="2963"/>
        <item x="2246"/>
        <item x="939"/>
        <item x="670"/>
        <item x="654"/>
        <item x="838"/>
        <item x="1743"/>
        <item x="112"/>
        <item x="3305"/>
        <item x="3058"/>
        <item x="4221"/>
        <item x="194"/>
        <item x="1487"/>
        <item x="4045"/>
        <item x="3134"/>
        <item x="4644"/>
        <item x="3697"/>
        <item x="3117"/>
        <item x="3660"/>
        <item x="3843"/>
        <item x="2038"/>
        <item x="914"/>
        <item x="2059"/>
        <item x="2009"/>
        <item x="755"/>
        <item x="1097"/>
        <item x="2110"/>
        <item x="1044"/>
        <item x="1628"/>
        <item x="786"/>
        <item x="4185"/>
        <item x="2241"/>
        <item x="931"/>
        <item x="1085"/>
        <item x="1363"/>
        <item x="2460"/>
        <item x="1748"/>
        <item x="2504"/>
        <item x="104"/>
        <item x="80"/>
        <item x="3071"/>
        <item x="1987"/>
        <item x="2317"/>
        <item x="2657"/>
        <item x="2668"/>
        <item x="3683"/>
        <item x="2232"/>
        <item x="494"/>
        <item x="2283"/>
        <item x="1343"/>
        <item x="3066"/>
        <item x="3084"/>
        <item x="782"/>
        <item x="4579"/>
        <item x="3087"/>
        <item x="3232"/>
        <item x="797"/>
        <item x="3021"/>
        <item x="1888"/>
        <item x="2024"/>
        <item x="3391"/>
        <item x="2318"/>
        <item x="326"/>
        <item x="1269"/>
        <item x="1799"/>
        <item x="411"/>
        <item x="4035"/>
        <item x="610"/>
        <item x="2575"/>
        <item x="3502"/>
        <item x="1120"/>
        <item x="4252"/>
        <item x="430"/>
        <item x="4151"/>
        <item x="4147"/>
        <item x="2658"/>
        <item x="160"/>
        <item x="2111"/>
        <item x="1861"/>
        <item x="1723"/>
        <item x="2802"/>
        <item x="1611"/>
        <item x="4386"/>
        <item x="823"/>
        <item x="750"/>
        <item x="1989"/>
        <item x="1479"/>
        <item x="4734"/>
        <item x="4326"/>
        <item x="3889"/>
        <item x="1715"/>
        <item x="3986"/>
        <item x="3570"/>
        <item x="2521"/>
        <item x="4615"/>
        <item x="193"/>
        <item x="3268"/>
        <item x="2660"/>
        <item x="1344"/>
        <item x="2160"/>
        <item x="1165"/>
        <item x="88"/>
        <item x="536"/>
        <item x="2856"/>
        <item x="1067"/>
        <item x="3444"/>
        <item x="3229"/>
        <item x="3814"/>
        <item x="4387"/>
        <item x="2540"/>
        <item x="108"/>
        <item x="2267"/>
        <item x="1498"/>
        <item x="3413"/>
        <item x="4493"/>
        <item x="2402"/>
        <item x="3882"/>
        <item x="820"/>
        <item x="4677"/>
        <item x="3382"/>
        <item x="4061"/>
        <item x="316"/>
        <item x="1216"/>
        <item x="3480"/>
        <item x="3661"/>
        <item x="1798"/>
        <item x="1326"/>
        <item x="4535"/>
        <item x="274"/>
        <item x="1955"/>
        <item x="2187"/>
        <item x="3007"/>
        <item x="2520"/>
        <item x="3267"/>
        <item x="2638"/>
        <item x="482"/>
        <item x="1142"/>
        <item x="4021"/>
        <item x="1900"/>
        <item x="1358"/>
        <item x="3233"/>
        <item x="2903"/>
        <item x="754"/>
        <item x="1132"/>
        <item x="4664"/>
        <item x="2614"/>
        <item x="1143"/>
        <item x="3812"/>
        <item x="1080"/>
        <item x="192"/>
        <item x="45"/>
        <item x="3521"/>
        <item x="475"/>
        <item x="371"/>
        <item x="3932"/>
        <item x="3605"/>
        <item x="1335"/>
        <item x="4117"/>
        <item x="2430"/>
        <item x="3862"/>
        <item x="3922"/>
        <item x="1502"/>
        <item x="4010"/>
        <item x="158"/>
        <item x="3412"/>
        <item x="4176"/>
        <item x="2495"/>
        <item x="47"/>
        <item x="4377"/>
        <item x="3221"/>
        <item x="1274"/>
        <item x="3194"/>
        <item x="3525"/>
        <item x="2"/>
        <item x="2268"/>
        <item x="3316"/>
        <item x="1950"/>
        <item x="4494"/>
        <item x="3109"/>
        <item x="3341"/>
        <item x="4450"/>
        <item x="4534"/>
        <item x="2126"/>
        <item x="1245"/>
        <item x="3417"/>
        <item x="131"/>
        <item x="4496"/>
        <item x="826"/>
        <item x="415"/>
        <item x="648"/>
        <item x="3342"/>
        <item x="1156"/>
        <item x="1978"/>
        <item x="2539"/>
        <item x="3322"/>
        <item x="674"/>
        <item x="2701"/>
        <item x="4008"/>
        <item x="2053"/>
        <item x="2982"/>
        <item x="1699"/>
        <item x="3982"/>
        <item x="2321"/>
        <item x="596"/>
        <item x="2777"/>
        <item x="4233"/>
        <item x="1107"/>
        <item x="2885"/>
        <item x="2755"/>
        <item x="1218"/>
        <item x="1751"/>
        <item x="329"/>
        <item x="1767"/>
        <item x="1518"/>
        <item x="2733"/>
        <item x="3822"/>
        <item x="746"/>
        <item x="1046"/>
        <item x="839"/>
        <item x="916"/>
        <item x="2341"/>
        <item x="3198"/>
        <item x="2989"/>
        <item x="4388"/>
        <item x="2867"/>
        <item x="893"/>
        <item x="126"/>
        <item x="1426"/>
        <item x="911"/>
        <item x="2057"/>
        <item x="619"/>
        <item x="2564"/>
        <item x="4258"/>
        <item x="1523"/>
        <item x="4397"/>
        <item x="723"/>
        <item x="3151"/>
        <item x="1668"/>
        <item x="392"/>
        <item x="1686"/>
        <item x="2948"/>
        <item x="50"/>
        <item x="981"/>
        <item x="4695"/>
        <item x="75"/>
        <item x="2628"/>
        <item x="2245"/>
        <item x="410"/>
        <item x="2231"/>
        <item x="2143"/>
        <item x="4266"/>
        <item x="239"/>
        <item x="1734"/>
        <item x="3466"/>
        <item x="1750"/>
        <item x="3558"/>
        <item x="3755"/>
        <item x="4725"/>
        <item x="3495"/>
        <item x="433"/>
        <item x="3237"/>
        <item x="2073"/>
        <item x="3227"/>
        <item x="1664"/>
        <item x="1403"/>
        <item x="657"/>
        <item x="1832"/>
        <item x="105"/>
        <item x="4635"/>
        <item x="2432"/>
        <item x="935"/>
        <item x="2720"/>
        <item x="177"/>
        <item x="153"/>
        <item x="4446"/>
        <item x="2838"/>
        <item x="2312"/>
        <item x="3633"/>
        <item x="2058"/>
        <item x="2576"/>
        <item x="1282"/>
        <item x="1670"/>
        <item x="4611"/>
        <item x="3752"/>
        <item x="777"/>
        <item x="2084"/>
        <item x="388"/>
        <item x="1461"/>
        <item x="2921"/>
        <item x="4409"/>
        <item x="467"/>
        <item x="1016"/>
        <item x="2560"/>
        <item x="3873"/>
        <item x="4411"/>
        <item x="2218"/>
        <item x="3555"/>
        <item x="2319"/>
        <item x="3434"/>
        <item x="1029"/>
        <item x="762"/>
        <item x="506"/>
        <item x="4267"/>
        <item x="658"/>
        <item x="3090"/>
        <item x="1410"/>
        <item x="1492"/>
        <item x="269"/>
        <item x="847"/>
        <item x="2831"/>
        <item x="3695"/>
        <item x="2694"/>
        <item x="1943"/>
        <item x="204"/>
        <item x="3595"/>
        <item x="3823"/>
        <item x="3258"/>
        <item x="3389"/>
        <item x="4666"/>
        <item x="2602"/>
        <item x="1662"/>
        <item x="614"/>
        <item x="1070"/>
        <item x="2004"/>
        <item x="3844"/>
        <item x="281"/>
        <item x="4347"/>
        <item x="4726"/>
        <item x="1162"/>
        <item x="2795"/>
        <item x="217"/>
        <item x="2901"/>
        <item x="541"/>
        <item x="696"/>
        <item x="2725"/>
        <item x="2562"/>
        <item x="1435"/>
        <item x="3756"/>
        <item x="3307"/>
        <item x="219"/>
        <item x="4472"/>
        <item x="2074"/>
        <item x="2496"/>
        <item x="2968"/>
        <item x="4504"/>
        <item x="1121"/>
        <item x="276"/>
        <item x="965"/>
        <item x="2067"/>
        <item x="1310"/>
        <item x="3135"/>
        <item x="2362"/>
        <item x="804"/>
        <item x="3210"/>
        <item x="3137"/>
        <item x="1052"/>
        <item x="4097"/>
        <item x="37"/>
        <item x="2964"/>
        <item x="628"/>
        <item x="1297"/>
        <item x="3610"/>
        <item x="3235"/>
        <item x="3236"/>
        <item x="1541"/>
        <item x="3257"/>
        <item x="715"/>
        <item x="2036"/>
        <item x="4268"/>
        <item x="3720"/>
        <item x="770"/>
        <item x="4647"/>
        <item x="1870"/>
        <item x="2924"/>
        <item x="3780"/>
        <item x="3532"/>
        <item x="1030"/>
        <item x="831"/>
        <item x="3810"/>
        <item x="4646"/>
        <item x="652"/>
        <item x="3467"/>
        <item x="2718"/>
        <item x="2969"/>
        <item x="1166"/>
        <item x="3270"/>
        <item x="2092"/>
        <item x="1115"/>
        <item x="2494"/>
        <item x="1159"/>
        <item x="3377"/>
        <item x="1983"/>
        <item x="4724"/>
        <item x="1381"/>
        <item x="1768"/>
        <item x="3533"/>
        <item x="3020"/>
        <item x="3209"/>
        <item x="2503"/>
        <item x="3813"/>
        <item x="2034"/>
        <item x="2613"/>
        <item x="3732"/>
        <item x="1544"/>
        <item x="2056"/>
        <item x="3564"/>
        <item x="4327"/>
        <item x="3968"/>
        <item x="2033"/>
        <item x="405"/>
        <item x="172"/>
        <item x="3606"/>
        <item x="4682"/>
        <item x="3733"/>
        <item x="2633"/>
        <item x="2603"/>
        <item x="3729"/>
        <item x="4428"/>
        <item x="553"/>
        <item x="1429"/>
        <item x="795"/>
        <item x="4270"/>
        <item x="906"/>
        <item x="4048"/>
        <item x="3136"/>
        <item x="3651"/>
        <item x="2032"/>
        <item x="2444"/>
        <item x="1907"/>
        <item x="680"/>
        <item x="2492"/>
        <item x="2966"/>
        <item x="3824"/>
        <item x="2119"/>
        <item x="3987"/>
        <item x="2365"/>
        <item x="3182"/>
        <item x="4196"/>
        <item x="3330"/>
        <item x="4182"/>
        <item x="2522"/>
        <item x="2183"/>
        <item x="4060"/>
        <item x="758"/>
        <item x="3796"/>
        <item x="3698"/>
        <item x="2965"/>
        <item x="3238"/>
        <item x="2719"/>
        <item x="1275"/>
        <item x="1841"/>
        <item x="3939"/>
        <item x="3924"/>
        <item x="643"/>
        <item x="3728"/>
        <item x="1612"/>
        <item x="2072"/>
        <item x="4556"/>
        <item x="1411"/>
        <item x="1700"/>
        <item x="1951"/>
        <item x="23"/>
        <item x="4135"/>
        <item x="2891"/>
        <item x="3763"/>
        <item x="9"/>
        <item x="983"/>
        <item x="2565"/>
        <item x="2054"/>
        <item x="869"/>
        <item x="3343"/>
        <item x="2144"/>
        <item x="835"/>
        <item x="2081"/>
        <item x="4554"/>
        <item x="319"/>
        <item x="132"/>
        <item x="347"/>
        <item x="4197"/>
        <item x="233"/>
        <item x="1513"/>
        <item x="2523"/>
        <item x="3167"/>
        <item x="107"/>
        <item x="985"/>
        <item x="120"/>
        <item x="3959"/>
        <item x="3960"/>
        <item x="724"/>
        <item x="1820"/>
        <item x="176"/>
        <item x="2700"/>
        <item x="1441"/>
        <item x="3104"/>
        <item x="4206"/>
        <item x="2355"/>
        <item x="3957"/>
        <item x="1385"/>
        <item x="748"/>
        <item x="2055"/>
        <item x="3574"/>
        <item x="2618"/>
        <item x="3635"/>
        <item x="3383"/>
        <item x="3565"/>
        <item x="3284"/>
        <item x="382"/>
        <item x="2023"/>
        <item x="2931"/>
        <item x="1000"/>
        <item x="3199"/>
        <item x="1380"/>
        <item x="2634"/>
        <item x="1075"/>
        <item x="2389"/>
        <item x="159"/>
        <item x="2243"/>
        <item x="4336"/>
        <item x="2563"/>
        <item x="3011"/>
        <item x="4620"/>
        <item x="1415"/>
        <item x="3468"/>
        <item x="2528"/>
        <item x="3076"/>
        <item x="24"/>
        <item x="4645"/>
        <item x="3110"/>
        <item x="1478"/>
        <item x="3734"/>
        <item x="3358"/>
        <item x="81"/>
        <item x="4175"/>
        <item x="360"/>
        <item x="290"/>
        <item x="2181"/>
        <item x="438"/>
        <item x="270"/>
        <item x="3189"/>
        <item x="4669"/>
        <item x="622"/>
        <item x="1621"/>
        <item x="3301"/>
        <item x="477"/>
        <item x="2922"/>
        <item x="2675"/>
        <item x="4158"/>
        <item x="4240"/>
        <item x="2005"/>
        <item x="649"/>
        <item x="4448"/>
        <item x="2348"/>
        <item x="2363"/>
        <item x="632"/>
        <item x="3607"/>
        <item x="799"/>
        <item x="2068"/>
        <item x="3308"/>
        <item x="4348"/>
        <item x="2390"/>
        <item x="4186"/>
        <item x="2091"/>
        <item x="2925"/>
        <item x="4518"/>
        <item x="1711"/>
        <item x="1969"/>
        <item x="1272"/>
        <item x="110"/>
        <item x="732"/>
        <item x="1496"/>
        <item x="1663"/>
        <item x="2981"/>
        <item x="2108"/>
        <item x="1167"/>
        <item x="4237"/>
        <item x="4410"/>
        <item x="1047"/>
        <item x="2869"/>
        <item x="3557"/>
        <item x="2216"/>
        <item x="2537"/>
        <item x="4364"/>
        <item x="101"/>
        <item x="4318"/>
        <item x="3798"/>
        <item x="4150"/>
        <item x="2242"/>
        <item x="616"/>
        <item x="740"/>
        <item x="2240"/>
        <item x="4352"/>
        <item x="1485"/>
        <item x="3988"/>
        <item x="124"/>
        <item x="2682"/>
        <item x="2022"/>
        <item x="2082"/>
        <item x="3826"/>
        <item x="1775"/>
        <item x="1656"/>
        <item x="1045"/>
        <item x="609"/>
        <item x="595"/>
        <item x="1846"/>
        <item x="1129"/>
        <item x="851"/>
        <item x="3828"/>
        <item x="3493"/>
        <item x="351"/>
        <item x="2142"/>
        <item x="3212"/>
        <item x="1795"/>
        <item x="2681"/>
        <item x="3754"/>
        <item x="4236"/>
        <item x="1399"/>
        <item x="1941"/>
        <item x="3719"/>
        <item x="1793"/>
        <item x="1019"/>
        <item x="2052"/>
        <item x="249"/>
        <item x="994"/>
        <item x="885"/>
        <item x="2158"/>
        <item x="2290"/>
        <item x="3933"/>
        <item x="3596"/>
        <item x="2207"/>
        <item x="3735"/>
        <item x="3892"/>
        <item x="1214"/>
        <item x="4104"/>
        <item x="2930"/>
        <item x="722"/>
        <item x="3003"/>
        <item x="2229"/>
        <item x="3241"/>
        <item x="3535"/>
        <item x="2620"/>
        <item x="1940"/>
        <item x="3317"/>
        <item x="4297"/>
        <item x="3576"/>
        <item x="3200"/>
        <item x="2487"/>
        <item x="4259"/>
        <item x="1939"/>
        <item x="4649"/>
        <item x="3171"/>
        <item x="175"/>
        <item x="1774"/>
        <item x="3438"/>
        <item x="2726"/>
        <item x="1801"/>
        <item x="1618"/>
        <item x="2107"/>
        <item x="2003"/>
        <item x="3129"/>
        <item x="4389"/>
        <item x="3483"/>
        <item x="96"/>
        <item x="3753"/>
        <item x="889"/>
        <item x="730"/>
        <item x="4537"/>
        <item x="2790"/>
        <item x="1728"/>
        <item x="2166"/>
        <item x="1885"/>
        <item x="4098"/>
        <item x="4680"/>
        <item x="4378"/>
        <item x="577"/>
        <item x="1816"/>
        <item x="1425"/>
        <item x="302"/>
        <item x="3418"/>
        <item x="3545"/>
        <item x="2403"/>
        <item x="4429"/>
        <item x="1609"/>
        <item x="1386"/>
        <item x="278"/>
        <item x="3969"/>
        <item x="3701"/>
        <item x="2237"/>
        <item x="4555"/>
        <item x="1392"/>
        <item x="4413"/>
        <item x="4379"/>
        <item x="1635"/>
        <item x="603"/>
        <item x="1603"/>
        <item x="663"/>
        <item x="3829"/>
        <item x="957"/>
        <item x="1149"/>
        <item x="1694"/>
        <item x="4451"/>
        <item x="1089"/>
        <item x="3482"/>
        <item x="872"/>
        <item x="339"/>
        <item x="1388"/>
        <item x="277"/>
        <item x="1972"/>
        <item x="2118"/>
        <item x="684"/>
        <item x="2745"/>
        <item x="565"/>
        <item x="1236"/>
        <item x="4520"/>
        <item x="1371"/>
        <item x="3213"/>
        <item x="4120"/>
        <item x="2336"/>
        <item x="2238"/>
        <item x="4729"/>
        <item x="1299"/>
        <item x="3849"/>
        <item x="2066"/>
        <item x="1990"/>
        <item x="3797"/>
        <item x="524"/>
        <item x="3575"/>
        <item x="3721"/>
        <item x="3518"/>
        <item x="1953"/>
        <item x="3534"/>
        <item x="1537"/>
        <item x="781"/>
        <item x="2566"/>
        <item x="358"/>
        <item x="2447"/>
        <item x="3970"/>
        <item x="4271"/>
        <item x="7"/>
        <item x="3782"/>
        <item x="4187"/>
        <item x="2106"/>
        <item x="2695"/>
        <item x="2471"/>
        <item x="3059"/>
        <item x="225"/>
        <item x="710"/>
        <item x="4161"/>
        <item x="3481"/>
        <item x="3446"/>
        <item x="4026"/>
        <item x="2971"/>
        <item x="359"/>
        <item x="4353"/>
        <item x="3783"/>
        <item x="227"/>
        <item x="3435"/>
        <item x="344"/>
        <item x="1942"/>
        <item x="1854"/>
        <item x="3271"/>
        <item x="675"/>
        <item x="1382"/>
        <item x="1024"/>
        <item x="3393"/>
        <item x="65"/>
        <item x="18"/>
        <item x="2926"/>
        <item x="3429"/>
        <item x="4652"/>
        <item x="2551"/>
        <item x="2892"/>
        <item x="2643"/>
        <item x="1707"/>
        <item x="4521"/>
        <item x="2513"/>
        <item x="876"/>
        <item x="1238"/>
        <item x="2428"/>
        <item x="3700"/>
        <item x="4590"/>
        <item x="4188"/>
        <item x="1422"/>
        <item x="4398"/>
        <item x="837"/>
        <item x="4084"/>
        <item x="4621"/>
        <item x="4106"/>
        <item x="2621"/>
        <item x="1869"/>
        <item x="3041"/>
        <item x="1604"/>
        <item x="4380"/>
        <item x="2652"/>
        <item x="2020"/>
        <item x="2051"/>
        <item x="1839"/>
        <item x="2932"/>
        <item x="3784"/>
        <item x="2721"/>
        <item x="4298"/>
        <item x="2239"/>
        <item x="4541"/>
        <item x="87"/>
        <item x="1349"/>
        <item x="4038"/>
        <item x="676"/>
        <item x="3469"/>
        <item x="2031"/>
        <item x="2310"/>
        <item x="2304"/>
        <item x="2002"/>
        <item x="647"/>
        <item x="3240"/>
        <item x="4453"/>
        <item x="1619"/>
        <item x="1354"/>
        <item x="3577"/>
        <item x="2381"/>
        <item x="3883"/>
        <item x="3042"/>
        <item x="3578"/>
        <item x="3364"/>
        <item x="2179"/>
        <item x="3736"/>
        <item x="2214"/>
        <item x="3484"/>
        <item x="899"/>
        <item x="4684"/>
        <item x="2898"/>
        <item x="624"/>
        <item x="537"/>
        <item x="2722"/>
        <item x="3916"/>
        <item x="2369"/>
        <item x="1209"/>
        <item x="2683"/>
        <item x="3507"/>
        <item x="1962"/>
        <item x="1643"/>
        <item x="3146"/>
        <item x="3971"/>
        <item x="417"/>
        <item x="173"/>
        <item x="2343"/>
        <item x="1549"/>
        <item x="92"/>
        <item x="4039"/>
        <item x="2173"/>
        <item x="4272"/>
        <item x="2630"/>
        <item x="1536"/>
        <item h="1" x="4739"/>
        <item t="default"/>
      </items>
    </pivotField>
  </pivotFields>
  <rowFields count="1">
    <field x="1"/>
  </rowFields>
  <rowItems count="2">
    <i>
      <x/>
    </i>
    <i>
      <x v="1"/>
    </i>
  </rowItems>
  <colFields count="1">
    <field x="5"/>
  </colFields>
  <colItems count="3">
    <i>
      <x/>
    </i>
    <i>
      <x v="1"/>
    </i>
    <i>
      <x v="2"/>
    </i>
  </colItems>
  <dataFields count="1">
    <dataField name="Sum of Profit" fld="10" baseField="0" baseItem="0"/>
  </dataFields>
  <chartFormats count="3">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E2605-964D-4F41-B8B5-A1DC0FA015A3}" name="PivotTable7"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3:B15" firstHeaderRow="1" firstDataRow="1" firstDataCol="1"/>
  <pivotFields count="11">
    <pivotField showAll="0"/>
    <pivotField showAll="0">
      <items count="4">
        <item x="0"/>
        <item x="1"/>
        <item x="2"/>
        <item t="default"/>
      </items>
    </pivotField>
    <pivotField axis="axisRow" showAll="0">
      <items count="14">
        <item x="0"/>
        <item x="1"/>
        <item x="2"/>
        <item x="3"/>
        <item x="4"/>
        <item x="5"/>
        <item x="6"/>
        <item x="7"/>
        <item x="8"/>
        <item x="9"/>
        <item x="10"/>
        <item x="11"/>
        <item h="1" x="12"/>
        <item t="default"/>
      </items>
    </pivotField>
    <pivotField showAll="0"/>
    <pivotField showAll="0"/>
    <pivotField showAll="0">
      <items count="5">
        <item x="0"/>
        <item x="2"/>
        <item x="1"/>
        <item x="3"/>
        <item t="default"/>
      </items>
    </pivotField>
    <pivotField showAll="0"/>
    <pivotField showAll="0"/>
    <pivotField dataField="1" showAll="0">
      <items count="5111">
        <item h="1" x="793"/>
        <item x="1729"/>
        <item h="1" x="242"/>
        <item h="1" x="293"/>
        <item h="1" x="1452"/>
        <item h="1" x="619"/>
        <item h="1" x="742"/>
        <item h="1" x="762"/>
        <item h="1" x="82"/>
        <item h="1" x="1117"/>
        <item h="1" x="2017"/>
        <item h="1" x="1147"/>
        <item h="1" x="925"/>
        <item h="1" x="1266"/>
        <item h="1" x="940"/>
        <item h="1" x="592"/>
        <item h="1" x="1090"/>
        <item h="1" x="198"/>
        <item h="1" x="1056"/>
        <item h="1" x="1768"/>
        <item h="1" x="496"/>
        <item h="1" x="989"/>
        <item h="1" x="1696"/>
        <item h="1" x="188"/>
        <item h="1" x="1322"/>
        <item h="1" x="1725"/>
        <item h="1" x="200"/>
        <item h="1" x="652"/>
        <item h="1" x="847"/>
        <item h="1" x="2071"/>
        <item h="1" x="1740"/>
        <item h="1" x="860"/>
        <item h="1" x="1315"/>
        <item h="1" x="587"/>
        <item h="1" x="482"/>
        <item h="1" x="2079"/>
        <item h="1" x="457"/>
        <item h="1" x="572"/>
        <item h="1" x="1400"/>
        <item h="1" x="1267"/>
        <item h="1" x="1938"/>
        <item h="1" x="567"/>
        <item h="1" x="1318"/>
        <item h="1" x="1378"/>
        <item h="1" x="1133"/>
        <item h="1" x="468"/>
        <item h="1" x="1687"/>
        <item h="1" x="947"/>
        <item h="1" x="290"/>
        <item h="1" x="1222"/>
        <item h="1" x="517"/>
        <item h="1" x="437"/>
        <item h="1" x="654"/>
        <item h="1" x="1071"/>
        <item h="1" x="1122"/>
        <item h="1" x="2016"/>
        <item h="1" x="1105"/>
        <item h="1" x="1902"/>
        <item h="1" x="1604"/>
        <item h="1" x="338"/>
        <item h="1" x="1563"/>
        <item h="1" x="356"/>
        <item h="1" x="1993"/>
        <item h="1" x="1937"/>
        <item h="1" x="1809"/>
        <item h="1" x="156"/>
        <item h="1" x="594"/>
        <item h="1" x="1180"/>
        <item h="1" x="798"/>
        <item h="1" x="1012"/>
        <item h="1" x="466"/>
        <item h="1" x="1463"/>
        <item h="1" x="686"/>
        <item h="1" x="1356"/>
        <item h="1" x="1455"/>
        <item h="1" x="1009"/>
        <item h="1" x="1583"/>
        <item h="1" x="949"/>
        <item h="1" x="1597"/>
        <item h="1" x="1685"/>
        <item h="1" x="2037"/>
        <item h="1" x="1073"/>
        <item h="1" x="1028"/>
        <item h="1" x="1779"/>
        <item h="1" x="1936"/>
        <item h="1" x="1209"/>
        <item h="1" x="1671"/>
        <item h="1" x="1773"/>
        <item h="1" x="647"/>
        <item h="1" x="1769"/>
        <item h="1" x="266"/>
        <item h="1" x="1310"/>
        <item h="1" x="1106"/>
        <item h="1" x="774"/>
        <item h="1" x="36"/>
        <item h="1" x="10"/>
        <item h="1" x="1858"/>
        <item h="1" x="713"/>
        <item h="1" x="962"/>
        <item h="1" x="404"/>
        <item h="1" x="128"/>
        <item h="1" x="712"/>
        <item h="1" x="1992"/>
        <item h="1" x="471"/>
        <item h="1" x="1746"/>
        <item h="1" x="1352"/>
        <item h="1" x="1445"/>
        <item h="1" x="604"/>
        <item h="1" x="2066"/>
        <item h="1" x="1376"/>
        <item h="1" x="491"/>
        <item h="1" x="1793"/>
        <item h="1" x="779"/>
        <item h="1" x="138"/>
        <item h="1" x="2015"/>
        <item h="1" x="13"/>
        <item h="1" x="376"/>
        <item h="1" x="818"/>
        <item h="1" x="1058"/>
        <item h="1" x="1314"/>
        <item h="1" x="1417"/>
        <item h="1" x="956"/>
        <item h="1" x="431"/>
        <item h="1" x="1094"/>
        <item h="1" x="1489"/>
        <item h="1" x="2036"/>
        <item h="1" x="664"/>
        <item h="1" x="633"/>
        <item h="1" x="867"/>
        <item h="1" x="511"/>
        <item h="1" x="1076"/>
        <item h="1" x="141"/>
        <item h="1" x="433"/>
        <item h="1" x="1971"/>
        <item h="1" x="2085"/>
        <item h="1" x="621"/>
        <item h="1" x="311"/>
        <item h="1" x="208"/>
        <item h="1" x="503"/>
        <item h="1" x="1983"/>
        <item h="1" x="395"/>
        <item h="1" x="1428"/>
        <item h="1" x="1766"/>
        <item h="1" x="1330"/>
        <item h="1" x="944"/>
        <item h="1" x="1670"/>
        <item h="1" x="1471"/>
        <item h="1" x="606"/>
        <item h="1" x="948"/>
        <item h="1" x="1714"/>
        <item h="1" x="1368"/>
        <item h="1" x="2084"/>
        <item h="1" x="909"/>
        <item h="1" x="1029"/>
        <item h="1" x="1970"/>
        <item h="1" x="1528"/>
        <item h="1" x="1248"/>
        <item h="1" x="506"/>
        <item h="1" x="1131"/>
        <item h="1" x="1398"/>
        <item h="1" x="427"/>
        <item h="1" x="773"/>
        <item h="1" x="1835"/>
        <item h="1" x="788"/>
        <item h="1" x="2083"/>
        <item h="1" x="1658"/>
        <item h="1" x="136"/>
        <item h="1" x="738"/>
        <item h="1" x="426"/>
        <item h="1" x="339"/>
        <item h="1" x="1744"/>
        <item h="1" x="545"/>
        <item h="1" x="676"/>
        <item h="1" x="1828"/>
        <item h="1" x="514"/>
        <item h="1" x="1167"/>
        <item h="1" x="1510"/>
        <item h="1" x="1253"/>
        <item h="1" x="687"/>
        <item h="1" x="1829"/>
        <item h="1" x="1343"/>
        <item h="1" x="51"/>
        <item h="1" x="1256"/>
        <item h="1" x="914"/>
        <item h="1" x="849"/>
        <item h="1" x="478"/>
        <item h="1" x="833"/>
        <item h="1" x="439"/>
        <item h="1" x="562"/>
        <item h="1" x="117"/>
        <item h="1" x="1218"/>
        <item h="1" x="973"/>
        <item h="1" x="573"/>
        <item h="1" x="2065"/>
        <item h="1" x="1514"/>
        <item h="1" x="769"/>
        <item h="1" x="2035"/>
        <item h="1" x="129"/>
        <item h="1" x="534"/>
        <item h="1" x="820"/>
        <item h="1" x="64"/>
        <item h="1" x="361"/>
        <item h="1" x="720"/>
        <item h="1" x="1468"/>
        <item h="1" x="446"/>
        <item h="1" x="560"/>
        <item h="1" x="1258"/>
        <item h="1" x="1037"/>
        <item h="1" x="890"/>
        <item h="1" x="1430"/>
        <item h="1" x="936"/>
        <item h="1" x="1159"/>
        <item h="1" x="748"/>
        <item h="1" x="145"/>
        <item h="1" x="806"/>
        <item h="1" x="134"/>
        <item h="1" x="746"/>
        <item h="1" x="871"/>
        <item h="1" x="835"/>
        <item h="1" x="1576"/>
        <item h="1" x="1141"/>
        <item h="1" x="1170"/>
        <item h="1" x="1571"/>
        <item h="1" x="211"/>
        <item h="1" x="368"/>
        <item h="1" x="378"/>
        <item h="1" x="1331"/>
        <item h="1" x="1214"/>
        <item h="1" x="1745"/>
        <item h="1" x="887"/>
        <item h="1" x="67"/>
        <item h="1" x="1063"/>
        <item h="1" x="993"/>
        <item h="1" x="992"/>
        <item h="1" x="442"/>
        <item h="1" x="1582"/>
        <item h="1" x="1935"/>
        <item h="1" x="435"/>
        <item h="1" x="532"/>
        <item h="1" x="1934"/>
        <item h="1" x="868"/>
        <item h="1" x="102"/>
        <item h="1" x="987"/>
        <item h="1" x="904"/>
        <item h="1" x="1203"/>
        <item h="1" x="1268"/>
        <item h="1" x="582"/>
        <item h="1" x="616"/>
        <item h="1" x="714"/>
        <item h="1" x="421"/>
        <item h="1" x="206"/>
        <item h="1" x="1546"/>
        <item h="1" x="1011"/>
        <item h="1" x="328"/>
        <item h="1" x="1659"/>
        <item h="1" x="1777"/>
        <item h="1" x="410"/>
        <item h="1" x="1651"/>
        <item h="1" x="1393"/>
        <item h="1" x="548"/>
        <item h="1" x="1112"/>
        <item h="1" x="192"/>
        <item h="1" x="905"/>
        <item h="1" x="1091"/>
        <item h="1" x="344"/>
        <item h="1" x="286"/>
        <item h="1" x="556"/>
        <item h="1" x="976"/>
        <item h="1" x="1272"/>
        <item h="1" x="1408"/>
        <item h="1" x="1357"/>
        <item h="1" x="131"/>
        <item h="1" x="1123"/>
        <item h="1" x="163"/>
        <item h="1" x="528"/>
        <item h="1" x="1587"/>
        <item h="1" x="1710"/>
        <item h="1" x="1726"/>
        <item h="1" x="1223"/>
        <item h="1" x="1052"/>
        <item h="1" x="1385"/>
        <item h="1" x="334"/>
        <item h="1" x="546"/>
        <item h="1" x="1273"/>
        <item h="1" x="941"/>
        <item h="1" x="1262"/>
        <item h="1" x="484"/>
        <item h="1" x="1019"/>
        <item h="1" x="1980"/>
        <item h="1" x="217"/>
        <item h="1" x="681"/>
        <item h="1" x="739"/>
        <item h="1" x="646"/>
        <item h="1" x="2064"/>
        <item h="1" x="321"/>
        <item h="1" x="1623"/>
        <item h="1" x="1601"/>
        <item h="1" x="960"/>
        <item h="1" x="1462"/>
        <item h="1" x="1099"/>
        <item h="1" x="1438"/>
        <item h="1" x="886"/>
        <item h="1" x="43"/>
        <item h="1" x="704"/>
        <item h="1" x="1110"/>
        <item h="1" x="684"/>
        <item h="1" x="1561"/>
        <item h="1" x="1334"/>
        <item h="1" x="1015"/>
        <item h="1" x="1609"/>
        <item h="1" x="8"/>
        <item h="1" x="1329"/>
        <item h="1" x="543"/>
        <item h="1" x="1442"/>
        <item h="1" x="287"/>
        <item h="1" x="1184"/>
        <item h="1" x="1359"/>
        <item h="1" x="1195"/>
        <item h="1" x="1309"/>
        <item h="1" x="1523"/>
        <item h="1" x="916"/>
        <item h="1" x="824"/>
        <item h="1" x="721"/>
        <item h="1" x="493"/>
        <item h="1" x="1605"/>
        <item h="1" x="490"/>
        <item h="1" x="617"/>
        <item h="1" x="1176"/>
        <item h="1" x="1480"/>
        <item h="1" x="1145"/>
        <item h="1" x="922"/>
        <item h="1" x="408"/>
        <item h="1" x="1625"/>
        <item h="1" x="1924"/>
        <item h="1" x="56"/>
        <item h="1" x="149"/>
        <item h="1" x="196"/>
        <item h="1" x="494"/>
        <item h="1" x="1111"/>
        <item h="1" x="539"/>
        <item h="1" x="389"/>
        <item h="1" x="1360"/>
        <item h="1" x="1344"/>
        <item h="1" x="963"/>
        <item h="1" x="1812"/>
        <item h="1" x="1916"/>
        <item h="1" x="635"/>
        <item h="1" x="291"/>
        <item h="1" x="1901"/>
        <item h="1" x="315"/>
        <item h="1" x="1996"/>
        <item h="1" x="1969"/>
        <item h="1" x="384"/>
        <item h="1" x="816"/>
        <item h="1" x="1355"/>
        <item h="1" x="2082"/>
        <item h="1" x="1841"/>
        <item h="1" x="561"/>
        <item h="1" x="1915"/>
        <item h="1" x="1402"/>
        <item h="1" x="215"/>
        <item h="1" x="1702"/>
        <item h="1" x="1459"/>
        <item h="1" x="2078"/>
        <item h="1" x="1782"/>
        <item h="1" x="888"/>
        <item h="1" x="1669"/>
        <item h="1" x="1232"/>
        <item h="1" x="893"/>
        <item h="1" x="842"/>
        <item h="1" x="1254"/>
        <item h="1" x="52"/>
        <item h="1" x="1552"/>
        <item h="1" x="335"/>
        <item h="1" x="97"/>
        <item h="1" x="1281"/>
        <item h="1" x="1741"/>
        <item h="1" x="1869"/>
        <item h="1" x="760"/>
        <item h="1" x="570"/>
        <item h="1" x="1244"/>
        <item h="1" x="666"/>
        <item h="1" x="1634"/>
        <item h="1" x="111"/>
        <item h="1" x="1175"/>
        <item h="1" x="1062"/>
        <item h="1" x="1968"/>
        <item h="1" x="1307"/>
        <item h="1" x="1241"/>
        <item h="1" x="223"/>
        <item h="1" x="688"/>
        <item h="1" x="650"/>
        <item h="1" x="1624"/>
        <item h="1" x="1089"/>
        <item h="1" x="281"/>
        <item h="1" x="1246"/>
        <item h="1" x="1270"/>
        <item h="1" x="25"/>
        <item h="1" x="1595"/>
        <item h="1" x="563"/>
        <item h="1" x="1024"/>
        <item h="1" x="1578"/>
        <item h="1" x="2021"/>
        <item h="1" x="586"/>
        <item h="1" x="447"/>
        <item h="1" x="1890"/>
        <item h="1" x="1041"/>
        <item h="1" x="29"/>
        <item h="1" x="930"/>
        <item h="1" x="31"/>
        <item h="1" x="1395"/>
        <item h="1" x="1425"/>
        <item h="1" x="1739"/>
        <item h="1" x="474"/>
        <item h="1" x="1771"/>
        <item h="1" x="1210"/>
        <item h="1" x="1470"/>
        <item h="1" x="1084"/>
        <item h="1" x="126"/>
        <item h="1" x="1374"/>
        <item h="1" x="876"/>
        <item h="1" x="1457"/>
        <item h="1" x="1531"/>
        <item h="1" x="168"/>
        <item h="1" x="1460"/>
        <item h="1" x="1700"/>
        <item h="1" x="148"/>
        <item h="1" x="39"/>
        <item h="1" x="1191"/>
        <item h="1" x="610"/>
        <item h="1" x="1137"/>
        <item h="1" x="508"/>
        <item h="1" x="264"/>
        <item h="1" x="1677"/>
        <item h="1" x="879"/>
        <item h="1" x="285"/>
        <item h="1" x="1283"/>
        <item h="1" x="191"/>
        <item h="1" x="306"/>
        <item h="1" x="1533"/>
        <item h="1" x="1337"/>
        <item h="1" x="776"/>
        <item h="1" x="1987"/>
        <item h="1" x="2070"/>
        <item h="1" x="1774"/>
        <item h="1" x="1157"/>
        <item h="1" x="1730"/>
        <item h="1" x="1798"/>
        <item h="1" x="1857"/>
        <item h="1" x="564"/>
        <item h="1" x="1674"/>
        <item h="1" x="74"/>
        <item h="1" x="228"/>
        <item h="1" x="1297"/>
        <item h="1" x="1591"/>
        <item h="1" x="1284"/>
        <item h="1" x="1557"/>
        <item h="1" x="305"/>
        <item h="1" x="784"/>
        <item h="1" x="2063"/>
        <item h="1" x="1811"/>
        <item h="1" x="823"/>
        <item h="1" x="1441"/>
        <item h="1" x="371"/>
        <item h="1" x="219"/>
        <item h="1" x="68"/>
        <item h="1" x="463"/>
        <item h="1" x="1495"/>
        <item h="1" x="1883"/>
        <item h="1" x="1114"/>
        <item h="1" x="795"/>
        <item h="1" x="753"/>
        <item h="1" x="1732"/>
        <item h="1" x="674"/>
        <item h="1" x="542"/>
        <item h="1" x="1949"/>
        <item h="1" x="150"/>
        <item h="1" x="416"/>
        <item h="1" x="299"/>
        <item h="1" x="2011"/>
        <item h="1" x="94"/>
        <item h="1" x="1979"/>
        <item h="1" x="2062"/>
        <item h="1" x="103"/>
        <item h="1" x="1046"/>
        <item h="1" x="744"/>
        <item h="1" x="2020"/>
        <item h="1" x="489"/>
        <item h="1" x="1348"/>
        <item h="1" x="1405"/>
        <item h="1" x="1933"/>
        <item h="1" x="1736"/>
        <item h="1" x="536"/>
        <item h="1" x="874"/>
        <item h="1" x="1003"/>
        <item h="1" x="612"/>
        <item h="1" x="390"/>
        <item h="1" x="1154"/>
        <item h="1" x="1932"/>
        <item h="1" x="1694"/>
        <item h="1" x="1001"/>
        <item h="1" x="2058"/>
        <item h="1" x="1701"/>
        <item h="1" x="1524"/>
        <item h="1" x="870"/>
        <item h="1" x="238"/>
        <item h="1" x="1575"/>
        <item h="1" x="901"/>
        <item h="1" x="363"/>
        <item h="1" x="1299"/>
        <item h="1" x="1486"/>
        <item h="1" x="307"/>
        <item h="1" x="282"/>
        <item h="1" x="1645"/>
        <item h="1" x="1293"/>
        <item h="1" x="984"/>
        <item h="1" x="1931"/>
        <item h="1" x="1673"/>
        <item h="1" x="1454"/>
        <item h="1" x="979"/>
        <item h="1" x="58"/>
        <item h="1" x="333"/>
        <item h="1" x="1274"/>
        <item h="1" x="470"/>
        <item h="1" x="284"/>
        <item h="1" x="921"/>
        <item h="1" x="1764"/>
        <item h="1" x="1507"/>
        <item h="1" x="977"/>
        <item h="1" x="1014"/>
        <item h="1" x="825"/>
        <item h="1" x="203"/>
        <item h="1" x="2057"/>
        <item h="1" x="1215"/>
        <item h="1" x="1991"/>
        <item h="1" x="1085"/>
        <item h="1" x="583"/>
        <item h="1" x="1366"/>
        <item h="1" x="971"/>
        <item h="1" x="694"/>
        <item h="1" x="1760"/>
        <item h="1" x="785"/>
        <item h="1" x="778"/>
        <item h="1" x="259"/>
        <item h="1" x="1882"/>
        <item h="1" x="801"/>
        <item h="1" x="1566"/>
        <item h="1" x="1119"/>
        <item h="1" x="705"/>
        <item h="1" x="817"/>
        <item h="1" x="1637"/>
        <item h="1" x="906"/>
        <item h="1" x="271"/>
        <item h="1" x="1260"/>
        <item h="1" x="297"/>
        <item h="1" x="765"/>
        <item h="1" x="479"/>
        <item h="1" x="649"/>
        <item h="1" x="1478"/>
        <item h="1" x="434"/>
        <item h="1" x="645"/>
        <item h="1" x="1682"/>
        <item h="1" x="2025"/>
        <item h="1" x="1152"/>
        <item h="1" x="1513"/>
        <item h="1" x="1856"/>
        <item h="1" x="16"/>
        <item h="1" x="734"/>
        <item h="1" x="255"/>
        <item h="1" x="379"/>
        <item h="1" x="1967"/>
        <item h="1" x="1021"/>
        <item h="1" x="86"/>
        <item h="1" x="1204"/>
        <item h="1" x="2088"/>
        <item h="1" x="449"/>
        <item h="1" x="719"/>
        <item h="1" x="1703"/>
        <item h="1" x="1164"/>
        <item h="1" x="2069"/>
        <item h="1" x="861"/>
        <item h="1" x="958"/>
        <item h="1" x="1855"/>
        <item h="1" x="455"/>
        <item h="1" x="1130"/>
        <item h="1" x="1450"/>
        <item h="1" x="1136"/>
        <item h="1" x="1767"/>
        <item h="1" x="907"/>
        <item h="1" x="1382"/>
        <item h="1" x="1194"/>
        <item h="1" x="1132"/>
        <item h="1" x="370"/>
        <item h="1" x="1868"/>
        <item h="1" x="918"/>
        <item h="1" x="1783"/>
        <item h="1" x="28"/>
        <item h="1" x="1689"/>
        <item h="1" x="1474"/>
        <item h="1" x="611"/>
        <item h="1" x="1541"/>
        <item h="1" x="400"/>
        <item h="1" x="529"/>
        <item h="1" x="632"/>
        <item h="1" x="1087"/>
        <item h="1" x="1503"/>
        <item h="1" x="411"/>
        <item h="1" x="1061"/>
        <item h="1" x="2077"/>
        <item h="1" x="185"/>
        <item h="1" x="852"/>
        <item h="1" x="1327"/>
        <item h="1" x="2024"/>
        <item h="1" x="1328"/>
        <item h="1" x="146"/>
        <item h="1" x="803"/>
        <item h="1" x="17"/>
        <item h="1" x="436"/>
        <item h="1" x="77"/>
        <item h="1" x="518"/>
        <item h="1" x="61"/>
        <item h="1" x="1074"/>
        <item h="1" x="172"/>
        <item h="1" x="1144"/>
        <item h="1" x="498"/>
        <item h="1" x="2061"/>
        <item h="1" x="669"/>
        <item h="1" x="225"/>
        <item h="1" x="1978"/>
        <item h="1" x="599"/>
        <item h="1" x="628"/>
        <item h="1" x="708"/>
        <item h="1" x="1622"/>
        <item h="1" x="568"/>
        <item h="1" x="1407"/>
        <item h="1" x="1444"/>
        <item h="1" x="497"/>
        <item h="1" x="991"/>
        <item h="1" x="955"/>
        <item h="1" x="1620"/>
        <item h="1" x="566"/>
        <item h="1" x="2076"/>
        <item h="1" x="346"/>
        <item h="1" x="537"/>
        <item h="1" x="1752"/>
        <item h="1" x="2042"/>
        <item h="1" x="855"/>
        <item h="1" x="1118"/>
        <item h="1" x="212"/>
        <item h="1" x="1358"/>
        <item h="1" x="1064"/>
        <item h="1" x="1661"/>
        <item h="1" x="247"/>
        <item h="1" x="1416"/>
        <item h="1" x="1709"/>
        <item h="1" x="1207"/>
        <item h="1" x="451"/>
        <item h="1" x="2010"/>
        <item h="1" x="1527"/>
        <item h="1" x="412"/>
        <item h="1" x="1439"/>
        <item h="1" x="894"/>
        <item h="1" x="417"/>
        <item h="1" x="1603"/>
        <item h="1" x="952"/>
        <item h="1" x="1149"/>
        <item h="1" x="747"/>
        <item h="1" x="233"/>
        <item h="1" x="1487"/>
        <item h="1" x="475"/>
        <item h="1" x="1143"/>
        <item h="1" x="423"/>
        <item h="1" x="1386"/>
        <item h="1" x="895"/>
        <item h="1" x="781"/>
        <item h="1" x="1652"/>
        <item h="1" x="316"/>
        <item h="1" x="1392"/>
        <item h="1" x="1288"/>
        <item h="1" x="1881"/>
        <item h="1" x="46"/>
        <item h="1" x="372"/>
        <item h="1" x="4"/>
        <item h="1" x="331"/>
        <item h="1" x="679"/>
        <item h="1" x="554"/>
        <item h="1" x="232"/>
        <item h="1" x="477"/>
        <item h="1" x="1756"/>
        <item h="1" x="118"/>
        <item h="1" x="1692"/>
        <item h="1" x="1433"/>
        <item h="1" x="327"/>
        <item h="1" x="574"/>
        <item h="1" x="845"/>
        <item h="1" x="236"/>
        <item h="1" x="898"/>
        <item h="1" x="1025"/>
        <item h="1" x="20"/>
        <item h="1" x="728"/>
        <item h="1" x="1240"/>
        <item h="1" x="1179"/>
        <item h="1" x="1418"/>
        <item h="1" x="1966"/>
        <item h="1" x="1103"/>
        <item h="1" x="349"/>
        <item h="1" x="283"/>
        <item h="1" x="553"/>
        <item h="1" x="152"/>
        <item h="1" x="2023"/>
        <item h="1" x="66"/>
        <item h="1" x="309"/>
        <item h="1" x="1667"/>
        <item h="1" x="330"/>
        <item h="1" x="1186"/>
        <item h="1" x="123"/>
        <item h="1" x="1734"/>
        <item h="1" x="323"/>
        <item h="1" x="535"/>
        <item h="1" x="673"/>
        <item h="1" x="456"/>
        <item h="1" x="711"/>
        <item h="1" x="1421"/>
        <item h="1" x="273"/>
        <item h="1" x="1836"/>
        <item h="1" x="814"/>
        <item h="1" x="653"/>
        <item h="1" x="1096"/>
        <item h="1" x="1230"/>
        <item h="1" x="1840"/>
        <item h="1" x="1306"/>
        <item h="1" x="1068"/>
        <item h="1" x="1545"/>
        <item h="1" x="406"/>
        <item h="1" x="1776"/>
        <item h="1" x="358"/>
        <item h="1" x="745"/>
        <item h="1" x="1880"/>
        <item h="1" x="1806"/>
        <item h="1" x="929"/>
        <item h="1" x="1867"/>
        <item h="1" x="2019"/>
        <item h="1" x="1900"/>
        <item h="1" x="1424"/>
        <item h="1" x="1923"/>
        <item h="1" x="1242"/>
        <item h="1" x="2014"/>
        <item h="1" x="1423"/>
        <item h="1" x="362"/>
        <item h="1" x="15"/>
        <item h="1" x="1825"/>
        <item h="1" x="1081"/>
        <item h="1" x="1472"/>
        <item h="1" x="620"/>
        <item h="1" x="157"/>
        <item h="1" x="1990"/>
        <item h="1" x="1820"/>
        <item h="1" x="1481"/>
        <item h="1" x="1008"/>
        <item h="1" x="1948"/>
        <item h="1" x="329"/>
        <item h="1" x="413"/>
        <item h="1" x="957"/>
        <item h="1" x="1665"/>
        <item h="1" x="186"/>
        <item h="1" x="374"/>
        <item h="1" x="1295"/>
        <item h="1" x="1461"/>
        <item h="1" x="2056"/>
        <item h="1" x="1977"/>
        <item h="1" x="1350"/>
        <item h="1" x="1617"/>
        <item h="1" x="1965"/>
        <item h="1" x="1346"/>
        <item h="1" x="1914"/>
        <item h="1" x="579"/>
        <item h="1" x="1226"/>
        <item h="1" x="839"/>
        <item h="1" x="938"/>
        <item h="1" x="1662"/>
        <item h="1" x="1616"/>
        <item h="1" x="4416"/>
        <item h="1" x="1839"/>
        <item h="1" x="162"/>
        <item h="1" x="93"/>
        <item h="1" x="170"/>
        <item h="1" x="790"/>
        <item h="1" x="184"/>
        <item h="1" x="392"/>
        <item h="1" x="1691"/>
        <item h="1" x="359"/>
        <item h="1" x="415"/>
        <item h="1" x="602"/>
        <item h="1" x="978"/>
        <item h="1" x="900"/>
        <item h="1" x="1643"/>
        <item h="1" x="1035"/>
        <item h="1" x="2075"/>
        <item h="1" x="1555"/>
        <item h="1" x="1621"/>
        <item h="1" x="829"/>
        <item h="1" x="1051"/>
        <item h="1" x="1088"/>
        <item h="1" x="954"/>
        <item h="1" x="827"/>
        <item h="1" x="1128"/>
        <item h="1" x="357"/>
        <item h="1" x="1427"/>
        <item h="1" x="810"/>
        <item h="1" x="1706"/>
        <item h="1" x="1558"/>
        <item h="1" x="804"/>
        <item h="1" x="1589"/>
        <item h="1" x="1017"/>
        <item h="1" x="2087"/>
        <item h="1" x="1759"/>
        <item h="1" x="660"/>
        <item h="1" x="1635"/>
        <item h="1" x="1748"/>
        <item h="1" x="1482"/>
        <item h="1" x="1255"/>
        <item h="1" x="73"/>
        <item h="1" x="1750"/>
        <item h="1" x="580"/>
        <item h="1" x="1824"/>
        <item h="1" x="1264"/>
        <item h="1" x="1763"/>
        <item h="1" x="308"/>
        <item h="1" x="752"/>
        <item h="1" x="430"/>
        <item h="1" x="155"/>
        <item h="1" x="1055"/>
        <item h="1" x="222"/>
        <item h="1" x="2068"/>
        <item h="1" x="1539"/>
        <item h="1" x="1697"/>
        <item h="1" x="1754"/>
        <item h="1" x="1280"/>
        <item h="1" x="1889"/>
        <item h="1" x="588"/>
        <item h="1" x="1544"/>
        <item h="1" x="1930"/>
        <item h="1" x="1854"/>
        <item h="1" x="763"/>
        <item h="1" x="1790"/>
        <item h="1" x="1341"/>
        <item h="1" x="1404"/>
        <item h="1" x="1728"/>
        <item h="1" x="386"/>
        <item h="1" x="252"/>
        <item h="1" x="318"/>
        <item h="1" x="618"/>
        <item h="1" x="850"/>
        <item h="1" x="476"/>
        <item h="1" x="520"/>
        <item h="1" x="1364"/>
        <item h="1" x="190"/>
        <item h="1" x="1413"/>
        <item h="1" x="889"/>
        <item h="1" x="263"/>
        <item h="1" x="1224"/>
        <item h="1" x="1636"/>
        <item h="1" x="1363"/>
        <item h="1" x="1792"/>
        <item h="1" x="1187"/>
        <item h="1" x="179"/>
        <item h="1" x="398"/>
        <item h="1" x="1083"/>
        <item h="1" x="69"/>
        <item h="1" x="1239"/>
        <item h="1" x="1493"/>
        <item h="1" x="1579"/>
        <item h="1" x="1580"/>
        <item h="1" x="555"/>
        <item h="1" x="1540"/>
        <item h="1" x="853"/>
        <item h="1" x="1683"/>
        <item h="1" x="57"/>
        <item h="1" x="143"/>
        <item h="1" x="1388"/>
        <item h="1" x="1733"/>
        <item h="1" x="648"/>
        <item h="1" x="1026"/>
        <item h="1" x="445"/>
        <item h="1" x="882"/>
        <item h="1" x="486"/>
        <item h="1" x="777"/>
        <item h="1" x="780"/>
        <item h="1" x="2055"/>
        <item h="1" x="2009"/>
        <item h="1" x="1598"/>
        <item h="1" x="622"/>
        <item h="1" x="312"/>
        <item h="1" x="1526"/>
        <item h="1" x="487"/>
        <item h="1" x="857"/>
        <item h="1" x="269"/>
        <item h="1" x="923"/>
        <item h="1" x="71"/>
        <item h="1" x="246"/>
        <item h="1" x="756"/>
        <item h="1" x="1148"/>
        <item h="1" x="165"/>
        <item h="1" x="783"/>
        <item h="1" x="727"/>
        <item h="1" x="1913"/>
        <item h="1" x="662"/>
        <item h="1" x="1067"/>
        <item h="1" x="21"/>
        <item h="1" x="581"/>
        <item h="1" x="1853"/>
        <item h="1" x="627"/>
        <item h="1" x="1554"/>
        <item h="1" x="2054"/>
        <item h="1" x="1098"/>
        <item h="1" x="1095"/>
        <item h="1" x="1657"/>
        <item h="1" x="383"/>
        <item h="1" x="1171"/>
        <item h="1" x="761"/>
        <item h="1" x="1699"/>
        <item h="1" x="79"/>
        <item h="1" x="1336"/>
        <item h="1" x="1292"/>
        <item h="1" x="1879"/>
        <item h="1" x="540"/>
        <item h="1" x="444"/>
        <item h="1" x="1715"/>
        <item h="1" x="865"/>
        <item h="1" x="1134"/>
        <item h="1" x="1765"/>
        <item h="1" x="1712"/>
        <item h="1" x="1324"/>
        <item h="1" x="41"/>
        <item h="1" x="515"/>
        <item h="1" x="663"/>
        <item h="1" x="1646"/>
        <item h="1" x="841"/>
        <item h="1" x="1964"/>
        <item h="1" x="1596"/>
        <item h="1" x="76"/>
        <item h="1" x="1553"/>
        <item h="1" x="1502"/>
        <item h="1" x="4420"/>
        <item h="1" x="258"/>
        <item h="1" x="1394"/>
        <item h="1" x="1104"/>
        <item h="1" x="680"/>
        <item h="1" x="1447"/>
        <item h="1" x="896"/>
        <item h="1" x="220"/>
        <item h="1" x="448"/>
        <item h="1" x="253"/>
        <item h="1" x="501"/>
        <item h="1" x="394"/>
        <item h="1" x="1684"/>
        <item h="1" x="35"/>
        <item h="1" x="736"/>
        <item h="1" x="1437"/>
        <item h="1" x="1608"/>
        <item h="1" x="1020"/>
        <item h="1" x="2060"/>
        <item h="1" x="723"/>
        <item h="1" x="1125"/>
        <item h="1" x="519"/>
        <item h="1" x="1172"/>
        <item h="1" x="516"/>
        <item h="1" x="1420"/>
        <item h="1" x="1532"/>
        <item h="1" x="441"/>
        <item h="1" x="1731"/>
        <item h="1" x="32"/>
        <item h="1" x="1664"/>
        <item h="1" x="1107"/>
        <item h="1" x="60"/>
        <item h="1" x="1245"/>
        <item h="1" x="913"/>
        <item h="1" x="4419"/>
        <item h="1" x="461"/>
        <item h="1" x="931"/>
        <item h="1" x="89"/>
        <item h="1" x="1976"/>
        <item h="1" x="1504"/>
        <item h="1" x="85"/>
        <item h="1" x="167"/>
        <item h="1" x="1550"/>
        <item h="1" x="164"/>
        <item h="1" x="552"/>
        <item h="1" x="1229"/>
        <item h="1" x="789"/>
        <item h="1" x="530"/>
        <item h="1" x="695"/>
        <item h="1" x="1216"/>
        <item h="1" x="843"/>
        <item h="1" x="1727"/>
        <item h="1" x="1837"/>
        <item h="1" x="1177"/>
        <item h="1" x="294"/>
        <item h="1" x="1040"/>
        <item h="1" x="14"/>
        <item h="1" x="1247"/>
        <item h="1" x="301"/>
        <item h="1" x="1866"/>
        <item h="1" x="1432"/>
        <item h="1" x="1912"/>
        <item h="1" x="702"/>
        <item h="1" x="1236"/>
        <item h="1" x="1109"/>
        <item h="1" x="1802"/>
        <item h="1" x="1796"/>
        <item h="1" x="62"/>
        <item h="1" x="866"/>
        <item h="1" x="1375"/>
        <item h="1" x="40"/>
        <item h="1" x="1448"/>
        <item h="1" x="859"/>
        <item h="1" x="1929"/>
        <item h="1" x="1975"/>
        <item h="1" x="1183"/>
        <item h="1" x="1317"/>
        <item h="1" x="812"/>
        <item h="1" x="1508"/>
        <item h="1" x="691"/>
        <item h="1" x="1718"/>
        <item h="1" x="696"/>
        <item h="1" x="1649"/>
        <item h="1" x="1419"/>
        <item h="1" x="1928"/>
        <item h="1" x="836"/>
        <item h="1" x="658"/>
        <item h="1" x="638"/>
        <item h="1" x="1181"/>
        <item h="1" x="1817"/>
        <item h="1" x="1206"/>
        <item h="1" x="1947"/>
        <item h="1" x="1406"/>
        <item h="1" x="137"/>
        <item h="1" x="1365"/>
        <item h="1" x="30"/>
        <item h="1" x="525"/>
        <item h="1" x="337"/>
        <item h="1" x="1982"/>
        <item h="1" x="387"/>
        <item h="1" x="1342"/>
        <item h="1" x="1182"/>
        <item h="1" x="1349"/>
        <item h="1" x="615"/>
        <item h="1" x="3297"/>
        <item h="1" x="703"/>
        <item h="1" x="737"/>
        <item h="1" x="1115"/>
        <item h="1" x="1237"/>
        <item h="1" x="678"/>
        <item h="1" x="54"/>
        <item h="1" x="364"/>
        <item h="1" x="569"/>
        <item h="1" x="1946"/>
        <item h="1" x="974"/>
        <item h="1" x="1332"/>
        <item h="1" x="1465"/>
        <item h="1" x="1162"/>
        <item h="1" x="1602"/>
        <item h="1" x="589"/>
        <item h="1" x="2018"/>
        <item h="1" x="1492"/>
        <item h="1" x="942"/>
        <item h="1" x="2008"/>
        <item h="1" x="1560"/>
        <item h="1" x="1231"/>
        <item h="1" x="1711"/>
        <item h="1" x="741"/>
        <item h="1" x="1249"/>
        <item h="1" x="303"/>
        <item h="1" x="1647"/>
        <item h="1" x="1719"/>
        <item h="1" x="1275"/>
        <item h="1" x="1443"/>
        <item h="1" x="731"/>
        <item h="1" x="1569"/>
        <item h="1" x="199"/>
        <item h="1" x="1347"/>
        <item h="1" x="1277"/>
        <item h="1" x="1723"/>
        <item h="1" x="1380"/>
        <item h="1" x="3830"/>
        <item h="1" x="153"/>
        <item h="1" x="969"/>
        <item h="1" x="210"/>
        <item h="1" x="608"/>
        <item h="1" x="920"/>
        <item h="1" x="1641"/>
        <item h="1" x="1412"/>
        <item h="1" x="124"/>
        <item h="1" x="27"/>
        <item h="1" x="1633"/>
        <item h="1" x="241"/>
        <item h="1" x="1235"/>
        <item h="1" x="3640"/>
        <item h="1" x="1772"/>
        <item h="1" x="2074"/>
        <item h="1" x="3732"/>
        <item h="1" x="147"/>
        <item h="1" x="1197"/>
        <item h="1" x="1804"/>
        <item h="1" x="509"/>
        <item h="1" x="342"/>
        <item h="1" x="1217"/>
        <item h="1" x="1485"/>
        <item h="1" x="2955"/>
        <item h="1" x="440"/>
        <item h="1" x="464"/>
        <item h="1" x="856"/>
        <item h="1" x="1038"/>
        <item h="1" x="1585"/>
        <item h="1" x="2081"/>
        <item h="1" x="280"/>
        <item h="1" x="1865"/>
        <item h="1" x="1139"/>
        <item h="1" x="2007"/>
        <item h="1" x="432"/>
        <item h="1" x="1803"/>
        <item h="1" x="3766"/>
        <item h="1" x="4053"/>
        <item h="1" x="1963"/>
        <item h="1" x="1300"/>
        <item h="1" x="3787"/>
        <item h="1" x="95"/>
        <item h="1" x="2376"/>
        <item h="1" x="0"/>
        <item h="1" x="1781"/>
        <item h="1" x="4480"/>
        <item h="1" x="3265"/>
        <item h="1" x="846"/>
        <item h="1" x="4757"/>
        <item h="1" x="4203"/>
        <item h="1" x="2102"/>
        <item h="1" x="1146"/>
        <item h="1" x="682"/>
        <item h="1" x="1570"/>
        <item h="1" x="908"/>
        <item h="1" x="1464"/>
        <item h="1" x="541"/>
        <item h="1" x="772"/>
        <item h="1" x="230"/>
        <item h="1" x="2389"/>
        <item h="1" x="1335"/>
        <item h="1" x="1688"/>
        <item h="1" x="934"/>
        <item h="1" x="1551"/>
        <item h="1" x="910"/>
        <item h="1" x="4522"/>
        <item h="1" x="1758"/>
        <item h="1" x="2966"/>
        <item h="1" x="1888"/>
        <item h="1" x="3150"/>
        <item h="1" x="453"/>
        <item h="1" x="462"/>
        <item h="1" x="3259"/>
        <item h="1" x="4359"/>
        <item h="1" x="3251"/>
        <item h="1" x="1813"/>
        <item h="1" x="3171"/>
        <item h="1" x="419"/>
        <item h="1" x="504"/>
        <item h="1" x="533"/>
        <item h="1" x="551"/>
        <item h="1" x="1859"/>
        <item h="1" x="1415"/>
        <item h="1" x="26"/>
        <item h="1" x="1827"/>
        <item h="1" x="671"/>
        <item h="1" x="1927"/>
        <item h="1" x="2588"/>
        <item h="1" x="4014"/>
        <item h="1" x="1945"/>
        <item h="1" x="2665"/>
        <item h="1" x="1944"/>
        <item h="1" x="100"/>
        <item h="1" x="2901"/>
        <item h="1" x="399"/>
        <item h="1" x="4377"/>
        <item h="1" x="1613"/>
        <item h="1" x="3733"/>
        <item h="1" x="1006"/>
        <item h="1" x="3083"/>
        <item h="1" x="1761"/>
        <item h="1" x="2396"/>
        <item h="1" x="2725"/>
        <item h="1" x="1860"/>
        <item h="1" x="3002"/>
        <item h="1" x="1899"/>
        <item h="1" x="1644"/>
        <item h="1" x="42"/>
        <item h="1" x="3378"/>
        <item h="1" x="1475"/>
        <item h="1" x="547"/>
        <item h="1" x="3667"/>
        <item h="1" x="348"/>
        <item h="1" x="593"/>
        <item h="1" x="4388"/>
        <item h="1" x="2462"/>
        <item h="1" x="469"/>
        <item h="1" x="1573"/>
        <item h="1" x="1279"/>
        <item h="1" x="2850"/>
        <item h="1" x="1656"/>
        <item h="1" x="1962"/>
        <item h="1" x="4493"/>
        <item h="1" x="1340"/>
        <item h="1" x="2873"/>
        <item h="1" x="4201"/>
        <item h="1" x="1057"/>
        <item h="1" x="3093"/>
        <item h="1" x="4360"/>
        <item h="1" x="4340"/>
        <item h="1" x="1169"/>
        <item h="1" x="265"/>
        <item h="1" x="4236"/>
        <item h="1" x="3231"/>
        <item h="1" x="1151"/>
        <item h="1" x="4737"/>
        <item h="1" x="277"/>
        <item h="1" x="2305"/>
        <item h="1" x="1619"/>
        <item h="1" x="3912"/>
        <item h="1" x="4066"/>
        <item h="1" x="2216"/>
        <item h="1" x="1961"/>
        <item h="1" x="521"/>
        <item h="1" x="813"/>
        <item h="1" x="3271"/>
        <item h="1" x="4028"/>
        <item h="1" x="4000"/>
        <item h="1" x="4269"/>
        <item h="1" x="2438"/>
        <item h="1" x="2186"/>
        <item h="1" x="2731"/>
        <item h="1" x="4573"/>
        <item h="1" x="1205"/>
        <item h="1" x="2889"/>
        <item h="1" x="4260"/>
        <item h="1" x="953"/>
        <item h="1" x="485"/>
        <item h="1" x="3548"/>
        <item h="1" x="289"/>
        <item h="1" x="4602"/>
        <item h="1" x="3803"/>
        <item h="1" x="454"/>
        <item h="1" x="4408"/>
        <item h="1" x="3426"/>
        <item h="1" x="1738"/>
        <item h="1" x="2839"/>
        <item h="1" x="1185"/>
        <item h="1" x="1173"/>
        <item h="1" x="4793"/>
        <item h="1" x="2794"/>
        <item h="1" x="2743"/>
        <item h="1" x="2180"/>
        <item h="1" x="2618"/>
        <item h="1" x="3312"/>
        <item h="1" x="4271"/>
        <item h="1" x="919"/>
        <item h="1" x="584"/>
        <item h="1" x="310"/>
        <item h="1" x="3323"/>
        <item h="1" x="2737"/>
        <item h="1" x="3768"/>
        <item h="1" x="332"/>
        <item h="1" x="1852"/>
        <item h="1" x="3219"/>
        <item h="1" x="3220"/>
        <item h="1" x="4457"/>
        <item h="1" x="4008"/>
        <item h="1" x="3382"/>
        <item h="1" x="4105"/>
        <item h="1" x="4601"/>
        <item h="1" x="3701"/>
        <item h="1" x="1775"/>
        <item h="1" x="4278"/>
        <item h="1" x="4247"/>
        <item h="1" x="3217"/>
        <item h="1" x="3483"/>
        <item h="1" x="1618"/>
        <item h="1" x="4095"/>
        <item h="1" x="4390"/>
        <item h="1" x="3702"/>
        <item h="1" x="2863"/>
        <item h="1" x="4378"/>
        <item h="1" x="2837"/>
        <item h="1" x="3629"/>
        <item h="1" x="3160"/>
        <item h="1" x="3767"/>
        <item h="1" x="33"/>
        <item h="1" x="2690"/>
        <item h="1" x="3592"/>
        <item h="1" x="3720"/>
        <item h="1" x="3309"/>
        <item h="1" x="2520"/>
        <item h="1" x="4295"/>
        <item h="1" x="2132"/>
        <item h="1" x="2902"/>
        <item h="1" x="939"/>
        <item h="1" x="2133"/>
        <item h="1" x="122"/>
        <item h="1" x="3646"/>
        <item h="1" x="4010"/>
        <item h="1" x="3668"/>
        <item h="1" x="4443"/>
        <item h="1" x="2604"/>
        <item h="1" x="98"/>
        <item h="1" x="3332"/>
        <item h="1" x="44"/>
        <item h="1" x="4362"/>
        <item h="1" x="2838"/>
        <item h="1" x="1456"/>
        <item h="1" x="2852"/>
        <item h="1" x="2473"/>
        <item h="1" x="2549"/>
        <item h="1" x="4296"/>
        <item h="1" x="3577"/>
        <item h="1" x="1198"/>
        <item h="1" x="757"/>
        <item h="1" x="1805"/>
        <item h="1" x="2699"/>
        <item h="1" x="3284"/>
        <item h="1" x="559"/>
        <item h="1" x="4664"/>
        <item h="1" x="3532"/>
        <item h="1" x="135"/>
        <item h="1" x="2726"/>
        <item h="1" x="2793"/>
        <item h="1" x="2926"/>
        <item h="1" x="2775"/>
        <item h="1" x="2318"/>
        <item h="1" x="4442"/>
        <item h="1" x="2299"/>
        <item h="1" x="2639"/>
        <item h="1" x="3731"/>
        <item h="1" x="3790"/>
        <item h="1" x="3345"/>
        <item h="1" x="2181"/>
        <item h="1" x="735"/>
        <item h="1" x="3862"/>
        <item h="1" x="3428"/>
        <item h="1" x="99"/>
        <item h="1" x="1479"/>
        <item h="1" x="1396"/>
        <item h="1" x="1547"/>
        <item h="1" x="3641"/>
        <item h="1" x="512"/>
        <item h="1" x="2361"/>
        <item h="1" x="4017"/>
        <item h="1" x="1446"/>
        <item h="1" x="2795"/>
        <item h="1" x="3630"/>
        <item h="1" x="1212"/>
        <item h="1" x="2349"/>
        <item h="1" x="3734"/>
        <item h="1" x="3034"/>
        <item h="1" x="800"/>
        <item h="1" x="2093"/>
        <item h="1" x="2689"/>
        <item h="1" x="4739"/>
        <item h="1" x="4781"/>
        <item h="1" x="2116"/>
        <item h="1" x="3333"/>
        <item h="1" x="3331"/>
        <item h="1" x="4029"/>
        <item h="1" x="531"/>
        <item h="1" x="4342"/>
        <item h="1" x="4460"/>
        <item h="1" x="3764"/>
        <item h="1" x="3704"/>
        <item h="1" x="2286"/>
        <item h="1" x="2814"/>
        <item h="1" x="4508"/>
        <item h="1" x="4085"/>
        <item h="1" x="2762"/>
        <item h="1" x="2986"/>
        <item h="1" x="3987"/>
        <item h="1" x="3949"/>
        <item h="1" x="4067"/>
        <item h="1" x="1163"/>
        <item h="1" x="4462"/>
        <item h="1" x="2760"/>
        <item h="1" x="4158"/>
        <item h="1" x="3031"/>
        <item h="1" x="3831"/>
        <item h="1" x="2946"/>
        <item h="1" x="2348"/>
        <item h="1" x="1780"/>
        <item h="1" x="598"/>
        <item h="1" x="983"/>
        <item h="1" x="3963"/>
        <item h="1" x="4341"/>
        <item h="1" x="2630"/>
        <item h="1" x="2938"/>
        <item h="1" x="2565"/>
        <item h="1" x="2927"/>
        <item h="1" x="2652"/>
        <item h="1" x="4389"/>
        <item h="1" x="2778"/>
        <item h="1" x="884"/>
        <item h="1" x="3666"/>
        <item h="1" x="1221"/>
        <item h="1" x="787"/>
        <item h="1" x="3018"/>
        <item h="1" x="1116"/>
        <item h="1" x="366"/>
        <item h="1" x="4261"/>
        <item h="1" x="1208"/>
        <item h="1" x="2266"/>
        <item h="1" x="3631"/>
        <item h="1" x="2849"/>
        <item h="1" x="2215"/>
        <item h="1" x="3054"/>
        <item h="1" x="4157"/>
        <item h="1" x="3261"/>
        <item h="1" x="3484"/>
        <item h="1" x="2951"/>
        <item h="1" x="2629"/>
        <item h="1" x="2620"/>
        <item h="1" x="2651"/>
        <item h="1" x="2120"/>
        <item h="1" x="2202"/>
        <item h="1" x="2279"/>
        <item h="1" x="4575"/>
        <item h="1" x="2714"/>
        <item h="1" x="2798"/>
        <item h="1" x="4248"/>
        <item h="1" x="3113"/>
        <item h="1" x="2632"/>
        <item h="1" x="3379"/>
        <item h="1" x="1918"/>
        <item h="1" x="3687"/>
        <item h="1" x="4016"/>
        <item h="1" x="2660"/>
        <item h="1" x="3988"/>
        <item h="1" x="1431"/>
        <item h="1" x="2476"/>
        <item h="1" x="4652"/>
        <item h="1" x="1351"/>
        <item h="1" x="1816"/>
        <item h="1" x="2636"/>
        <item h="1" x="1515"/>
        <item h="1" x="3162"/>
        <item h="1" x="3181"/>
        <item h="1" x="2145"/>
        <item h="1" x="2876"/>
        <item h="1" x="1075"/>
        <item h="1" x="1338"/>
        <item h="1" x="4376"/>
        <item h="1" x="3867"/>
        <item h="1" x="2197"/>
        <item h="1" x="3986"/>
        <item h="1" x="2453"/>
        <item h="1" x="4321"/>
        <item h="1" x="4065"/>
        <item h="1" x="2658"/>
        <item h="1" x="3863"/>
        <item h="1" x="1403"/>
        <item h="1" x="3914"/>
        <item h="1" x="3395"/>
        <item h="1" x="4482"/>
        <item h="1" x="3168"/>
        <item h="1" x="2135"/>
        <item h="1" x="292"/>
        <item h="1" x="1704"/>
        <item h="1" x="3896"/>
        <item h="1" x="943"/>
        <item h="1" x="1269"/>
        <item h="1" x="3832"/>
        <item h="1" x="3053"/>
        <item h="1" x="4710"/>
        <item h="1" x="3383"/>
        <item h="1" x="4623"/>
        <item h="1" x="3298"/>
        <item h="1" x="341"/>
        <item h="1" x="1473"/>
        <item h="1" x="706"/>
        <item h="1" x="2647"/>
        <item h="1" x="3897"/>
        <item h="1" x="2701"/>
        <item h="1" x="2026"/>
        <item h="1" x="63"/>
        <item h="1" x="459"/>
        <item h="1" x="116"/>
        <item h="1" x="3453"/>
        <item h="1" x="3094"/>
        <item h="1" x="2656"/>
        <item h="1" x="4639"/>
        <item h="1" x="2956"/>
        <item h="1" x="1127"/>
        <item h="1" x="4643"/>
        <item h="1" x="4510"/>
        <item h="1" x="4758"/>
        <item h="1" x="2222"/>
        <item h="1" x="2485"/>
        <item h="1" x="2835"/>
        <item h="1" x="3381"/>
        <item h="1" x="4464"/>
        <item h="1" x="4683"/>
        <item h="1" x="4021"/>
        <item h="1" x="1724"/>
        <item h="1" x="2199"/>
        <item h="1" x="3913"/>
        <item h="1" x="3472"/>
        <item h="1" x="3788"/>
        <item h="1" x="2053"/>
        <item h="1" x="4581"/>
        <item h="1" x="2866"/>
        <item h="1" x="2358"/>
        <item h="1" x="3340"/>
        <item h="1" x="3239"/>
        <item h="1" x="3030"/>
        <item h="1" x="2677"/>
        <item h="1" x="2237"/>
        <item h="1" x="2720"/>
        <item h="1" x="4204"/>
        <item h="1" x="3473"/>
        <item h="1" x="2111"/>
        <item h="1" x="4806"/>
        <item h="1" x="2310"/>
        <item h="1" x="3676"/>
        <item h="1" x="3755"/>
        <item h="1" x="2136"/>
        <item h="1" x="3805"/>
        <item h="1" x="3032"/>
        <item h="1" x="4421"/>
        <item h="1" x="4156"/>
        <item h="1" x="4669"/>
        <item h="1" x="4622"/>
        <item h="1" x="1831"/>
        <item h="1" x="3549"/>
        <item h="1" x="4022"/>
        <item h="1" x="2851"/>
        <item h="1" x="3591"/>
        <item h="1" x="4468"/>
        <item h="1" x="3771"/>
        <item h="1" x="3301"/>
        <item h="1" x="2985"/>
        <item h="1" x="2156"/>
        <item h="1" x="1529"/>
        <item h="1" x="2904"/>
        <item h="1" x="2522"/>
        <item h="1" x="2134"/>
        <item h="1" x="3151"/>
        <item h="1" x="4386"/>
        <item h="1" x="3765"/>
        <item h="1" x="4596"/>
        <item h="1" x="4150"/>
        <item h="1" x="443"/>
        <item h="1" x="4679"/>
        <item h="1" x="3821"/>
        <item h="1" x="205"/>
        <item h="1" x="3948"/>
        <item h="1" x="3070"/>
        <item h="1" x="3076"/>
        <item h="1" x="4163"/>
        <item h="1" x="2925"/>
        <item h="1" x="4219"/>
        <item h="1" x="3722"/>
        <item h="1" x="3049"/>
        <item h="1" x="1477"/>
        <item h="1" x="3624"/>
        <item h="1" x="4322"/>
        <item h="1" x="2217"/>
        <item h="1" x="3711"/>
        <item h="1" x="4325"/>
        <item h="1" x="3894"/>
        <item h="1" x="2952"/>
        <item h="1" x="4782"/>
        <item h="1" x="2409"/>
        <item h="1" x="3822"/>
        <item h="1" x="4449"/>
        <item h="1" x="2160"/>
        <item h="1" x="4188"/>
        <item h="1" x="3692"/>
        <item h="1" x="2187"/>
        <item h="1" x="2973"/>
        <item h="1" x="3415"/>
        <item h="1" x="2905"/>
        <item h="1" x="2646"/>
        <item h="1" x="2961"/>
        <item h="1" x="4363"/>
        <item h="1" x="3189"/>
        <item h="1" x="4450"/>
        <item h="1" x="4557"/>
        <item h="1" x="4866"/>
        <item h="1" x="3437"/>
        <item h="1" x="3531"/>
        <item h="1" x="4344"/>
        <item h="1" x="1039"/>
        <item h="1" x="2796"/>
        <item h="1" x="2103"/>
        <item h="1" x="2764"/>
        <item h="1" x="3182"/>
        <item h="1" x="4387"/>
        <item h="1" x="2530"/>
        <item h="1" x="3534"/>
        <item h="1" x="3339"/>
        <item h="1" x="3314"/>
        <item h="1" x="4280"/>
        <item h="1" x="3482"/>
        <item h="1" x="1717"/>
        <item h="1" x="4696"/>
        <item h="1" x="3310"/>
        <item h="1" x="2445"/>
        <item h="1" x="3112"/>
        <item h="1" x="3276"/>
        <item h="1" x="1864"/>
        <item h="1" x="575"/>
        <item h="1" x="4527"/>
        <item h="1" x="2728"/>
        <item h="1" x="3671"/>
        <item h="1" x="4723"/>
        <item h="1" x="4807"/>
        <item h="1" x="3071"/>
        <item h="1" x="11"/>
        <item h="1" x="2290"/>
        <item h="1" x="227"/>
        <item h="1" x="2566"/>
        <item h="1" x="4293"/>
        <item h="1" x="4202"/>
        <item h="1" x="3511"/>
        <item h="1" x="2864"/>
        <item h="1" x="1592"/>
        <item h="1" x="1511"/>
        <item h="1" x="4533"/>
        <item h="1" x="4631"/>
        <item h="1" x="106"/>
        <item h="1" x="1607"/>
        <item h="1" x="2732"/>
        <item h="1" x="3932"/>
        <item h="1" x="3533"/>
        <item h="1" x="3440"/>
        <item h="1" x="4494"/>
        <item h="1" x="2594"/>
        <item h="1" x="3750"/>
        <item h="1" x="3713"/>
        <item h="1" x="4183"/>
        <item h="1" x="4444"/>
        <item h="1" x="3364"/>
        <item h="1" x="3011"/>
        <item h="1" x="699"/>
        <item h="1" x="1042"/>
        <item h="1" x="4245"/>
        <item h="1" x="1304"/>
        <item h="1" x="3770"/>
        <item h="1" x="3742"/>
        <item h="1" x="2546"/>
        <item h="1" x="2580"/>
        <item h="1" x="2412"/>
        <item h="1" x="3682"/>
        <item h="1" x="2524"/>
        <item h="1" x="4136"/>
        <item h="1" x="2903"/>
        <item h="1" x="2906"/>
        <item h="1" x="3689"/>
        <item h="1" x="2913"/>
        <item h="1" x="2510"/>
        <item h="1" x="2492"/>
        <item h="1" x="4380"/>
        <item h="1" x="2874"/>
        <item h="1" x="19"/>
        <item h="1" x="1521"/>
        <item h="1" x="4842"/>
        <item h="1" x="2631"/>
        <item h="1" x="4250"/>
        <item h="1" x="2052"/>
        <item h="1" x="2603"/>
        <item h="1" x="3346"/>
        <item h="1" x="2203"/>
        <item h="1" x="4684"/>
        <item h="1" x="3003"/>
        <item h="1" x="3103"/>
        <item h="1" x="2384"/>
        <item h="1" x="4361"/>
        <item h="1" x="4697"/>
        <item h="1" x="3823"/>
        <item h="1" x="2531"/>
        <item h="1" x="3363"/>
        <item h="1" x="4611"/>
        <item h="1" x="3203"/>
        <item h="1" x="3971"/>
        <item h="1" x="2751"/>
        <item h="1" x="2331"/>
        <item h="1" x="4859"/>
        <item h="1" x="2170"/>
        <item h="1" x="4780"/>
        <item h="1" x="3315"/>
        <item h="1" x="3579"/>
        <item h="1" x="4273"/>
        <item h="1" x="2238"/>
        <item h="1" x="4391"/>
        <item h="1" x="2407"/>
        <item h="1" x="3558"/>
        <item h="1" x="4606"/>
        <item h="1" x="4445"/>
        <item h="1" x="3708"/>
        <item h="1" x="3811"/>
        <item h="1" x="4320"/>
        <item h="1" x="3865"/>
        <item h="1" x="2659"/>
        <item h="1" x="4327"/>
        <item h="1" x="2095"/>
        <item h="1" x="4171"/>
        <item h="1" x="4624"/>
        <item h="1" x="2229"/>
        <item h="1" x="2712"/>
        <item h="1" x="2115"/>
        <item h="1" x="4097"/>
        <item h="1" x="3124"/>
        <item h="1" x="1200"/>
        <item h="1" x="3457"/>
        <item h="1" x="873"/>
        <item h="1" x="4481"/>
        <item h="1" x="4794"/>
        <item h="1" x="3895"/>
        <item h="1" x="2586"/>
        <item h="1" x="4759"/>
        <item h="1" x="3493"/>
        <item h="1" x="2805"/>
        <item h="1" x="3563"/>
        <item h="1" x="3794"/>
        <item h="1" x="460"/>
        <item h="1" x="3926"/>
        <item h="1" x="4015"/>
        <item h="1" x="3706"/>
        <item h="1" x="2146"/>
        <item h="1" x="3232"/>
        <item h="1" x="2757"/>
        <item h="1" x="2888"/>
        <item h="1" x="3152"/>
        <item h="1" x="207"/>
        <item h="1" x="4586"/>
        <item h="1" x="4205"/>
        <item h="1" x="4170"/>
        <item h="1" x="2637"/>
        <item h="1" x="2138"/>
        <item h="1" x="2490"/>
        <item h="1" x="22"/>
        <item h="1" x="3012"/>
        <item h="1" x="3161"/>
        <item h="1" x="4045"/>
        <item h="1" x="2403"/>
        <item h="1" x="4042"/>
        <item h="1" x="2756"/>
        <item h="1" x="2463"/>
        <item h="1" x="4307"/>
        <item h="1" x="3277"/>
        <item h="1" x="3172"/>
        <item h="1" x="4670"/>
        <item h="1" x="4578"/>
        <item h="1" x="2161"/>
        <item h="1" x="4523"/>
        <item h="1" x="3523"/>
        <item h="1" x="4300"/>
        <item h="1" x="4279"/>
        <item h="1" x="3808"/>
        <item h="1" x="3615"/>
        <item h="1" x="3233"/>
        <item h="1" x="3999"/>
        <item h="1" x="2704"/>
        <item h="1" x="3984"/>
        <item h="1" x="2671"/>
        <item h="1" x="4778"/>
        <item h="1" x="4145"/>
        <item h="1" x="3938"/>
        <item h="1" x="4324"/>
        <item h="1" x="1302"/>
        <item h="1" x="2171"/>
        <item h="1" x="4284"/>
        <item h="1" x="84"/>
        <item h="1" x="3621"/>
        <item h="1" x="1898"/>
        <item h="1" x="4246"/>
        <item h="1" x="3864"/>
        <item h="1" x="1010"/>
        <item h="1" x="3625"/>
        <item h="1" x="3142"/>
        <item h="1" x="3495"/>
        <item h="1" x="55"/>
        <item h="1" x="483"/>
        <item h="1" x="2194"/>
        <item h="1" x="3550"/>
        <item h="1" x="950"/>
        <item h="1" x="2705"/>
        <item h="1" x="2752"/>
        <item h="1" x="3860"/>
        <item h="1" x="2668"/>
        <item h="1" x="2815"/>
        <item h="1" x="1676"/>
        <item h="1" x="3465"/>
        <item h="1" x="4297"/>
        <item h="1" x="2346"/>
        <item h="1" x="2096"/>
        <item h="1" x="2940"/>
        <item h="1" x="4509"/>
        <item h="1" x="4319"/>
        <item h="1" x="3019"/>
        <item h="1" x="59"/>
        <item h="1" x="2245"/>
        <item h="1" x="2727"/>
        <item h="1" x="4764"/>
        <item h="1" x="4346"/>
        <item h="1" x="2285"/>
        <item h="1" x="3791"/>
        <item h="1" x="4018"/>
        <item h="1" x="2653"/>
        <item h="1" x="2352"/>
        <item h="1" x="3380"/>
        <item h="1" x="3672"/>
        <item h="1" x="2332"/>
        <item h="1" x="3047"/>
        <item h="1" x="4108"/>
        <item h="1" x="3669"/>
        <item h="1" x="3939"/>
        <item h="1" x="4056"/>
        <item h="1" x="3540"/>
        <item h="1" x="3266"/>
        <item h="1" x="169"/>
        <item h="1" x="1851"/>
        <item h="1" x="2201"/>
        <item h="1" x="2572"/>
        <item h="1" x="4847"/>
        <item h="1" x="4032"/>
        <item h="1" x="3933"/>
        <item h="1" x="3887"/>
        <item h="1" x="4441"/>
        <item h="1" x="3521"/>
        <item h="1" x="3559"/>
        <item h="1" x="4164"/>
        <item h="1" x="4638"/>
        <item h="1" x="3809"/>
        <item h="1" x="2167"/>
        <item h="1" x="3202"/>
        <item h="1" x="3905"/>
        <item h="1" x="3072"/>
        <item h="1" x="3022"/>
        <item h="1" x="2309"/>
        <item h="1" x="1520"/>
        <item h="1" x="2390"/>
        <item h="1" x="2230"/>
        <item h="1" x="3670"/>
        <item h="1" x="4395"/>
        <item h="1" x="3881"/>
        <item h="1" x="4128"/>
        <item h="1" x="3183"/>
        <item h="1" x="480"/>
        <item h="1" x="1878"/>
        <item h="1" x="3553"/>
        <item h="1" x="2543"/>
        <item h="1" x="591"/>
        <item h="1" x="2867"/>
        <item h="1" x="2579"/>
        <item h="1" x="670"/>
        <item h="1" x="4074"/>
        <item h="1" x="3252"/>
        <item h="1" x="3678"/>
        <item h="1" x="4554"/>
        <item h="1" x="2397"/>
        <item h="1" x="4713"/>
        <item h="1" x="3693"/>
        <item h="1" x="3665"/>
        <item h="1" x="2466"/>
        <item h="1" x="3950"/>
        <item h="1" x="3238"/>
        <item h="1" x="4009"/>
        <item h="1" x="2713"/>
        <item h="1" x="4779"/>
        <item h="1" x="4435"/>
        <item h="1" x="2706"/>
        <item h="1" x="2784"/>
        <item h="1" x="3322"/>
        <item h="1" x="2589"/>
        <item h="1" x="3190"/>
        <item h="1" x="2908"/>
        <item h="1" x="4086"/>
        <item h="1" x="3580"/>
        <item h="1" x="2875"/>
        <item h="1" x="2006"/>
        <item h="1" x="4434"/>
        <item h="1" x="2393"/>
        <item h="1" x="3417"/>
        <item h="1" x="2370"/>
        <item h="1" x="4458"/>
        <item h="1" x="4189"/>
        <item h="1" x="4565"/>
        <item h="1" x="2379"/>
        <item h="1" x="3649"/>
        <item h="1" x="3095"/>
        <item h="1" x="4459"/>
        <item h="1" x="2962"/>
        <item h="1" x="3953"/>
        <item h="1" x="3355"/>
        <item h="1" x="3789"/>
        <item h="1" x="1518"/>
        <item h="1" x="2992"/>
        <item h="1" x="4822"/>
        <item h="1" x="4483"/>
        <item h="1" x="3173"/>
        <item h="1" x="4784"/>
        <item h="1" x="3985"/>
        <item h="1" x="2841"/>
        <item h="1" x="3690"/>
        <item h="1" x="2947"/>
        <item h="1" x="2458"/>
        <item h="1" x="1070"/>
        <item h="1" x="3254"/>
        <item h="1" x="1762"/>
        <item h="1" x="3906"/>
        <item h="1" x="209"/>
        <item h="1" x="4743"/>
        <item h="1" x="3917"/>
        <item h="1" x="3068"/>
        <item h="1" x="380"/>
        <item h="1" x="2509"/>
        <item h="1" x="1887"/>
        <item h="1" x="2707"/>
        <item h="1" x="1303"/>
        <item h="1" x="3688"/>
        <item h="1" x="3126"/>
        <item h="1" x="4098"/>
        <item h="1" x="1188"/>
        <item h="1" x="3061"/>
        <item h="1" x="3445"/>
        <item h="1" x="2371"/>
        <item h="1" x="2824"/>
        <item h="1" x="2597"/>
        <item h="1" x="4597"/>
        <item h="1" x="2221"/>
        <item h="1" x="4543"/>
        <item h="1" x="2525"/>
        <item h="1" x="2696"/>
        <item h="1" x="3131"/>
        <item h="1" x="2231"/>
        <item h="1" x="3810"/>
        <item h="1" x="3427"/>
        <item h="1" x="3337"/>
        <item h="1" x="2682"/>
        <item h="1" x="3201"/>
        <item h="1" x="4379"/>
        <item h="1" x="3097"/>
        <item h="1" x="3"/>
        <item h="1" x="3429"/>
        <item h="1" x="2661"/>
        <item h="1" x="4461"/>
        <item h="1" x="2716"/>
        <item h="1" x="2139"/>
        <item h="1" x="2890"/>
        <item h="1" x="3275"/>
        <item h="1" x="4463"/>
        <item h="1" x="3990"/>
        <item h="1" x="2676"/>
        <item h="1" x="4167"/>
        <item h="1" x="3368"/>
        <item h="1" x="1562"/>
        <item h="1" x="3947"/>
        <item h="1" x="730"/>
        <item h="1" x="2974"/>
        <item h="1" x="2638"/>
        <item h="1" x="964"/>
        <item h="1" x="2319"/>
        <item h="1" x="2943"/>
        <item h="1" x="4676"/>
        <item h="1" x="3386"/>
        <item h="1" x="3535"/>
        <item h="1" x="3042"/>
        <item h="1" x="3048"/>
        <item h="1" x="3807"/>
        <item h="1" x="4604"/>
        <item h="1" x="2168"/>
        <item h="1" x="3039"/>
        <item h="1" x="4001"/>
        <item h="1" x="3673"/>
        <item h="1" x="2613"/>
        <item h="1" x="2106"/>
        <item h="1" x="3470"/>
        <item h="1" x="2558"/>
        <item h="1" x="3751"/>
        <item h="1" x="2669"/>
        <item h="1" x="4069"/>
        <item h="1" x="4433"/>
        <item h="1" x="3866"/>
        <item h="1" x="1863"/>
        <item h="1" x="4744"/>
        <item h="1" x="3077"/>
        <item h="1" x="3089"/>
        <item h="1" x="4607"/>
        <item h="1" x="1202"/>
        <item h="1" x="2733"/>
        <item h="1" x="2749"/>
        <item h="1" x="2338"/>
        <item h="1" x="3396"/>
        <item h="1" x="2759"/>
        <item h="1" x="3432"/>
        <item h="1" x="2578"/>
        <item h="1" x="1581"/>
        <item h="1" x="5006"/>
        <item h="1" x="2949"/>
        <item h="1" x="2526"/>
        <item h="1" x="5074"/>
        <item h="1" x="4605"/>
        <item h="1" x="3806"/>
        <item h="1" x="4270"/>
        <item h="1" x="2439"/>
        <item h="1" x="2491"/>
        <item h="1" x="4088"/>
        <item h="1" x="2275"/>
        <item h="1" x="3354"/>
        <item h="1" x="3618"/>
        <item h="1" x="4608"/>
        <item h="1" x="2172"/>
        <item h="1" x="3556"/>
        <item h="1" x="1822"/>
        <item h="1" x="2950"/>
        <item h="1" x="1628"/>
        <item h="1" x="4323"/>
        <item h="1" x="4677"/>
        <item h="1" x="2193"/>
        <item h="1" x="3114"/>
        <item h="1" x="2829"/>
        <item h="1" x="2702"/>
        <item h="1" x="4644"/>
        <item h="1" x="3918"/>
        <item h="1" x="2424"/>
        <item h="1" x="4712"/>
        <item h="1" x="2540"/>
        <item h="1" x="2523"/>
        <item h="1" x="3356"/>
        <item h="1" x="3074"/>
        <item h="1" x="4075"/>
        <item h="1" x="3285"/>
        <item h="1" x="2541"/>
        <item h="1" x="4720"/>
        <item h="1" x="2929"/>
        <item h="1" x="4765"/>
        <item h="1" x="4761"/>
        <item h="1" x="4534"/>
        <item h="1" x="2747"/>
        <item h="1" x="3260"/>
        <item h="1" x="4823"/>
        <item h="1" x="3129"/>
        <item h="1" x="2359"/>
        <item h="1" x="2219"/>
        <item h="1" x="2891"/>
        <item h="1" x="4087"/>
        <item h="1" x="4678"/>
        <item h="1" x="3307"/>
        <item h="1" x="4054"/>
        <item h="1" x="2801"/>
        <item h="1" x="2162"/>
        <item h="1" x="2280"/>
        <item h="1" x="4629"/>
        <item h="1" x="2761"/>
        <item h="1" x="3880"/>
        <item h="1" x="3223"/>
        <item h="1" x="3324"/>
        <item h="1" x="2979"/>
        <item h="1" x="2654"/>
        <item h="1" x="2380"/>
        <item h="1" x="2581"/>
        <item h="1" x="3369"/>
        <item h="1" x="3303"/>
        <item h="1" x="91"/>
        <item h="1" x="4147"/>
        <item h="1" x="3390"/>
        <item h="1" x="2205"/>
        <item h="1" x="2853"/>
        <item h="1" x="4849"/>
        <item h="1" x="4272"/>
        <item h="1" x="4603"/>
        <item h="1" x="3749"/>
        <item h="1" x="4760"/>
        <item h="1" x="4220"/>
        <item h="1" x="1353"/>
        <item h="1" x="4262"/>
        <item h="1" x="2633"/>
        <item h="1" x="2582"/>
        <item h="1" x="4711"/>
        <item h="1" x="2567"/>
        <item h="1" x="2347"/>
        <item h="1" x="3041"/>
        <item h="1" x="3850"/>
        <item h="1" x="2311"/>
        <item h="1" x="3046"/>
        <item h="1" x="3085"/>
        <item h="1" x="4626"/>
        <item h="1" x="351"/>
        <item h="1" x="2148"/>
        <item h="1" x="4992"/>
        <item h="1" x="4266"/>
        <item h="1" x="2495"/>
        <item h="1" x="4148"/>
        <item h="1" x="2251"/>
        <item h="1" x="3736"/>
        <item h="1" x="4081"/>
        <item h="1" x="2188"/>
        <item h="1" x="3006"/>
        <item h="1" x="4285"/>
        <item h="1" x="998"/>
        <item h="1" x="2840"/>
        <item h="1" x="4106"/>
        <item h="1" x="4343"/>
        <item h="1" x="4046"/>
        <item h="1" x="1435"/>
        <item h="1" x="2493"/>
        <item h="1" x="2854"/>
        <item h="1" x="2252"/>
        <item h="1" x="2448"/>
        <item h="1" x="3404"/>
        <item h="1" x="3705"/>
        <item h="1" x="4397"/>
        <item h="1" x="2765"/>
        <item h="1" x="4588"/>
        <item h="1" x="4364"/>
        <item h="1" x="3536"/>
        <item h="1" x="5094"/>
        <item h="1" x="2758"/>
        <item h="1" x="966"/>
        <item h="1" x="2700"/>
        <item h="1" x="3104"/>
        <item h="1" x="2104"/>
        <item h="1" x="4286"/>
        <item h="1" x="4585"/>
        <item h="1" x="2450"/>
        <item h="1" x="3925"/>
        <item h="1" x="3507"/>
        <item h="1" x="1960"/>
        <item h="1" x="4795"/>
        <item h="1" x="2464"/>
        <item h="1" x="3899"/>
        <item h="1" x="3451"/>
        <item h="1" x="3341"/>
        <item h="1" x="4111"/>
        <item h="1" x="2767"/>
        <item h="1" x="1959"/>
        <item h="1" x="304"/>
        <item h="1" x="2939"/>
        <item h="1" x="550"/>
        <item h="1" x="2666"/>
        <item h="1" x="3703"/>
        <item h="1" x="2532"/>
        <item h="1" x="3017"/>
        <item h="1" x="3471"/>
        <item h="1" x="4294"/>
        <item h="1" x="3208"/>
        <item h="1" x="2094"/>
        <item h="1" x="2276"/>
        <item h="1" x="2802"/>
        <item h="1" x="2688"/>
        <item h="1" x="3855"/>
        <item h="1" x="1496"/>
        <item h="1" x="2233"/>
        <item h="1" x="4665"/>
        <item h="1" x="1458"/>
        <item h="1" x="3773"/>
        <item h="1" x="3394"/>
        <item h="1" x="4110"/>
        <item h="1" x="3334"/>
        <item h="1" x="3872"/>
        <item h="1" x="1499"/>
        <item h="1" x="2625"/>
        <item h="1" x="4096"/>
        <item h="1" x="2783"/>
        <item h="1" x="3885"/>
        <item h="1" x="4159"/>
        <item h="1" x="4740"/>
        <item h="1" x="369"/>
        <item h="1" x="3143"/>
        <item h="1" x="4161"/>
        <item h="1" x="2555"/>
        <item h="1" x="4068"/>
        <item h="1" x="4846"/>
        <item h="1" x="3513"/>
        <item h="1" x="4071"/>
        <item h="1" x="2126"/>
        <item h="1" x="2137"/>
        <item h="1" x="3348"/>
        <item h="1" x="1490"/>
        <item h="1" x="2432"/>
        <item h="1" x="2542"/>
        <item h="1" x="3597"/>
        <item h="1" x="3578"/>
        <item h="1" x="4783"/>
        <item h="1" x="1298"/>
        <item h="1" x="3551"/>
        <item h="1" x="2721"/>
        <item h="1" x="2648"/>
        <item h="1" x="4528"/>
        <item h="1" x="834"/>
        <item h="1" x="4566"/>
        <item h="1" x="794"/>
        <item h="1" x="3370"/>
        <item h="1" x="3405"/>
        <item h="1" x="4673"/>
        <item h="1" x="3325"/>
        <item h="1" x="4326"/>
        <item h="1" x="2364"/>
        <item h="1" x="1047"/>
        <item h="1" x="2738"/>
        <item h="1" x="716"/>
        <item h="1" x="3278"/>
        <item h="1" x="607"/>
        <item h="1" x="3073"/>
        <item h="1" x="2411"/>
        <item h="1" x="2806"/>
        <item h="1" x="4033"/>
        <item h="1" x="4681"/>
        <item h="1" x="2993"/>
        <item h="1" x="2425"/>
        <item h="1" x="3716"/>
        <item h="1" x="1958"/>
        <item h="1" x="3851"/>
        <item h="1" x="4752"/>
        <item h="1" x="3927"/>
        <item h="1" x="3460"/>
        <item h="1" x="4709"/>
        <item h="1" x="4274"/>
        <item h="1" x="1743"/>
        <item h="1" x="3956"/>
        <item h="1" x="108"/>
        <item h="1" x="3931"/>
        <item h="1" x="2265"/>
        <item h="1" x="3078"/>
        <item h="1" x="2521"/>
        <item h="1" x="414"/>
        <item h="1" x="3935"/>
        <item h="1" x="3714"/>
        <item h="1" x="3188"/>
        <item h="1" x="4826"/>
        <item h="1" x="3139"/>
        <item h="1" x="3136"/>
        <item h="1" x="2768"/>
        <item h="1" x="4800"/>
        <item h="1" x="3218"/>
        <item h="1" x="3882"/>
        <item h="1" x="2988"/>
        <item h="1" x="3384"/>
        <item h="1" x="3504"/>
        <item h="1" x="3438"/>
        <item h="1" x="3647"/>
        <item h="1" x="3004"/>
        <item h="1" x="3907"/>
        <item h="1" x="4574"/>
        <item h="1" x="4173"/>
        <item h="1" x="4003"/>
        <item h="1" x="2363"/>
        <item h="1" x="3967"/>
        <item h="1" x="3464"/>
        <item h="1" x="4329"/>
        <item h="1" x="4057"/>
        <item h="1" x="4137"/>
        <item h="1" x="3418"/>
        <item h="1" x="2799"/>
        <item h="1" x="659"/>
        <item h="1" x="2394"/>
        <item h="1" x="2593"/>
        <item h="1" x="3043"/>
        <item h="1" x="3137"/>
        <item h="1" x="3096"/>
        <item h="1" x="4591"/>
        <item h="1" x="3804"/>
        <item h="1" x="3267"/>
        <item h="1" x="980"/>
        <item h="1" x="2449"/>
        <item h="1" x="3063"/>
        <item h="1" x="2429"/>
        <item h="1" x="2763"/>
        <item h="1" x="3021"/>
        <item h="1" x="3153"/>
        <item h="1" x="2451"/>
        <item h="1" x="4653"/>
        <item h="1" x="2362"/>
        <item h="1" x="3769"/>
        <item h="1" x="4179"/>
        <item h="1" x="4208"/>
        <item h="1" x="3853"/>
        <item h="1" x="692"/>
        <item h="1" x="4555"/>
        <item h="1" x="3385"/>
        <item h="1" x="4556"/>
        <item h="1" x="3710"/>
        <item h="1" x="3919"/>
        <item h="1" x="2928"/>
        <item h="1" x="2560"/>
        <item h="1" x="3416"/>
        <item h="1" x="2163"/>
        <item h="1" x="4366"/>
        <item h="1" x="3255"/>
        <item h="1" x="2456"/>
        <item h="1" x="3262"/>
        <item h="1" x="2108"/>
        <item h="1" x="2302"/>
        <item h="1" x="4221"/>
        <item h="1" x="2440"/>
        <item h="1" x="3707"/>
        <item h="1" x="2739"/>
        <item h="1" x="3616"/>
        <item h="1" x="88"/>
        <item h="1" x="3033"/>
        <item h="1" x="3040"/>
        <item h="1" x="3723"/>
        <item h="1" x="3677"/>
        <item h="1" x="3069"/>
        <item h="1" x="3512"/>
        <item h="1" x="4579"/>
        <item h="1" x="3752"/>
        <item h="1" x="1505"/>
        <item h="1" x="4251"/>
        <item h="1" x="4129"/>
        <item h="1" x="3084"/>
        <item h="1" x="3287"/>
        <item h="1" x="3552"/>
        <item h="1" x="2994"/>
        <item h="1" x="2353"/>
        <item h="1" x="3869"/>
        <item h="1" x="667"/>
        <item h="1" x="4123"/>
        <item h="1" x="2501"/>
        <item h="1" x="256"/>
        <item h="1" x="2621"/>
        <item h="1" x="2301"/>
        <item h="1" x="3090"/>
        <item h="1" x="3735"/>
        <item h="1" x="2611"/>
        <item h="1" x="3459"/>
        <item h="1" x="4392"/>
        <item h="1" x="3514"/>
        <item h="1" x="4436"/>
        <item h="1" x="4785"/>
        <item h="1" x="3883"/>
        <item h="1" x="3105"/>
        <item h="1" x="3675"/>
        <item h="1" x="4850"/>
        <item h="1" x="4577"/>
        <item h="1" x="2626"/>
        <item h="1" x="2967"/>
        <item h="1" x="2270"/>
        <item h="1" x="2766"/>
        <item h="1" x="4299"/>
        <item h="1" x="4612"/>
        <item h="1" x="2681"/>
        <item h="1" x="4495"/>
        <item h="1" x="3812"/>
        <item h="1" x="4496"/>
        <item h="1" x="3191"/>
        <item h="1" x="4714"/>
        <item h="1" x="2446"/>
        <item h="1" x="4349"/>
        <item h="1" x="3989"/>
        <item h="1" x="2377"/>
        <item h="1" x="3050"/>
        <item h="1" x="1757"/>
        <item h="1" x="2550"/>
        <item h="1" x="2496"/>
        <item h="1" x="4698"/>
        <item h="1" x="4763"/>
        <item h="1" x="4567"/>
        <item h="1" x="2452"/>
        <item h="1" x="4043"/>
        <item h="1" x="3992"/>
        <item h="1" x="4070"/>
        <item h="1" x="2619"/>
        <item h="1" x="244"/>
        <item h="1" x="4224"/>
        <item h="1" x="2218"/>
        <item h="1" x="4209"/>
        <item h="1" x="3387"/>
        <item h="1" x="4403"/>
        <item h="1" x="1369"/>
        <item h="1" x="4544"/>
        <item h="1" x="3347"/>
        <item h="1" x="2398"/>
        <item h="1" x="3169"/>
        <item h="1" x="3449"/>
        <item h="1" x="1345"/>
        <item h="1" x="2989"/>
        <item h="1" x="2442"/>
        <item h="1" x="4625"/>
        <item h="1" x="193"/>
        <item h="1" x="2324"/>
        <item h="1" x="4034"/>
        <item h="1" x="4805"/>
        <item h="1" x="2692"/>
        <item h="1" x="4576"/>
        <item h="1" x="2474"/>
        <item h="1" x="5004"/>
        <item h="1" x="2342"/>
        <item h="1" x="4824"/>
        <item h="1" x="3602"/>
        <item h="1" x="4194"/>
        <item h="1" x="4738"/>
        <item h="1" x="2300"/>
        <item h="1" x="2662"/>
        <item h="1" x="4226"/>
        <item h="1" x="4146"/>
        <item h="1" x="2399"/>
        <item h="1" x="3176"/>
        <item h="1" x="2877"/>
        <item h="1" x="4587"/>
        <item h="1" x="3972"/>
        <item h="1" x="3207"/>
        <item h="1" x="3406"/>
        <item h="1" x="4843"/>
        <item h="1" x="3737"/>
        <item h="1" x="4121"/>
        <item h="1" x="4118"/>
        <item h="1" x="4999"/>
        <item h="1" x="4511"/>
        <item h="1" x="3163"/>
        <item h="1" x="3600"/>
        <item h="1" x="3272"/>
        <item h="1" x="3515"/>
        <item h="1" x="393"/>
        <item h="1" x="2842"/>
        <item h="1" x="3691"/>
        <item h="1" x="3485"/>
        <item h="1" x="4592"/>
        <item h="1" x="2911"/>
        <item h="1" x="3458"/>
        <item h="1" x="4423"/>
        <item h="1" x="3430"/>
        <item h="1" x="2213"/>
        <item h="1" x="4719"/>
        <item h="1" x="2494"/>
        <item h="1" x="4852"/>
        <item h="1" x="1189"/>
        <item h="1" x="2475"/>
        <item h="1" x="4797"/>
        <item h="1" x="4400"/>
        <item h="1" x="272"/>
        <item h="1" x="2127"/>
        <item h="1" x="3439"/>
        <item h="1" x="3955"/>
        <item h="1" x="2968"/>
        <item h="1" x="3286"/>
        <item h="1" x="2678"/>
        <item h="1" x="4394"/>
        <item h="1" x="3964"/>
        <item h="1" x="2427"/>
        <item h="1" x="4393"/>
        <item h="1" x="4165"/>
        <item h="1" x="2797"/>
        <item h="1" x="2995"/>
        <item h="1" x="4825"/>
        <item h="1" x="4848"/>
        <item h="1" x="2987"/>
        <item h="1" x="4654"/>
        <item h="1" x="2373"/>
        <item h="1" x="4640"/>
        <item h="1" x="2881"/>
        <item h="1" x="4559"/>
        <item h="1" x="3407"/>
        <item h="1" x="2667"/>
        <item h="1" x="3648"/>
        <item h="1" x="3273"/>
        <item h="1" x="3106"/>
        <item h="1" x="4412"/>
        <item h="1" x="4225"/>
        <item h="1" x="4330"/>
        <item h="1" x="3411"/>
        <item h="1" x="3674"/>
        <item h="1" x="1228"/>
        <item h="1" x="2930"/>
        <item h="1" x="2856"/>
        <item h="1" x="5083"/>
        <item h="1" x="3135"/>
        <item h="1" x="4030"/>
        <item h="1" x="4207"/>
        <item h="1" x="4489"/>
        <item h="1" x="4191"/>
        <item h="1" x="3166"/>
        <item h="1" x="3852"/>
        <item h="1" x="3289"/>
        <item h="1" x="641"/>
        <item h="1" x="4002"/>
        <item h="1" x="2821"/>
        <item h="1" x="2715"/>
        <item h="1" x="2679"/>
        <item h="1" x="2232"/>
        <item h="1" x="3916"/>
        <item h="1" x="2855"/>
        <item h="1" x="2198"/>
        <item h="1" x="2034"/>
        <item h="1" x="4699"/>
        <item h="1" x="3951"/>
        <item h="1" x="2320"/>
        <item h="1" x="4628"/>
        <item h="1" x="4741"/>
        <item h="1" x="2291"/>
        <item h="1" x="5008"/>
        <item h="1" x="2883"/>
        <item h="1" x="115"/>
        <item h="1" x="4079"/>
        <item h="1" x="2957"/>
        <item h="1" x="2378"/>
        <item h="1" x="4345"/>
        <item h="1" x="2718"/>
        <item h="1" x="2996"/>
        <item h="1" x="4796"/>
        <item h="1" x="4657"/>
        <item h="1" x="499"/>
        <item h="1" x="3127"/>
        <item h="1" x="3335"/>
        <item h="1" x="3115"/>
        <item h="1" x="2182"/>
        <item h="1" x="4451"/>
        <item h="1" x="3253"/>
        <item h="1" x="2327"/>
        <item h="1" x="4031"/>
        <item h="1" x="2623"/>
        <item h="1" x="2190"/>
        <item h="1" x="4808"/>
        <item h="1" x="2267"/>
        <item h="1" x="4424"/>
        <item h="1" x="3619"/>
        <item h="1" x="2910"/>
        <item h="1" x="3779"/>
        <item h="1" x="4301"/>
        <item h="1" x="2884"/>
        <item h="1" x="2595"/>
        <item h="1" x="2533"/>
        <item h="1" x="4401"/>
        <item h="1" x="4610"/>
        <item h="1" x="4627"/>
        <item h="1" x="3873"/>
        <item h="1" x="3969"/>
        <item h="1" x="2691"/>
        <item h="1" x="3709"/>
        <item h="1" x="1986"/>
        <item h="1" x="4367"/>
        <item h="1" x="4107"/>
        <item h="1" x="4195"/>
        <item h="1" x="3718"/>
        <item h="1" x="3421"/>
        <item h="1" x="3313"/>
        <item h="1" x="2844"/>
        <item h="1" x="4047"/>
        <item h="1" x="4747"/>
        <item h="1" x="3494"/>
        <item h="1" x="2634"/>
        <item h="1" x="3496"/>
        <item h="1" x="4762"/>
        <item h="1" x="3474"/>
        <item h="1" x="3743"/>
        <item h="1" x="2308"/>
        <item h="1" x="2748"/>
        <item h="1" x="3756"/>
        <item h="1" x="4499"/>
        <item h="1" x="3884"/>
        <item h="1" x="2385"/>
        <item h="1" x="4298"/>
        <item h="1" x="2729"/>
        <item h="1" x="3516"/>
        <item h="1" x="2287"/>
        <item h="1" x="2386"/>
        <item h="1" x="3055"/>
        <item h="1" x="2834"/>
        <item h="1" x="2261"/>
        <item h="1" x="1770"/>
        <item h="1" x="1072"/>
        <item h="1" x="2246"/>
        <item h="1" x="3308"/>
        <item h="1" x="4742"/>
        <item h="1" x="4223"/>
        <item h="1" x="3441"/>
        <item h="1" x="3965"/>
        <item h="1" x="2426"/>
        <item h="1" x="3555"/>
        <item h="1" x="2351"/>
        <item h="1" x="4413"/>
        <item h="1" x="2360"/>
        <item h="1" x="2457"/>
        <item h="1" x="2502"/>
        <item h="1" x="2147"/>
        <item h="1" x="3898"/>
        <item h="1" x="1985"/>
        <item h="1" x="181"/>
        <item h="1" x="2482"/>
        <item h="1" x="3236"/>
        <item h="1" x="3420"/>
        <item h="1" x="4237"/>
        <item h="1" x="4751"/>
        <item h="1" x="3128"/>
        <item h="1" x="3288"/>
        <item h="1" x="3772"/>
        <item h="1" x="3584"/>
        <item h="1" x="2882"/>
        <item h="1" x="2235"/>
        <item h="1" x="4645"/>
        <item h="1" x="4746"/>
        <item h="1" x="4004"/>
        <item h="1" x="3915"/>
        <item h="1" x="3125"/>
        <item h="1" x="2212"/>
        <item h="1" x="159"/>
        <item h="1" x="3184"/>
        <item h="1" x="1080"/>
        <item h="1" x="4851"/>
        <item h="1" x="828"/>
        <item h="1" x="3886"/>
        <item h="1" x="3290"/>
        <item h="1" x="4249"/>
        <item h="1" x="4655"/>
        <item h="1" x="2734"/>
        <item h="1" x="4222"/>
        <item h="1" x="4072"/>
        <item h="1" x="3582"/>
        <item h="1" x="4131"/>
        <item h="1" x="4396"/>
        <item h="1" x="2140"/>
        <item h="1" x="2191"/>
        <item h="1" x="2149"/>
        <item h="1" x="2693"/>
        <item h="1" x="2975"/>
        <item h="1" x="1004"/>
        <item h="1" x="3888"/>
        <item h="1" x="690"/>
        <item h="1" x="3889"/>
        <item h="1" x="2459"/>
        <item h="1" x="2109"/>
        <item h="1" x="4446"/>
        <item h="1" x="3940"/>
        <item h="1" x="4089"/>
        <item h="1" x="2400"/>
        <item h="1" x="2800"/>
        <item h="1" x="2980"/>
        <item h="1" x="3036"/>
        <item h="1" x="4768"/>
        <item h="1" x="3626"/>
        <item h="1" x="3632"/>
        <item h="1" x="2845"/>
        <item h="1" x="2694"/>
        <item h="1" x="3454"/>
        <item h="1" x="2455"/>
        <item h="1" x="3154"/>
        <item h="1" x="4748"/>
        <item h="1" x="4256"/>
        <item h="1" x="4162"/>
        <item h="1" x="2097"/>
        <item h="1" x="3738"/>
        <item h="1" x="4671"/>
        <item h="1" x="3815"/>
        <item h="1" x="2941"/>
        <item h="1" x="3524"/>
        <item h="1" x="4206"/>
        <item h="1" x="1850"/>
        <item h="1" x="3904"/>
        <item h="1" x="4767"/>
        <item h="1" x="2976"/>
        <item h="1" x="4609"/>
        <item h="1" x="4172"/>
        <item h="1" x="4558"/>
        <item h="1" x="2122"/>
        <item h="1" x="4077"/>
        <item h="1" x="4716"/>
        <item h="1" x="4537"/>
        <item h="1" x="3820"/>
        <item h="1" x="3595"/>
        <item h="1" x="4658"/>
        <item h="1" x="4119"/>
        <item h="1" x="4211"/>
        <item h="1" x="3274"/>
        <item h="1" x="2680"/>
        <item h="1" x="4073"/>
        <item h="1" x="2254"/>
        <item h="1" x="4192"/>
        <item h="1" x="3780"/>
        <item h="1" x="3141"/>
        <item h="1" x="3617"/>
        <item h="1" x="4160"/>
        <item h="1" x="2896"/>
        <item h="1" x="4721"/>
        <item h="1" x="3256"/>
        <item h="1" x="3740"/>
        <item h="1" x="2959"/>
        <item h="1" x="4080"/>
        <item h="1" x="3581"/>
        <item h="1" x="3326"/>
        <item h="1" x="2914"/>
        <item h="1" x="2722"/>
        <item h="1" x="3488"/>
        <item h="1" x="3035"/>
        <item h="1" x="4844"/>
        <item h="1" x="4078"/>
        <item h="1" x="2503"/>
        <item h="1" x="3712"/>
        <item h="1" x="4180"/>
        <item h="1" x="2708"/>
        <item h="1" x="2551"/>
        <item h="1" x="4745"/>
        <item h="1" x="2413"/>
        <item h="1" x="2430"/>
        <item h="1" x="1469"/>
        <item h="1" x="4535"/>
        <item h="1" x="826"/>
        <item h="1" x="4580"/>
        <item h="1" x="4845"/>
        <item h="1" x="2545"/>
        <item h="1" x="3952"/>
        <item h="1" x="3038"/>
        <item h="1" x="3854"/>
        <item h="1" x="4788"/>
        <item h="1" x="3541"/>
        <item h="1" x="2220"/>
        <item h="1" x="4263"/>
        <item h="1" x="4190"/>
        <item h="1" x="2234"/>
        <item h="1" x="2195"/>
        <item h="1" x="3774"/>
        <item h="1" x="3013"/>
        <item h="1" x="1690"/>
        <item h="1" x="4348"/>
        <item h="1" x="928"/>
        <item h="1" x="2105"/>
        <item h="1" x="4132"/>
        <item h="1" x="3016"/>
        <item h="1" x="3564"/>
        <item h="1" x="4120"/>
        <item h="1" x="2288"/>
        <item h="1" x="4398"/>
        <item h="1" x="3694"/>
        <item h="1" x="2512"/>
        <item h="1" x="2825"/>
        <item h="1" x="4254"/>
        <item h="1" x="2204"/>
        <item h="1" x="2033"/>
        <item h="1" x="4437"/>
        <item h="1" x="2441"/>
        <item h="1" x="4365"/>
        <item h="1" x="3596"/>
        <item h="1" x="4562"/>
        <item h="1" x="2402"/>
        <item h="1" x="3456"/>
        <item h="1" x="3715"/>
        <item h="1" x="4048"/>
        <item h="1" x="2154"/>
        <item h="1" x="2892"/>
        <item h="1" x="3941"/>
        <item h="1" x="3554"/>
        <item h="1" x="1494"/>
        <item h="1" x="3565"/>
        <item h="1" x="2640"/>
        <item h="1" x="4019"/>
        <item h="1" x="2779"/>
        <item h="1" x="4589"/>
        <item h="1" x="2865"/>
        <item h="1" x="3928"/>
        <item h="1" x="3870"/>
        <item h="1" x="4809"/>
        <item h="1" x="3680"/>
        <item h="1" x="4656"/>
        <item h="1" x="2963"/>
        <item h="1" x="3816"/>
        <item h="1" x="3818"/>
        <item h="1" x="3302"/>
        <item h="1" x="3739"/>
        <item h="1" x="2612"/>
        <item h="1" x="2365"/>
        <item h="1" x="3102"/>
        <item h="1" x="3388"/>
        <item h="1" x="4486"/>
        <item h="1" x="4399"/>
        <item h="1" x="4328"/>
        <item h="1" x="4058"/>
        <item h="1" x="4447"/>
        <item h="1" x="3834"/>
        <item h="1" x="2465"/>
        <item h="1" x="4538"/>
        <item h="1" x="4810"/>
        <item h="1" x="2878"/>
        <item h="1" x="3622"/>
        <item h="1" x="407"/>
        <item h="1" x="3603"/>
        <item h="1" x="3601"/>
        <item h="1" x="3156"/>
        <item h="1" x="4252"/>
        <item h="1" x="3015"/>
        <item h="1" x="4560"/>
        <item h="1" x="2786"/>
        <item h="1" x="3107"/>
        <item h="1" x="902"/>
        <item h="1" x="2208"/>
        <item h="1" x="2281"/>
        <item h="1" x="3679"/>
        <item h="1" x="630"/>
        <item h="1" x="4109"/>
        <item h="1" x="4996"/>
        <item h="1" x="4130"/>
        <item h="1" x="3466"/>
        <item h="1" x="3155"/>
        <item h="1" x="3005"/>
        <item h="1" x="2817"/>
        <item h="1" x="3721"/>
        <item h="1" x="4667"/>
        <item h="1" x="3020"/>
        <item h="1" x="2447"/>
        <item h="1" x="2428"/>
        <item h="1" x="3537"/>
        <item h="1" x="4409"/>
        <item h="1" x="3966"/>
        <item h="1" x="3366"/>
        <item h="1" x="3518"/>
        <item h="1" x="3901"/>
        <item h="1" x="2622"/>
        <item h="1" x="3257"/>
        <item h="1" x="2931"/>
        <item h="1" x="2590"/>
        <item h="1" x="3833"/>
        <item h="1" x="4059"/>
        <item h="1" x="4484"/>
        <item h="1" x="2408"/>
        <item h="1" x="3397"/>
        <item h="1" x="3778"/>
        <item h="1" x="261"/>
        <item h="1" x="3175"/>
        <item h="1" x="2642"/>
        <item h="1" x="3506"/>
        <item h="1" x="2504"/>
        <item h="1" x="1031"/>
        <item h="1" x="2223"/>
        <item h="1" x="2964"/>
        <item h="1" x="2641"/>
        <item h="1" x="3560"/>
        <item h="1" x="2098"/>
        <item h="1" x="3642"/>
        <item h="1" x="4715"/>
        <item h="1" x="4500"/>
        <item h="1" x="2483"/>
        <item h="1" x="202"/>
        <item h="1" x="4526"/>
        <item h="1" x="4302"/>
        <item h="1" x="1238"/>
        <item h="1" x="2454"/>
        <item h="1" x="4466"/>
        <item h="1" x="3900"/>
        <item h="1" x="213"/>
        <item h="1" x="5005"/>
        <item h="1" x="3934"/>
        <item h="1" x="2780"/>
        <item h="1" x="2303"/>
        <item h="1" x="2907"/>
        <item h="1" x="4196"/>
        <item h="1" x="4749"/>
        <item h="1" x="1059"/>
        <item h="1" x="3367"/>
        <item h="1" x="797"/>
        <item h="1" x="4076"/>
        <item h="1" x="4049"/>
        <item h="1" x="3408"/>
        <item h="1" x="2544"/>
        <item h="1" x="127"/>
        <item h="1" x="4465"/>
        <item h="1" x="2977"/>
        <item h="1" x="1278"/>
        <item h="1" x="4283"/>
        <item h="1" x="3859"/>
        <item h="1" x="4149"/>
        <item h="1" x="2587"/>
        <item h="1" x="3062"/>
        <item h="1" x="2804"/>
        <item h="1" x="3086"/>
        <item h="1" x="2224"/>
        <item h="1" x="3165"/>
        <item h="1" x="2596"/>
        <item h="1" x="4229"/>
        <item h="1" x="2468"/>
        <item h="1" x="2723"/>
        <item h="1" x="4536"/>
        <item h="1" x="2110"/>
        <item h="1" x="3455"/>
        <item h="1" x="4668"/>
        <item h="1" x="4210"/>
        <item h="1" x="3793"/>
        <item h="1" x="4253"/>
        <item h="1" x="1639"/>
        <item h="1" x="4590"/>
        <item h="1" x="2745"/>
        <item h="1" x="3371"/>
        <item h="1" x="4766"/>
        <item h="1" x="2942"/>
        <item h="1" x="2372"/>
        <item h="1" x="2583"/>
        <item h="1" x="4512"/>
        <item h="1" x="4036"/>
        <item h="1" x="2717"/>
        <item h="1" x="4023"/>
        <item h="1" x="3604"/>
        <item h="1" x="195"/>
        <item h="1" x="3014"/>
        <item h="1" x="3520"/>
        <item h="1" x="2787"/>
        <item h="1" x="3868"/>
        <item h="1" x="3064"/>
        <item h="1" x="4485"/>
        <item h="1" x="4264"/>
        <item h="1" x="4257"/>
        <item h="1" x="4035"/>
        <item h="1" x="4347"/>
        <item h="1" x="3954"/>
        <item h="1" x="2880"/>
        <item h="1" x="2843"/>
        <item h="1" x="1282"/>
        <item h="1" x="2785"/>
        <item h="1" x="2695"/>
        <item h="1" x="345"/>
        <item h="1" x="2909"/>
        <item h="1" x="2553"/>
        <item h="1" x="3993"/>
        <item h="1" x="3174"/>
        <item h="1" x="3627"/>
        <item h="1" x="3023"/>
        <item h="1" x="3240"/>
        <item h="1" x="4753"/>
        <item h="1" x="4717"/>
        <item h="1" x="4238"/>
        <item h="1" x="2803"/>
        <item h="1" x="2788"/>
        <item h="1" x="382"/>
        <item h="1" x="3505"/>
        <item h="1" x="3487"/>
        <item h="1" x="3819"/>
        <item h="1" x="4827"/>
        <item h="1" x="4642"/>
        <item h="1" x="2401"/>
        <item h="1" x="2719"/>
        <item h="1" x="4448"/>
        <item h="1" x="3824"/>
        <item h="1" x="3835"/>
        <item h="1" x="3316"/>
        <item h="1" x="3486"/>
        <item h="1" x="3775"/>
        <item h="1" x="3057"/>
        <item h="1" x="1747"/>
        <item h="1" x="3717"/>
        <item h="1" x="2885"/>
        <item h="1" x="4680"/>
        <item h="1" x="897"/>
        <item h="1" x="4112"/>
        <item h="1" x="3056"/>
        <item h="1" x="3422"/>
        <item h="1" x="4303"/>
        <item h="1" x="4487"/>
        <item h="1" x="4488"/>
        <item h="1" x="2769"/>
        <item h="1" x="1821"/>
        <item h="1" x="2511"/>
        <item h="1" x="3075"/>
        <item h="1" x="2169"/>
        <item h="1" x="4331"/>
        <item h="1" x="4381"/>
        <item h="1" x="2683"/>
        <item h="1" x="3116"/>
        <item h="1" x="3299"/>
        <item h="1" x="4467"/>
        <item h="1" x="2740"/>
        <item h="1" x="2339"/>
        <item h="1" x="2893"/>
        <item h="1" x="4044"/>
        <item h="1" x="4055"/>
        <item h="1" x="4694"/>
        <item h="1" x="2325"/>
        <item h="1" x="2879"/>
        <item h="1" x="4351"/>
        <item h="1" x="3754"/>
        <item h="1" x="3024"/>
        <item h="1" x="4718"/>
        <item h="1" x="2552"/>
        <item h="1" x="2477"/>
        <item h="1" x="1943"/>
        <item h="1" x="4422"/>
        <item h="1" x="49"/>
        <item h="1" x="3902"/>
        <item h="1" x="2816"/>
        <item h="1" x="2467"/>
        <item h="1" x="2478"/>
        <item h="1" x="3566"/>
        <item h="1" x="3836"/>
        <item h="1" x="2382"/>
        <item h="1" x="3130"/>
        <item h="1" x="3522"/>
        <item h="1" x="3567"/>
        <item h="1" x="3461"/>
        <item h="1" x="881"/>
        <item h="1" x="3991"/>
        <item h="1" x="4166"/>
        <item h="1" x="3930"/>
        <item h="1" x="109"/>
        <item h="1" x="2670"/>
        <item h="1" x="2559"/>
        <item h="1" x="4020"/>
        <item h="1" x="4333"/>
        <item h="1" x="235"/>
        <item h="1" x="4490"/>
        <item h="1" x="2206"/>
        <item h="1" x="4754"/>
        <item h="1" x="3365"/>
        <item h="1" x="2807"/>
        <item h="1" x="4732"/>
        <item h="1" x="2789"/>
        <item h="1" x="4724"/>
        <item h="1" x="1362"/>
        <item h="1" x="2953"/>
        <item h="1" x="4513"/>
        <item h="1" x="5000"/>
        <item h="1" x="2497"/>
        <item h="1" x="4828"/>
        <item h="1" x="1632"/>
        <item h="1" x="4666"/>
        <item h="1" x="3059"/>
        <item h="1" x="3890"/>
        <item h="1" x="4276"/>
        <item h="1" x="3117"/>
        <item h="1" x="3583"/>
        <item h="1" x="2112"/>
        <item h="1" x="2570"/>
        <item h="1" x="2289"/>
        <item h="1" x="1113"/>
        <item h="1" x="5093"/>
        <item h="1" x="80"/>
        <item h="1" x="3444"/>
        <item h="1" x="3037"/>
        <item h="1" x="1911"/>
        <item h="1" x="2207"/>
        <item h="1" x="2897"/>
        <item h="1" x="2350"/>
        <item h="1" x="3857"/>
        <item h="1" x="3741"/>
        <item h="1" x="3144"/>
        <item h="1" x="4305"/>
        <item h="1" x="2141"/>
        <item h="1" x="4197"/>
        <item h="1" x="4853"/>
        <item h="1" x="4134"/>
        <item h="1" x="3221"/>
        <item h="1" x="4524"/>
        <item h="1" x="4811"/>
        <item h="1" x="239"/>
        <item h="1" x="3968"/>
        <item h="1" x="2827"/>
        <item h="1" x="3792"/>
        <item h="1" x="1611"/>
        <item h="1" x="4037"/>
        <item h="1" x="3719"/>
        <item h="1" x="5087"/>
        <item h="1" x="4561"/>
        <item h="1" x="350"/>
        <item h="1" x="320"/>
        <item h="1" x="3399"/>
        <item h="1" x="4275"/>
        <item h="1" x="4182"/>
        <item h="1" x="2944"/>
        <item h="1" x="2573"/>
        <item h="1" x="201"/>
        <item h="1" x="4646"/>
        <item h="1" x="4540"/>
        <item h="1" x="4564"/>
        <item h="1" x="4193"/>
        <item h="1" x="4529"/>
        <item h="1" x="1160"/>
        <item h="1" x="2253"/>
        <item h="1" x="2086"/>
        <item h="1" x="3442"/>
        <item h="1" x="5009"/>
        <item h="1" x="1326"/>
        <item h="1" x="373"/>
        <item h="1" x="2776"/>
        <item h="1" x="3087"/>
        <item h="1" x="114"/>
        <item h="1" x="194"/>
        <item h="1" x="175"/>
        <item h="1" x="1799"/>
        <item h="1" x="3164"/>
        <item h="1" x="2431"/>
        <item h="1" x="2912"/>
        <item h="1" x="245"/>
        <item h="1" x="3475"/>
        <item h="1" x="4594"/>
        <item h="1" x="3633"/>
        <item h="1" x="3108"/>
        <item h="1" x="2568"/>
        <item h="1" x="2183"/>
        <item h="1" x="2624"/>
        <item h="1" x="3336"/>
        <item h="1" x="4501"/>
        <item h="1" x="2643"/>
        <item h="1" x="2150"/>
        <item h="1" x="3098"/>
        <item h="1" x="1053"/>
        <item h="1" x="3145"/>
        <item h="1" x="3088"/>
        <item h="1" x="786"/>
        <item h="1" x="2569"/>
        <item h="1" x="4541"/>
        <item h="1" x="4770"/>
        <item h="1" x="2958"/>
        <item h="1" x="3450"/>
        <item h="1" x="325"/>
        <item h="1" x="3994"/>
        <item h="1" x="4867"/>
        <item h="1" x="3538"/>
        <item h="1" x="3044"/>
        <item h="1" x="3776"/>
        <item h="1" x="2236"/>
        <item h="1" x="4350"/>
        <item h="1" x="2189"/>
        <item h="1" x="4438"/>
        <item h="1" x="911"/>
        <item h="1" x="4598"/>
        <item h="1" x="4181"/>
        <item h="1" x="4281"/>
        <item h="1" x="3871"/>
        <item h="1" x="4830"/>
        <item h="1" x="4630"/>
        <item h="1" x="2554"/>
        <item h="1" x="2828"/>
        <item h="1" x="4124"/>
        <item h="1" x="4750"/>
        <item h="1" x="1121"/>
        <item h="1" x="2709"/>
        <item h="1" x="3157"/>
        <item h="1" x="3814"/>
        <item h="1" x="4005"/>
        <item h="1" x="3476"/>
        <item h="1" x="3585"/>
        <item h="1" x="4831"/>
        <item h="1" x="3222"/>
        <item h="1" x="2735"/>
        <item h="1" x="2089"/>
        <item h="1" x="4829"/>
        <item h="1" x="4402"/>
        <item h="1" x="2271"/>
        <item h="1" x="3539"/>
        <item h="1" x="2121"/>
        <item h="1" x="4100"/>
        <item h="1" x="3462"/>
        <item h="1" x="4563"/>
        <item h="1" x="1556"/>
        <item h="1" x="3753"/>
        <item h="1" x="878"/>
        <item h="1" x="3398"/>
        <item h="1" x="2978"/>
        <item h="1" x="3858"/>
        <item h="1" x="4798"/>
        <item h="1" x="2822"/>
        <item h="1" x="2381"/>
        <item h="1" x="5"/>
        <item h="1" x="4174"/>
        <item h="1" x="3291"/>
        <item h="1" x="2383"/>
        <item h="1" x="2292"/>
        <item h="1" x="4502"/>
        <item h="1" x="3936"/>
        <item h="1" x="3856"/>
        <item h="1" x="3598"/>
        <item h="1" x="4368"/>
        <item h="1" x="4184"/>
        <item h="1" x="3204"/>
        <item h="1" x="178"/>
        <item h="1" x="2655"/>
        <item h="1" x="3724"/>
        <item h="1" x="4539"/>
        <item h="1" x="2574"/>
        <item h="1" x="4659"/>
        <item h="1" x="3443"/>
        <item h="1" x="3650"/>
        <item h="1" x="3279"/>
        <item h="1" x="4685"/>
        <item h="1" x="3292"/>
        <item h="1" x="2155"/>
        <item h="1" x="1007"/>
        <item h="1" x="1819"/>
        <item h="1" x="3757"/>
        <item h="1" x="3903"/>
        <item h="1" x="3605"/>
        <item h="1" x="2214"/>
        <item h="1" x="4227"/>
        <item h="1" x="2404"/>
        <item h="1" x="668"/>
        <item h="1" x="295"/>
        <item h="1" x="105"/>
        <item h="1" x="3263"/>
        <item h="1" x="2444"/>
        <item h="1" x="3744"/>
        <item h="1" x="3391"/>
        <item h="1" x="3423"/>
        <item h="1" x="4786"/>
        <item h="1" x="2143"/>
        <item h="1" x="2527"/>
        <item h="1" x="3491"/>
        <item h="1" x="2443"/>
        <item h="1" x="1453"/>
        <item h="1" x="2484"/>
        <item h="1" x="2741"/>
        <item h="1" x="4641"/>
        <item h="1" x="3725"/>
        <item h="1" x="4332"/>
        <item h="1" x="4101"/>
        <item h="1" x="2080"/>
        <item h="1" x="4582"/>
        <item h="1" x="3620"/>
        <item h="1" x="4542"/>
        <item h="1" x="166"/>
        <item h="1" x="3929"/>
        <item h="1" x="2886"/>
        <item h="1" x="821"/>
        <item h="1" x="3777"/>
        <item h="1" x="2744"/>
        <item h="1" x="4909"/>
        <item h="1" x="1897"/>
        <item h="1" x="4228"/>
        <item h="1" x="3813"/>
        <item h="1" x="4525"/>
        <item h="1" x="1606"/>
        <item h="1" x="2823"/>
        <item h="1" x="2915"/>
        <item h="1" x="3241"/>
        <item h="1" x="1849"/>
        <item h="1" x="3304"/>
        <item h="1" x="3209"/>
        <item h="1" x="3937"/>
        <item h="1" x="4304"/>
        <item h="1" x="571"/>
        <item h="1" x="755"/>
        <item h="1" x="2846"/>
        <item h="1" x="1"/>
        <item h="1" x="3433"/>
        <item h="1" x="4593"/>
        <item h="1" x="596"/>
        <item h="1" x="3349"/>
        <item h="1" x="2736"/>
        <item h="1" x="2933"/>
        <item h="1" x="4310"/>
        <item h="1" x="3058"/>
        <item h="1" x="961"/>
        <item h="1" x="3795"/>
        <item h="1" x="2753"/>
        <item h="1" x="4695"/>
        <item h="1" x="221"/>
        <item h="1" x="4410"/>
        <item h="1" x="1476"/>
        <item h="1" x="4769"/>
        <item h="1" x="685"/>
        <item h="1" x="4530"/>
        <item h="1" x="4352"/>
        <item h="1" x="985"/>
        <item h="1" x="513"/>
        <item h="1" x="4039"/>
        <item h="1" x="4369"/>
        <item h="1" x="3908"/>
        <item h="1" x="4282"/>
        <item h="1" x="3651"/>
        <item h="1" x="4311"/>
        <item h="1" x="3132"/>
        <item h="1" x="2710"/>
        <item h="1" x="4787"/>
        <item h="1" x="1640"/>
        <item h="1" x="4040"/>
        <item h="1" x="4503"/>
        <item h="1" x="3681"/>
        <item h="1" x="4660"/>
        <item h="1" x="3146"/>
        <item h="1" x="3185"/>
        <item h="1" x="3593"/>
        <item h="1" x="677"/>
        <item h="1" x="2894"/>
        <item h="1" x="2932"/>
        <item h="1" x="700"/>
        <item h="1" x="1018"/>
        <item h="1" x="1584"/>
        <item h="1" x="3628"/>
        <item h="1" x="4265"/>
        <item h="1" x="3817"/>
        <item h="1" x="3401"/>
        <item h="1" x="5090"/>
        <item h="1" x="2997"/>
        <item h="1" x="6"/>
        <item h="1" x="4133"/>
        <item h="1" x="38"/>
        <item h="1" x="4011"/>
        <item h="1" x="2571"/>
        <item h="1" x="4736"/>
        <item h="1" x="4722"/>
        <item h="1" x="4514"/>
        <item h="1" x="1830"/>
        <item h="1" x="640"/>
        <item h="1" x="4099"/>
        <item h="1" x="3434"/>
        <item h="1" x="1886"/>
        <item h="1" x="3781"/>
        <item h="1" x="4277"/>
        <item h="1" x="2005"/>
        <item h="1" x="2128"/>
        <item h="1" x="4531"/>
        <item h="1" x="626"/>
        <item h="1" x="5091"/>
        <item h="1" x="1361"/>
        <item h="1" x="4122"/>
        <item h="1" x="2164"/>
        <item h="1" x="4370"/>
        <item h="1" x="2354"/>
        <item h="1" x="452"/>
        <item h="1" x="2142"/>
        <item h="1" x="557"/>
        <item h="1" x="933"/>
        <item h="1" x="2697"/>
        <item h="1" x="636"/>
        <item h="1" x="3234"/>
        <item h="1" x="2073"/>
        <item h="1" x="791"/>
        <item h="1" x="4012"/>
        <item h="1" x="2293"/>
        <item h="1" x="112"/>
        <item h="1" x="2433"/>
        <item h="1" x="3891"/>
        <item h="1" x="3586"/>
        <item h="1" x="2113"/>
        <item h="1" x="4504"/>
        <item h="1" x="4469"/>
        <item h="1" x="3242"/>
        <item h="1" x="488"/>
        <item h="1" x="3138"/>
        <item h="1" x="4038"/>
        <item h="1" x="3970"/>
        <item h="1" x="2556"/>
        <item h="1" x="2129"/>
        <item h="1" x="4198"/>
        <item h="1" x="5088"/>
        <item h="1" x="2830"/>
        <item h="1" x="2808"/>
        <item h="1" x="401"/>
        <item h="1" x="1910"/>
        <item h="1" x="278"/>
        <item h="1" x="3280"/>
        <item h="1" x="4212"/>
        <item h="1" x="2414"/>
        <item h="1" x="3467"/>
        <item h="1" x="3177"/>
        <item h="1" x="4832"/>
        <item h="1" x="1922"/>
        <item h="1" x="4812"/>
        <item h="1" x="675"/>
        <item h="1" x="12"/>
        <item h="1" x="3995"/>
        <item h="1" x="609"/>
        <item h="1" x="3392"/>
        <item h="1" x="1140"/>
        <item h="1" x="838"/>
        <item h="1" x="1467"/>
        <item h="1" x="1506"/>
        <item h="1" x="1211"/>
        <item h="1" x="3007"/>
        <item h="1" x="3726"/>
        <item h="1" x="1590"/>
        <item h="1" x="4353"/>
        <item h="1" x="2777"/>
        <item h="1" x="3683"/>
        <item h="1" x="1885"/>
        <item h="1" x="2130"/>
        <item h="1" x="391"/>
        <item h="1" x="4287"/>
        <item h="1" x="2004"/>
        <item h="1" x="3118"/>
        <item h="1" x="3357"/>
        <item h="1" x="1411"/>
        <item h="1" x="1196"/>
        <item h="1" x="4613"/>
        <item h="1" x="1753"/>
        <item h="1" x="848"/>
        <item h="1" x="4230"/>
        <item h="1" x="3079"/>
        <item h="1" x="500"/>
        <item h="1" x="2684"/>
        <item h="1" x="3477"/>
        <item h="1" x="2173"/>
        <item h="1" x="2387"/>
        <item h="1" x="3133"/>
        <item h="1" x="262"/>
        <item h="1" x="1016"/>
        <item h="1" x="4168"/>
        <item h="1" x="3796"/>
        <item h="1" x="2041"/>
        <item h="1" x="2304"/>
        <item h="1" x="2434"/>
        <item h="1" x="5078"/>
        <item h="1" x="4354"/>
        <item h="1" x="1178"/>
        <item h="1" x="4090"/>
        <item h="1" x="2460"/>
        <item h="1" x="4725"/>
        <item h="1" x="4312"/>
        <item h="1" x="3147"/>
        <item h="1" x="216"/>
        <item h="1" x="274"/>
        <item h="1" x="524"/>
        <item h="1" x="4470"/>
        <item h="1" x="1536"/>
        <item h="1" x="3463"/>
        <item h="1" x="4515"/>
        <item h="1" x="4113"/>
        <item h="1" x="3327"/>
        <item h="1" x="4813"/>
        <item h="1" x="831"/>
        <item h="1" x="3281"/>
        <item h="1" x="1379"/>
        <item h="1" x="4414"/>
        <item h="1" x="3305"/>
        <item h="1" x="3589"/>
        <item h="1" x="4726"/>
        <item h="1" x="240"/>
        <item h="1" x="3446"/>
        <item h="1" x="3099"/>
        <item h="1" x="422"/>
        <item h="1" x="3957"/>
        <item h="1" x="1680"/>
        <item h="1" x="4060"/>
        <item h="1" x="4686"/>
        <item h="1" x="1826"/>
        <item h="1" x="428"/>
        <item h="1" x="2294"/>
        <item h="1" x="1877"/>
        <item h="1" x="2513"/>
        <item h="1" x="2916"/>
        <item h="1" x="4041"/>
        <item h="1" x="214"/>
        <item h="1" x="4661"/>
        <item h="1" x="1234"/>
        <item h="1" x="4371"/>
        <item h="1" x="4595"/>
        <item h="1" x="1789"/>
        <item h="1" x="3237"/>
        <item h="1" x="2174"/>
        <item h="1" x="1615"/>
        <item h="1" x="3178"/>
        <item h="1" x="726"/>
        <item h="1" x="758"/>
        <item h="1" x="3837"/>
        <item h="1" x="1033"/>
        <item h="1" x="4755"/>
        <item h="1" x="4372"/>
        <item h="1" x="3797"/>
        <item h="1" x="1957"/>
        <item h="1" x="1588"/>
        <item h="1" x="4491"/>
        <item h="1" x="1100"/>
        <item h="1" x="2649"/>
        <item h="1" x="623"/>
        <item h="1" x="2415"/>
        <item h="1" x="2614"/>
        <item h="1" x="4439"/>
        <item h="1" x="526"/>
        <item h="1" x="2672"/>
        <item h="1" x="4355"/>
        <item h="1" x="1884"/>
        <item h="1" x="2059"/>
        <item h="1" x="4995"/>
        <item h="1" x="5104"/>
        <item h="1" x="3758"/>
        <item h="1" x="4771"/>
        <item h="1" x="495"/>
        <item h="1" x="3350"/>
        <item h="1" x="2343"/>
        <item h="1" x="2770"/>
        <item h="1" x="858"/>
        <item h="1" x="1161"/>
        <item h="1" x="4772"/>
        <item h="1" x="3452"/>
        <item h="1" x="4425"/>
        <item h="1" x="4799"/>
        <item h="1" x="4789"/>
        <item h="1" x="3224"/>
        <item h="1" x="3909"/>
        <item h="1" x="1686"/>
        <item h="1" x="1572"/>
        <item h="1" x="2131"/>
        <item h="1" x="3798"/>
        <item h="1" x="2831"/>
        <item h="1" x="3489"/>
        <item h="1" x="3358"/>
        <item h="1" x="2857"/>
        <item h="1" x="766"/>
        <item h="1" x="2981"/>
        <item h="1" x="2948"/>
        <item h="1" x="4833"/>
        <item h="1" x="3542"/>
        <item h="1" x="2954"/>
        <item h="1" x="4334"/>
        <item h="1" x="3996"/>
        <item h="1" x="2255"/>
        <item h="1" x="4082"/>
        <item h="1" x="3293"/>
        <item h="1" x="2998"/>
        <item h="1" x="4599"/>
        <item h="1" x="1653"/>
        <item h="1" x="4471"/>
        <item h="1" x="3497"/>
        <item h="1" x="1909"/>
        <item h="1" x="601"/>
        <item h="1" x="3025"/>
        <item h="1" x="4790"/>
        <item h="1" x="2514"/>
        <item h="1" x="4791"/>
        <item h="1" x="672"/>
        <item h="1" x="2225"/>
        <item h="1" x="4516"/>
        <item h="1" x="3745"/>
        <item h="1" x="1265"/>
        <item h="1" x="3412"/>
        <item h="1" x="502"/>
        <item h="1" x="3498"/>
        <item h="1" x="1049"/>
        <item h="1" x="2657"/>
        <item h="1" x="2498"/>
        <item h="1" x="2635"/>
        <item h="1" x="729"/>
        <item h="1" x="4568"/>
        <item h="1" x="2268"/>
        <item h="1" x="2534"/>
        <item h="1" x="2032"/>
        <item h="1" x="3372"/>
        <item h="1" x="3838"/>
        <item h="1" x="3634"/>
        <item h="1" x="139"/>
        <item h="1" x="2355"/>
        <item h="1" x="4814"/>
        <item h="1" x="3205"/>
        <item h="1" x="2416"/>
        <item h="1" x="3958"/>
        <item h="1" x="4700"/>
        <item h="1" x="4415"/>
        <item h="1" x="899"/>
        <item h="1" x="420"/>
        <item h="1" x="2328"/>
        <item h="1" x="4239"/>
        <item h="1" x="822"/>
        <item h="1" x="2809"/>
        <item h="1" x="2"/>
        <item h="1" x="1305"/>
        <item h="1" x="4647"/>
        <item h="1" x="4834"/>
        <item h="1" x="3359"/>
        <item h="1" x="2417"/>
        <item h="1" x="1491"/>
        <item h="1" x="4288"/>
        <item h="1" x="3599"/>
        <item h="1" x="2535"/>
        <item h="1" x="3282"/>
        <item h="1" x="2836"/>
        <item h="1" x="4545"/>
        <item h="1" x="2515"/>
        <item h="1" x="2575"/>
        <item h="1" x="2505"/>
        <item h="1" x="2391"/>
        <item h="1" x="1516"/>
        <item h="1" x="4114"/>
        <item h="1" x="2605"/>
        <item h="1" x="2506"/>
        <item h="1" x="3695"/>
        <item h="1" x="2663"/>
        <item h="1" x="3243"/>
        <item h="1" x="4091"/>
        <item h="1" x="1391"/>
        <item h="1" x="3499"/>
        <item h="1" x="3652"/>
        <item h="1" x="2895"/>
        <item h="1" x="3568"/>
        <item h="1" x="3561"/>
        <item h="1" x="3920"/>
        <item h="1" x="2192"/>
        <item h="1" x="4701"/>
        <item h="1" x="1614"/>
        <item h="1" x="4267"/>
        <item h="1" x="3959"/>
        <item h="1" x="2469"/>
        <item h="1" x="1436"/>
        <item h="1" x="1193"/>
        <item h="1" x="4910"/>
        <item h="1" x="764"/>
        <item h="1" x="4308"/>
        <item h="1" x="4151"/>
        <item h="1" x="722"/>
        <item h="1" x="1535"/>
        <item h="1" x="104"/>
        <item h="1" x="1320"/>
        <item h="1" x="2832"/>
        <item h="1" x="2627"/>
        <item h="1" x="3119"/>
        <item h="1" x="2165"/>
        <item h="1" x="260"/>
        <item h="1" x="3839"/>
        <item h="1" x="808"/>
        <item h="1" x="121"/>
        <item h="1" x="968"/>
        <item h="1" x="1120"/>
        <item h="1" x="1036"/>
        <item h="1" x="4898"/>
        <item h="1" x="3120"/>
        <item h="1" x="1522"/>
        <item h="1" x="1838"/>
        <item h="1" x="2561"/>
        <item h="1" x="3606"/>
        <item h="1" x="2239"/>
        <item h="1" x="577"/>
        <item h="1" x="144"/>
        <item h="1" x="4497"/>
        <item h="1" x="1956"/>
        <item h="1" x="3973"/>
        <item h="1" x="972"/>
        <item h="1" x="229"/>
        <item h="1" x="4569"/>
        <item h="1" x="1108"/>
        <item h="1" x="1751"/>
        <item h="1" x="5076"/>
        <item h="1" x="3653"/>
        <item h="1" x="1663"/>
        <item h="1" x="4734"/>
        <item h="1" x="2329"/>
        <item h="1" x="935"/>
        <item h="1" x="3974"/>
        <item h="1" x="505"/>
        <item h="1" x="2598"/>
        <item h="1" x="1044"/>
        <item h="1" x="4092"/>
        <item h="1" x="3654"/>
        <item h="1" x="1908"/>
        <item h="1" x="1848"/>
        <item h="1" x="2965"/>
        <item h="1" x="4546"/>
        <item h="1" x="4135"/>
        <item h="1" x="4614"/>
        <item h="1" x="1907"/>
        <item h="1" x="2333"/>
        <item h="1" x="1097"/>
        <item h="1" x="3109"/>
        <item h="1" x="458"/>
        <item h="1" x="4240"/>
        <item h="1" x="1568"/>
        <item h="1" x="2479"/>
        <item h="1" x="4882"/>
        <item h="1" x="4061"/>
        <item h="1" x="2123"/>
        <item h="1" x="3942"/>
        <item h="1" x="862"/>
        <item h="1" x="2374"/>
        <item h="1" x="965"/>
        <item h="1" x="4472"/>
        <item h="1" x="2240"/>
        <item h="1" x="4373"/>
        <item h="1" x="5095"/>
        <item h="1" x="4452"/>
        <item h="1" x="2003"/>
        <item h="1" x="2051"/>
        <item h="1" x="811"/>
        <item h="1" x="2591"/>
        <item h="1" x="4013"/>
        <item h="1" x="4773"/>
        <item h="1" x="37"/>
        <item h="1" x="1716"/>
        <item h="1" x="2040"/>
        <item h="1" x="967"/>
        <item h="1" x="2599"/>
        <item h="1" x="1737"/>
        <item h="1" x="3373"/>
        <item h="1" x="2259"/>
        <item h="1" x="2754"/>
        <item h="1" x="2260"/>
        <item h="1" x="3478"/>
        <item h="1" x="418"/>
        <item h="1" x="4426"/>
        <item h="1" x="2241"/>
        <item h="1" x="600"/>
        <item h="1" x="3587"/>
        <item h="1" x="465"/>
        <item h="1" x="2124"/>
        <item h="1" x="3562"/>
        <item h="1" x="1043"/>
        <item h="1" x="343"/>
        <item h="1" x="2790"/>
        <item h="1" x="3892"/>
        <item h="1" x="3655"/>
        <item h="1" x="3569"/>
        <item h="1" x="3607"/>
        <item h="1" x="3080"/>
        <item h="1" x="1243"/>
        <item h="1" x="1630"/>
        <item h="1" x="2312"/>
        <item h="1" x="3268"/>
        <item h="1" x="639"/>
        <item h="1" x="326"/>
        <item h="1" x="4993"/>
        <item h="1" x="1626"/>
        <item h="1" x="3525"/>
        <item h="1" x="3825"/>
        <item h="1" x="132"/>
        <item h="1" x="5038"/>
        <item h="1" x="2366"/>
        <item h="1" x="915"/>
        <item h="1" x="2673"/>
        <item h="1" x="4473"/>
        <item h="1" x="959"/>
        <item h="1" x="3656"/>
        <item h="1" x="4615"/>
        <item h="1" x="2887"/>
        <item h="1" x="4964"/>
        <item h="1" x="767"/>
        <item h="1" x="2847"/>
        <item h="1" x="2615"/>
        <item h="1" x="4453"/>
        <item h="1" x="2175"/>
        <item h="1" x="4963"/>
        <item h="1" x="1876"/>
        <item h="1" x="3943"/>
        <item h="1" x="2742"/>
        <item h="1" x="3479"/>
        <item h="1" x="4050"/>
        <item h="1" x="2050"/>
        <item h="1" x="2982"/>
        <item h="1" x="5068"/>
        <item h="1" x="2367"/>
        <item h="1" x="4883"/>
        <item h="1" x="4138"/>
        <item h="1" x="3374"/>
        <item h="1" x="4879"/>
        <item h="1" x="1906"/>
        <item h="1" x="3158"/>
        <item h="1" x="1333"/>
        <item h="1" x="1818"/>
        <item h="1" x="4125"/>
        <item h="1" x="3375"/>
        <item h="1" x="5058"/>
        <item h="1" x="999"/>
        <item h="1" x="4427"/>
        <item h="1" x="3317"/>
        <item h="1" x="1296"/>
        <item h="1" x="3874"/>
        <item h="1" x="1926"/>
        <item h="1" x="2410"/>
        <item h="1" x="1612"/>
        <item h="1" x="5003"/>
        <item h="1" x="4913"/>
        <item h="1" x="3684"/>
        <item h="1" x="3468"/>
        <item h="1" x="3413"/>
        <item h="1" x="4547"/>
        <item h="1" x="2600"/>
        <item h="1" x="837"/>
        <item h="1" x="4662"/>
        <item h="1" x="3026"/>
        <item h="1" x="1060"/>
        <item h="1" x="2999"/>
        <item h="1" x="4931"/>
        <item h="1" x="3635"/>
        <item h="1" x="3960"/>
        <item h="1" x="1199"/>
        <item h="1" x="3294"/>
        <item h="1" x="4024"/>
        <item h="1" x="3338"/>
        <item h="1" x="1642"/>
        <item h="1" x="1192"/>
        <item h="1" x="1045"/>
        <item h="1" x="4774"/>
        <item h="1" x="2650"/>
        <item h="1" x="4975"/>
        <item h="1" x="2528"/>
        <item h="1" x="322"/>
        <item h="1" x="4792"/>
        <item h="1" x="4648"/>
        <item h="1" x="3192"/>
        <item h="1" x="4727"/>
        <item h="1" x="3225"/>
        <item h="1" x="4258"/>
        <item h="1" x="5098"/>
        <item h="1" x="3500"/>
        <item h="1" x="565"/>
        <item h="1" x="3782"/>
        <item h="1" x="4815"/>
        <item h="1" x="996"/>
        <item h="1" x="4935"/>
        <item h="1" x="3657"/>
        <item h="1" x="2480"/>
        <item h="1" x="932"/>
        <item h="1" x="4958"/>
        <item h="1" x="4517"/>
        <item h="1" x="2606"/>
        <item h="1" x="2209"/>
        <item h="1" x="3193"/>
        <item h="1" x="3997"/>
        <item h="1" x="2256"/>
        <item h="1" x="1381"/>
        <item h="1" x="2031"/>
        <item h="1" x="643"/>
        <item h="1" x="3759"/>
        <item h="1" x="4929"/>
        <item h="1" x="1672"/>
        <item h="1" x="2030"/>
        <item h="1" x="183"/>
        <item h="1" x="863"/>
        <item h="1" x="3295"/>
        <item h="1" x="4911"/>
        <item h="1" x="3264"/>
        <item h="1" x="3194"/>
        <item h="1" x="1749"/>
        <item h="1" x="4902"/>
        <item h="1" x="4735"/>
        <item h="1" x="2262"/>
        <item h="1" x="2674"/>
        <item h="1" x="1124"/>
        <item h="1" x="1542"/>
        <item h="1" x="4241"/>
        <item h="1" x="4411"/>
        <item h="1" x="2368"/>
        <item h="1" x="3840"/>
        <item h="1" x="4687"/>
        <item h="1" x="4887"/>
        <item h="1" x="2242"/>
        <item h="1" x="403"/>
        <item h="1" x="2983"/>
        <item h="1" x="5071"/>
        <item h="1" x="3760"/>
        <item h="1" x="3761"/>
        <item h="1" x="2210"/>
        <item h="1" x="4976"/>
        <item h="1" x="4957"/>
        <item h="1" x="4025"/>
        <item h="1" x="4231"/>
        <item h="1" x="5026"/>
        <item h="1" x="1308"/>
        <item h="1" x="5105"/>
        <item h="1" x="4289"/>
        <item h="1" x="154"/>
        <item h="1" x="5082"/>
        <item h="1" x="3342"/>
        <item h="1" x="981"/>
        <item h="1" x="1778"/>
        <item h="1" x="3244"/>
        <item h="1" x="4600"/>
        <item h="1" x="507"/>
        <item h="1" x="2917"/>
        <item h="1" x="2868"/>
        <item h="1" x="5011"/>
        <item h="1" x="3746"/>
        <item h="1" x="2176"/>
        <item h="1" x="3402"/>
        <item h="1" x="319"/>
        <item h="1" x="3783"/>
        <item h="1" x="4102"/>
        <item h="1" x="2486"/>
        <item h="1" x="1955"/>
        <item h="1" x="2833"/>
        <item h="1" x="1250"/>
        <item h="1" x="298"/>
        <item h="1" x="4870"/>
        <item h="1" x="2334"/>
        <item h="1" x="1720"/>
        <item h="1" x="4868"/>
        <item h="1" x="4928"/>
        <item h="1" x="1548"/>
        <item h="1" x="1013"/>
        <item h="1" x="988"/>
        <item h="1" x="5059"/>
        <item h="1" x="4986"/>
        <item h="1" x="2481"/>
        <item h="1" x="2418"/>
        <item h="1" x="3658"/>
        <item h="1" x="4885"/>
        <item h="1" x="2013"/>
        <item h="1" x="4382"/>
        <item h="1" x="5080"/>
        <item h="1" x="1371"/>
        <item h="1" x="75"/>
        <item h="1" x="2507"/>
        <item h="1" x="2848"/>
        <item h="1" x="4213"/>
        <item h="1" x="3318"/>
        <item h="1" x="1501"/>
        <item h="1" x="5066"/>
        <item h="1" x="3081"/>
        <item h="1" x="3245"/>
        <item h="1" x="2607"/>
        <item h="1" x="1153"/>
        <item h="1" x="3570"/>
        <item h="1" x="2118"/>
        <item h="1" x="2196"/>
        <item h="1" x="3727"/>
        <item h="1" x="2918"/>
        <item h="1" x="1050"/>
        <item h="1" x="1810"/>
        <item h="1" x="733"/>
        <item h="1" x="70"/>
        <item h="1" x="3296"/>
        <item h="1" x="3685"/>
        <item h="1" x="3508"/>
        <item h="1" x="1629"/>
        <item h="1" x="631"/>
        <item h="1" x="4775"/>
        <item h="1" x="4988"/>
        <item h="1" x="4548"/>
        <item h="1" x="34"/>
        <item h="1" x="1500"/>
        <item h="1" x="48"/>
        <item h="1" x="5022"/>
        <item h="1" x="3961"/>
        <item h="1" x="3841"/>
        <item h="1" x="4199"/>
        <item h="1" x="4933"/>
        <item h="1" x="3447"/>
        <item h="1" x="140"/>
        <item h="1" x="4930"/>
        <item h="1" x="1742"/>
        <item h="1" x="3921"/>
        <item h="1" x="3179"/>
        <item h="1" x="3065"/>
        <item h="1" x="4932"/>
        <item h="1" x="759"/>
        <item h="1" x="3435"/>
        <item h="1" x="3424"/>
        <item h="1" x="268"/>
        <item h="1" x="1795"/>
        <item h="1" x="3643"/>
        <item h="1" x="1942"/>
        <item h="1" x="45"/>
        <item h="1" x="2090"/>
        <item h="1" x="5040"/>
        <item h="1" x="3100"/>
        <item h="1" x="4893"/>
        <item h="1" x="2919"/>
        <item h="1" x="701"/>
        <item h="1" x="2858"/>
        <item h="1" x="2984"/>
        <item h="1" x="3246"/>
        <item h="1" x="5067"/>
        <item h="1" x="3784"/>
        <item h="1" x="796"/>
        <item h="1" x="4335"/>
        <item h="1" x="2920"/>
        <item h="1" x="3300"/>
        <item h="1" x="4728"/>
        <item h="1" x="3376"/>
        <item h="1" x="142"/>
        <item h="1" x="4570"/>
        <item h="1" x="2921"/>
        <item h="1" x="2375"/>
        <item h="1" x="324"/>
        <item h="1" x="697"/>
        <item h="1" x="1954"/>
        <item h="1" x="4990"/>
        <item h="1" x="3210"/>
        <item h="1" x="4921"/>
        <item h="1" x="1225"/>
        <item h="1" x="2791"/>
        <item h="1" x="5064"/>
        <item h="1" x="5062"/>
        <item h="1" x="1414"/>
        <item h="1" x="1823"/>
        <item h="1" x="1383"/>
        <item h="1" x="5075"/>
        <item h="1" x="4175"/>
        <item h="1" x="4103"/>
        <item h="1" x="3747"/>
        <item h="1" x="4549"/>
        <item h="1" x="2536"/>
        <item h="1" x="4881"/>
        <item h="1" x="4905"/>
        <item h="1" x="1451"/>
        <item h="1" x="1263"/>
        <item h="1" x="4965"/>
        <item h="1" x="1005"/>
        <item h="1" x="4876"/>
        <item h="1" x="4979"/>
        <item h="1" x="5042"/>
        <item h="1" x="4492"/>
        <item h="1" x="4729"/>
        <item h="1" x="1638"/>
        <item h="1" x="2628"/>
        <item h="1" x="4944"/>
        <item h="1" x="2771"/>
        <item h="1" x="3842"/>
        <item h="1" x="3403"/>
        <item h="1" x="751"/>
        <item h="1" x="4980"/>
        <item h="1" x="4616"/>
        <item h="1" x="3608"/>
        <item h="1" x="3501"/>
        <item h="1" x="880"/>
        <item h="1" x="5010"/>
        <item h="1" x="5021"/>
        <item h="1" x="5056"/>
        <item h="1" x="3211"/>
        <item h="1" x="4895"/>
        <item h="1" x="2419"/>
        <item h="1" x="1791"/>
        <item h="1" x="1129"/>
        <item h="1" x="2369"/>
        <item h="1" x="2435"/>
        <item h="1" x="1834"/>
        <item h="1" x="2151"/>
        <item h="1" x="1525"/>
        <item h="1" x="3328"/>
        <item h="1" x="3644"/>
        <item h="1" x="1654"/>
        <item h="1" x="883"/>
        <item h="1" x="110"/>
        <item h="1" x="2969"/>
        <item h="1" x="4960"/>
        <item h="1" x="4518"/>
        <item h="1" x="4632"/>
        <item h="1" x="4232"/>
        <item h="1" x="3543"/>
        <item h="1" x="2049"/>
        <item h="1" x="2608"/>
        <item h="1" x="385"/>
        <item h="1" x="2685"/>
        <item h="1" x="4948"/>
        <item h="1" x="424"/>
        <item h="1" x="4874"/>
        <item h="1" x="1174"/>
        <item h="1" x="3121"/>
        <item h="1" x="4214"/>
        <item h="1" x="595"/>
        <item h="1" x="1201"/>
        <item h="1" x="3875"/>
        <item h="1" x="4934"/>
        <item h="1" x="2686"/>
        <item h="1" x="101"/>
        <item h="1" x="4987"/>
        <item h="1" x="5048"/>
        <item h="1" x="23"/>
        <item h="1" x="4185"/>
        <item h="1" x="4115"/>
        <item h="1" x="2898"/>
        <item h="1" x="3351"/>
        <item h="1" x="1312"/>
        <item h="1" x="4126"/>
        <item h="1" x="5092"/>
        <item h="1" x="1921"/>
        <item h="1" x="5045"/>
        <item h="1" x="3258"/>
        <item h="1" x="792"/>
        <item h="1" x="3008"/>
        <item h="1" x="4428"/>
        <item h="1" x="4702"/>
        <item h="1" x="4801"/>
        <item h="1" x="4959"/>
        <item h="1" x="4873"/>
        <item h="1" x="218"/>
        <item h="1" x="5025"/>
        <item h="1" x="1054"/>
        <item h="1" x="2313"/>
        <item h="1" x="4821"/>
        <item h="1" x="1627"/>
        <item h="1" x="832"/>
        <item h="1" x="1534"/>
        <item h="1" x="693"/>
        <item h="1" x="4886"/>
        <item h="1" x="4474"/>
        <item h="1" x="1707"/>
        <item h="1" x="3431"/>
        <item h="1" x="1941"/>
        <item h="1" x="2177"/>
        <item h="1" x="5085"/>
        <item h="1" x="3588"/>
        <item h="1" x="5033"/>
        <item h="1" x="173"/>
        <item h="1" x="2537"/>
        <item h="1" x="4968"/>
        <item h="1" x="4951"/>
        <item h="1" x="4104"/>
        <item h="1" x="945"/>
        <item h="1" x="4186"/>
        <item h="1" x="2420"/>
        <item h="1" x="2899"/>
        <item h="1" x="661"/>
        <item h="1" x="1847"/>
        <item h="1" x="2499"/>
        <item h="1" x="492"/>
        <item h="1" x="4916"/>
        <item h="1" x="3609"/>
        <item h="1" x="2730"/>
        <item h="1" x="3195"/>
        <item h="1" x="819"/>
        <item h="1" x="1354"/>
        <item h="1" x="3843"/>
        <item h="1" x="473"/>
        <item h="1" x="4026"/>
        <item h="1" x="481"/>
        <item h="1" x="2557"/>
        <item h="1" x="4617"/>
        <item h="1" x="47"/>
        <item h="1" x="625"/>
        <item h="1" x="4027"/>
        <item h="1" x="4861"/>
        <item h="1" x="1286"/>
        <item h="1" x="4900"/>
        <item h="1" x="5079"/>
        <item h="1" x="5027"/>
        <item h="1" x="3311"/>
        <item h="1" x="4914"/>
        <item h="1" x="4991"/>
        <item h="1" x="3659"/>
        <item h="1" x="1142"/>
        <item h="1" x="771"/>
        <item h="1" x="4404"/>
        <item h="1" x="4336"/>
        <item h="1" x="2002"/>
        <item h="1" x="24"/>
        <item h="1" x="743"/>
        <item h="1" x="1285"/>
        <item h="1" x="4498"/>
        <item h="1" x="3610"/>
        <item h="1" x="4923"/>
        <item h="1" x="4896"/>
        <item h="1" x="5041"/>
        <item h="1" x="740"/>
        <item h="1" x="1530"/>
        <item h="1" x="5057"/>
        <item h="1" x="4961"/>
        <item h="1" x="250"/>
        <item h="1" x="1698"/>
        <item h="1" x="4062"/>
        <item h="1" x="2335"/>
        <item h="1" x="885"/>
        <item h="1" x="5086"/>
        <item h="1" x="3785"/>
        <item h="1" x="4259"/>
        <item h="1" x="2934"/>
        <item h="1" x="1311"/>
        <item h="1" x="4978"/>
        <item h="1" x="1974"/>
        <item h="1" x="396"/>
        <item h="1" x="1973"/>
        <item h="1" x="1896"/>
        <item h="1" x="4854"/>
        <item h="1" x="4962"/>
        <item h="1" x="4869"/>
        <item h="1" x="4922"/>
        <item h="1" x="5051"/>
        <item h="1" x="249"/>
        <item h="1" x="1509"/>
        <item h="1" x="4633"/>
        <item h="1" x="1449"/>
        <item h="1" x="5106"/>
        <item h="1" x="2178"/>
        <item h="1" x="614"/>
        <item h="1" x="360"/>
        <item h="1" x="5001"/>
        <item h="1" x="4152"/>
        <item h="1" x="724"/>
        <item h="1" x="637"/>
        <item h="1" x="5014"/>
        <item h="1" x="4901"/>
        <item h="1" x="1373"/>
        <item h="1" x="1339"/>
        <item h="1" x="2781"/>
        <item h="1" x="1875"/>
        <item h="1" x="4967"/>
        <item h="1" x="2166"/>
        <item h="1" x="5007"/>
        <item h="1" x="4949"/>
        <item h="1" x="1301"/>
        <item h="1" x="4618"/>
        <item h="1" x="4871"/>
        <item h="1" x="1984"/>
        <item h="1" x="4863"/>
        <item h="1" x="2487"/>
        <item h="1" x="133"/>
        <item h="1" x="4890"/>
        <item h="1" x="5081"/>
        <item h="1" x="5002"/>
        <item h="1" x="2048"/>
        <item h="1" x="1874"/>
        <item h="1" x="4802"/>
        <item h="1" x="3027"/>
        <item h="1" x="2592"/>
        <item h="1" x="3360"/>
        <item h="1" x="5072"/>
        <item h="1" x="3212"/>
        <item h="1" x="5020"/>
        <item h="1" x="296"/>
        <item h="1" x="3409"/>
        <item h="1" x="4139"/>
        <item h="1" x="982"/>
        <item h="1" x="4862"/>
        <item h="1" x="2263"/>
        <item h="1" x="1953"/>
        <item h="1" x="4083"/>
        <item h="1" x="2584"/>
        <item h="1" x="1755"/>
        <item h="1" x="2922"/>
        <item h="1" x="3557"/>
        <item h="1" x="1920"/>
        <item h="1" x="2516"/>
        <item h="1" x="4946"/>
        <item h="1" x="4903"/>
        <item h="1" x="1895"/>
        <item h="1" x="877"/>
        <item h="1" x="5097"/>
        <item h="1" x="402"/>
        <item h="1" x="4688"/>
        <item h="1" x="5050"/>
        <item h="1" x="4405"/>
        <item h="1" x="4682"/>
        <item h="1" x="3393"/>
        <item h="1" x="4532"/>
        <item h="1" x="4429"/>
        <item h="1" x="4915"/>
        <item h="1" x="3051"/>
        <item h="1" x="317"/>
        <item h="1" x="2711"/>
        <item h="1" x="2099"/>
        <item h="1" x="1862"/>
        <item h="1" x="4888"/>
        <item h="1" x="4918"/>
        <item h="1" x="3844"/>
        <item h="1" x="4454"/>
        <item h="1" x="3186"/>
        <item h="1" x="5063"/>
        <item h="1" x="4877"/>
        <item h="1" x="5089"/>
        <item h="1" x="429"/>
        <item h="1" x="683"/>
        <item h="1" x="946"/>
        <item h="1" x="892"/>
        <item h="1" x="4703"/>
        <item h="1" x="4984"/>
        <item h="1" x="3082"/>
        <item h="1" x="5060"/>
        <item h="1" x="2470"/>
        <item h="1" x="3319"/>
        <item h="1" x="809"/>
        <item h="1" x="4904"/>
        <item h="1" x="4972"/>
        <item h="1" x="1390"/>
        <item h="1" x="3213"/>
        <item h="1" x="4313"/>
        <item h="1" x="2356"/>
        <item h="1" x="5039"/>
        <item h="1" x="1543"/>
        <item h="1" x="4374"/>
        <item h="1" x="2314"/>
        <item h="1" x="917"/>
        <item h="1" x="72"/>
        <item h="1" x="4865"/>
        <item h="1" x="3845"/>
        <item h="1" x="3893"/>
        <item h="1" x="3910"/>
        <item h="1" x="4891"/>
        <item h="1" x="3180"/>
        <item h="1" x="4947"/>
        <item h="1" x="5013"/>
        <item h="1" x="365"/>
        <item h="1" x="197"/>
        <item h="1" x="189"/>
        <item h="1" x="158"/>
        <item h="1" x="4950"/>
        <item h="1" x="3975"/>
        <item h="1" x="5061"/>
        <item h="1" x="4899"/>
        <item h="1" x="3976"/>
        <item h="1" x="5047"/>
        <item h="1" x="4912"/>
        <item h="1" x="472"/>
        <item h="1" x="78"/>
        <item h="1" x="3361"/>
        <item h="1" x="5055"/>
        <item h="1" x="3571"/>
        <item h="1" x="2152"/>
        <item h="1" x="2226"/>
        <item h="1" x="1905"/>
        <item h="1" x="4920"/>
        <item h="1" x="1289"/>
        <item h="1" x="4776"/>
        <item h="1" x="2585"/>
        <item h="1" x="4875"/>
        <item h="1" x="4855"/>
        <item h="1" x="805"/>
        <item h="1" x="5101"/>
        <item h="1" x="1370"/>
        <item h="1" x="522"/>
        <item h="1" x="4864"/>
        <item h="1" x="2247"/>
        <item h="1" x="4945"/>
        <item h="1" x="3196"/>
        <item h="1" x="161"/>
        <item h="1" x="4006"/>
        <item h="1" x="4872"/>
        <item h="1" x="3799"/>
        <item h="1" x="782"/>
        <item h="1" x="4894"/>
        <item h="1" x="4906"/>
        <item h="1" x="1101"/>
        <item h="1" x="176"/>
        <item h="1" x="257"/>
        <item h="1" x="151"/>
        <item h="1" x="4704"/>
        <item h="1" x="1679"/>
        <item h="1" x="4884"/>
        <item h="1" x="4406"/>
        <item h="1" x="1497"/>
        <item h="1" x="1537"/>
        <item h="1" x="5044"/>
        <item h="1" x="3517"/>
        <item h="1" x="4919"/>
        <item h="1" x="4619"/>
        <item h="1" x="3572"/>
        <item h="1" x="4981"/>
        <item h="1" x="53"/>
        <item h="1" x="1666"/>
        <item h="1" x="5073"/>
        <item h="1" x="2029"/>
        <item h="1" x="775"/>
        <item h="1" x="5035"/>
        <item h="1" x="2810"/>
        <item h="1" x="578"/>
        <item h="1" x="1397"/>
        <item h="1" x="4290"/>
        <item h="1" x="2157"/>
        <item h="1" x="4966"/>
        <item h="1" x="5043"/>
        <item h="1" x="2012"/>
        <item h="1" x="5024"/>
        <item h="1" x="1800"/>
        <item h="1" x="2644"/>
        <item h="1" x="5023"/>
        <item h="1" x="1952"/>
        <item h="1" x="438"/>
        <item h="1" x="302"/>
        <item h="1" x="4093"/>
        <item h="1" x="3509"/>
        <item h="1" x="5096"/>
        <item h="1" x="2344"/>
        <item h="1" x="4835"/>
        <item h="1" x="4140"/>
        <item h="1" x="5107"/>
        <item h="1" x="2818"/>
        <item h="1" x="4994"/>
        <item h="1" x="1894"/>
        <item h="1" x="5046"/>
        <item h="1" x="710"/>
        <item h="1" x="5100"/>
        <item h="1" x="4314"/>
        <item h="1" x="1271"/>
        <item h="1" x="1648"/>
        <item h="1" x="3167"/>
        <item h="1" x="4985"/>
        <item h="1" x="4051"/>
        <item h="1" x="4997"/>
        <item h="1" x="5049"/>
        <item h="1" x="1138"/>
        <item h="1" x="3696"/>
        <item h="1" x="3686"/>
        <item h="1" x="4430"/>
        <item h="1" x="3091"/>
        <item h="1" x="4989"/>
        <item h="1" x="1586"/>
        <item h="1" x="2211"/>
        <item h="1" x="4889"/>
        <item h="1" x="5028"/>
        <item h="1" x="3148"/>
        <item h="1" x="1155"/>
        <item h="1" x="2091"/>
        <item h="1" x="4836"/>
        <item h="1" x="5012"/>
        <item h="1" x="3977"/>
        <item h="1" x="2436"/>
        <item h="1" x="3235"/>
        <item h="1" x="709"/>
        <item h="1" x="1384"/>
        <item h="1" x="5099"/>
        <item h="1" x="5077"/>
        <item h="1" x="4519"/>
        <item h="1" x="2295"/>
        <item h="1" x="1610"/>
        <item h="1" x="177"/>
        <item h="1" x="1102"/>
        <item h="1" x="1387"/>
        <item h="1" x="1904"/>
        <item h="1" x="2508"/>
        <item h="1" x="2990"/>
        <item h="1" x="231"/>
        <item h="1" x="3526"/>
        <item h="1" x="768"/>
        <item h="1" x="4705"/>
        <item h="1" x="4892"/>
        <item h="1" x="624"/>
        <item h="1" x="107"/>
        <item h="1" x="3226"/>
        <item h="1" x="2869"/>
        <item h="1" x="3728"/>
        <item h="1" x="4924"/>
        <item h="1" x="4936"/>
        <item h="1" x="2092"/>
        <item h="1" x="1023"/>
        <item h="1" x="4969"/>
        <item h="1" x="4977"/>
        <item h="1" x="160"/>
        <item h="1" x="3492"/>
        <item h="1" x="3729"/>
        <item h="1" x="4383"/>
        <item h="1" x="3425"/>
        <item h="1" x="3320"/>
        <item h="1" x="1564"/>
        <item h="1" x="3122"/>
        <item h="1" x="2616"/>
        <item h="1" x="2345"/>
        <item h="1" x="3876"/>
        <item h="1" x="903"/>
        <item h="1" x="1808"/>
        <item h="1" x="4215"/>
        <item h="1" x="5103"/>
        <item h="1" x="1842"/>
        <item h="1" x="4952"/>
        <item h="1" x="4937"/>
        <item h="1" x="1377"/>
        <item h="1" x="1695"/>
        <item h="1" x="4907"/>
        <item h="1" x="4816"/>
        <item h="1" x="4337"/>
        <item h="1" x="4908"/>
        <item h="1" x="3998"/>
        <item h="1" x="2859"/>
        <item h="1" x="937"/>
        <item h="1" x="3170"/>
        <item h="1" x="2296"/>
        <item h="1" x="4897"/>
        <item h="1" x="2421"/>
        <item h="1" x="5102"/>
        <item h="1" x="4663"/>
        <item h="1" x="4998"/>
        <item h="1" x="1367"/>
        <item h="1" x="2517"/>
        <item h="1" x="558"/>
        <item h="1" x="3911"/>
        <item h="1" x="1022"/>
        <item h="1" x="2970"/>
        <item h="1" x="2664"/>
        <item h="1" x="2819"/>
        <item h="1" x="375"/>
        <item h="1" x="3645"/>
        <item h="1" x="1252"/>
        <item h="1" x="3101"/>
        <item h="1" x="3045"/>
        <item h="1" x="2617"/>
        <item h="1" x="2971"/>
        <item h="1" x="3159"/>
        <item h="1" x="2392"/>
        <item h="1" x="4306"/>
        <item h="1" x="4925"/>
        <item h="1" x="3697"/>
        <item h="1" x="5030"/>
        <item h="1" x="1410"/>
        <item h="1" x="4675"/>
        <item h="1" x="2297"/>
        <item h="1" x="3343"/>
        <item h="1" x="4634"/>
        <item h="1" x="4857"/>
        <item h="1" x="3800"/>
        <item h="1" x="2576"/>
        <item h="1" x="2518"/>
        <item h="1" x="270"/>
        <item h="1" x="3028"/>
        <item h="1" x="4375"/>
        <item h="1" x="2330"/>
        <item h="1" x="4926"/>
        <item h="1" x="4255"/>
        <item h="1" x="4384"/>
        <item h="1" x="1082"/>
        <item h="1" x="3066"/>
        <item h="1" x="1190"/>
        <item h="1" x="3197"/>
        <item h="1" x="4672"/>
        <item h="1" x="4856"/>
        <item h="1" x="5037"/>
        <item h="1" x="830"/>
        <item h="1" x="4356"/>
        <item h="1" x="251"/>
        <item h="1" x="2039"/>
        <item h="1" x="2945"/>
        <item h="1" x="4938"/>
        <item h="1" x="4982"/>
        <item h="1" x="4417"/>
        <item h="1" x="1873"/>
        <item h="1" x="924"/>
        <item h="1" x="4756"/>
        <item h="1" x="2860"/>
        <item h="1" x="3846"/>
        <item h="1" x="130"/>
        <item h="1" x="2935"/>
        <item h="1" x="254"/>
        <item h="1" x="5015"/>
        <item h="1" x="3978"/>
        <item h="1" x="2547"/>
        <item h="1" x="3502"/>
        <item h="1" x="3847"/>
        <item h="1" x="3389"/>
        <item h="1" x="2461"/>
        <item h="1" x="377"/>
        <item h="1" x="4730"/>
        <item h="1" x="4455"/>
        <item h="1" x="243"/>
        <item h="1" x="113"/>
        <item h="1" x="3269"/>
        <item h="1" x="642"/>
        <item h="1" x="3660"/>
        <item h="1" x="5029"/>
        <item h="1" x="1787"/>
        <item h="1" x="4169"/>
        <item h="1" x="5016"/>
        <item h="1" x="2972"/>
        <item h="1" x="4706"/>
        <item h="1" x="1032"/>
        <item h="1" x="4176"/>
        <item h="1" x="1372"/>
        <item h="1" x="1794"/>
        <item h="1" x="180"/>
        <item h="1" x="3979"/>
        <item h="1" x="1989"/>
        <item h="1" x="2001"/>
        <item h="1" x="1988"/>
        <item h="1" x="2870"/>
        <item h="1" x="3414"/>
        <item h="1" x="770"/>
        <item h="1" x="3527"/>
        <item h="1" x="1166"/>
        <item h="1" x="1027"/>
        <item h="1" x="4268"/>
        <item h="1" x="2028"/>
        <item h="1" x="1069"/>
        <item h="1" x="2158"/>
        <item h="1" x="2043"/>
        <item h="1" x="4953"/>
        <item h="1" x="3198"/>
        <item h="1" x="3227"/>
        <item h="1" x="891"/>
        <item h="1" x="2000"/>
        <item h="1" x="381"/>
        <item h="1" x="1872"/>
        <item h="1" x="4973"/>
        <item h="1" x="5053"/>
        <item h="1" x="1893"/>
        <item h="1" x="3861"/>
        <item h="1" x="4475"/>
        <item h="1" x="4418"/>
        <item h="1" x="347"/>
        <item h="1" x="4689"/>
        <item h="1" x="3573"/>
        <item h="1" x="5052"/>
        <item h="1" x="3247"/>
        <item h="1" x="3199"/>
        <item h="1" x="927"/>
        <item h="1" x="1722"/>
        <item h="1" x="1815"/>
        <item h="1" x="4731"/>
        <item h="1" x="912"/>
        <item h="1" x="749"/>
        <item h="1" x="1426"/>
        <item h="1" x="3636"/>
        <item h="1" x="4116"/>
        <item h="1" x="2724"/>
        <item h="1" x="1233"/>
        <item h="1" x="4927"/>
        <item h="1" x="4571"/>
        <item h="1" x="3248"/>
        <item h="1" x="4858"/>
        <item h="1" x="2861"/>
        <item h="1" x="2282"/>
        <item h="1" x="3574"/>
        <item h="1" x="4817"/>
        <item h="1" x="2227"/>
        <item h="1" x="2322"/>
        <item h="1" x="2792"/>
        <item h="1" x="4315"/>
        <item h="1" x="5031"/>
        <item h="1" x="119"/>
        <item h="1" x="4291"/>
        <item h="1" x="3826"/>
        <item h="1" x="83"/>
        <item h="1" x="3962"/>
        <item h="1" x="665"/>
        <item h="1" x="4233"/>
        <item h="1" x="1594"/>
        <item h="1" x="1861"/>
        <item h="1" x="1708"/>
        <item h="1" x="2283"/>
        <item h="1" x="1316"/>
        <item h="1" x="549"/>
        <item h="1" x="2538"/>
        <item h="1" x="997"/>
        <item h="1" x="182"/>
        <item h="1" x="388"/>
        <item h="1" x="4939"/>
        <item h="1" x="576"/>
        <item h="1" x="3352"/>
        <item h="1" x="4141"/>
        <item h="1" x="4177"/>
        <item h="1" x="2601"/>
        <item h="1" x="3637"/>
        <item h="1" x="3980"/>
        <item h="1" x="1593"/>
        <item h="1" x="2811"/>
        <item h="1" x="2602"/>
        <item h="1" x="1784"/>
        <item h="1" x="1972"/>
        <item h="1" x="355"/>
        <item h="1" x="1785"/>
        <item h="1" x="1517"/>
        <item h="1" x="597"/>
        <item h="1" x="872"/>
        <item h="1" x="4777"/>
        <item h="1" x="1078"/>
        <item h="1" x="3981"/>
        <item h="1" x="3594"/>
        <item h="1" x="3762"/>
        <item h="1" x="4242"/>
        <item h="1" x="4707"/>
        <item h="1" x="2388"/>
        <item h="1" x="2179"/>
        <item h="1" x="1660"/>
        <item h="1" x="2812"/>
        <item h="1" x="3214"/>
        <item h="1" x="1290"/>
        <item h="1" x="4690"/>
        <item h="1" x="2437"/>
        <item h="1" x="1681"/>
        <item h="1" x="4476"/>
        <item h="1" x="234"/>
        <item h="1" x="4970"/>
        <item h="1" x="5018"/>
        <item h="1" x="1940"/>
        <item h="1" x="1919"/>
        <item h="1" x="3638"/>
        <item h="1" x="4940"/>
        <item h="1" x="1600"/>
        <item h="1" x="2703"/>
        <item h="1" x="4127"/>
        <item h="1" x="717"/>
        <item h="1" x="4456"/>
        <item h="1" x="4477"/>
        <item h="1" x="715"/>
        <item h="1" x="2471"/>
        <item h="1" x="4583"/>
        <item h="1" x="288"/>
        <item h="1" x="2960"/>
        <item h="1" x="2047"/>
        <item h="1" x="3329"/>
        <item h="1" x="4142"/>
        <item h="1" x="4941"/>
        <item h="1" x="1892"/>
        <item h="1" x="1321"/>
        <item h="1" x="1440"/>
        <item h="1" x="815"/>
        <item h="1" x="2923"/>
        <item h="1" x="990"/>
        <item h="1" x="1048"/>
        <item h="1" x="851"/>
        <item h="1" x="2562"/>
        <item h="1" x="2100"/>
        <item h="1" x="5032"/>
        <item h="1" x="698"/>
        <item h="1" x="4635"/>
        <item h="1" x="4200"/>
        <item h="1" x="995"/>
        <item h="1" x="4216"/>
        <item h="1" x="4820"/>
        <item h="1" x="2755"/>
        <item h="1" x="1251"/>
        <item h="1" x="2563"/>
        <item h="1" x="1650"/>
        <item h="1" x="3944"/>
        <item h="1" x="1220"/>
        <item h="1" x="4954"/>
        <item h="1" x="4733"/>
        <item h="1" x="2936"/>
        <item h="1" x="2900"/>
        <item h="1" x="3270"/>
        <item h="1" x="1077"/>
        <item h="1" x="1466"/>
        <item h="1" x="1259"/>
        <item h="1" x="1631"/>
        <item h="1" x="3480"/>
        <item h="1" x="3639"/>
        <item h="1" x="1422"/>
        <item h="1" x="2472"/>
        <item h="1" x="4478"/>
        <item h="1" x="3200"/>
        <item h="1" x="544"/>
        <item h="1" x="3110"/>
        <item h="1" x="3362"/>
        <item h="1" x="1389"/>
        <item h="1" x="5017"/>
        <item h="1" x="1846"/>
        <item h="1" x="3060"/>
        <item h="1" x="2072"/>
        <item h="1" x="1559"/>
        <item h="1" x="4550"/>
        <item h="1" x="4636"/>
        <item h="1" x="352"/>
        <item h="1" x="237"/>
        <item h="1" x="2488"/>
        <item h="1" x="3877"/>
        <item h="1" x="1999"/>
        <item h="1" x="1871"/>
        <item h="1" x="2746"/>
        <item h="1" x="4878"/>
        <item h="1" x="3748"/>
        <item h="1" x="3149"/>
        <item h="1" x="1538"/>
        <item h="1" x="4407"/>
        <item h="1" x="1126"/>
        <item h="1" x="2782"/>
        <item h="1" x="2119"/>
        <item h="1" x="3283"/>
        <item h="1" x="2038"/>
        <item h="1" x="2405"/>
        <item h="1" x="651"/>
        <item h="1" x="3848"/>
        <item h="1" x="4143"/>
        <item h="1" x="2813"/>
        <item h="1" x="3786"/>
        <item h="1" x="314"/>
        <item h="1" x="5034"/>
        <item h="1" x="5036"/>
        <item h="1" x="1065"/>
        <item h="1" x="4818"/>
        <item h="1" x="875"/>
        <item h="1" x="4841"/>
        <item h="1" x="2548"/>
        <item h="1" x="3353"/>
        <item h="1" x="2306"/>
        <item h="1" x="799"/>
        <item h="1" x="2277"/>
        <item h="1" x="5054"/>
        <item h="1" x="171"/>
        <item h="1" x="1079"/>
        <item h="1" x="2315"/>
        <item h="1" x="655"/>
        <item h="1" x="2272"/>
        <item h="1" x="1291"/>
        <item h="1" x="2022"/>
        <item h="1" x="1577"/>
        <item h="1" x="3698"/>
        <item h="1" x="4649"/>
        <item h="1" x="313"/>
        <item h="1" x="2067"/>
        <item h="1" x="4505"/>
        <item h="1" x="2284"/>
        <item h="1" x="3469"/>
        <item h="1" x="4243"/>
        <item h="1" x="926"/>
        <item h="1" x="3611"/>
        <item h="1" x="538"/>
        <item h="1" x="1409"/>
        <item h="1" x="802"/>
        <item h="1" x="4551"/>
        <item h="1" x="1000"/>
        <item h="1" x="869"/>
        <item h="1" x="1845"/>
        <item h="1" x="96"/>
        <item h="1" x="2046"/>
        <item h="1" x="1488"/>
        <item h="1" x="279"/>
        <item h="1" x="1325"/>
        <item h="1" x="2687"/>
        <item h="1" x="1599"/>
        <item h="1" x="3436"/>
        <item h="1" x="4316"/>
        <item h="1" x="1655"/>
        <item h="1" x="3092"/>
        <item h="1" x="2323"/>
        <item h="1" x="1319"/>
        <item h="1" x="3544"/>
        <item h="1" x="1219"/>
        <item h="1" x="3612"/>
        <item h="1" x="1951"/>
        <item h="1" x="3982"/>
        <item h="1" x="3575"/>
        <item h="1" x="4837"/>
        <item h="1" x="4637"/>
        <item h="1" x="1313"/>
        <item h="1" x="4244"/>
        <item h="1" x="3330"/>
        <item h="1" x="275"/>
        <item h="1" x="725"/>
        <item h="1" x="4860"/>
        <item h="1" x="4838"/>
        <item h="1" x="4506"/>
        <item h="1" x="2871"/>
        <item h="1" x="2336"/>
        <item h="1" x="2159"/>
        <item h="1" x="1429"/>
        <item h="1" x="3187"/>
        <item h="1" x="2278"/>
        <item h="1" x="2340"/>
        <item h="1" x="4153"/>
        <item h="1" x="2406"/>
        <item h="1" x="2645"/>
        <item h="1" x="4217"/>
        <item h="1" x="4708"/>
        <item h="1" x="5069"/>
        <item h="1" x="2117"/>
        <item h="1" x="4431"/>
        <item h="1" x="397"/>
        <item h="1" x="3528"/>
        <item h="1" x="4942"/>
        <item h="1" x="2862"/>
        <item h="1" x="2248"/>
        <item h="1" x="2273"/>
        <item h="1" x="2298"/>
        <item h="1" x="2698"/>
        <item h="1" x="2337"/>
        <item h="1" x="2341"/>
        <item h="1" x="3215"/>
        <item h="1" x="3827"/>
        <item h="1" x="1735"/>
        <item h="1" x="4007"/>
        <item h="1" x="2395"/>
        <item h="1" x="1891"/>
        <item h="1" x="2772"/>
        <item h="1" x="2101"/>
        <item h="1" x="1399"/>
        <item h="1" x="9"/>
        <item h="1" x="1998"/>
        <item h="1" x="951"/>
        <item h="1" x="3140"/>
        <item h="1" x="1903"/>
        <item h="1" x="4432"/>
        <item h="1" x="276"/>
        <item h="1" x="2321"/>
        <item h="1" x="3828"/>
        <item h="1" x="644"/>
        <item h="1" x="2274"/>
        <item h="1" x="4338"/>
        <item h="1" x="4650"/>
        <item h="1" x="2773"/>
        <item h="1" x="1158"/>
        <item h="1" x="4620"/>
        <item h="1" x="1401"/>
        <item h="1" x="1995"/>
        <item h="1" x="2422"/>
        <item h="1" x="527"/>
        <item h="1" x="732"/>
        <item h="1" x="1156"/>
        <item h="1" x="50"/>
        <item h="1" x="4803"/>
        <item h="1" x="1705"/>
        <item h="1" x="4317"/>
        <item h="1" x="4839"/>
        <item h="1" x="1092"/>
        <item h="1" x="3000"/>
        <item h="1" x="1950"/>
        <item h="1" x="3545"/>
        <item h="1" x="3228"/>
        <item h="1" x="994"/>
        <item h="1" x="4234"/>
        <item h="1" x="2316"/>
        <item h="1" x="1002"/>
        <item h="1" x="1086"/>
        <item h="1" x="1512"/>
        <item h="1" x="585"/>
        <item h="1" x="4584"/>
        <item h="1" x="4880"/>
        <item h="1" x="1925"/>
        <item h="1" x="2539"/>
        <item h="1" x="1276"/>
        <item h="1" x="3229"/>
        <item h="1" x="5065"/>
        <item h="1" x="4674"/>
        <item h="1" x="1549"/>
        <item h="1" x="1565"/>
        <item h="1" x="2750"/>
        <item h="1" x="367"/>
        <item h="1" x="1165"/>
        <item h="1" x="1483"/>
        <item h="1" x="2357"/>
        <item h="1" x="1574"/>
        <item h="1" x="1843"/>
        <item h="1" x="90"/>
        <item h="1" x="3945"/>
        <item h="1" x="1844"/>
        <item h="1" x="1981"/>
        <item h="1" x="754"/>
        <item h="1" x="1713"/>
        <item h="1" x="405"/>
        <item h="1" x="4819"/>
        <item h="1" x="3829"/>
        <item h="1" x="1832"/>
        <item h="1" x="120"/>
        <item h="1" x="1294"/>
        <item h="1" x="4691"/>
        <item h="1" x="3230"/>
        <item h="1" x="3613"/>
        <item h="1" x="1168"/>
        <item h="1" x="3029"/>
        <item h="1" x="4943"/>
        <item h="1" x="4117"/>
        <item h="1" x="2184"/>
        <item h="1" x="2937"/>
        <item h="1" x="3419"/>
        <item h="1" x="3623"/>
        <item h="1" x="3983"/>
        <item h="1" x="4440"/>
        <item h="1" x="354"/>
        <item h="1" x="1788"/>
        <item h="1" x="3344"/>
        <item h="1" x="2317"/>
        <item h="1" x="5019"/>
        <item h="1" x="3661"/>
        <item h="1" x="2249"/>
        <item h="1" x="2307"/>
        <item h="1" x="3123"/>
        <item h="1" x="1833"/>
        <item h="1" x="4692"/>
        <item h="1" x="840"/>
        <item h="1" x="5070"/>
        <item h="1" x="613"/>
        <item h="1" x="87"/>
        <item h="1" x="450"/>
        <item h="1" x="854"/>
        <item h="1" x="300"/>
        <item h="1" x="4572"/>
        <item h="1" x="750"/>
        <item h="1" x="353"/>
        <item h="1" x="4520"/>
        <item h="1" x="634"/>
        <item h="1" x="3206"/>
        <item h="1" x="3306"/>
        <item h="1" x="5084"/>
        <item h="1" x="4983"/>
        <item h="1" x="3216"/>
        <item h="1" x="3662"/>
        <item h="1" x="336"/>
        <item h="1" x="3878"/>
        <item h="1" x="1721"/>
        <item h="1" x="467"/>
        <item h="1" x="2326"/>
        <item h="1" x="3699"/>
        <item h="1" x="718"/>
        <item h="1" x="1287"/>
        <item h="1" x="3922"/>
        <item h="1" x="2423"/>
        <item h="1" x="689"/>
        <item h="1" x="125"/>
        <item h="1" x="267"/>
        <item h="1" x="1150"/>
        <item h="1" x="204"/>
        <item h="1" x="986"/>
        <item h="1" x="4357"/>
        <item h="1" x="3067"/>
        <item h="1" x="1030"/>
        <item h="1" x="1567"/>
        <item h="1" x="4955"/>
        <item h="1" x="1917"/>
        <item h="1" x="1939"/>
        <item h="1" x="4917"/>
        <item h="1" x="2872"/>
        <item h="1" x="81"/>
        <item h="1" x="970"/>
        <item h="1" x="4840"/>
        <item h="1" x="3879"/>
        <item h="1" x="3448"/>
        <item h="1" x="340"/>
        <item h="1" x="4218"/>
        <item h="1" x="3490"/>
        <item h="1" x="1675"/>
        <item h="1" x="4621"/>
        <item h="1" x="3481"/>
        <item h="1" x="2820"/>
        <item h="1" x="844"/>
        <item h="1" x="2027"/>
        <item h="1" x="3614"/>
        <item h="1" x="3801"/>
        <item h="1" x="3052"/>
        <item h="1" x="3700"/>
        <item h="1" x="1678"/>
        <item h="1" x="4552"/>
        <item h="1" x="3546"/>
        <item h="1" x="4154"/>
        <item h="1" x="425"/>
        <item h="1" x="4553"/>
        <item h="1" x="2044"/>
        <item h="1" x="65"/>
        <item h="1" x="18"/>
        <item h="1" x="2519"/>
        <item h="1" x="1797"/>
        <item h="1" x="1034"/>
        <item h="1" x="7"/>
        <item h="1" x="3663"/>
        <item h="1" x="1261"/>
        <item h="1" x="3730"/>
        <item h="1" x="1093"/>
        <item h="1" x="1323"/>
        <item h="1" x="4063"/>
        <item h="1" x="3510"/>
        <item h="1" x="1484"/>
        <item h="1" x="1870"/>
        <item h="1" x="3377"/>
        <item h="1" x="2924"/>
        <item h="1" x="1213"/>
        <item h="1" x="2257"/>
        <item h="1" x="4187"/>
        <item h="1" x="1786"/>
        <item h="1" x="510"/>
        <item h="1" x="3410"/>
        <item h="1" x="4339"/>
        <item h="1" x="3249"/>
        <item h="1" x="4292"/>
        <item h="1" x="2045"/>
        <item h="1" x="4052"/>
        <item h="1" x="1997"/>
        <item h="1" x="4693"/>
        <item h="1" x="3503"/>
        <item h="1" x="3519"/>
        <item h="1" x="4084"/>
        <item h="1" x="2489"/>
        <item h="1" x="4804"/>
        <item h="1" x="4651"/>
        <item h="1" x="3321"/>
        <item h="1" x="4178"/>
        <item h="1" x="1498"/>
        <item h="1" x="4507"/>
        <item h="1" x="2144"/>
        <item h="1" x="3009"/>
        <item h="1" x="2269"/>
        <item h="1" x="3664"/>
        <item h="1" x="657"/>
        <item h="1" x="603"/>
        <item h="1" x="3763"/>
        <item h="1" x="2228"/>
        <item h="1" x="4971"/>
        <item h="1" x="3001"/>
        <item h="1" x="2107"/>
        <item h="1" x="4385"/>
        <item h="1" x="4956"/>
        <item h="1" x="3802"/>
        <item h="1" x="2243"/>
        <item h="1" x="2991"/>
        <item h="1" x="2264"/>
        <item h="1" x="2244"/>
        <item h="1" x="4144"/>
        <item h="1" x="4235"/>
        <item h="1" x="3111"/>
        <item h="1" x="656"/>
        <item h="1" x="1693"/>
        <item h="1" x="3923"/>
        <item h="1" x="4318"/>
        <item h="1" x="2250"/>
        <item h="1" x="4064"/>
        <item h="1" x="3849"/>
        <item h="1" x="1227"/>
        <item h="1" x="590"/>
        <item h="1" x="2258"/>
        <item h="1" x="605"/>
        <item h="1" x="2529"/>
        <item h="1" x="4479"/>
        <item h="1" x="3010"/>
        <item h="1" x="975"/>
        <item h="1" x="3400"/>
        <item h="1" x="3250"/>
        <item h="1" x="3529"/>
        <item h="1" x="2675"/>
        <item h="1" x="2609"/>
        <item h="1" x="1668"/>
        <item h="1" x="4309"/>
        <item h="1" x="2610"/>
        <item h="1" x="864"/>
        <item h="1" x="2774"/>
        <item h="1" x="3547"/>
        <item h="1" x="1066"/>
        <item h="1" x="1994"/>
        <item h="1" x="3924"/>
        <item h="1" x="2200"/>
        <item h="1" x="5108"/>
        <item h="1" x="4358"/>
        <item h="1" x="2564"/>
        <item h="1" x="707"/>
        <item h="1" x="2185"/>
        <item h="1" x="1807"/>
        <item h="1" x="2114"/>
        <item h="1" x="4974"/>
        <item h="1" x="1257"/>
        <item h="1" x="226"/>
        <item h="1" x="1814"/>
        <item h="1" x="2826"/>
        <item h="1" x="3134"/>
        <item h="1" x="2500"/>
        <item h="1" x="629"/>
        <item h="1" x="187"/>
        <item h="1" x="523"/>
        <item h="1" x="224"/>
        <item h="1" x="2125"/>
        <item h="1" x="3576"/>
        <item h="1" x="1135"/>
        <item h="1" x="3590"/>
        <item h="1" x="3530"/>
        <item h="1" x="807"/>
        <item h="1" x="1801"/>
        <item h="1" x="1519"/>
        <item h="1" x="3946"/>
        <item h="1" x="92"/>
        <item h="1" x="2577"/>
        <item h="1" x="174"/>
        <item h="1" x="248"/>
        <item h="1" x="4155"/>
        <item h="1" x="4094"/>
        <item h="1" x="1434"/>
        <item h="1" x="2153"/>
        <item h="1" x="4521"/>
        <item h="1" x="409"/>
        <item h="1" x="5109"/>
        <item t="default"/>
      </items>
    </pivotField>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362817-09A9-497B-A8BE-14DC680D816D}" name="PivotTable8"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76" firstHeaderRow="1" firstDataRow="1" firstDataCol="1"/>
  <pivotFields count="11">
    <pivotField showAll="0"/>
    <pivotField showAll="0">
      <items count="4">
        <item x="0"/>
        <item x="1"/>
        <item x="2"/>
        <item t="default"/>
      </items>
    </pivotField>
    <pivotField showAll="0"/>
    <pivotField axis="axisRow" showAll="0" sortType="descending">
      <items count="775">
        <item x="564"/>
        <item x="144"/>
        <item x="155"/>
        <item x="123"/>
        <item x="342"/>
        <item x="232"/>
        <item x="48"/>
        <item x="351"/>
        <item x="570"/>
        <item x="43"/>
        <item x="675"/>
        <item x="647"/>
        <item x="621"/>
        <item x="74"/>
        <item x="605"/>
        <item x="178"/>
        <item x="339"/>
        <item x="476"/>
        <item x="276"/>
        <item x="611"/>
        <item x="94"/>
        <item x="398"/>
        <item x="731"/>
        <item x="370"/>
        <item x="362"/>
        <item x="578"/>
        <item x="695"/>
        <item x="80"/>
        <item x="588"/>
        <item x="493"/>
        <item x="239"/>
        <item x="373"/>
        <item x="533"/>
        <item x="631"/>
        <item x="508"/>
        <item x="622"/>
        <item x="368"/>
        <item x="478"/>
        <item x="757"/>
        <item x="658"/>
        <item x="494"/>
        <item x="357"/>
        <item x="136"/>
        <item x="17"/>
        <item x="272"/>
        <item x="485"/>
        <item x="281"/>
        <item x="297"/>
        <item x="56"/>
        <item x="742"/>
        <item x="597"/>
        <item x="6"/>
        <item x="418"/>
        <item x="321"/>
        <item x="727"/>
        <item x="563"/>
        <item x="220"/>
        <item x="561"/>
        <item x="267"/>
        <item x="200"/>
        <item x="318"/>
        <item x="575"/>
        <item x="744"/>
        <item x="580"/>
        <item x="163"/>
        <item x="237"/>
        <item x="359"/>
        <item x="573"/>
        <item x="593"/>
        <item x="699"/>
        <item x="734"/>
        <item x="540"/>
        <item x="520"/>
        <item x="170"/>
        <item x="451"/>
        <item x="348"/>
        <item x="45"/>
        <item x="5"/>
        <item x="541"/>
        <item x="310"/>
        <item x="499"/>
        <item x="76"/>
        <item x="567"/>
        <item x="717"/>
        <item x="191"/>
        <item x="651"/>
        <item x="198"/>
        <item x="21"/>
        <item x="3"/>
        <item x="201"/>
        <item x="666"/>
        <item x="271"/>
        <item x="59"/>
        <item x="743"/>
        <item x="139"/>
        <item x="241"/>
        <item x="667"/>
        <item x="116"/>
        <item x="649"/>
        <item x="270"/>
        <item x="30"/>
        <item x="566"/>
        <item x="674"/>
        <item x="0"/>
        <item x="482"/>
        <item x="190"/>
        <item x="103"/>
        <item x="768"/>
        <item x="506"/>
        <item x="286"/>
        <item x="188"/>
        <item x="293"/>
        <item x="89"/>
        <item x="81"/>
        <item x="445"/>
        <item x="599"/>
        <item x="110"/>
        <item x="202"/>
        <item x="679"/>
        <item x="498"/>
        <item x="653"/>
        <item x="700"/>
        <item x="636"/>
        <item x="603"/>
        <item x="551"/>
        <item x="635"/>
        <item x="27"/>
        <item x="160"/>
        <item x="626"/>
        <item x="590"/>
        <item x="413"/>
        <item x="109"/>
        <item x="595"/>
        <item x="331"/>
        <item x="221"/>
        <item x="60"/>
        <item x="159"/>
        <item x="360"/>
        <item x="677"/>
        <item x="441"/>
        <item x="405"/>
        <item x="534"/>
        <item x="205"/>
        <item x="721"/>
        <item x="302"/>
        <item x="92"/>
        <item x="230"/>
        <item x="347"/>
        <item x="58"/>
        <item x="754"/>
        <item x="454"/>
        <item x="2"/>
        <item x="183"/>
        <item x="275"/>
        <item x="133"/>
        <item x="282"/>
        <item x="639"/>
        <item x="253"/>
        <item x="32"/>
        <item x="23"/>
        <item x="503"/>
        <item x="710"/>
        <item x="231"/>
        <item x="209"/>
        <item x="481"/>
        <item x="558"/>
        <item x="33"/>
        <item x="703"/>
        <item x="244"/>
        <item x="206"/>
        <item x="118"/>
        <item x="141"/>
        <item x="480"/>
        <item x="349"/>
        <item x="404"/>
        <item x="91"/>
        <item x="223"/>
        <item x="317"/>
        <item x="416"/>
        <item x="46"/>
        <item x="617"/>
        <item x="530"/>
        <item x="251"/>
        <item x="656"/>
        <item x="151"/>
        <item x="150"/>
        <item x="82"/>
        <item x="148"/>
        <item x="722"/>
        <item x="165"/>
        <item x="752"/>
        <item x="516"/>
        <item x="146"/>
        <item x="385"/>
        <item x="688"/>
        <item x="261"/>
        <item x="238"/>
        <item x="646"/>
        <item x="315"/>
        <item x="138"/>
        <item x="337"/>
        <item x="66"/>
        <item x="330"/>
        <item x="641"/>
        <item x="41"/>
        <item x="767"/>
        <item x="154"/>
        <item x="579"/>
        <item x="152"/>
        <item x="119"/>
        <item x="18"/>
        <item x="15"/>
        <item x="410"/>
        <item x="560"/>
        <item x="429"/>
        <item x="455"/>
        <item x="543"/>
        <item x="328"/>
        <item x="126"/>
        <item x="374"/>
        <item x="283"/>
        <item x="668"/>
        <item x="166"/>
        <item x="264"/>
        <item x="642"/>
        <item x="471"/>
        <item x="7"/>
        <item x="24"/>
        <item x="434"/>
        <item x="460"/>
        <item x="84"/>
        <item x="660"/>
        <item x="427"/>
        <item x="403"/>
        <item x="175"/>
        <item x="523"/>
        <item x="576"/>
        <item x="725"/>
        <item x="637"/>
        <item x="212"/>
        <item x="101"/>
        <item x="662"/>
        <item x="214"/>
        <item x="184"/>
        <item x="124"/>
        <item x="299"/>
        <item x="761"/>
        <item x="98"/>
        <item x="440"/>
        <item x="609"/>
        <item x="464"/>
        <item x="514"/>
        <item x="537"/>
        <item x="608"/>
        <item x="526"/>
        <item x="83"/>
        <item x="22"/>
        <item x="720"/>
        <item x="4"/>
        <item x="161"/>
        <item x="226"/>
        <item x="313"/>
        <item x="69"/>
        <item x="618"/>
        <item x="411"/>
        <item x="177"/>
        <item x="555"/>
        <item x="474"/>
        <item x="181"/>
        <item x="296"/>
        <item x="600"/>
        <item x="553"/>
        <item x="169"/>
        <item x="673"/>
        <item x="187"/>
        <item x="583"/>
        <item x="531"/>
        <item x="716"/>
        <item x="489"/>
        <item x="306"/>
        <item x="547"/>
        <item x="29"/>
        <item x="131"/>
        <item x="654"/>
        <item x="602"/>
        <item x="67"/>
        <item x="463"/>
        <item x="407"/>
        <item x="756"/>
        <item x="607"/>
        <item x="171"/>
        <item x="135"/>
        <item x="614"/>
        <item x="242"/>
        <item x="591"/>
        <item x="243"/>
        <item x="669"/>
        <item x="104"/>
        <item x="473"/>
        <item x="71"/>
        <item x="217"/>
        <item x="753"/>
        <item x="421"/>
        <item x="772"/>
        <item x="308"/>
        <item x="490"/>
        <item x="73"/>
        <item x="638"/>
        <item x="356"/>
        <item x="644"/>
        <item x="40"/>
        <item x="648"/>
        <item x="671"/>
        <item x="670"/>
        <item x="255"/>
        <item x="492"/>
        <item x="218"/>
        <item x="491"/>
        <item x="406"/>
        <item x="420"/>
        <item x="127"/>
        <item x="34"/>
        <item x="484"/>
        <item x="186"/>
        <item x="745"/>
        <item x="412"/>
        <item x="336"/>
        <item x="456"/>
        <item x="332"/>
        <item x="325"/>
        <item x="384"/>
        <item x="222"/>
        <item x="9"/>
        <item x="386"/>
        <item x="322"/>
        <item x="604"/>
        <item x="511"/>
        <item x="487"/>
        <item x="301"/>
        <item x="157"/>
        <item x="577"/>
        <item x="210"/>
        <item x="192"/>
        <item x="90"/>
        <item x="44"/>
        <item x="458"/>
        <item x="352"/>
        <item x="426"/>
        <item x="713"/>
        <item x="54"/>
        <item x="733"/>
        <item x="763"/>
        <item x="323"/>
        <item x="376"/>
        <item x="539"/>
        <item x="37"/>
        <item x="179"/>
        <item x="419"/>
        <item x="204"/>
        <item x="683"/>
        <item x="72"/>
        <item x="196"/>
        <item x="538"/>
        <item x="278"/>
        <item x="751"/>
        <item x="711"/>
        <item x="545"/>
        <item x="263"/>
        <item x="320"/>
        <item x="748"/>
        <item x="361"/>
        <item x="273"/>
        <item x="521"/>
        <item x="417"/>
        <item x="70"/>
        <item x="338"/>
        <item x="650"/>
        <item x="228"/>
        <item x="224"/>
        <item x="601"/>
        <item x="64"/>
        <item x="36"/>
        <item x="518"/>
        <item x="300"/>
        <item x="633"/>
        <item x="446"/>
        <item x="459"/>
        <item x="14"/>
        <item x="692"/>
        <item x="379"/>
        <item x="100"/>
        <item x="663"/>
        <item x="247"/>
        <item x="740"/>
        <item x="749"/>
        <item x="199"/>
        <item x="115"/>
        <item x="477"/>
        <item x="610"/>
        <item x="172"/>
        <item x="294"/>
        <item x="62"/>
        <item x="562"/>
        <item x="57"/>
        <item x="298"/>
        <item x="87"/>
        <item x="111"/>
        <item x="665"/>
        <item x="466"/>
        <item x="345"/>
        <item x="705"/>
        <item x="355"/>
        <item x="390"/>
        <item x="685"/>
        <item x="729"/>
        <item x="501"/>
        <item x="546"/>
        <item x="755"/>
        <item x="145"/>
        <item x="470"/>
        <item x="479"/>
        <item x="750"/>
        <item x="634"/>
        <item x="472"/>
        <item x="496"/>
        <item x="13"/>
        <item x="303"/>
        <item x="229"/>
        <item x="388"/>
        <item x="280"/>
        <item x="392"/>
        <item x="289"/>
        <item x="363"/>
        <item x="382"/>
        <item x="211"/>
        <item x="387"/>
        <item x="687"/>
        <item x="765"/>
        <item x="11"/>
        <item x="447"/>
        <item x="269"/>
        <item x="629"/>
        <item x="657"/>
        <item x="340"/>
        <item x="85"/>
        <item x="327"/>
        <item x="329"/>
        <item x="1"/>
        <item x="274"/>
        <item x="375"/>
        <item x="77"/>
        <item x="395"/>
        <item x="240"/>
        <item x="279"/>
        <item x="550"/>
        <item x="505"/>
        <item x="51"/>
        <item x="402"/>
        <item x="568"/>
        <item x="305"/>
        <item x="122"/>
        <item x="554"/>
        <item x="180"/>
        <item x="256"/>
        <item x="698"/>
        <item x="532"/>
        <item x="585"/>
        <item x="268"/>
        <item x="287"/>
        <item x="486"/>
        <item x="28"/>
        <item x="319"/>
        <item x="572"/>
        <item x="156"/>
        <item x="525"/>
        <item x="462"/>
        <item x="53"/>
        <item x="291"/>
        <item x="457"/>
        <item x="509"/>
        <item x="369"/>
        <item x="61"/>
        <item x="594"/>
        <item x="16"/>
        <item x="153"/>
        <item x="465"/>
        <item x="312"/>
        <item x="536"/>
        <item x="714"/>
        <item x="423"/>
        <item x="624"/>
        <item x="372"/>
        <item x="581"/>
        <item x="453"/>
        <item x="75"/>
        <item x="586"/>
        <item x="12"/>
        <item x="701"/>
        <item x="333"/>
        <item x="284"/>
        <item x="415"/>
        <item x="219"/>
        <item x="399"/>
        <item x="433"/>
        <item x="113"/>
        <item x="443"/>
        <item x="389"/>
        <item x="517"/>
        <item x="557"/>
        <item x="697"/>
        <item x="467"/>
        <item x="95"/>
        <item x="257"/>
        <item x="216"/>
        <item x="262"/>
        <item x="712"/>
        <item x="524"/>
        <item x="764"/>
        <item x="552"/>
        <item x="739"/>
        <item x="659"/>
        <item x="672"/>
        <item x="690"/>
        <item x="408"/>
        <item x="114"/>
        <item x="519"/>
        <item x="432"/>
        <item x="117"/>
        <item x="719"/>
        <item x="606"/>
        <item x="612"/>
        <item x="326"/>
        <item x="681"/>
        <item x="632"/>
        <item x="760"/>
        <item x="770"/>
        <item x="737"/>
        <item x="128"/>
        <item x="132"/>
        <item x="295"/>
        <item x="766"/>
        <item x="587"/>
        <item x="655"/>
        <item x="235"/>
        <item x="422"/>
        <item x="549"/>
        <item x="528"/>
        <item x="759"/>
        <item x="718"/>
        <item x="694"/>
        <item x="383"/>
        <item x="378"/>
        <item x="589"/>
        <item x="8"/>
        <item x="598"/>
        <item x="233"/>
        <item x="354"/>
        <item x="724"/>
        <item x="500"/>
        <item x="527"/>
        <item x="50"/>
        <item x="225"/>
        <item x="377"/>
        <item x="495"/>
        <item x="409"/>
        <item x="88"/>
        <item x="311"/>
        <item x="559"/>
        <item x="108"/>
        <item x="469"/>
        <item x="746"/>
        <item x="529"/>
        <item x="68"/>
        <item x="236"/>
        <item x="444"/>
        <item x="483"/>
        <item x="726"/>
        <item x="26"/>
        <item x="452"/>
        <item x="130"/>
        <item x="615"/>
        <item x="55"/>
        <item x="248"/>
        <item x="78"/>
        <item x="381"/>
        <item x="431"/>
        <item x="556"/>
        <item x="542"/>
        <item x="203"/>
        <item x="461"/>
        <item x="142"/>
        <item x="522"/>
        <item x="194"/>
        <item x="350"/>
        <item x="316"/>
        <item x="741"/>
        <item x="63"/>
        <item x="344"/>
        <item x="393"/>
        <item x="189"/>
        <item x="425"/>
        <item x="400"/>
        <item x="728"/>
        <item x="571"/>
        <item x="747"/>
        <item x="96"/>
        <item x="162"/>
        <item x="182"/>
        <item x="424"/>
        <item x="249"/>
        <item x="762"/>
        <item x="367"/>
        <item x="107"/>
        <item x="97"/>
        <item x="723"/>
        <item x="112"/>
        <item x="86"/>
        <item x="689"/>
        <item x="394"/>
        <item x="227"/>
        <item x="584"/>
        <item x="366"/>
        <item x="290"/>
        <item x="99"/>
        <item x="147"/>
        <item x="143"/>
        <item x="771"/>
        <item x="292"/>
        <item x="735"/>
        <item x="252"/>
        <item x="346"/>
        <item x="664"/>
        <item x="661"/>
        <item x="137"/>
        <item x="197"/>
        <item x="65"/>
        <item x="19"/>
        <item x="207"/>
        <item x="266"/>
        <item x="307"/>
        <item x="371"/>
        <item x="334"/>
        <item x="497"/>
        <item x="680"/>
        <item x="704"/>
        <item x="475"/>
        <item x="277"/>
        <item x="596"/>
        <item x="335"/>
        <item x="448"/>
        <item x="42"/>
        <item x="620"/>
        <item x="769"/>
        <item x="265"/>
        <item x="49"/>
        <item x="105"/>
        <item x="630"/>
        <item x="616"/>
        <item x="652"/>
        <item x="702"/>
        <item x="176"/>
        <item x="510"/>
        <item x="304"/>
        <item x="120"/>
        <item x="678"/>
        <item x="565"/>
        <item x="574"/>
        <item x="627"/>
        <item x="715"/>
        <item x="643"/>
        <item x="185"/>
        <item x="314"/>
        <item x="504"/>
        <item x="619"/>
        <item x="732"/>
        <item x="684"/>
        <item x="738"/>
        <item x="507"/>
        <item x="428"/>
        <item x="488"/>
        <item x="582"/>
        <item x="436"/>
        <item x="706"/>
        <item x="129"/>
        <item x="341"/>
        <item x="707"/>
        <item x="246"/>
        <item x="686"/>
        <item x="613"/>
        <item x="106"/>
        <item x="353"/>
        <item x="391"/>
        <item x="358"/>
        <item x="259"/>
        <item x="38"/>
        <item x="168"/>
        <item x="365"/>
        <item x="125"/>
        <item x="285"/>
        <item x="623"/>
        <item x="438"/>
        <item x="625"/>
        <item x="569"/>
        <item x="592"/>
        <item x="439"/>
        <item x="396"/>
        <item x="234"/>
        <item x="193"/>
        <item x="140"/>
        <item x="47"/>
        <item x="548"/>
        <item x="513"/>
        <item x="25"/>
        <item x="645"/>
        <item x="121"/>
        <item x="213"/>
        <item x="324"/>
        <item x="254"/>
        <item x="640"/>
        <item x="250"/>
        <item x="208"/>
        <item x="364"/>
        <item x="736"/>
        <item x="93"/>
        <item x="164"/>
        <item x="758"/>
        <item x="397"/>
        <item x="260"/>
        <item x="258"/>
        <item x="39"/>
        <item x="512"/>
        <item x="31"/>
        <item x="309"/>
        <item x="450"/>
        <item x="414"/>
        <item x="693"/>
        <item x="35"/>
        <item x="691"/>
        <item x="449"/>
        <item x="195"/>
        <item x="442"/>
        <item x="435"/>
        <item x="215"/>
        <item x="430"/>
        <item x="676"/>
        <item x="502"/>
        <item x="52"/>
        <item x="380"/>
        <item x="708"/>
        <item x="515"/>
        <item x="79"/>
        <item x="158"/>
        <item x="468"/>
        <item x="245"/>
        <item x="730"/>
        <item x="628"/>
        <item x="288"/>
        <item x="173"/>
        <item x="696"/>
        <item x="709"/>
        <item x="544"/>
        <item x="343"/>
        <item x="535"/>
        <item x="401"/>
        <item x="149"/>
        <item x="10"/>
        <item x="134"/>
        <item x="20"/>
        <item x="437"/>
        <item x="682"/>
        <item x="174"/>
        <item x="102"/>
        <item x="167"/>
        <item h="1" x="773"/>
        <item t="default"/>
      </items>
      <autoSortScope>
        <pivotArea dataOnly="0" outline="0" fieldPosition="0">
          <references count="1">
            <reference field="4294967294" count="1" selected="0">
              <x v="0"/>
            </reference>
          </references>
        </pivotArea>
      </autoSortScope>
    </pivotField>
    <pivotField showAll="0"/>
    <pivotField showAll="0">
      <items count="5">
        <item x="0"/>
        <item x="2"/>
        <item x="1"/>
        <item x="3"/>
        <item t="default"/>
      </items>
    </pivotField>
    <pivotField showAll="0"/>
    <pivotField showAll="0"/>
    <pivotField showAll="0"/>
    <pivotField showAll="0"/>
    <pivotField dataField="1" showAll="0">
      <items count="4741">
        <item x="1957"/>
        <item x="4136"/>
        <item x="2770"/>
        <item x="4507"/>
        <item x="4299"/>
        <item x="373"/>
        <item x="3999"/>
        <item x="3452"/>
        <item x="3685"/>
        <item x="2314"/>
        <item x="3799"/>
        <item x="3893"/>
        <item x="3990"/>
        <item x="1555"/>
        <item x="4238"/>
        <item x="1034"/>
        <item x="458"/>
        <item x="186"/>
        <item x="4447"/>
        <item x="1249"/>
        <item x="1477"/>
        <item x="4414"/>
        <item x="258"/>
        <item x="3470"/>
        <item x="4399"/>
        <item x="3652"/>
        <item x="83"/>
        <item x="3989"/>
        <item x="1585"/>
        <item x="4449"/>
        <item x="2852"/>
        <item x="3323"/>
        <item x="3943"/>
        <item x="4195"/>
        <item x="2427"/>
        <item x="4566"/>
        <item x="2434"/>
        <item x="3744"/>
        <item x="2244"/>
        <item x="3665"/>
        <item x="3890"/>
        <item x="1037"/>
        <item x="3302"/>
        <item x="2215"/>
        <item x="4445"/>
        <item x="2906"/>
        <item x="703"/>
        <item x="3247"/>
        <item x="1126"/>
        <item x="3462"/>
        <item x="2174"/>
        <item x="2594"/>
        <item x="922"/>
        <item x="1317"/>
        <item x="2167"/>
        <item x="1956"/>
        <item x="1996"/>
        <item x="1325"/>
        <item x="2567"/>
        <item x="3536"/>
        <item x="3223"/>
        <item x="4587"/>
        <item x="1733"/>
        <item x="4485"/>
        <item x="2463"/>
        <item x="170"/>
        <item x="2184"/>
        <item x="3402"/>
        <item x="1199"/>
        <item x="1087"/>
        <item x="3830"/>
        <item x="1718"/>
        <item x="1508"/>
        <item x="4650"/>
        <item x="2714"/>
        <item x="2788"/>
        <item x="300"/>
        <item x="3811"/>
        <item x="1640"/>
        <item x="2313"/>
        <item x="2648"/>
        <item x="134"/>
        <item x="1511"/>
        <item x="2196"/>
        <item x="741"/>
        <item x="800"/>
        <item x="1480"/>
        <item x="2180"/>
        <item x="1856"/>
        <item x="3819"/>
        <item x="2080"/>
        <item x="201"/>
        <item x="4134"/>
        <item x="1572"/>
        <item x="3865"/>
        <item x="2288"/>
        <item x="4105"/>
        <item x="2477"/>
        <item x="4628"/>
        <item x="2550"/>
        <item x="4361"/>
        <item x="4606"/>
        <item x="3222"/>
        <item x="2543"/>
        <item x="1140"/>
        <item x="2298"/>
        <item x="2185"/>
        <item x="3717"/>
        <item x="321"/>
        <item x="1409"/>
        <item x="1290"/>
        <item x="514"/>
        <item x="3337"/>
        <item x="357"/>
        <item x="763"/>
        <item x="1739"/>
        <item x="2840"/>
        <item x="1351"/>
        <item x="2035"/>
        <item x="1098"/>
        <item x="2875"/>
        <item x="1589"/>
        <item x="1235"/>
        <item x="2085"/>
        <item x="2123"/>
        <item x="3286"/>
        <item x="4198"/>
        <item x="409"/>
        <item x="3966"/>
        <item x="272"/>
        <item x="492"/>
        <item x="4173"/>
        <item x="255"/>
        <item x="2021"/>
        <item x="2120"/>
        <item x="1509"/>
        <item x="4643"/>
        <item x="555"/>
        <item x="2604"/>
        <item x="4293"/>
        <item x="3769"/>
        <item x="181"/>
        <item x="452"/>
        <item x="2923"/>
        <item x="558"/>
        <item x="706"/>
        <item x="1965"/>
        <item x="767"/>
        <item x="2884"/>
        <item x="778"/>
        <item x="3608"/>
        <item x="252"/>
        <item x="1528"/>
        <item x="1963"/>
        <item x="3057"/>
        <item x="947"/>
        <item x="1980"/>
        <item x="3259"/>
        <item x="4519"/>
        <item x="2858"/>
        <item x="1008"/>
        <item x="502"/>
        <item x="2289"/>
        <item x="2462"/>
        <item x="3594"/>
        <item x="4694"/>
        <item x="3234"/>
        <item x="2713"/>
        <item x="375"/>
        <item x="1418"/>
        <item x="70"/>
        <item x="202"/>
        <item x="3609"/>
        <item x="3473"/>
        <item x="282"/>
        <item x="1727"/>
        <item x="4589"/>
        <item x="2980"/>
        <item x="3211"/>
        <item x="1499"/>
        <item x="1474"/>
        <item x="280"/>
        <item x="432"/>
        <item x="3573"/>
        <item x="2347"/>
        <item x="4220"/>
        <item x="3998"/>
        <item x="2688"/>
        <item x="1251"/>
        <item x="3524"/>
        <item x="633"/>
        <item x="2461"/>
        <item x="3119"/>
        <item x="3157"/>
        <item x="642"/>
        <item x="1736"/>
        <item x="3516"/>
        <item x="345"/>
        <item x="1491"/>
        <item x="1194"/>
        <item x="4102"/>
        <item x="2577"/>
        <item x="4365"/>
        <item x="4058"/>
        <item x="11"/>
        <item x="1033"/>
        <item x="2515"/>
        <item x="95"/>
        <item x="1893"/>
        <item x="3040"/>
        <item x="4022"/>
        <item x="3958"/>
        <item x="1231"/>
        <item x="4009"/>
        <item x="513"/>
        <item x="3354"/>
        <item x="4674"/>
        <item x="1991"/>
        <item x="4159"/>
        <item x="4174"/>
        <item x="196"/>
        <item x="3083"/>
        <item x="4296"/>
        <item x="509"/>
        <item x="2835"/>
        <item x="2848"/>
        <item x="3601"/>
        <item x="4081"/>
        <item x="2401"/>
        <item x="1197"/>
        <item x="1565"/>
        <item x="53"/>
        <item x="3995"/>
        <item x="453"/>
        <item x="434"/>
        <item x="4148"/>
        <item x="2659"/>
        <item x="1088"/>
        <item x="4577"/>
        <item x="3699"/>
        <item x="4700"/>
        <item x="4066"/>
        <item x="3018"/>
        <item x="4191"/>
        <item x="1307"/>
        <item x="1288"/>
        <item x="4239"/>
        <item x="1406"/>
        <item x="4031"/>
        <item x="324"/>
        <item x="78"/>
        <item x="4703"/>
        <item x="3852"/>
        <item x="3602"/>
        <item x="4516"/>
        <item x="4047"/>
        <item x="437"/>
        <item x="2886"/>
        <item x="1968"/>
        <item x="3848"/>
        <item x="3392"/>
        <item x="3997"/>
        <item x="1193"/>
        <item x="179"/>
        <item x="1101"/>
        <item x="3902"/>
        <item x="4082"/>
        <item x="2947"/>
        <item x="3863"/>
        <item x="2992"/>
        <item x="4667"/>
        <item x="3215"/>
        <item x="3388"/>
        <item x="4381"/>
        <item x="4294"/>
        <item x="2920"/>
        <item x="1186"/>
        <item x="4588"/>
        <item x="3339"/>
        <item x="2890"/>
        <item x="2338"/>
        <item x="3024"/>
        <item x="2786"/>
        <item x="4157"/>
        <item x="2125"/>
        <item x="842"/>
        <item x="1420"/>
        <item x="1102"/>
        <item x="428"/>
        <item x="3306"/>
        <item x="1889"/>
        <item x="3102"/>
        <item x="3659"/>
        <item x="3073"/>
        <item x="2667"/>
        <item x="3952"/>
        <item x="3650"/>
        <item x="2230"/>
        <item x="129"/>
        <item x="2398"/>
        <item x="2006"/>
        <item x="1639"/>
        <item x="1250"/>
        <item x="3000"/>
        <item x="1785"/>
        <item x="2938"/>
        <item x="2549"/>
        <item x="4292"/>
        <item x="4317"/>
        <item x="4310"/>
        <item x="4229"/>
        <item x="3256"/>
        <item x="4466"/>
        <item x="2865"/>
        <item x="2762"/>
        <item x="4727"/>
        <item x="3571"/>
        <item x="821"/>
        <item x="569"/>
        <item x="511"/>
        <item x="2768"/>
        <item x="3530"/>
        <item x="4133"/>
        <item x="3158"/>
        <item x="3842"/>
        <item x="3321"/>
        <item x="3951"/>
        <item x="3978"/>
        <item x="2829"/>
        <item x="4351"/>
        <item x="254"/>
        <item x="2592"/>
        <item x="4375"/>
        <item x="1534"/>
        <item x="1145"/>
        <item x="3649"/>
        <item x="3208"/>
        <item x="3116"/>
        <item x="2294"/>
        <item x="694"/>
        <item x="2744"/>
        <item x="1615"/>
        <item x="322"/>
        <item x="3405"/>
        <item x="398"/>
        <item x="2680"/>
        <item x="4194"/>
        <item x="315"/>
        <item x="3930"/>
        <item x="4193"/>
        <item x="921"/>
        <item x="273"/>
        <item x="4707"/>
        <item x="4101"/>
        <item x="2967"/>
        <item x="2284"/>
        <item x="460"/>
        <item x="3365"/>
        <item x="1622"/>
        <item x="1342"/>
        <item x="3172"/>
        <item x="3039"/>
        <item x="4710"/>
        <item x="919"/>
        <item x="3935"/>
        <item x="4464"/>
        <item x="650"/>
        <item x="1141"/>
        <item x="3485"/>
        <item x="4249"/>
        <item x="3145"/>
        <item x="1318"/>
        <item x="3942"/>
        <item x="3156"/>
        <item x="606"/>
        <item x="2438"/>
        <item x="4132"/>
        <item x="1050"/>
        <item x="2627"/>
        <item x="1563"/>
        <item x="2748"/>
        <item x="4209"/>
        <item x="114"/>
        <item x="395"/>
        <item x="487"/>
        <item x="2122"/>
        <item x="231"/>
        <item x="4335"/>
        <item x="4156"/>
        <item x="2018"/>
        <item x="2197"/>
        <item x="3089"/>
        <item x="2191"/>
        <item x="2661"/>
        <item x="1682"/>
        <item x="1705"/>
        <item x="4363"/>
        <item x="1542"/>
        <item x="3626"/>
        <item x="2093"/>
        <item x="1158"/>
        <item x="3716"/>
        <item x="1784"/>
        <item x="2729"/>
        <item x="3016"/>
        <item x="2651"/>
        <item x="3929"/>
        <item x="4037"/>
        <item x="946"/>
        <item x="2368"/>
        <item x="1755"/>
        <item x="4425"/>
        <item x="257"/>
        <item x="3632"/>
        <item x="3125"/>
        <item x="841"/>
        <item x="738"/>
        <item x="557"/>
        <item x="4063"/>
        <item x="356"/>
        <item x="1201"/>
        <item x="4247"/>
        <item x="4234"/>
        <item x="894"/>
        <item x="2386"/>
        <item x="4584"/>
        <item x="1685"/>
        <item x="156"/>
        <item x="1458"/>
        <item x="779"/>
        <item x="3905"/>
        <item x="1576"/>
        <item x="1524"/>
        <item x="845"/>
        <item x="2421"/>
        <item x="3366"/>
        <item x="4154"/>
        <item x="4203"/>
        <item x="4280"/>
        <item x="3118"/>
        <item x="207"/>
        <item x="4315"/>
        <item x="4443"/>
        <item x="3425"/>
        <item x="2209"/>
        <item x="1507"/>
        <item x="1568"/>
        <item x="1284"/>
        <item x="4358"/>
        <item x="4243"/>
        <item x="20"/>
        <item x="1973"/>
        <item x="626"/>
        <item x="4459"/>
        <item x="4366"/>
        <item x="655"/>
        <item x="1908"/>
        <item x="2250"/>
        <item x="1551"/>
        <item x="3176"/>
        <item x="2897"/>
        <item x="4316"/>
        <item x="3977"/>
        <item x="713"/>
        <item x="4083"/>
        <item x="2684"/>
        <item x="1945"/>
        <item x="2295"/>
        <item x="400"/>
        <item x="3352"/>
        <item x="3441"/>
        <item x="3474"/>
        <item x="4672"/>
        <item x="264"/>
        <item x="222"/>
        <item x="2587"/>
        <item x="3899"/>
        <item x="810"/>
        <item x="1845"/>
        <item x="1184"/>
        <item x="587"/>
        <item x="3338"/>
        <item x="2812"/>
        <item x="2780"/>
        <item x="2302"/>
        <item x="4476"/>
        <item x="1651"/>
        <item x="1822"/>
        <item x="4511"/>
        <item x="459"/>
        <item x="1469"/>
        <item x="285"/>
        <item x="479"/>
        <item x="1127"/>
        <item x="2397"/>
        <item x="3621"/>
        <item x="2236"/>
        <item x="554"/>
        <item x="59"/>
        <item x="2505"/>
        <item x="1741"/>
        <item x="279"/>
        <item x="1041"/>
        <item x="615"/>
        <item x="4170"/>
        <item x="836"/>
        <item x="562"/>
        <item x="1230"/>
        <item x="1306"/>
        <item x="4277"/>
        <item x="2693"/>
        <item x="3079"/>
        <item x="1009"/>
        <item x="2888"/>
        <item x="3803"/>
        <item x="4512"/>
        <item x="1137"/>
        <item x="2816"/>
        <item x="1864"/>
        <item x="2810"/>
        <item x="3955"/>
        <item x="115"/>
        <item x="2778"/>
        <item x="840"/>
        <item x="3723"/>
        <item x="306"/>
        <item x="3709"/>
        <item x="1352"/>
        <item x="1770"/>
        <item x="2007"/>
        <item x="4223"/>
        <item x="3249"/>
        <item x="4630"/>
        <item x="2861"/>
        <item x="1232"/>
        <item x="1298"/>
        <item x="3876"/>
        <item x="3069"/>
        <item x="1875"/>
        <item x="2741"/>
        <item x="2511"/>
        <item x="2457"/>
        <item x="1038"/>
        <item x="3901"/>
        <item x="4562"/>
        <item x="1185"/>
        <item x="3149"/>
        <item x="1873"/>
        <item x="4286"/>
        <item x="4349"/>
        <item x="1738"/>
        <item x="2912"/>
        <item x="2774"/>
        <item x="2851"/>
        <item x="4217"/>
        <item x="1566"/>
        <item x="38"/>
        <item x="3859"/>
        <item x="256"/>
        <item x="4412"/>
        <item x="3662"/>
        <item x="4355"/>
        <item x="4052"/>
        <item x="3580"/>
        <item x="668"/>
        <item x="4346"/>
        <item x="2342"/>
        <item x="1252"/>
        <item x="1556"/>
        <item x="2905"/>
        <item x="3827"/>
        <item x="2322"/>
        <item x="1626"/>
        <item x="2043"/>
        <item x="2803"/>
        <item x="897"/>
        <item x="4269"/>
        <item x="1725"/>
        <item x="3085"/>
        <item x="4463"/>
        <item x="2151"/>
        <item x="4477"/>
        <item x="261"/>
        <item x="212"/>
        <item x="2220"/>
        <item x="1684"/>
        <item x="1693"/>
        <item x="4300"/>
        <item x="3777"/>
        <item x="1042"/>
        <item x="1104"/>
        <item x="480"/>
        <item x="4046"/>
        <item x="3252"/>
        <item x="3195"/>
        <item x="744"/>
        <item x="267"/>
        <item x="2399"/>
        <item x="2299"/>
        <item x="3424"/>
        <item x="1719"/>
        <item x="2727"/>
        <item x="1239"/>
        <item x="4064"/>
        <item x="796"/>
        <item x="908"/>
        <item x="4139"/>
        <item x="902"/>
        <item x="697"/>
        <item x="4396"/>
        <item x="287"/>
        <item x="1394"/>
        <item x="2464"/>
        <item x="1825"/>
        <item x="692"/>
        <item x="451"/>
        <item x="1330"/>
        <item x="4617"/>
        <item x="4359"/>
        <item x="1237"/>
        <item x="4142"/>
        <item x="2300"/>
        <item x="198"/>
        <item x="607"/>
        <item x="2508"/>
        <item x="1187"/>
        <item x="3724"/>
        <item x="1905"/>
        <item x="4578"/>
        <item x="1657"/>
        <item x="2037"/>
        <item x="2262"/>
        <item x="1338"/>
        <item x="2411"/>
        <item x="669"/>
        <item x="2757"/>
        <item x="2103"/>
        <item x="2797"/>
        <item x="1304"/>
        <item x="3653"/>
        <item x="4722"/>
        <item x="3001"/>
        <item x="1510"/>
        <item x="2456"/>
        <item x="3486"/>
        <item x="3834"/>
        <item x="3005"/>
        <item x="3464"/>
        <item x="1440"/>
        <item x="3161"/>
        <item x="1591"/>
        <item x="16"/>
        <item x="1171"/>
        <item x="4216"/>
        <item x="1189"/>
        <item x="2547"/>
        <item x="2914"/>
        <item x="2952"/>
        <item x="4167"/>
        <item x="1892"/>
        <item x="3248"/>
        <item x="4696"/>
        <item x="2280"/>
        <item x="3226"/>
        <item x="4484"/>
        <item x="489"/>
        <item x="3758"/>
        <item x="2764"/>
        <item x="3013"/>
        <item x="2545"/>
        <item x="4551"/>
        <item x="1036"/>
        <item x="31"/>
        <item x="575"/>
        <item x="4651"/>
        <item x="1780"/>
        <item x="1467"/>
        <item x="2292"/>
        <item x="1918"/>
        <item x="834"/>
        <item x="3068"/>
        <item x="2088"/>
        <item x="1645"/>
        <item x="2841"/>
        <item x="2775"/>
        <item x="1557"/>
        <item x="1753"/>
        <item x="4339"/>
        <item x="2096"/>
        <item x="1909"/>
        <item x="4575"/>
        <item x="745"/>
        <item x="3678"/>
        <item x="2385"/>
        <item x="3818"/>
        <item x="3138"/>
        <item x="4295"/>
        <item x="665"/>
        <item x="2552"/>
        <item x="2451"/>
        <item x="1828"/>
        <item x="4088"/>
        <item x="2188"/>
        <item x="1827"/>
        <item x="2546"/>
        <item x="1229"/>
        <item x="1011"/>
        <item x="2839"/>
        <item x="1091"/>
        <item x="2455"/>
        <item x="990"/>
        <item x="3230"/>
        <item x="1086"/>
        <item x="815"/>
        <item x="4467"/>
        <item x="1128"/>
        <item x="1082"/>
        <item x="3487"/>
        <item x="2171"/>
        <item x="2249"/>
        <item x="904"/>
        <item x="2804"/>
        <item x="4126"/>
        <item x="1324"/>
        <item x="1994"/>
        <item x="2715"/>
        <item x="862"/>
        <item x="4202"/>
        <item x="2199"/>
        <item x="574"/>
        <item x="3175"/>
        <item x="2872"/>
        <item x="4242"/>
        <item x="1301"/>
        <item x="4548"/>
        <item x="1932"/>
        <item x="2580"/>
        <item x="2596"/>
        <item x="1286"/>
        <item x="2877"/>
        <item x="2570"/>
        <item x="3297"/>
        <item x="4690"/>
        <item x="634"/>
        <item x="2192"/>
        <item x="3591"/>
        <item x="206"/>
        <item x="1413"/>
        <item x="4498"/>
        <item x="2908"/>
        <item x="1807"/>
        <item x="1136"/>
        <item x="167"/>
        <item x="3111"/>
        <item x="3973"/>
        <item x="1922"/>
        <item x="2337"/>
        <item x="2772"/>
        <item x="1063"/>
        <item x="4027"/>
        <item x="3718"/>
        <item x="4043"/>
        <item x="385"/>
        <item x="1302"/>
        <item x="2997"/>
        <item x="4141"/>
        <item x="2473"/>
        <item x="2783"/>
        <item x="3934"/>
        <item x="3845"/>
        <item x="199"/>
        <item x="1575"/>
        <item x="1740"/>
        <item x="5"/>
        <item x="2781"/>
        <item x="3324"/>
        <item x="910"/>
        <item x="4077"/>
        <item x="844"/>
        <item x="2758"/>
        <item x="4622"/>
        <item x="3637"/>
        <item x="3031"/>
        <item x="1447"/>
        <item x="4340"/>
        <item x="2711"/>
        <item x="613"/>
        <item x="4542"/>
        <item x="2815"/>
        <item x="49"/>
        <item x="3331"/>
        <item x="1986"/>
        <item x="2696"/>
        <item x="1735"/>
        <item x="4219"/>
        <item x="3410"/>
        <item x="4433"/>
        <item x="250"/>
        <item x="2254"/>
        <item x="531"/>
        <item x="4"/>
        <item x="3667"/>
        <item x="3159"/>
        <item x="401"/>
        <item x="3551"/>
        <item x="581"/>
        <item x="4697"/>
        <item x="1993"/>
        <item x="3188"/>
        <item x="3174"/>
        <item x="2793"/>
        <item x="4028"/>
        <item x="4592"/>
        <item x="365"/>
        <item x="1490"/>
        <item x="1212"/>
        <item x="2763"/>
        <item x="591"/>
        <item x="903"/>
        <item x="292"/>
        <item x="4430"/>
        <item x="2740"/>
        <item x="2792"/>
        <item x="1833"/>
        <item x="969"/>
        <item x="704"/>
        <item x="1818"/>
        <item x="3346"/>
        <item x="2329"/>
        <item x="764"/>
        <item x="1531"/>
        <item x="3077"/>
        <item x="4034"/>
        <item x="4487"/>
        <item x="1570"/>
        <item x="3802"/>
        <item x="3367"/>
        <item x="3702"/>
        <item x="625"/>
        <item x="2420"/>
        <item x="1724"/>
        <item x="2200"/>
        <item x="3055"/>
        <item x="372"/>
        <item x="2227"/>
        <item x="2132"/>
        <item x="4338"/>
        <item x="4069"/>
        <item x="1843"/>
        <item x="3122"/>
        <item x="803"/>
        <item x="205"/>
        <item x="949"/>
        <item x="3105"/>
        <item x="2488"/>
        <item x="4163"/>
        <item x="499"/>
        <item x="4570"/>
        <item x="4461"/>
        <item x="2442"/>
        <item x="2453"/>
        <item x="2375"/>
        <item x="3670"/>
        <item x="507"/>
        <item x="898"/>
        <item x="3148"/>
        <item x="3673"/>
        <item x="2716"/>
        <item x="2847"/>
        <item x="4000"/>
        <item x="1483"/>
        <item x="3080"/>
        <item x="3062"/>
        <item x="1717"/>
        <item x="1421"/>
        <item x="481"/>
        <item x="1117"/>
        <item x="3775"/>
        <item x="3344"/>
        <item x="4003"/>
        <item x="1819"/>
        <item x="1778"/>
        <item x="2950"/>
        <item x="532"/>
        <item x="1359"/>
        <item x="611"/>
        <item x="4709"/>
        <item x="3663"/>
        <item x="500"/>
        <item x="3037"/>
        <item x="2736"/>
        <item x="3611"/>
        <item x="1190"/>
        <item x="1081"/>
        <item x="1573"/>
        <item x="4124"/>
        <item x="2484"/>
        <item x="3767"/>
        <item x="4140"/>
        <item x="3572"/>
        <item x="2202"/>
        <item x="707"/>
        <item x="1895"/>
        <item x="4248"/>
        <item x="1195"/>
        <item x="200"/>
        <item x="155"/>
        <item x="3749"/>
        <item x="1571"/>
        <item x="3246"/>
        <item x="1241"/>
        <item x="136"/>
        <item x="4482"/>
        <item x="2437"/>
        <item x="4714"/>
        <item x="82"/>
        <item x="769"/>
        <item x="3044"/>
        <item x="1134"/>
        <item x="2995"/>
        <item x="673"/>
        <item x="1964"/>
        <item x="4705"/>
        <item x="2423"/>
        <item x="3056"/>
        <item x="2558"/>
        <item x="4040"/>
        <item x="3778"/>
        <item x="4092"/>
        <item x="4558"/>
        <item x="2087"/>
        <item x="1312"/>
        <item x="1779"/>
        <item x="4717"/>
        <item x="1196"/>
        <item x="1934"/>
        <item x="3666"/>
        <item x="4137"/>
        <item x="3372"/>
        <item x="3254"/>
        <item x="605"/>
        <item x="478"/>
        <item x="586"/>
        <item x="244"/>
        <item x="743"/>
        <item x="1119"/>
        <item x="3475"/>
        <item x="3190"/>
        <item x="4056"/>
        <item x="2105"/>
        <item x="1805"/>
        <item x="1512"/>
        <item x="1879"/>
        <item x="493"/>
        <item x="3672"/>
        <item x="2276"/>
        <item x="2999"/>
        <item x="4162"/>
        <item x="2871"/>
        <item x="1891"/>
        <item x="671"/>
        <item x="3855"/>
        <item x="2327"/>
        <item x="4153"/>
        <item x="784"/>
        <item x="523"/>
        <item x="4255"/>
        <item x="651"/>
        <item x="2870"/>
        <item x="3790"/>
        <item x="3965"/>
        <item x="197"/>
        <item x="1039"/>
        <item x="2824"/>
        <item x="973"/>
        <item x="2099"/>
        <item x="294"/>
        <item x="4711"/>
        <item x="4260"/>
        <item x="2507"/>
        <item x="208"/>
        <item x="822"/>
        <item x="4591"/>
        <item x="4656"/>
        <item x="988"/>
        <item x="909"/>
        <item x="1303"/>
        <item x="3625"/>
        <item x="3162"/>
        <item x="3471"/>
        <item x="3312"/>
        <item x="2955"/>
        <item x="2814"/>
        <item x="2506"/>
        <item x="2958"/>
        <item x="4094"/>
        <item x="3465"/>
        <item x="195"/>
        <item x="3285"/>
        <item x="412"/>
        <item x="1874"/>
        <item x="4285"/>
        <item x="3049"/>
        <item x="873"/>
        <item x="4737"/>
        <item x="1920"/>
        <item x="4230"/>
        <item x="3856"/>
        <item x="3036"/>
        <item x="3617"/>
        <item x="72"/>
        <item x="884"/>
        <item x="2328"/>
        <item x="2378"/>
        <item x="3262"/>
        <item x="1633"/>
        <item x="1428"/>
        <item x="2739"/>
        <item x="4241"/>
        <item x="1569"/>
        <item x="1147"/>
        <item x="4111"/>
        <item x="638"/>
        <item x="4337"/>
        <item x="102"/>
        <item x="2470"/>
        <item x="1073"/>
        <item x="343"/>
        <item x="1765"/>
        <item x="1383"/>
        <item x="51"/>
        <item x="1459"/>
        <item x="2065"/>
        <item x="1022"/>
        <item x="666"/>
        <item x="3168"/>
        <item x="2485"/>
        <item x="3012"/>
        <item x="997"/>
        <item x="1414"/>
        <item x="3537"/>
        <item x="3385"/>
        <item x="2623"/>
        <item x="3941"/>
        <item x="792"/>
        <item x="2019"/>
        <item x="2854"/>
        <item x="573"/>
        <item x="3519"/>
        <item x="4539"/>
        <item x="3961"/>
        <item x="850"/>
        <item x="3384"/>
        <item x="3454"/>
        <item x="2393"/>
        <item x="2263"/>
        <item x="3884"/>
        <item x="2544"/>
        <item x="295"/>
        <item x="4127"/>
        <item x="4042"/>
        <item x="3623"/>
        <item x="817"/>
        <item x="3850"/>
        <item x="3766"/>
        <item x="890"/>
        <item x="4071"/>
        <item x="10"/>
        <item x="3063"/>
        <item x="13"/>
        <item x="3817"/>
        <item x="2050"/>
        <item x="4544"/>
        <item x="2307"/>
        <item x="2998"/>
        <item x="3614"/>
        <item x="2887"/>
        <item x="1225"/>
        <item x="2518"/>
        <item x="4110"/>
        <item x="4050"/>
        <item x="2819"/>
        <item x="1577"/>
        <item x="2951"/>
        <item x="1921"/>
        <item x="1370"/>
        <item x="2324"/>
        <item x="3560"/>
        <item x="123"/>
        <item x="3550"/>
        <item x="3096"/>
        <item x="1035"/>
        <item x="2426"/>
        <item x="1623"/>
        <item x="1319"/>
        <item x="2994"/>
        <item x="948"/>
        <item x="2832"/>
        <item x="3191"/>
        <item x="4401"/>
        <item x="2845"/>
        <item x="4390"/>
        <item x="2833"/>
        <item x="3008"/>
        <item x="187"/>
        <item x="148"/>
        <item x="3561"/>
        <item x="466"/>
        <item x="1313"/>
        <item x="2102"/>
        <item x="895"/>
        <item x="4415"/>
        <item x="3675"/>
        <item x="3160"/>
        <item x="791"/>
        <item x="1558"/>
        <item x="2517"/>
        <item x="420"/>
        <item x="4712"/>
        <item x="1933"/>
        <item x="2538"/>
        <item x="312"/>
        <item x="1446"/>
        <item x="1154"/>
        <item x="3538"/>
        <item x="4051"/>
        <item x="289"/>
        <item x="880"/>
        <item x="1360"/>
        <item x="3846"/>
        <item x="1562"/>
        <item x="1244"/>
        <item x="2635"/>
        <item x="2349"/>
        <item x="4263"/>
        <item x="3539"/>
        <item x="361"/>
        <item x="4089"/>
        <item x="4123"/>
        <item x="1012"/>
        <item x="3472"/>
        <item x="3260"/>
        <item x="3875"/>
        <item x="518"/>
        <item x="4168"/>
        <item x="925"/>
        <item x="4595"/>
        <item x="2201"/>
        <item x="1261"/>
        <item x="2279"/>
        <item x="2953"/>
        <item x="3099"/>
        <item x="1486"/>
        <item x="1862"/>
        <item x="848"/>
        <item x="1417"/>
        <item x="1180"/>
        <item x="1207"/>
        <item x="1439"/>
        <item x="3526"/>
        <item x="4671"/>
        <item x="3368"/>
        <item x="4653"/>
        <item x="2933"/>
        <item x="4014"/>
        <item x="3909"/>
        <item x="341"/>
        <item x="1172"/>
        <item x="3325"/>
        <item x="2915"/>
        <item x="2228"/>
        <item x="3027"/>
        <item x="1522"/>
        <item x="1590"/>
        <item x="3294"/>
        <item x="1692"/>
        <item x="3927"/>
        <item x="325"/>
        <item x="1804"/>
        <item x="4049"/>
        <item x="2266"/>
        <item x="708"/>
        <item x="2717"/>
        <item x="1817"/>
        <item x="3488"/>
        <item x="4506"/>
        <item x="4112"/>
        <item x="979"/>
        <item x="3060"/>
        <item x="491"/>
        <item x="1731"/>
        <item x="3522"/>
        <item x="3043"/>
        <item x="2654"/>
        <item x="3898"/>
        <item x="4319"/>
        <item x="1672"/>
        <item x="808"/>
        <item x="36"/>
        <item x="3184"/>
        <item x="2334"/>
        <item x="4567"/>
        <item x="3857"/>
        <item x="3686"/>
        <item x="1800"/>
        <item x="2615"/>
        <item x="4029"/>
        <item x="1610"/>
        <item x="4626"/>
        <item x="476"/>
        <item x="2973"/>
        <item x="4699"/>
        <item x="4013"/>
        <item x="989"/>
        <item x="3894"/>
        <item x="4138"/>
        <item x="4284"/>
        <item x="4623"/>
        <item x="1600"/>
        <item x="683"/>
        <item x="1629"/>
        <item x="827"/>
        <item x="918"/>
        <item x="445"/>
        <item x="3004"/>
        <item x="2850"/>
        <item x="2662"/>
        <item x="1831"/>
        <item x="293"/>
        <item x="995"/>
        <item x="440"/>
        <item x="3155"/>
        <item x="2097"/>
        <item x="109"/>
        <item x="3242"/>
        <item x="735"/>
        <item x="2765"/>
        <item x="3896"/>
        <item x="543"/>
        <item x="4320"/>
        <item x="3671"/>
        <item x="1936"/>
        <item x="203"/>
        <item x="3962"/>
        <item x="1884"/>
        <item x="1926"/>
        <item x="1412"/>
        <item x="1912"/>
        <item x="100"/>
        <item x="301"/>
        <item x="2287"/>
        <item x="1160"/>
        <item x="268"/>
        <item x="1949"/>
        <item x="2278"/>
        <item x="3636"/>
        <item x="1368"/>
        <item x="2140"/>
        <item x="3599"/>
        <item x="1139"/>
        <item x="4404"/>
        <item x="3192"/>
        <item x="1173"/>
        <item x="2746"/>
        <item x="2261"/>
        <item x="3345"/>
        <item x="2139"/>
        <item x="3527"/>
        <item x="4638"/>
        <item x="3654"/>
        <item x="3132"/>
        <item x="1364"/>
        <item x="528"/>
        <item x="1561"/>
        <item x="4454"/>
        <item x="2293"/>
        <item x="1408"/>
        <item x="2104"/>
        <item x="4431"/>
        <item x="3618"/>
        <item x="3131"/>
        <item x="4625"/>
        <item x="2387"/>
        <item x="4164"/>
        <item x="501"/>
        <item x="3585"/>
        <item x="1294"/>
        <item x="2448"/>
        <item x="3140"/>
        <item x="4323"/>
        <item x="2650"/>
        <item x="4011"/>
        <item x="2172"/>
        <item x="137"/>
        <item x="2384"/>
        <item x="2699"/>
        <item x="135"/>
        <item x="3061"/>
        <item x="436"/>
        <item x="2734"/>
        <item x="2571"/>
        <item x="2579"/>
        <item x="3035"/>
        <item x="3926"/>
        <item x="1387"/>
        <item x="1432"/>
        <item x="262"/>
        <item x="3638"/>
        <item x="1060"/>
        <item x="2479"/>
        <item x="551"/>
        <item x="1463"/>
        <item x="4686"/>
        <item x="4716"/>
        <item x="3528"/>
        <item x="2940"/>
        <item x="4658"/>
        <item x="1581"/>
        <item x="442"/>
        <item x="3106"/>
        <item x="2282"/>
        <item x="154"/>
        <item x="525"/>
        <item x="2756"/>
        <item x="2133"/>
        <item x="435"/>
        <item x="4152"/>
        <item x="993"/>
        <item x="4072"/>
        <item x="1913"/>
        <item x="772"/>
        <item x="3203"/>
        <item x="2260"/>
        <item x="2759"/>
        <item x="2761"/>
        <item x="2676"/>
        <item x="128"/>
        <item x="3081"/>
        <item x="3511"/>
        <item x="2916"/>
        <item x="4342"/>
        <item x="515"/>
        <item x="4199"/>
        <item x="4455"/>
        <item x="2141"/>
        <item x="3304"/>
        <item x="802"/>
        <item x="127"/>
        <item x="2281"/>
        <item x="4571"/>
        <item x="579"/>
        <item x="3318"/>
        <item x="3072"/>
        <item x="2569"/>
        <item x="3831"/>
        <item x="2704"/>
        <item x="2157"/>
        <item x="3579"/>
        <item x="4582"/>
        <item x="3597"/>
        <item x="1806"/>
        <item x="2395"/>
        <item x="2291"/>
        <item x="4333"/>
        <item x="4328"/>
        <item x="4604"/>
        <item x="3688"/>
        <item x="447"/>
        <item x="3750"/>
        <item x="1654"/>
        <item x="867"/>
        <item x="2219"/>
        <item x="1217"/>
        <item x="1495"/>
        <item x="2086"/>
        <item x="67"/>
        <item x="1897"/>
        <item x="780"/>
        <item x="1205"/>
        <item x="2354"/>
        <item x="736"/>
        <item x="3815"/>
        <item x="695"/>
        <item x="3303"/>
        <item x="2194"/>
        <item x="2928"/>
        <item x="4437"/>
        <item x="4624"/>
        <item x="2064"/>
        <item x="567"/>
        <item x="520"/>
        <item x="3641"/>
        <item x="4633"/>
        <item x="2738"/>
        <item x="1924"/>
        <item x="1842"/>
        <item x="4701"/>
        <item x="1704"/>
        <item x="559"/>
        <item x="3668"/>
        <item x="463"/>
        <item x="1204"/>
        <item x="3643"/>
        <item x="4304"/>
        <item x="3051"/>
        <item x="2392"/>
        <item x="2836"/>
        <item x="2606"/>
        <item x="2656"/>
        <item x="383"/>
        <item x="623"/>
        <item x="4456"/>
        <item x="3836"/>
        <item x="3915"/>
        <item x="3173"/>
        <item x="592"/>
        <item x="2090"/>
        <item x="4015"/>
        <item x="775"/>
        <item x="2993"/>
        <item x="363"/>
        <item x="4177"/>
        <item x="2524"/>
        <item x="1271"/>
        <item x="2326"/>
        <item x="2259"/>
        <item x="4488"/>
        <item x="2751"/>
        <item x="2225"/>
        <item x="1248"/>
        <item x="4354"/>
        <item x="2944"/>
        <item x="3866"/>
        <item x="1005"/>
        <item x="2568"/>
        <item x="486"/>
        <item x="370"/>
        <item x="1553"/>
        <item x="4107"/>
        <item x="140"/>
        <item x="3025"/>
        <item x="1710"/>
        <item x="3515"/>
        <item x="1350"/>
        <item x="1006"/>
        <item x="714"/>
        <item x="4543"/>
        <item x="1919"/>
        <item x="2899"/>
        <item x="2226"/>
        <item x="560"/>
        <item x="1992"/>
        <item x="4486"/>
        <item x="4321"/>
        <item x="3243"/>
        <item x="2519"/>
        <item x="4693"/>
        <item x="1997"/>
        <item x="2697"/>
        <item x="4718"/>
        <item x="3559"/>
        <item x="4547"/>
        <item x="3588"/>
        <item x="4733"/>
        <item x="64"/>
        <item x="4283"/>
        <item x="508"/>
        <item x="3992"/>
        <item x="2408"/>
        <item x="2449"/>
        <item x="3713"/>
        <item x="716"/>
        <item x="1796"/>
        <item x="488"/>
        <item x="1090"/>
        <item x="2860"/>
        <item x="454"/>
        <item x="865"/>
        <item x="2165"/>
        <item x="4367"/>
        <item x="4211"/>
        <item x="2622"/>
        <item x="3584"/>
        <item x="331"/>
        <item x="3439"/>
        <item x="403"/>
        <item x="2625"/>
        <item x="4357"/>
        <item x="929"/>
        <item x="3408"/>
        <item x="4655"/>
        <item x="2702"/>
        <item x="414"/>
        <item x="313"/>
        <item x="4654"/>
        <item x="1475"/>
        <item x="1470"/>
        <item x="3520"/>
        <item x="4728"/>
        <item x="3567"/>
        <item x="1543"/>
        <item x="561"/>
        <item x="4166"/>
        <item x="2644"/>
        <item x="1220"/>
        <item x="1588"/>
        <item x="3710"/>
        <item x="4224"/>
        <item x="334"/>
        <item x="1716"/>
        <item x="996"/>
        <item x="4713"/>
        <item x="1687"/>
        <item x="3214"/>
        <item x="3033"/>
        <item x="1110"/>
        <item x="2100"/>
        <item x="2169"/>
        <item x="2481"/>
        <item x="1340"/>
        <item x="1930"/>
        <item x="2589"/>
        <item x="342"/>
        <item x="3273"/>
        <item x="2305"/>
        <item x="2212"/>
        <item x="1084"/>
        <item x="3908"/>
        <item x="1043"/>
        <item x="1433"/>
        <item x="1053"/>
        <item x="2406"/>
        <item x="882"/>
        <item x="4458"/>
        <item x="954"/>
        <item x="1436"/>
        <item x="4189"/>
        <item x="4490"/>
        <item x="3409"/>
        <item x="3612"/>
        <item x="926"/>
        <item x="1653"/>
        <item x="348"/>
        <item x="374"/>
        <item x="3913"/>
        <item x="3759"/>
        <item x="391"/>
        <item x="3938"/>
        <item x="3746"/>
        <item x="3764"/>
        <item x="2554"/>
        <item x="2156"/>
        <item x="450"/>
        <item x="429"/>
        <item x="444"/>
        <item x="901"/>
        <item x="3858"/>
        <item x="1673"/>
        <item x="337"/>
        <item x="418"/>
        <item x="2101"/>
        <item x="3704"/>
        <item x="1763"/>
        <item x="789"/>
        <item x="977"/>
        <item x="629"/>
        <item x="3598"/>
        <item x="1124"/>
        <item x="522"/>
        <item x="1500"/>
        <item x="998"/>
        <item x="2984"/>
        <item x="1929"/>
        <item x="1300"/>
        <item x="2806"/>
        <item x="600"/>
        <item x="218"/>
        <item x="1858"/>
        <item x="4559"/>
        <item x="1198"/>
        <item x="4207"/>
        <item x="1234"/>
        <item x="2480"/>
        <item x="1649"/>
        <item x="1947"/>
        <item x="2586"/>
        <item x="1985"/>
        <item x="2089"/>
        <item x="549"/>
        <item x="3676"/>
        <item x="3903"/>
        <item x="1580"/>
        <item x="2791"/>
        <item x="1578"/>
        <item x="402"/>
        <item x="1345"/>
        <item x="1697"/>
        <item x="2405"/>
        <item x="2943"/>
        <item x="2983"/>
        <item x="4568"/>
        <item x="4369"/>
        <item x="737"/>
        <item x="978"/>
        <item x="2499"/>
        <item x="2752"/>
        <item x="547"/>
        <item x="4434"/>
        <item x="2396"/>
        <item x="1125"/>
        <item x="2257"/>
        <item x="3944"/>
        <item x="4329"/>
        <item x="4227"/>
        <item x="191"/>
        <item x="2782"/>
        <item x="3714"/>
        <item x="2311"/>
        <item x="1637"/>
        <item x="907"/>
        <item x="849"/>
        <item x="133"/>
        <item x="1348"/>
        <item x="2735"/>
        <item x="1362"/>
        <item x="1316"/>
        <item x="3497"/>
        <item x="2771"/>
        <item x="117"/>
        <item x="2152"/>
        <item x="3378"/>
        <item x="288"/>
        <item x="1071"/>
        <item x="4612"/>
        <item x="4523"/>
        <item x="2045"/>
        <item x="4085"/>
        <item x="1277"/>
        <item x="1931"/>
        <item x="4436"/>
        <item x="364"/>
        <item x="4417"/>
        <item x="1464"/>
        <item x="3976"/>
        <item x="1462"/>
        <item x="4086"/>
        <item x="3832"/>
        <item x="1333"/>
        <item x="99"/>
        <item x="944"/>
        <item x="416"/>
        <item x="4368"/>
        <item x="542"/>
        <item x="4473"/>
        <item x="798"/>
        <item x="961"/>
        <item x="3615"/>
        <item x="1353"/>
        <item x="216"/>
        <item x="2213"/>
        <item x="1296"/>
        <item x="3163"/>
        <item x="3582"/>
        <item x="852"/>
        <item x="3619"/>
        <item x="731"/>
        <item x="2195"/>
        <item x="25"/>
        <item x="3613"/>
        <item x="366"/>
        <item x="1689"/>
        <item x="1430"/>
        <item x="1545"/>
        <item x="2178"/>
        <item x="2478"/>
        <item x="4565"/>
        <item x="2339"/>
        <item x="3348"/>
        <item x="3791"/>
        <item x="1226"/>
        <item x="2063"/>
        <item x="3674"/>
        <item x="955"/>
        <item x="3092"/>
        <item x="1904"/>
        <item x="3867"/>
        <item x="4301"/>
        <item x="3282"/>
        <item x="1851"/>
        <item x="4331"/>
        <item x="700"/>
        <item x="1293"/>
        <item x="765"/>
        <item x="3587"/>
        <item x="2624"/>
        <item x="97"/>
        <item x="1732"/>
        <item x="3540"/>
        <item x="2301"/>
        <item x="685"/>
        <item x="1066"/>
        <item x="1981"/>
        <item x="3804"/>
        <item x="3026"/>
        <item x="1123"/>
        <item x="4144"/>
        <item x="4632"/>
        <item x="4720"/>
        <item x="2844"/>
        <item x="503"/>
        <item x="3375"/>
        <item x="1465"/>
        <item x="984"/>
        <item x="3748"/>
        <item x="4095"/>
        <item x="2978"/>
        <item x="2275"/>
        <item x="144"/>
        <item x="3972"/>
        <item x="3023"/>
        <item x="1896"/>
        <item x="2873"/>
        <item x="773"/>
        <item x="3917"/>
        <item x="3895"/>
        <item x="1266"/>
        <item x="3091"/>
        <item x="3616"/>
        <item x="423"/>
        <item x="4012"/>
        <item x="3586"/>
        <item x="3276"/>
        <item x="970"/>
        <item x="991"/>
        <item x="1093"/>
        <item x="3406"/>
        <item x="2356"/>
        <item x="2383"/>
        <item x="1431"/>
        <item x="1153"/>
        <item x="3379"/>
        <item x="4462"/>
        <item x="2248"/>
        <item x="4129"/>
        <item x="3093"/>
        <item x="2750"/>
        <item x="43"/>
        <item x="4109"/>
        <item x="976"/>
        <item x="2728"/>
        <item x="1948"/>
        <item x="4078"/>
        <item x="1966"/>
        <item x="3370"/>
        <item x="2946"/>
        <item x="1291"/>
        <item x="3113"/>
        <item x="3757"/>
        <item x="1257"/>
        <item x="52"/>
        <item x="2972"/>
        <item x="406"/>
        <item x="4001"/>
        <item x="3946"/>
        <item x="3274"/>
        <item x="3139"/>
        <item x="3359"/>
        <item x="266"/>
        <item x="4391"/>
        <item x="572"/>
        <item x="1586"/>
        <item x="2177"/>
        <item x="3067"/>
        <item x="3309"/>
        <item x="3900"/>
        <item x="3991"/>
        <item x="564"/>
        <item x="2917"/>
        <item x="3147"/>
        <item x="635"/>
        <item x="3854"/>
        <item x="1747"/>
        <item x="2170"/>
        <item x="1346"/>
        <item x="1468"/>
        <item x="1797"/>
        <item x="1902"/>
        <item x="964"/>
        <item x="1497"/>
        <item x="580"/>
        <item x="1079"/>
        <item x="3770"/>
        <item x="2954"/>
        <item x="4017"/>
        <item x="2646"/>
        <item x="455"/>
        <item x="1504"/>
        <item x="986"/>
        <item x="4251"/>
        <item x="2820"/>
        <item x="2600"/>
        <item x="4480"/>
        <item x="785"/>
        <item x="1395"/>
        <item x="2874"/>
        <item x="4225"/>
        <item x="1514"/>
        <item x="1444"/>
        <item x="4491"/>
        <item x="3994"/>
        <item x="2394"/>
        <item x="396"/>
        <item x="2163"/>
        <item x="3430"/>
        <item x="130"/>
        <item x="3299"/>
        <item x="4474"/>
        <item x="338"/>
        <item x="3029"/>
        <item x="3964"/>
        <item x="2079"/>
        <item x="1094"/>
        <item x="1056"/>
        <item x="2498"/>
        <item x="3141"/>
        <item x="1077"/>
        <item x="3095"/>
        <item x="2532"/>
        <item x="2913"/>
        <item x="950"/>
        <item x="3453"/>
        <item x="3133"/>
        <item x="2483"/>
        <item x="4692"/>
        <item x="1025"/>
        <item x="1062"/>
        <item x="2153"/>
        <item x="1365"/>
        <item x="3263"/>
        <item x="1631"/>
        <item x="2211"/>
        <item x="4683"/>
        <item x="2842"/>
        <item x="3776"/>
        <item x="960"/>
        <item x="1535"/>
        <item x="2315"/>
        <item x="2809"/>
        <item x="4222"/>
        <item x="2536"/>
        <item x="1155"/>
        <item x="2370"/>
        <item x="190"/>
        <item x="806"/>
        <item x="3833"/>
        <item x="2574"/>
        <item x="3510"/>
        <item x="2258"/>
        <item x="4062"/>
        <item x="915"/>
        <item x="162"/>
        <item x="1880"/>
        <item x="604"/>
        <item x="3801"/>
        <item x="4702"/>
        <item x="2753"/>
        <item x="1532"/>
        <item x="1712"/>
        <item x="4457"/>
        <item x="4572"/>
        <item x="2098"/>
        <item x="1560"/>
        <item x="1378"/>
        <item x="3078"/>
        <item x="1540"/>
        <item x="4540"/>
        <item x="1890"/>
        <item x="226"/>
        <item x="1113"/>
        <item x="2607"/>
        <item x="1493"/>
        <item x="892"/>
        <item x="711"/>
        <item x="932"/>
        <item x="4032"/>
        <item x="4613"/>
        <item x="3914"/>
        <item x="3496"/>
        <item x="14"/>
        <item x="1481"/>
        <item x="4601"/>
        <item x="2017"/>
        <item x="1374"/>
        <item x="1270"/>
        <item x="517"/>
        <item x="1366"/>
        <item x="2990"/>
        <item x="4004"/>
        <item x="4091"/>
        <item x="1369"/>
        <item x="3460"/>
        <item x="3326"/>
        <item x="1246"/>
        <item x="2330"/>
        <item x="1178"/>
        <item x="1720"/>
        <item x="2834"/>
        <item x="2767"/>
        <item x="4307"/>
        <item x="4122"/>
        <item x="4557"/>
        <item x="1729"/>
        <item x="4460"/>
        <item x="1076"/>
        <item x="1295"/>
        <item x="8"/>
        <item x="3225"/>
        <item x="1450"/>
        <item x="2252"/>
        <item x="4226"/>
        <item x="2371"/>
        <item x="4408"/>
        <item x="3396"/>
        <item x="3290"/>
        <item x="495"/>
        <item x="4427"/>
        <item x="3201"/>
        <item x="1213"/>
        <item x="2530"/>
        <item x="3094"/>
        <item x="4115"/>
        <item x="1355"/>
        <item x="29"/>
        <item x="1824"/>
        <item x="3054"/>
        <item x="1336"/>
        <item x="3361"/>
        <item x="1192"/>
        <item x="3360"/>
        <item x="3245"/>
        <item x="582"/>
        <item x="308"/>
        <item x="3395"/>
        <item x="4070"/>
        <item x="3622"/>
        <item x="323"/>
        <item x="4065"/>
        <item x="147"/>
        <item x="951"/>
        <item x="4681"/>
        <item x="1648"/>
        <item x="1445"/>
        <item x="3751"/>
        <item x="3589"/>
        <item x="727"/>
        <item x="4706"/>
        <item x="1182"/>
        <item x="856"/>
        <item x="766"/>
        <item x="2529"/>
        <item x="814"/>
        <item x="1164"/>
        <item x="2382"/>
        <item x="484"/>
        <item x="1647"/>
        <item x="3350"/>
        <item x="4560"/>
        <item x="2404"/>
        <item x="189"/>
        <item x="1222"/>
        <item x="4393"/>
        <item x="2465"/>
        <item x="3217"/>
        <item x="2351"/>
        <item x="2939"/>
        <item x="2784"/>
        <item x="1757"/>
        <item x="1448"/>
        <item x="2489"/>
        <item x="2303"/>
        <item x="3255"/>
        <item x="2049"/>
        <item x="1769"/>
        <item x="636"/>
        <item x="413"/>
        <item x="1830"/>
        <item x="1258"/>
        <item x="461"/>
        <item x="2934"/>
        <item x="3265"/>
        <item x="3950"/>
        <item x="3547"/>
        <item x="4730"/>
        <item x="74"/>
        <item x="91"/>
        <item x="3974"/>
        <item x="1407"/>
        <item x="4479"/>
        <item x="3936"/>
        <item x="2042"/>
        <item x="305"/>
        <item x="3457"/>
        <item x="3897"/>
        <item x="4673"/>
        <item x="3904"/>
        <item x="2653"/>
        <item x="21"/>
        <item x="1598"/>
        <item x="4125"/>
        <item x="2664"/>
        <item x="3975"/>
        <item x="3677"/>
        <item x="1567"/>
        <item x="4254"/>
        <item x="3120"/>
        <item x="349"/>
        <item x="3400"/>
        <item x="3985"/>
        <item x="1882"/>
        <item x="505"/>
        <item x="1927"/>
        <item x="389"/>
        <item x="2193"/>
        <item x="913"/>
        <item x="3706"/>
        <item x="4016"/>
        <item x="2136"/>
        <item x="2138"/>
        <item x="4500"/>
        <item x="4262"/>
        <item x="3603"/>
        <item x="4609"/>
        <item x="1988"/>
        <item x="807"/>
        <item x="1866"/>
        <item x="4432"/>
        <item x="1696"/>
        <item x="1852"/>
        <item x="4685"/>
        <item x="653"/>
        <item x="3947"/>
        <item x="1327"/>
        <item x="878"/>
        <item x="4231"/>
        <item x="2454"/>
        <item x="3272"/>
        <item x="601"/>
        <item x="1174"/>
        <item x="2796"/>
        <item x="2846"/>
        <item x="56"/>
        <item x="1405"/>
        <item x="2265"/>
        <item x="3296"/>
        <item x="630"/>
        <item x="1887"/>
        <item x="945"/>
        <item x="2137"/>
        <item x="2956"/>
        <item x="424"/>
        <item x="260"/>
        <item x="471"/>
        <item x="3335"/>
        <item x="1766"/>
        <item x="1999"/>
        <item x="3261"/>
        <item x="210"/>
        <item x="4165"/>
        <item x="3747"/>
        <item x="1449"/>
        <item x="3983"/>
        <item x="2352"/>
        <item x="1967"/>
        <item x="2737"/>
        <item x="3707"/>
        <item x="813"/>
        <item x="4719"/>
        <item x="2062"/>
        <item x="3800"/>
        <item x="2400"/>
        <item x="3590"/>
        <item x="2918"/>
        <item x="4735"/>
        <item x="1809"/>
        <item x="54"/>
        <item x="149"/>
        <item x="2450"/>
        <item x="3738"/>
        <item x="1007"/>
        <item x="2703"/>
        <item x="874"/>
        <item x="639"/>
        <item x="228"/>
        <item x="2251"/>
        <item x="384"/>
        <item x="2367"/>
        <item x="2597"/>
        <item x="473"/>
        <item x="4087"/>
        <item x="1679"/>
        <item x="1849"/>
        <item x="3690"/>
        <item x="1616"/>
        <item x="1265"/>
        <item x="4569"/>
        <item x="3100"/>
        <item x="846"/>
        <item x="4273"/>
        <item x="3107"/>
        <item x="4210"/>
        <item x="1051"/>
        <item x="1397"/>
        <item x="1391"/>
        <item x="4424"/>
        <item x="2332"/>
        <item x="2862"/>
        <item x="1356"/>
        <item x="3703"/>
        <item x="1886"/>
        <item x="145"/>
        <item x="2609"/>
        <item x="2190"/>
        <item x="3124"/>
        <item x="4662"/>
        <item x="693"/>
        <item x="2150"/>
        <item x="1859"/>
        <item x="2379"/>
        <item x="2164"/>
        <item x="317"/>
        <item x="4030"/>
        <item x="768"/>
        <item x="236"/>
        <item x="3680"/>
        <item x="2823"/>
        <item x="3183"/>
        <item x="3566"/>
        <item x="1289"/>
        <item x="4687"/>
        <item x="4492"/>
        <item x="3918"/>
        <item x="589"/>
        <item x="717"/>
        <item x="2376"/>
        <item x="283"/>
        <item x="927"/>
        <item x="2670"/>
        <item x="284"/>
        <item x="2016"/>
        <item x="3009"/>
        <item x="4435"/>
        <item x="2645"/>
        <item x="1323"/>
        <item x="2206"/>
        <item x="1484"/>
        <item x="3620"/>
        <item x="1835"/>
        <item x="113"/>
        <item x="2418"/>
        <item x="3877"/>
        <item x="1644"/>
        <item x="367"/>
        <item x="788"/>
        <item x="2666"/>
        <item x="2320"/>
        <item x="718"/>
        <item x="4639"/>
        <item x="2805"/>
        <item x="4475"/>
        <item x="2516"/>
        <item x="1262"/>
        <item x="709"/>
        <item x="2168"/>
        <item x="2350"/>
        <item x="1376"/>
        <item x="2857"/>
        <item x="1026"/>
        <item x="457"/>
        <item x="1065"/>
        <item x="2986"/>
        <item x="787"/>
        <item x="94"/>
        <item x="4306"/>
        <item x="3509"/>
        <item x="3556"/>
        <item x="3627"/>
        <item x="224"/>
        <item x="103"/>
        <item x="3349"/>
        <item x="923"/>
        <item x="2619"/>
        <item x="3624"/>
        <item x="1106"/>
        <item x="4478"/>
        <item x="4580"/>
        <item x="2707"/>
        <item x="4343"/>
        <item x="111"/>
        <item x="3920"/>
        <item x="1840"/>
        <item x="933"/>
        <item x="3691"/>
        <item x="286"/>
        <item x="544"/>
        <item x="2272"/>
        <item x="3165"/>
        <item x="3644"/>
        <item x="2863"/>
        <item x="2039"/>
        <item x="2927"/>
        <item x="2482"/>
        <item x="2331"/>
        <item x="2452"/>
        <item x="248"/>
        <item x="4356"/>
        <item x="2205"/>
        <item x="1789"/>
        <item x="660"/>
        <item x="3420"/>
        <item x="2264"/>
        <item x="2256"/>
        <item x="2878"/>
        <item x="3870"/>
        <item x="352"/>
        <item x="2129"/>
        <item x="2893"/>
        <item x="3407"/>
        <item x="521"/>
        <item x="125"/>
        <item x="3508"/>
        <item x="1916"/>
        <item x="3126"/>
        <item x="223"/>
        <item x="1473"/>
        <item x="1781"/>
        <item x="4400"/>
        <item x="3353"/>
        <item x="3414"/>
        <item x="2843"/>
        <item x="3835"/>
        <item x="1848"/>
        <item x="1454"/>
        <item x="4019"/>
        <item x="39"/>
        <item x="184"/>
        <item x="1099"/>
        <item x="4660"/>
        <item x="4178"/>
        <item x="1287"/>
        <item x="2705"/>
        <item x="3490"/>
        <item x="1423"/>
        <item x="3347"/>
        <item x="2582"/>
        <item x="896"/>
        <item x="1466"/>
        <item x="3098"/>
        <item x="28"/>
        <item x="3581"/>
        <item x="3523"/>
        <item x="2443"/>
        <item x="1937"/>
        <item x="1367"/>
        <item x="2441"/>
        <item x="79"/>
        <item x="3639"/>
        <item x="1520"/>
        <item x="1273"/>
        <item x="4659"/>
        <item x="2161"/>
        <item x="3432"/>
        <item x="71"/>
        <item x="3277"/>
        <item x="1667"/>
        <item x="311"/>
        <item x="3014"/>
        <item x="1808"/>
        <item x="4573"/>
        <item x="1625"/>
        <item x="659"/>
        <item x="3288"/>
        <item x="1402"/>
        <item x="3048"/>
        <item x="1150"/>
        <item x="330"/>
        <item x="4599"/>
        <item x="2669"/>
        <item x="2807"/>
        <item x="742"/>
        <item x="3218"/>
        <item x="3765"/>
        <item x="431"/>
        <item x="2357"/>
        <item x="4261"/>
        <item x="4688"/>
        <item x="690"/>
        <item x="2685"/>
        <item x="3568"/>
        <item x="751"/>
        <item x="2687"/>
        <item x="805"/>
        <item x="2617"/>
        <item x="353"/>
        <item x="545"/>
        <item x="2041"/>
        <item x="2344"/>
        <item x="3779"/>
        <item x="1191"/>
        <item x="3143"/>
        <item x="2663"/>
        <item x="2531"/>
        <item x="386"/>
        <item x="4594"/>
        <item x="1183"/>
        <item x="1659"/>
        <item x="1811"/>
        <item x="1730"/>
        <item x="230"/>
        <item x="4602"/>
        <item x="3669"/>
        <item x="2286"/>
        <item x="84"/>
        <item x="3202"/>
        <item x="1161"/>
        <item x="2377"/>
        <item x="1398"/>
        <item x="68"/>
        <item x="3398"/>
        <item x="2466"/>
        <item x="2985"/>
        <item x="3642"/>
        <item x="571"/>
        <item x="1954"/>
        <item x="168"/>
        <item x="421"/>
        <item x="465"/>
        <item x="4302"/>
        <item x="4497"/>
        <item x="759"/>
        <item x="213"/>
        <item x="2794"/>
        <item x="4524"/>
        <item x="3394"/>
        <item x="1341"/>
        <item x="1379"/>
        <item x="2467"/>
        <item x="4610"/>
        <item x="3456"/>
        <item x="2709"/>
        <item x="2425"/>
        <item x="583"/>
        <item x="1946"/>
        <item x="4215"/>
        <item x="4005"/>
        <item x="2115"/>
        <item x="1133"/>
        <item x="2325"/>
        <item x="1453"/>
        <item x="3216"/>
        <item x="2296"/>
        <item x="4208"/>
        <item x="3910"/>
        <item x="377"/>
        <item x="2203"/>
        <item x="2373"/>
        <item x="887"/>
        <item x="4527"/>
        <item x="307"/>
        <item x="462"/>
        <item x="4489"/>
        <item x="824"/>
        <item x="3275"/>
        <item x="4291"/>
        <item x="3722"/>
        <item x="1821"/>
        <item x="771"/>
        <item x="309"/>
        <item x="2149"/>
        <item x="992"/>
        <item x="2117"/>
        <item x="3334"/>
        <item x="2605"/>
        <item x="1267"/>
        <item x="1148"/>
        <item x="1276"/>
        <item x="4309"/>
        <item x="2821"/>
        <item x="1762"/>
        <item x="3745"/>
        <item x="220"/>
        <item x="3311"/>
        <item x="3692"/>
        <item x="2029"/>
        <item x="1559"/>
        <item x="3600"/>
        <item x="2274"/>
        <item x="3696"/>
        <item x="2665"/>
        <item x="3945"/>
        <item x="3583"/>
        <item x="1339"/>
        <item x="32"/>
        <item x="855"/>
        <item x="2210"/>
        <item x="150"/>
        <item x="240"/>
        <item x="891"/>
        <item x="2561"/>
        <item x="2588"/>
        <item x="3687"/>
        <item x="425"/>
        <item x="857"/>
        <item x="3816"/>
        <item x="17"/>
        <item x="2749"/>
        <item x="4025"/>
        <item x="4350"/>
        <item x="1517"/>
        <item x="3455"/>
        <item x="4244"/>
        <item x="332"/>
        <item x="2407"/>
        <item x="1709"/>
        <item x="2525"/>
        <item x="4090"/>
        <item x="4113"/>
        <item x="4325"/>
        <item x="4605"/>
        <item x="3949"/>
        <item x="1122"/>
        <item x="1373"/>
        <item x="3050"/>
        <item x="2131"/>
        <item x="552"/>
        <item x="3278"/>
        <item x="1032"/>
        <item x="61"/>
        <item x="3206"/>
        <item x="4419"/>
        <item x="3996"/>
        <item x="3458"/>
        <item x="2030"/>
        <item x="2610"/>
        <item x="631"/>
        <item x="678"/>
        <item x="2937"/>
        <item x="2598"/>
        <item x="318"/>
        <item x="3984"/>
        <item x="1004"/>
        <item x="3112"/>
        <item x="397"/>
        <item x="3130"/>
        <item x="3546"/>
        <item x="2825"/>
        <item x="832"/>
        <item x="702"/>
        <item x="2366"/>
        <item x="2907"/>
        <item x="3869"/>
        <item x="4440"/>
        <item x="912"/>
        <item x="4068"/>
        <item x="234"/>
        <item x="3993"/>
        <item x="58"/>
        <item x="3880"/>
        <item x="3369"/>
        <item x="1539"/>
        <item x="1521"/>
        <item x="593"/>
        <item x="2787"/>
        <item x="2760"/>
        <item x="4201"/>
        <item x="4416"/>
        <item x="3771"/>
        <item x="1530"/>
        <item x="4278"/>
        <item x="2961"/>
        <item x="1708"/>
        <item x="4731"/>
        <item x="369"/>
        <item x="1078"/>
        <item x="2541"/>
        <item x="774"/>
        <item x="3065"/>
        <item x="4324"/>
        <item x="1650"/>
        <item x="1760"/>
        <item x="1027"/>
        <item x="4689"/>
        <item x="3554"/>
        <item x="1982"/>
        <item x="871"/>
        <item x="1847"/>
        <item x="328"/>
        <item x="143"/>
        <item x="2514"/>
        <item x="3224"/>
        <item x="4597"/>
        <item x="858"/>
        <item x="4372"/>
        <item x="1638"/>
        <item x="1737"/>
        <item x="1138"/>
        <item x="333"/>
        <item x="1228"/>
        <item x="1607"/>
        <item x="3022"/>
        <item x="1837"/>
        <item x="1211"/>
        <item x="548"/>
        <item x="4250"/>
        <item x="336"/>
        <item x="2148"/>
        <item x="485"/>
        <item x="1401"/>
        <item x="1698"/>
        <item x="4360"/>
        <item x="1224"/>
        <item x="3768"/>
        <item x="3440"/>
        <item x="15"/>
        <item x="4053"/>
        <item x="1652"/>
        <item x="2353"/>
        <item x="3045"/>
        <item x="1389"/>
        <item x="2415"/>
        <item x="2671"/>
        <item x="1690"/>
        <item x="3837"/>
        <item x="4200"/>
        <item x="959"/>
        <item x="2040"/>
        <item x="3320"/>
        <item x="2974"/>
        <item x="940"/>
        <item x="3034"/>
        <item x="443"/>
        <item x="1597"/>
        <item x="830"/>
        <item x="3153"/>
        <item x="73"/>
        <item x="2626"/>
        <item x="299"/>
        <item x="3925"/>
        <item x="1111"/>
        <item x="376"/>
        <item x="4002"/>
        <item x="512"/>
        <item x="4465"/>
        <item x="1970"/>
        <item x="464"/>
        <item x="2273"/>
        <item x="4603"/>
        <item x="1632"/>
        <item x="4657"/>
        <item x="928"/>
        <item x="3498"/>
        <item x="2724"/>
        <item x="2469"/>
        <item x="3280"/>
        <item x="3376"/>
        <item x="4114"/>
        <item x="1001"/>
        <item x="1844"/>
        <item x="1059"/>
        <item x="2162"/>
        <item x="1003"/>
        <item x="4469"/>
        <item x="3640"/>
        <item x="4289"/>
        <item x="728"/>
        <item x="118"/>
        <item x="1516"/>
        <item x="974"/>
        <item x="3887"/>
        <item x="1096"/>
        <item x="4596"/>
        <item x="4108"/>
        <item x="1020"/>
        <item x="4305"/>
        <item x="3494"/>
        <item x="3741"/>
        <item x="3514"/>
        <item x="794"/>
        <item x="3739"/>
        <item x="1676"/>
        <item x="4619"/>
        <item x="1901"/>
        <item x="3705"/>
        <item x="4128"/>
        <item x="22"/>
        <item x="1527"/>
        <item x="570"/>
        <item x="966"/>
        <item x="2975"/>
        <item x="3289"/>
        <item x="1814"/>
        <item x="2458"/>
        <item x="151"/>
        <item x="1210"/>
        <item x="2601"/>
        <item x="3868"/>
        <item x="3489"/>
        <item x="4593"/>
        <item x="1815"/>
        <item x="4341"/>
        <item x="952"/>
        <item x="4041"/>
        <item x="3244"/>
        <item x="3940"/>
        <item x="2710"/>
        <item x="122"/>
        <item x="3404"/>
        <item x="1915"/>
        <item x="310"/>
        <item x="3357"/>
        <item x="2134"/>
        <item x="705"/>
        <item x="691"/>
        <item x="1146"/>
        <item x="1695"/>
        <item x="1260"/>
        <item x="4637"/>
        <item x="4721"/>
        <item x="1636"/>
        <item x="1170"/>
        <item x="4330"/>
        <item x="3250"/>
        <item x="2868"/>
        <item x="2776"/>
        <item x="2632"/>
        <item x="1899"/>
        <item x="646"/>
        <item x="469"/>
        <item x="2440"/>
        <item x="3086"/>
        <item x="664"/>
        <item x="3548"/>
        <item x="1829"/>
        <item x="1813"/>
        <item x="1594"/>
        <item x="3397"/>
        <item x="4629"/>
        <item x="1928"/>
        <item x="1013"/>
        <item x="2548"/>
        <item x="1206"/>
        <item x="3740"/>
        <item x="2631"/>
        <item x="1320"/>
        <item x="2198"/>
        <item x="3541"/>
        <item x="2876"/>
        <item x="4322"/>
        <item x="854"/>
        <item x="1151"/>
        <item x="1116"/>
        <item x="3937"/>
        <item x="3513"/>
        <item x="530"/>
        <item x="2044"/>
        <item x="1305"/>
        <item x="3431"/>
        <item x="2224"/>
        <item x="86"/>
        <item x="3448"/>
        <item x="498"/>
        <item x="1761"/>
        <item x="3689"/>
        <item x="1131"/>
        <item x="3459"/>
        <item x="2015"/>
        <item x="687"/>
        <item x="2553"/>
        <item x="44"/>
        <item x="408"/>
        <item x="2014"/>
        <item x="3185"/>
        <item x="3293"/>
        <item x="3419"/>
        <item x="1666"/>
        <item x="4214"/>
        <item x="4055"/>
        <item x="672"/>
        <item x="419"/>
        <item x="183"/>
        <item x="2808"/>
        <item x="645"/>
        <item x="185"/>
        <item x="2372"/>
        <item x="4044"/>
        <item x="4169"/>
        <item x="4018"/>
        <item x="3374"/>
        <item x="2472"/>
        <item x="3737"/>
        <item x="1114"/>
        <item x="1227"/>
        <item x="1620"/>
        <item x="3517"/>
        <item x="1646"/>
        <item x="4736"/>
        <item x="171"/>
        <item x="833"/>
        <item x="4382"/>
        <item x="861"/>
        <item x="1525"/>
        <item x="407"/>
        <item x="1308"/>
        <item x="2766"/>
        <item x="77"/>
        <item x="3806"/>
        <item x="1105"/>
        <item x="3443"/>
        <item x="4275"/>
        <item x="2116"/>
        <item x="2830"/>
        <item x="3074"/>
        <item x="4212"/>
        <item x="598"/>
        <item x="1925"/>
        <item x="1404"/>
        <item x="2811"/>
        <item x="938"/>
        <item x="941"/>
        <item x="1384"/>
        <item x="2573"/>
        <item x="1592"/>
        <item x="3479"/>
        <item x="4303"/>
        <item x="3664"/>
        <item x="496"/>
        <item x="863"/>
        <item x="3390"/>
        <item x="1671"/>
        <item x="2413"/>
        <item x="1756"/>
        <item x="4528"/>
        <item x="1221"/>
        <item x="2608"/>
        <item x="4715"/>
        <item x="3177"/>
        <item x="379"/>
        <item x="3787"/>
        <item x="1427"/>
        <item x="2909"/>
        <item x="688"/>
        <item x="1914"/>
        <item x="819"/>
        <item x="381"/>
        <item x="2976"/>
        <item x="1074"/>
        <item x="859"/>
        <item x="4442"/>
        <item x="905"/>
        <item x="618"/>
        <item x="1357"/>
        <item x="1749"/>
        <item x="439"/>
        <item x="2855"/>
        <item x="4228"/>
        <item x="3310"/>
        <item x="4618"/>
        <item x="2176"/>
        <item x="1605"/>
        <item x="1838"/>
        <item x="350"/>
        <item x="2271"/>
        <item x="1601"/>
        <item x="546"/>
        <item x="46"/>
        <item x="3002"/>
        <item x="2061"/>
        <item x="1898"/>
        <item x="4614"/>
        <item x="27"/>
        <item x="2611"/>
        <item x="2335"/>
        <item x="4525"/>
        <item x="585"/>
        <item x="3228"/>
        <item x="2497"/>
        <item x="934"/>
        <item x="1703"/>
        <item x="1857"/>
        <item x="1860"/>
        <item x="3006"/>
        <item x="2285"/>
        <item x="3437"/>
        <item x="1911"/>
        <item x="1393"/>
        <item x="1506"/>
        <item x="3919"/>
        <item x="235"/>
        <item x="4545"/>
        <item x="2773"/>
        <item x="3921"/>
        <item x="6"/>
        <item x="1574"/>
        <item x="4574"/>
        <item x="2591"/>
        <item x="4526"/>
        <item x="4698"/>
        <item x="2075"/>
        <item x="399"/>
        <item x="739"/>
        <item x="2977"/>
        <item x="1681"/>
        <item x="971"/>
        <item x="4180"/>
        <item x="446"/>
        <item x="1877"/>
        <item x="427"/>
        <item x="644"/>
        <item x="355"/>
        <item x="3648"/>
        <item x="1347"/>
        <item x="753"/>
        <item x="698"/>
        <item x="1505"/>
        <item x="1322"/>
        <item x="253"/>
        <item x="1179"/>
        <item x="4308"/>
        <item x="682"/>
        <item x="2135"/>
        <item x="3529"/>
        <item x="1548"/>
        <item x="174"/>
        <item x="877"/>
        <item x="4470"/>
        <item x="3355"/>
        <item x="793"/>
        <item x="3592"/>
        <item x="265"/>
        <item x="534"/>
        <item x="4130"/>
        <item x="1254"/>
        <item x="1332"/>
        <item x="2742"/>
        <item x="4276"/>
        <item x="1614"/>
        <item x="1713"/>
        <item x="3283"/>
        <item x="2340"/>
        <item x="378"/>
        <item x="550"/>
        <item x="1554"/>
        <item x="1608"/>
        <item x="4204"/>
        <item x="3319"/>
        <item x="1219"/>
        <item x="883"/>
        <item x="2409"/>
        <item x="667"/>
        <item x="2637"/>
        <item x="3805"/>
        <item x="1375"/>
        <item x="1979"/>
        <item x="3693"/>
        <item x="1503"/>
        <item x="1331"/>
        <item x="142"/>
        <item x="89"/>
        <item x="1602"/>
        <item x="4383"/>
        <item x="297"/>
        <item x="3015"/>
        <item x="4007"/>
        <item x="4668"/>
        <item x="2223"/>
        <item x="2323"/>
        <item x="2502"/>
        <item x="3046"/>
        <item x="4332"/>
        <item x="1494"/>
        <item x="2221"/>
        <item x="1163"/>
        <item x="917"/>
        <item x="599"/>
        <item x="238"/>
        <item x="320"/>
        <item x="1802"/>
        <item x="3166"/>
        <item x="3097"/>
        <item x="597"/>
        <item x="69"/>
        <item x="2255"/>
        <item x="1095"/>
        <item x="4192"/>
        <item x="4006"/>
        <item x="3313"/>
        <item x="3356"/>
        <item x="1314"/>
        <item x="809"/>
        <item x="161"/>
        <item x="3839"/>
        <item x="242"/>
        <item x="533"/>
        <item x="3399"/>
        <item x="1944"/>
        <item x="3980"/>
        <item x="4370"/>
        <item x="2077"/>
        <item x="1054"/>
        <item x="449"/>
        <item x="1977"/>
        <item x="4552"/>
        <item x="4546"/>
        <item x="1010"/>
        <item x="1334"/>
        <item x="2919"/>
        <item x="2572"/>
        <item x="4513"/>
        <item x="327"/>
        <item x="529"/>
        <item x="3655"/>
        <item x="178"/>
        <item x="4550"/>
        <item x="2306"/>
        <item x="937"/>
        <item x="3807"/>
        <item x="4288"/>
        <item x="734"/>
        <item x="1910"/>
        <item x="2204"/>
        <item x="4131"/>
        <item x="3381"/>
        <item x="2433"/>
        <item x="390"/>
        <item x="2490"/>
        <item x="2959"/>
        <item x="2957"/>
        <item x="66"/>
        <item x="2095"/>
        <item x="4531"/>
        <item x="1069"/>
        <item x="719"/>
        <item x="2723"/>
        <item x="3491"/>
        <item x="1714"/>
        <item x="1438"/>
        <item x="1390"/>
        <item x="368"/>
        <item x="2147"/>
        <item x="2640"/>
        <item x="60"/>
        <item x="1863"/>
        <item x="3052"/>
        <item x="314"/>
        <item x="1881"/>
        <item x="1624"/>
        <item x="275"/>
        <item x="497"/>
        <item x="3038"/>
        <item x="720"/>
        <item x="4246"/>
        <item x="1202"/>
        <item x="2436"/>
        <item x="2235"/>
        <item x="1452"/>
        <item x="2078"/>
        <item x="4020"/>
        <item x="2410"/>
        <item x="2935"/>
        <item x="4439"/>
        <item x="4073"/>
        <item x="1744"/>
        <item x="4661"/>
        <item x="4598"/>
        <item x="621"/>
        <item x="2474"/>
        <item x="3872"/>
        <item x="790"/>
        <item x="263"/>
        <item x="2416"/>
        <item x="3386"/>
        <item x="1722"/>
        <item x="3948"/>
        <item x="2533"/>
        <item x="3681"/>
        <item x="1533"/>
        <item x="3542"/>
        <item x="1268"/>
        <item x="1579"/>
        <item x="4634"/>
        <item x="3115"/>
        <item x="3931"/>
        <item x="1998"/>
        <item x="828"/>
        <item x="3187"/>
        <item x="1456"/>
        <item x="2677"/>
        <item x="4099"/>
        <item x="1726"/>
        <item x="1995"/>
        <item x="2439"/>
        <item x="3512"/>
        <item x="1790"/>
        <item x="1538"/>
        <item x="2486"/>
        <item x="1961"/>
        <item x="1865"/>
        <item x="3656"/>
        <item x="2534"/>
        <item x="1144"/>
        <item x="3401"/>
        <item x="843"/>
        <item x="936"/>
        <item x="3142"/>
        <item x="1787"/>
        <item x="1488"/>
        <item x="3682"/>
        <item x="2945"/>
        <item x="1812"/>
        <item x="3291"/>
        <item x="2686"/>
        <item x="590"/>
        <item x="41"/>
        <item x="920"/>
        <item x="4675"/>
        <item x="637"/>
        <item x="2629"/>
        <item x="968"/>
        <item x="3963"/>
        <item x="4627"/>
        <item x="3088"/>
        <item x="4499"/>
        <item x="164"/>
        <item x="2333"/>
        <item x="1072"/>
        <item x="747"/>
        <item x="1642"/>
        <item x="4334"/>
        <item x="3351"/>
        <item x="3030"/>
        <item x="1152"/>
        <item x="2435"/>
        <item x="3552"/>
        <item x="241"/>
        <item x="76"/>
        <item x="3838"/>
        <item x="1658"/>
        <item x="3127"/>
        <item x="303"/>
        <item x="1701"/>
        <item x="1489"/>
        <item x="3150"/>
        <item x="2743"/>
        <item x="448"/>
        <item x="1952"/>
        <item x="3426"/>
        <item x="1661"/>
        <item x="1112"/>
        <item x="2889"/>
        <item x="4576"/>
        <item x="2853"/>
        <item x="3785"/>
        <item x="1017"/>
        <item x="2175"/>
        <item x="3781"/>
        <item x="4501"/>
        <item x="93"/>
        <item x="362"/>
        <item x="953"/>
        <item x="169"/>
        <item x="4311"/>
        <item x="2583"/>
        <item x="2785"/>
        <item x="1867"/>
        <item x="1630"/>
        <item x="752"/>
        <item x="761"/>
        <item x="304"/>
        <item x="1583"/>
        <item x="3725"/>
        <item x="3979"/>
        <item x="2894"/>
        <item x="2233"/>
        <item x="1068"/>
        <item x="340"/>
        <item x="1872"/>
        <item x="3403"/>
        <item x="2674"/>
        <item x="2556"/>
        <item x="3169"/>
        <item x="679"/>
        <item x="1337"/>
        <item x="2234"/>
        <item x="2358"/>
        <item x="699"/>
        <item x="4636"/>
        <item x="3645"/>
        <item x="2988"/>
        <item x="2996"/>
        <item x="4438"/>
        <item x="1526"/>
        <item x="1752"/>
        <item x="2475"/>
        <item x="588"/>
        <item x="3742"/>
        <item x="4402"/>
        <item x="3152"/>
        <item x="4179"/>
        <item x="4676"/>
        <item x="2616"/>
        <item x="3114"/>
        <item x="2712"/>
        <item x="870"/>
        <item x="259"/>
        <item x="3773"/>
        <item x="2316"/>
        <item x="4392"/>
        <item x="2826"/>
        <item x="1083"/>
        <item x="1665"/>
        <item x="4312"/>
        <item x="2698"/>
        <item x="296"/>
        <item x="3295"/>
        <item x="2208"/>
        <item x="2493"/>
        <item x="4033"/>
        <item x="1547"/>
        <item x="656"/>
        <item x="1959"/>
        <item x="2076"/>
        <item x="2864"/>
        <item x="1971"/>
        <item x="1974"/>
        <item x="881"/>
        <item x="4549"/>
        <item x="3019"/>
        <item x="1223"/>
        <item x="1771"/>
        <item x="2526"/>
        <item x="2510"/>
        <item x="756"/>
        <item x="3300"/>
        <item x="1552"/>
        <item x="3447"/>
        <item x="229"/>
        <item x="4059"/>
        <item x="4738"/>
        <item x="3743"/>
        <item x="584"/>
        <item x="1958"/>
        <item x="2987"/>
        <item x="4678"/>
        <item x="1906"/>
        <item x="3422"/>
        <item x="3363"/>
        <item x="2048"/>
        <item x="2146"/>
        <item x="3711"/>
        <item x="527"/>
        <item x="1746"/>
        <item x="3028"/>
        <item x="1455"/>
        <item x="2145"/>
        <item x="1501"/>
        <item x="393"/>
        <item x="2754"/>
        <item x="1772"/>
        <item x="627"/>
        <item x="1834"/>
        <item x="3332"/>
        <item x="3657"/>
        <item x="3730"/>
        <item x="1564"/>
        <item x="2731"/>
        <item x="3708"/>
        <item x="3786"/>
        <item x="1264"/>
        <item x="2046"/>
        <item x="2060"/>
        <item x="4732"/>
        <item x="4586"/>
        <item x="1279"/>
        <item x="30"/>
        <item x="4074"/>
        <item x="1883"/>
        <item x="4274"/>
        <item x="4093"/>
        <item x="888"/>
        <item x="4670"/>
        <item x="2866"/>
        <item x="1584"/>
        <item x="247"/>
        <item x="2960"/>
        <item x="3847"/>
        <item x="866"/>
        <item x="3503"/>
        <item x="2655"/>
        <item x="712"/>
        <item x="1803"/>
        <item x="4287"/>
        <item x="3885"/>
        <item x="1471"/>
        <item x="3298"/>
        <item x="1529"/>
        <item x="4121"/>
        <item x="1175"/>
        <item x="4100"/>
        <item x="116"/>
        <item x="271"/>
        <item x="3415"/>
        <item x="2374"/>
        <item x="3164"/>
        <item x="2672"/>
        <item x="441"/>
        <item x="2599"/>
        <item x="2542"/>
        <item x="4054"/>
        <item x="1617"/>
        <item x="681"/>
        <item x="2747"/>
        <item x="1130"/>
        <item x="2247"/>
        <item x="2849"/>
        <item x="2446"/>
        <item x="519"/>
        <item x="4213"/>
        <item x="163"/>
        <item x="62"/>
        <item x="1660"/>
        <item x="930"/>
        <item x="1328"/>
        <item x="1476"/>
        <item x="640"/>
        <item x="783"/>
        <item x="2189"/>
        <item x="3907"/>
        <item x="1876"/>
        <item x="2732"/>
        <item x="538"/>
        <item x="3881"/>
        <item x="3421"/>
        <item x="4561"/>
        <item x="2904"/>
        <item x="346"/>
        <item x="4218"/>
        <item x="2679"/>
        <item x="2636"/>
        <item x="2491"/>
        <item x="1253"/>
        <item x="1871"/>
        <item x="57"/>
        <item x="3064"/>
        <item x="3928"/>
        <item x="620"/>
        <item x="3387"/>
        <item x="4441"/>
        <item x="490"/>
        <item x="3251"/>
        <item x="4538"/>
        <item x="3476"/>
        <item x="3219"/>
        <item x="812"/>
        <item x="2590"/>
        <item x="1764"/>
        <item x="1482"/>
        <item x="1108"/>
        <item x="4076"/>
        <item x="2112"/>
        <item x="211"/>
        <item x="1309"/>
        <item x="1188"/>
        <item x="3449"/>
        <item x="4103"/>
        <item x="2817"/>
        <item x="1675"/>
        <item x="2896"/>
        <item x="4581"/>
        <item x="1702"/>
        <item x="3886"/>
        <item x="3679"/>
        <item x="3121"/>
        <item x="1018"/>
        <item x="3712"/>
        <item x="335"/>
        <item x="2581"/>
        <item x="1759"/>
        <item x="2269"/>
        <item x="4616"/>
        <item x="2013"/>
        <item x="3793"/>
        <item x="942"/>
        <item x="1208"/>
        <item x="4405"/>
        <item x="2647"/>
        <item x="3463"/>
        <item x="2527"/>
        <item x="1935"/>
        <item x="4563"/>
        <item x="221"/>
        <item x="4553"/>
        <item x="4036"/>
        <item x="3416"/>
        <item x="1472"/>
        <item x="1278"/>
        <item x="2094"/>
        <item x="4508"/>
        <item x="1058"/>
        <item x="1329"/>
        <item x="1321"/>
        <item x="98"/>
        <item x="2691"/>
        <item x="2929"/>
        <item x="818"/>
        <item x="3808"/>
        <item x="602"/>
        <item x="641"/>
        <item x="2424"/>
        <item x="1424"/>
        <item x="4256"/>
        <item x="1975"/>
        <item x="2936"/>
        <item x="2026"/>
        <item x="3253"/>
        <item x="4371"/>
        <item x="1593"/>
        <item x="4376"/>
        <item x="4253"/>
        <item x="4075"/>
        <item x="2270"/>
        <item x="4235"/>
        <item x="1587"/>
        <item x="1419"/>
        <item x="4265"/>
        <item x="3789"/>
        <item x="2130"/>
        <item x="1092"/>
        <item x="4146"/>
        <item x="1917"/>
        <item x="3871"/>
        <item x="426"/>
        <item x="3279"/>
        <item x="2186"/>
        <item x="4344"/>
        <item x="4257"/>
        <item x="2380"/>
        <item x="900"/>
        <item x="3821"/>
        <item x="1903"/>
        <item x="1777"/>
        <item x="243"/>
        <item x="35"/>
        <item x="4423"/>
        <item x="1745"/>
        <item x="2000"/>
        <item x="980"/>
        <item x="2942"/>
        <item x="456"/>
        <item x="2155"/>
        <item x="1263"/>
        <item x="4279"/>
        <item x="1002"/>
        <item x="4583"/>
        <item x="3340"/>
        <item x="2476"/>
        <item x="4509"/>
        <item x="4245"/>
        <item x="662"/>
        <item x="1810"/>
        <item x="3820"/>
        <item x="1669"/>
        <item x="1878"/>
        <item x="1850"/>
        <item x="3070"/>
        <item x="298"/>
        <item x="3794"/>
        <item x="2345"/>
        <item x="2121"/>
        <item x="2277"/>
        <item x="829"/>
        <item x="2991"/>
        <item x="962"/>
        <item x="2557"/>
        <item x="3461"/>
        <item x="3433"/>
        <item x="3327"/>
        <item x="1680"/>
        <item x="1826"/>
        <item x="3380"/>
        <item x="4502"/>
        <item x="2253"/>
        <item x="3220"/>
        <item x="4503"/>
        <item x="2678"/>
        <item x="578"/>
        <item x="3861"/>
        <item x="3047"/>
        <item x="2902"/>
        <item x="3427"/>
        <item x="3178"/>
        <item x="1674"/>
        <item x="594"/>
        <item x="3715"/>
        <item x="1416"/>
        <item x="3287"/>
        <item x="3423"/>
        <item x="3853"/>
        <item x="1754"/>
        <item x="2593"/>
        <item x="3981"/>
        <item x="816"/>
        <item x="3788"/>
        <item x="2388"/>
        <item x="1040"/>
        <item x="3646"/>
        <item x="2798"/>
        <item x="4663"/>
        <item x="3543"/>
        <item x="3231"/>
        <item x="958"/>
        <item x="3186"/>
        <item x="1582"/>
        <item x="3906"/>
        <item x="3760"/>
        <item x="556"/>
        <item x="2027"/>
        <item x="4118"/>
        <item x="689"/>
        <item x="563"/>
        <item x="801"/>
        <item x="2028"/>
        <item x="3911"/>
        <item x="1283"/>
        <item x="3128"/>
        <item x="2069"/>
        <item x="1855"/>
        <item x="608"/>
        <item x="3684"/>
        <item x="2070"/>
        <item x="2509"/>
        <item x="3477"/>
        <item x="3445"/>
        <item x="1677"/>
        <item x="4313"/>
        <item x="4607"/>
        <item x="3879"/>
        <item x="4529"/>
        <item x="1457"/>
        <item x="2880"/>
        <item x="1021"/>
        <item x="3328"/>
        <item x="1259"/>
        <item x="2822"/>
        <item x="1031"/>
        <item x="4640"/>
        <item x="3956"/>
        <item x="4079"/>
        <item x="85"/>
        <item x="868"/>
        <item x="2297"/>
        <item x="3792"/>
        <item x="2584"/>
        <item x="1181"/>
        <item x="3362"/>
        <item x="875"/>
        <item x="539"/>
        <item x="4530"/>
        <item x="4314"/>
        <item x="2109"/>
        <item x="725"/>
        <item x="2962"/>
        <item x="3860"/>
        <item x="0"/>
        <item x="106"/>
        <item x="2837"/>
        <item x="166"/>
        <item x="2818"/>
        <item x="1247"/>
        <item x="4585"/>
        <item x="3"/>
        <item x="3075"/>
        <item x="3010"/>
        <item x="3082"/>
        <item x="721"/>
        <item x="394"/>
        <item x="3658"/>
        <item x="1176"/>
        <item x="2883"/>
        <item x="2895"/>
        <item x="40"/>
        <item x="1794"/>
        <item x="3593"/>
        <item x="3314"/>
        <item x="152"/>
        <item x="2182"/>
        <item x="1285"/>
        <item x="4057"/>
        <item x="1706"/>
        <item x="1281"/>
        <item x="4564"/>
        <item x="1782"/>
        <item x="2412"/>
        <item x="1634"/>
        <item x="3499"/>
        <item x="472"/>
        <item x="4468"/>
        <item x="1641"/>
        <item x="4394"/>
        <item x="3774"/>
        <item x="3411"/>
        <item x="2114"/>
        <item x="3336"/>
        <item x="2879"/>
        <item x="1783"/>
        <item x="3123"/>
        <item x="1976"/>
        <item x="568"/>
        <item x="677"/>
        <item x="2128"/>
        <item x="3953"/>
        <item x="1311"/>
        <item x="4481"/>
        <item x="1049"/>
        <item x="2124"/>
        <item x="1596"/>
        <item x="2431"/>
        <item x="2799"/>
        <item x="1519"/>
        <item x="3266"/>
        <item x="1064"/>
        <item x="1434"/>
        <item x="2222"/>
        <item x="1118"/>
        <item x="3333"/>
        <item x="617"/>
        <item x="1215"/>
        <item x="1396"/>
        <item x="2364"/>
        <item x="4426"/>
        <item x="4149"/>
        <item x="3727"/>
        <item x="1655"/>
        <item x="4641"/>
        <item x="3450"/>
        <item x="2689"/>
        <item x="726"/>
        <item x="535"/>
        <item x="1515"/>
        <item x="4232"/>
        <item x="1242"/>
        <item x="612"/>
        <item x="1014"/>
        <item x="1256"/>
        <item x="1758"/>
        <item x="4418"/>
        <item x="2585"/>
        <item x="4143"/>
        <item x="2071"/>
        <item x="1243"/>
        <item x="3500"/>
        <item x="3329"/>
        <item x="4522"/>
        <item x="526"/>
        <item x="3772"/>
        <item x="1372"/>
        <item x="232"/>
        <item x="34"/>
        <item x="3197"/>
        <item x="48"/>
        <item x="2308"/>
        <item x="3205"/>
        <item x="380"/>
        <item x="4515"/>
        <item x="1023"/>
        <item x="1688"/>
        <item x="2555"/>
        <item x="1691"/>
        <item x="3891"/>
        <item x="3731"/>
        <item x="3544"/>
        <item x="188"/>
        <item x="157"/>
        <item x="33"/>
        <item x="2083"/>
        <item x="1791"/>
        <item x="1613"/>
        <item x="3180"/>
        <item x="3923"/>
        <item x="4374"/>
        <item x="4155"/>
        <item x="3373"/>
        <item x="1606"/>
        <item x="4181"/>
        <item x="1823"/>
        <item x="3851"/>
        <item x="3531"/>
        <item x="1868"/>
        <item x="2779"/>
        <item x="4171"/>
        <item x="4631"/>
        <item x="146"/>
        <item x="1048"/>
        <item x="2706"/>
        <item x="2500"/>
        <item x="1055"/>
        <item x="2828"/>
        <item x="3478"/>
        <item x="811"/>
        <item x="2649"/>
        <item x="3647"/>
        <item x="182"/>
        <item x="1361"/>
        <item x="2501"/>
        <item x="2360"/>
        <item x="1599"/>
        <item x="1595"/>
        <item x="879"/>
        <item x="1200"/>
        <item x="749"/>
        <item x="2025"/>
        <item x="3032"/>
        <item x="1240"/>
        <item x="504"/>
        <item x="1400"/>
        <item x="2789"/>
        <item x="3634"/>
        <item x="3762"/>
        <item x="3694"/>
        <item x="1460"/>
        <item x="943"/>
        <item x="3506"/>
        <item x="26"/>
        <item x="2047"/>
        <item x="2813"/>
        <item x="1550"/>
        <item x="4264"/>
        <item x="4067"/>
        <item x="4648"/>
        <item x="4708"/>
        <item x="1960"/>
        <item x="510"/>
        <item x="3628"/>
        <item x="1233"/>
        <item x="2911"/>
        <item x="733"/>
        <item x="139"/>
        <item x="468"/>
        <item x="3436"/>
        <item x="2159"/>
        <item x="2001"/>
        <item x="3103"/>
        <item x="1627"/>
        <item x="776"/>
        <item x="686"/>
        <item x="4420"/>
        <item x="3264"/>
        <item x="2801"/>
        <item x="4642"/>
        <item x="1100"/>
        <item x="4422"/>
        <item x="701"/>
        <item x="982"/>
        <item x="1721"/>
        <item x="2422"/>
        <item x="2010"/>
        <item x="3761"/>
        <item x="4395"/>
        <item x="474"/>
        <item x="3840"/>
        <item x="864"/>
        <item x="2690"/>
        <item x="3053"/>
        <item x="4385"/>
        <item x="999"/>
        <item x="3017"/>
        <item x="516"/>
        <item x="138"/>
        <item x="4119"/>
        <item x="1177"/>
        <item x="4290"/>
        <item x="2800"/>
        <item x="3954"/>
        <item x="2113"/>
        <item x="4471"/>
        <item x="2941"/>
        <item x="1315"/>
        <item x="3193"/>
        <item x="1451"/>
        <item x="3492"/>
        <item x="55"/>
        <item x="4723"/>
        <item x="4362"/>
        <item x="4704"/>
        <item x="2346"/>
        <item x="180"/>
        <item x="3442"/>
        <item x="354"/>
        <item x="4514"/>
        <item x="3505"/>
        <item x="3631"/>
        <item x="470"/>
        <item x="1437"/>
        <item x="4080"/>
        <item x="1678"/>
        <item x="2692"/>
        <item x="291"/>
        <item x="2612"/>
        <item x="924"/>
        <item x="4096"/>
        <item x="4665"/>
        <item x="1"/>
        <item x="4116"/>
        <item x="1057"/>
        <item x="1984"/>
        <item x="404"/>
        <item x="4184"/>
        <item x="3825"/>
        <item x="4145"/>
        <item x="2979"/>
        <item x="886"/>
        <item x="2949"/>
        <item x="3504"/>
        <item x="2417"/>
        <item x="2445"/>
        <item x="1792"/>
        <item x="825"/>
        <item x="2414"/>
        <item x="119"/>
        <item x="3562"/>
        <item x="2827"/>
        <item x="3207"/>
        <item x="1788"/>
        <item x="1836"/>
        <item x="860"/>
        <item x="975"/>
        <item x="4205"/>
        <item x="3604"/>
        <item x="4345"/>
        <item x="2673"/>
        <item x="121"/>
        <item x="2217"/>
        <item x="2881"/>
        <item x="2127"/>
        <item x="3967"/>
        <item x="141"/>
        <item x="2459"/>
        <item x="4495"/>
        <item x="422"/>
        <item x="42"/>
        <item x="237"/>
        <item x="3569"/>
        <item x="2419"/>
        <item x="1015"/>
        <item x="3170"/>
        <item x="3204"/>
        <item x="4510"/>
        <item x="2012"/>
        <item x="4183"/>
        <item x="2641"/>
        <item x="12"/>
        <item x="1853"/>
        <item x="972"/>
        <item x="245"/>
        <item x="1443"/>
        <item x="1442"/>
        <item x="1255"/>
        <item x="1168"/>
        <item x="4384"/>
        <item x="3795"/>
        <item x="4421"/>
        <item x="967"/>
        <item x="1683"/>
        <item x="2882"/>
        <item x="4517"/>
        <item x="3549"/>
        <item x="483"/>
        <item x="4608"/>
        <item x="3726"/>
        <item x="4691"/>
        <item x="2429"/>
        <item x="2154"/>
        <item x="3196"/>
        <item x="760"/>
        <item x="3101"/>
        <item x="661"/>
        <item x="1773"/>
        <item x="3108"/>
        <item x="1377"/>
        <item x="2730"/>
        <item x="1280"/>
        <item x="3888"/>
        <item x="2910"/>
        <item x="1776"/>
        <item x="2359"/>
        <item x="2535"/>
        <item x="540"/>
        <item x="3501"/>
        <item x="1203"/>
        <item x="2970"/>
        <item x="4024"/>
        <item x="63"/>
        <item x="987"/>
        <item x="4373"/>
        <item x="757"/>
        <item x="3553"/>
        <item x="4407"/>
        <item x="4452"/>
        <item x="4190"/>
        <item x="4172"/>
        <item x="1109"/>
        <item x="3292"/>
        <item x="4160"/>
        <item x="3912"/>
        <item x="1157"/>
        <item x="3428"/>
        <item x="209"/>
        <item x="387"/>
        <item x="853"/>
        <item x="4536"/>
        <item x="2309"/>
        <item x="3864"/>
        <item x="246"/>
        <item x="4444"/>
        <item x="2008"/>
        <item x="3878"/>
        <item x="1742"/>
        <item x="4406"/>
        <item x="3371"/>
        <item x="1135"/>
        <item x="3563"/>
        <item x="3269"/>
        <item x="2391"/>
        <item x="956"/>
        <item x="4483"/>
        <item x="4600"/>
        <item x="2639"/>
        <item x="2859"/>
        <item x="4281"/>
        <item x="1169"/>
        <item x="1546"/>
        <item x="1894"/>
        <item x="1061"/>
        <item x="1292"/>
        <item x="2900"/>
        <item x="3629"/>
        <item x="3144"/>
        <item x="2769"/>
        <item x="4505"/>
        <item x="566"/>
        <item x="729"/>
        <item x="1923"/>
        <item x="2595"/>
        <item x="2642"/>
        <item x="2512"/>
        <item x="2468"/>
        <item x="3630"/>
        <item x="251"/>
        <item x="3154"/>
        <item x="3451"/>
        <item x="963"/>
        <item x="4023"/>
        <item x="3841"/>
        <item x="3315"/>
        <item x="2708"/>
        <item x="3874"/>
        <item x="3809"/>
        <item x="4679"/>
        <item x="4532"/>
        <item x="215"/>
        <item x="3179"/>
        <item x="1028"/>
        <item x="90"/>
        <item x="4533"/>
        <item x="4282"/>
        <item x="576"/>
        <item x="4403"/>
        <item x="3281"/>
        <item x="2011"/>
        <item x="1786"/>
        <item x="1103"/>
        <item x="2559"/>
        <item x="1938"/>
        <item x="214"/>
        <item x="2361"/>
        <item x="2578"/>
        <item x="165"/>
        <item x="3239"/>
        <item x="3181"/>
        <item x="19"/>
        <item x="2963"/>
        <item x="2246"/>
        <item x="939"/>
        <item x="670"/>
        <item x="654"/>
        <item x="838"/>
        <item x="1743"/>
        <item x="112"/>
        <item x="3305"/>
        <item x="3058"/>
        <item x="4221"/>
        <item x="194"/>
        <item x="1487"/>
        <item x="4045"/>
        <item x="3134"/>
        <item x="4644"/>
        <item x="3697"/>
        <item x="3117"/>
        <item x="3660"/>
        <item x="3843"/>
        <item x="2038"/>
        <item x="914"/>
        <item x="2059"/>
        <item x="2009"/>
        <item x="755"/>
        <item x="1097"/>
        <item x="2110"/>
        <item x="1044"/>
        <item x="1628"/>
        <item x="786"/>
        <item x="4185"/>
        <item x="2241"/>
        <item x="931"/>
        <item x="1085"/>
        <item x="1363"/>
        <item x="2460"/>
        <item x="1748"/>
        <item x="2504"/>
        <item x="104"/>
        <item x="80"/>
        <item x="3071"/>
        <item x="1987"/>
        <item x="2317"/>
        <item x="2657"/>
        <item x="2668"/>
        <item x="3683"/>
        <item x="2232"/>
        <item x="494"/>
        <item x="2283"/>
        <item x="1343"/>
        <item x="3066"/>
        <item x="3084"/>
        <item x="782"/>
        <item x="4579"/>
        <item x="3087"/>
        <item x="3232"/>
        <item x="797"/>
        <item x="3021"/>
        <item x="1888"/>
        <item x="2024"/>
        <item x="3391"/>
        <item x="2318"/>
        <item x="326"/>
        <item x="1269"/>
        <item x="1799"/>
        <item x="411"/>
        <item x="4035"/>
        <item x="610"/>
        <item x="2575"/>
        <item x="3502"/>
        <item x="1120"/>
        <item x="4252"/>
        <item x="430"/>
        <item x="4151"/>
        <item x="4147"/>
        <item x="2658"/>
        <item x="160"/>
        <item x="2111"/>
        <item x="1861"/>
        <item x="1723"/>
        <item x="2802"/>
        <item x="1611"/>
        <item x="4386"/>
        <item x="823"/>
        <item x="750"/>
        <item x="1989"/>
        <item x="1479"/>
        <item x="4734"/>
        <item x="4326"/>
        <item x="3889"/>
        <item x="1715"/>
        <item x="3986"/>
        <item x="3570"/>
        <item x="2521"/>
        <item x="4615"/>
        <item x="193"/>
        <item x="3268"/>
        <item x="2660"/>
        <item x="1344"/>
        <item x="2160"/>
        <item x="1165"/>
        <item x="88"/>
        <item x="536"/>
        <item x="2856"/>
        <item x="1067"/>
        <item x="3444"/>
        <item x="3229"/>
        <item x="3814"/>
        <item x="4387"/>
        <item x="2540"/>
        <item x="108"/>
        <item x="2267"/>
        <item x="1498"/>
        <item x="3413"/>
        <item x="4493"/>
        <item x="2402"/>
        <item x="3882"/>
        <item x="820"/>
        <item x="4677"/>
        <item x="3382"/>
        <item x="4061"/>
        <item x="316"/>
        <item x="1216"/>
        <item x="3480"/>
        <item x="3661"/>
        <item x="1798"/>
        <item x="1326"/>
        <item x="4535"/>
        <item x="274"/>
        <item x="1955"/>
        <item x="2187"/>
        <item x="3007"/>
        <item x="2520"/>
        <item x="3267"/>
        <item x="2638"/>
        <item x="482"/>
        <item x="1142"/>
        <item x="4021"/>
        <item x="1900"/>
        <item x="1358"/>
        <item x="3233"/>
        <item x="2903"/>
        <item x="754"/>
        <item x="1132"/>
        <item x="4664"/>
        <item x="2614"/>
        <item x="1143"/>
        <item x="3812"/>
        <item x="1080"/>
        <item x="192"/>
        <item x="45"/>
        <item x="3521"/>
        <item x="475"/>
        <item x="371"/>
        <item x="3932"/>
        <item x="3605"/>
        <item x="1335"/>
        <item x="4117"/>
        <item x="2430"/>
        <item x="3862"/>
        <item x="3922"/>
        <item x="1502"/>
        <item x="4010"/>
        <item x="158"/>
        <item x="3412"/>
        <item x="4176"/>
        <item x="2495"/>
        <item x="47"/>
        <item x="4377"/>
        <item x="3221"/>
        <item x="1274"/>
        <item x="3194"/>
        <item x="3525"/>
        <item x="2"/>
        <item x="2268"/>
        <item x="3316"/>
        <item x="1950"/>
        <item x="4494"/>
        <item x="3109"/>
        <item x="3341"/>
        <item x="4450"/>
        <item x="4534"/>
        <item x="2126"/>
        <item x="1245"/>
        <item x="3417"/>
        <item x="131"/>
        <item x="4496"/>
        <item x="826"/>
        <item x="415"/>
        <item x="648"/>
        <item x="3342"/>
        <item x="1156"/>
        <item x="1978"/>
        <item x="2539"/>
        <item x="3322"/>
        <item x="674"/>
        <item x="2701"/>
        <item x="4008"/>
        <item x="2053"/>
        <item x="2982"/>
        <item x="1699"/>
        <item x="3982"/>
        <item x="2321"/>
        <item x="596"/>
        <item x="2777"/>
        <item x="4233"/>
        <item x="1107"/>
        <item x="2885"/>
        <item x="2755"/>
        <item x="1218"/>
        <item x="1751"/>
        <item x="329"/>
        <item x="1767"/>
        <item x="1518"/>
        <item x="2733"/>
        <item x="3822"/>
        <item x="746"/>
        <item x="1046"/>
        <item x="839"/>
        <item x="916"/>
        <item x="2341"/>
        <item x="3198"/>
        <item x="2989"/>
        <item x="4388"/>
        <item x="2867"/>
        <item x="893"/>
        <item x="126"/>
        <item x="1426"/>
        <item x="911"/>
        <item x="2057"/>
        <item x="619"/>
        <item x="2564"/>
        <item x="4258"/>
        <item x="1523"/>
        <item x="4397"/>
        <item x="723"/>
        <item x="3151"/>
        <item x="1668"/>
        <item x="392"/>
        <item x="1686"/>
        <item x="2948"/>
        <item x="50"/>
        <item x="981"/>
        <item x="4695"/>
        <item x="75"/>
        <item x="2628"/>
        <item x="2245"/>
        <item x="410"/>
        <item x="2231"/>
        <item x="2143"/>
        <item x="4266"/>
        <item x="239"/>
        <item x="1734"/>
        <item x="3466"/>
        <item x="1750"/>
        <item x="3558"/>
        <item x="3755"/>
        <item x="4725"/>
        <item x="3495"/>
        <item x="433"/>
        <item x="3237"/>
        <item x="2073"/>
        <item x="3227"/>
        <item x="1664"/>
        <item x="1403"/>
        <item x="657"/>
        <item x="1832"/>
        <item x="105"/>
        <item x="4635"/>
        <item x="2432"/>
        <item x="935"/>
        <item x="2720"/>
        <item x="177"/>
        <item x="153"/>
        <item x="4446"/>
        <item x="2838"/>
        <item x="2312"/>
        <item x="3633"/>
        <item x="2058"/>
        <item x="2576"/>
        <item x="1282"/>
        <item x="1670"/>
        <item x="4611"/>
        <item x="3752"/>
        <item x="777"/>
        <item x="2084"/>
        <item x="388"/>
        <item x="1461"/>
        <item x="2921"/>
        <item x="4409"/>
        <item x="467"/>
        <item x="1016"/>
        <item x="2560"/>
        <item x="3873"/>
        <item x="4411"/>
        <item x="2218"/>
        <item x="3555"/>
        <item x="2319"/>
        <item x="3434"/>
        <item x="1029"/>
        <item x="762"/>
        <item x="506"/>
        <item x="4267"/>
        <item x="658"/>
        <item x="3090"/>
        <item x="1410"/>
        <item x="1492"/>
        <item x="269"/>
        <item x="847"/>
        <item x="2831"/>
        <item x="3695"/>
        <item x="2694"/>
        <item x="1943"/>
        <item x="204"/>
        <item x="3595"/>
        <item x="3823"/>
        <item x="3258"/>
        <item x="3389"/>
        <item x="4666"/>
        <item x="2602"/>
        <item x="1662"/>
        <item x="614"/>
        <item x="1070"/>
        <item x="2004"/>
        <item x="3844"/>
        <item x="281"/>
        <item x="4347"/>
        <item x="4726"/>
        <item x="1162"/>
        <item x="2795"/>
        <item x="217"/>
        <item x="2901"/>
        <item x="541"/>
        <item x="696"/>
        <item x="2725"/>
        <item x="2562"/>
        <item x="1435"/>
        <item x="3756"/>
        <item x="3307"/>
        <item x="219"/>
        <item x="4472"/>
        <item x="2074"/>
        <item x="2496"/>
        <item x="2968"/>
        <item x="4504"/>
        <item x="1121"/>
        <item x="276"/>
        <item x="965"/>
        <item x="2067"/>
        <item x="1310"/>
        <item x="3135"/>
        <item x="2362"/>
        <item x="804"/>
        <item x="3210"/>
        <item x="3137"/>
        <item x="1052"/>
        <item x="4097"/>
        <item x="37"/>
        <item x="2964"/>
        <item x="628"/>
        <item x="1297"/>
        <item x="3610"/>
        <item x="3235"/>
        <item x="3236"/>
        <item x="1541"/>
        <item x="3257"/>
        <item x="715"/>
        <item x="2036"/>
        <item x="4268"/>
        <item x="3720"/>
        <item x="770"/>
        <item x="4647"/>
        <item x="1870"/>
        <item x="2924"/>
        <item x="3780"/>
        <item x="3532"/>
        <item x="1030"/>
        <item x="831"/>
        <item x="3810"/>
        <item x="4646"/>
        <item x="652"/>
        <item x="3467"/>
        <item x="2718"/>
        <item x="2969"/>
        <item x="1166"/>
        <item x="3270"/>
        <item x="2092"/>
        <item x="1115"/>
        <item x="2494"/>
        <item x="1159"/>
        <item x="3377"/>
        <item x="1983"/>
        <item x="4724"/>
        <item x="1381"/>
        <item x="1768"/>
        <item x="3533"/>
        <item x="3020"/>
        <item x="3209"/>
        <item x="2503"/>
        <item x="3813"/>
        <item x="2034"/>
        <item x="2613"/>
        <item x="3732"/>
        <item x="1544"/>
        <item x="2056"/>
        <item x="3564"/>
        <item x="4327"/>
        <item x="3968"/>
        <item x="2033"/>
        <item x="405"/>
        <item x="172"/>
        <item x="3606"/>
        <item x="4682"/>
        <item x="3733"/>
        <item x="2633"/>
        <item x="2603"/>
        <item x="3729"/>
        <item x="4428"/>
        <item x="553"/>
        <item x="1429"/>
        <item x="795"/>
        <item x="4270"/>
        <item x="906"/>
        <item x="4048"/>
        <item x="3136"/>
        <item x="3651"/>
        <item x="2032"/>
        <item x="2444"/>
        <item x="1907"/>
        <item x="680"/>
        <item x="2492"/>
        <item x="2966"/>
        <item x="3824"/>
        <item x="2119"/>
        <item x="3987"/>
        <item x="2365"/>
        <item x="3182"/>
        <item x="4196"/>
        <item x="3330"/>
        <item x="4182"/>
        <item x="2522"/>
        <item x="2183"/>
        <item x="4060"/>
        <item x="758"/>
        <item x="3796"/>
        <item x="3698"/>
        <item x="2965"/>
        <item x="3238"/>
        <item x="2719"/>
        <item x="1275"/>
        <item x="1841"/>
        <item x="3939"/>
        <item x="3924"/>
        <item x="643"/>
        <item x="3728"/>
        <item x="1612"/>
        <item x="2072"/>
        <item x="4556"/>
        <item x="1411"/>
        <item x="1700"/>
        <item x="1951"/>
        <item x="23"/>
        <item x="4135"/>
        <item x="2891"/>
        <item x="3763"/>
        <item x="9"/>
        <item x="983"/>
        <item x="2565"/>
        <item x="2054"/>
        <item x="869"/>
        <item x="3343"/>
        <item x="2144"/>
        <item x="835"/>
        <item x="2081"/>
        <item x="4554"/>
        <item x="319"/>
        <item x="132"/>
        <item x="347"/>
        <item x="4197"/>
        <item x="233"/>
        <item x="1513"/>
        <item x="2523"/>
        <item x="3167"/>
        <item x="107"/>
        <item x="985"/>
        <item x="120"/>
        <item x="3959"/>
        <item x="3960"/>
        <item x="724"/>
        <item x="1820"/>
        <item x="176"/>
        <item x="2700"/>
        <item x="1441"/>
        <item x="3104"/>
        <item x="4206"/>
        <item x="2355"/>
        <item x="3957"/>
        <item x="1385"/>
        <item x="748"/>
        <item x="2055"/>
        <item x="3574"/>
        <item x="2618"/>
        <item x="3635"/>
        <item x="3383"/>
        <item x="3565"/>
        <item x="3284"/>
        <item x="382"/>
        <item x="2023"/>
        <item x="2931"/>
        <item x="1000"/>
        <item x="3199"/>
        <item x="1380"/>
        <item x="2634"/>
        <item x="1075"/>
        <item x="2389"/>
        <item x="159"/>
        <item x="2243"/>
        <item x="4336"/>
        <item x="2563"/>
        <item x="3011"/>
        <item x="4620"/>
        <item x="1415"/>
        <item x="3468"/>
        <item x="2528"/>
        <item x="3076"/>
        <item x="24"/>
        <item x="4645"/>
        <item x="3110"/>
        <item x="1478"/>
        <item x="3734"/>
        <item x="3358"/>
        <item x="81"/>
        <item x="4175"/>
        <item x="360"/>
        <item x="290"/>
        <item x="2181"/>
        <item x="438"/>
        <item x="270"/>
        <item x="3189"/>
        <item x="4669"/>
        <item x="622"/>
        <item x="1621"/>
        <item x="3301"/>
        <item x="477"/>
        <item x="2922"/>
        <item x="2675"/>
        <item x="4158"/>
        <item x="4240"/>
        <item x="2005"/>
        <item x="649"/>
        <item x="4448"/>
        <item x="2348"/>
        <item x="2363"/>
        <item x="632"/>
        <item x="3607"/>
        <item x="799"/>
        <item x="2068"/>
        <item x="3308"/>
        <item x="4348"/>
        <item x="2390"/>
        <item x="4186"/>
        <item x="2091"/>
        <item x="2925"/>
        <item x="4518"/>
        <item x="1711"/>
        <item x="1969"/>
        <item x="1272"/>
        <item x="110"/>
        <item x="732"/>
        <item x="1496"/>
        <item x="1663"/>
        <item x="2981"/>
        <item x="2108"/>
        <item x="1167"/>
        <item x="4237"/>
        <item x="4410"/>
        <item x="1047"/>
        <item x="2869"/>
        <item x="3557"/>
        <item x="2216"/>
        <item x="2537"/>
        <item x="4364"/>
        <item x="101"/>
        <item x="4318"/>
        <item x="3798"/>
        <item x="4150"/>
        <item x="2242"/>
        <item x="616"/>
        <item x="740"/>
        <item x="2240"/>
        <item x="4352"/>
        <item x="1485"/>
        <item x="3988"/>
        <item x="124"/>
        <item x="2682"/>
        <item x="2022"/>
        <item x="2082"/>
        <item x="3826"/>
        <item x="1775"/>
        <item x="1656"/>
        <item x="1045"/>
        <item x="609"/>
        <item x="595"/>
        <item x="1846"/>
        <item x="1129"/>
        <item x="851"/>
        <item x="3828"/>
        <item x="3493"/>
        <item x="351"/>
        <item x="2142"/>
        <item x="3212"/>
        <item x="1795"/>
        <item x="2681"/>
        <item x="3754"/>
        <item x="4236"/>
        <item x="1399"/>
        <item x="1941"/>
        <item x="3719"/>
        <item x="1793"/>
        <item x="1019"/>
        <item x="2052"/>
        <item x="249"/>
        <item x="994"/>
        <item x="885"/>
        <item x="2158"/>
        <item x="2290"/>
        <item x="3933"/>
        <item x="3596"/>
        <item x="2207"/>
        <item x="3735"/>
        <item x="3892"/>
        <item x="1214"/>
        <item x="4104"/>
        <item x="2930"/>
        <item x="722"/>
        <item x="3003"/>
        <item x="2229"/>
        <item x="3241"/>
        <item x="3535"/>
        <item x="2620"/>
        <item x="1940"/>
        <item x="3317"/>
        <item x="4297"/>
        <item x="3576"/>
        <item x="3200"/>
        <item x="2487"/>
        <item x="4259"/>
        <item x="1939"/>
        <item x="4649"/>
        <item x="3171"/>
        <item x="175"/>
        <item x="1774"/>
        <item x="3438"/>
        <item x="2726"/>
        <item x="1801"/>
        <item x="1618"/>
        <item x="2107"/>
        <item x="2003"/>
        <item x="3129"/>
        <item x="4389"/>
        <item x="3483"/>
        <item x="96"/>
        <item x="3753"/>
        <item x="889"/>
        <item x="730"/>
        <item x="4537"/>
        <item x="2790"/>
        <item x="1728"/>
        <item x="2166"/>
        <item x="1885"/>
        <item x="4098"/>
        <item x="4680"/>
        <item x="4378"/>
        <item x="577"/>
        <item x="1816"/>
        <item x="1425"/>
        <item x="302"/>
        <item x="3418"/>
        <item x="3545"/>
        <item x="2403"/>
        <item x="4429"/>
        <item x="1609"/>
        <item x="1386"/>
        <item x="278"/>
        <item x="3969"/>
        <item x="3701"/>
        <item x="2237"/>
        <item x="4555"/>
        <item x="1392"/>
        <item x="4413"/>
        <item x="4379"/>
        <item x="1635"/>
        <item x="603"/>
        <item x="1603"/>
        <item x="663"/>
        <item x="3829"/>
        <item x="957"/>
        <item x="1149"/>
        <item x="1694"/>
        <item x="4451"/>
        <item x="1089"/>
        <item x="3482"/>
        <item x="872"/>
        <item x="339"/>
        <item x="1388"/>
        <item x="277"/>
        <item x="1972"/>
        <item x="2118"/>
        <item x="684"/>
        <item x="2745"/>
        <item x="565"/>
        <item x="1236"/>
        <item x="4520"/>
        <item x="1371"/>
        <item x="3213"/>
        <item x="4120"/>
        <item x="2336"/>
        <item x="2238"/>
        <item x="4729"/>
        <item x="1299"/>
        <item x="3849"/>
        <item x="2066"/>
        <item x="1990"/>
        <item x="3797"/>
        <item x="524"/>
        <item x="3575"/>
        <item x="3721"/>
        <item x="3518"/>
        <item x="1953"/>
        <item x="3534"/>
        <item x="1537"/>
        <item x="781"/>
        <item x="2566"/>
        <item x="358"/>
        <item x="2447"/>
        <item x="3970"/>
        <item x="4271"/>
        <item x="7"/>
        <item x="3782"/>
        <item x="4187"/>
        <item x="2106"/>
        <item x="2695"/>
        <item x="2471"/>
        <item x="3059"/>
        <item x="225"/>
        <item x="710"/>
        <item x="4161"/>
        <item x="3481"/>
        <item x="3446"/>
        <item x="4026"/>
        <item x="2971"/>
        <item x="359"/>
        <item x="4353"/>
        <item x="3783"/>
        <item x="227"/>
        <item x="3435"/>
        <item x="344"/>
        <item x="1942"/>
        <item x="1854"/>
        <item x="3271"/>
        <item x="675"/>
        <item x="1382"/>
        <item x="1024"/>
        <item x="3393"/>
        <item x="65"/>
        <item x="18"/>
        <item x="2926"/>
        <item x="3429"/>
        <item x="4652"/>
        <item x="2551"/>
        <item x="2892"/>
        <item x="2643"/>
        <item x="1707"/>
        <item x="4521"/>
        <item x="2513"/>
        <item x="876"/>
        <item x="1238"/>
        <item x="2428"/>
        <item x="3700"/>
        <item x="4590"/>
        <item x="4188"/>
        <item x="1422"/>
        <item x="4398"/>
        <item x="837"/>
        <item x="4084"/>
        <item x="4621"/>
        <item x="4106"/>
        <item x="2621"/>
        <item x="1869"/>
        <item x="3041"/>
        <item x="1604"/>
        <item x="4380"/>
        <item x="2652"/>
        <item x="2020"/>
        <item x="2051"/>
        <item x="1839"/>
        <item x="2932"/>
        <item x="3784"/>
        <item x="2721"/>
        <item x="4298"/>
        <item x="2239"/>
        <item x="4541"/>
        <item x="87"/>
        <item x="1349"/>
        <item x="4038"/>
        <item x="676"/>
        <item x="3469"/>
        <item x="2031"/>
        <item x="2310"/>
        <item x="2304"/>
        <item x="2002"/>
        <item x="647"/>
        <item x="3240"/>
        <item x="4453"/>
        <item x="1619"/>
        <item x="1354"/>
        <item x="3577"/>
        <item x="2381"/>
        <item x="3883"/>
        <item x="3042"/>
        <item x="3578"/>
        <item x="3364"/>
        <item x="2179"/>
        <item x="3736"/>
        <item x="2214"/>
        <item x="3484"/>
        <item x="899"/>
        <item x="4684"/>
        <item x="2898"/>
        <item x="624"/>
        <item x="537"/>
        <item x="2722"/>
        <item x="3916"/>
        <item x="2369"/>
        <item x="1209"/>
        <item x="2683"/>
        <item x="3507"/>
        <item x="1962"/>
        <item x="1643"/>
        <item x="3146"/>
        <item x="3971"/>
        <item x="417"/>
        <item x="173"/>
        <item x="2343"/>
        <item x="1549"/>
        <item x="92"/>
        <item x="4039"/>
        <item x="2173"/>
        <item x="4272"/>
        <item x="2630"/>
        <item x="1536"/>
        <item h="1" x="4739"/>
        <item t="default"/>
      </items>
    </pivotField>
  </pivotFields>
  <rowFields count="1">
    <field x="3"/>
  </rowFields>
  <rowItems count="773">
    <i>
      <x v="711"/>
    </i>
    <i>
      <x v="606"/>
    </i>
    <i>
      <x v="326"/>
    </i>
    <i>
      <x v="6"/>
    </i>
    <i>
      <x v="738"/>
    </i>
    <i>
      <x v="34"/>
    </i>
    <i>
      <x v="191"/>
    </i>
    <i>
      <x v="654"/>
    </i>
    <i>
      <x v="89"/>
    </i>
    <i>
      <x v="405"/>
    </i>
    <i>
      <x v="155"/>
    </i>
    <i>
      <x v="319"/>
    </i>
    <i>
      <x v="337"/>
    </i>
    <i>
      <x v="3"/>
    </i>
    <i>
      <x v="588"/>
    </i>
    <i>
      <x v="108"/>
    </i>
    <i>
      <x v="11"/>
    </i>
    <i>
      <x v="695"/>
    </i>
    <i>
      <x v="363"/>
    </i>
    <i>
      <x v="220"/>
    </i>
    <i>
      <x v="617"/>
    </i>
    <i>
      <x v="480"/>
    </i>
    <i>
      <x v="671"/>
    </i>
    <i>
      <x v="406"/>
    </i>
    <i>
      <x v="438"/>
    </i>
    <i>
      <x v="769"/>
    </i>
    <i>
      <x v="87"/>
    </i>
    <i>
      <x v="174"/>
    </i>
    <i>
      <x v="397"/>
    </i>
    <i>
      <x v="300"/>
    </i>
    <i>
      <x v="217"/>
    </i>
    <i>
      <x v="370"/>
    </i>
    <i>
      <x v="29"/>
    </i>
    <i>
      <x v="168"/>
    </i>
    <i>
      <x v="737"/>
    </i>
    <i>
      <x v="187"/>
    </i>
    <i>
      <x v="276"/>
    </i>
    <i>
      <x v="381"/>
    </i>
    <i>
      <x v="244"/>
    </i>
    <i>
      <x v="615"/>
    </i>
    <i>
      <x v="44"/>
    </i>
    <i>
      <x v="76"/>
    </i>
    <i>
      <x v="501"/>
    </i>
    <i>
      <x v="721"/>
    </i>
    <i>
      <x v="101"/>
    </i>
    <i>
      <x v="586"/>
    </i>
    <i>
      <x v="269"/>
    </i>
    <i>
      <x v="626"/>
    </i>
    <i>
      <x v="312"/>
    </i>
    <i>
      <x v="365"/>
    </i>
    <i>
      <x v="327"/>
    </i>
    <i>
      <x v="581"/>
    </i>
    <i>
      <x v="13"/>
    </i>
    <i>
      <x v="261"/>
    </i>
    <i>
      <x v="128"/>
    </i>
    <i>
      <x v="291"/>
    </i>
    <i>
      <x v="625"/>
    </i>
    <i>
      <x v="733"/>
    </i>
    <i>
      <x v="131"/>
    </i>
    <i>
      <x v="360"/>
    </i>
    <i>
      <x v="742"/>
    </i>
    <i>
      <x v="377"/>
    </i>
    <i>
      <x v="724"/>
    </i>
    <i>
      <x v="72"/>
    </i>
    <i>
      <x v="296"/>
    </i>
    <i>
      <x v="553"/>
    </i>
    <i>
      <x v="166"/>
    </i>
    <i>
      <x v="212"/>
    </i>
    <i>
      <x v="398"/>
    </i>
    <i>
      <x v="278"/>
    </i>
    <i>
      <x v="585"/>
    </i>
    <i>
      <x v="98"/>
    </i>
    <i>
      <x v="694"/>
    </i>
    <i>
      <x v="92"/>
    </i>
    <i>
      <x v="403"/>
    </i>
    <i>
      <x v="627"/>
    </i>
    <i>
      <x v="156"/>
    </i>
    <i>
      <x v="17"/>
    </i>
    <i>
      <x v="236"/>
    </i>
    <i>
      <x v="767"/>
    </i>
    <i>
      <x v="690"/>
    </i>
    <i>
      <x v="372"/>
    </i>
    <i>
      <x v="623"/>
    </i>
    <i>
      <x v="452"/>
    </i>
    <i>
      <x v="423"/>
    </i>
    <i>
      <x v="51"/>
    </i>
    <i>
      <x v="632"/>
    </i>
    <i>
      <x v="572"/>
    </i>
    <i>
      <x v="558"/>
    </i>
    <i>
      <x v="584"/>
    </i>
    <i>
      <x v="703"/>
    </i>
    <i>
      <x v="554"/>
    </i>
    <i>
      <x v="45"/>
    </i>
    <i>
      <x v="597"/>
    </i>
    <i>
      <x v="282"/>
    </i>
    <i>
      <x v="55"/>
    </i>
    <i>
      <x v="112"/>
    </i>
    <i>
      <x v="411"/>
    </i>
    <i>
      <x v="336"/>
    </i>
    <i>
      <x v="476"/>
    </i>
    <i>
      <x v="357"/>
    </i>
    <i>
      <x v="350"/>
    </i>
    <i>
      <x v="356"/>
    </i>
    <i>
      <x v="202"/>
    </i>
    <i>
      <x v="209"/>
    </i>
    <i>
      <x v="214"/>
    </i>
    <i>
      <x v="184"/>
    </i>
    <i>
      <x v="170"/>
    </i>
    <i>
      <x v="593"/>
    </i>
    <i>
      <x v="473"/>
    </i>
    <i>
      <x v="404"/>
    </i>
    <i>
      <x v="335"/>
    </i>
    <i>
      <x v="640"/>
    </i>
    <i>
      <x v="506"/>
    </i>
    <i>
      <x v="348"/>
    </i>
    <i>
      <x v="630"/>
    </i>
    <i>
      <x v="79"/>
    </i>
    <i>
      <x v="709"/>
    </i>
    <i>
      <x v="332"/>
    </i>
    <i>
      <x v="290"/>
    </i>
    <i>
      <x v="270"/>
    </i>
    <i>
      <x v="53"/>
    </i>
    <i>
      <x v="154"/>
    </i>
    <i>
      <x v="770"/>
    </i>
    <i>
      <x v="482"/>
    </i>
    <i>
      <x v="330"/>
    </i>
    <i>
      <x v="340"/>
    </i>
    <i>
      <x v="306"/>
    </i>
    <i>
      <x v="646"/>
    </i>
    <i>
      <x v="245"/>
    </i>
    <i>
      <x v="657"/>
    </i>
    <i>
      <x v="662"/>
    </i>
    <i>
      <x v="757"/>
    </i>
    <i>
      <x v="583"/>
    </i>
    <i>
      <x v="605"/>
    </i>
    <i>
      <x v="248"/>
    </i>
    <i>
      <x v="562"/>
    </i>
    <i>
      <x v="421"/>
    </i>
    <i>
      <x v="189"/>
    </i>
    <i>
      <x v="491"/>
    </i>
    <i>
      <x v="31"/>
    </i>
    <i>
      <x v="717"/>
    </i>
    <i>
      <x v="241"/>
    </i>
    <i>
      <x v="434"/>
    </i>
    <i>
      <x v="467"/>
    </i>
    <i>
      <x v="316"/>
    </i>
    <i>
      <x v="502"/>
    </i>
    <i>
      <x v="281"/>
    </i>
    <i>
      <x v="138"/>
    </i>
    <i>
      <x v="513"/>
    </i>
    <i>
      <x v="125"/>
    </i>
    <i>
      <x v="656"/>
    </i>
    <i>
      <x v="768"/>
    </i>
    <i>
      <x v="726"/>
    </i>
    <i>
      <x v="716"/>
    </i>
    <i>
      <x v="516"/>
    </i>
    <i>
      <x v="549"/>
    </i>
    <i>
      <x v="222"/>
    </i>
    <i>
      <x v="762"/>
    </i>
    <i>
      <x v="520"/>
    </i>
    <i>
      <x v="297"/>
    </i>
    <i>
      <x v="146"/>
    </i>
    <i>
      <x v="159"/>
    </i>
    <i>
      <x v="219"/>
    </i>
    <i>
      <x v="201"/>
    </i>
    <i>
      <x v="610"/>
    </i>
    <i>
      <x v="181"/>
    </i>
    <i>
      <x v="239"/>
    </i>
    <i>
      <x v="145"/>
    </i>
    <i>
      <x v="607"/>
    </i>
    <i>
      <x v="393"/>
    </i>
    <i>
      <x v="693"/>
    </i>
    <i>
      <x v="123"/>
    </i>
    <i>
      <x v="18"/>
    </i>
    <i>
      <x v="613"/>
    </i>
    <i>
      <x v="564"/>
    </i>
    <i>
      <x v="100"/>
    </i>
    <i>
      <x v="41"/>
    </i>
    <i>
      <x v="283"/>
    </i>
    <i>
      <x v="459"/>
    </i>
    <i>
      <x v="425"/>
    </i>
    <i>
      <x v="692"/>
    </i>
    <i>
      <x v="622"/>
    </i>
    <i>
      <x v="124"/>
    </i>
    <i>
      <x v="594"/>
    </i>
    <i>
      <x v="39"/>
    </i>
    <i>
      <x v="328"/>
    </i>
    <i>
      <x v="150"/>
    </i>
    <i>
      <x v="188"/>
    </i>
    <i>
      <x v="433"/>
    </i>
    <i>
      <x v="628"/>
    </i>
    <i>
      <x v="665"/>
    </i>
    <i>
      <x v="353"/>
    </i>
    <i>
      <x v="495"/>
    </i>
    <i>
      <x v="477"/>
    </i>
    <i>
      <x v="56"/>
    </i>
    <i>
      <x v="660"/>
    </i>
    <i>
      <x v="609"/>
    </i>
    <i>
      <x v="177"/>
    </i>
    <i>
      <x v="601"/>
    </i>
    <i>
      <x v="635"/>
    </i>
    <i>
      <x v="575"/>
    </i>
    <i>
      <x v="186"/>
    </i>
    <i>
      <x v="753"/>
    </i>
    <i>
      <x v="612"/>
    </i>
    <i>
      <x v="508"/>
    </i>
    <i>
      <x v="539"/>
    </i>
    <i>
      <x v="215"/>
    </i>
    <i>
      <x v="333"/>
    </i>
    <i>
      <x v="401"/>
    </i>
    <i>
      <x v="77"/>
    </i>
    <i>
      <x v="396"/>
    </i>
    <i>
      <x v="86"/>
    </i>
    <i>
      <x v="311"/>
    </i>
    <i>
      <x v="744"/>
    </i>
    <i>
      <x v="275"/>
    </i>
    <i>
      <x v="731"/>
    </i>
    <i>
      <x v="178"/>
    </i>
    <i>
      <x v="535"/>
    </i>
    <i>
      <x v="760"/>
    </i>
    <i>
      <x v="88"/>
    </i>
    <i>
      <x v="4"/>
    </i>
    <i>
      <x v="158"/>
    </i>
    <i>
      <x v="310"/>
    </i>
    <i>
      <x v="426"/>
    </i>
    <i>
      <x v="736"/>
    </i>
    <i>
      <x v="237"/>
    </i>
    <i>
      <x v="427"/>
    </i>
    <i>
      <x v="380"/>
    </i>
    <i>
      <x v="722"/>
    </i>
    <i>
      <x v="637"/>
    </i>
    <i>
      <x v="165"/>
    </i>
    <i>
      <x v="14"/>
    </i>
    <i>
      <x v="136"/>
    </i>
    <i>
      <x v="641"/>
    </i>
    <i>
      <x v="514"/>
    </i>
    <i>
      <x v="134"/>
    </i>
    <i>
      <x v="448"/>
    </i>
    <i>
      <x v="400"/>
    </i>
    <i>
      <x v="755"/>
    </i>
    <i>
      <x v="358"/>
    </i>
    <i>
      <x v="529"/>
    </i>
    <i>
      <x v="71"/>
    </i>
    <i>
      <x v="531"/>
    </i>
    <i>
      <x v="672"/>
    </i>
    <i>
      <x v="541"/>
    </i>
    <i>
      <x v="225"/>
    </i>
    <i>
      <x v="650"/>
    </i>
    <i>
      <x v="462"/>
    </i>
    <i>
      <x v="67"/>
    </i>
    <i>
      <x v="149"/>
    </i>
    <i>
      <x v="451"/>
    </i>
    <i>
      <x v="81"/>
    </i>
    <i>
      <x v="46"/>
    </i>
    <i>
      <x v="414"/>
    </i>
    <i>
      <x v="739"/>
    </i>
    <i>
      <x v="577"/>
    </i>
    <i>
      <x v="176"/>
    </i>
    <i>
      <x v="153"/>
    </i>
    <i>
      <x v="371"/>
    </i>
    <i>
      <x v="432"/>
    </i>
    <i>
      <x v="16"/>
    </i>
    <i>
      <x v="518"/>
    </i>
    <i>
      <x v="772"/>
    </i>
    <i>
      <x v="571"/>
    </i>
    <i>
      <x v="354"/>
    </i>
    <i>
      <x v="74"/>
    </i>
    <i>
      <x v="652"/>
    </i>
    <i>
      <x v="534"/>
    </i>
    <i>
      <x v="272"/>
    </i>
    <i>
      <x v="75"/>
    </i>
    <i>
      <x v="456"/>
    </i>
    <i>
      <x v="105"/>
    </i>
    <i>
      <x v="463"/>
    </i>
    <i>
      <x v="110"/>
    </i>
    <i>
      <x v="208"/>
    </i>
    <i>
      <x v="655"/>
    </i>
    <i>
      <x v="298"/>
    </i>
    <i>
      <x v="727"/>
    </i>
    <i>
      <x v="576"/>
    </i>
    <i>
      <x v="68"/>
    </i>
    <i>
      <x v="713"/>
    </i>
    <i>
      <x v="120"/>
    </i>
    <i>
      <x v="732"/>
    </i>
    <i>
      <x v="478"/>
    </i>
    <i>
      <x v="50"/>
    </i>
    <i>
      <x v="653"/>
    </i>
    <i>
      <x v="669"/>
    </i>
    <i>
      <x v="61"/>
    </i>
    <i>
      <x v="664"/>
    </i>
    <i>
      <x v="115"/>
    </i>
    <i>
      <x v="528"/>
    </i>
    <i>
      <x v="759"/>
    </i>
    <i>
      <x v="147"/>
    </i>
    <i>
      <x v="218"/>
    </i>
    <i>
      <x v="226"/>
    </i>
    <i>
      <x v="268"/>
    </i>
    <i>
      <x v="180"/>
    </i>
    <i>
      <x v="409"/>
    </i>
    <i>
      <x v="420"/>
    </i>
    <i>
      <x v="294"/>
    </i>
    <i>
      <x v="734"/>
    </i>
    <i>
      <x v="24"/>
    </i>
    <i>
      <x v="338"/>
    </i>
    <i>
      <x v="658"/>
    </i>
    <i>
      <x v="119"/>
    </i>
    <i>
      <x v="373"/>
    </i>
    <i>
      <x v="505"/>
    </i>
    <i>
      <x v="569"/>
    </i>
    <i>
      <x v="402"/>
    </i>
    <i>
      <x v="113"/>
    </i>
    <i>
      <x v="747"/>
    </i>
    <i>
      <x v="608"/>
    </i>
    <i>
      <x v="104"/>
    </i>
    <i>
      <x v="58"/>
    </i>
    <i>
      <x v="677"/>
    </i>
    <i>
      <x v="484"/>
    </i>
    <i>
      <x v="279"/>
    </i>
    <i>
      <x v="285"/>
    </i>
    <i>
      <x v="503"/>
    </i>
    <i>
      <x v="221"/>
    </i>
    <i>
      <x v="384"/>
    </i>
    <i>
      <x v="205"/>
    </i>
    <i>
      <x v="526"/>
    </i>
    <i>
      <x v="461"/>
    </i>
    <i>
      <x v="440"/>
    </i>
    <i>
      <x v="375"/>
    </i>
    <i>
      <x v="346"/>
    </i>
    <i>
      <x v="647"/>
    </i>
    <i>
      <x v="175"/>
    </i>
    <i>
      <x v="63"/>
    </i>
    <i>
      <x v="238"/>
    </i>
    <i>
      <x v="197"/>
    </i>
    <i>
      <x v="47"/>
    </i>
    <i>
      <x v="347"/>
    </i>
    <i>
      <x v="258"/>
    </i>
    <i>
      <x v="638"/>
    </i>
    <i>
      <x v="701"/>
    </i>
    <i>
      <x v="78"/>
    </i>
    <i>
      <x v="429"/>
    </i>
    <i>
      <x v="59"/>
    </i>
    <i>
      <x v="580"/>
    </i>
    <i>
      <x v="228"/>
    </i>
    <i>
      <x v="418"/>
    </i>
    <i>
      <x v="161"/>
    </i>
    <i>
      <x v="99"/>
    </i>
    <i>
      <x v="416"/>
    </i>
    <i>
      <x v="260"/>
    </i>
    <i>
      <x v="490"/>
    </i>
    <i>
      <x v="488"/>
    </i>
    <i>
      <x v="349"/>
    </i>
    <i>
      <x v="162"/>
    </i>
    <i>
      <x v="431"/>
    </i>
    <i>
      <x v="193"/>
    </i>
    <i>
      <x v="472"/>
    </i>
    <i>
      <x v="329"/>
    </i>
    <i>
      <x v="234"/>
    </i>
    <i>
      <x v="30"/>
    </i>
    <i>
      <x v="616"/>
    </i>
    <i>
      <x v="151"/>
    </i>
    <i>
      <x v="642"/>
    </i>
    <i>
      <x v="289"/>
    </i>
    <i>
      <x v="148"/>
    </i>
    <i>
      <x v="10"/>
    </i>
    <i>
      <x v="116"/>
    </i>
    <i>
      <x v="386"/>
    </i>
    <i>
      <x v="267"/>
    </i>
    <i>
      <x v="265"/>
    </i>
    <i>
      <x v="521"/>
    </i>
    <i>
      <x v="309"/>
    </i>
    <i>
      <x v="667"/>
    </i>
    <i>
      <x v="492"/>
    </i>
    <i>
      <x v="325"/>
    </i>
    <i>
      <x v="391"/>
    </i>
    <i>
      <x v="313"/>
    </i>
    <i>
      <x v="469"/>
    </i>
    <i>
      <x v="135"/>
    </i>
    <i>
      <x v="387"/>
    </i>
    <i>
      <x v="691"/>
    </i>
    <i>
      <x v="763"/>
    </i>
    <i>
      <x v="446"/>
    </i>
    <i>
      <x v="73"/>
    </i>
    <i>
      <x v="551"/>
    </i>
    <i>
      <x v="496"/>
    </i>
    <i>
      <x v="118"/>
    </i>
    <i>
      <x/>
    </i>
    <i>
      <x v="464"/>
    </i>
    <i>
      <x v="651"/>
    </i>
    <i>
      <x v="468"/>
    </i>
    <i>
      <x v="524"/>
    </i>
    <i>
      <x v="361"/>
    </i>
    <i>
      <x v="417"/>
    </i>
    <i>
      <x v="686"/>
    </i>
    <i>
      <x v="453"/>
    </i>
    <i>
      <x v="592"/>
    </i>
    <i>
      <x v="766"/>
    </i>
    <i>
      <x v="458"/>
    </i>
    <i>
      <x v="629"/>
    </i>
    <i>
      <x v="366"/>
    </i>
    <i>
      <x v="645"/>
    </i>
    <i>
      <x v="743"/>
    </i>
    <i>
      <x v="334"/>
    </i>
    <i>
      <x v="369"/>
    </i>
    <i>
      <x v="422"/>
    </i>
    <i>
      <x v="493"/>
    </i>
    <i>
      <x v="70"/>
    </i>
    <i>
      <x v="708"/>
    </i>
    <i>
      <x v="673"/>
    </i>
    <i>
      <x v="749"/>
    </i>
    <i>
      <x v="28"/>
    </i>
    <i>
      <x v="114"/>
    </i>
    <i>
      <x v="231"/>
    </i>
    <i>
      <x v="263"/>
    </i>
    <i>
      <x v="689"/>
    </i>
    <i>
      <x v="591"/>
    </i>
    <i>
      <x v="649"/>
    </i>
    <i>
      <x v="182"/>
    </i>
    <i>
      <x v="555"/>
    </i>
    <i>
      <x v="106"/>
    </i>
    <i>
      <x v="428"/>
    </i>
    <i>
      <x v="233"/>
    </i>
    <i>
      <x v="544"/>
    </i>
    <i>
      <x v="408"/>
    </i>
    <i>
      <x v="670"/>
    </i>
    <i>
      <x v="728"/>
    </i>
    <i>
      <x v="390"/>
    </i>
    <i>
      <x v="240"/>
    </i>
    <i>
      <x v="223"/>
    </i>
    <i>
      <x v="620"/>
    </i>
    <i>
      <x v="557"/>
    </i>
    <i>
      <x v="200"/>
    </i>
    <i>
      <x v="527"/>
    </i>
    <i>
      <x v="103"/>
    </i>
    <i>
      <x v="542"/>
    </i>
    <i>
      <x v="698"/>
    </i>
    <i>
      <x v="754"/>
    </i>
    <i>
      <x v="712"/>
    </i>
    <i>
      <x v="235"/>
    </i>
    <i>
      <x v="284"/>
    </i>
    <i>
      <x v="249"/>
    </i>
    <i>
      <x v="183"/>
    </i>
    <i>
      <x v="133"/>
    </i>
    <i>
      <x v="277"/>
    </i>
    <i>
      <x v="102"/>
    </i>
    <i>
      <x v="445"/>
    </i>
    <i>
      <x v="54"/>
    </i>
    <i>
      <x v="293"/>
    </i>
    <i>
      <x v="710"/>
    </i>
    <i>
      <x v="750"/>
    </i>
    <i>
      <x v="252"/>
    </i>
    <i>
      <x v="619"/>
    </i>
    <i>
      <x v="466"/>
    </i>
    <i>
      <x v="305"/>
    </i>
    <i>
      <x v="567"/>
    </i>
    <i>
      <x v="40"/>
    </i>
    <i>
      <x v="169"/>
    </i>
    <i>
      <x v="143"/>
    </i>
    <i>
      <x v="523"/>
    </i>
    <i>
      <x v="465"/>
    </i>
    <i>
      <x v="556"/>
    </i>
    <i>
      <x v="196"/>
    </i>
    <i>
      <x v="685"/>
    </i>
    <i>
      <x v="315"/>
    </i>
    <i>
      <x v="230"/>
    </i>
    <i>
      <x v="111"/>
    </i>
    <i>
      <x v="599"/>
    </i>
    <i>
      <x v="247"/>
    </i>
    <i>
      <x v="259"/>
    </i>
    <i>
      <x v="314"/>
    </i>
    <i>
      <x v="511"/>
    </i>
    <i>
      <x v="117"/>
    </i>
    <i>
      <x v="199"/>
    </i>
    <i>
      <x v="758"/>
    </i>
    <i>
      <x v="394"/>
    </i>
    <i>
      <x v="109"/>
    </i>
    <i>
      <x v="674"/>
    </i>
    <i>
      <x v="489"/>
    </i>
    <i>
      <x v="587"/>
    </i>
    <i>
      <x v="93"/>
    </i>
    <i>
      <x v="636"/>
    </i>
    <i>
      <x v="419"/>
    </i>
    <i>
      <x v="160"/>
    </i>
    <i>
      <x v="430"/>
    </i>
    <i>
      <x v="485"/>
    </i>
    <i>
      <x v="144"/>
    </i>
    <i>
      <x v="573"/>
    </i>
    <i>
      <x v="317"/>
    </i>
    <i>
      <x v="257"/>
    </i>
    <i>
      <x v="342"/>
    </i>
    <i>
      <x v="756"/>
    </i>
    <i>
      <x v="355"/>
    </i>
    <i>
      <x v="253"/>
    </i>
    <i>
      <x v="696"/>
    </i>
    <i>
      <x v="582"/>
    </i>
    <i>
      <x v="614"/>
    </i>
    <i>
      <x v="570"/>
    </i>
    <i>
      <x v="48"/>
    </i>
    <i>
      <x v="266"/>
    </i>
    <i>
      <x v="374"/>
    </i>
    <i>
      <x v="746"/>
    </i>
    <i>
      <x v="9"/>
    </i>
    <i>
      <x v="232"/>
    </i>
    <i>
      <x v="442"/>
    </i>
    <i>
      <x v="288"/>
    </i>
    <i>
      <x v="322"/>
    </i>
    <i>
      <x v="509"/>
    </i>
    <i>
      <x v="37"/>
    </i>
    <i>
      <x v="537"/>
    </i>
    <i>
      <x v="540"/>
    </i>
    <i>
      <x v="536"/>
    </i>
    <i>
      <x v="1"/>
    </i>
    <i>
      <x v="85"/>
    </i>
    <i>
      <x v="344"/>
    </i>
    <i>
      <x v="83"/>
    </i>
    <i>
      <x v="35"/>
    </i>
    <i>
      <x v="388"/>
    </i>
    <i>
      <x v="487"/>
    </i>
    <i>
      <x v="224"/>
    </i>
    <i>
      <x v="668"/>
    </i>
    <i>
      <x v="167"/>
    </i>
    <i>
      <x v="510"/>
    </i>
    <i>
      <x v="36"/>
    </i>
    <i>
      <x v="730"/>
    </i>
    <i>
      <x v="741"/>
    </i>
    <i>
      <x v="563"/>
    </i>
    <i>
      <x v="702"/>
    </i>
    <i>
      <x v="80"/>
    </i>
    <i>
      <x v="32"/>
    </i>
    <i>
      <x v="764"/>
    </i>
    <i>
      <x v="172"/>
    </i>
    <i>
      <x v="595"/>
    </i>
    <i>
      <x v="631"/>
    </i>
    <i>
      <x v="547"/>
    </i>
    <i>
      <x v="470"/>
    </i>
    <i>
      <x v="107"/>
    </i>
    <i>
      <x v="525"/>
    </i>
    <i>
      <x v="242"/>
    </i>
    <i>
      <x v="714"/>
    </i>
    <i>
      <x v="324"/>
    </i>
    <i>
      <x v="66"/>
    </i>
    <i>
      <x v="687"/>
    </i>
    <i>
      <x v="190"/>
    </i>
    <i>
      <x v="362"/>
    </i>
    <i>
      <x v="33"/>
    </i>
    <i>
      <x v="22"/>
    </i>
    <i>
      <x v="82"/>
    </i>
    <i>
      <x v="7"/>
    </i>
    <i>
      <x v="307"/>
    </i>
    <i>
      <x v="437"/>
    </i>
    <i>
      <x v="611"/>
    </i>
    <i>
      <x v="216"/>
    </i>
    <i>
      <x v="19"/>
    </i>
    <i>
      <x v="8"/>
    </i>
    <i>
      <x v="500"/>
    </i>
    <i>
      <x v="457"/>
    </i>
    <i>
      <x v="213"/>
    </i>
    <i>
      <x v="450"/>
    </i>
    <i>
      <x v="274"/>
    </i>
    <i>
      <x v="256"/>
    </i>
    <i>
      <x v="392"/>
    </i>
    <i>
      <x v="410"/>
    </i>
    <i>
      <x v="339"/>
    </i>
    <i>
      <x v="64"/>
    </i>
    <i>
      <x v="643"/>
    </i>
    <i>
      <x v="624"/>
    </i>
    <i>
      <x v="719"/>
    </i>
    <i>
      <x v="173"/>
    </i>
    <i>
      <x v="95"/>
    </i>
    <i>
      <x v="352"/>
    </i>
    <i>
      <x v="435"/>
    </i>
    <i>
      <x v="663"/>
    </i>
    <i>
      <x v="229"/>
    </i>
    <i>
      <x v="286"/>
    </i>
    <i>
      <x v="273"/>
    </i>
    <i>
      <x v="436"/>
    </i>
    <i>
      <x v="498"/>
    </i>
    <i>
      <x v="140"/>
    </i>
    <i>
      <x v="211"/>
    </i>
    <i>
      <x v="474"/>
    </i>
    <i>
      <x v="700"/>
    </i>
    <i>
      <x v="142"/>
    </i>
    <i>
      <x v="121"/>
    </i>
    <i>
      <x v="681"/>
    </i>
    <i>
      <x v="471"/>
    </i>
    <i>
      <x v="497"/>
    </i>
    <i>
      <x v="590"/>
    </i>
    <i>
      <x v="725"/>
    </i>
    <i>
      <x v="139"/>
    </i>
    <i>
      <x v="359"/>
    </i>
    <i>
      <x v="659"/>
    </i>
    <i>
      <x v="704"/>
    </i>
    <i>
      <x v="481"/>
    </i>
    <i>
      <x v="682"/>
    </i>
    <i>
      <x v="52"/>
    </i>
    <i>
      <x v="600"/>
    </i>
    <i>
      <x v="699"/>
    </i>
    <i>
      <x v="680"/>
    </i>
    <i>
      <x v="413"/>
    </i>
    <i>
      <x v="504"/>
    </i>
    <i>
      <x v="639"/>
    </i>
    <i>
      <x v="97"/>
    </i>
    <i>
      <x v="533"/>
    </i>
    <i>
      <x v="483"/>
    </i>
    <i>
      <x v="364"/>
    </i>
    <i>
      <x v="23"/>
    </i>
    <i>
      <x v="271"/>
    </i>
    <i>
      <x v="96"/>
    </i>
    <i>
      <x v="192"/>
    </i>
    <i>
      <x v="735"/>
    </i>
    <i>
      <x v="621"/>
    </i>
    <i>
      <x v="460"/>
    </i>
    <i>
      <x v="618"/>
    </i>
    <i>
      <x v="246"/>
    </i>
    <i>
      <x v="302"/>
    </i>
    <i>
      <x v="548"/>
    </i>
    <i>
      <x v="676"/>
    </i>
    <i>
      <x v="602"/>
    </i>
    <i>
      <x v="343"/>
    </i>
    <i>
      <x v="251"/>
    </i>
    <i>
      <x v="62"/>
    </i>
    <i>
      <x v="122"/>
    </i>
    <i>
      <x v="25"/>
    </i>
    <i>
      <x v="596"/>
    </i>
    <i>
      <x v="415"/>
    </i>
    <i>
      <x v="443"/>
    </i>
    <i>
      <x v="367"/>
    </i>
    <i>
      <x v="598"/>
    </i>
    <i>
      <x v="255"/>
    </i>
    <i>
      <x v="532"/>
    </i>
    <i>
      <x v="345"/>
    </i>
    <i>
      <x v="718"/>
    </i>
    <i>
      <x v="515"/>
    </i>
    <i>
      <x v="341"/>
    </i>
    <i>
      <x v="21"/>
    </i>
    <i>
      <x v="57"/>
    </i>
    <i>
      <x v="407"/>
    </i>
    <i>
      <x v="519"/>
    </i>
    <i>
      <x v="705"/>
    </i>
    <i>
      <x v="486"/>
    </i>
    <i>
      <x v="15"/>
    </i>
    <i>
      <x v="303"/>
    </i>
    <i>
      <x v="707"/>
    </i>
    <i>
      <x v="412"/>
    </i>
    <i>
      <x v="91"/>
    </i>
    <i>
      <x v="137"/>
    </i>
    <i>
      <x v="589"/>
    </i>
    <i>
      <x v="552"/>
    </i>
    <i>
      <x v="765"/>
    </i>
    <i>
      <x v="383"/>
    </i>
    <i>
      <x v="550"/>
    </i>
    <i>
      <x v="264"/>
    </i>
    <i>
      <x v="376"/>
    </i>
    <i>
      <x v="517"/>
    </i>
    <i>
      <x v="194"/>
    </i>
    <i>
      <x v="42"/>
    </i>
    <i>
      <x v="507"/>
    </i>
    <i>
      <x v="292"/>
    </i>
    <i>
      <x v="543"/>
    </i>
    <i>
      <x v="574"/>
    </i>
    <i>
      <x v="379"/>
    </i>
    <i>
      <x v="661"/>
    </i>
    <i>
      <x v="439"/>
    </i>
    <i>
      <x v="579"/>
    </i>
    <i>
      <x v="568"/>
    </i>
    <i>
      <x v="295"/>
    </i>
    <i>
      <x v="308"/>
    </i>
    <i>
      <x v="378"/>
    </i>
    <i>
      <x v="318"/>
    </i>
    <i>
      <x v="351"/>
    </i>
    <i>
      <x v="195"/>
    </i>
    <i>
      <x v="27"/>
    </i>
    <i>
      <x v="280"/>
    </i>
    <i>
      <x v="723"/>
    </i>
    <i>
      <x v="127"/>
    </i>
    <i>
      <x v="368"/>
    </i>
    <i>
      <x v="126"/>
    </i>
    <i>
      <x v="382"/>
    </i>
    <i>
      <x v="152"/>
    </i>
    <i>
      <x v="49"/>
    </i>
    <i>
      <x v="752"/>
    </i>
    <i>
      <x v="729"/>
    </i>
    <i>
      <x v="94"/>
    </i>
    <i>
      <x v="603"/>
    </i>
    <i>
      <x v="604"/>
    </i>
    <i>
      <x v="745"/>
    </i>
    <i>
      <x v="206"/>
    </i>
    <i>
      <x v="69"/>
    </i>
    <i>
      <x v="648"/>
    </i>
    <i>
      <x v="132"/>
    </i>
    <i>
      <x v="679"/>
    </i>
    <i>
      <x v="499"/>
    </i>
    <i>
      <x v="561"/>
    </i>
    <i>
      <x v="447"/>
    </i>
    <i>
      <x v="227"/>
    </i>
    <i>
      <x v="644"/>
    </i>
    <i>
      <x v="424"/>
    </i>
    <i>
      <x v="683"/>
    </i>
    <i>
      <x v="60"/>
    </i>
    <i>
      <x v="320"/>
    </i>
    <i>
      <x v="454"/>
    </i>
    <i>
      <x v="207"/>
    </i>
    <i>
      <x v="751"/>
    </i>
    <i>
      <x v="130"/>
    </i>
    <i>
      <x v="323"/>
    </i>
    <i>
      <x v="565"/>
    </i>
    <i>
      <x v="395"/>
    </i>
    <i>
      <x v="171"/>
    </i>
    <i>
      <x v="530"/>
    </i>
    <i>
      <x v="304"/>
    </i>
    <i>
      <x v="399"/>
    </i>
    <i>
      <x v="129"/>
    </i>
    <i>
      <x v="475"/>
    </i>
    <i>
      <x v="331"/>
    </i>
    <i>
      <x v="43"/>
    </i>
    <i>
      <x v="26"/>
    </i>
    <i>
      <x v="90"/>
    </i>
    <i>
      <x v="706"/>
    </i>
    <i>
      <x v="545"/>
    </i>
    <i>
      <x v="163"/>
    </i>
    <i>
      <x v="84"/>
    </i>
    <i>
      <x v="38"/>
    </i>
    <i>
      <x v="243"/>
    </i>
    <i>
      <x v="720"/>
    </i>
    <i>
      <x v="633"/>
    </i>
    <i>
      <x v="538"/>
    </i>
    <i>
      <x v="2"/>
    </i>
    <i>
      <x v="455"/>
    </i>
    <i>
      <x v="494"/>
    </i>
    <i>
      <x v="65"/>
    </i>
    <i>
      <x v="444"/>
    </i>
    <i>
      <x v="250"/>
    </i>
    <i>
      <x v="5"/>
    </i>
    <i>
      <x v="678"/>
    </i>
    <i>
      <x v="389"/>
    </i>
    <i>
      <x v="262"/>
    </i>
    <i>
      <x v="449"/>
    </i>
    <i>
      <x v="479"/>
    </i>
    <i>
      <x v="688"/>
    </i>
    <i>
      <x v="12"/>
    </i>
    <i>
      <x v="441"/>
    </i>
    <i>
      <x v="254"/>
    </i>
    <i>
      <x v="141"/>
    </i>
    <i>
      <x v="204"/>
    </i>
    <i>
      <x v="560"/>
    </i>
    <i>
      <x v="522"/>
    </i>
    <i>
      <x v="299"/>
    </i>
    <i>
      <x v="559"/>
    </i>
    <i>
      <x v="179"/>
    </i>
    <i>
      <x v="198"/>
    </i>
    <i>
      <x v="512"/>
    </i>
    <i>
      <x v="634"/>
    </i>
    <i>
      <x v="157"/>
    </i>
    <i>
      <x v="20"/>
    </i>
    <i>
      <x v="287"/>
    </i>
    <i>
      <x v="578"/>
    </i>
    <i>
      <x v="697"/>
    </i>
    <i>
      <x v="715"/>
    </i>
    <i>
      <x v="666"/>
    </i>
    <i>
      <x v="684"/>
    </i>
    <i>
      <x v="210"/>
    </i>
    <i>
      <x v="385"/>
    </i>
    <i>
      <x v="761"/>
    </i>
    <i>
      <x v="748"/>
    </i>
    <i>
      <x v="566"/>
    </i>
    <i>
      <x v="203"/>
    </i>
    <i>
      <x v="740"/>
    </i>
    <i>
      <x v="185"/>
    </i>
    <i>
      <x v="771"/>
    </i>
    <i>
      <x v="546"/>
    </i>
    <i>
      <x v="321"/>
    </i>
    <i>
      <x v="675"/>
    </i>
    <i>
      <x v="301"/>
    </i>
    <i>
      <x v="164"/>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F443C6-5580-483E-8BEB-A280CB280542}"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showAll="0"/>
    <pivotField showAll="0">
      <items count="4">
        <item x="0"/>
        <item x="1"/>
        <item x="2"/>
        <item t="default"/>
      </items>
    </pivotField>
    <pivotField showAll="0"/>
    <pivotField showAll="0"/>
    <pivotField axis="axisRow" showAll="0">
      <items count="51">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h="1" x="49"/>
        <item t="default"/>
      </items>
    </pivotField>
    <pivotField showAll="0">
      <items count="5">
        <item x="0"/>
        <item x="2"/>
        <item x="1"/>
        <item x="3"/>
        <item t="default"/>
      </items>
    </pivotField>
    <pivotField showAll="0"/>
    <pivotField showAll="0"/>
    <pivotField dataField="1" showAll="0">
      <items count="5111">
        <item x="793"/>
        <item x="1729"/>
        <item x="242"/>
        <item x="293"/>
        <item x="1452"/>
        <item x="619"/>
        <item x="742"/>
        <item x="762"/>
        <item x="82"/>
        <item x="1117"/>
        <item x="2017"/>
        <item x="1147"/>
        <item x="925"/>
        <item x="1266"/>
        <item x="940"/>
        <item x="592"/>
        <item x="1090"/>
        <item x="198"/>
        <item x="1056"/>
        <item x="1768"/>
        <item x="496"/>
        <item x="989"/>
        <item x="1696"/>
        <item x="188"/>
        <item x="1322"/>
        <item x="1725"/>
        <item x="200"/>
        <item x="652"/>
        <item x="847"/>
        <item x="2071"/>
        <item x="1740"/>
        <item x="860"/>
        <item x="1315"/>
        <item x="587"/>
        <item x="482"/>
        <item x="2079"/>
        <item x="457"/>
        <item x="572"/>
        <item x="1400"/>
        <item x="1267"/>
        <item x="1938"/>
        <item x="567"/>
        <item x="1318"/>
        <item x="1378"/>
        <item x="1133"/>
        <item x="468"/>
        <item x="1687"/>
        <item x="947"/>
        <item x="290"/>
        <item x="1222"/>
        <item x="517"/>
        <item x="437"/>
        <item x="654"/>
        <item x="1071"/>
        <item x="1122"/>
        <item x="2016"/>
        <item x="1105"/>
        <item x="1902"/>
        <item x="1604"/>
        <item x="338"/>
        <item x="1563"/>
        <item x="356"/>
        <item x="1993"/>
        <item x="1937"/>
        <item x="1809"/>
        <item x="156"/>
        <item x="594"/>
        <item x="1180"/>
        <item x="798"/>
        <item x="1012"/>
        <item x="466"/>
        <item x="1463"/>
        <item x="686"/>
        <item x="1356"/>
        <item x="1455"/>
        <item x="1009"/>
        <item x="1583"/>
        <item x="949"/>
        <item x="1597"/>
        <item x="1685"/>
        <item x="2037"/>
        <item x="1073"/>
        <item x="1028"/>
        <item x="1779"/>
        <item x="1936"/>
        <item x="1209"/>
        <item x="1671"/>
        <item x="1773"/>
        <item x="647"/>
        <item x="1769"/>
        <item x="266"/>
        <item x="1310"/>
        <item x="1106"/>
        <item x="774"/>
        <item x="36"/>
        <item x="10"/>
        <item x="1858"/>
        <item x="713"/>
        <item x="962"/>
        <item x="404"/>
        <item x="128"/>
        <item x="712"/>
        <item x="1992"/>
        <item x="471"/>
        <item x="1746"/>
        <item x="1352"/>
        <item x="1445"/>
        <item x="604"/>
        <item x="2066"/>
        <item x="1376"/>
        <item x="491"/>
        <item x="1793"/>
        <item x="779"/>
        <item x="138"/>
        <item x="2015"/>
        <item x="13"/>
        <item x="376"/>
        <item x="818"/>
        <item x="1058"/>
        <item x="1314"/>
        <item x="1417"/>
        <item x="956"/>
        <item x="431"/>
        <item x="1094"/>
        <item x="1489"/>
        <item x="2036"/>
        <item x="664"/>
        <item x="633"/>
        <item x="867"/>
        <item x="511"/>
        <item x="1076"/>
        <item x="141"/>
        <item x="433"/>
        <item x="1971"/>
        <item x="2085"/>
        <item x="621"/>
        <item x="311"/>
        <item x="208"/>
        <item x="503"/>
        <item x="1983"/>
        <item x="395"/>
        <item x="1428"/>
        <item x="1766"/>
        <item x="1330"/>
        <item x="944"/>
        <item x="1670"/>
        <item x="1471"/>
        <item x="606"/>
        <item x="948"/>
        <item x="1714"/>
        <item x="1368"/>
        <item x="2084"/>
        <item x="909"/>
        <item x="1029"/>
        <item x="1970"/>
        <item x="1528"/>
        <item x="1248"/>
        <item x="506"/>
        <item x="1131"/>
        <item x="1398"/>
        <item x="427"/>
        <item x="773"/>
        <item x="1835"/>
        <item x="788"/>
        <item x="2083"/>
        <item x="1658"/>
        <item x="136"/>
        <item x="738"/>
        <item x="426"/>
        <item x="339"/>
        <item x="1744"/>
        <item x="545"/>
        <item x="676"/>
        <item x="1828"/>
        <item x="514"/>
        <item x="1167"/>
        <item x="1510"/>
        <item x="1253"/>
        <item x="687"/>
        <item x="1829"/>
        <item x="1343"/>
        <item x="51"/>
        <item x="1256"/>
        <item x="914"/>
        <item x="849"/>
        <item x="478"/>
        <item x="833"/>
        <item x="439"/>
        <item x="562"/>
        <item x="117"/>
        <item x="1218"/>
        <item x="973"/>
        <item x="573"/>
        <item x="2065"/>
        <item x="1514"/>
        <item x="769"/>
        <item x="2035"/>
        <item x="129"/>
        <item x="534"/>
        <item x="820"/>
        <item x="64"/>
        <item x="361"/>
        <item x="720"/>
        <item x="1468"/>
        <item x="446"/>
        <item x="560"/>
        <item x="1258"/>
        <item x="1037"/>
        <item x="890"/>
        <item x="1430"/>
        <item x="936"/>
        <item x="1159"/>
        <item x="748"/>
        <item x="145"/>
        <item x="806"/>
        <item x="134"/>
        <item x="746"/>
        <item x="871"/>
        <item x="835"/>
        <item x="1576"/>
        <item x="1141"/>
        <item x="1170"/>
        <item x="1571"/>
        <item x="211"/>
        <item x="368"/>
        <item x="378"/>
        <item x="1331"/>
        <item x="1214"/>
        <item x="1745"/>
        <item x="887"/>
        <item x="67"/>
        <item x="1063"/>
        <item x="993"/>
        <item x="992"/>
        <item x="442"/>
        <item x="1582"/>
        <item x="1935"/>
        <item x="435"/>
        <item x="532"/>
        <item x="1934"/>
        <item x="868"/>
        <item x="102"/>
        <item x="987"/>
        <item x="904"/>
        <item x="1203"/>
        <item x="1268"/>
        <item x="582"/>
        <item x="616"/>
        <item x="714"/>
        <item x="421"/>
        <item x="206"/>
        <item x="1546"/>
        <item x="1011"/>
        <item x="328"/>
        <item x="1659"/>
        <item x="1777"/>
        <item x="410"/>
        <item x="1651"/>
        <item x="1393"/>
        <item x="548"/>
        <item x="1112"/>
        <item x="192"/>
        <item x="905"/>
        <item x="1091"/>
        <item x="344"/>
        <item x="286"/>
        <item x="556"/>
        <item x="976"/>
        <item x="1272"/>
        <item x="1408"/>
        <item x="1357"/>
        <item x="131"/>
        <item x="1123"/>
        <item x="163"/>
        <item x="528"/>
        <item x="1587"/>
        <item x="1710"/>
        <item x="1726"/>
        <item x="1223"/>
        <item x="1052"/>
        <item x="1385"/>
        <item x="334"/>
        <item x="546"/>
        <item x="1273"/>
        <item x="941"/>
        <item x="1262"/>
        <item x="484"/>
        <item x="1019"/>
        <item x="1980"/>
        <item x="217"/>
        <item x="681"/>
        <item x="739"/>
        <item x="646"/>
        <item x="2064"/>
        <item x="321"/>
        <item x="1623"/>
        <item x="1601"/>
        <item x="960"/>
        <item x="1462"/>
        <item x="1099"/>
        <item x="1438"/>
        <item x="886"/>
        <item x="43"/>
        <item x="704"/>
        <item x="1110"/>
        <item x="684"/>
        <item x="1561"/>
        <item x="1334"/>
        <item x="1015"/>
        <item x="1609"/>
        <item x="8"/>
        <item x="1329"/>
        <item x="543"/>
        <item x="1442"/>
        <item x="287"/>
        <item x="1184"/>
        <item x="1359"/>
        <item x="1195"/>
        <item x="1309"/>
        <item x="1523"/>
        <item x="916"/>
        <item x="824"/>
        <item x="721"/>
        <item x="493"/>
        <item x="1605"/>
        <item x="490"/>
        <item x="617"/>
        <item x="1176"/>
        <item x="1480"/>
        <item x="1145"/>
        <item x="922"/>
        <item x="408"/>
        <item x="1625"/>
        <item x="1924"/>
        <item x="56"/>
        <item x="149"/>
        <item x="196"/>
        <item x="494"/>
        <item x="1111"/>
        <item x="539"/>
        <item x="389"/>
        <item x="1360"/>
        <item x="1344"/>
        <item x="963"/>
        <item x="1812"/>
        <item x="1916"/>
        <item x="635"/>
        <item x="291"/>
        <item x="1901"/>
        <item x="315"/>
        <item x="1996"/>
        <item x="1969"/>
        <item x="384"/>
        <item x="816"/>
        <item x="1355"/>
        <item x="2082"/>
        <item x="1841"/>
        <item x="561"/>
        <item x="1915"/>
        <item x="1402"/>
        <item x="215"/>
        <item x="1702"/>
        <item x="1459"/>
        <item x="2078"/>
        <item x="1782"/>
        <item x="888"/>
        <item x="1669"/>
        <item x="1232"/>
        <item x="893"/>
        <item x="842"/>
        <item x="1254"/>
        <item x="52"/>
        <item x="1552"/>
        <item x="335"/>
        <item x="97"/>
        <item x="1281"/>
        <item x="1741"/>
        <item x="1869"/>
        <item x="760"/>
        <item x="570"/>
        <item x="1244"/>
        <item x="666"/>
        <item x="1634"/>
        <item x="111"/>
        <item x="1175"/>
        <item x="1062"/>
        <item x="1968"/>
        <item x="1307"/>
        <item x="1241"/>
        <item x="223"/>
        <item x="688"/>
        <item x="650"/>
        <item x="1624"/>
        <item x="1089"/>
        <item x="281"/>
        <item x="1246"/>
        <item x="1270"/>
        <item x="25"/>
        <item x="1595"/>
        <item x="563"/>
        <item x="1024"/>
        <item x="1578"/>
        <item x="2021"/>
        <item x="586"/>
        <item x="447"/>
        <item x="1890"/>
        <item x="1041"/>
        <item x="29"/>
        <item x="930"/>
        <item x="31"/>
        <item x="1395"/>
        <item x="1425"/>
        <item x="1739"/>
        <item x="474"/>
        <item x="1771"/>
        <item x="1210"/>
        <item x="1470"/>
        <item x="1084"/>
        <item x="126"/>
        <item x="1374"/>
        <item x="876"/>
        <item x="1457"/>
        <item x="1531"/>
        <item x="168"/>
        <item x="1460"/>
        <item x="1700"/>
        <item x="148"/>
        <item x="39"/>
        <item x="1191"/>
        <item x="610"/>
        <item x="1137"/>
        <item x="508"/>
        <item x="264"/>
        <item x="1677"/>
        <item x="879"/>
        <item x="285"/>
        <item x="1283"/>
        <item x="191"/>
        <item x="306"/>
        <item x="1533"/>
        <item x="1337"/>
        <item x="776"/>
        <item x="1987"/>
        <item x="2070"/>
        <item x="1774"/>
        <item x="1157"/>
        <item x="1730"/>
        <item x="1798"/>
        <item x="1857"/>
        <item x="564"/>
        <item x="1674"/>
        <item x="74"/>
        <item x="228"/>
        <item x="1297"/>
        <item x="1591"/>
        <item x="1284"/>
        <item x="1557"/>
        <item x="305"/>
        <item x="784"/>
        <item x="2063"/>
        <item x="1811"/>
        <item x="823"/>
        <item x="1441"/>
        <item x="371"/>
        <item x="219"/>
        <item x="68"/>
        <item x="463"/>
        <item x="1495"/>
        <item x="1883"/>
        <item x="1114"/>
        <item x="795"/>
        <item x="753"/>
        <item x="1732"/>
        <item x="674"/>
        <item x="542"/>
        <item x="1949"/>
        <item x="150"/>
        <item x="416"/>
        <item x="299"/>
        <item x="2011"/>
        <item x="94"/>
        <item x="1979"/>
        <item x="2062"/>
        <item x="103"/>
        <item x="1046"/>
        <item x="744"/>
        <item x="2020"/>
        <item x="489"/>
        <item x="1348"/>
        <item x="1405"/>
        <item x="1933"/>
        <item x="1736"/>
        <item x="536"/>
        <item x="874"/>
        <item x="1003"/>
        <item x="612"/>
        <item x="390"/>
        <item x="1154"/>
        <item x="1932"/>
        <item x="1694"/>
        <item x="1001"/>
        <item x="2058"/>
        <item x="1701"/>
        <item x="1524"/>
        <item x="870"/>
        <item x="238"/>
        <item x="1575"/>
        <item x="901"/>
        <item x="363"/>
        <item x="1299"/>
        <item x="1486"/>
        <item x="307"/>
        <item x="282"/>
        <item x="1645"/>
        <item x="1293"/>
        <item x="984"/>
        <item x="1931"/>
        <item x="1673"/>
        <item x="1454"/>
        <item x="979"/>
        <item x="58"/>
        <item x="333"/>
        <item x="1274"/>
        <item x="470"/>
        <item x="284"/>
        <item x="921"/>
        <item x="1764"/>
        <item x="1507"/>
        <item x="977"/>
        <item x="1014"/>
        <item x="825"/>
        <item x="203"/>
        <item x="2057"/>
        <item x="1215"/>
        <item x="1991"/>
        <item x="1085"/>
        <item x="583"/>
        <item x="1366"/>
        <item x="971"/>
        <item x="694"/>
        <item x="1760"/>
        <item x="785"/>
        <item x="778"/>
        <item x="259"/>
        <item x="1882"/>
        <item x="801"/>
        <item x="1566"/>
        <item x="1119"/>
        <item x="705"/>
        <item x="817"/>
        <item x="1637"/>
        <item x="906"/>
        <item x="271"/>
        <item x="1260"/>
        <item x="297"/>
        <item x="765"/>
        <item x="479"/>
        <item x="649"/>
        <item x="1478"/>
        <item x="434"/>
        <item x="645"/>
        <item x="1682"/>
        <item x="2025"/>
        <item x="1152"/>
        <item x="1513"/>
        <item x="1856"/>
        <item x="16"/>
        <item x="734"/>
        <item x="255"/>
        <item x="379"/>
        <item x="1967"/>
        <item x="1021"/>
        <item x="86"/>
        <item x="1204"/>
        <item x="2088"/>
        <item x="449"/>
        <item x="719"/>
        <item x="1703"/>
        <item x="1164"/>
        <item x="2069"/>
        <item x="861"/>
        <item x="958"/>
        <item x="1855"/>
        <item x="455"/>
        <item x="1130"/>
        <item x="1450"/>
        <item x="1136"/>
        <item x="1767"/>
        <item x="907"/>
        <item x="1382"/>
        <item x="1194"/>
        <item x="1132"/>
        <item x="370"/>
        <item x="1868"/>
        <item x="918"/>
        <item x="1783"/>
        <item x="28"/>
        <item x="1689"/>
        <item x="1474"/>
        <item x="611"/>
        <item x="1541"/>
        <item x="400"/>
        <item x="529"/>
        <item x="632"/>
        <item x="1087"/>
        <item x="1503"/>
        <item x="411"/>
        <item x="1061"/>
        <item x="2077"/>
        <item x="185"/>
        <item x="852"/>
        <item x="1327"/>
        <item x="2024"/>
        <item x="1328"/>
        <item x="146"/>
        <item x="803"/>
        <item x="17"/>
        <item x="436"/>
        <item x="77"/>
        <item x="518"/>
        <item x="61"/>
        <item x="1074"/>
        <item x="172"/>
        <item x="1144"/>
        <item x="498"/>
        <item x="2061"/>
        <item x="669"/>
        <item x="225"/>
        <item x="1978"/>
        <item x="599"/>
        <item x="628"/>
        <item x="708"/>
        <item x="1622"/>
        <item x="568"/>
        <item x="1407"/>
        <item x="1444"/>
        <item x="497"/>
        <item x="991"/>
        <item x="955"/>
        <item x="1620"/>
        <item x="566"/>
        <item x="2076"/>
        <item x="346"/>
        <item x="537"/>
        <item x="1752"/>
        <item x="2042"/>
        <item x="855"/>
        <item x="1118"/>
        <item x="212"/>
        <item x="1358"/>
        <item x="1064"/>
        <item x="1661"/>
        <item x="247"/>
        <item x="1416"/>
        <item x="1709"/>
        <item x="1207"/>
        <item x="451"/>
        <item x="2010"/>
        <item x="1527"/>
        <item x="412"/>
        <item x="1439"/>
        <item x="894"/>
        <item x="417"/>
        <item x="1603"/>
        <item x="952"/>
        <item x="1149"/>
        <item x="747"/>
        <item x="233"/>
        <item x="1487"/>
        <item x="475"/>
        <item x="1143"/>
        <item x="423"/>
        <item x="1386"/>
        <item x="895"/>
        <item x="781"/>
        <item x="1652"/>
        <item x="316"/>
        <item x="1392"/>
        <item x="1288"/>
        <item x="1881"/>
        <item x="46"/>
        <item x="372"/>
        <item x="4"/>
        <item x="331"/>
        <item x="679"/>
        <item x="554"/>
        <item x="232"/>
        <item x="477"/>
        <item x="1756"/>
        <item x="118"/>
        <item x="1692"/>
        <item x="1433"/>
        <item x="327"/>
        <item x="574"/>
        <item x="845"/>
        <item x="236"/>
        <item x="898"/>
        <item x="1025"/>
        <item x="20"/>
        <item x="728"/>
        <item x="1240"/>
        <item x="1179"/>
        <item x="1418"/>
        <item x="1966"/>
        <item x="1103"/>
        <item x="349"/>
        <item x="283"/>
        <item x="553"/>
        <item x="152"/>
        <item x="2023"/>
        <item x="66"/>
        <item x="309"/>
        <item x="1667"/>
        <item x="330"/>
        <item x="1186"/>
        <item x="123"/>
        <item x="1734"/>
        <item x="323"/>
        <item x="535"/>
        <item x="673"/>
        <item x="456"/>
        <item x="711"/>
        <item x="1421"/>
        <item x="273"/>
        <item x="1836"/>
        <item x="814"/>
        <item x="653"/>
        <item x="1096"/>
        <item x="1230"/>
        <item x="1840"/>
        <item x="1306"/>
        <item x="1068"/>
        <item x="1545"/>
        <item x="406"/>
        <item x="1776"/>
        <item x="358"/>
        <item x="745"/>
        <item x="1880"/>
        <item x="1806"/>
        <item x="929"/>
        <item x="1867"/>
        <item x="2019"/>
        <item x="1900"/>
        <item x="1424"/>
        <item x="1923"/>
        <item x="1242"/>
        <item x="2014"/>
        <item x="1423"/>
        <item x="362"/>
        <item x="15"/>
        <item x="1825"/>
        <item x="1081"/>
        <item x="1472"/>
        <item x="620"/>
        <item x="157"/>
        <item x="1990"/>
        <item x="1820"/>
        <item x="1481"/>
        <item x="1008"/>
        <item x="1948"/>
        <item x="329"/>
        <item x="413"/>
        <item x="957"/>
        <item x="1665"/>
        <item x="186"/>
        <item x="374"/>
        <item x="1295"/>
        <item x="1461"/>
        <item x="2056"/>
        <item x="1977"/>
        <item x="1350"/>
        <item x="1617"/>
        <item x="1965"/>
        <item x="1346"/>
        <item x="1914"/>
        <item x="579"/>
        <item x="1226"/>
        <item x="839"/>
        <item x="938"/>
        <item x="1662"/>
        <item x="1616"/>
        <item x="4416"/>
        <item x="1839"/>
        <item x="162"/>
        <item x="93"/>
        <item x="170"/>
        <item x="790"/>
        <item x="184"/>
        <item x="392"/>
        <item x="1691"/>
        <item x="359"/>
        <item x="415"/>
        <item x="602"/>
        <item x="978"/>
        <item x="900"/>
        <item x="1643"/>
        <item x="1035"/>
        <item x="2075"/>
        <item x="1555"/>
        <item x="1621"/>
        <item x="829"/>
        <item x="1051"/>
        <item x="1088"/>
        <item x="954"/>
        <item x="827"/>
        <item x="1128"/>
        <item x="357"/>
        <item x="1427"/>
        <item x="810"/>
        <item x="1706"/>
        <item x="1558"/>
        <item x="804"/>
        <item x="1589"/>
        <item x="1017"/>
        <item x="2087"/>
        <item x="1759"/>
        <item x="660"/>
        <item x="1635"/>
        <item x="1748"/>
        <item x="1482"/>
        <item x="1255"/>
        <item x="73"/>
        <item x="1750"/>
        <item x="580"/>
        <item x="1824"/>
        <item x="1264"/>
        <item x="1763"/>
        <item x="308"/>
        <item x="752"/>
        <item x="430"/>
        <item x="155"/>
        <item x="1055"/>
        <item x="222"/>
        <item x="2068"/>
        <item x="1539"/>
        <item x="1697"/>
        <item x="1754"/>
        <item x="1280"/>
        <item x="1889"/>
        <item x="588"/>
        <item x="1544"/>
        <item x="1930"/>
        <item x="1854"/>
        <item x="763"/>
        <item x="1790"/>
        <item x="1341"/>
        <item x="1404"/>
        <item x="1728"/>
        <item x="386"/>
        <item x="252"/>
        <item x="318"/>
        <item x="618"/>
        <item x="850"/>
        <item x="476"/>
        <item x="520"/>
        <item x="1364"/>
        <item x="190"/>
        <item x="1413"/>
        <item x="889"/>
        <item x="263"/>
        <item x="1224"/>
        <item x="1636"/>
        <item x="1363"/>
        <item x="1792"/>
        <item x="1187"/>
        <item x="179"/>
        <item x="398"/>
        <item x="1083"/>
        <item x="69"/>
        <item x="1239"/>
        <item x="1493"/>
        <item x="1579"/>
        <item x="1580"/>
        <item x="555"/>
        <item x="1540"/>
        <item x="853"/>
        <item x="1683"/>
        <item x="57"/>
        <item x="143"/>
        <item x="1388"/>
        <item x="1733"/>
        <item x="648"/>
        <item x="1026"/>
        <item x="445"/>
        <item x="882"/>
        <item x="486"/>
        <item x="777"/>
        <item x="780"/>
        <item x="2055"/>
        <item x="2009"/>
        <item x="1598"/>
        <item x="622"/>
        <item x="312"/>
        <item x="1526"/>
        <item x="487"/>
        <item x="857"/>
        <item x="269"/>
        <item x="923"/>
        <item x="71"/>
        <item x="246"/>
        <item x="756"/>
        <item x="1148"/>
        <item x="165"/>
        <item x="783"/>
        <item x="727"/>
        <item x="1913"/>
        <item x="662"/>
        <item x="1067"/>
        <item x="21"/>
        <item x="581"/>
        <item x="1853"/>
        <item x="627"/>
        <item x="1554"/>
        <item x="2054"/>
        <item x="1098"/>
        <item x="1095"/>
        <item x="1657"/>
        <item x="383"/>
        <item x="1171"/>
        <item x="761"/>
        <item x="1699"/>
        <item x="79"/>
        <item x="1336"/>
        <item x="1292"/>
        <item x="1879"/>
        <item x="540"/>
        <item x="444"/>
        <item x="1715"/>
        <item x="865"/>
        <item x="1134"/>
        <item x="1765"/>
        <item x="1712"/>
        <item x="1324"/>
        <item x="41"/>
        <item x="515"/>
        <item x="663"/>
        <item x="1646"/>
        <item x="841"/>
        <item x="1964"/>
        <item x="1596"/>
        <item x="76"/>
        <item x="1553"/>
        <item x="1502"/>
        <item x="4420"/>
        <item x="258"/>
        <item x="1394"/>
        <item x="1104"/>
        <item x="680"/>
        <item x="1447"/>
        <item x="896"/>
        <item x="220"/>
        <item x="448"/>
        <item x="253"/>
        <item x="501"/>
        <item x="394"/>
        <item x="1684"/>
        <item x="35"/>
        <item x="736"/>
        <item x="1437"/>
        <item x="1608"/>
        <item x="1020"/>
        <item x="2060"/>
        <item x="723"/>
        <item x="1125"/>
        <item x="519"/>
        <item x="1172"/>
        <item x="516"/>
        <item x="1420"/>
        <item x="1532"/>
        <item x="441"/>
        <item x="1731"/>
        <item x="32"/>
        <item x="1664"/>
        <item x="1107"/>
        <item x="60"/>
        <item x="1245"/>
        <item x="913"/>
        <item x="4419"/>
        <item x="461"/>
        <item x="931"/>
        <item x="89"/>
        <item x="1976"/>
        <item x="1504"/>
        <item x="85"/>
        <item x="167"/>
        <item x="1550"/>
        <item x="164"/>
        <item x="552"/>
        <item x="1229"/>
        <item x="789"/>
        <item x="530"/>
        <item x="695"/>
        <item x="1216"/>
        <item x="843"/>
        <item x="1727"/>
        <item x="1837"/>
        <item x="1177"/>
        <item x="294"/>
        <item x="1040"/>
        <item x="14"/>
        <item x="1247"/>
        <item x="301"/>
        <item x="1866"/>
        <item x="1432"/>
        <item x="1912"/>
        <item x="702"/>
        <item x="1236"/>
        <item x="1109"/>
        <item x="1802"/>
        <item x="1796"/>
        <item x="62"/>
        <item x="866"/>
        <item x="1375"/>
        <item x="40"/>
        <item x="1448"/>
        <item x="859"/>
        <item x="1929"/>
        <item x="1975"/>
        <item x="1183"/>
        <item x="1317"/>
        <item x="812"/>
        <item x="1508"/>
        <item x="691"/>
        <item x="1718"/>
        <item x="696"/>
        <item x="1649"/>
        <item x="1419"/>
        <item x="1928"/>
        <item x="836"/>
        <item x="658"/>
        <item x="638"/>
        <item x="1181"/>
        <item x="1817"/>
        <item x="1206"/>
        <item x="1947"/>
        <item x="1406"/>
        <item x="137"/>
        <item x="1365"/>
        <item x="30"/>
        <item x="525"/>
        <item x="337"/>
        <item x="1982"/>
        <item x="387"/>
        <item x="1342"/>
        <item x="1182"/>
        <item x="1349"/>
        <item x="615"/>
        <item x="3297"/>
        <item x="703"/>
        <item x="737"/>
        <item x="1115"/>
        <item x="1237"/>
        <item x="678"/>
        <item x="54"/>
        <item x="364"/>
        <item x="569"/>
        <item x="1946"/>
        <item x="974"/>
        <item x="1332"/>
        <item x="1465"/>
        <item x="1162"/>
        <item x="1602"/>
        <item x="589"/>
        <item x="2018"/>
        <item x="1492"/>
        <item x="942"/>
        <item x="2008"/>
        <item x="1560"/>
        <item x="1231"/>
        <item x="1711"/>
        <item x="741"/>
        <item x="1249"/>
        <item x="303"/>
        <item x="1647"/>
        <item x="1719"/>
        <item x="1275"/>
        <item x="1443"/>
        <item x="731"/>
        <item x="1569"/>
        <item x="199"/>
        <item x="1347"/>
        <item x="1277"/>
        <item x="1723"/>
        <item x="1380"/>
        <item x="3830"/>
        <item x="153"/>
        <item x="969"/>
        <item x="210"/>
        <item x="608"/>
        <item x="920"/>
        <item x="1641"/>
        <item x="1412"/>
        <item x="124"/>
        <item x="27"/>
        <item x="1633"/>
        <item x="241"/>
        <item x="1235"/>
        <item x="3640"/>
        <item x="1772"/>
        <item x="2074"/>
        <item x="3732"/>
        <item x="147"/>
        <item x="1197"/>
        <item x="1804"/>
        <item x="509"/>
        <item x="342"/>
        <item x="1217"/>
        <item x="1485"/>
        <item x="2955"/>
        <item x="440"/>
        <item x="464"/>
        <item x="856"/>
        <item x="1038"/>
        <item x="1585"/>
        <item x="2081"/>
        <item x="280"/>
        <item x="1865"/>
        <item x="1139"/>
        <item x="2007"/>
        <item x="432"/>
        <item x="1803"/>
        <item x="3766"/>
        <item x="4053"/>
        <item x="1963"/>
        <item x="1300"/>
        <item x="3787"/>
        <item x="95"/>
        <item x="2376"/>
        <item x="0"/>
        <item x="1781"/>
        <item x="4480"/>
        <item x="3265"/>
        <item x="846"/>
        <item x="4757"/>
        <item x="4203"/>
        <item x="2102"/>
        <item x="1146"/>
        <item x="682"/>
        <item x="1570"/>
        <item x="908"/>
        <item x="1464"/>
        <item x="541"/>
        <item x="772"/>
        <item x="230"/>
        <item x="2389"/>
        <item x="1335"/>
        <item x="1688"/>
        <item x="934"/>
        <item x="1551"/>
        <item x="910"/>
        <item x="4522"/>
        <item x="1758"/>
        <item x="2966"/>
        <item x="1888"/>
        <item x="3150"/>
        <item x="453"/>
        <item x="462"/>
        <item x="3259"/>
        <item x="4359"/>
        <item x="3251"/>
        <item x="1813"/>
        <item x="3171"/>
        <item x="419"/>
        <item x="504"/>
        <item x="533"/>
        <item x="551"/>
        <item x="1859"/>
        <item x="1415"/>
        <item x="26"/>
        <item x="1827"/>
        <item x="671"/>
        <item x="1927"/>
        <item x="2588"/>
        <item x="4014"/>
        <item x="1945"/>
        <item x="2665"/>
        <item x="1944"/>
        <item x="100"/>
        <item x="2901"/>
        <item x="399"/>
        <item x="4377"/>
        <item x="1613"/>
        <item x="3733"/>
        <item x="1006"/>
        <item x="3083"/>
        <item x="1761"/>
        <item x="2396"/>
        <item x="2725"/>
        <item x="1860"/>
        <item x="3002"/>
        <item x="1899"/>
        <item x="1644"/>
        <item x="42"/>
        <item x="3378"/>
        <item x="1475"/>
        <item x="547"/>
        <item x="3667"/>
        <item x="348"/>
        <item x="593"/>
        <item x="4388"/>
        <item x="2462"/>
        <item x="469"/>
        <item x="1573"/>
        <item x="1279"/>
        <item x="2850"/>
        <item x="1656"/>
        <item x="1962"/>
        <item x="4493"/>
        <item x="1340"/>
        <item x="2873"/>
        <item x="4201"/>
        <item x="1057"/>
        <item x="3093"/>
        <item x="4360"/>
        <item x="4340"/>
        <item x="1169"/>
        <item x="265"/>
        <item x="4236"/>
        <item x="3231"/>
        <item x="1151"/>
        <item x="4737"/>
        <item x="277"/>
        <item x="2305"/>
        <item x="1619"/>
        <item x="3912"/>
        <item x="4066"/>
        <item x="2216"/>
        <item x="1961"/>
        <item x="521"/>
        <item x="813"/>
        <item x="3271"/>
        <item x="4028"/>
        <item x="4000"/>
        <item x="4269"/>
        <item x="2438"/>
        <item x="2186"/>
        <item x="2731"/>
        <item x="4573"/>
        <item x="1205"/>
        <item x="2889"/>
        <item x="4260"/>
        <item x="953"/>
        <item x="485"/>
        <item x="3548"/>
        <item x="289"/>
        <item x="4602"/>
        <item x="3803"/>
        <item x="454"/>
        <item x="4408"/>
        <item x="3426"/>
        <item x="1738"/>
        <item x="2839"/>
        <item x="1185"/>
        <item x="1173"/>
        <item x="4793"/>
        <item x="2794"/>
        <item x="2743"/>
        <item x="2180"/>
        <item x="2618"/>
        <item x="3312"/>
        <item x="4271"/>
        <item x="919"/>
        <item x="584"/>
        <item x="310"/>
        <item x="3323"/>
        <item x="2737"/>
        <item x="3768"/>
        <item x="332"/>
        <item x="1852"/>
        <item x="3219"/>
        <item x="3220"/>
        <item x="4457"/>
        <item x="4008"/>
        <item x="3382"/>
        <item x="4105"/>
        <item x="4601"/>
        <item x="3701"/>
        <item x="1775"/>
        <item x="4278"/>
        <item x="4247"/>
        <item x="3217"/>
        <item x="3483"/>
        <item x="1618"/>
        <item x="4095"/>
        <item x="4390"/>
        <item x="3702"/>
        <item x="2863"/>
        <item x="4378"/>
        <item x="2837"/>
        <item x="3629"/>
        <item x="3160"/>
        <item x="3767"/>
        <item x="33"/>
        <item x="2690"/>
        <item x="3592"/>
        <item x="3720"/>
        <item x="3309"/>
        <item x="2520"/>
        <item x="4295"/>
        <item x="2132"/>
        <item x="2902"/>
        <item x="939"/>
        <item x="2133"/>
        <item x="122"/>
        <item x="3646"/>
        <item x="4010"/>
        <item x="3668"/>
        <item x="4443"/>
        <item x="2604"/>
        <item x="98"/>
        <item x="3332"/>
        <item x="44"/>
        <item x="4362"/>
        <item x="2838"/>
        <item x="1456"/>
        <item x="2852"/>
        <item x="2473"/>
        <item x="2549"/>
        <item x="4296"/>
        <item x="3577"/>
        <item x="1198"/>
        <item x="757"/>
        <item x="1805"/>
        <item x="2699"/>
        <item x="3284"/>
        <item x="559"/>
        <item x="4664"/>
        <item x="3532"/>
        <item x="135"/>
        <item x="2726"/>
        <item x="2793"/>
        <item x="2926"/>
        <item x="2775"/>
        <item x="2318"/>
        <item x="4442"/>
        <item x="2299"/>
        <item x="2639"/>
        <item x="3731"/>
        <item x="3790"/>
        <item x="3345"/>
        <item x="2181"/>
        <item x="735"/>
        <item x="3862"/>
        <item x="3428"/>
        <item x="99"/>
        <item x="1479"/>
        <item x="1396"/>
        <item x="1547"/>
        <item x="3641"/>
        <item x="512"/>
        <item x="2361"/>
        <item x="4017"/>
        <item x="1446"/>
        <item x="2795"/>
        <item x="3630"/>
        <item x="1212"/>
        <item x="2349"/>
        <item x="3734"/>
        <item x="3034"/>
        <item x="800"/>
        <item x="2093"/>
        <item x="2689"/>
        <item x="4739"/>
        <item x="4781"/>
        <item x="2116"/>
        <item x="3333"/>
        <item x="3331"/>
        <item x="4029"/>
        <item x="531"/>
        <item x="4342"/>
        <item x="4460"/>
        <item x="3764"/>
        <item x="3704"/>
        <item x="2286"/>
        <item x="2814"/>
        <item x="4508"/>
        <item x="4085"/>
        <item x="2762"/>
        <item x="2986"/>
        <item x="3987"/>
        <item x="3949"/>
        <item x="4067"/>
        <item x="1163"/>
        <item x="4462"/>
        <item x="2760"/>
        <item x="4158"/>
        <item x="3031"/>
        <item x="3831"/>
        <item x="2946"/>
        <item x="2348"/>
        <item x="1780"/>
        <item x="598"/>
        <item x="983"/>
        <item x="3963"/>
        <item x="4341"/>
        <item x="2630"/>
        <item x="2938"/>
        <item x="2565"/>
        <item x="2927"/>
        <item x="2652"/>
        <item x="4389"/>
        <item x="2778"/>
        <item x="884"/>
        <item x="3666"/>
        <item x="1221"/>
        <item x="787"/>
        <item x="3018"/>
        <item x="1116"/>
        <item x="366"/>
        <item x="4261"/>
        <item x="1208"/>
        <item x="2266"/>
        <item x="3631"/>
        <item x="2849"/>
        <item x="2215"/>
        <item x="3054"/>
        <item x="4157"/>
        <item x="3261"/>
        <item x="3484"/>
        <item x="2951"/>
        <item x="2629"/>
        <item x="2620"/>
        <item x="2651"/>
        <item x="2120"/>
        <item x="2202"/>
        <item x="2279"/>
        <item x="4575"/>
        <item x="2714"/>
        <item x="2798"/>
        <item x="4248"/>
        <item x="3113"/>
        <item x="2632"/>
        <item x="3379"/>
        <item x="1918"/>
        <item x="3687"/>
        <item x="4016"/>
        <item x="2660"/>
        <item x="3988"/>
        <item x="1431"/>
        <item x="2476"/>
        <item x="4652"/>
        <item x="1351"/>
        <item x="1816"/>
        <item x="2636"/>
        <item x="1515"/>
        <item x="3162"/>
        <item x="3181"/>
        <item x="2145"/>
        <item x="2876"/>
        <item x="1075"/>
        <item x="1338"/>
        <item x="4376"/>
        <item x="3867"/>
        <item x="2197"/>
        <item x="3986"/>
        <item x="2453"/>
        <item x="4321"/>
        <item x="4065"/>
        <item x="2658"/>
        <item x="3863"/>
        <item x="1403"/>
        <item x="3914"/>
        <item x="3395"/>
        <item x="4482"/>
        <item x="3168"/>
        <item x="2135"/>
        <item x="292"/>
        <item x="1704"/>
        <item x="3896"/>
        <item x="943"/>
        <item x="1269"/>
        <item x="3832"/>
        <item x="3053"/>
        <item x="4710"/>
        <item x="3383"/>
        <item x="4623"/>
        <item x="3298"/>
        <item x="341"/>
        <item x="1473"/>
        <item x="706"/>
        <item x="2647"/>
        <item x="3897"/>
        <item x="2701"/>
        <item x="2026"/>
        <item x="63"/>
        <item x="459"/>
        <item x="116"/>
        <item x="3453"/>
        <item x="3094"/>
        <item x="2656"/>
        <item x="4639"/>
        <item x="2956"/>
        <item x="1127"/>
        <item x="4643"/>
        <item x="4510"/>
        <item x="4758"/>
        <item x="2222"/>
        <item x="2485"/>
        <item x="2835"/>
        <item x="3381"/>
        <item x="4464"/>
        <item x="4683"/>
        <item x="4021"/>
        <item x="1724"/>
        <item x="2199"/>
        <item x="3913"/>
        <item x="3472"/>
        <item x="3788"/>
        <item x="2053"/>
        <item x="4581"/>
        <item x="2866"/>
        <item x="2358"/>
        <item x="3340"/>
        <item x="3239"/>
        <item x="3030"/>
        <item x="2677"/>
        <item x="2237"/>
        <item x="2720"/>
        <item x="4204"/>
        <item x="3473"/>
        <item x="2111"/>
        <item x="4806"/>
        <item x="2310"/>
        <item x="3676"/>
        <item x="3755"/>
        <item x="2136"/>
        <item x="3805"/>
        <item x="3032"/>
        <item x="4421"/>
        <item x="4156"/>
        <item x="4669"/>
        <item x="4622"/>
        <item x="1831"/>
        <item x="3549"/>
        <item x="4022"/>
        <item x="2851"/>
        <item x="3591"/>
        <item x="4468"/>
        <item x="3771"/>
        <item x="3301"/>
        <item x="2985"/>
        <item x="2156"/>
        <item x="1529"/>
        <item x="2904"/>
        <item x="2522"/>
        <item x="2134"/>
        <item x="3151"/>
        <item x="4386"/>
        <item x="3765"/>
        <item x="4596"/>
        <item x="4150"/>
        <item x="443"/>
        <item x="4679"/>
        <item x="3821"/>
        <item x="205"/>
        <item x="3948"/>
        <item x="3070"/>
        <item x="3076"/>
        <item x="4163"/>
        <item x="2925"/>
        <item x="4219"/>
        <item x="3722"/>
        <item x="3049"/>
        <item x="1477"/>
        <item x="3624"/>
        <item x="4322"/>
        <item x="2217"/>
        <item x="3711"/>
        <item x="4325"/>
        <item x="3894"/>
        <item x="2952"/>
        <item x="4782"/>
        <item x="2409"/>
        <item x="3822"/>
        <item x="4449"/>
        <item x="2160"/>
        <item x="4188"/>
        <item x="3692"/>
        <item x="2187"/>
        <item x="2973"/>
        <item x="3415"/>
        <item x="2905"/>
        <item x="2646"/>
        <item x="2961"/>
        <item x="4363"/>
        <item x="3189"/>
        <item x="4450"/>
        <item x="4557"/>
        <item x="4866"/>
        <item x="3437"/>
        <item x="3531"/>
        <item x="4344"/>
        <item x="1039"/>
        <item x="2796"/>
        <item x="2103"/>
        <item x="2764"/>
        <item x="3182"/>
        <item x="4387"/>
        <item x="2530"/>
        <item x="3534"/>
        <item x="3339"/>
        <item x="3314"/>
        <item x="4280"/>
        <item x="3482"/>
        <item x="1717"/>
        <item x="4696"/>
        <item x="3310"/>
        <item x="2445"/>
        <item x="3112"/>
        <item x="3276"/>
        <item x="1864"/>
        <item x="575"/>
        <item x="4527"/>
        <item x="2728"/>
        <item x="3671"/>
        <item x="4723"/>
        <item x="4807"/>
        <item x="3071"/>
        <item x="11"/>
        <item x="2290"/>
        <item x="227"/>
        <item x="2566"/>
        <item x="4293"/>
        <item x="4202"/>
        <item x="3511"/>
        <item x="2864"/>
        <item x="1592"/>
        <item x="1511"/>
        <item x="4533"/>
        <item x="4631"/>
        <item x="106"/>
        <item x="1607"/>
        <item x="2732"/>
        <item x="3932"/>
        <item x="3533"/>
        <item x="3440"/>
        <item x="4494"/>
        <item x="2594"/>
        <item x="3750"/>
        <item x="3713"/>
        <item x="4183"/>
        <item x="4444"/>
        <item x="3364"/>
        <item x="3011"/>
        <item x="699"/>
        <item x="1042"/>
        <item x="4245"/>
        <item x="1304"/>
        <item x="3770"/>
        <item x="3742"/>
        <item x="2546"/>
        <item x="2580"/>
        <item x="2412"/>
        <item x="3682"/>
        <item x="2524"/>
        <item x="4136"/>
        <item x="2903"/>
        <item x="2906"/>
        <item x="3689"/>
        <item x="2913"/>
        <item x="2510"/>
        <item x="2492"/>
        <item x="4380"/>
        <item x="2874"/>
        <item x="19"/>
        <item x="1521"/>
        <item x="4842"/>
        <item x="2631"/>
        <item x="4250"/>
        <item x="2052"/>
        <item x="2603"/>
        <item x="3346"/>
        <item x="2203"/>
        <item x="4684"/>
        <item x="3003"/>
        <item x="3103"/>
        <item x="2384"/>
        <item x="4361"/>
        <item x="4697"/>
        <item x="3823"/>
        <item x="2531"/>
        <item x="3363"/>
        <item x="4611"/>
        <item x="3203"/>
        <item x="3971"/>
        <item x="2751"/>
        <item x="2331"/>
        <item x="4859"/>
        <item x="2170"/>
        <item x="4780"/>
        <item x="3315"/>
        <item x="3579"/>
        <item x="4273"/>
        <item x="2238"/>
        <item x="4391"/>
        <item x="2407"/>
        <item x="3558"/>
        <item x="4606"/>
        <item x="4445"/>
        <item x="3708"/>
        <item x="3811"/>
        <item x="4320"/>
        <item x="3865"/>
        <item x="2659"/>
        <item x="4327"/>
        <item x="2095"/>
        <item x="4171"/>
        <item x="4624"/>
        <item x="2229"/>
        <item x="2712"/>
        <item x="2115"/>
        <item x="4097"/>
        <item x="3124"/>
        <item x="1200"/>
        <item x="3457"/>
        <item x="873"/>
        <item x="4481"/>
        <item x="4794"/>
        <item x="3895"/>
        <item x="2586"/>
        <item x="4759"/>
        <item x="3493"/>
        <item x="2805"/>
        <item x="3563"/>
        <item x="3794"/>
        <item x="460"/>
        <item x="3926"/>
        <item x="4015"/>
        <item x="3706"/>
        <item x="2146"/>
        <item x="3232"/>
        <item x="2757"/>
        <item x="2888"/>
        <item x="3152"/>
        <item x="207"/>
        <item x="4586"/>
        <item x="4205"/>
        <item x="4170"/>
        <item x="2637"/>
        <item x="2138"/>
        <item x="2490"/>
        <item x="22"/>
        <item x="3012"/>
        <item x="3161"/>
        <item x="4045"/>
        <item x="2403"/>
        <item x="4042"/>
        <item x="2756"/>
        <item x="2463"/>
        <item x="4307"/>
        <item x="3277"/>
        <item x="3172"/>
        <item x="4670"/>
        <item x="4578"/>
        <item x="2161"/>
        <item x="4523"/>
        <item x="3523"/>
        <item x="4300"/>
        <item x="4279"/>
        <item x="3808"/>
        <item x="3615"/>
        <item x="3233"/>
        <item x="3999"/>
        <item x="2704"/>
        <item x="3984"/>
        <item x="2671"/>
        <item x="4778"/>
        <item x="4145"/>
        <item x="3938"/>
        <item x="4324"/>
        <item x="1302"/>
        <item x="2171"/>
        <item x="4284"/>
        <item x="84"/>
        <item x="3621"/>
        <item x="1898"/>
        <item x="4246"/>
        <item x="3864"/>
        <item x="1010"/>
        <item x="3625"/>
        <item x="3142"/>
        <item x="3495"/>
        <item x="55"/>
        <item x="483"/>
        <item x="2194"/>
        <item x="3550"/>
        <item x="950"/>
        <item x="2705"/>
        <item x="2752"/>
        <item x="3860"/>
        <item x="2668"/>
        <item x="2815"/>
        <item x="1676"/>
        <item x="3465"/>
        <item x="4297"/>
        <item x="2346"/>
        <item x="2096"/>
        <item x="2940"/>
        <item x="4509"/>
        <item x="4319"/>
        <item x="3019"/>
        <item x="59"/>
        <item x="2245"/>
        <item x="2727"/>
        <item x="4764"/>
        <item x="4346"/>
        <item x="2285"/>
        <item x="3791"/>
        <item x="4018"/>
        <item x="2653"/>
        <item x="2352"/>
        <item x="3380"/>
        <item x="3672"/>
        <item x="2332"/>
        <item x="3047"/>
        <item x="4108"/>
        <item x="3669"/>
        <item x="3939"/>
        <item x="4056"/>
        <item x="3540"/>
        <item x="3266"/>
        <item x="169"/>
        <item x="1851"/>
        <item x="2201"/>
        <item x="2572"/>
        <item x="4847"/>
        <item x="4032"/>
        <item x="3933"/>
        <item x="3887"/>
        <item x="4441"/>
        <item x="3521"/>
        <item x="3559"/>
        <item x="4164"/>
        <item x="4638"/>
        <item x="3809"/>
        <item x="2167"/>
        <item x="3202"/>
        <item x="3905"/>
        <item x="3072"/>
        <item x="3022"/>
        <item x="2309"/>
        <item x="1520"/>
        <item x="2390"/>
        <item x="2230"/>
        <item x="3670"/>
        <item x="4395"/>
        <item x="3881"/>
        <item x="4128"/>
        <item x="3183"/>
        <item x="480"/>
        <item x="1878"/>
        <item x="3553"/>
        <item x="2543"/>
        <item x="591"/>
        <item x="2867"/>
        <item x="2579"/>
        <item x="670"/>
        <item x="4074"/>
        <item x="3252"/>
        <item x="3678"/>
        <item x="4554"/>
        <item x="2397"/>
        <item x="4713"/>
        <item x="3693"/>
        <item x="3665"/>
        <item x="2466"/>
        <item x="3950"/>
        <item x="3238"/>
        <item x="4009"/>
        <item x="2713"/>
        <item x="4779"/>
        <item x="4435"/>
        <item x="2706"/>
        <item x="2784"/>
        <item x="3322"/>
        <item x="2589"/>
        <item x="3190"/>
        <item x="2908"/>
        <item x="4086"/>
        <item x="3580"/>
        <item x="2875"/>
        <item x="2006"/>
        <item x="4434"/>
        <item x="2393"/>
        <item x="3417"/>
        <item x="2370"/>
        <item x="4458"/>
        <item x="4189"/>
        <item x="4565"/>
        <item x="2379"/>
        <item x="3649"/>
        <item x="3095"/>
        <item x="4459"/>
        <item x="2962"/>
        <item x="3953"/>
        <item x="3355"/>
        <item x="3789"/>
        <item x="1518"/>
        <item x="2992"/>
        <item x="4822"/>
        <item x="4483"/>
        <item x="3173"/>
        <item x="4784"/>
        <item x="3985"/>
        <item x="2841"/>
        <item x="3690"/>
        <item x="2947"/>
        <item x="2458"/>
        <item x="1070"/>
        <item x="3254"/>
        <item x="1762"/>
        <item x="3906"/>
        <item x="209"/>
        <item x="4743"/>
        <item x="3917"/>
        <item x="3068"/>
        <item x="380"/>
        <item x="2509"/>
        <item x="1887"/>
        <item x="2707"/>
        <item x="1303"/>
        <item x="3688"/>
        <item x="3126"/>
        <item x="4098"/>
        <item x="1188"/>
        <item x="3061"/>
        <item x="3445"/>
        <item x="2371"/>
        <item x="2824"/>
        <item x="2597"/>
        <item x="4597"/>
        <item x="2221"/>
        <item x="4543"/>
        <item x="2525"/>
        <item x="2696"/>
        <item x="3131"/>
        <item x="2231"/>
        <item x="3810"/>
        <item x="3427"/>
        <item x="3337"/>
        <item x="2682"/>
        <item x="3201"/>
        <item x="4379"/>
        <item x="3097"/>
        <item x="3"/>
        <item x="3429"/>
        <item x="2661"/>
        <item x="4461"/>
        <item x="2716"/>
        <item x="2139"/>
        <item x="2890"/>
        <item x="3275"/>
        <item x="4463"/>
        <item x="3990"/>
        <item x="2676"/>
        <item x="4167"/>
        <item x="3368"/>
        <item x="1562"/>
        <item x="3947"/>
        <item x="730"/>
        <item x="2974"/>
        <item x="2638"/>
        <item x="964"/>
        <item x="2319"/>
        <item x="2943"/>
        <item x="4676"/>
        <item x="3386"/>
        <item x="3535"/>
        <item x="3042"/>
        <item x="3048"/>
        <item x="3807"/>
        <item x="4604"/>
        <item x="2168"/>
        <item x="3039"/>
        <item x="4001"/>
        <item x="3673"/>
        <item x="2613"/>
        <item x="2106"/>
        <item x="3470"/>
        <item x="2558"/>
        <item x="3751"/>
        <item x="2669"/>
        <item x="4069"/>
        <item x="4433"/>
        <item x="3866"/>
        <item x="1863"/>
        <item x="4744"/>
        <item x="3077"/>
        <item x="3089"/>
        <item x="4607"/>
        <item x="1202"/>
        <item x="2733"/>
        <item x="2749"/>
        <item x="2338"/>
        <item x="3396"/>
        <item x="2759"/>
        <item x="3432"/>
        <item x="2578"/>
        <item x="1581"/>
        <item x="5006"/>
        <item x="2949"/>
        <item x="2526"/>
        <item x="5074"/>
        <item x="4605"/>
        <item x="3806"/>
        <item x="4270"/>
        <item x="2439"/>
        <item x="2491"/>
        <item x="4088"/>
        <item x="2275"/>
        <item x="3354"/>
        <item x="3618"/>
        <item x="4608"/>
        <item x="2172"/>
        <item x="3556"/>
        <item x="1822"/>
        <item x="2950"/>
        <item x="1628"/>
        <item x="4323"/>
        <item x="4677"/>
        <item x="2193"/>
        <item x="3114"/>
        <item x="2829"/>
        <item x="2702"/>
        <item x="4644"/>
        <item x="3918"/>
        <item x="2424"/>
        <item x="4712"/>
        <item x="2540"/>
        <item x="2523"/>
        <item x="3356"/>
        <item x="3074"/>
        <item x="4075"/>
        <item x="3285"/>
        <item x="2541"/>
        <item x="4720"/>
        <item x="2929"/>
        <item x="4765"/>
        <item x="4761"/>
        <item x="4534"/>
        <item x="2747"/>
        <item x="3260"/>
        <item x="4823"/>
        <item x="3129"/>
        <item x="2359"/>
        <item x="2219"/>
        <item x="2891"/>
        <item x="4087"/>
        <item x="4678"/>
        <item x="3307"/>
        <item x="4054"/>
        <item x="2801"/>
        <item x="2162"/>
        <item x="2280"/>
        <item x="4629"/>
        <item x="2761"/>
        <item x="3880"/>
        <item x="3223"/>
        <item x="3324"/>
        <item x="2979"/>
        <item x="2654"/>
        <item x="2380"/>
        <item x="2581"/>
        <item x="3369"/>
        <item x="3303"/>
        <item x="91"/>
        <item x="4147"/>
        <item x="3390"/>
        <item x="2205"/>
        <item x="2853"/>
        <item x="4849"/>
        <item x="4272"/>
        <item x="4603"/>
        <item x="3749"/>
        <item x="4760"/>
        <item x="4220"/>
        <item x="1353"/>
        <item x="4262"/>
        <item x="2633"/>
        <item x="2582"/>
        <item x="4711"/>
        <item x="2567"/>
        <item x="2347"/>
        <item x="3041"/>
        <item x="3850"/>
        <item x="2311"/>
        <item x="3046"/>
        <item x="3085"/>
        <item x="4626"/>
        <item x="351"/>
        <item x="2148"/>
        <item x="4992"/>
        <item x="4266"/>
        <item x="2495"/>
        <item x="4148"/>
        <item x="2251"/>
        <item x="3736"/>
        <item x="4081"/>
        <item x="2188"/>
        <item x="3006"/>
        <item x="4285"/>
        <item x="998"/>
        <item x="2840"/>
        <item x="4106"/>
        <item x="4343"/>
        <item x="4046"/>
        <item x="1435"/>
        <item x="2493"/>
        <item x="2854"/>
        <item x="2252"/>
        <item x="2448"/>
        <item x="3404"/>
        <item x="3705"/>
        <item x="4397"/>
        <item x="2765"/>
        <item x="4588"/>
        <item x="4364"/>
        <item x="3536"/>
        <item x="5094"/>
        <item x="2758"/>
        <item x="966"/>
        <item x="2700"/>
        <item x="3104"/>
        <item x="2104"/>
        <item x="4286"/>
        <item x="4585"/>
        <item x="2450"/>
        <item x="3925"/>
        <item x="3507"/>
        <item x="1960"/>
        <item x="4795"/>
        <item x="2464"/>
        <item x="3899"/>
        <item x="3451"/>
        <item x="3341"/>
        <item x="4111"/>
        <item x="2767"/>
        <item x="1959"/>
        <item x="304"/>
        <item x="2939"/>
        <item x="550"/>
        <item x="2666"/>
        <item x="3703"/>
        <item x="2532"/>
        <item x="3017"/>
        <item x="3471"/>
        <item x="4294"/>
        <item x="3208"/>
        <item x="2094"/>
        <item x="2276"/>
        <item x="2802"/>
        <item x="2688"/>
        <item x="3855"/>
        <item x="1496"/>
        <item x="2233"/>
        <item x="4665"/>
        <item x="1458"/>
        <item x="3773"/>
        <item x="3394"/>
        <item x="4110"/>
        <item x="3334"/>
        <item x="3872"/>
        <item x="1499"/>
        <item x="2625"/>
        <item x="4096"/>
        <item x="2783"/>
        <item x="3885"/>
        <item x="4159"/>
        <item x="4740"/>
        <item x="369"/>
        <item x="3143"/>
        <item x="4161"/>
        <item x="2555"/>
        <item x="4068"/>
        <item x="4846"/>
        <item x="3513"/>
        <item x="4071"/>
        <item x="2126"/>
        <item x="2137"/>
        <item x="3348"/>
        <item x="1490"/>
        <item x="2432"/>
        <item x="2542"/>
        <item x="3597"/>
        <item x="3578"/>
        <item x="4783"/>
        <item x="1298"/>
        <item x="3551"/>
        <item x="2721"/>
        <item x="2648"/>
        <item x="4528"/>
        <item x="834"/>
        <item x="4566"/>
        <item x="794"/>
        <item x="3370"/>
        <item x="3405"/>
        <item x="4673"/>
        <item x="3325"/>
        <item x="4326"/>
        <item x="2364"/>
        <item x="1047"/>
        <item x="2738"/>
        <item x="716"/>
        <item x="3278"/>
        <item x="607"/>
        <item x="3073"/>
        <item x="2411"/>
        <item x="2806"/>
        <item x="4033"/>
        <item x="4681"/>
        <item x="2993"/>
        <item x="2425"/>
        <item x="3716"/>
        <item x="1958"/>
        <item x="3851"/>
        <item x="4752"/>
        <item x="3927"/>
        <item x="3460"/>
        <item x="4709"/>
        <item x="4274"/>
        <item x="1743"/>
        <item x="3956"/>
        <item x="108"/>
        <item x="3931"/>
        <item x="2265"/>
        <item x="3078"/>
        <item x="2521"/>
        <item x="414"/>
        <item x="3935"/>
        <item x="3714"/>
        <item x="3188"/>
        <item x="4826"/>
        <item x="3139"/>
        <item x="3136"/>
        <item x="2768"/>
        <item x="4800"/>
        <item x="3218"/>
        <item x="3882"/>
        <item x="2988"/>
        <item x="3384"/>
        <item x="3504"/>
        <item x="3438"/>
        <item x="3647"/>
        <item x="3004"/>
        <item x="3907"/>
        <item x="4574"/>
        <item x="4173"/>
        <item x="4003"/>
        <item x="2363"/>
        <item x="3967"/>
        <item x="3464"/>
        <item x="4329"/>
        <item x="4057"/>
        <item x="4137"/>
        <item x="3418"/>
        <item x="2799"/>
        <item x="659"/>
        <item x="2394"/>
        <item x="2593"/>
        <item x="3043"/>
        <item x="3137"/>
        <item x="3096"/>
        <item x="4591"/>
        <item x="3804"/>
        <item x="3267"/>
        <item x="980"/>
        <item x="2449"/>
        <item x="3063"/>
        <item x="2429"/>
        <item x="2763"/>
        <item x="3021"/>
        <item x="3153"/>
        <item x="2451"/>
        <item x="4653"/>
        <item x="2362"/>
        <item x="3769"/>
        <item x="4179"/>
        <item x="4208"/>
        <item x="3853"/>
        <item x="692"/>
        <item x="4555"/>
        <item x="3385"/>
        <item x="4556"/>
        <item x="3710"/>
        <item x="3919"/>
        <item x="2928"/>
        <item x="2560"/>
        <item x="3416"/>
        <item x="2163"/>
        <item x="4366"/>
        <item x="3255"/>
        <item x="2456"/>
        <item x="3262"/>
        <item x="2108"/>
        <item x="2302"/>
        <item x="4221"/>
        <item x="2440"/>
        <item x="3707"/>
        <item x="2739"/>
        <item x="3616"/>
        <item x="88"/>
        <item x="3033"/>
        <item x="3040"/>
        <item x="3723"/>
        <item x="3677"/>
        <item x="3069"/>
        <item x="3512"/>
        <item x="4579"/>
        <item x="3752"/>
        <item x="1505"/>
        <item x="4251"/>
        <item x="4129"/>
        <item x="3084"/>
        <item x="3287"/>
        <item x="3552"/>
        <item x="2994"/>
        <item x="2353"/>
        <item x="3869"/>
        <item x="667"/>
        <item x="4123"/>
        <item x="2501"/>
        <item x="256"/>
        <item x="2621"/>
        <item x="2301"/>
        <item x="3090"/>
        <item x="3735"/>
        <item x="2611"/>
        <item x="3459"/>
        <item x="4392"/>
        <item x="3514"/>
        <item x="4436"/>
        <item x="4785"/>
        <item x="3883"/>
        <item x="3105"/>
        <item x="3675"/>
        <item x="4850"/>
        <item x="4577"/>
        <item x="2626"/>
        <item x="2967"/>
        <item x="2270"/>
        <item x="2766"/>
        <item x="4299"/>
        <item x="4612"/>
        <item x="2681"/>
        <item x="4495"/>
        <item x="3812"/>
        <item x="4496"/>
        <item x="3191"/>
        <item x="4714"/>
        <item x="2446"/>
        <item x="4349"/>
        <item x="3989"/>
        <item x="2377"/>
        <item x="3050"/>
        <item x="1757"/>
        <item x="2550"/>
        <item x="2496"/>
        <item x="4698"/>
        <item x="4763"/>
        <item x="4567"/>
        <item x="2452"/>
        <item x="4043"/>
        <item x="3992"/>
        <item x="4070"/>
        <item x="2619"/>
        <item x="244"/>
        <item x="4224"/>
        <item x="2218"/>
        <item x="4209"/>
        <item x="3387"/>
        <item x="4403"/>
        <item x="1369"/>
        <item x="4544"/>
        <item x="3347"/>
        <item x="2398"/>
        <item x="3169"/>
        <item x="3449"/>
        <item x="1345"/>
        <item x="2989"/>
        <item x="2442"/>
        <item x="4625"/>
        <item x="193"/>
        <item x="2324"/>
        <item x="4034"/>
        <item x="4805"/>
        <item x="2692"/>
        <item x="4576"/>
        <item x="2474"/>
        <item x="5004"/>
        <item x="2342"/>
        <item x="4824"/>
        <item x="3602"/>
        <item x="4194"/>
        <item x="4738"/>
        <item x="2300"/>
        <item x="2662"/>
        <item x="4226"/>
        <item x="4146"/>
        <item x="2399"/>
        <item x="3176"/>
        <item x="2877"/>
        <item x="4587"/>
        <item x="3972"/>
        <item x="3207"/>
        <item x="3406"/>
        <item x="4843"/>
        <item x="3737"/>
        <item x="4121"/>
        <item x="4118"/>
        <item x="4999"/>
        <item x="4511"/>
        <item x="3163"/>
        <item x="3600"/>
        <item x="3272"/>
        <item x="3515"/>
        <item x="393"/>
        <item x="2842"/>
        <item x="3691"/>
        <item x="3485"/>
        <item x="4592"/>
        <item x="2911"/>
        <item x="3458"/>
        <item x="4423"/>
        <item x="3430"/>
        <item x="2213"/>
        <item x="4719"/>
        <item x="2494"/>
        <item x="4852"/>
        <item x="1189"/>
        <item x="2475"/>
        <item x="4797"/>
        <item x="4400"/>
        <item x="272"/>
        <item x="2127"/>
        <item x="3439"/>
        <item x="3955"/>
        <item x="2968"/>
        <item x="3286"/>
        <item x="2678"/>
        <item x="4394"/>
        <item x="3964"/>
        <item x="2427"/>
        <item x="4393"/>
        <item x="4165"/>
        <item x="2797"/>
        <item x="2995"/>
        <item x="4825"/>
        <item x="4848"/>
        <item x="2987"/>
        <item x="4654"/>
        <item x="2373"/>
        <item x="4640"/>
        <item x="2881"/>
        <item x="4559"/>
        <item x="3407"/>
        <item x="2667"/>
        <item x="3648"/>
        <item x="3273"/>
        <item x="3106"/>
        <item x="4412"/>
        <item x="4225"/>
        <item x="4330"/>
        <item x="3411"/>
        <item x="3674"/>
        <item x="1228"/>
        <item x="2930"/>
        <item x="2856"/>
        <item x="5083"/>
        <item x="3135"/>
        <item x="4030"/>
        <item x="4207"/>
        <item x="4489"/>
        <item x="4191"/>
        <item x="3166"/>
        <item x="3852"/>
        <item x="3289"/>
        <item x="641"/>
        <item x="4002"/>
        <item x="2821"/>
        <item x="2715"/>
        <item x="2679"/>
        <item x="2232"/>
        <item x="3916"/>
        <item x="2855"/>
        <item x="2198"/>
        <item x="2034"/>
        <item x="4699"/>
        <item x="3951"/>
        <item x="2320"/>
        <item x="4628"/>
        <item x="4741"/>
        <item x="2291"/>
        <item x="5008"/>
        <item x="2883"/>
        <item x="115"/>
        <item x="4079"/>
        <item x="2957"/>
        <item x="2378"/>
        <item x="4345"/>
        <item x="2718"/>
        <item x="2996"/>
        <item x="4796"/>
        <item x="4657"/>
        <item x="499"/>
        <item x="3127"/>
        <item x="3335"/>
        <item x="3115"/>
        <item x="2182"/>
        <item x="4451"/>
        <item x="3253"/>
        <item x="2327"/>
        <item x="4031"/>
        <item x="2623"/>
        <item x="2190"/>
        <item x="4808"/>
        <item x="2267"/>
        <item x="4424"/>
        <item x="3619"/>
        <item x="2910"/>
        <item x="3779"/>
        <item x="4301"/>
        <item x="2884"/>
        <item x="2595"/>
        <item x="2533"/>
        <item x="4401"/>
        <item x="4610"/>
        <item x="4627"/>
        <item x="3873"/>
        <item x="3969"/>
        <item x="2691"/>
        <item x="3709"/>
        <item x="1986"/>
        <item x="4367"/>
        <item x="4107"/>
        <item x="4195"/>
        <item x="3718"/>
        <item x="3421"/>
        <item x="3313"/>
        <item x="2844"/>
        <item x="4047"/>
        <item x="4747"/>
        <item x="3494"/>
        <item x="2634"/>
        <item x="3496"/>
        <item x="4762"/>
        <item x="3474"/>
        <item x="3743"/>
        <item x="2308"/>
        <item x="2748"/>
        <item x="3756"/>
        <item x="4499"/>
        <item x="3884"/>
        <item x="2385"/>
        <item x="4298"/>
        <item x="2729"/>
        <item x="3516"/>
        <item x="2287"/>
        <item x="2386"/>
        <item x="3055"/>
        <item x="2834"/>
        <item x="2261"/>
        <item x="1770"/>
        <item x="1072"/>
        <item x="2246"/>
        <item x="3308"/>
        <item x="4742"/>
        <item x="4223"/>
        <item x="3441"/>
        <item x="3965"/>
        <item x="2426"/>
        <item x="3555"/>
        <item x="2351"/>
        <item x="4413"/>
        <item x="2360"/>
        <item x="2457"/>
        <item x="2502"/>
        <item x="2147"/>
        <item x="3898"/>
        <item x="1985"/>
        <item x="181"/>
        <item x="2482"/>
        <item x="3236"/>
        <item x="3420"/>
        <item x="4237"/>
        <item x="4751"/>
        <item x="3128"/>
        <item x="3288"/>
        <item x="3772"/>
        <item x="3584"/>
        <item x="2882"/>
        <item x="2235"/>
        <item x="4645"/>
        <item x="4746"/>
        <item x="4004"/>
        <item x="3915"/>
        <item x="3125"/>
        <item x="2212"/>
        <item x="159"/>
        <item x="3184"/>
        <item x="1080"/>
        <item x="4851"/>
        <item x="828"/>
        <item x="3886"/>
        <item x="3290"/>
        <item x="4249"/>
        <item x="4655"/>
        <item x="2734"/>
        <item x="4222"/>
        <item x="4072"/>
        <item x="3582"/>
        <item x="4131"/>
        <item x="4396"/>
        <item x="2140"/>
        <item x="2191"/>
        <item x="2149"/>
        <item x="2693"/>
        <item x="2975"/>
        <item x="1004"/>
        <item x="3888"/>
        <item x="690"/>
        <item x="3889"/>
        <item x="2459"/>
        <item x="2109"/>
        <item x="4446"/>
        <item x="3940"/>
        <item x="4089"/>
        <item x="2400"/>
        <item x="2800"/>
        <item x="2980"/>
        <item x="3036"/>
        <item x="4768"/>
        <item x="3626"/>
        <item x="3632"/>
        <item x="2845"/>
        <item x="2694"/>
        <item x="3454"/>
        <item x="2455"/>
        <item x="3154"/>
        <item x="4748"/>
        <item x="4256"/>
        <item x="4162"/>
        <item x="2097"/>
        <item x="3738"/>
        <item x="4671"/>
        <item x="3815"/>
        <item x="2941"/>
        <item x="3524"/>
        <item x="4206"/>
        <item x="1850"/>
        <item x="3904"/>
        <item x="4767"/>
        <item x="2976"/>
        <item x="4609"/>
        <item x="4172"/>
        <item x="4558"/>
        <item x="2122"/>
        <item x="4077"/>
        <item x="4716"/>
        <item x="4537"/>
        <item x="3820"/>
        <item x="3595"/>
        <item x="4658"/>
        <item x="4119"/>
        <item x="4211"/>
        <item x="3274"/>
        <item x="2680"/>
        <item x="4073"/>
        <item x="2254"/>
        <item x="4192"/>
        <item x="3780"/>
        <item x="3141"/>
        <item x="3617"/>
        <item x="4160"/>
        <item x="2896"/>
        <item x="4721"/>
        <item x="3256"/>
        <item x="3740"/>
        <item x="2959"/>
        <item x="4080"/>
        <item x="3581"/>
        <item x="3326"/>
        <item x="2914"/>
        <item x="2722"/>
        <item x="3488"/>
        <item x="3035"/>
        <item x="4844"/>
        <item x="4078"/>
        <item x="2503"/>
        <item x="3712"/>
        <item x="4180"/>
        <item x="2708"/>
        <item x="2551"/>
        <item x="4745"/>
        <item x="2413"/>
        <item x="2430"/>
        <item x="1469"/>
        <item x="4535"/>
        <item x="826"/>
        <item x="4580"/>
        <item x="4845"/>
        <item x="2545"/>
        <item x="3952"/>
        <item x="3038"/>
        <item x="3854"/>
        <item x="4788"/>
        <item x="3541"/>
        <item x="2220"/>
        <item x="4263"/>
        <item x="4190"/>
        <item x="2234"/>
        <item x="2195"/>
        <item x="3774"/>
        <item x="3013"/>
        <item x="1690"/>
        <item x="4348"/>
        <item x="928"/>
        <item x="2105"/>
        <item x="4132"/>
        <item x="3016"/>
        <item x="3564"/>
        <item x="4120"/>
        <item x="2288"/>
        <item x="4398"/>
        <item x="3694"/>
        <item x="2512"/>
        <item x="2825"/>
        <item x="4254"/>
        <item x="2204"/>
        <item x="2033"/>
        <item x="4437"/>
        <item x="2441"/>
        <item x="4365"/>
        <item x="3596"/>
        <item x="4562"/>
        <item x="2402"/>
        <item x="3456"/>
        <item x="3715"/>
        <item x="4048"/>
        <item x="2154"/>
        <item x="2892"/>
        <item x="3941"/>
        <item x="3554"/>
        <item x="1494"/>
        <item x="3565"/>
        <item x="2640"/>
        <item x="4019"/>
        <item x="2779"/>
        <item x="4589"/>
        <item x="2865"/>
        <item x="3928"/>
        <item x="3870"/>
        <item x="4809"/>
        <item x="3680"/>
        <item x="4656"/>
        <item x="2963"/>
        <item x="3816"/>
        <item x="3818"/>
        <item x="3302"/>
        <item x="3739"/>
        <item x="2612"/>
        <item x="2365"/>
        <item x="3102"/>
        <item x="3388"/>
        <item x="4486"/>
        <item x="4399"/>
        <item x="4328"/>
        <item x="4058"/>
        <item x="4447"/>
        <item x="3834"/>
        <item x="2465"/>
        <item x="4538"/>
        <item x="4810"/>
        <item x="2878"/>
        <item x="3622"/>
        <item x="407"/>
        <item x="3603"/>
        <item x="3601"/>
        <item x="3156"/>
        <item x="4252"/>
        <item x="3015"/>
        <item x="4560"/>
        <item x="2786"/>
        <item x="3107"/>
        <item x="902"/>
        <item x="2208"/>
        <item x="2281"/>
        <item x="3679"/>
        <item x="630"/>
        <item x="4109"/>
        <item x="4996"/>
        <item x="4130"/>
        <item x="3466"/>
        <item x="3155"/>
        <item x="3005"/>
        <item x="2817"/>
        <item x="3721"/>
        <item x="4667"/>
        <item x="3020"/>
        <item x="2447"/>
        <item x="2428"/>
        <item x="3537"/>
        <item x="4409"/>
        <item x="3966"/>
        <item x="3366"/>
        <item x="3518"/>
        <item x="3901"/>
        <item x="2622"/>
        <item x="3257"/>
        <item x="2931"/>
        <item x="2590"/>
        <item x="3833"/>
        <item x="4059"/>
        <item x="4484"/>
        <item x="2408"/>
        <item x="3397"/>
        <item x="3778"/>
        <item x="261"/>
        <item x="3175"/>
        <item x="2642"/>
        <item x="3506"/>
        <item x="2504"/>
        <item x="1031"/>
        <item x="2223"/>
        <item x="2964"/>
        <item x="2641"/>
        <item x="3560"/>
        <item x="2098"/>
        <item x="3642"/>
        <item x="4715"/>
        <item x="4500"/>
        <item x="2483"/>
        <item x="202"/>
        <item x="4526"/>
        <item x="4302"/>
        <item x="1238"/>
        <item x="2454"/>
        <item x="4466"/>
        <item x="3900"/>
        <item x="213"/>
        <item x="5005"/>
        <item x="3934"/>
        <item x="2780"/>
        <item x="2303"/>
        <item x="2907"/>
        <item x="4196"/>
        <item x="4749"/>
        <item x="1059"/>
        <item x="3367"/>
        <item x="797"/>
        <item x="4076"/>
        <item x="4049"/>
        <item x="3408"/>
        <item x="2544"/>
        <item x="127"/>
        <item x="4465"/>
        <item x="2977"/>
        <item x="1278"/>
        <item x="4283"/>
        <item x="3859"/>
        <item x="4149"/>
        <item x="2587"/>
        <item x="3062"/>
        <item x="2804"/>
        <item x="3086"/>
        <item x="2224"/>
        <item x="3165"/>
        <item x="2596"/>
        <item x="4229"/>
        <item x="2468"/>
        <item x="2723"/>
        <item x="4536"/>
        <item x="2110"/>
        <item x="3455"/>
        <item x="4668"/>
        <item x="4210"/>
        <item x="3793"/>
        <item x="4253"/>
        <item x="1639"/>
        <item x="4590"/>
        <item x="2745"/>
        <item x="3371"/>
        <item x="4766"/>
        <item x="2942"/>
        <item x="2372"/>
        <item x="2583"/>
        <item x="4512"/>
        <item x="4036"/>
        <item x="2717"/>
        <item x="4023"/>
        <item x="3604"/>
        <item x="195"/>
        <item x="3014"/>
        <item x="3520"/>
        <item x="2787"/>
        <item x="3868"/>
        <item x="3064"/>
        <item x="4485"/>
        <item x="4264"/>
        <item x="4257"/>
        <item x="4035"/>
        <item x="4347"/>
        <item x="3954"/>
        <item x="2880"/>
        <item x="2843"/>
        <item x="1282"/>
        <item x="2785"/>
        <item x="2695"/>
        <item x="345"/>
        <item x="2909"/>
        <item x="2553"/>
        <item x="3993"/>
        <item x="3174"/>
        <item x="3627"/>
        <item x="3023"/>
        <item x="3240"/>
        <item x="4753"/>
        <item x="4717"/>
        <item x="4238"/>
        <item x="2803"/>
        <item x="2788"/>
        <item x="382"/>
        <item x="3505"/>
        <item x="3487"/>
        <item x="3819"/>
        <item x="4827"/>
        <item x="4642"/>
        <item x="2401"/>
        <item x="2719"/>
        <item x="4448"/>
        <item x="3824"/>
        <item x="3835"/>
        <item x="3316"/>
        <item x="3486"/>
        <item x="3775"/>
        <item x="3057"/>
        <item x="1747"/>
        <item x="3717"/>
        <item x="2885"/>
        <item x="4680"/>
        <item x="897"/>
        <item x="4112"/>
        <item x="3056"/>
        <item x="3422"/>
        <item x="4303"/>
        <item x="4487"/>
        <item x="4488"/>
        <item x="2769"/>
        <item x="1821"/>
        <item x="2511"/>
        <item x="3075"/>
        <item x="2169"/>
        <item x="4331"/>
        <item x="4381"/>
        <item x="2683"/>
        <item x="3116"/>
        <item x="3299"/>
        <item x="4467"/>
        <item x="2740"/>
        <item x="2339"/>
        <item x="2893"/>
        <item x="4044"/>
        <item x="4055"/>
        <item x="4694"/>
        <item x="2325"/>
        <item x="2879"/>
        <item x="4351"/>
        <item x="3754"/>
        <item x="3024"/>
        <item x="4718"/>
        <item x="2552"/>
        <item x="2477"/>
        <item x="1943"/>
        <item x="4422"/>
        <item x="49"/>
        <item x="3902"/>
        <item x="2816"/>
        <item x="2467"/>
        <item x="2478"/>
        <item x="3566"/>
        <item x="3836"/>
        <item x="2382"/>
        <item x="3130"/>
        <item x="3522"/>
        <item x="3567"/>
        <item x="3461"/>
        <item x="881"/>
        <item x="3991"/>
        <item x="4166"/>
        <item x="3930"/>
        <item x="109"/>
        <item x="2670"/>
        <item x="2559"/>
        <item x="4020"/>
        <item x="4333"/>
        <item x="235"/>
        <item x="4490"/>
        <item x="2206"/>
        <item x="4754"/>
        <item x="3365"/>
        <item x="2807"/>
        <item x="4732"/>
        <item x="2789"/>
        <item x="4724"/>
        <item x="1362"/>
        <item x="2953"/>
        <item x="4513"/>
        <item x="5000"/>
        <item x="2497"/>
        <item x="4828"/>
        <item x="1632"/>
        <item x="4666"/>
        <item x="3059"/>
        <item x="3890"/>
        <item x="4276"/>
        <item x="3117"/>
        <item x="3583"/>
        <item x="2112"/>
        <item x="2570"/>
        <item x="2289"/>
        <item x="1113"/>
        <item x="5093"/>
        <item x="80"/>
        <item x="3444"/>
        <item x="3037"/>
        <item x="1911"/>
        <item x="2207"/>
        <item x="2897"/>
        <item x="2350"/>
        <item x="3857"/>
        <item x="3741"/>
        <item x="3144"/>
        <item x="4305"/>
        <item x="2141"/>
        <item x="4197"/>
        <item x="4853"/>
        <item x="4134"/>
        <item x="3221"/>
        <item x="4524"/>
        <item x="4811"/>
        <item x="239"/>
        <item x="3968"/>
        <item x="2827"/>
        <item x="3792"/>
        <item x="1611"/>
        <item x="4037"/>
        <item x="3719"/>
        <item x="5087"/>
        <item x="4561"/>
        <item x="350"/>
        <item x="320"/>
        <item x="3399"/>
        <item x="4275"/>
        <item x="4182"/>
        <item x="2944"/>
        <item x="2573"/>
        <item x="201"/>
        <item x="4646"/>
        <item x="4540"/>
        <item x="4564"/>
        <item x="4193"/>
        <item x="4529"/>
        <item x="1160"/>
        <item x="2253"/>
        <item x="2086"/>
        <item x="3442"/>
        <item x="5009"/>
        <item x="1326"/>
        <item x="373"/>
        <item x="2776"/>
        <item x="3087"/>
        <item x="114"/>
        <item x="194"/>
        <item x="175"/>
        <item x="1799"/>
        <item x="3164"/>
        <item x="2431"/>
        <item x="2912"/>
        <item x="245"/>
        <item x="3475"/>
        <item x="4594"/>
        <item x="3633"/>
        <item x="3108"/>
        <item x="2568"/>
        <item x="2183"/>
        <item x="2624"/>
        <item x="3336"/>
        <item x="4501"/>
        <item x="2643"/>
        <item x="2150"/>
        <item x="3098"/>
        <item x="1053"/>
        <item x="3145"/>
        <item x="3088"/>
        <item x="786"/>
        <item x="2569"/>
        <item x="4541"/>
        <item x="4770"/>
        <item x="2958"/>
        <item x="3450"/>
        <item x="325"/>
        <item x="3994"/>
        <item x="4867"/>
        <item x="3538"/>
        <item x="3044"/>
        <item x="3776"/>
        <item x="2236"/>
        <item x="4350"/>
        <item x="2189"/>
        <item x="4438"/>
        <item x="911"/>
        <item x="4598"/>
        <item x="4181"/>
        <item x="4281"/>
        <item x="3871"/>
        <item x="4830"/>
        <item x="4630"/>
        <item x="2554"/>
        <item x="2828"/>
        <item x="4124"/>
        <item x="4750"/>
        <item x="1121"/>
        <item x="2709"/>
        <item x="3157"/>
        <item x="3814"/>
        <item x="4005"/>
        <item x="3476"/>
        <item x="3585"/>
        <item x="4831"/>
        <item x="3222"/>
        <item x="2735"/>
        <item x="2089"/>
        <item x="4829"/>
        <item x="4402"/>
        <item x="2271"/>
        <item x="3539"/>
        <item x="2121"/>
        <item x="4100"/>
        <item x="3462"/>
        <item x="4563"/>
        <item x="1556"/>
        <item x="3753"/>
        <item x="878"/>
        <item x="3398"/>
        <item x="2978"/>
        <item x="3858"/>
        <item x="4798"/>
        <item x="2822"/>
        <item x="2381"/>
        <item x="5"/>
        <item x="4174"/>
        <item x="3291"/>
        <item x="2383"/>
        <item x="2292"/>
        <item x="4502"/>
        <item x="3936"/>
        <item x="3856"/>
        <item x="3598"/>
        <item x="4368"/>
        <item x="4184"/>
        <item x="3204"/>
        <item x="178"/>
        <item x="2655"/>
        <item x="3724"/>
        <item x="4539"/>
        <item x="2574"/>
        <item x="4659"/>
        <item x="3443"/>
        <item x="3650"/>
        <item x="3279"/>
        <item x="4685"/>
        <item x="3292"/>
        <item x="2155"/>
        <item x="1007"/>
        <item x="1819"/>
        <item x="3757"/>
        <item x="3903"/>
        <item x="3605"/>
        <item x="2214"/>
        <item x="4227"/>
        <item x="2404"/>
        <item x="668"/>
        <item x="295"/>
        <item x="105"/>
        <item x="3263"/>
        <item x="2444"/>
        <item x="3744"/>
        <item x="3391"/>
        <item x="3423"/>
        <item x="4786"/>
        <item x="2143"/>
        <item x="2527"/>
        <item x="3491"/>
        <item x="2443"/>
        <item x="1453"/>
        <item x="2484"/>
        <item x="2741"/>
        <item x="4641"/>
        <item x="3725"/>
        <item x="4332"/>
        <item x="4101"/>
        <item x="2080"/>
        <item x="4582"/>
        <item x="3620"/>
        <item x="4542"/>
        <item x="166"/>
        <item x="3929"/>
        <item x="2886"/>
        <item x="821"/>
        <item x="3777"/>
        <item x="2744"/>
        <item x="4909"/>
        <item x="1897"/>
        <item x="4228"/>
        <item x="3813"/>
        <item x="4525"/>
        <item x="1606"/>
        <item x="2823"/>
        <item x="2915"/>
        <item x="3241"/>
        <item x="1849"/>
        <item x="3304"/>
        <item x="3209"/>
        <item x="3937"/>
        <item x="4304"/>
        <item x="571"/>
        <item x="755"/>
        <item x="2846"/>
        <item x="1"/>
        <item x="3433"/>
        <item x="4593"/>
        <item x="596"/>
        <item x="3349"/>
        <item x="2736"/>
        <item x="2933"/>
        <item x="4310"/>
        <item x="3058"/>
        <item x="961"/>
        <item x="3795"/>
        <item x="2753"/>
        <item x="4695"/>
        <item x="221"/>
        <item x="4410"/>
        <item x="1476"/>
        <item x="4769"/>
        <item x="685"/>
        <item x="4530"/>
        <item x="4352"/>
        <item x="985"/>
        <item x="513"/>
        <item x="4039"/>
        <item x="4369"/>
        <item x="3908"/>
        <item x="4282"/>
        <item x="3651"/>
        <item x="4311"/>
        <item x="3132"/>
        <item x="2710"/>
        <item x="4787"/>
        <item x="1640"/>
        <item x="4040"/>
        <item x="4503"/>
        <item x="3681"/>
        <item x="4660"/>
        <item x="3146"/>
        <item x="3185"/>
        <item x="3593"/>
        <item x="677"/>
        <item x="2894"/>
        <item x="2932"/>
        <item x="700"/>
        <item x="1018"/>
        <item x="1584"/>
        <item x="3628"/>
        <item x="4265"/>
        <item x="3817"/>
        <item x="3401"/>
        <item x="5090"/>
        <item x="2997"/>
        <item x="6"/>
        <item x="4133"/>
        <item x="38"/>
        <item x="4011"/>
        <item x="2571"/>
        <item x="4736"/>
        <item x="4722"/>
        <item x="4514"/>
        <item x="1830"/>
        <item x="640"/>
        <item x="4099"/>
        <item x="3434"/>
        <item x="1886"/>
        <item x="3781"/>
        <item x="4277"/>
        <item x="2005"/>
        <item x="2128"/>
        <item x="4531"/>
        <item x="626"/>
        <item x="5091"/>
        <item x="1361"/>
        <item x="4122"/>
        <item x="2164"/>
        <item x="4370"/>
        <item x="2354"/>
        <item x="452"/>
        <item x="2142"/>
        <item x="557"/>
        <item x="933"/>
        <item x="2697"/>
        <item x="636"/>
        <item x="3234"/>
        <item x="2073"/>
        <item x="791"/>
        <item x="4012"/>
        <item x="2293"/>
        <item x="112"/>
        <item x="2433"/>
        <item x="3891"/>
        <item x="3586"/>
        <item x="2113"/>
        <item x="4504"/>
        <item x="4469"/>
        <item x="3242"/>
        <item x="488"/>
        <item x="3138"/>
        <item x="4038"/>
        <item x="3970"/>
        <item x="2556"/>
        <item x="2129"/>
        <item x="4198"/>
        <item x="5088"/>
        <item x="2830"/>
        <item x="2808"/>
        <item x="401"/>
        <item x="1910"/>
        <item x="278"/>
        <item x="3280"/>
        <item x="4212"/>
        <item x="2414"/>
        <item x="3467"/>
        <item x="3177"/>
        <item x="4832"/>
        <item x="1922"/>
        <item x="4812"/>
        <item x="675"/>
        <item x="12"/>
        <item x="3995"/>
        <item x="609"/>
        <item x="3392"/>
        <item x="1140"/>
        <item x="838"/>
        <item x="1467"/>
        <item x="1506"/>
        <item x="1211"/>
        <item x="3007"/>
        <item x="3726"/>
        <item x="1590"/>
        <item x="4353"/>
        <item x="2777"/>
        <item x="3683"/>
        <item x="1885"/>
        <item x="2130"/>
        <item x="391"/>
        <item x="4287"/>
        <item x="2004"/>
        <item x="3118"/>
        <item x="3357"/>
        <item x="1411"/>
        <item x="1196"/>
        <item x="4613"/>
        <item x="1753"/>
        <item x="848"/>
        <item x="4230"/>
        <item x="3079"/>
        <item x="500"/>
        <item x="2684"/>
        <item x="3477"/>
        <item x="2173"/>
        <item x="2387"/>
        <item x="3133"/>
        <item x="262"/>
        <item x="1016"/>
        <item x="4168"/>
        <item x="3796"/>
        <item x="2041"/>
        <item x="2304"/>
        <item x="2434"/>
        <item x="5078"/>
        <item x="4354"/>
        <item x="1178"/>
        <item x="4090"/>
        <item x="2460"/>
        <item x="4725"/>
        <item x="4312"/>
        <item x="3147"/>
        <item x="216"/>
        <item x="274"/>
        <item x="524"/>
        <item x="4470"/>
        <item x="1536"/>
        <item x="3463"/>
        <item x="4515"/>
        <item x="4113"/>
        <item x="3327"/>
        <item x="4813"/>
        <item x="831"/>
        <item x="3281"/>
        <item x="1379"/>
        <item x="4414"/>
        <item x="3305"/>
        <item x="3589"/>
        <item x="4726"/>
        <item x="240"/>
        <item x="3446"/>
        <item x="3099"/>
        <item x="422"/>
        <item x="3957"/>
        <item x="1680"/>
        <item x="4060"/>
        <item x="4686"/>
        <item x="1826"/>
        <item x="428"/>
        <item x="2294"/>
        <item x="1877"/>
        <item x="2513"/>
        <item x="2916"/>
        <item x="4041"/>
        <item x="214"/>
        <item x="4661"/>
        <item x="1234"/>
        <item x="4371"/>
        <item x="4595"/>
        <item x="1789"/>
        <item x="3237"/>
        <item x="2174"/>
        <item x="1615"/>
        <item x="3178"/>
        <item x="726"/>
        <item x="758"/>
        <item x="3837"/>
        <item x="1033"/>
        <item x="4755"/>
        <item x="4372"/>
        <item x="3797"/>
        <item x="1957"/>
        <item x="1588"/>
        <item x="4491"/>
        <item x="1100"/>
        <item x="2649"/>
        <item x="623"/>
        <item x="2415"/>
        <item x="2614"/>
        <item x="4439"/>
        <item x="526"/>
        <item x="2672"/>
        <item x="4355"/>
        <item x="1884"/>
        <item x="2059"/>
        <item x="4995"/>
        <item x="5104"/>
        <item x="3758"/>
        <item x="4771"/>
        <item x="495"/>
        <item x="3350"/>
        <item x="2343"/>
        <item x="2770"/>
        <item x="858"/>
        <item x="1161"/>
        <item x="4772"/>
        <item x="3452"/>
        <item x="4425"/>
        <item x="4799"/>
        <item x="4789"/>
        <item x="3224"/>
        <item x="3909"/>
        <item x="1686"/>
        <item x="1572"/>
        <item x="2131"/>
        <item x="3798"/>
        <item x="2831"/>
        <item x="3489"/>
        <item x="3358"/>
        <item x="2857"/>
        <item x="766"/>
        <item x="2981"/>
        <item x="2948"/>
        <item x="4833"/>
        <item x="3542"/>
        <item x="2954"/>
        <item x="4334"/>
        <item x="3996"/>
        <item x="2255"/>
        <item x="4082"/>
        <item x="3293"/>
        <item x="2998"/>
        <item x="4599"/>
        <item x="1653"/>
        <item x="4471"/>
        <item x="3497"/>
        <item x="1909"/>
        <item x="601"/>
        <item x="3025"/>
        <item x="4790"/>
        <item x="2514"/>
        <item x="4791"/>
        <item x="672"/>
        <item x="2225"/>
        <item x="4516"/>
        <item x="3745"/>
        <item x="1265"/>
        <item x="3412"/>
        <item x="502"/>
        <item x="3498"/>
        <item x="1049"/>
        <item x="2657"/>
        <item x="2498"/>
        <item x="2635"/>
        <item x="729"/>
        <item x="4568"/>
        <item x="2268"/>
        <item x="2534"/>
        <item x="2032"/>
        <item x="3372"/>
        <item x="3838"/>
        <item x="3634"/>
        <item x="139"/>
        <item x="2355"/>
        <item x="4814"/>
        <item x="3205"/>
        <item x="2416"/>
        <item x="3958"/>
        <item x="4700"/>
        <item x="4415"/>
        <item x="899"/>
        <item x="420"/>
        <item x="2328"/>
        <item x="4239"/>
        <item x="822"/>
        <item x="2809"/>
        <item x="2"/>
        <item x="1305"/>
        <item x="4647"/>
        <item x="4834"/>
        <item x="3359"/>
        <item x="2417"/>
        <item x="1491"/>
        <item x="4288"/>
        <item x="3599"/>
        <item x="2535"/>
        <item x="3282"/>
        <item x="2836"/>
        <item x="4545"/>
        <item x="2515"/>
        <item x="2575"/>
        <item x="2505"/>
        <item x="2391"/>
        <item x="1516"/>
        <item x="4114"/>
        <item x="2605"/>
        <item x="2506"/>
        <item x="3695"/>
        <item x="2663"/>
        <item x="3243"/>
        <item x="4091"/>
        <item x="1391"/>
        <item x="3499"/>
        <item x="3652"/>
        <item x="2895"/>
        <item x="3568"/>
        <item x="3561"/>
        <item x="3920"/>
        <item x="2192"/>
        <item x="4701"/>
        <item x="1614"/>
        <item x="4267"/>
        <item x="3959"/>
        <item x="2469"/>
        <item x="1436"/>
        <item x="1193"/>
        <item x="4910"/>
        <item x="764"/>
        <item x="4308"/>
        <item x="4151"/>
        <item x="722"/>
        <item x="1535"/>
        <item x="104"/>
        <item x="1320"/>
        <item x="2832"/>
        <item x="2627"/>
        <item x="3119"/>
        <item x="2165"/>
        <item x="260"/>
        <item x="3839"/>
        <item x="808"/>
        <item x="121"/>
        <item x="968"/>
        <item x="1120"/>
        <item x="1036"/>
        <item x="4898"/>
        <item x="3120"/>
        <item x="1522"/>
        <item x="1838"/>
        <item x="2561"/>
        <item x="3606"/>
        <item x="2239"/>
        <item x="577"/>
        <item x="144"/>
        <item x="4497"/>
        <item x="1956"/>
        <item x="3973"/>
        <item x="972"/>
        <item x="229"/>
        <item x="4569"/>
        <item x="1108"/>
        <item x="1751"/>
        <item x="5076"/>
        <item x="3653"/>
        <item x="1663"/>
        <item x="4734"/>
        <item x="2329"/>
        <item x="935"/>
        <item x="3974"/>
        <item x="505"/>
        <item x="2598"/>
        <item x="1044"/>
        <item x="4092"/>
        <item x="3654"/>
        <item x="1908"/>
        <item x="1848"/>
        <item x="2965"/>
        <item x="4546"/>
        <item x="4135"/>
        <item x="4614"/>
        <item x="1907"/>
        <item x="2333"/>
        <item x="1097"/>
        <item x="3109"/>
        <item x="458"/>
        <item x="4240"/>
        <item x="1568"/>
        <item x="2479"/>
        <item x="4882"/>
        <item x="4061"/>
        <item x="2123"/>
        <item x="3942"/>
        <item x="862"/>
        <item x="2374"/>
        <item x="965"/>
        <item x="4472"/>
        <item x="2240"/>
        <item x="4373"/>
        <item x="5095"/>
        <item x="4452"/>
        <item x="2003"/>
        <item x="2051"/>
        <item x="811"/>
        <item x="2591"/>
        <item x="4013"/>
        <item x="4773"/>
        <item x="37"/>
        <item x="1716"/>
        <item x="2040"/>
        <item x="967"/>
        <item x="2599"/>
        <item x="1737"/>
        <item x="3373"/>
        <item x="2259"/>
        <item x="2754"/>
        <item x="2260"/>
        <item x="3478"/>
        <item x="418"/>
        <item x="4426"/>
        <item x="2241"/>
        <item x="600"/>
        <item x="3587"/>
        <item x="465"/>
        <item x="2124"/>
        <item x="3562"/>
        <item x="1043"/>
        <item x="343"/>
        <item x="2790"/>
        <item x="3892"/>
        <item x="3655"/>
        <item x="3569"/>
        <item x="3607"/>
        <item x="3080"/>
        <item x="1243"/>
        <item x="1630"/>
        <item x="2312"/>
        <item x="3268"/>
        <item x="639"/>
        <item x="326"/>
        <item x="4993"/>
        <item x="1626"/>
        <item x="3525"/>
        <item x="3825"/>
        <item x="132"/>
        <item x="5038"/>
        <item x="2366"/>
        <item x="915"/>
        <item x="2673"/>
        <item x="4473"/>
        <item x="959"/>
        <item x="3656"/>
        <item x="4615"/>
        <item x="2887"/>
        <item x="4964"/>
        <item x="767"/>
        <item x="2847"/>
        <item x="2615"/>
        <item x="4453"/>
        <item x="2175"/>
        <item x="4963"/>
        <item x="1876"/>
        <item x="3943"/>
        <item x="2742"/>
        <item x="3479"/>
        <item x="4050"/>
        <item x="2050"/>
        <item x="2982"/>
        <item x="5068"/>
        <item x="2367"/>
        <item x="4883"/>
        <item x="4138"/>
        <item x="3374"/>
        <item x="4879"/>
        <item x="1906"/>
        <item x="3158"/>
        <item x="1333"/>
        <item x="1818"/>
        <item x="4125"/>
        <item x="3375"/>
        <item x="5058"/>
        <item x="999"/>
        <item x="4427"/>
        <item x="3317"/>
        <item x="1296"/>
        <item x="3874"/>
        <item x="1926"/>
        <item x="2410"/>
        <item x="1612"/>
        <item x="5003"/>
        <item x="4913"/>
        <item x="3684"/>
        <item x="3468"/>
        <item x="3413"/>
        <item x="4547"/>
        <item x="2600"/>
        <item x="837"/>
        <item x="4662"/>
        <item x="3026"/>
        <item x="1060"/>
        <item x="2999"/>
        <item x="4931"/>
        <item x="3635"/>
        <item x="3960"/>
        <item x="1199"/>
        <item x="3294"/>
        <item x="4024"/>
        <item x="3338"/>
        <item x="1642"/>
        <item x="1192"/>
        <item x="1045"/>
        <item x="4774"/>
        <item x="2650"/>
        <item x="4975"/>
        <item x="2528"/>
        <item x="322"/>
        <item x="4792"/>
        <item x="4648"/>
        <item x="3192"/>
        <item x="4727"/>
        <item x="3225"/>
        <item x="4258"/>
        <item x="5098"/>
        <item x="3500"/>
        <item x="565"/>
        <item x="3782"/>
        <item x="4815"/>
        <item x="996"/>
        <item x="4935"/>
        <item x="3657"/>
        <item x="2480"/>
        <item x="932"/>
        <item x="4958"/>
        <item x="4517"/>
        <item x="2606"/>
        <item x="2209"/>
        <item x="3193"/>
        <item x="3997"/>
        <item x="2256"/>
        <item x="1381"/>
        <item x="2031"/>
        <item x="643"/>
        <item x="3759"/>
        <item x="4929"/>
        <item x="1672"/>
        <item x="2030"/>
        <item x="183"/>
        <item x="863"/>
        <item x="3295"/>
        <item x="4911"/>
        <item x="3264"/>
        <item x="3194"/>
        <item x="1749"/>
        <item x="4902"/>
        <item x="4735"/>
        <item x="2262"/>
        <item x="2674"/>
        <item x="1124"/>
        <item x="1542"/>
        <item x="4241"/>
        <item x="4411"/>
        <item x="2368"/>
        <item x="3840"/>
        <item x="4687"/>
        <item x="4887"/>
        <item x="2242"/>
        <item x="403"/>
        <item x="2983"/>
        <item x="5071"/>
        <item x="3760"/>
        <item x="3761"/>
        <item x="2210"/>
        <item x="4976"/>
        <item x="4957"/>
        <item x="4025"/>
        <item x="4231"/>
        <item x="5026"/>
        <item x="1308"/>
        <item x="5105"/>
        <item x="4289"/>
        <item x="154"/>
        <item x="5082"/>
        <item x="3342"/>
        <item x="981"/>
        <item x="1778"/>
        <item x="3244"/>
        <item x="4600"/>
        <item x="507"/>
        <item x="2917"/>
        <item x="2868"/>
        <item x="5011"/>
        <item x="3746"/>
        <item x="2176"/>
        <item x="3402"/>
        <item x="319"/>
        <item x="3783"/>
        <item x="4102"/>
        <item x="2486"/>
        <item x="1955"/>
        <item x="2833"/>
        <item x="1250"/>
        <item x="298"/>
        <item x="4870"/>
        <item x="2334"/>
        <item x="1720"/>
        <item x="4868"/>
        <item x="4928"/>
        <item x="1548"/>
        <item x="1013"/>
        <item x="988"/>
        <item x="5059"/>
        <item x="4986"/>
        <item x="2481"/>
        <item x="2418"/>
        <item x="3658"/>
        <item x="4885"/>
        <item x="2013"/>
        <item x="4382"/>
        <item x="5080"/>
        <item x="1371"/>
        <item x="75"/>
        <item x="2507"/>
        <item x="2848"/>
        <item x="4213"/>
        <item x="3318"/>
        <item x="1501"/>
        <item x="5066"/>
        <item x="3081"/>
        <item x="3245"/>
        <item x="2607"/>
        <item x="1153"/>
        <item x="3570"/>
        <item x="2118"/>
        <item x="2196"/>
        <item x="3727"/>
        <item x="2918"/>
        <item x="1050"/>
        <item x="1810"/>
        <item x="733"/>
        <item x="70"/>
        <item x="3296"/>
        <item x="3685"/>
        <item x="3508"/>
        <item x="1629"/>
        <item x="631"/>
        <item x="4775"/>
        <item x="4988"/>
        <item x="4548"/>
        <item x="34"/>
        <item x="1500"/>
        <item x="48"/>
        <item x="5022"/>
        <item x="3961"/>
        <item x="3841"/>
        <item x="4199"/>
        <item x="4933"/>
        <item x="3447"/>
        <item x="140"/>
        <item x="4930"/>
        <item x="1742"/>
        <item x="3921"/>
        <item x="3179"/>
        <item x="3065"/>
        <item x="4932"/>
        <item x="759"/>
        <item x="3435"/>
        <item x="3424"/>
        <item x="268"/>
        <item x="1795"/>
        <item x="3643"/>
        <item x="1942"/>
        <item x="45"/>
        <item x="2090"/>
        <item x="5040"/>
        <item x="3100"/>
        <item x="4893"/>
        <item x="2919"/>
        <item x="701"/>
        <item x="2858"/>
        <item x="2984"/>
        <item x="3246"/>
        <item x="5067"/>
        <item x="3784"/>
        <item x="796"/>
        <item x="4335"/>
        <item x="2920"/>
        <item x="3300"/>
        <item x="4728"/>
        <item x="3376"/>
        <item x="142"/>
        <item x="4570"/>
        <item x="2921"/>
        <item x="2375"/>
        <item x="324"/>
        <item x="697"/>
        <item x="1954"/>
        <item x="4990"/>
        <item x="3210"/>
        <item x="4921"/>
        <item x="1225"/>
        <item x="2791"/>
        <item x="5064"/>
        <item x="5062"/>
        <item x="1414"/>
        <item x="1823"/>
        <item x="1383"/>
        <item x="5075"/>
        <item x="4175"/>
        <item x="4103"/>
        <item x="3747"/>
        <item x="4549"/>
        <item x="2536"/>
        <item x="4881"/>
        <item x="4905"/>
        <item x="1451"/>
        <item x="1263"/>
        <item x="4965"/>
        <item x="1005"/>
        <item x="4876"/>
        <item x="4979"/>
        <item x="5042"/>
        <item x="4492"/>
        <item x="4729"/>
        <item x="1638"/>
        <item x="2628"/>
        <item x="4944"/>
        <item x="2771"/>
        <item x="3842"/>
        <item x="3403"/>
        <item x="751"/>
        <item x="4980"/>
        <item x="4616"/>
        <item x="3608"/>
        <item x="3501"/>
        <item x="880"/>
        <item x="5010"/>
        <item x="5021"/>
        <item x="5056"/>
        <item x="3211"/>
        <item x="4895"/>
        <item x="2419"/>
        <item x="1791"/>
        <item x="1129"/>
        <item x="2369"/>
        <item x="2435"/>
        <item x="1834"/>
        <item x="2151"/>
        <item x="1525"/>
        <item x="3328"/>
        <item x="3644"/>
        <item x="1654"/>
        <item x="883"/>
        <item x="110"/>
        <item x="2969"/>
        <item x="4960"/>
        <item x="4518"/>
        <item x="4632"/>
        <item x="4232"/>
        <item x="3543"/>
        <item x="2049"/>
        <item x="2608"/>
        <item x="385"/>
        <item x="2685"/>
        <item x="4948"/>
        <item x="424"/>
        <item x="4874"/>
        <item x="1174"/>
        <item x="3121"/>
        <item x="4214"/>
        <item x="595"/>
        <item x="1201"/>
        <item x="3875"/>
        <item x="4934"/>
        <item x="2686"/>
        <item x="101"/>
        <item x="4987"/>
        <item x="5048"/>
        <item x="23"/>
        <item x="4185"/>
        <item x="4115"/>
        <item x="2898"/>
        <item x="3351"/>
        <item x="1312"/>
        <item x="4126"/>
        <item x="5092"/>
        <item x="1921"/>
        <item x="5045"/>
        <item x="3258"/>
        <item x="792"/>
        <item x="3008"/>
        <item x="4428"/>
        <item x="4702"/>
        <item x="4801"/>
        <item x="4959"/>
        <item x="4873"/>
        <item x="218"/>
        <item x="5025"/>
        <item x="1054"/>
        <item x="2313"/>
        <item x="4821"/>
        <item x="1627"/>
        <item x="832"/>
        <item x="1534"/>
        <item x="693"/>
        <item x="4886"/>
        <item x="4474"/>
        <item x="1707"/>
        <item x="3431"/>
        <item x="1941"/>
        <item x="2177"/>
        <item x="5085"/>
        <item x="3588"/>
        <item x="5033"/>
        <item x="173"/>
        <item x="2537"/>
        <item x="4968"/>
        <item x="4951"/>
        <item x="4104"/>
        <item x="945"/>
        <item x="4186"/>
        <item x="2420"/>
        <item x="2899"/>
        <item x="661"/>
        <item x="1847"/>
        <item x="2499"/>
        <item x="492"/>
        <item x="4916"/>
        <item x="3609"/>
        <item x="2730"/>
        <item x="3195"/>
        <item x="819"/>
        <item x="1354"/>
        <item x="3843"/>
        <item x="473"/>
        <item x="4026"/>
        <item x="481"/>
        <item x="2557"/>
        <item x="4617"/>
        <item x="47"/>
        <item x="625"/>
        <item x="4027"/>
        <item x="4861"/>
        <item x="1286"/>
        <item x="4900"/>
        <item x="5079"/>
        <item x="5027"/>
        <item x="3311"/>
        <item x="4914"/>
        <item x="4991"/>
        <item x="3659"/>
        <item x="1142"/>
        <item x="771"/>
        <item x="4404"/>
        <item x="4336"/>
        <item x="2002"/>
        <item x="24"/>
        <item x="743"/>
        <item x="1285"/>
        <item x="4498"/>
        <item x="3610"/>
        <item x="4923"/>
        <item x="4896"/>
        <item x="5041"/>
        <item x="740"/>
        <item x="1530"/>
        <item x="5057"/>
        <item x="4961"/>
        <item x="250"/>
        <item x="1698"/>
        <item x="4062"/>
        <item x="2335"/>
        <item x="885"/>
        <item x="5086"/>
        <item x="3785"/>
        <item x="4259"/>
        <item x="2934"/>
        <item x="1311"/>
        <item x="4978"/>
        <item x="1974"/>
        <item x="396"/>
        <item x="1973"/>
        <item x="1896"/>
        <item x="4854"/>
        <item x="4962"/>
        <item x="4869"/>
        <item x="4922"/>
        <item x="5051"/>
        <item x="249"/>
        <item x="1509"/>
        <item x="4633"/>
        <item x="1449"/>
        <item x="5106"/>
        <item x="2178"/>
        <item x="614"/>
        <item x="360"/>
        <item x="5001"/>
        <item x="4152"/>
        <item x="724"/>
        <item x="637"/>
        <item x="5014"/>
        <item x="4901"/>
        <item x="1373"/>
        <item x="1339"/>
        <item x="2781"/>
        <item x="1875"/>
        <item x="4967"/>
        <item x="2166"/>
        <item x="5007"/>
        <item x="4949"/>
        <item x="1301"/>
        <item x="4618"/>
        <item x="4871"/>
        <item x="1984"/>
        <item x="4863"/>
        <item x="2487"/>
        <item x="133"/>
        <item x="4890"/>
        <item x="5081"/>
        <item x="5002"/>
        <item x="2048"/>
        <item x="1874"/>
        <item x="4802"/>
        <item x="3027"/>
        <item x="2592"/>
        <item x="3360"/>
        <item x="5072"/>
        <item x="3212"/>
        <item x="5020"/>
        <item x="296"/>
        <item x="3409"/>
        <item x="4139"/>
        <item x="982"/>
        <item x="4862"/>
        <item x="2263"/>
        <item x="1953"/>
        <item x="4083"/>
        <item x="2584"/>
        <item x="1755"/>
        <item x="2922"/>
        <item x="3557"/>
        <item x="1920"/>
        <item x="2516"/>
        <item x="4946"/>
        <item x="4903"/>
        <item x="1895"/>
        <item x="877"/>
        <item x="5097"/>
        <item x="402"/>
        <item x="4688"/>
        <item x="5050"/>
        <item x="4405"/>
        <item x="4682"/>
        <item x="3393"/>
        <item x="4532"/>
        <item x="4429"/>
        <item x="4915"/>
        <item x="3051"/>
        <item x="317"/>
        <item x="2711"/>
        <item x="2099"/>
        <item x="1862"/>
        <item x="4888"/>
        <item x="4918"/>
        <item x="3844"/>
        <item x="4454"/>
        <item x="3186"/>
        <item x="5063"/>
        <item x="4877"/>
        <item x="5089"/>
        <item x="429"/>
        <item x="683"/>
        <item x="946"/>
        <item x="892"/>
        <item x="4703"/>
        <item x="4984"/>
        <item x="3082"/>
        <item x="5060"/>
        <item x="2470"/>
        <item x="3319"/>
        <item x="809"/>
        <item x="4904"/>
        <item x="4972"/>
        <item x="1390"/>
        <item x="3213"/>
        <item x="4313"/>
        <item x="2356"/>
        <item x="5039"/>
        <item x="1543"/>
        <item x="4374"/>
        <item x="2314"/>
        <item x="917"/>
        <item x="72"/>
        <item x="4865"/>
        <item x="3845"/>
        <item x="3893"/>
        <item x="3910"/>
        <item x="4891"/>
        <item x="3180"/>
        <item x="4947"/>
        <item x="5013"/>
        <item x="365"/>
        <item x="197"/>
        <item x="189"/>
        <item x="158"/>
        <item x="4950"/>
        <item x="3975"/>
        <item x="5061"/>
        <item x="4899"/>
        <item x="3976"/>
        <item x="5047"/>
        <item x="4912"/>
        <item x="472"/>
        <item x="78"/>
        <item x="3361"/>
        <item x="5055"/>
        <item x="3571"/>
        <item x="2152"/>
        <item x="2226"/>
        <item x="1905"/>
        <item x="4920"/>
        <item x="1289"/>
        <item x="4776"/>
        <item x="2585"/>
        <item x="4875"/>
        <item x="4855"/>
        <item x="805"/>
        <item x="5101"/>
        <item x="1370"/>
        <item x="522"/>
        <item x="4864"/>
        <item x="2247"/>
        <item x="4945"/>
        <item x="3196"/>
        <item x="161"/>
        <item x="4006"/>
        <item x="4872"/>
        <item x="3799"/>
        <item x="782"/>
        <item x="4894"/>
        <item x="4906"/>
        <item x="1101"/>
        <item x="176"/>
        <item x="257"/>
        <item x="151"/>
        <item x="4704"/>
        <item x="1679"/>
        <item x="4884"/>
        <item x="4406"/>
        <item x="1497"/>
        <item x="1537"/>
        <item x="5044"/>
        <item x="3517"/>
        <item x="4919"/>
        <item x="4619"/>
        <item x="3572"/>
        <item x="4981"/>
        <item x="53"/>
        <item x="1666"/>
        <item x="5073"/>
        <item x="2029"/>
        <item x="775"/>
        <item x="5035"/>
        <item x="2810"/>
        <item x="578"/>
        <item x="1397"/>
        <item x="4290"/>
        <item x="2157"/>
        <item x="4966"/>
        <item x="5043"/>
        <item x="2012"/>
        <item x="5024"/>
        <item x="1800"/>
        <item x="2644"/>
        <item x="5023"/>
        <item x="1952"/>
        <item x="438"/>
        <item x="302"/>
        <item x="4093"/>
        <item x="3509"/>
        <item x="5096"/>
        <item x="2344"/>
        <item x="4835"/>
        <item x="4140"/>
        <item x="5107"/>
        <item x="2818"/>
        <item x="4994"/>
        <item x="1894"/>
        <item x="5046"/>
        <item x="710"/>
        <item x="5100"/>
        <item x="4314"/>
        <item x="1271"/>
        <item x="1648"/>
        <item x="3167"/>
        <item x="4985"/>
        <item x="4051"/>
        <item x="4997"/>
        <item x="5049"/>
        <item x="1138"/>
        <item x="3696"/>
        <item x="3686"/>
        <item x="4430"/>
        <item x="3091"/>
        <item x="4989"/>
        <item x="1586"/>
        <item x="2211"/>
        <item x="4889"/>
        <item x="5028"/>
        <item x="3148"/>
        <item x="1155"/>
        <item x="2091"/>
        <item x="4836"/>
        <item x="5012"/>
        <item x="3977"/>
        <item x="2436"/>
        <item x="3235"/>
        <item x="709"/>
        <item x="1384"/>
        <item x="5099"/>
        <item x="5077"/>
        <item x="4519"/>
        <item x="2295"/>
        <item x="1610"/>
        <item x="177"/>
        <item x="1102"/>
        <item x="1387"/>
        <item x="1904"/>
        <item x="2508"/>
        <item x="2990"/>
        <item x="231"/>
        <item x="3526"/>
        <item x="768"/>
        <item x="4705"/>
        <item x="4892"/>
        <item x="624"/>
        <item x="107"/>
        <item x="3226"/>
        <item x="2869"/>
        <item x="3728"/>
        <item x="4924"/>
        <item x="4936"/>
        <item x="2092"/>
        <item x="1023"/>
        <item x="4969"/>
        <item x="4977"/>
        <item x="160"/>
        <item x="3492"/>
        <item x="3729"/>
        <item x="4383"/>
        <item x="3425"/>
        <item x="3320"/>
        <item x="1564"/>
        <item x="3122"/>
        <item x="2616"/>
        <item x="2345"/>
        <item x="3876"/>
        <item x="903"/>
        <item x="1808"/>
        <item x="4215"/>
        <item x="5103"/>
        <item x="1842"/>
        <item x="4952"/>
        <item x="4937"/>
        <item x="1377"/>
        <item x="1695"/>
        <item x="4907"/>
        <item x="4816"/>
        <item x="4337"/>
        <item x="4908"/>
        <item x="3998"/>
        <item x="2859"/>
        <item x="937"/>
        <item x="3170"/>
        <item x="2296"/>
        <item x="4897"/>
        <item x="2421"/>
        <item x="5102"/>
        <item x="4663"/>
        <item x="4998"/>
        <item x="1367"/>
        <item x="2517"/>
        <item x="558"/>
        <item x="3911"/>
        <item x="1022"/>
        <item x="2970"/>
        <item x="2664"/>
        <item x="2819"/>
        <item x="375"/>
        <item x="3645"/>
        <item x="1252"/>
        <item x="3101"/>
        <item x="3045"/>
        <item x="2617"/>
        <item x="2971"/>
        <item x="3159"/>
        <item x="2392"/>
        <item x="4306"/>
        <item x="4925"/>
        <item x="3697"/>
        <item x="5030"/>
        <item x="1410"/>
        <item x="4675"/>
        <item x="2297"/>
        <item x="3343"/>
        <item x="4634"/>
        <item x="4857"/>
        <item x="3800"/>
        <item x="2576"/>
        <item x="2518"/>
        <item x="270"/>
        <item x="3028"/>
        <item x="4375"/>
        <item x="2330"/>
        <item x="4926"/>
        <item x="4255"/>
        <item x="4384"/>
        <item x="1082"/>
        <item x="3066"/>
        <item x="1190"/>
        <item x="3197"/>
        <item x="4672"/>
        <item x="4856"/>
        <item x="5037"/>
        <item x="830"/>
        <item x="4356"/>
        <item x="251"/>
        <item x="2039"/>
        <item x="2945"/>
        <item x="4938"/>
        <item x="4982"/>
        <item x="4417"/>
        <item x="1873"/>
        <item x="924"/>
        <item x="4756"/>
        <item x="2860"/>
        <item x="3846"/>
        <item x="130"/>
        <item x="2935"/>
        <item x="254"/>
        <item x="5015"/>
        <item x="3978"/>
        <item x="2547"/>
        <item x="3502"/>
        <item x="3847"/>
        <item x="3389"/>
        <item x="2461"/>
        <item x="377"/>
        <item x="4730"/>
        <item x="4455"/>
        <item x="243"/>
        <item x="113"/>
        <item x="3269"/>
        <item x="642"/>
        <item x="3660"/>
        <item x="5029"/>
        <item x="1787"/>
        <item x="4169"/>
        <item x="5016"/>
        <item x="2972"/>
        <item x="4706"/>
        <item x="1032"/>
        <item x="4176"/>
        <item x="1372"/>
        <item x="1794"/>
        <item x="180"/>
        <item x="3979"/>
        <item x="1989"/>
        <item x="2001"/>
        <item x="1988"/>
        <item x="2870"/>
        <item x="3414"/>
        <item x="770"/>
        <item x="3527"/>
        <item x="1166"/>
        <item x="1027"/>
        <item x="4268"/>
        <item x="2028"/>
        <item x="1069"/>
        <item x="2158"/>
        <item x="2043"/>
        <item x="4953"/>
        <item x="3198"/>
        <item x="3227"/>
        <item x="891"/>
        <item x="2000"/>
        <item x="381"/>
        <item x="1872"/>
        <item x="4973"/>
        <item x="5053"/>
        <item x="1893"/>
        <item x="3861"/>
        <item x="4475"/>
        <item x="4418"/>
        <item x="347"/>
        <item x="4689"/>
        <item x="3573"/>
        <item x="5052"/>
        <item x="3247"/>
        <item x="3199"/>
        <item x="927"/>
        <item x="1722"/>
        <item x="1815"/>
        <item x="4731"/>
        <item x="912"/>
        <item x="749"/>
        <item x="1426"/>
        <item x="3636"/>
        <item x="4116"/>
        <item x="2724"/>
        <item x="1233"/>
        <item x="4927"/>
        <item x="4571"/>
        <item x="3248"/>
        <item x="4858"/>
        <item x="2861"/>
        <item x="2282"/>
        <item x="3574"/>
        <item x="4817"/>
        <item x="2227"/>
        <item x="2322"/>
        <item x="2792"/>
        <item x="4315"/>
        <item x="5031"/>
        <item x="119"/>
        <item x="4291"/>
        <item x="3826"/>
        <item x="83"/>
        <item x="3962"/>
        <item x="665"/>
        <item x="4233"/>
        <item x="1594"/>
        <item x="1861"/>
        <item x="1708"/>
        <item x="2283"/>
        <item x="1316"/>
        <item x="549"/>
        <item x="2538"/>
        <item x="997"/>
        <item x="182"/>
        <item x="388"/>
        <item x="4939"/>
        <item x="576"/>
        <item x="3352"/>
        <item x="4141"/>
        <item x="4177"/>
        <item x="2601"/>
        <item x="3637"/>
        <item x="3980"/>
        <item x="1593"/>
        <item x="2811"/>
        <item x="2602"/>
        <item x="1784"/>
        <item x="1972"/>
        <item x="355"/>
        <item x="1785"/>
        <item x="1517"/>
        <item x="597"/>
        <item x="872"/>
        <item x="4777"/>
        <item x="1078"/>
        <item x="3981"/>
        <item x="3594"/>
        <item x="3762"/>
        <item x="4242"/>
        <item x="4707"/>
        <item x="2388"/>
        <item x="2179"/>
        <item x="1660"/>
        <item x="2812"/>
        <item x="3214"/>
        <item x="1290"/>
        <item x="4690"/>
        <item x="2437"/>
        <item x="1681"/>
        <item x="4476"/>
        <item x="234"/>
        <item x="4970"/>
        <item x="5018"/>
        <item x="1940"/>
        <item x="1919"/>
        <item x="3638"/>
        <item x="4940"/>
        <item x="1600"/>
        <item x="2703"/>
        <item x="4127"/>
        <item x="717"/>
        <item x="4456"/>
        <item x="4477"/>
        <item x="715"/>
        <item x="2471"/>
        <item x="4583"/>
        <item x="288"/>
        <item x="2960"/>
        <item x="2047"/>
        <item x="3329"/>
        <item x="4142"/>
        <item x="4941"/>
        <item x="1892"/>
        <item x="1321"/>
        <item x="1440"/>
        <item x="815"/>
        <item x="2923"/>
        <item x="990"/>
        <item x="1048"/>
        <item x="851"/>
        <item x="2562"/>
        <item x="2100"/>
        <item x="5032"/>
        <item x="698"/>
        <item x="4635"/>
        <item x="4200"/>
        <item x="995"/>
        <item x="4216"/>
        <item x="4820"/>
        <item x="2755"/>
        <item x="1251"/>
        <item x="2563"/>
        <item x="1650"/>
        <item x="3944"/>
        <item x="1220"/>
        <item x="4954"/>
        <item x="4733"/>
        <item x="2936"/>
        <item x="2900"/>
        <item x="3270"/>
        <item x="1077"/>
        <item x="1466"/>
        <item x="1259"/>
        <item x="1631"/>
        <item x="3480"/>
        <item x="3639"/>
        <item x="1422"/>
        <item x="2472"/>
        <item x="4478"/>
        <item x="3200"/>
        <item x="544"/>
        <item x="3110"/>
        <item x="3362"/>
        <item x="1389"/>
        <item x="5017"/>
        <item x="1846"/>
        <item x="3060"/>
        <item x="2072"/>
        <item x="1559"/>
        <item x="4550"/>
        <item x="4636"/>
        <item x="352"/>
        <item x="237"/>
        <item x="2488"/>
        <item x="3877"/>
        <item x="1999"/>
        <item x="1871"/>
        <item x="2746"/>
        <item x="4878"/>
        <item x="3748"/>
        <item x="3149"/>
        <item x="1538"/>
        <item x="4407"/>
        <item x="1126"/>
        <item x="2782"/>
        <item x="2119"/>
        <item x="3283"/>
        <item x="2038"/>
        <item x="2405"/>
        <item x="651"/>
        <item x="3848"/>
        <item x="4143"/>
        <item x="2813"/>
        <item x="3786"/>
        <item x="314"/>
        <item x="5034"/>
        <item x="5036"/>
        <item x="1065"/>
        <item x="4818"/>
        <item x="875"/>
        <item x="4841"/>
        <item x="2548"/>
        <item x="3353"/>
        <item x="2306"/>
        <item x="799"/>
        <item x="2277"/>
        <item x="5054"/>
        <item x="171"/>
        <item x="1079"/>
        <item x="2315"/>
        <item x="655"/>
        <item x="2272"/>
        <item x="1291"/>
        <item x="2022"/>
        <item x="1577"/>
        <item x="3698"/>
        <item x="4649"/>
        <item x="313"/>
        <item x="2067"/>
        <item x="4505"/>
        <item x="2284"/>
        <item x="3469"/>
        <item x="4243"/>
        <item x="926"/>
        <item x="3611"/>
        <item x="538"/>
        <item x="1409"/>
        <item x="802"/>
        <item x="4551"/>
        <item x="1000"/>
        <item x="869"/>
        <item x="1845"/>
        <item x="96"/>
        <item x="2046"/>
        <item x="1488"/>
        <item x="279"/>
        <item x="1325"/>
        <item x="2687"/>
        <item x="1599"/>
        <item x="3436"/>
        <item x="4316"/>
        <item x="1655"/>
        <item x="3092"/>
        <item x="2323"/>
        <item x="1319"/>
        <item x="3544"/>
        <item x="1219"/>
        <item x="3612"/>
        <item x="1951"/>
        <item x="3982"/>
        <item x="3575"/>
        <item x="4837"/>
        <item x="4637"/>
        <item x="1313"/>
        <item x="4244"/>
        <item x="3330"/>
        <item x="275"/>
        <item x="725"/>
        <item x="4860"/>
        <item x="4838"/>
        <item x="4506"/>
        <item x="2871"/>
        <item x="2336"/>
        <item x="2159"/>
        <item x="1429"/>
        <item x="3187"/>
        <item x="2278"/>
        <item x="2340"/>
        <item x="4153"/>
        <item x="2406"/>
        <item x="2645"/>
        <item x="4217"/>
        <item x="4708"/>
        <item x="5069"/>
        <item x="2117"/>
        <item x="4431"/>
        <item x="397"/>
        <item x="3528"/>
        <item x="4942"/>
        <item x="2862"/>
        <item x="2248"/>
        <item x="2273"/>
        <item x="2298"/>
        <item x="2698"/>
        <item x="2337"/>
        <item x="2341"/>
        <item x="3215"/>
        <item x="3827"/>
        <item x="1735"/>
        <item x="4007"/>
        <item x="2395"/>
        <item x="1891"/>
        <item x="2772"/>
        <item x="2101"/>
        <item x="1399"/>
        <item x="9"/>
        <item x="1998"/>
        <item x="951"/>
        <item x="3140"/>
        <item x="1903"/>
        <item x="4432"/>
        <item x="276"/>
        <item x="2321"/>
        <item x="3828"/>
        <item x="644"/>
        <item x="2274"/>
        <item x="4338"/>
        <item x="4650"/>
        <item x="2773"/>
        <item x="1158"/>
        <item x="4620"/>
        <item x="1401"/>
        <item x="1995"/>
        <item x="2422"/>
        <item x="527"/>
        <item x="732"/>
        <item x="1156"/>
        <item x="50"/>
        <item x="4803"/>
        <item x="1705"/>
        <item x="4317"/>
        <item x="4839"/>
        <item x="1092"/>
        <item x="3000"/>
        <item x="1950"/>
        <item x="3545"/>
        <item x="3228"/>
        <item x="994"/>
        <item x="4234"/>
        <item x="2316"/>
        <item x="1002"/>
        <item x="1086"/>
        <item x="1512"/>
        <item x="585"/>
        <item x="4584"/>
        <item x="4880"/>
        <item x="1925"/>
        <item x="2539"/>
        <item x="1276"/>
        <item x="3229"/>
        <item x="5065"/>
        <item x="4674"/>
        <item x="1549"/>
        <item x="1565"/>
        <item x="2750"/>
        <item x="367"/>
        <item x="1165"/>
        <item x="1483"/>
        <item x="2357"/>
        <item x="1574"/>
        <item x="1843"/>
        <item x="90"/>
        <item x="3945"/>
        <item x="1844"/>
        <item x="1981"/>
        <item x="754"/>
        <item x="1713"/>
        <item x="405"/>
        <item x="4819"/>
        <item x="3829"/>
        <item x="1832"/>
        <item x="120"/>
        <item x="1294"/>
        <item x="4691"/>
        <item x="3230"/>
        <item x="3613"/>
        <item x="1168"/>
        <item x="3029"/>
        <item x="4943"/>
        <item x="4117"/>
        <item x="2184"/>
        <item x="2937"/>
        <item x="3419"/>
        <item x="3623"/>
        <item x="3983"/>
        <item x="4440"/>
        <item x="354"/>
        <item x="1788"/>
        <item x="3344"/>
        <item x="2317"/>
        <item x="5019"/>
        <item x="3661"/>
        <item x="2249"/>
        <item x="2307"/>
        <item x="3123"/>
        <item x="1833"/>
        <item x="4692"/>
        <item x="840"/>
        <item x="5070"/>
        <item x="613"/>
        <item x="87"/>
        <item x="450"/>
        <item x="854"/>
        <item x="300"/>
        <item x="4572"/>
        <item x="750"/>
        <item x="353"/>
        <item x="4520"/>
        <item x="634"/>
        <item x="3206"/>
        <item x="3306"/>
        <item x="5084"/>
        <item x="4983"/>
        <item x="3216"/>
        <item x="3662"/>
        <item x="336"/>
        <item x="3878"/>
        <item x="1721"/>
        <item x="467"/>
        <item x="2326"/>
        <item x="3699"/>
        <item x="718"/>
        <item x="1287"/>
        <item x="3922"/>
        <item x="2423"/>
        <item x="689"/>
        <item x="125"/>
        <item x="267"/>
        <item x="1150"/>
        <item x="204"/>
        <item x="986"/>
        <item x="4357"/>
        <item x="3067"/>
        <item x="1030"/>
        <item x="1567"/>
        <item x="4955"/>
        <item x="1917"/>
        <item x="1939"/>
        <item x="4917"/>
        <item x="2872"/>
        <item x="81"/>
        <item x="970"/>
        <item x="4840"/>
        <item x="3879"/>
        <item x="3448"/>
        <item x="340"/>
        <item x="4218"/>
        <item x="3490"/>
        <item x="1675"/>
        <item x="4621"/>
        <item x="3481"/>
        <item x="2820"/>
        <item x="844"/>
        <item x="2027"/>
        <item x="3614"/>
        <item x="3801"/>
        <item x="3052"/>
        <item x="3700"/>
        <item x="1678"/>
        <item x="4552"/>
        <item x="3546"/>
        <item x="4154"/>
        <item x="425"/>
        <item x="4553"/>
        <item x="2044"/>
        <item x="65"/>
        <item x="18"/>
        <item x="2519"/>
        <item x="1797"/>
        <item x="1034"/>
        <item x="7"/>
        <item x="3663"/>
        <item x="1261"/>
        <item x="3730"/>
        <item x="1093"/>
        <item x="1323"/>
        <item x="4063"/>
        <item x="3510"/>
        <item x="1484"/>
        <item x="1870"/>
        <item x="3377"/>
        <item x="2924"/>
        <item x="1213"/>
        <item x="2257"/>
        <item x="4187"/>
        <item x="1786"/>
        <item x="510"/>
        <item x="3410"/>
        <item x="4339"/>
        <item x="3249"/>
        <item x="4292"/>
        <item x="2045"/>
        <item x="4052"/>
        <item x="1997"/>
        <item x="4693"/>
        <item x="3503"/>
        <item x="3519"/>
        <item x="4084"/>
        <item x="2489"/>
        <item x="4804"/>
        <item x="4651"/>
        <item x="3321"/>
        <item x="4178"/>
        <item x="1498"/>
        <item x="4507"/>
        <item x="2144"/>
        <item x="3009"/>
        <item x="2269"/>
        <item x="3664"/>
        <item x="657"/>
        <item x="603"/>
        <item x="3763"/>
        <item x="2228"/>
        <item x="4971"/>
        <item x="3001"/>
        <item x="2107"/>
        <item x="4385"/>
        <item x="4956"/>
        <item x="3802"/>
        <item x="2243"/>
        <item x="2991"/>
        <item x="2264"/>
        <item x="2244"/>
        <item x="4144"/>
        <item x="4235"/>
        <item x="3111"/>
        <item x="656"/>
        <item x="1693"/>
        <item x="3923"/>
        <item x="4318"/>
        <item x="2250"/>
        <item x="4064"/>
        <item x="3849"/>
        <item x="1227"/>
        <item x="590"/>
        <item x="2258"/>
        <item x="605"/>
        <item x="2529"/>
        <item x="4479"/>
        <item x="3010"/>
        <item x="975"/>
        <item x="3400"/>
        <item x="3250"/>
        <item x="3529"/>
        <item x="2675"/>
        <item x="2609"/>
        <item x="1668"/>
        <item x="4309"/>
        <item x="2610"/>
        <item x="864"/>
        <item x="2774"/>
        <item x="3547"/>
        <item x="1066"/>
        <item x="1994"/>
        <item x="3924"/>
        <item x="2200"/>
        <item x="5108"/>
        <item x="4358"/>
        <item x="2564"/>
        <item x="707"/>
        <item x="2185"/>
        <item x="1807"/>
        <item x="2114"/>
        <item x="4974"/>
        <item x="1257"/>
        <item x="226"/>
        <item x="1814"/>
        <item x="2826"/>
        <item x="3134"/>
        <item x="2500"/>
        <item x="629"/>
        <item x="187"/>
        <item x="523"/>
        <item x="224"/>
        <item x="2125"/>
        <item x="3576"/>
        <item x="1135"/>
        <item x="3590"/>
        <item x="3530"/>
        <item x="807"/>
        <item x="1801"/>
        <item x="1519"/>
        <item x="3946"/>
        <item x="92"/>
        <item x="2577"/>
        <item x="174"/>
        <item x="248"/>
        <item x="4155"/>
        <item x="4094"/>
        <item x="1434"/>
        <item x="2153"/>
        <item x="4521"/>
        <item x="409"/>
        <item h="1" x="5109"/>
        <item t="default"/>
      </items>
    </pivotField>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C67862-E6A2-4478-852A-A997B501DAF8}" name="PivotTable10" cacheId="3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5:E7" firstHeaderRow="1" firstDataRow="1" firstDataCol="1"/>
  <pivotFields count="2">
    <pivotField axis="axisRow" numFmtId="1" showAll="0">
      <items count="3">
        <item x="0"/>
        <item x="1"/>
        <item t="default"/>
      </items>
    </pivotField>
    <pivotField dataField="1" showAll="0"/>
  </pivotFields>
  <rowFields count="1">
    <field x="0"/>
  </rowFields>
  <rowItems count="2">
    <i>
      <x/>
    </i>
    <i>
      <x v="1"/>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EF6C728-861B-41D4-8A39-AA24CB560AF8}" sourceName="Year">
  <pivotTables>
    <pivotTable tabId="6" name="PivotTable7"/>
    <pivotTable tabId="2" name="PivotTable1"/>
    <pivotTable tabId="9" name="PivotTable9"/>
    <pivotTable tabId="7" name="PivotTable8"/>
  </pivotTables>
  <data>
    <tabular pivotCacheId="27719633">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8AE632-59A6-4600-B77F-DF6D5ED94CE8}" sourceName="Category">
  <pivotTables>
    <pivotTable tabId="9" name="PivotTable9"/>
    <pivotTable tabId="6" name="PivotTable7"/>
    <pivotTable tabId="2" name="PivotTable1"/>
    <pivotTable tabId="7" name="PivotTable8"/>
  </pivotTables>
  <data>
    <tabular pivotCacheId="27719633">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6CCBB8B-642C-43BF-8B32-FEC2999184EE}" cache="Slicer_Year" caption="Year" columnCount="2" style="SlicerStyleOther2" rowHeight="241300"/>
  <slicer name="Category" xr10:uid="{50E869C5-FD15-4564-A5AD-83C35559B6B4}" cache="Slicer_Category" caption="Category" columnCount="3"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B09D61-6842-4247-8471-5ECD169FE54F}" name="SalesData" displayName="SalesData" ref="A1:K5903" totalsRowShown="0" headerRowDxfId="12" tableBorderDxfId="11">
  <autoFilter ref="A1:K5903" xr:uid="{3CB09D61-6842-4247-8471-5ECD169FE54F}">
    <filterColumn colId="1">
      <customFilters>
        <customFilter operator="notEqual" val=" "/>
      </customFilters>
    </filterColumn>
  </autoFilter>
  <sortState xmlns:xlrd2="http://schemas.microsoft.com/office/spreadsheetml/2017/richdata2" ref="A2:K5903">
    <sortCondition ref="A2:A1048576"/>
  </sortState>
  <tableColumns count="11">
    <tableColumn id="1" xr3:uid="{E097CCF5-193A-4469-91BA-0D4CE8D811C6}" name="Order Date"/>
    <tableColumn id="10" xr3:uid="{299DF308-7C53-41EC-B806-84116789E310}" name="Year" dataDxfId="10">
      <calculatedColumnFormula>YEAR(A2)</calculatedColumnFormula>
    </tableColumn>
    <tableColumn id="11" xr3:uid="{762C638F-EDD5-41E2-A669-78DF2EF32652}" name="Month" dataDxfId="9">
      <calculatedColumnFormula>MONTH(A2)</calculatedColumnFormula>
    </tableColumn>
    <tableColumn id="2" xr3:uid="{8718A425-4211-41F5-91E8-B76FD3C0AB23}" name="Customer Name"/>
    <tableColumn id="3" xr3:uid="{45E1B242-C74E-4491-9F30-C44473A19228}" name="State"/>
    <tableColumn id="4" xr3:uid="{FF0DA106-57BD-4FDC-8EB8-46608BA02D7C}" name="Category"/>
    <tableColumn id="5" xr3:uid="{E005B856-B259-4A87-B1CD-D763AC192BC3}" name="Sub-Category"/>
    <tableColumn id="6" xr3:uid="{1B59221A-9A07-490F-B639-DD26AE0C0FDC}" name="Product Name"/>
    <tableColumn id="7" xr3:uid="{18F105E2-D3EB-4967-977A-7D65219F2A19}" name="Sales" dataDxfId="8"/>
    <tableColumn id="8" xr3:uid="{0546E047-853A-4F99-9316-1E41F2526BFD}" name="Quantity" dataDxfId="7"/>
    <tableColumn id="9" xr3:uid="{97E3AF75-78EC-4896-A1B1-9854CEE4F198}"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74F730-979E-499C-852F-04A8A069889E}" name="CustomerCount" displayName="CustomerCount" ref="A1:B1332" totalsRowShown="0">
  <autoFilter ref="A1:B1332" xr:uid="{DC74F730-979E-499C-852F-04A8A069889E}"/>
  <tableColumns count="2">
    <tableColumn id="1" xr3:uid="{F356C11E-FF5A-4054-B29D-869FA3A107D3}" name="Year" dataDxfId="5"/>
    <tableColumn id="2" xr3:uid="{2D31AF80-5238-4746-B8F3-0182F179249D}" name="Customer Name"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C5982-312A-49C5-A55C-7B24F6B6FD0D}">
  <dimension ref="A3:E20"/>
  <sheetViews>
    <sheetView workbookViewId="0">
      <selection activeCell="A3" sqref="A3"/>
    </sheetView>
  </sheetViews>
  <sheetFormatPr defaultRowHeight="15" x14ac:dyDescent="0.25"/>
  <cols>
    <col min="1" max="1" width="13.140625" bestFit="1" customWidth="1"/>
    <col min="2" max="2" width="12.140625" bestFit="1" customWidth="1"/>
  </cols>
  <sheetData>
    <row r="3" spans="1:5" x14ac:dyDescent="0.25">
      <c r="A3" s="23" t="s">
        <v>2595</v>
      </c>
      <c r="B3" t="s">
        <v>2597</v>
      </c>
    </row>
    <row r="4" spans="1:5" x14ac:dyDescent="0.25">
      <c r="A4" s="24" t="s">
        <v>15</v>
      </c>
      <c r="B4" s="25">
        <v>196563.54600000018</v>
      </c>
      <c r="D4" t="str">
        <f>A4</f>
        <v>Phones</v>
      </c>
      <c r="E4">
        <f>B4</f>
        <v>196563.54600000018</v>
      </c>
    </row>
    <row r="5" spans="1:5" x14ac:dyDescent="0.25">
      <c r="A5" s="24" t="s">
        <v>112</v>
      </c>
      <c r="B5" s="25">
        <v>181945.99799999993</v>
      </c>
      <c r="D5" t="str">
        <f t="shared" ref="D5:D19" si="0">A5</f>
        <v>Chairs</v>
      </c>
      <c r="E5">
        <f t="shared" ref="E5:E19" si="1">B5</f>
        <v>181945.99799999993</v>
      </c>
    </row>
    <row r="6" spans="1:5" x14ac:dyDescent="0.25">
      <c r="A6" s="24" t="s">
        <v>32</v>
      </c>
      <c r="B6" s="25">
        <v>174978.38999999993</v>
      </c>
      <c r="D6" t="str">
        <f t="shared" si="0"/>
        <v>Binders</v>
      </c>
      <c r="E6">
        <f t="shared" si="1"/>
        <v>174978.38999999993</v>
      </c>
    </row>
    <row r="7" spans="1:5" x14ac:dyDescent="0.25">
      <c r="A7" s="24" t="s">
        <v>20</v>
      </c>
      <c r="B7" s="25">
        <v>150341.31799999991</v>
      </c>
      <c r="D7" t="str">
        <f t="shared" si="0"/>
        <v>Storage</v>
      </c>
      <c r="E7">
        <f t="shared" si="1"/>
        <v>150341.31799999991</v>
      </c>
    </row>
    <row r="8" spans="1:5" x14ac:dyDescent="0.25">
      <c r="A8" s="24" t="s">
        <v>24</v>
      </c>
      <c r="B8" s="25">
        <v>122301.08599999997</v>
      </c>
      <c r="D8" t="str">
        <f t="shared" si="0"/>
        <v>Accessories</v>
      </c>
      <c r="E8">
        <f t="shared" si="1"/>
        <v>122301.08599999997</v>
      </c>
    </row>
    <row r="9" spans="1:5" x14ac:dyDescent="0.25">
      <c r="A9" s="24" t="s">
        <v>30</v>
      </c>
      <c r="B9" s="25">
        <v>119293.74300000005</v>
      </c>
      <c r="D9" t="str">
        <f t="shared" si="0"/>
        <v>Tables</v>
      </c>
      <c r="E9">
        <f t="shared" si="1"/>
        <v>119293.74300000005</v>
      </c>
    </row>
    <row r="10" spans="1:5" x14ac:dyDescent="0.25">
      <c r="A10" s="24" t="s">
        <v>53</v>
      </c>
      <c r="B10" s="25">
        <v>99453.612000000066</v>
      </c>
      <c r="D10" t="str">
        <f t="shared" si="0"/>
        <v>Paper</v>
      </c>
      <c r="E10">
        <f t="shared" si="1"/>
        <v>99453.612000000066</v>
      </c>
    </row>
    <row r="11" spans="1:5" x14ac:dyDescent="0.25">
      <c r="A11" s="24" t="s">
        <v>51</v>
      </c>
      <c r="B11" s="25">
        <v>92691.217999999935</v>
      </c>
      <c r="D11" t="str">
        <f t="shared" si="0"/>
        <v>Furnishings</v>
      </c>
      <c r="E11">
        <f t="shared" si="1"/>
        <v>92691.217999999935</v>
      </c>
    </row>
    <row r="12" spans="1:5" x14ac:dyDescent="0.25">
      <c r="A12" s="24" t="s">
        <v>188</v>
      </c>
      <c r="B12" s="25">
        <v>91987.561000000016</v>
      </c>
      <c r="D12" t="str">
        <f t="shared" si="0"/>
        <v>Machines</v>
      </c>
      <c r="E12">
        <f t="shared" si="1"/>
        <v>91987.561000000016</v>
      </c>
    </row>
    <row r="13" spans="1:5" x14ac:dyDescent="0.25">
      <c r="A13" s="24" t="s">
        <v>121</v>
      </c>
      <c r="B13" s="25">
        <v>80305.246999999974</v>
      </c>
      <c r="D13" t="str">
        <f t="shared" si="0"/>
        <v>Appliances</v>
      </c>
      <c r="E13">
        <f t="shared" si="1"/>
        <v>80305.246999999974</v>
      </c>
    </row>
    <row r="14" spans="1:5" x14ac:dyDescent="0.25">
      <c r="A14" s="24" t="s">
        <v>36</v>
      </c>
      <c r="B14" s="25">
        <v>59735.797999999981</v>
      </c>
      <c r="D14" t="str">
        <f t="shared" si="0"/>
        <v>Copiers</v>
      </c>
      <c r="E14">
        <f t="shared" si="1"/>
        <v>59735.797999999981</v>
      </c>
    </row>
    <row r="15" spans="1:5" x14ac:dyDescent="0.25">
      <c r="A15" s="24" t="s">
        <v>12</v>
      </c>
      <c r="B15" s="25">
        <v>57577.686199999996</v>
      </c>
      <c r="D15" t="str">
        <f t="shared" si="0"/>
        <v>Bookcases</v>
      </c>
      <c r="E15">
        <f t="shared" si="1"/>
        <v>57577.686199999996</v>
      </c>
    </row>
    <row r="16" spans="1:5" x14ac:dyDescent="0.25">
      <c r="A16" s="24" t="s">
        <v>40</v>
      </c>
      <c r="B16" s="25">
        <v>50762.975999999988</v>
      </c>
      <c r="D16" t="str">
        <f t="shared" si="0"/>
        <v>Art</v>
      </c>
      <c r="E16">
        <f t="shared" si="1"/>
        <v>50762.975999999988</v>
      </c>
    </row>
    <row r="17" spans="1:5" x14ac:dyDescent="0.25">
      <c r="A17" s="24" t="s">
        <v>265</v>
      </c>
      <c r="B17" s="25">
        <v>36720.986000000012</v>
      </c>
      <c r="D17" t="str">
        <f t="shared" si="0"/>
        <v>Supplies</v>
      </c>
      <c r="E17">
        <f t="shared" si="1"/>
        <v>36720.986000000012</v>
      </c>
    </row>
    <row r="18" spans="1:5" x14ac:dyDescent="0.25">
      <c r="A18" s="24" t="s">
        <v>127</v>
      </c>
      <c r="B18" s="25">
        <v>19397.456000000006</v>
      </c>
      <c r="D18" t="str">
        <f t="shared" si="0"/>
        <v>Labels</v>
      </c>
      <c r="E18">
        <f t="shared" si="1"/>
        <v>19397.456000000006</v>
      </c>
    </row>
    <row r="19" spans="1:5" x14ac:dyDescent="0.25">
      <c r="A19" s="24" t="s">
        <v>86</v>
      </c>
      <c r="B19" s="25">
        <v>16542.464000000004</v>
      </c>
      <c r="D19" t="str">
        <f t="shared" si="0"/>
        <v>Envelopes</v>
      </c>
      <c r="E19">
        <f t="shared" si="1"/>
        <v>16542.464000000004</v>
      </c>
    </row>
    <row r="20" spans="1:5" x14ac:dyDescent="0.25">
      <c r="A20" s="24" t="s">
        <v>116</v>
      </c>
      <c r="B20" s="25">
        <v>15205.238000000001</v>
      </c>
      <c r="D20" t="str">
        <f>A20</f>
        <v>Fasteners</v>
      </c>
      <c r="E20">
        <f>B20</f>
        <v>15205.238000000001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CC2C2-B938-4596-9458-247583AFE809}">
  <dimension ref="A3:D6"/>
  <sheetViews>
    <sheetView workbookViewId="0">
      <selection activeCell="N22" sqref="N22"/>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5" width="7.28515625" bestFit="1" customWidth="1"/>
    <col min="6" max="6" width="12" bestFit="1" customWidth="1"/>
    <col min="7" max="7" width="18.28515625" bestFit="1" customWidth="1"/>
    <col min="8" max="8" width="13.28515625" bestFit="1" customWidth="1"/>
    <col min="9" max="9" width="11.85546875" bestFit="1" customWidth="1"/>
    <col min="10" max="10" width="12.7109375" bestFit="1" customWidth="1"/>
    <col min="11" max="11" width="12.140625" bestFit="1" customWidth="1"/>
    <col min="12" max="12" width="11.42578125" bestFit="1" customWidth="1"/>
    <col min="13" max="13" width="15.5703125" bestFit="1" customWidth="1"/>
    <col min="14" max="15" width="11.42578125" bestFit="1" customWidth="1"/>
    <col min="16" max="16" width="18" bestFit="1" customWidth="1"/>
    <col min="17" max="17" width="12.5703125" bestFit="1" customWidth="1"/>
    <col min="18" max="18" width="19.5703125" bestFit="1" customWidth="1"/>
    <col min="19" max="19" width="15.7109375" bestFit="1" customWidth="1"/>
    <col min="20" max="20" width="16" bestFit="1" customWidth="1"/>
    <col min="21" max="21" width="20.85546875" bestFit="1" customWidth="1"/>
    <col min="22" max="22" width="9.85546875" bestFit="1" customWidth="1"/>
    <col min="23" max="23" width="12.7109375" bestFit="1" customWidth="1"/>
    <col min="24" max="24" width="11.7109375" bestFit="1" customWidth="1"/>
    <col min="25" max="25" width="14.42578125" bestFit="1" customWidth="1"/>
    <col min="26" max="26" width="12.7109375" bestFit="1" customWidth="1"/>
    <col min="27" max="27" width="15.140625" bestFit="1" customWidth="1"/>
    <col min="28" max="28" width="15.85546875" bestFit="1" customWidth="1"/>
    <col min="29" max="29" width="13.28515625" bestFit="1" customWidth="1"/>
    <col min="30" max="30" width="10.85546875" bestFit="1" customWidth="1"/>
    <col min="31" max="31" width="10" bestFit="1" customWidth="1"/>
    <col min="32" max="32" width="9.7109375" bestFit="1" customWidth="1"/>
    <col min="33" max="33" width="13.28515625" bestFit="1" customWidth="1"/>
    <col min="34" max="34" width="16.28515625" bestFit="1" customWidth="1"/>
    <col min="35" max="35" width="15.42578125" bestFit="1" customWidth="1"/>
    <col min="36" max="36" width="11.42578125" bestFit="1" customWidth="1"/>
    <col min="37" max="37" width="11.140625" bestFit="1" customWidth="1"/>
    <col min="38" max="38" width="16.140625" bestFit="1" customWidth="1"/>
    <col min="39" max="39" width="12.42578125" bestFit="1" customWidth="1"/>
    <col min="40" max="40" width="10.7109375" bestFit="1" customWidth="1"/>
    <col min="41" max="41" width="10.5703125" bestFit="1" customWidth="1"/>
    <col min="42" max="42" width="10.7109375" bestFit="1" customWidth="1"/>
    <col min="43" max="43" width="14.28515625" bestFit="1" customWidth="1"/>
    <col min="44" max="44" width="11.5703125" bestFit="1" customWidth="1"/>
    <col min="45" max="45" width="13.42578125" bestFit="1" customWidth="1"/>
    <col min="46" max="46" width="13.7109375" bestFit="1" customWidth="1"/>
    <col min="47" max="47" width="15.5703125" bestFit="1" customWidth="1"/>
    <col min="48" max="48" width="10.85546875" bestFit="1" customWidth="1"/>
    <col min="49" max="49" width="14.7109375" bestFit="1" customWidth="1"/>
    <col min="50" max="50" width="12.85546875" bestFit="1" customWidth="1"/>
    <col min="51" max="51" width="17.7109375" bestFit="1" customWidth="1"/>
    <col min="52" max="52" width="14.85546875" bestFit="1" customWidth="1"/>
    <col min="53" max="53" width="16.42578125" bestFit="1" customWidth="1"/>
    <col min="54" max="54" width="18.28515625" bestFit="1" customWidth="1"/>
    <col min="55" max="55" width="15.42578125" bestFit="1" customWidth="1"/>
    <col min="56" max="56" width="13.140625" bestFit="1" customWidth="1"/>
    <col min="57" max="57" width="13.5703125" bestFit="1" customWidth="1"/>
    <col min="58" max="58" width="12.28515625" bestFit="1" customWidth="1"/>
    <col min="59" max="59" width="9.7109375" bestFit="1" customWidth="1"/>
    <col min="60" max="60" width="13.28515625" bestFit="1" customWidth="1"/>
    <col min="61" max="61" width="14" bestFit="1" customWidth="1"/>
    <col min="62" max="62" width="15.5703125" bestFit="1" customWidth="1"/>
    <col min="63" max="63" width="13.42578125" bestFit="1" customWidth="1"/>
    <col min="64" max="64" width="12.140625" bestFit="1" customWidth="1"/>
    <col min="65" max="65" width="13.7109375" bestFit="1" customWidth="1"/>
    <col min="66" max="66" width="15.140625" bestFit="1" customWidth="1"/>
    <col min="67" max="67" width="10.7109375" bestFit="1" customWidth="1"/>
    <col min="68" max="68" width="16.28515625" bestFit="1" customWidth="1"/>
    <col min="69" max="69" width="14.28515625" bestFit="1" customWidth="1"/>
    <col min="70" max="70" width="10.5703125" bestFit="1" customWidth="1"/>
    <col min="71" max="71" width="13.140625" bestFit="1" customWidth="1"/>
    <col min="72" max="72" width="9" bestFit="1" customWidth="1"/>
    <col min="73" max="73" width="11.140625" bestFit="1" customWidth="1"/>
    <col min="74" max="74" width="12.140625" bestFit="1" customWidth="1"/>
    <col min="75" max="76" width="12.5703125" bestFit="1" customWidth="1"/>
    <col min="77" max="77" width="9.7109375" bestFit="1" customWidth="1"/>
    <col min="78" max="78" width="10.28515625" bestFit="1" customWidth="1"/>
    <col min="79" max="79" width="13.7109375" bestFit="1" customWidth="1"/>
    <col min="80" max="80" width="12" bestFit="1" customWidth="1"/>
    <col min="81" max="81" width="15.5703125" bestFit="1" customWidth="1"/>
    <col min="82" max="82" width="18.7109375" bestFit="1" customWidth="1"/>
    <col min="83" max="83" width="16" bestFit="1" customWidth="1"/>
    <col min="84" max="84" width="15.7109375" bestFit="1" customWidth="1"/>
    <col min="85" max="85" width="11.85546875" bestFit="1" customWidth="1"/>
    <col min="86" max="86" width="10.42578125" bestFit="1" customWidth="1"/>
    <col min="87" max="87" width="15" bestFit="1" customWidth="1"/>
    <col min="88" max="88" width="12.42578125" bestFit="1" customWidth="1"/>
    <col min="89" max="89" width="10" bestFit="1" customWidth="1"/>
    <col min="90" max="90" width="11.7109375" bestFit="1" customWidth="1"/>
    <col min="91" max="91" width="11.42578125" bestFit="1" customWidth="1"/>
    <col min="92" max="92" width="11.140625" bestFit="1" customWidth="1"/>
    <col min="93" max="93" width="8.7109375" bestFit="1" customWidth="1"/>
    <col min="94" max="94" width="11" bestFit="1" customWidth="1"/>
    <col min="95" max="95" width="14.7109375" bestFit="1" customWidth="1"/>
    <col min="96" max="96" width="13.5703125" bestFit="1" customWidth="1"/>
    <col min="97" max="97" width="10.5703125" bestFit="1" customWidth="1"/>
    <col min="98" max="98" width="12" bestFit="1" customWidth="1"/>
    <col min="99" max="99" width="12.28515625" bestFit="1" customWidth="1"/>
    <col min="100" max="101" width="15.140625" bestFit="1" customWidth="1"/>
    <col min="102" max="102" width="14.5703125" bestFit="1" customWidth="1"/>
    <col min="103" max="103" width="15.5703125" bestFit="1" customWidth="1"/>
    <col min="104" max="104" width="15.7109375" bestFit="1" customWidth="1"/>
    <col min="105" max="105" width="14.42578125" bestFit="1" customWidth="1"/>
    <col min="106" max="106" width="15" bestFit="1" customWidth="1"/>
    <col min="107" max="107" width="12.28515625" bestFit="1" customWidth="1"/>
    <col min="108" max="108" width="16" bestFit="1" customWidth="1"/>
    <col min="109" max="109" width="9.85546875" bestFit="1" customWidth="1"/>
    <col min="110" max="110" width="10.7109375" bestFit="1" customWidth="1"/>
    <col min="111" max="111" width="12.28515625" bestFit="1" customWidth="1"/>
    <col min="112" max="112" width="15.42578125" bestFit="1" customWidth="1"/>
    <col min="113" max="113" width="17.7109375" bestFit="1" customWidth="1"/>
    <col min="114" max="114" width="15.85546875" bestFit="1" customWidth="1"/>
    <col min="115" max="115" width="17" bestFit="1" customWidth="1"/>
    <col min="116" max="116" width="10.7109375" bestFit="1" customWidth="1"/>
    <col min="117" max="117" width="13.42578125" bestFit="1" customWidth="1"/>
    <col min="118" max="118" width="11.140625" bestFit="1" customWidth="1"/>
    <col min="119" max="119" width="10.85546875" bestFit="1" customWidth="1"/>
    <col min="120" max="120" width="12.7109375" bestFit="1" customWidth="1"/>
    <col min="121" max="121" width="18.140625" bestFit="1" customWidth="1"/>
    <col min="122" max="122" width="9.7109375" bestFit="1" customWidth="1"/>
    <col min="123" max="123" width="14.140625" bestFit="1" customWidth="1"/>
    <col min="124" max="124" width="11.5703125" bestFit="1" customWidth="1"/>
    <col min="125" max="125" width="11.140625" bestFit="1" customWidth="1"/>
    <col min="126" max="126" width="10.28515625" bestFit="1" customWidth="1"/>
    <col min="127" max="127" width="10.7109375" bestFit="1" customWidth="1"/>
    <col min="128" max="128" width="14" bestFit="1" customWidth="1"/>
    <col min="129" max="129" width="13.42578125" bestFit="1" customWidth="1"/>
    <col min="130" max="130" width="12" bestFit="1" customWidth="1"/>
    <col min="131" max="131" width="11.7109375" bestFit="1" customWidth="1"/>
    <col min="132" max="132" width="11.140625" bestFit="1" customWidth="1"/>
    <col min="133" max="133" width="15.5703125" bestFit="1" customWidth="1"/>
    <col min="134" max="134" width="18.42578125" bestFit="1" customWidth="1"/>
    <col min="135" max="135" width="19.28515625" bestFit="1" customWidth="1"/>
    <col min="136" max="136" width="15.85546875" bestFit="1" customWidth="1"/>
    <col min="137" max="137" width="12.42578125" bestFit="1" customWidth="1"/>
    <col min="138" max="138" width="13.85546875" bestFit="1" customWidth="1"/>
    <col min="139" max="139" width="17.28515625" bestFit="1" customWidth="1"/>
    <col min="140" max="140" width="13.7109375" bestFit="1" customWidth="1"/>
    <col min="141" max="141" width="12.140625" bestFit="1" customWidth="1"/>
    <col min="142" max="142" width="15.42578125" bestFit="1" customWidth="1"/>
    <col min="143" max="143" width="17.42578125" bestFit="1" customWidth="1"/>
    <col min="144" max="144" width="15.42578125" bestFit="1" customWidth="1"/>
    <col min="145" max="145" width="16.42578125" bestFit="1" customWidth="1"/>
    <col min="146" max="146" width="18.85546875" bestFit="1" customWidth="1"/>
    <col min="147" max="147" width="11.5703125" bestFit="1" customWidth="1"/>
    <col min="148" max="148" width="12.85546875" bestFit="1" customWidth="1"/>
    <col min="149" max="149" width="14.28515625" bestFit="1" customWidth="1"/>
    <col min="150" max="150" width="18.140625" bestFit="1" customWidth="1"/>
    <col min="151" max="151" width="16.5703125" bestFit="1" customWidth="1"/>
    <col min="152" max="152" width="22.7109375" bestFit="1" customWidth="1"/>
    <col min="153" max="153" width="17.7109375" bestFit="1" customWidth="1"/>
    <col min="154" max="154" width="16.5703125" bestFit="1" customWidth="1"/>
    <col min="155" max="155" width="14" bestFit="1" customWidth="1"/>
    <col min="156" max="156" width="20.5703125" bestFit="1" customWidth="1"/>
    <col min="157" max="157" width="18.42578125" bestFit="1" customWidth="1"/>
    <col min="158" max="158" width="20.140625" bestFit="1" customWidth="1"/>
    <col min="159" max="159" width="17.42578125" bestFit="1" customWidth="1"/>
    <col min="160" max="160" width="14.28515625" bestFit="1" customWidth="1"/>
    <col min="161" max="161" width="11.140625" bestFit="1" customWidth="1"/>
    <col min="162" max="162" width="12.85546875" bestFit="1" customWidth="1"/>
    <col min="163" max="163" width="11.5703125" bestFit="1" customWidth="1"/>
    <col min="164" max="164" width="14.85546875" bestFit="1" customWidth="1"/>
    <col min="165" max="165" width="15.7109375" bestFit="1" customWidth="1"/>
    <col min="166" max="166" width="13.42578125" bestFit="1" customWidth="1"/>
    <col min="167" max="167" width="11" bestFit="1" customWidth="1"/>
    <col min="168" max="168" width="17.28515625" bestFit="1" customWidth="1"/>
    <col min="169" max="169" width="14.28515625" bestFit="1" customWidth="1"/>
    <col min="170" max="170" width="11.140625" bestFit="1" customWidth="1"/>
    <col min="171" max="171" width="13.42578125" bestFit="1" customWidth="1"/>
    <col min="172" max="172" width="11.140625" bestFit="1" customWidth="1"/>
    <col min="173" max="173" width="12.5703125" bestFit="1" customWidth="1"/>
    <col min="174" max="174" width="11.85546875" bestFit="1" customWidth="1"/>
    <col min="175" max="175" width="10.7109375" bestFit="1" customWidth="1"/>
    <col min="176" max="176" width="15.85546875" bestFit="1" customWidth="1"/>
    <col min="177" max="177" width="12.85546875" bestFit="1" customWidth="1"/>
    <col min="178" max="178" width="11" bestFit="1" customWidth="1"/>
    <col min="179" max="179" width="11.28515625" bestFit="1" customWidth="1"/>
    <col min="180" max="180" width="13.140625" bestFit="1" customWidth="1"/>
    <col min="181" max="181" width="12.42578125" bestFit="1" customWidth="1"/>
    <col min="182" max="182" width="15.28515625" bestFit="1" customWidth="1"/>
    <col min="183" max="183" width="15.5703125" bestFit="1" customWidth="1"/>
    <col min="184" max="184" width="12.7109375" bestFit="1" customWidth="1"/>
    <col min="185" max="185" width="11.140625" bestFit="1" customWidth="1"/>
    <col min="186" max="186" width="15.7109375" bestFit="1" customWidth="1"/>
    <col min="187" max="187" width="13.42578125" bestFit="1" customWidth="1"/>
    <col min="188" max="188" width="11.140625" bestFit="1" customWidth="1"/>
    <col min="189" max="189" width="16.28515625" bestFit="1" customWidth="1"/>
    <col min="190" max="190" width="12.140625" bestFit="1" customWidth="1"/>
    <col min="191" max="191" width="11.140625" bestFit="1" customWidth="1"/>
    <col min="192" max="192" width="10.85546875" bestFit="1" customWidth="1"/>
    <col min="193" max="193" width="12.5703125" bestFit="1" customWidth="1"/>
    <col min="194" max="194" width="13.140625" bestFit="1" customWidth="1"/>
    <col min="195" max="195" width="12" bestFit="1" customWidth="1"/>
    <col min="196" max="196" width="14.28515625" bestFit="1" customWidth="1"/>
    <col min="197" max="197" width="14.140625" bestFit="1" customWidth="1"/>
    <col min="198" max="198" width="12.85546875" bestFit="1" customWidth="1"/>
    <col min="199" max="199" width="11.7109375" bestFit="1" customWidth="1"/>
    <col min="200" max="200" width="14.7109375" bestFit="1" customWidth="1"/>
    <col min="201" max="201" width="11.85546875" bestFit="1" customWidth="1"/>
    <col min="202" max="202" width="13.28515625" bestFit="1" customWidth="1"/>
    <col min="203" max="203" width="9.85546875" bestFit="1" customWidth="1"/>
    <col min="204" max="204" width="11.85546875" bestFit="1" customWidth="1"/>
    <col min="205" max="205" width="13.140625" bestFit="1" customWidth="1"/>
    <col min="206" max="206" width="13.85546875" bestFit="1" customWidth="1"/>
    <col min="207" max="207" width="14.28515625" bestFit="1" customWidth="1"/>
    <col min="208" max="208" width="11.5703125" bestFit="1" customWidth="1"/>
    <col min="209" max="209" width="13.28515625" bestFit="1" customWidth="1"/>
    <col min="210" max="210" width="12.28515625" bestFit="1" customWidth="1"/>
    <col min="211" max="211" width="9.7109375" bestFit="1" customWidth="1"/>
    <col min="212" max="212" width="11.7109375" bestFit="1" customWidth="1"/>
    <col min="213" max="213" width="11" bestFit="1" customWidth="1"/>
    <col min="214" max="214" width="18.140625" bestFit="1" customWidth="1"/>
    <col min="215" max="215" width="11.85546875" bestFit="1" customWidth="1"/>
    <col min="216" max="216" width="13.42578125" bestFit="1" customWidth="1"/>
    <col min="217" max="217" width="16.28515625" bestFit="1" customWidth="1"/>
    <col min="218" max="218" width="18" bestFit="1" customWidth="1"/>
    <col min="219" max="219" width="14.85546875" bestFit="1" customWidth="1"/>
    <col min="220" max="220" width="13.5703125" bestFit="1" customWidth="1"/>
    <col min="221" max="221" width="12" bestFit="1" customWidth="1"/>
    <col min="222" max="222" width="14" bestFit="1" customWidth="1"/>
    <col min="223" max="223" width="14.140625" bestFit="1" customWidth="1"/>
    <col min="224" max="224" width="10" bestFit="1" customWidth="1"/>
    <col min="225" max="225" width="14.140625" bestFit="1" customWidth="1"/>
    <col min="226" max="226" width="13.42578125" bestFit="1" customWidth="1"/>
    <col min="227" max="227" width="15.140625" bestFit="1" customWidth="1"/>
    <col min="228" max="228" width="14" bestFit="1" customWidth="1"/>
    <col min="229" max="229" width="11.7109375" bestFit="1" customWidth="1"/>
    <col min="230" max="230" width="10" bestFit="1" customWidth="1"/>
    <col min="231" max="232" width="10.42578125" bestFit="1" customWidth="1"/>
    <col min="233" max="233" width="15.85546875" bestFit="1" customWidth="1"/>
    <col min="234" max="234" width="17.42578125" bestFit="1" customWidth="1"/>
    <col min="235" max="235" width="15.28515625" bestFit="1" customWidth="1"/>
    <col min="236" max="236" width="11.28515625" bestFit="1" customWidth="1"/>
    <col min="237" max="237" width="13.42578125" bestFit="1" customWidth="1"/>
    <col min="238" max="238" width="11.7109375" bestFit="1" customWidth="1"/>
    <col min="239" max="239" width="15" bestFit="1" customWidth="1"/>
    <col min="240" max="240" width="13.140625" bestFit="1" customWidth="1"/>
    <col min="241" max="241" width="14.28515625" bestFit="1" customWidth="1"/>
    <col min="242" max="242" width="10.42578125" bestFit="1" customWidth="1"/>
    <col min="243" max="243" width="9.28515625" bestFit="1" customWidth="1"/>
    <col min="244" max="244" width="9.85546875" bestFit="1" customWidth="1"/>
    <col min="245" max="245" width="14.140625" bestFit="1" customWidth="1"/>
    <col min="246" max="246" width="13.5703125" bestFit="1" customWidth="1"/>
    <col min="247" max="247" width="13.85546875" bestFit="1" customWidth="1"/>
    <col min="248" max="248" width="12.42578125" bestFit="1" customWidth="1"/>
    <col min="249" max="249" width="13.28515625" bestFit="1" customWidth="1"/>
    <col min="250" max="250" width="16.140625" bestFit="1" customWidth="1"/>
    <col min="251" max="251" width="11.140625" bestFit="1" customWidth="1"/>
    <col min="252" max="252" width="16.5703125" bestFit="1" customWidth="1"/>
    <col min="253" max="253" width="11.28515625" bestFit="1" customWidth="1"/>
    <col min="254" max="254" width="12.140625" bestFit="1" customWidth="1"/>
    <col min="255" max="255" width="11.5703125" bestFit="1" customWidth="1"/>
    <col min="256" max="256" width="10.7109375" bestFit="1" customWidth="1"/>
    <col min="257" max="257" width="11.140625" bestFit="1" customWidth="1"/>
    <col min="258" max="258" width="13.5703125" bestFit="1" customWidth="1"/>
    <col min="259" max="259" width="12.42578125" bestFit="1" customWidth="1"/>
    <col min="260" max="260" width="9.7109375" bestFit="1" customWidth="1"/>
    <col min="261" max="261" width="13.140625" bestFit="1" customWidth="1"/>
    <col min="262" max="262" width="15.28515625" bestFit="1" customWidth="1"/>
    <col min="263" max="263" width="10.7109375" bestFit="1" customWidth="1"/>
    <col min="264" max="264" width="13.42578125" bestFit="1" customWidth="1"/>
    <col min="265" max="265" width="13.7109375" bestFit="1" customWidth="1"/>
    <col min="266" max="266" width="9" bestFit="1" customWidth="1"/>
    <col min="267" max="267" width="10" bestFit="1" customWidth="1"/>
    <col min="268" max="268" width="14.5703125" bestFit="1" customWidth="1"/>
    <col min="269" max="269" width="14.85546875" bestFit="1" customWidth="1"/>
    <col min="270" max="270" width="18.140625" bestFit="1" customWidth="1"/>
    <col min="271" max="271" width="14.140625" bestFit="1" customWidth="1"/>
    <col min="272" max="272" width="10.140625" bestFit="1" customWidth="1"/>
    <col min="273" max="273" width="11.85546875" bestFit="1" customWidth="1"/>
    <col min="274" max="274" width="10.85546875" bestFit="1" customWidth="1"/>
    <col min="275" max="275" width="14.140625" bestFit="1" customWidth="1"/>
    <col min="276" max="276" width="14" bestFit="1" customWidth="1"/>
    <col min="277" max="277" width="14.28515625" bestFit="1" customWidth="1"/>
    <col min="278" max="278" width="12.85546875" bestFit="1" customWidth="1"/>
    <col min="279" max="279" width="15.42578125" bestFit="1" customWidth="1"/>
    <col min="280" max="280" width="12.85546875" bestFit="1" customWidth="1"/>
    <col min="281" max="281" width="13.42578125" bestFit="1" customWidth="1"/>
    <col min="282" max="282" width="11.42578125" bestFit="1" customWidth="1"/>
    <col min="283" max="283" width="10.7109375" bestFit="1" customWidth="1"/>
    <col min="284" max="284" width="11" bestFit="1" customWidth="1"/>
    <col min="285" max="285" width="11.42578125" bestFit="1" customWidth="1"/>
    <col min="286" max="286" width="12.5703125" bestFit="1" customWidth="1"/>
    <col min="287" max="287" width="12.85546875" bestFit="1" customWidth="1"/>
    <col min="288" max="288" width="16" bestFit="1" customWidth="1"/>
    <col min="289" max="289" width="12.140625" bestFit="1" customWidth="1"/>
    <col min="290" max="290" width="11.5703125" bestFit="1" customWidth="1"/>
    <col min="291" max="291" width="12.140625" bestFit="1" customWidth="1"/>
    <col min="292" max="292" width="13.7109375" bestFit="1" customWidth="1"/>
    <col min="293" max="293" width="14" bestFit="1" customWidth="1"/>
    <col min="294" max="294" width="10.28515625" bestFit="1" customWidth="1"/>
    <col min="295" max="295" width="13.85546875" bestFit="1" customWidth="1"/>
    <col min="296" max="296" width="16.5703125" bestFit="1" customWidth="1"/>
    <col min="297" max="297" width="11.42578125" bestFit="1" customWidth="1"/>
    <col min="298" max="298" width="15.85546875" bestFit="1" customWidth="1"/>
    <col min="299" max="299" width="15.5703125" bestFit="1" customWidth="1"/>
    <col min="300" max="300" width="15.28515625" bestFit="1" customWidth="1"/>
    <col min="301" max="301" width="16.7109375" bestFit="1" customWidth="1"/>
    <col min="302" max="302" width="11" bestFit="1" customWidth="1"/>
    <col min="303" max="303" width="14.7109375" bestFit="1" customWidth="1"/>
    <col min="304" max="304" width="12.5703125" bestFit="1" customWidth="1"/>
    <col min="305" max="305" width="12.28515625" bestFit="1" customWidth="1"/>
    <col min="306" max="306" width="13.7109375" bestFit="1" customWidth="1"/>
    <col min="307" max="307" width="13.5703125" bestFit="1" customWidth="1"/>
    <col min="308" max="308" width="9.5703125" bestFit="1" customWidth="1"/>
    <col min="309" max="309" width="14.42578125" bestFit="1" customWidth="1"/>
    <col min="310" max="310" width="13.28515625" bestFit="1" customWidth="1"/>
    <col min="311" max="311" width="15.28515625" bestFit="1" customWidth="1"/>
    <col min="312" max="312" width="12.140625" bestFit="1" customWidth="1"/>
    <col min="313" max="313" width="13.85546875" bestFit="1" customWidth="1"/>
    <col min="314" max="314" width="11.5703125" bestFit="1" customWidth="1"/>
    <col min="315" max="315" width="12.85546875" bestFit="1" customWidth="1"/>
    <col min="316" max="316" width="11.42578125" bestFit="1" customWidth="1"/>
    <col min="317" max="317" width="11.140625" bestFit="1" customWidth="1"/>
    <col min="318" max="318" width="16" bestFit="1" customWidth="1"/>
    <col min="319" max="319" width="14.85546875" bestFit="1" customWidth="1"/>
    <col min="320" max="320" width="15.42578125" bestFit="1" customWidth="1"/>
    <col min="321" max="321" width="17.42578125" bestFit="1" customWidth="1"/>
    <col min="322" max="322" width="11.42578125" bestFit="1" customWidth="1"/>
    <col min="323" max="323" width="14.85546875" bestFit="1" customWidth="1"/>
    <col min="324" max="324" width="17" bestFit="1" customWidth="1"/>
    <col min="325" max="325" width="15.140625" bestFit="1" customWidth="1"/>
    <col min="326" max="326" width="13.140625" bestFit="1" customWidth="1"/>
    <col min="327" max="327" width="13.42578125" bestFit="1" customWidth="1"/>
    <col min="328" max="328" width="12.7109375" bestFit="1" customWidth="1"/>
    <col min="329" max="329" width="13.7109375" bestFit="1" customWidth="1"/>
    <col min="330" max="330" width="13.5703125" bestFit="1" customWidth="1"/>
    <col min="331" max="331" width="11.42578125" bestFit="1" customWidth="1"/>
    <col min="332" max="332" width="10.42578125" bestFit="1" customWidth="1"/>
    <col min="333" max="333" width="11.140625" bestFit="1" customWidth="1"/>
    <col min="334" max="334" width="12.28515625" bestFit="1" customWidth="1"/>
    <col min="335" max="335" width="13.140625" bestFit="1" customWidth="1"/>
    <col min="336" max="336" width="12.28515625" bestFit="1" customWidth="1"/>
    <col min="337" max="337" width="12" bestFit="1" customWidth="1"/>
    <col min="338" max="338" width="12.140625" bestFit="1" customWidth="1"/>
    <col min="339" max="339" width="10.42578125" bestFit="1" customWidth="1"/>
    <col min="340" max="340" width="9.28515625" bestFit="1" customWidth="1"/>
    <col min="341" max="341" width="12.140625" bestFit="1" customWidth="1"/>
    <col min="342" max="342" width="13.85546875" bestFit="1" customWidth="1"/>
    <col min="343" max="343" width="11.85546875" bestFit="1" customWidth="1"/>
    <col min="344" max="344" width="14.140625" bestFit="1" customWidth="1"/>
    <col min="345" max="345" width="11.28515625" bestFit="1" customWidth="1"/>
    <col min="346" max="346" width="17.28515625" bestFit="1" customWidth="1"/>
    <col min="347" max="347" width="15.28515625" bestFit="1" customWidth="1"/>
    <col min="348" max="348" width="8" bestFit="1" customWidth="1"/>
    <col min="349" max="349" width="11" bestFit="1" customWidth="1"/>
    <col min="350" max="350" width="12.28515625" bestFit="1" customWidth="1"/>
    <col min="351" max="351" width="15.7109375" bestFit="1" customWidth="1"/>
    <col min="352" max="352" width="17" bestFit="1" customWidth="1"/>
    <col min="353" max="353" width="16.42578125" bestFit="1" customWidth="1"/>
    <col min="354" max="354" width="15.5703125" bestFit="1" customWidth="1"/>
    <col min="355" max="355" width="12.28515625" bestFit="1" customWidth="1"/>
    <col min="356" max="356" width="13.85546875" bestFit="1" customWidth="1"/>
    <col min="357" max="357" width="12.28515625" bestFit="1" customWidth="1"/>
    <col min="358" max="358" width="15.85546875" bestFit="1" customWidth="1"/>
    <col min="359" max="359" width="13.42578125" bestFit="1" customWidth="1"/>
    <col min="360" max="361" width="13.5703125" bestFit="1" customWidth="1"/>
    <col min="362" max="362" width="9" bestFit="1" customWidth="1"/>
    <col min="363" max="363" width="11.7109375" bestFit="1" customWidth="1"/>
    <col min="364" max="364" width="13.28515625" bestFit="1" customWidth="1"/>
    <col min="365" max="365" width="10" bestFit="1" customWidth="1"/>
    <col min="366" max="366" width="11.85546875" bestFit="1" customWidth="1"/>
    <col min="367" max="367" width="9" bestFit="1" customWidth="1"/>
    <col min="368" max="368" width="12.42578125" bestFit="1" customWidth="1"/>
    <col min="369" max="369" width="11.42578125" bestFit="1" customWidth="1"/>
    <col min="370" max="370" width="8.7109375" bestFit="1" customWidth="1"/>
    <col min="371" max="371" width="13.85546875" bestFit="1" customWidth="1"/>
    <col min="372" max="372" width="10" bestFit="1" customWidth="1"/>
    <col min="373" max="373" width="14.5703125" bestFit="1" customWidth="1"/>
    <col min="374" max="374" width="10" bestFit="1" customWidth="1"/>
    <col min="375" max="375" width="11.5703125" bestFit="1" customWidth="1"/>
    <col min="376" max="376" width="10.42578125" bestFit="1" customWidth="1"/>
    <col min="377" max="377" width="10.85546875" bestFit="1" customWidth="1"/>
    <col min="378" max="378" width="11.85546875" bestFit="1" customWidth="1"/>
    <col min="379" max="379" width="9" bestFit="1" customWidth="1"/>
    <col min="380" max="380" width="10.28515625" bestFit="1" customWidth="1"/>
    <col min="381" max="381" width="12" bestFit="1" customWidth="1"/>
    <col min="382" max="382" width="15" bestFit="1" customWidth="1"/>
    <col min="383" max="383" width="16.7109375" bestFit="1" customWidth="1"/>
    <col min="384" max="384" width="15.85546875" bestFit="1" customWidth="1"/>
    <col min="385" max="385" width="16" bestFit="1" customWidth="1"/>
    <col min="386" max="386" width="15.5703125" bestFit="1" customWidth="1"/>
    <col min="387" max="387" width="12.42578125" bestFit="1" customWidth="1"/>
    <col min="388" max="388" width="11.28515625" bestFit="1" customWidth="1"/>
    <col min="389" max="389" width="9" bestFit="1" customWidth="1"/>
    <col min="390" max="390" width="10.85546875" bestFit="1" customWidth="1"/>
    <col min="391" max="391" width="9.7109375" bestFit="1" customWidth="1"/>
    <col min="392" max="392" width="12" bestFit="1" customWidth="1"/>
    <col min="393" max="393" width="11.85546875" bestFit="1" customWidth="1"/>
    <col min="394" max="394" width="10.140625" bestFit="1" customWidth="1"/>
    <col min="395" max="395" width="12.85546875" bestFit="1" customWidth="1"/>
    <col min="396" max="396" width="14.42578125" bestFit="1" customWidth="1"/>
    <col min="397" max="397" width="9.7109375" bestFit="1" customWidth="1"/>
    <col min="398" max="398" width="12.85546875" bestFit="1" customWidth="1"/>
    <col min="399" max="399" width="15.28515625" bestFit="1" customWidth="1"/>
    <col min="400" max="400" width="12.42578125" bestFit="1" customWidth="1"/>
    <col min="401" max="401" width="11.140625" bestFit="1" customWidth="1"/>
    <col min="402" max="402" width="18.28515625" bestFit="1" customWidth="1"/>
    <col min="403" max="403" width="11.5703125" bestFit="1" customWidth="1"/>
    <col min="404" max="404" width="13.42578125" bestFit="1" customWidth="1"/>
    <col min="405" max="405" width="10.7109375" bestFit="1" customWidth="1"/>
    <col min="406" max="407" width="13.28515625" bestFit="1" customWidth="1"/>
    <col min="408" max="408" width="14.85546875" bestFit="1" customWidth="1"/>
    <col min="409" max="409" width="10.42578125" bestFit="1" customWidth="1"/>
    <col min="410" max="410" width="10" bestFit="1" customWidth="1"/>
    <col min="411" max="411" width="15.7109375" bestFit="1" customWidth="1"/>
    <col min="412" max="412" width="16.140625" bestFit="1" customWidth="1"/>
    <col min="413" max="413" width="16.85546875" bestFit="1" customWidth="1"/>
    <col min="414" max="414" width="16.7109375" bestFit="1" customWidth="1"/>
    <col min="415" max="415" width="17.85546875" bestFit="1" customWidth="1"/>
    <col min="416" max="417" width="15.5703125" bestFit="1" customWidth="1"/>
    <col min="418" max="418" width="15.42578125" bestFit="1" customWidth="1"/>
    <col min="419" max="419" width="12.7109375" bestFit="1" customWidth="1"/>
    <col min="420" max="420" width="13.5703125" bestFit="1" customWidth="1"/>
    <col min="421" max="421" width="14.140625" bestFit="1" customWidth="1"/>
    <col min="422" max="422" width="13.7109375" bestFit="1" customWidth="1"/>
    <col min="423" max="423" width="12.85546875" bestFit="1" customWidth="1"/>
    <col min="424" max="424" width="14.5703125" bestFit="1" customWidth="1"/>
    <col min="425" max="426" width="13.42578125" bestFit="1" customWidth="1"/>
    <col min="427" max="427" width="9.42578125" bestFit="1" customWidth="1"/>
    <col min="428" max="428" width="12.28515625" bestFit="1" customWidth="1"/>
    <col min="429" max="429" width="9.28515625" bestFit="1" customWidth="1"/>
    <col min="430" max="430" width="10.7109375" bestFit="1" customWidth="1"/>
    <col min="431" max="431" width="12.7109375" bestFit="1" customWidth="1"/>
    <col min="432" max="432" width="12" bestFit="1" customWidth="1"/>
    <col min="433" max="433" width="15" bestFit="1" customWidth="1"/>
    <col min="434" max="434" width="15.28515625" bestFit="1" customWidth="1"/>
    <col min="435" max="435" width="13.140625" bestFit="1" customWidth="1"/>
    <col min="436" max="436" width="11.85546875" bestFit="1" customWidth="1"/>
    <col min="437" max="437" width="11.140625" bestFit="1" customWidth="1"/>
    <col min="438" max="438" width="12.28515625" bestFit="1" customWidth="1"/>
    <col min="439" max="439" width="9.7109375" bestFit="1" customWidth="1"/>
    <col min="440" max="440" width="15.5703125" bestFit="1" customWidth="1"/>
    <col min="441" max="441" width="13.42578125" bestFit="1" customWidth="1"/>
    <col min="442" max="442" width="13.5703125" bestFit="1" customWidth="1"/>
    <col min="443" max="443" width="15.7109375" bestFit="1" customWidth="1"/>
    <col min="444" max="444" width="18.42578125" bestFit="1" customWidth="1"/>
    <col min="445" max="445" width="12.85546875" bestFit="1" customWidth="1"/>
    <col min="446" max="446" width="13.85546875" bestFit="1" customWidth="1"/>
    <col min="447" max="447" width="14.42578125" bestFit="1" customWidth="1"/>
    <col min="448" max="448" width="15.28515625" bestFit="1" customWidth="1"/>
    <col min="449" max="449" width="12.5703125" bestFit="1" customWidth="1"/>
    <col min="450" max="450" width="14.42578125" bestFit="1" customWidth="1"/>
    <col min="451" max="451" width="16.7109375" bestFit="1" customWidth="1"/>
    <col min="452" max="452" width="14.140625" bestFit="1" customWidth="1"/>
    <col min="453" max="453" width="15.140625" bestFit="1" customWidth="1"/>
    <col min="454" max="454" width="16" bestFit="1" customWidth="1"/>
    <col min="455" max="455" width="14.7109375" bestFit="1" customWidth="1"/>
    <col min="456" max="456" width="10.7109375" bestFit="1" customWidth="1"/>
    <col min="457" max="457" width="9.7109375" bestFit="1" customWidth="1"/>
    <col min="458" max="458" width="10.28515625" bestFit="1" customWidth="1"/>
    <col min="459" max="459" width="15.28515625" bestFit="1" customWidth="1"/>
    <col min="460" max="460" width="11.42578125" bestFit="1" customWidth="1"/>
    <col min="461" max="461" width="9" bestFit="1" customWidth="1"/>
    <col min="462" max="462" width="13.140625" bestFit="1" customWidth="1"/>
    <col min="463" max="463" width="14.140625" bestFit="1" customWidth="1"/>
    <col min="464" max="464" width="12" bestFit="1" customWidth="1"/>
    <col min="465" max="465" width="16.28515625" bestFit="1" customWidth="1"/>
    <col min="466" max="466" width="9.85546875" bestFit="1" customWidth="1"/>
    <col min="467" max="467" width="11.140625" bestFit="1" customWidth="1"/>
    <col min="468" max="468" width="12.7109375" bestFit="1" customWidth="1"/>
    <col min="469" max="469" width="11" bestFit="1" customWidth="1"/>
    <col min="470" max="470" width="10.7109375" bestFit="1" customWidth="1"/>
    <col min="471" max="471" width="17.5703125" bestFit="1" customWidth="1"/>
    <col min="472" max="472" width="10.140625" bestFit="1" customWidth="1"/>
    <col min="473" max="473" width="13.42578125" bestFit="1" customWidth="1"/>
    <col min="474" max="474" width="15.28515625" bestFit="1" customWidth="1"/>
    <col min="475" max="475" width="13.140625" bestFit="1" customWidth="1"/>
    <col min="476" max="476" width="13.28515625" bestFit="1" customWidth="1"/>
    <col min="477" max="477" width="14.42578125" bestFit="1" customWidth="1"/>
    <col min="478" max="478" width="19.140625" bestFit="1" customWidth="1"/>
    <col min="479" max="479" width="17" bestFit="1" customWidth="1"/>
    <col min="480" max="480" width="18.85546875" bestFit="1" customWidth="1"/>
    <col min="481" max="481" width="13.28515625" bestFit="1" customWidth="1"/>
    <col min="482" max="482" width="12.85546875" bestFit="1" customWidth="1"/>
    <col min="483" max="483" width="13.7109375" bestFit="1" customWidth="1"/>
    <col min="484" max="484" width="14.28515625" bestFit="1" customWidth="1"/>
    <col min="485" max="485" width="11.85546875" bestFit="1" customWidth="1"/>
    <col min="486" max="486" width="13.85546875" bestFit="1" customWidth="1"/>
    <col min="487" max="487" width="14.42578125" bestFit="1" customWidth="1"/>
    <col min="488" max="488" width="10.85546875" bestFit="1" customWidth="1"/>
    <col min="489" max="489" width="15.28515625" bestFit="1" customWidth="1"/>
    <col min="490" max="490" width="14.42578125" bestFit="1" customWidth="1"/>
    <col min="491" max="491" width="13.85546875" bestFit="1" customWidth="1"/>
    <col min="492" max="492" width="11.7109375" bestFit="1" customWidth="1"/>
    <col min="493" max="493" width="13.28515625" bestFit="1" customWidth="1"/>
    <col min="494" max="494" width="12.5703125" bestFit="1" customWidth="1"/>
    <col min="495" max="495" width="15.28515625" bestFit="1" customWidth="1"/>
    <col min="496" max="496" width="15.5703125" bestFit="1" customWidth="1"/>
    <col min="497" max="497" width="18.140625" bestFit="1" customWidth="1"/>
    <col min="498" max="498" width="16" bestFit="1" customWidth="1"/>
    <col min="499" max="499" width="18.85546875" bestFit="1" customWidth="1"/>
    <col min="500" max="500" width="15.5703125" bestFit="1" customWidth="1"/>
    <col min="501" max="501" width="13.28515625" bestFit="1" customWidth="1"/>
    <col min="502" max="502" width="10.140625" bestFit="1" customWidth="1"/>
    <col min="503" max="503" width="10.28515625" bestFit="1" customWidth="1"/>
    <col min="504" max="504" width="11.5703125" bestFit="1" customWidth="1"/>
    <col min="505" max="505" width="17.28515625" bestFit="1" customWidth="1"/>
    <col min="506" max="506" width="13.42578125" bestFit="1" customWidth="1"/>
    <col min="507" max="507" width="13.85546875" bestFit="1" customWidth="1"/>
    <col min="508" max="508" width="12" bestFit="1" customWidth="1"/>
    <col min="509" max="509" width="13.5703125" bestFit="1" customWidth="1"/>
    <col min="510" max="510" width="13.28515625" bestFit="1" customWidth="1"/>
    <col min="511" max="511" width="18.85546875" bestFit="1" customWidth="1"/>
    <col min="512" max="512" width="13.85546875" bestFit="1" customWidth="1"/>
    <col min="513" max="513" width="17" bestFit="1" customWidth="1"/>
    <col min="514" max="514" width="16.5703125" bestFit="1" customWidth="1"/>
    <col min="515" max="515" width="14.7109375" bestFit="1" customWidth="1"/>
    <col min="516" max="516" width="15.5703125" bestFit="1" customWidth="1"/>
    <col min="517" max="517" width="16" bestFit="1" customWidth="1"/>
    <col min="518" max="518" width="13.5703125" bestFit="1" customWidth="1"/>
    <col min="519" max="519" width="15.5703125" bestFit="1" customWidth="1"/>
    <col min="520" max="520" width="15.140625" bestFit="1" customWidth="1"/>
    <col min="521" max="521" width="15.28515625" bestFit="1" customWidth="1"/>
    <col min="522" max="522" width="18.85546875" bestFit="1" customWidth="1"/>
    <col min="523" max="523" width="17.42578125" bestFit="1" customWidth="1"/>
    <col min="524" max="524" width="15.140625" bestFit="1" customWidth="1"/>
    <col min="525" max="525" width="13.28515625" bestFit="1" customWidth="1"/>
    <col min="526" max="526" width="11.42578125" bestFit="1" customWidth="1"/>
    <col min="527" max="527" width="14" bestFit="1" customWidth="1"/>
    <col min="528" max="528" width="15.42578125" bestFit="1" customWidth="1"/>
    <col min="529" max="529" width="12.140625" bestFit="1" customWidth="1"/>
    <col min="530" max="530" width="17" bestFit="1" customWidth="1"/>
    <col min="531" max="531" width="14" bestFit="1" customWidth="1"/>
    <col min="532" max="532" width="13.85546875" bestFit="1" customWidth="1"/>
    <col min="533" max="533" width="13.5703125" bestFit="1" customWidth="1"/>
    <col min="534" max="534" width="15.7109375" bestFit="1" customWidth="1"/>
    <col min="535" max="535" width="14" bestFit="1" customWidth="1"/>
    <col min="536" max="536" width="17" bestFit="1" customWidth="1"/>
    <col min="537" max="537" width="15" bestFit="1" customWidth="1"/>
    <col min="538" max="538" width="15.5703125" bestFit="1" customWidth="1"/>
    <col min="539" max="539" width="21.7109375" bestFit="1" customWidth="1"/>
    <col min="540" max="540" width="19.7109375" bestFit="1" customWidth="1"/>
    <col min="541" max="541" width="16" bestFit="1" customWidth="1"/>
    <col min="542" max="542" width="11.7109375" bestFit="1" customWidth="1"/>
    <col min="543" max="543" width="10.42578125" bestFit="1" customWidth="1"/>
    <col min="544" max="544" width="10" bestFit="1" customWidth="1"/>
    <col min="545" max="545" width="18" bestFit="1" customWidth="1"/>
    <col min="546" max="546" width="14.28515625" bestFit="1" customWidth="1"/>
    <col min="547" max="547" width="15.28515625" bestFit="1" customWidth="1"/>
    <col min="548" max="548" width="12.28515625" bestFit="1" customWidth="1"/>
    <col min="549" max="549" width="14.140625" bestFit="1" customWidth="1"/>
    <col min="550" max="550" width="13.5703125" bestFit="1" customWidth="1"/>
    <col min="551" max="551" width="11" bestFit="1" customWidth="1"/>
    <col min="552" max="552" width="15.42578125" bestFit="1" customWidth="1"/>
    <col min="553" max="553" width="12.85546875" bestFit="1" customWidth="1"/>
    <col min="554" max="554" width="15.7109375" bestFit="1" customWidth="1"/>
    <col min="555" max="555" width="14.42578125" bestFit="1" customWidth="1"/>
    <col min="556" max="556" width="13.28515625" bestFit="1" customWidth="1"/>
    <col min="557" max="557" width="12.28515625" bestFit="1" customWidth="1"/>
    <col min="558" max="558" width="13.7109375" bestFit="1" customWidth="1"/>
    <col min="559" max="559" width="11.5703125" bestFit="1" customWidth="1"/>
    <col min="560" max="560" width="13.85546875" bestFit="1" customWidth="1"/>
    <col min="561" max="561" width="11.5703125" bestFit="1" customWidth="1"/>
    <col min="562" max="562" width="12.42578125" bestFit="1" customWidth="1"/>
    <col min="563" max="563" width="9.85546875" bestFit="1" customWidth="1"/>
    <col min="564" max="564" width="10.5703125" bestFit="1" customWidth="1"/>
    <col min="565" max="565" width="13.5703125" bestFit="1" customWidth="1"/>
    <col min="566" max="566" width="10.140625" bestFit="1" customWidth="1"/>
    <col min="567" max="567" width="13.7109375" bestFit="1" customWidth="1"/>
    <col min="568" max="568" width="11.42578125" bestFit="1" customWidth="1"/>
    <col min="569" max="569" width="15.140625" bestFit="1" customWidth="1"/>
    <col min="570" max="570" width="13.28515625" bestFit="1" customWidth="1"/>
    <col min="571" max="571" width="14.28515625" bestFit="1" customWidth="1"/>
    <col min="572" max="572" width="15.140625" bestFit="1" customWidth="1"/>
    <col min="573" max="573" width="14.42578125" bestFit="1" customWidth="1"/>
    <col min="574" max="574" width="14.85546875" bestFit="1" customWidth="1"/>
    <col min="575" max="575" width="12.42578125" bestFit="1" customWidth="1"/>
    <col min="576" max="576" width="13.140625" bestFit="1" customWidth="1"/>
    <col min="577" max="577" width="16.5703125" bestFit="1" customWidth="1"/>
    <col min="578" max="578" width="11.7109375" bestFit="1" customWidth="1"/>
    <col min="579" max="579" width="13.5703125" bestFit="1" customWidth="1"/>
    <col min="580" max="580" width="12.5703125" bestFit="1" customWidth="1"/>
    <col min="581" max="581" width="10" bestFit="1" customWidth="1"/>
    <col min="582" max="582" width="14.42578125" bestFit="1" customWidth="1"/>
    <col min="583" max="583" width="9.85546875" bestFit="1" customWidth="1"/>
    <col min="584" max="584" width="14.7109375" bestFit="1" customWidth="1"/>
    <col min="585" max="585" width="13.85546875" bestFit="1" customWidth="1"/>
    <col min="586" max="587" width="15.5703125" bestFit="1" customWidth="1"/>
    <col min="588" max="588" width="16" bestFit="1" customWidth="1"/>
    <col min="589" max="589" width="15" bestFit="1" customWidth="1"/>
    <col min="590" max="590" width="10" bestFit="1" customWidth="1"/>
    <col min="591" max="591" width="13.28515625" bestFit="1" customWidth="1"/>
    <col min="592" max="592" width="12.140625" bestFit="1" customWidth="1"/>
    <col min="593" max="593" width="12.5703125" bestFit="1" customWidth="1"/>
    <col min="594" max="594" width="12.28515625" bestFit="1" customWidth="1"/>
    <col min="595" max="595" width="9.7109375" bestFit="1" customWidth="1"/>
    <col min="596" max="596" width="16.5703125" bestFit="1" customWidth="1"/>
    <col min="597" max="597" width="12.5703125" bestFit="1" customWidth="1"/>
    <col min="598" max="598" width="13.140625" bestFit="1" customWidth="1"/>
    <col min="599" max="599" width="16.7109375" bestFit="1" customWidth="1"/>
    <col min="600" max="600" width="13.140625" bestFit="1" customWidth="1"/>
    <col min="601" max="601" width="12.5703125" bestFit="1" customWidth="1"/>
    <col min="602" max="602" width="12.7109375" bestFit="1" customWidth="1"/>
    <col min="603" max="603" width="12.140625" bestFit="1" customWidth="1"/>
    <col min="604" max="604" width="14.42578125" bestFit="1" customWidth="1"/>
    <col min="605" max="605" width="11.42578125" bestFit="1" customWidth="1"/>
    <col min="606" max="606" width="13.7109375" bestFit="1" customWidth="1"/>
    <col min="607" max="607" width="15.140625" bestFit="1" customWidth="1"/>
    <col min="608" max="608" width="14.140625" bestFit="1" customWidth="1"/>
    <col min="609" max="609" width="15.7109375" bestFit="1" customWidth="1"/>
    <col min="610" max="610" width="11.7109375" bestFit="1" customWidth="1"/>
    <col min="611" max="611" width="15.140625" bestFit="1" customWidth="1"/>
    <col min="612" max="612" width="14.7109375" bestFit="1" customWidth="1"/>
    <col min="613" max="613" width="15.85546875" bestFit="1" customWidth="1"/>
    <col min="614" max="614" width="12" bestFit="1" customWidth="1"/>
    <col min="615" max="615" width="11.28515625" bestFit="1" customWidth="1"/>
    <col min="616" max="616" width="11.5703125" bestFit="1" customWidth="1"/>
    <col min="617" max="617" width="14.42578125" bestFit="1" customWidth="1"/>
    <col min="618" max="618" width="9.5703125" bestFit="1" customWidth="1"/>
    <col min="619" max="619" width="11.28515625" bestFit="1" customWidth="1"/>
    <col min="620" max="620" width="15.140625" bestFit="1" customWidth="1"/>
    <col min="621" max="621" width="12" bestFit="1" customWidth="1"/>
    <col min="622" max="622" width="10" bestFit="1" customWidth="1"/>
    <col min="623" max="623" width="12.42578125" bestFit="1" customWidth="1"/>
    <col min="624" max="624" width="9.5703125" bestFit="1" customWidth="1"/>
    <col min="625" max="625" width="12.7109375" bestFit="1" customWidth="1"/>
    <col min="626" max="626" width="14.28515625" bestFit="1" customWidth="1"/>
    <col min="627" max="627" width="14.140625" bestFit="1" customWidth="1"/>
    <col min="628" max="628" width="13.85546875" bestFit="1" customWidth="1"/>
    <col min="629" max="629" width="14.85546875" bestFit="1" customWidth="1"/>
    <col min="630" max="632" width="12" bestFit="1" customWidth="1"/>
    <col min="633" max="633" width="14.140625" bestFit="1" customWidth="1"/>
    <col min="634" max="634" width="14.85546875" bestFit="1" customWidth="1"/>
    <col min="635" max="635" width="12.28515625" bestFit="1" customWidth="1"/>
    <col min="636" max="636" width="10" bestFit="1" customWidth="1"/>
    <col min="637" max="637" width="16.28515625" bestFit="1" customWidth="1"/>
    <col min="638" max="638" width="10.7109375" bestFit="1" customWidth="1"/>
    <col min="639" max="639" width="15" bestFit="1" customWidth="1"/>
    <col min="641" max="641" width="10" bestFit="1" customWidth="1"/>
    <col min="642" max="642" width="14.42578125" bestFit="1" customWidth="1"/>
    <col min="643" max="643" width="11.5703125" bestFit="1" customWidth="1"/>
    <col min="644" max="645" width="17" bestFit="1" customWidth="1"/>
    <col min="646" max="646" width="9.7109375" bestFit="1" customWidth="1"/>
    <col min="647" max="647" width="11.42578125" bestFit="1" customWidth="1"/>
    <col min="648" max="648" width="13.28515625" bestFit="1" customWidth="1"/>
    <col min="649" max="649" width="12.85546875" bestFit="1" customWidth="1"/>
    <col min="650" max="650" width="13.5703125" bestFit="1" customWidth="1"/>
    <col min="651" max="651" width="10.7109375" bestFit="1" customWidth="1"/>
    <col min="652" max="652" width="18.28515625" bestFit="1" customWidth="1"/>
    <col min="653" max="653" width="15.42578125" bestFit="1" customWidth="1"/>
    <col min="654" max="654" width="14.28515625" bestFit="1" customWidth="1"/>
    <col min="655" max="655" width="12" bestFit="1" customWidth="1"/>
    <col min="656" max="656" width="11.28515625" bestFit="1" customWidth="1"/>
    <col min="657" max="657" width="12.140625" bestFit="1" customWidth="1"/>
    <col min="658" max="658" width="15.42578125" bestFit="1" customWidth="1"/>
    <col min="659" max="659" width="15.140625" bestFit="1" customWidth="1"/>
    <col min="660" max="660" width="10.42578125" bestFit="1" customWidth="1"/>
    <col min="661" max="661" width="12" bestFit="1" customWidth="1"/>
    <col min="662" max="662" width="11.85546875" bestFit="1" customWidth="1"/>
    <col min="663" max="663" width="12.28515625" bestFit="1" customWidth="1"/>
    <col min="664" max="664" width="10.85546875" bestFit="1" customWidth="1"/>
    <col min="665" max="665" width="12.42578125" bestFit="1" customWidth="1"/>
    <col min="666" max="666" width="11.5703125" bestFit="1" customWidth="1"/>
    <col min="667" max="667" width="16.140625" bestFit="1" customWidth="1"/>
    <col min="668" max="668" width="12.5703125" bestFit="1" customWidth="1"/>
    <col min="669" max="669" width="16.42578125" bestFit="1" customWidth="1"/>
    <col min="670" max="670" width="11.140625" bestFit="1" customWidth="1"/>
    <col min="671" max="671" width="14.85546875" bestFit="1" customWidth="1"/>
    <col min="672" max="672" width="11.85546875" bestFit="1" customWidth="1"/>
    <col min="673" max="673" width="12" bestFit="1" customWidth="1"/>
    <col min="674" max="674" width="15" bestFit="1" customWidth="1"/>
    <col min="675" max="675" width="14.7109375" bestFit="1" customWidth="1"/>
    <col min="676" max="676" width="14.28515625" bestFit="1" customWidth="1"/>
    <col min="677" max="677" width="14.140625" bestFit="1" customWidth="1"/>
    <col min="678" max="678" width="13.42578125" bestFit="1" customWidth="1"/>
    <col min="679" max="679" width="12.85546875" bestFit="1" customWidth="1"/>
    <col min="680" max="680" width="12.7109375" bestFit="1" customWidth="1"/>
    <col min="681" max="681" width="14.28515625" bestFit="1" customWidth="1"/>
    <col min="682" max="682" width="14.42578125" bestFit="1" customWidth="1"/>
    <col min="683" max="683" width="14.85546875" bestFit="1" customWidth="1"/>
    <col min="685" max="686" width="12.140625" bestFit="1" customWidth="1"/>
    <col min="687" max="687" width="12.42578125" bestFit="1" customWidth="1"/>
    <col min="688" max="688" width="12.28515625" bestFit="1" customWidth="1"/>
    <col min="689" max="689" width="15.7109375" bestFit="1" customWidth="1"/>
    <col min="690" max="690" width="15.42578125" bestFit="1" customWidth="1"/>
    <col min="691" max="691" width="16.5703125" bestFit="1" customWidth="1"/>
    <col min="692" max="692" width="18" bestFit="1" customWidth="1"/>
    <col min="693" max="693" width="12.28515625" bestFit="1" customWidth="1"/>
    <col min="694" max="694" width="14.85546875" bestFit="1" customWidth="1"/>
    <col min="695" max="695" width="13.42578125" bestFit="1" customWidth="1"/>
    <col min="696" max="696" width="17" bestFit="1" customWidth="1"/>
    <col min="697" max="697" width="13.42578125" bestFit="1" customWidth="1"/>
    <col min="698" max="698" width="12.42578125" bestFit="1" customWidth="1"/>
    <col min="699" max="699" width="18.42578125" bestFit="1" customWidth="1"/>
    <col min="700" max="700" width="15.7109375" bestFit="1" customWidth="1"/>
    <col min="701" max="701" width="14.140625" bestFit="1" customWidth="1"/>
    <col min="702" max="702" width="10.140625" bestFit="1" customWidth="1"/>
    <col min="703" max="703" width="13.42578125" bestFit="1" customWidth="1"/>
    <col min="704" max="704" width="11.28515625" bestFit="1" customWidth="1"/>
    <col min="705" max="705" width="9" bestFit="1" customWidth="1"/>
    <col min="706" max="706" width="12.42578125" bestFit="1" customWidth="1"/>
    <col min="707" max="707" width="13.5703125" bestFit="1" customWidth="1"/>
    <col min="708" max="708" width="18.28515625" bestFit="1" customWidth="1"/>
    <col min="709" max="709" width="12" bestFit="1" customWidth="1"/>
    <col min="710" max="710" width="14.140625" bestFit="1" customWidth="1"/>
    <col min="711" max="711" width="15.42578125" bestFit="1" customWidth="1"/>
    <col min="712" max="712" width="14.42578125" bestFit="1" customWidth="1"/>
    <col min="713" max="713" width="13.5703125" bestFit="1" customWidth="1"/>
    <col min="714" max="714" width="14.28515625" bestFit="1" customWidth="1"/>
    <col min="715" max="715" width="15.85546875" bestFit="1" customWidth="1"/>
    <col min="716" max="716" width="18.42578125" bestFit="1" customWidth="1"/>
    <col min="717" max="717" width="12.7109375" bestFit="1" customWidth="1"/>
    <col min="718" max="718" width="14.5703125" bestFit="1" customWidth="1"/>
    <col min="719" max="719" width="11.42578125" bestFit="1" customWidth="1"/>
    <col min="720" max="720" width="13.28515625" bestFit="1" customWidth="1"/>
    <col min="721" max="721" width="14.5703125" bestFit="1" customWidth="1"/>
    <col min="722" max="722" width="14" bestFit="1" customWidth="1"/>
    <col min="723" max="723" width="17.5703125" bestFit="1" customWidth="1"/>
    <col min="724" max="724" width="14.140625" bestFit="1" customWidth="1"/>
    <col min="725" max="725" width="13.5703125" bestFit="1" customWidth="1"/>
    <col min="726" max="726" width="14.5703125" bestFit="1" customWidth="1"/>
    <col min="727" max="727" width="15.85546875" bestFit="1" customWidth="1"/>
    <col min="728" max="728" width="12.140625" bestFit="1" customWidth="1"/>
    <col min="729" max="729" width="16.5703125" bestFit="1" customWidth="1"/>
    <col min="730" max="730" width="13.28515625" bestFit="1" customWidth="1"/>
    <col min="731" max="731" width="13.5703125" bestFit="1" customWidth="1"/>
    <col min="732" max="732" width="11" bestFit="1" customWidth="1"/>
    <col min="733" max="733" width="15.7109375" bestFit="1" customWidth="1"/>
    <col min="734" max="734" width="12.28515625" bestFit="1" customWidth="1"/>
    <col min="735" max="735" width="11.5703125" bestFit="1" customWidth="1"/>
    <col min="736" max="736" width="10.7109375" bestFit="1" customWidth="1"/>
    <col min="737" max="737" width="13.5703125" bestFit="1" customWidth="1"/>
    <col min="738" max="738" width="11.140625" bestFit="1" customWidth="1"/>
    <col min="739" max="739" width="12.5703125" bestFit="1" customWidth="1"/>
    <col min="740" max="740" width="13.85546875" bestFit="1" customWidth="1"/>
    <col min="741" max="741" width="18.28515625" bestFit="1" customWidth="1"/>
    <col min="742" max="742" width="12.5703125" bestFit="1" customWidth="1"/>
    <col min="743" max="743" width="11.28515625" bestFit="1" customWidth="1"/>
    <col min="744" max="744" width="12.5703125" bestFit="1" customWidth="1"/>
    <col min="745" max="745" width="14.140625" bestFit="1" customWidth="1"/>
    <col min="746" max="746" width="13.42578125" bestFit="1" customWidth="1"/>
    <col min="747" max="747" width="10.5703125" bestFit="1" customWidth="1"/>
    <col min="748" max="748" width="15.140625" bestFit="1" customWidth="1"/>
    <col min="749" max="749" width="12" bestFit="1" customWidth="1"/>
    <col min="750" max="750" width="13.28515625" bestFit="1" customWidth="1"/>
    <col min="751" max="751" width="12.28515625" bestFit="1" customWidth="1"/>
    <col min="752" max="752" width="8.42578125" bestFit="1" customWidth="1"/>
    <col min="753" max="753" width="13.85546875" bestFit="1" customWidth="1"/>
    <col min="754" max="754" width="12" bestFit="1" customWidth="1"/>
    <col min="755" max="755" width="12.140625" bestFit="1" customWidth="1"/>
    <col min="756" max="756" width="12.5703125" bestFit="1" customWidth="1"/>
    <col min="757" max="757" width="13.7109375" bestFit="1" customWidth="1"/>
    <col min="758" max="758" width="18.140625" bestFit="1" customWidth="1"/>
    <col min="759" max="759" width="16" bestFit="1" customWidth="1"/>
    <col min="760" max="760" width="15.140625" bestFit="1" customWidth="1"/>
    <col min="761" max="761" width="11.140625" bestFit="1" customWidth="1"/>
    <col min="762" max="762" width="15.85546875" bestFit="1" customWidth="1"/>
    <col min="763" max="763" width="14.85546875" bestFit="1" customWidth="1"/>
    <col min="764" max="765" width="14.7109375" bestFit="1" customWidth="1"/>
    <col min="766" max="766" width="11.7109375" bestFit="1" customWidth="1"/>
    <col min="767" max="767" width="17.5703125" bestFit="1" customWidth="1"/>
    <col min="768" max="768" width="13.28515625" bestFit="1" customWidth="1"/>
    <col min="769" max="769" width="14.28515625" bestFit="1" customWidth="1"/>
    <col min="770" max="770" width="11.85546875" bestFit="1" customWidth="1"/>
    <col min="771" max="771" width="14.140625" bestFit="1" customWidth="1"/>
    <col min="772" max="772" width="14" bestFit="1" customWidth="1"/>
    <col min="773" max="773" width="15.28515625" bestFit="1" customWidth="1"/>
    <col min="774" max="774" width="17.7109375" bestFit="1" customWidth="1"/>
    <col min="775" max="775" width="7.28515625" bestFit="1" customWidth="1"/>
    <col min="776" max="776" width="12" bestFit="1" customWidth="1"/>
  </cols>
  <sheetData>
    <row r="3" spans="1:4" x14ac:dyDescent="0.25">
      <c r="A3" s="23" t="s">
        <v>2598</v>
      </c>
      <c r="B3" s="23" t="s">
        <v>2599</v>
      </c>
    </row>
    <row r="4" spans="1:4" x14ac:dyDescent="0.25">
      <c r="A4" s="23" t="s">
        <v>2595</v>
      </c>
      <c r="B4" t="s">
        <v>11</v>
      </c>
      <c r="C4" t="s">
        <v>19</v>
      </c>
      <c r="D4" t="s">
        <v>14</v>
      </c>
    </row>
    <row r="5" spans="1:4" x14ac:dyDescent="0.25">
      <c r="A5" s="24">
        <v>2019</v>
      </c>
      <c r="B5" s="25">
        <v>6988.2198999999973</v>
      </c>
      <c r="C5" s="25">
        <v>35061.229199999972</v>
      </c>
      <c r="D5" s="25">
        <v>39773.991999999984</v>
      </c>
    </row>
    <row r="6" spans="1:4" x14ac:dyDescent="0.25">
      <c r="A6" s="24">
        <v>2020</v>
      </c>
      <c r="B6" s="25">
        <v>3018.3913000000025</v>
      </c>
      <c r="C6" s="25">
        <v>39736.016899999959</v>
      </c>
      <c r="D6" s="25">
        <v>50684.256600000059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E427-6FED-4FE7-99D8-9EF25458CD7E}">
  <dimension ref="A3:B15"/>
  <sheetViews>
    <sheetView workbookViewId="0">
      <selection activeCell="M10" sqref="M10"/>
    </sheetView>
  </sheetViews>
  <sheetFormatPr defaultRowHeight="15" x14ac:dyDescent="0.25"/>
  <cols>
    <col min="1" max="1" width="13.140625" bestFit="1" customWidth="1"/>
    <col min="2" max="2" width="12.140625" bestFit="1" customWidth="1"/>
  </cols>
  <sheetData>
    <row r="3" spans="1:2" x14ac:dyDescent="0.25">
      <c r="A3" s="23" t="s">
        <v>2595</v>
      </c>
      <c r="B3" t="s">
        <v>2597</v>
      </c>
    </row>
    <row r="4" spans="1:2" x14ac:dyDescent="0.25">
      <c r="A4" s="24">
        <v>1</v>
      </c>
      <c r="B4" s="25">
        <v>73379.805000000022</v>
      </c>
    </row>
    <row r="5" spans="1:2" x14ac:dyDescent="0.25">
      <c r="A5" s="24">
        <v>2</v>
      </c>
      <c r="B5" s="25">
        <v>72046.948399999979</v>
      </c>
    </row>
    <row r="6" spans="1:2" x14ac:dyDescent="0.25">
      <c r="A6" s="24">
        <v>3</v>
      </c>
      <c r="B6" s="25">
        <v>115945.22779999989</v>
      </c>
    </row>
    <row r="7" spans="1:2" x14ac:dyDescent="0.25">
      <c r="A7" s="24">
        <v>4</v>
      </c>
      <c r="B7" s="25">
        <v>89557.575099999929</v>
      </c>
    </row>
    <row r="8" spans="1:2" x14ac:dyDescent="0.25">
      <c r="A8" s="24">
        <v>5</v>
      </c>
      <c r="B8" s="25">
        <v>117737.8382</v>
      </c>
    </row>
    <row r="9" spans="1:2" x14ac:dyDescent="0.25">
      <c r="A9" s="24">
        <v>6</v>
      </c>
      <c r="B9" s="25">
        <v>109587.25970000004</v>
      </c>
    </row>
    <row r="10" spans="1:2" x14ac:dyDescent="0.25">
      <c r="A10" s="24">
        <v>7</v>
      </c>
      <c r="B10" s="25">
        <v>99339.378999999899</v>
      </c>
    </row>
    <row r="11" spans="1:2" x14ac:dyDescent="0.25">
      <c r="A11" s="24">
        <v>8</v>
      </c>
      <c r="B11" s="25">
        <v>108454.26230000002</v>
      </c>
    </row>
    <row r="12" spans="1:2" x14ac:dyDescent="0.25">
      <c r="A12" s="24">
        <v>9</v>
      </c>
      <c r="B12" s="25">
        <v>193213.67690000005</v>
      </c>
    </row>
    <row r="13" spans="1:2" x14ac:dyDescent="0.25">
      <c r="A13" s="24">
        <v>10</v>
      </c>
      <c r="B13" s="25">
        <v>131584.66819999996</v>
      </c>
    </row>
    <row r="14" spans="1:2" x14ac:dyDescent="0.25">
      <c r="A14" s="24">
        <v>11</v>
      </c>
      <c r="B14" s="25">
        <v>210372.79079999993</v>
      </c>
    </row>
    <row r="15" spans="1:2" x14ac:dyDescent="0.25">
      <c r="A15" s="24">
        <v>12</v>
      </c>
      <c r="B15" s="25">
        <v>244584.8917999999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A7FF-3181-4950-8CC2-D00EA5A0DA62}">
  <dimension ref="A3:F776"/>
  <sheetViews>
    <sheetView workbookViewId="0">
      <selection activeCell="N23" sqref="N23"/>
    </sheetView>
  </sheetViews>
  <sheetFormatPr defaultRowHeight="15" x14ac:dyDescent="0.25"/>
  <cols>
    <col min="1" max="1" width="22.7109375" bestFit="1" customWidth="1"/>
    <col min="2" max="2" width="12.5703125" bestFit="1" customWidth="1"/>
    <col min="5" max="5" width="14.140625" bestFit="1" customWidth="1"/>
    <col min="6" max="6" width="10" bestFit="1" customWidth="1"/>
  </cols>
  <sheetData>
    <row r="3" spans="1:6" x14ac:dyDescent="0.25">
      <c r="A3" s="23" t="s">
        <v>2595</v>
      </c>
      <c r="B3" t="s">
        <v>2598</v>
      </c>
    </row>
    <row r="4" spans="1:6" x14ac:dyDescent="0.25">
      <c r="A4" s="24" t="s">
        <v>1675</v>
      </c>
      <c r="B4" s="25">
        <v>8764.9483</v>
      </c>
      <c r="E4" t="str">
        <f>A4</f>
        <v>Tamara Chand</v>
      </c>
      <c r="F4">
        <f>B4</f>
        <v>8764.9483</v>
      </c>
    </row>
    <row r="5" spans="1:6" x14ac:dyDescent="0.25">
      <c r="A5" s="24" t="s">
        <v>525</v>
      </c>
      <c r="B5" s="25">
        <v>6976.0959000000012</v>
      </c>
      <c r="E5" t="str">
        <f t="shared" ref="E5:E8" si="0">A5</f>
        <v>Raymond Buch</v>
      </c>
      <c r="F5">
        <f t="shared" ref="F5:F8" si="1">B5</f>
        <v>6976.0959000000012</v>
      </c>
    </row>
    <row r="6" spans="1:6" x14ac:dyDescent="0.25">
      <c r="A6" s="24" t="s">
        <v>1112</v>
      </c>
      <c r="B6" s="25">
        <v>5174.3968000000004</v>
      </c>
      <c r="E6" t="str">
        <f t="shared" si="0"/>
        <v>Hunter Lopez</v>
      </c>
      <c r="F6">
        <f t="shared" si="1"/>
        <v>5174.3968000000004</v>
      </c>
    </row>
    <row r="7" spans="1:6" x14ac:dyDescent="0.25">
      <c r="A7" s="24" t="s">
        <v>185</v>
      </c>
      <c r="B7" s="25">
        <v>5088.9447999999993</v>
      </c>
      <c r="E7" t="str">
        <f t="shared" si="0"/>
        <v>Adrian Barton</v>
      </c>
      <c r="F7">
        <f t="shared" si="1"/>
        <v>5088.9447999999993</v>
      </c>
    </row>
    <row r="8" spans="1:6" x14ac:dyDescent="0.25">
      <c r="A8" s="24" t="s">
        <v>1466</v>
      </c>
      <c r="B8" s="25">
        <v>4523.3625000000011</v>
      </c>
      <c r="E8" t="str">
        <f t="shared" si="0"/>
        <v>Tom Ashbrook</v>
      </c>
      <c r="F8">
        <f t="shared" si="1"/>
        <v>4523.3625000000011</v>
      </c>
    </row>
    <row r="9" spans="1:6" x14ac:dyDescent="0.25">
      <c r="A9" s="24" t="s">
        <v>1666</v>
      </c>
      <c r="B9" s="25">
        <v>2617.2153999999996</v>
      </c>
    </row>
    <row r="10" spans="1:6" x14ac:dyDescent="0.25">
      <c r="A10" s="24" t="s">
        <v>1683</v>
      </c>
      <c r="B10" s="25">
        <v>2549.7343999999998</v>
      </c>
    </row>
    <row r="11" spans="1:6" x14ac:dyDescent="0.25">
      <c r="A11" s="24" t="s">
        <v>187</v>
      </c>
      <c r="B11" s="25">
        <v>2436.9524999999994</v>
      </c>
    </row>
    <row r="12" spans="1:6" x14ac:dyDescent="0.25">
      <c r="A12" s="24" t="s">
        <v>640</v>
      </c>
      <c r="B12" s="25">
        <v>2405.3645000000001</v>
      </c>
    </row>
    <row r="13" spans="1:6" x14ac:dyDescent="0.25">
      <c r="A13" s="24" t="s">
        <v>302</v>
      </c>
      <c r="B13" s="25">
        <v>2318.7098999999998</v>
      </c>
    </row>
    <row r="14" spans="1:6" x14ac:dyDescent="0.25">
      <c r="A14" s="24" t="s">
        <v>900</v>
      </c>
      <c r="B14" s="25">
        <v>2177.0492999999997</v>
      </c>
    </row>
    <row r="15" spans="1:6" x14ac:dyDescent="0.25">
      <c r="A15" s="24" t="s">
        <v>1378</v>
      </c>
      <c r="B15" s="25">
        <v>2146.9635000000003</v>
      </c>
    </row>
    <row r="16" spans="1:6" x14ac:dyDescent="0.25">
      <c r="A16" s="24" t="s">
        <v>1597</v>
      </c>
      <c r="B16" s="25">
        <v>2084.5099999999998</v>
      </c>
    </row>
    <row r="17" spans="1:2" x14ac:dyDescent="0.25">
      <c r="A17" s="24" t="s">
        <v>410</v>
      </c>
      <c r="B17" s="25">
        <v>2045.8747000000001</v>
      </c>
    </row>
    <row r="18" spans="1:2" x14ac:dyDescent="0.25">
      <c r="A18" s="24" t="s">
        <v>646</v>
      </c>
      <c r="B18" s="25">
        <v>2024.95</v>
      </c>
    </row>
    <row r="19" spans="1:2" x14ac:dyDescent="0.25">
      <c r="A19" s="24" t="s">
        <v>1659</v>
      </c>
      <c r="B19" s="25">
        <v>1936.1523999999999</v>
      </c>
    </row>
    <row r="20" spans="1:2" x14ac:dyDescent="0.25">
      <c r="A20" s="24" t="s">
        <v>2103</v>
      </c>
      <c r="B20" s="25">
        <v>1866.9279000000001</v>
      </c>
    </row>
    <row r="21" spans="1:2" x14ac:dyDescent="0.25">
      <c r="A21" s="24" t="s">
        <v>546</v>
      </c>
      <c r="B21" s="25">
        <v>1857.8401999999999</v>
      </c>
    </row>
    <row r="22" spans="1:2" x14ac:dyDescent="0.25">
      <c r="A22" s="24" t="s">
        <v>892</v>
      </c>
      <c r="B22" s="25">
        <v>1725.7945</v>
      </c>
    </row>
    <row r="23" spans="1:2" x14ac:dyDescent="0.25">
      <c r="A23" s="24" t="s">
        <v>905</v>
      </c>
      <c r="B23" s="25">
        <v>1711.8893000000003</v>
      </c>
    </row>
    <row r="24" spans="1:2" x14ac:dyDescent="0.25">
      <c r="A24" s="24" t="s">
        <v>2269</v>
      </c>
      <c r="B24" s="25">
        <v>1660.8355000000004</v>
      </c>
    </row>
    <row r="25" spans="1:2" x14ac:dyDescent="0.25">
      <c r="A25" s="24" t="s">
        <v>1219</v>
      </c>
      <c r="B25" s="25">
        <v>1610.1964</v>
      </c>
    </row>
    <row r="26" spans="1:2" x14ac:dyDescent="0.25">
      <c r="A26" s="24" t="s">
        <v>1026</v>
      </c>
      <c r="B26" s="25">
        <v>1610.0020000000002</v>
      </c>
    </row>
    <row r="27" spans="1:2" x14ac:dyDescent="0.25">
      <c r="A27" s="24" t="s">
        <v>379</v>
      </c>
      <c r="B27" s="25">
        <v>1577.6134000000002</v>
      </c>
    </row>
    <row r="28" spans="1:2" x14ac:dyDescent="0.25">
      <c r="A28" s="24" t="s">
        <v>63</v>
      </c>
      <c r="B28" s="25">
        <v>1576.6745999999998</v>
      </c>
    </row>
    <row r="29" spans="1:2" x14ac:dyDescent="0.25">
      <c r="A29" s="24" t="s">
        <v>2237</v>
      </c>
      <c r="B29" s="25">
        <v>1524.1125000000002</v>
      </c>
    </row>
    <row r="30" spans="1:2" x14ac:dyDescent="0.25">
      <c r="A30" s="24" t="s">
        <v>98</v>
      </c>
      <c r="B30" s="25">
        <v>1487.7739000000001</v>
      </c>
    </row>
    <row r="31" spans="1:2" x14ac:dyDescent="0.25">
      <c r="A31" s="24" t="s">
        <v>1339</v>
      </c>
      <c r="B31" s="25">
        <v>1455.8290999999997</v>
      </c>
    </row>
    <row r="32" spans="1:2" x14ac:dyDescent="0.25">
      <c r="A32" s="24" t="s">
        <v>1568</v>
      </c>
      <c r="B32" s="25">
        <v>1389.3305999999998</v>
      </c>
    </row>
    <row r="33" spans="1:2" x14ac:dyDescent="0.25">
      <c r="A33" s="24" t="s">
        <v>705</v>
      </c>
      <c r="B33" s="25">
        <v>1318.9998999999998</v>
      </c>
    </row>
    <row r="34" spans="1:2" x14ac:dyDescent="0.25">
      <c r="A34" s="24" t="s">
        <v>1081</v>
      </c>
      <c r="B34" s="25">
        <v>1312.5114000000001</v>
      </c>
    </row>
    <row r="35" spans="1:2" x14ac:dyDescent="0.25">
      <c r="A35" s="24" t="s">
        <v>1189</v>
      </c>
      <c r="B35" s="25">
        <v>1271.0854000000002</v>
      </c>
    </row>
    <row r="36" spans="1:2" x14ac:dyDescent="0.25">
      <c r="A36" s="24" t="s">
        <v>1614</v>
      </c>
      <c r="B36" s="25">
        <v>1257.5117</v>
      </c>
    </row>
    <row r="37" spans="1:2" x14ac:dyDescent="0.25">
      <c r="A37" s="24" t="s">
        <v>800</v>
      </c>
      <c r="B37" s="25">
        <v>1243.3998999999999</v>
      </c>
    </row>
    <row r="38" spans="1:2" x14ac:dyDescent="0.25">
      <c r="A38" s="24" t="s">
        <v>2276</v>
      </c>
      <c r="B38" s="25">
        <v>1218.0071</v>
      </c>
    </row>
    <row r="39" spans="1:2" x14ac:dyDescent="0.25">
      <c r="A39" s="24" t="s">
        <v>485</v>
      </c>
      <c r="B39" s="25">
        <v>1213.2201000000002</v>
      </c>
    </row>
    <row r="40" spans="1:2" x14ac:dyDescent="0.25">
      <c r="A40" s="24" t="s">
        <v>1731</v>
      </c>
      <c r="B40" s="25">
        <v>1181.6338000000001</v>
      </c>
    </row>
    <row r="41" spans="1:2" x14ac:dyDescent="0.25">
      <c r="A41" s="24" t="s">
        <v>148</v>
      </c>
      <c r="B41" s="25">
        <v>1179.8412000000001</v>
      </c>
    </row>
    <row r="42" spans="1:2" x14ac:dyDescent="0.25">
      <c r="A42" s="24" t="s">
        <v>414</v>
      </c>
      <c r="B42" s="25">
        <v>1164.6312</v>
      </c>
    </row>
    <row r="43" spans="1:2" x14ac:dyDescent="0.25">
      <c r="A43" s="24" t="s">
        <v>382</v>
      </c>
      <c r="B43" s="25">
        <v>1152.8245000000002</v>
      </c>
    </row>
    <row r="44" spans="1:2" x14ac:dyDescent="0.25">
      <c r="A44" s="24" t="s">
        <v>874</v>
      </c>
      <c r="B44" s="25">
        <v>1144.0681000000002</v>
      </c>
    </row>
    <row r="45" spans="1:2" x14ac:dyDescent="0.25">
      <c r="A45" s="24" t="s">
        <v>177</v>
      </c>
      <c r="B45" s="25">
        <v>1135.2442000000001</v>
      </c>
    </row>
    <row r="46" spans="1:2" x14ac:dyDescent="0.25">
      <c r="A46" s="24" t="s">
        <v>710</v>
      </c>
      <c r="B46" s="25">
        <v>1132.4844000000001</v>
      </c>
    </row>
    <row r="47" spans="1:2" x14ac:dyDescent="0.25">
      <c r="A47" s="24" t="s">
        <v>1203</v>
      </c>
      <c r="B47" s="25">
        <v>1130.9783000000002</v>
      </c>
    </row>
    <row r="48" spans="1:2" x14ac:dyDescent="0.25">
      <c r="A48" s="24" t="s">
        <v>1843</v>
      </c>
      <c r="B48" s="25">
        <v>1092.9161999999999</v>
      </c>
    </row>
    <row r="49" spans="1:2" x14ac:dyDescent="0.25">
      <c r="A49" s="24" t="s">
        <v>1811</v>
      </c>
      <c r="B49" s="25">
        <v>1066.6369999999999</v>
      </c>
    </row>
    <row r="50" spans="1:2" x14ac:dyDescent="0.25">
      <c r="A50" s="24" t="s">
        <v>958</v>
      </c>
      <c r="B50" s="25">
        <v>1045.7404000000001</v>
      </c>
    </row>
    <row r="51" spans="1:2" x14ac:dyDescent="0.25">
      <c r="A51" s="24" t="s">
        <v>2588</v>
      </c>
      <c r="B51" s="25">
        <v>1041.9132</v>
      </c>
    </row>
    <row r="52" spans="1:2" x14ac:dyDescent="0.25">
      <c r="A52" s="24" t="s">
        <v>2193</v>
      </c>
      <c r="B52" s="25">
        <v>1000.6872</v>
      </c>
    </row>
    <row r="53" spans="1:2" x14ac:dyDescent="0.25">
      <c r="A53" s="24" t="s">
        <v>2363</v>
      </c>
      <c r="B53" s="25">
        <v>981.30050000000006</v>
      </c>
    </row>
    <row r="54" spans="1:2" x14ac:dyDescent="0.25">
      <c r="A54" s="24" t="s">
        <v>1492</v>
      </c>
      <c r="B54" s="25">
        <v>956.5317</v>
      </c>
    </row>
    <row r="55" spans="1:2" x14ac:dyDescent="0.25">
      <c r="A55" s="24" t="s">
        <v>203</v>
      </c>
      <c r="B55" s="25">
        <v>955.14109999999971</v>
      </c>
    </row>
    <row r="56" spans="1:2" x14ac:dyDescent="0.25">
      <c r="A56" s="24" t="s">
        <v>268</v>
      </c>
      <c r="B56" s="25">
        <v>952.21619999999996</v>
      </c>
    </row>
    <row r="57" spans="1:2" x14ac:dyDescent="0.25">
      <c r="A57" s="24" t="s">
        <v>1022</v>
      </c>
      <c r="B57" s="25">
        <v>944.0231</v>
      </c>
    </row>
    <row r="58" spans="1:2" x14ac:dyDescent="0.25">
      <c r="A58" s="24" t="s">
        <v>2039</v>
      </c>
      <c r="B58" s="25">
        <v>916.45809999999994</v>
      </c>
    </row>
    <row r="59" spans="1:2" x14ac:dyDescent="0.25">
      <c r="A59" s="24" t="s">
        <v>448</v>
      </c>
      <c r="B59" s="25">
        <v>911.01229999999998</v>
      </c>
    </row>
    <row r="60" spans="1:2" x14ac:dyDescent="0.25">
      <c r="A60" s="24" t="s">
        <v>471</v>
      </c>
      <c r="B60" s="25">
        <v>909.18380000000002</v>
      </c>
    </row>
    <row r="61" spans="1:2" x14ac:dyDescent="0.25">
      <c r="A61" s="24" t="s">
        <v>1473</v>
      </c>
      <c r="B61" s="25">
        <v>880.50000000000011</v>
      </c>
    </row>
    <row r="62" spans="1:2" x14ac:dyDescent="0.25">
      <c r="A62" s="24" t="s">
        <v>375</v>
      </c>
      <c r="B62" s="25">
        <v>858.7414</v>
      </c>
    </row>
    <row r="63" spans="1:2" x14ac:dyDescent="0.25">
      <c r="A63" s="24" t="s">
        <v>259</v>
      </c>
      <c r="B63" s="25">
        <v>847.30510000000004</v>
      </c>
    </row>
    <row r="64" spans="1:2" x14ac:dyDescent="0.25">
      <c r="A64" s="24" t="s">
        <v>699</v>
      </c>
      <c r="B64" s="25">
        <v>843.3818</v>
      </c>
    </row>
    <row r="65" spans="1:2" x14ac:dyDescent="0.25">
      <c r="A65" s="24" t="s">
        <v>734</v>
      </c>
      <c r="B65" s="25">
        <v>839.95499999999993</v>
      </c>
    </row>
    <row r="66" spans="1:2" x14ac:dyDescent="0.25">
      <c r="A66" s="24" t="s">
        <v>533</v>
      </c>
      <c r="B66" s="25">
        <v>823.12189999999998</v>
      </c>
    </row>
    <row r="67" spans="1:2" x14ac:dyDescent="0.25">
      <c r="A67" s="24" t="s">
        <v>1695</v>
      </c>
      <c r="B67" s="25">
        <v>817.88519999999994</v>
      </c>
    </row>
    <row r="68" spans="1:2" x14ac:dyDescent="0.25">
      <c r="A68" s="24" t="s">
        <v>2186</v>
      </c>
      <c r="B68" s="25">
        <v>816.17079999999999</v>
      </c>
    </row>
    <row r="69" spans="1:2" x14ac:dyDescent="0.25">
      <c r="A69" s="24" t="s">
        <v>50</v>
      </c>
      <c r="B69" s="25">
        <v>815.61890000000017</v>
      </c>
    </row>
    <row r="70" spans="1:2" x14ac:dyDescent="0.25">
      <c r="A70" s="24" t="s">
        <v>137</v>
      </c>
      <c r="B70" s="25">
        <v>800.18020000000001</v>
      </c>
    </row>
    <row r="71" spans="1:2" x14ac:dyDescent="0.25">
      <c r="A71" s="24" t="s">
        <v>1354</v>
      </c>
      <c r="B71" s="25">
        <v>795.00589999999988</v>
      </c>
    </row>
    <row r="72" spans="1:2" x14ac:dyDescent="0.25">
      <c r="A72" s="24" t="s">
        <v>1975</v>
      </c>
      <c r="B72" s="25">
        <v>789.64760000000001</v>
      </c>
    </row>
    <row r="73" spans="1:2" x14ac:dyDescent="0.25">
      <c r="A73" s="24" t="s">
        <v>1604</v>
      </c>
      <c r="B73" s="25">
        <v>776.09919999999988</v>
      </c>
    </row>
    <row r="74" spans="1:2" x14ac:dyDescent="0.25">
      <c r="A74" s="24" t="s">
        <v>1403</v>
      </c>
      <c r="B74" s="25">
        <v>771.20389999999986</v>
      </c>
    </row>
    <row r="75" spans="1:2" x14ac:dyDescent="0.25">
      <c r="A75" s="24" t="s">
        <v>2108</v>
      </c>
      <c r="B75" s="25">
        <v>762.06639999999993</v>
      </c>
    </row>
    <row r="76" spans="1:2" x14ac:dyDescent="0.25">
      <c r="A76" s="24" t="s">
        <v>156</v>
      </c>
      <c r="B76" s="25">
        <v>757.18179999999995</v>
      </c>
    </row>
    <row r="77" spans="1:2" x14ac:dyDescent="0.25">
      <c r="A77" s="24" t="s">
        <v>224</v>
      </c>
      <c r="B77" s="25">
        <v>755.91509999999994</v>
      </c>
    </row>
    <row r="78" spans="1:2" x14ac:dyDescent="0.25">
      <c r="A78" s="24" t="s">
        <v>218</v>
      </c>
      <c r="B78" s="25">
        <v>745.36590000000001</v>
      </c>
    </row>
    <row r="79" spans="1:2" x14ac:dyDescent="0.25">
      <c r="A79" s="24" t="s">
        <v>949</v>
      </c>
      <c r="B79" s="25">
        <v>707.55029999999977</v>
      </c>
    </row>
    <row r="80" spans="1:2" x14ac:dyDescent="0.25">
      <c r="A80" s="24" t="s">
        <v>2079</v>
      </c>
      <c r="B80" s="25">
        <v>702.43240000000014</v>
      </c>
    </row>
    <row r="81" spans="1:2" x14ac:dyDescent="0.25">
      <c r="A81" s="24" t="s">
        <v>1559</v>
      </c>
      <c r="B81" s="25">
        <v>697.79550000000017</v>
      </c>
    </row>
    <row r="82" spans="1:2" x14ac:dyDescent="0.25">
      <c r="A82" s="24" t="s">
        <v>1878</v>
      </c>
      <c r="B82" s="25">
        <v>695.56799999999998</v>
      </c>
    </row>
    <row r="83" spans="1:2" x14ac:dyDescent="0.25">
      <c r="A83" s="24" t="s">
        <v>93</v>
      </c>
      <c r="B83" s="25">
        <v>695.16329999999982</v>
      </c>
    </row>
    <row r="84" spans="1:2" x14ac:dyDescent="0.25">
      <c r="A84" s="24" t="s">
        <v>1157</v>
      </c>
      <c r="B84" s="25">
        <v>687.07190000000003</v>
      </c>
    </row>
    <row r="85" spans="1:2" x14ac:dyDescent="0.25">
      <c r="A85" s="24" t="s">
        <v>1697</v>
      </c>
      <c r="B85" s="25">
        <v>686.75630000000012</v>
      </c>
    </row>
    <row r="86" spans="1:2" x14ac:dyDescent="0.25">
      <c r="A86" s="24" t="s">
        <v>339</v>
      </c>
      <c r="B86" s="25">
        <v>668.05709999999999</v>
      </c>
    </row>
    <row r="87" spans="1:2" x14ac:dyDescent="0.25">
      <c r="A87" s="24" t="s">
        <v>779</v>
      </c>
      <c r="B87" s="25">
        <v>662.83389999999997</v>
      </c>
    </row>
    <row r="88" spans="1:2" x14ac:dyDescent="0.25">
      <c r="A88" s="24" t="s">
        <v>1542</v>
      </c>
      <c r="B88" s="25">
        <v>660.14960000000008</v>
      </c>
    </row>
    <row r="89" spans="1:2" x14ac:dyDescent="0.25">
      <c r="A89" s="24" t="s">
        <v>43</v>
      </c>
      <c r="B89" s="25">
        <v>655.44079999999997</v>
      </c>
    </row>
    <row r="90" spans="1:2" x14ac:dyDescent="0.25">
      <c r="A90" s="24" t="s">
        <v>2150</v>
      </c>
      <c r="B90" s="25">
        <v>649.38609999999994</v>
      </c>
    </row>
    <row r="91" spans="1:2" x14ac:dyDescent="0.25">
      <c r="A91" s="24" t="s">
        <v>247</v>
      </c>
      <c r="B91" s="25">
        <v>647.68679999999995</v>
      </c>
    </row>
    <row r="92" spans="1:2" x14ac:dyDescent="0.25">
      <c r="A92" s="24" t="s">
        <v>1637</v>
      </c>
      <c r="B92" s="25">
        <v>641.14679999999998</v>
      </c>
    </row>
    <row r="93" spans="1:2" x14ac:dyDescent="0.25">
      <c r="A93" s="24" t="s">
        <v>1256</v>
      </c>
      <c r="B93" s="25">
        <v>640.15640000000008</v>
      </c>
    </row>
    <row r="94" spans="1:2" x14ac:dyDescent="0.25">
      <c r="A94" s="24" t="s">
        <v>1919</v>
      </c>
      <c r="B94" s="25">
        <v>630.5809999999999</v>
      </c>
    </row>
    <row r="95" spans="1:2" x14ac:dyDescent="0.25">
      <c r="A95" s="24" t="s">
        <v>1946</v>
      </c>
      <c r="B95" s="25">
        <v>623.82269999999994</v>
      </c>
    </row>
    <row r="96" spans="1:2" x14ac:dyDescent="0.25">
      <c r="A96" s="24" t="s">
        <v>1591</v>
      </c>
      <c r="B96" s="25">
        <v>598.94560000000001</v>
      </c>
    </row>
    <row r="97" spans="1:2" x14ac:dyDescent="0.25">
      <c r="A97" s="24" t="s">
        <v>1134</v>
      </c>
      <c r="B97" s="25">
        <v>591.31180000000006</v>
      </c>
    </row>
    <row r="98" spans="1:2" x14ac:dyDescent="0.25">
      <c r="A98" s="24" t="s">
        <v>437</v>
      </c>
      <c r="B98" s="25">
        <v>589.11959999999999</v>
      </c>
    </row>
    <row r="99" spans="1:2" x14ac:dyDescent="0.25">
      <c r="A99" s="24" t="s">
        <v>1833</v>
      </c>
      <c r="B99" s="25">
        <v>562.45479999999998</v>
      </c>
    </row>
    <row r="100" spans="1:2" x14ac:dyDescent="0.25">
      <c r="A100" s="24" t="s">
        <v>308</v>
      </c>
      <c r="B100" s="25">
        <v>561.13750000000005</v>
      </c>
    </row>
    <row r="101" spans="1:2" x14ac:dyDescent="0.25">
      <c r="A101" s="24" t="s">
        <v>1164</v>
      </c>
      <c r="B101" s="25">
        <v>560.61590000000001</v>
      </c>
    </row>
    <row r="102" spans="1:2" x14ac:dyDescent="0.25">
      <c r="A102" s="24" t="s">
        <v>1671</v>
      </c>
      <c r="B102" s="25">
        <v>557.87490000000003</v>
      </c>
    </row>
    <row r="103" spans="1:2" x14ac:dyDescent="0.25">
      <c r="A103" s="24" t="s">
        <v>200</v>
      </c>
      <c r="B103" s="25">
        <v>555.53309999999999</v>
      </c>
    </row>
    <row r="104" spans="1:2" x14ac:dyDescent="0.25">
      <c r="A104" s="24" t="s">
        <v>1377</v>
      </c>
      <c r="B104" s="25">
        <v>552.77539999999999</v>
      </c>
    </row>
    <row r="105" spans="1:2" x14ac:dyDescent="0.25">
      <c r="A105" s="24" t="s">
        <v>2453</v>
      </c>
      <c r="B105" s="25">
        <v>550.85419999999999</v>
      </c>
    </row>
    <row r="106" spans="1:2" x14ac:dyDescent="0.25">
      <c r="A106" s="24" t="s">
        <v>570</v>
      </c>
      <c r="B106" s="25">
        <v>550.43990000000008</v>
      </c>
    </row>
    <row r="107" spans="1:2" x14ac:dyDescent="0.25">
      <c r="A107" s="24" t="s">
        <v>1088</v>
      </c>
      <c r="B107" s="25">
        <v>546.88969999999995</v>
      </c>
    </row>
    <row r="108" spans="1:2" x14ac:dyDescent="0.25">
      <c r="A108" s="24" t="s">
        <v>396</v>
      </c>
      <c r="B108" s="25">
        <v>543.9058</v>
      </c>
    </row>
    <row r="109" spans="1:2" x14ac:dyDescent="0.25">
      <c r="A109" s="24" t="s">
        <v>1400</v>
      </c>
      <c r="B109" s="25">
        <v>540.28570000000002</v>
      </c>
    </row>
    <row r="110" spans="1:2" x14ac:dyDescent="0.25">
      <c r="A110" s="24" t="s">
        <v>493</v>
      </c>
      <c r="B110" s="25">
        <v>534.60980000000006</v>
      </c>
    </row>
    <row r="111" spans="1:2" x14ac:dyDescent="0.25">
      <c r="A111" s="24" t="s">
        <v>395</v>
      </c>
      <c r="B111" s="25">
        <v>533.15570000000002</v>
      </c>
    </row>
    <row r="112" spans="1:2" x14ac:dyDescent="0.25">
      <c r="A112" s="24" t="s">
        <v>1149</v>
      </c>
      <c r="B112" s="25">
        <v>529.32230000000004</v>
      </c>
    </row>
    <row r="113" spans="1:2" x14ac:dyDescent="0.25">
      <c r="A113" s="24" t="s">
        <v>508</v>
      </c>
      <c r="B113" s="25">
        <v>525.54489999999998</v>
      </c>
    </row>
    <row r="114" spans="1:2" x14ac:dyDescent="0.25">
      <c r="A114" s="24" t="s">
        <v>973</v>
      </c>
      <c r="B114" s="25">
        <v>523.07360000000006</v>
      </c>
    </row>
    <row r="115" spans="1:2" x14ac:dyDescent="0.25">
      <c r="A115" s="24" t="s">
        <v>1959</v>
      </c>
      <c r="B115" s="25">
        <v>519.73729999999989</v>
      </c>
    </row>
    <row r="116" spans="1:2" x14ac:dyDescent="0.25">
      <c r="A116" s="24" t="s">
        <v>1227</v>
      </c>
      <c r="B116" s="25">
        <v>514.7115</v>
      </c>
    </row>
    <row r="117" spans="1:2" x14ac:dyDescent="0.25">
      <c r="A117" s="24" t="s">
        <v>1291</v>
      </c>
      <c r="B117" s="25">
        <v>507.22719999999993</v>
      </c>
    </row>
    <row r="118" spans="1:2" x14ac:dyDescent="0.25">
      <c r="A118" s="24" t="s">
        <v>2372</v>
      </c>
      <c r="B118" s="25">
        <v>502.92440000000005</v>
      </c>
    </row>
    <row r="119" spans="1:2" x14ac:dyDescent="0.25">
      <c r="A119" s="24" t="s">
        <v>1138</v>
      </c>
      <c r="B119" s="25">
        <v>501.87569999999999</v>
      </c>
    </row>
    <row r="120" spans="1:2" x14ac:dyDescent="0.25">
      <c r="A120" s="24" t="s">
        <v>1015</v>
      </c>
      <c r="B120" s="25">
        <v>501.73570000000001</v>
      </c>
    </row>
    <row r="121" spans="1:2" x14ac:dyDescent="0.25">
      <c r="A121" s="24" t="s">
        <v>183</v>
      </c>
      <c r="B121" s="25">
        <v>485.28739999999999</v>
      </c>
    </row>
    <row r="122" spans="1:2" x14ac:dyDescent="0.25">
      <c r="A122" s="24" t="s">
        <v>55</v>
      </c>
      <c r="B122" s="25">
        <v>480.3852</v>
      </c>
    </row>
    <row r="123" spans="1:2" x14ac:dyDescent="0.25">
      <c r="A123" s="24" t="s">
        <v>554</v>
      </c>
      <c r="B123" s="25">
        <v>477.12139999999999</v>
      </c>
    </row>
    <row r="124" spans="1:2" x14ac:dyDescent="0.25">
      <c r="A124" s="24" t="s">
        <v>1949</v>
      </c>
      <c r="B124" s="25">
        <v>475.36369999999999</v>
      </c>
    </row>
    <row r="125" spans="1:2" x14ac:dyDescent="0.25">
      <c r="A125" s="24" t="s">
        <v>1061</v>
      </c>
      <c r="B125" s="25">
        <v>475.13600000000002</v>
      </c>
    </row>
    <row r="126" spans="1:2" x14ac:dyDescent="0.25">
      <c r="A126" s="24" t="s">
        <v>444</v>
      </c>
      <c r="B126" s="25">
        <v>466.80560000000003</v>
      </c>
    </row>
    <row r="127" spans="1:2" x14ac:dyDescent="0.25">
      <c r="A127" s="24" t="s">
        <v>560</v>
      </c>
      <c r="B127" s="25">
        <v>464.80070000000001</v>
      </c>
    </row>
    <row r="128" spans="1:2" x14ac:dyDescent="0.25">
      <c r="A128" s="24" t="s">
        <v>1928</v>
      </c>
      <c r="B128" s="25">
        <v>460.57550000000003</v>
      </c>
    </row>
    <row r="129" spans="1:2" x14ac:dyDescent="0.25">
      <c r="A129" s="24" t="s">
        <v>1281</v>
      </c>
      <c r="B129" s="25">
        <v>458.23820000000001</v>
      </c>
    </row>
    <row r="130" spans="1:2" x14ac:dyDescent="0.25">
      <c r="A130" s="24" t="s">
        <v>1883</v>
      </c>
      <c r="B130" s="25">
        <v>455.81770000000006</v>
      </c>
    </row>
    <row r="131" spans="1:2" x14ac:dyDescent="0.25">
      <c r="A131" s="24" t="s">
        <v>261</v>
      </c>
      <c r="B131" s="25">
        <v>450.45809999999994</v>
      </c>
    </row>
    <row r="132" spans="1:2" x14ac:dyDescent="0.25">
      <c r="A132" s="24" t="s">
        <v>887</v>
      </c>
      <c r="B132" s="25">
        <v>447.90619999999984</v>
      </c>
    </row>
    <row r="133" spans="1:2" x14ac:dyDescent="0.25">
      <c r="A133" s="24" t="s">
        <v>983</v>
      </c>
      <c r="B133" s="25">
        <v>444.95829999999995</v>
      </c>
    </row>
    <row r="134" spans="1:2" x14ac:dyDescent="0.25">
      <c r="A134" s="24" t="s">
        <v>2002</v>
      </c>
      <c r="B134" s="25">
        <v>440.952</v>
      </c>
    </row>
    <row r="135" spans="1:2" x14ac:dyDescent="0.25">
      <c r="A135" s="24" t="s">
        <v>997</v>
      </c>
      <c r="B135" s="25">
        <v>440.14099999999996</v>
      </c>
    </row>
    <row r="136" spans="1:2" x14ac:dyDescent="0.25">
      <c r="A136" s="24" t="s">
        <v>558</v>
      </c>
      <c r="B136" s="25">
        <v>439.09760000000006</v>
      </c>
    </row>
    <row r="137" spans="1:2" x14ac:dyDescent="0.25">
      <c r="A137" s="24" t="s">
        <v>283</v>
      </c>
      <c r="B137" s="25">
        <v>439.08879999999999</v>
      </c>
    </row>
    <row r="138" spans="1:2" x14ac:dyDescent="0.25">
      <c r="A138" s="24" t="s">
        <v>333</v>
      </c>
      <c r="B138" s="25">
        <v>438.61470000000003</v>
      </c>
    </row>
    <row r="139" spans="1:2" x14ac:dyDescent="0.25">
      <c r="A139" s="24" t="s">
        <v>1440</v>
      </c>
      <c r="B139" s="25">
        <v>436.08580000000001</v>
      </c>
    </row>
    <row r="140" spans="1:2" x14ac:dyDescent="0.25">
      <c r="A140" s="24" t="s">
        <v>1246</v>
      </c>
      <c r="B140" s="25">
        <v>433.76220000000006</v>
      </c>
    </row>
    <row r="141" spans="1:2" x14ac:dyDescent="0.25">
      <c r="A141" s="24" t="s">
        <v>2524</v>
      </c>
      <c r="B141" s="25">
        <v>431.28739999999999</v>
      </c>
    </row>
    <row r="142" spans="1:2" x14ac:dyDescent="0.25">
      <c r="A142" s="24" t="s">
        <v>540</v>
      </c>
      <c r="B142" s="25">
        <v>427.74600000000009</v>
      </c>
    </row>
    <row r="143" spans="1:2" x14ac:dyDescent="0.25">
      <c r="A143" s="24" t="s">
        <v>1228</v>
      </c>
      <c r="B143" s="25">
        <v>426.18550000000005</v>
      </c>
    </row>
    <row r="144" spans="1:2" x14ac:dyDescent="0.25">
      <c r="A144" s="24" t="s">
        <v>1230</v>
      </c>
      <c r="B144" s="25">
        <v>425.9418</v>
      </c>
    </row>
    <row r="145" spans="1:2" x14ac:dyDescent="0.25">
      <c r="A145" s="24" t="s">
        <v>825</v>
      </c>
      <c r="B145" s="25">
        <v>425.41750000000002</v>
      </c>
    </row>
    <row r="146" spans="1:2" x14ac:dyDescent="0.25">
      <c r="A146" s="24" t="s">
        <v>2151</v>
      </c>
      <c r="B146" s="25">
        <v>423.7296</v>
      </c>
    </row>
    <row r="147" spans="1:2" x14ac:dyDescent="0.25">
      <c r="A147" s="24" t="s">
        <v>677</v>
      </c>
      <c r="B147" s="25">
        <v>419.59289999999999</v>
      </c>
    </row>
    <row r="148" spans="1:2" x14ac:dyDescent="0.25">
      <c r="A148" s="24" t="s">
        <v>862</v>
      </c>
      <c r="B148" s="25">
        <v>416.65310000000005</v>
      </c>
    </row>
    <row r="149" spans="1:2" x14ac:dyDescent="0.25">
      <c r="A149" s="24" t="s">
        <v>708</v>
      </c>
      <c r="B149" s="25">
        <v>416.02739999999994</v>
      </c>
    </row>
    <row r="150" spans="1:2" x14ac:dyDescent="0.25">
      <c r="A150" s="24" t="s">
        <v>1326</v>
      </c>
      <c r="B150" s="25">
        <v>409.51120000000003</v>
      </c>
    </row>
    <row r="151" spans="1:2" x14ac:dyDescent="0.25">
      <c r="A151" s="24" t="s">
        <v>126</v>
      </c>
      <c r="B151" s="25">
        <v>409.02369999999996</v>
      </c>
    </row>
    <row r="152" spans="1:2" x14ac:dyDescent="0.25">
      <c r="A152" s="24" t="s">
        <v>2217</v>
      </c>
      <c r="B152" s="25">
        <v>400.95350000000008</v>
      </c>
    </row>
    <row r="153" spans="1:2" x14ac:dyDescent="0.25">
      <c r="A153" s="24" t="s">
        <v>702</v>
      </c>
      <c r="B153" s="25">
        <v>399.98939999999993</v>
      </c>
    </row>
    <row r="154" spans="1:2" x14ac:dyDescent="0.25">
      <c r="A154" s="24" t="s">
        <v>2066</v>
      </c>
      <c r="B154" s="25">
        <v>397.21299999999997</v>
      </c>
    </row>
    <row r="155" spans="1:2" x14ac:dyDescent="0.25">
      <c r="A155" s="24" t="s">
        <v>2055</v>
      </c>
      <c r="B155" s="25">
        <v>394.58949999999993</v>
      </c>
    </row>
    <row r="156" spans="1:2" x14ac:dyDescent="0.25">
      <c r="A156" s="24" t="s">
        <v>1428</v>
      </c>
      <c r="B156" s="25">
        <v>394.46780000000001</v>
      </c>
    </row>
    <row r="157" spans="1:2" x14ac:dyDescent="0.25">
      <c r="A157" s="24" t="s">
        <v>1320</v>
      </c>
      <c r="B157" s="25">
        <v>391.12369999999993</v>
      </c>
    </row>
    <row r="158" spans="1:2" x14ac:dyDescent="0.25">
      <c r="A158" s="24" t="s">
        <v>1066</v>
      </c>
      <c r="B158" s="25">
        <v>390.21129999999999</v>
      </c>
    </row>
    <row r="159" spans="1:2" x14ac:dyDescent="0.25">
      <c r="A159" s="24" t="s">
        <v>1701</v>
      </c>
      <c r="B159" s="25">
        <v>382.39790000000005</v>
      </c>
    </row>
    <row r="160" spans="1:2" x14ac:dyDescent="0.25">
      <c r="A160" s="24" t="s">
        <v>2297</v>
      </c>
      <c r="B160" s="25">
        <v>379.24760000000003</v>
      </c>
    </row>
    <row r="161" spans="1:2" x14ac:dyDescent="0.25">
      <c r="A161" s="24" t="s">
        <v>541</v>
      </c>
      <c r="B161" s="25">
        <v>378.274</v>
      </c>
    </row>
    <row r="162" spans="1:2" x14ac:dyDescent="0.25">
      <c r="A162" s="24" t="s">
        <v>1741</v>
      </c>
      <c r="B162" s="25">
        <v>377.07089999999999</v>
      </c>
    </row>
    <row r="163" spans="1:2" x14ac:dyDescent="0.25">
      <c r="A163" s="24" t="s">
        <v>2144</v>
      </c>
      <c r="B163" s="25">
        <v>375.09399999999999</v>
      </c>
    </row>
    <row r="164" spans="1:2" x14ac:dyDescent="0.25">
      <c r="A164" s="24" t="s">
        <v>356</v>
      </c>
      <c r="B164" s="25">
        <v>368.24880000000002</v>
      </c>
    </row>
    <row r="165" spans="1:2" x14ac:dyDescent="0.25">
      <c r="A165" s="24" t="s">
        <v>742</v>
      </c>
      <c r="B165" s="25">
        <v>365.03869999999995</v>
      </c>
    </row>
    <row r="166" spans="1:2" x14ac:dyDescent="0.25">
      <c r="A166" s="24" t="s">
        <v>103</v>
      </c>
      <c r="B166" s="25">
        <v>364.2663</v>
      </c>
    </row>
    <row r="167" spans="1:2" x14ac:dyDescent="0.25">
      <c r="A167" s="24" t="s">
        <v>1233</v>
      </c>
      <c r="B167" s="25">
        <v>363.64280000000002</v>
      </c>
    </row>
    <row r="168" spans="1:2" x14ac:dyDescent="0.25">
      <c r="A168" s="24" t="s">
        <v>240</v>
      </c>
      <c r="B168" s="25">
        <v>362.68540000000002</v>
      </c>
    </row>
    <row r="169" spans="1:2" x14ac:dyDescent="0.25">
      <c r="A169" s="24" t="s">
        <v>2558</v>
      </c>
      <c r="B169" s="25">
        <v>362.53689999999995</v>
      </c>
    </row>
    <row r="170" spans="1:2" x14ac:dyDescent="0.25">
      <c r="A170" s="24" t="s">
        <v>1726</v>
      </c>
      <c r="B170" s="25">
        <v>361.142</v>
      </c>
    </row>
    <row r="171" spans="1:2" x14ac:dyDescent="0.25">
      <c r="A171" s="24" t="s">
        <v>687</v>
      </c>
      <c r="B171" s="25">
        <v>360.80799999999999</v>
      </c>
    </row>
    <row r="172" spans="1:2" x14ac:dyDescent="0.25">
      <c r="A172" s="24" t="s">
        <v>319</v>
      </c>
      <c r="B172" s="25">
        <v>360.541</v>
      </c>
    </row>
    <row r="173" spans="1:2" x14ac:dyDescent="0.25">
      <c r="A173" s="24" t="s">
        <v>586</v>
      </c>
      <c r="B173" s="25">
        <v>358.36199999999997</v>
      </c>
    </row>
    <row r="174" spans="1:2" x14ac:dyDescent="0.25">
      <c r="A174" s="24" t="s">
        <v>2492</v>
      </c>
      <c r="B174" s="25">
        <v>357.76970000000006</v>
      </c>
    </row>
    <row r="175" spans="1:2" x14ac:dyDescent="0.25">
      <c r="A175" s="24" t="s">
        <v>843</v>
      </c>
      <c r="B175" s="25">
        <v>357.59300000000007</v>
      </c>
    </row>
    <row r="176" spans="1:2" x14ac:dyDescent="0.25">
      <c r="A176" s="24" t="s">
        <v>1956</v>
      </c>
      <c r="B176" s="25">
        <v>357.42830000000004</v>
      </c>
    </row>
    <row r="177" spans="1:2" x14ac:dyDescent="0.25">
      <c r="A177" s="24" t="s">
        <v>884</v>
      </c>
      <c r="B177" s="25">
        <v>354.62760000000003</v>
      </c>
    </row>
    <row r="178" spans="1:2" x14ac:dyDescent="0.25">
      <c r="A178" s="24" t="s">
        <v>335</v>
      </c>
      <c r="B178" s="25">
        <v>345.66120000000001</v>
      </c>
    </row>
    <row r="179" spans="1:2" x14ac:dyDescent="0.25">
      <c r="A179" s="24" t="s">
        <v>1353</v>
      </c>
      <c r="B179" s="25">
        <v>344.87099999999998</v>
      </c>
    </row>
    <row r="180" spans="1:2" x14ac:dyDescent="0.25">
      <c r="A180" s="24" t="s">
        <v>130</v>
      </c>
      <c r="B180" s="25">
        <v>342.72709999999995</v>
      </c>
    </row>
    <row r="181" spans="1:2" x14ac:dyDescent="0.25">
      <c r="A181" s="24" t="s">
        <v>1172</v>
      </c>
      <c r="B181" s="25">
        <v>340.84780000000001</v>
      </c>
    </row>
    <row r="182" spans="1:2" x14ac:dyDescent="0.25">
      <c r="A182" s="24" t="s">
        <v>2126</v>
      </c>
      <c r="B182" s="25">
        <v>340.36270000000002</v>
      </c>
    </row>
    <row r="183" spans="1:2" x14ac:dyDescent="0.25">
      <c r="A183" s="24" t="s">
        <v>1006</v>
      </c>
      <c r="B183" s="25">
        <v>338.44540000000001</v>
      </c>
    </row>
    <row r="184" spans="1:2" x14ac:dyDescent="0.25">
      <c r="A184" s="24" t="s">
        <v>69</v>
      </c>
      <c r="B184" s="25">
        <v>337.29160000000002</v>
      </c>
    </row>
    <row r="185" spans="1:2" x14ac:dyDescent="0.25">
      <c r="A185" s="24" t="s">
        <v>1177</v>
      </c>
      <c r="B185" s="25">
        <v>336.37310000000002</v>
      </c>
    </row>
    <row r="186" spans="1:2" x14ac:dyDescent="0.25">
      <c r="A186" s="24" t="s">
        <v>942</v>
      </c>
      <c r="B186" s="25">
        <v>335.97029999999995</v>
      </c>
    </row>
    <row r="187" spans="1:2" x14ac:dyDescent="0.25">
      <c r="A187" s="24" t="s">
        <v>1793</v>
      </c>
      <c r="B187" s="25">
        <v>332.56280000000004</v>
      </c>
    </row>
    <row r="188" spans="1:2" x14ac:dyDescent="0.25">
      <c r="A188" s="24" t="s">
        <v>1035</v>
      </c>
      <c r="B188" s="25">
        <v>332.20280000000002</v>
      </c>
    </row>
    <row r="189" spans="1:2" x14ac:dyDescent="0.25">
      <c r="A189" s="24" t="s">
        <v>2142</v>
      </c>
      <c r="B189" s="25">
        <v>331.12490000000003</v>
      </c>
    </row>
    <row r="190" spans="1:2" x14ac:dyDescent="0.25">
      <c r="A190" s="24" t="s">
        <v>1099</v>
      </c>
      <c r="B190" s="25">
        <v>329.762</v>
      </c>
    </row>
    <row r="191" spans="1:2" x14ac:dyDescent="0.25">
      <c r="A191" s="24" t="s">
        <v>1486</v>
      </c>
      <c r="B191" s="25">
        <v>329.59029999999996</v>
      </c>
    </row>
    <row r="192" spans="1:2" x14ac:dyDescent="0.25">
      <c r="A192" s="24" t="s">
        <v>2406</v>
      </c>
      <c r="B192" s="25">
        <v>328.05489999999998</v>
      </c>
    </row>
    <row r="193" spans="1:2" x14ac:dyDescent="0.25">
      <c r="A193" s="24" t="s">
        <v>1269</v>
      </c>
      <c r="B193" s="25">
        <v>326.86720000000003</v>
      </c>
    </row>
    <row r="194" spans="1:2" x14ac:dyDescent="0.25">
      <c r="A194" s="24" t="s">
        <v>2457</v>
      </c>
      <c r="B194" s="25">
        <v>325.85249999999996</v>
      </c>
    </row>
    <row r="195" spans="1:2" x14ac:dyDescent="0.25">
      <c r="A195" s="24" t="s">
        <v>1841</v>
      </c>
      <c r="B195" s="25">
        <v>322.13010000000003</v>
      </c>
    </row>
    <row r="196" spans="1:2" x14ac:dyDescent="0.25">
      <c r="A196" s="24" t="s">
        <v>1244</v>
      </c>
      <c r="B196" s="25">
        <v>318.00490000000002</v>
      </c>
    </row>
    <row r="197" spans="1:2" x14ac:dyDescent="0.25">
      <c r="A197" s="24" t="s">
        <v>1909</v>
      </c>
      <c r="B197" s="25">
        <v>317.53360000000004</v>
      </c>
    </row>
    <row r="198" spans="1:2" x14ac:dyDescent="0.25">
      <c r="A198" s="24" t="s">
        <v>946</v>
      </c>
      <c r="B198" s="25">
        <v>316.47149999999999</v>
      </c>
    </row>
    <row r="199" spans="1:2" x14ac:dyDescent="0.25">
      <c r="A199" s="24" t="s">
        <v>714</v>
      </c>
      <c r="B199" s="25">
        <v>315.94839999999999</v>
      </c>
    </row>
    <row r="200" spans="1:2" x14ac:dyDescent="0.25">
      <c r="A200" s="24" t="s">
        <v>563</v>
      </c>
      <c r="B200" s="25">
        <v>315.89230000000003</v>
      </c>
    </row>
    <row r="201" spans="1:2" x14ac:dyDescent="0.25">
      <c r="A201" s="24" t="s">
        <v>812</v>
      </c>
      <c r="B201" s="25">
        <v>314.52239999999995</v>
      </c>
    </row>
    <row r="202" spans="1:2" x14ac:dyDescent="0.25">
      <c r="A202" s="24" t="s">
        <v>1038</v>
      </c>
      <c r="B202" s="25">
        <v>312.93720000000002</v>
      </c>
    </row>
    <row r="203" spans="1:2" x14ac:dyDescent="0.25">
      <c r="A203" s="24" t="s">
        <v>1330</v>
      </c>
      <c r="B203" s="25">
        <v>310.89820000000003</v>
      </c>
    </row>
    <row r="204" spans="1:2" x14ac:dyDescent="0.25">
      <c r="A204" s="24" t="s">
        <v>238</v>
      </c>
      <c r="B204" s="25">
        <v>310.79989999999992</v>
      </c>
    </row>
    <row r="205" spans="1:2" x14ac:dyDescent="0.25">
      <c r="A205" s="24" t="s">
        <v>1587</v>
      </c>
      <c r="B205" s="25">
        <v>305.67389999999989</v>
      </c>
    </row>
    <row r="206" spans="1:2" x14ac:dyDescent="0.25">
      <c r="A206" s="24" t="s">
        <v>292</v>
      </c>
      <c r="B206" s="25">
        <v>305.48210000000006</v>
      </c>
    </row>
    <row r="207" spans="1:2" x14ac:dyDescent="0.25">
      <c r="A207" s="24" t="s">
        <v>805</v>
      </c>
      <c r="B207" s="25">
        <v>304.35450000000003</v>
      </c>
    </row>
    <row r="208" spans="1:2" x14ac:dyDescent="0.25">
      <c r="A208" s="24" t="s">
        <v>367</v>
      </c>
      <c r="B208" s="25">
        <v>303.58859999999999</v>
      </c>
    </row>
    <row r="209" spans="1:2" x14ac:dyDescent="0.25">
      <c r="A209" s="24" t="s">
        <v>1815</v>
      </c>
      <c r="B209" s="25">
        <v>302.66160000000002</v>
      </c>
    </row>
    <row r="210" spans="1:2" x14ac:dyDescent="0.25">
      <c r="A210" s="24" t="s">
        <v>956</v>
      </c>
      <c r="B210" s="25">
        <v>301.10289999999998</v>
      </c>
    </row>
    <row r="211" spans="1:2" x14ac:dyDescent="0.25">
      <c r="A211" s="24" t="s">
        <v>1488</v>
      </c>
      <c r="B211" s="25">
        <v>300.76870000000002</v>
      </c>
    </row>
    <row r="212" spans="1:2" x14ac:dyDescent="0.25">
      <c r="A212" s="24" t="s">
        <v>1285</v>
      </c>
      <c r="B212" s="25">
        <v>300.2063</v>
      </c>
    </row>
    <row r="213" spans="1:2" x14ac:dyDescent="0.25">
      <c r="A213" s="24" t="s">
        <v>231</v>
      </c>
      <c r="B213" s="25">
        <v>299.98500000000001</v>
      </c>
    </row>
    <row r="214" spans="1:2" x14ac:dyDescent="0.25">
      <c r="A214" s="24" t="s">
        <v>38</v>
      </c>
      <c r="B214" s="25">
        <v>296.83900000000006</v>
      </c>
    </row>
    <row r="215" spans="1:2" x14ac:dyDescent="0.25">
      <c r="A215" s="24" t="s">
        <v>390</v>
      </c>
      <c r="B215" s="25">
        <v>295.36199999999997</v>
      </c>
    </row>
    <row r="216" spans="1:2" x14ac:dyDescent="0.25">
      <c r="A216" s="24" t="s">
        <v>632</v>
      </c>
      <c r="B216" s="25">
        <v>295.01420000000002</v>
      </c>
    </row>
    <row r="217" spans="1:2" x14ac:dyDescent="0.25">
      <c r="A217" s="24" t="s">
        <v>2106</v>
      </c>
      <c r="B217" s="25">
        <v>293.87610000000001</v>
      </c>
    </row>
    <row r="218" spans="1:2" x14ac:dyDescent="0.25">
      <c r="A218" s="24" t="s">
        <v>2212</v>
      </c>
      <c r="B218" s="25">
        <v>292.52099999999996</v>
      </c>
    </row>
    <row r="219" spans="1:2" x14ac:dyDescent="0.25">
      <c r="A219" s="24" t="s">
        <v>1897</v>
      </c>
      <c r="B219" s="25">
        <v>292.18209999999999</v>
      </c>
    </row>
    <row r="220" spans="1:2" x14ac:dyDescent="0.25">
      <c r="A220" s="24" t="s">
        <v>133</v>
      </c>
      <c r="B220" s="25">
        <v>290.81610000000001</v>
      </c>
    </row>
    <row r="221" spans="1:2" x14ac:dyDescent="0.25">
      <c r="A221" s="24" t="s">
        <v>1368</v>
      </c>
      <c r="B221" s="25">
        <v>290.26930000000004</v>
      </c>
    </row>
    <row r="222" spans="1:2" x14ac:dyDescent="0.25">
      <c r="A222" s="24" t="s">
        <v>2586</v>
      </c>
      <c r="B222" s="25">
        <v>287.24400000000003</v>
      </c>
    </row>
    <row r="223" spans="1:2" x14ac:dyDescent="0.25">
      <c r="A223" s="24" t="s">
        <v>1770</v>
      </c>
      <c r="B223" s="25">
        <v>286.62739999999997</v>
      </c>
    </row>
    <row r="224" spans="1:2" x14ac:dyDescent="0.25">
      <c r="A224" s="24" t="s">
        <v>28</v>
      </c>
      <c r="B224" s="25">
        <v>278.77700000000004</v>
      </c>
    </row>
    <row r="225" spans="1:2" x14ac:dyDescent="0.25">
      <c r="A225" s="24" t="s">
        <v>1127</v>
      </c>
      <c r="B225" s="25">
        <v>278.44939999999997</v>
      </c>
    </row>
    <row r="226" spans="1:2" x14ac:dyDescent="0.25">
      <c r="A226" s="24" t="s">
        <v>135</v>
      </c>
      <c r="B226" s="25">
        <v>275.88209999999998</v>
      </c>
    </row>
    <row r="227" spans="1:2" x14ac:dyDescent="0.25">
      <c r="A227" s="24" t="s">
        <v>163</v>
      </c>
      <c r="B227" s="25">
        <v>274.40280000000001</v>
      </c>
    </row>
    <row r="228" spans="1:2" x14ac:dyDescent="0.25">
      <c r="A228" s="24" t="s">
        <v>994</v>
      </c>
      <c r="B228" s="25">
        <v>274.029</v>
      </c>
    </row>
    <row r="229" spans="1:2" x14ac:dyDescent="0.25">
      <c r="A229" s="24" t="s">
        <v>145</v>
      </c>
      <c r="B229" s="25">
        <v>268.96699999999998</v>
      </c>
    </row>
    <row r="230" spans="1:2" x14ac:dyDescent="0.25">
      <c r="A230" s="24" t="s">
        <v>2419</v>
      </c>
      <c r="B230" s="25">
        <v>267.24360000000001</v>
      </c>
    </row>
    <row r="231" spans="1:2" x14ac:dyDescent="0.25">
      <c r="A231" s="24" t="s">
        <v>737</v>
      </c>
      <c r="B231" s="25">
        <v>267.13890000000004</v>
      </c>
    </row>
    <row r="232" spans="1:2" x14ac:dyDescent="0.25">
      <c r="A232" s="24" t="s">
        <v>235</v>
      </c>
      <c r="B232" s="25">
        <v>266.74690000000004</v>
      </c>
    </row>
    <row r="233" spans="1:2" x14ac:dyDescent="0.25">
      <c r="A233" s="24" t="s">
        <v>2460</v>
      </c>
      <c r="B233" s="25">
        <v>265.53320000000002</v>
      </c>
    </row>
    <row r="234" spans="1:2" x14ac:dyDescent="0.25">
      <c r="A234" s="24" t="s">
        <v>660</v>
      </c>
      <c r="B234" s="25">
        <v>263.78530000000001</v>
      </c>
    </row>
    <row r="235" spans="1:2" x14ac:dyDescent="0.25">
      <c r="A235" s="24" t="s">
        <v>1818</v>
      </c>
      <c r="B235" s="25">
        <v>263.31159999999994</v>
      </c>
    </row>
    <row r="236" spans="1:2" x14ac:dyDescent="0.25">
      <c r="A236" s="24" t="s">
        <v>1960</v>
      </c>
      <c r="B236" s="25">
        <v>262.22090000000003</v>
      </c>
    </row>
    <row r="237" spans="1:2" x14ac:dyDescent="0.25">
      <c r="A237" s="24" t="s">
        <v>518</v>
      </c>
      <c r="B237" s="25">
        <v>262.19639999999998</v>
      </c>
    </row>
    <row r="238" spans="1:2" x14ac:dyDescent="0.25">
      <c r="A238" s="24" t="s">
        <v>1106</v>
      </c>
      <c r="B238" s="25">
        <v>259.9434</v>
      </c>
    </row>
    <row r="239" spans="1:2" x14ac:dyDescent="0.25">
      <c r="A239" s="24" t="s">
        <v>850</v>
      </c>
      <c r="B239" s="25">
        <v>259.65429999999998</v>
      </c>
    </row>
    <row r="240" spans="1:2" x14ac:dyDescent="0.25">
      <c r="A240" s="24" t="s">
        <v>716</v>
      </c>
      <c r="B240" s="25">
        <v>258.98490000000004</v>
      </c>
    </row>
    <row r="241" spans="1:2" x14ac:dyDescent="0.25">
      <c r="A241" s="24" t="s">
        <v>880</v>
      </c>
      <c r="B241" s="25">
        <v>258.92559999999997</v>
      </c>
    </row>
    <row r="242" spans="1:2" x14ac:dyDescent="0.25">
      <c r="A242" s="24" t="s">
        <v>955</v>
      </c>
      <c r="B242" s="25">
        <v>258.5446</v>
      </c>
    </row>
    <row r="243" spans="1:2" x14ac:dyDescent="0.25">
      <c r="A243" s="24" t="s">
        <v>2051</v>
      </c>
      <c r="B243" s="25">
        <v>254.82769999999991</v>
      </c>
    </row>
    <row r="244" spans="1:2" x14ac:dyDescent="0.25">
      <c r="A244" s="24" t="s">
        <v>653</v>
      </c>
      <c r="B244" s="25">
        <v>250.6824</v>
      </c>
    </row>
    <row r="245" spans="1:2" x14ac:dyDescent="0.25">
      <c r="A245" s="24" t="s">
        <v>1964</v>
      </c>
      <c r="B245" s="25">
        <v>250.108</v>
      </c>
    </row>
    <row r="246" spans="1:2" x14ac:dyDescent="0.25">
      <c r="A246" s="24" t="s">
        <v>1757</v>
      </c>
      <c r="B246" s="25">
        <v>248.32079999999999</v>
      </c>
    </row>
    <row r="247" spans="1:2" x14ac:dyDescent="0.25">
      <c r="A247" s="24" t="s">
        <v>1074</v>
      </c>
      <c r="B247" s="25">
        <v>246.84</v>
      </c>
    </row>
    <row r="248" spans="1:2" x14ac:dyDescent="0.25">
      <c r="A248" s="24" t="s">
        <v>1652</v>
      </c>
      <c r="B248" s="25">
        <v>245.28739999999993</v>
      </c>
    </row>
    <row r="249" spans="1:2" x14ac:dyDescent="0.25">
      <c r="A249" s="24" t="s">
        <v>1911</v>
      </c>
      <c r="B249" s="25">
        <v>242.88309999999998</v>
      </c>
    </row>
    <row r="250" spans="1:2" x14ac:dyDescent="0.25">
      <c r="A250" s="24" t="s">
        <v>1541</v>
      </c>
      <c r="B250" s="25">
        <v>241.6001</v>
      </c>
    </row>
    <row r="251" spans="1:2" x14ac:dyDescent="0.25">
      <c r="A251" s="24" t="s">
        <v>170</v>
      </c>
      <c r="B251" s="25">
        <v>238.10849999999999</v>
      </c>
    </row>
    <row r="252" spans="1:2" x14ac:dyDescent="0.25">
      <c r="A252" s="24" t="s">
        <v>574</v>
      </c>
      <c r="B252" s="25">
        <v>237.73360000000002</v>
      </c>
    </row>
    <row r="253" spans="1:2" x14ac:dyDescent="0.25">
      <c r="A253" s="24" t="s">
        <v>1869</v>
      </c>
      <c r="B253" s="25">
        <v>233.91000000000003</v>
      </c>
    </row>
    <row r="254" spans="1:2" x14ac:dyDescent="0.25">
      <c r="A254" s="24" t="s">
        <v>2535</v>
      </c>
      <c r="B254" s="25">
        <v>233.02740000000003</v>
      </c>
    </row>
    <row r="255" spans="1:2" x14ac:dyDescent="0.25">
      <c r="A255" s="24" t="s">
        <v>1311</v>
      </c>
      <c r="B255" s="25">
        <v>232.99719999999996</v>
      </c>
    </row>
    <row r="256" spans="1:2" x14ac:dyDescent="0.25">
      <c r="A256" s="24" t="s">
        <v>275</v>
      </c>
      <c r="B256" s="25">
        <v>232.94900000000004</v>
      </c>
    </row>
    <row r="257" spans="1:2" x14ac:dyDescent="0.25">
      <c r="A257" s="24" t="s">
        <v>897</v>
      </c>
      <c r="B257" s="25">
        <v>232.50130000000001</v>
      </c>
    </row>
    <row r="258" spans="1:2" x14ac:dyDescent="0.25">
      <c r="A258" s="24" t="s">
        <v>2431</v>
      </c>
      <c r="B258" s="25">
        <v>230.91460000000001</v>
      </c>
    </row>
    <row r="259" spans="1:2" x14ac:dyDescent="0.25">
      <c r="A259" s="24" t="s">
        <v>625</v>
      </c>
      <c r="B259" s="25">
        <v>230.72480000000002</v>
      </c>
    </row>
    <row r="260" spans="1:2" x14ac:dyDescent="0.25">
      <c r="A260" s="24" t="s">
        <v>115</v>
      </c>
      <c r="B260" s="25">
        <v>230.51459999999997</v>
      </c>
    </row>
    <row r="261" spans="1:2" x14ac:dyDescent="0.25">
      <c r="A261" s="24" t="s">
        <v>720</v>
      </c>
      <c r="B261" s="25">
        <v>229.00989999999999</v>
      </c>
    </row>
    <row r="262" spans="1:2" x14ac:dyDescent="0.25">
      <c r="A262" s="24" t="s">
        <v>882</v>
      </c>
      <c r="B262" s="25">
        <v>225.82249999999999</v>
      </c>
    </row>
    <row r="263" spans="1:2" x14ac:dyDescent="0.25">
      <c r="A263" s="24" t="s">
        <v>877</v>
      </c>
      <c r="B263" s="25">
        <v>225.57009999999997</v>
      </c>
    </row>
    <row r="264" spans="1:2" x14ac:dyDescent="0.25">
      <c r="A264" s="24" t="s">
        <v>1200</v>
      </c>
      <c r="B264" s="25">
        <v>225.17309999999998</v>
      </c>
    </row>
    <row r="265" spans="1:2" x14ac:dyDescent="0.25">
      <c r="A265" s="24" t="s">
        <v>1120</v>
      </c>
      <c r="B265" s="25">
        <v>223.7353</v>
      </c>
    </row>
    <row r="266" spans="1:2" x14ac:dyDescent="0.25">
      <c r="A266" s="24" t="s">
        <v>1798</v>
      </c>
      <c r="B266" s="25">
        <v>223.59780000000001</v>
      </c>
    </row>
    <row r="267" spans="1:2" x14ac:dyDescent="0.25">
      <c r="A267" s="24" t="s">
        <v>544</v>
      </c>
      <c r="B267" s="25">
        <v>223.2533</v>
      </c>
    </row>
    <row r="268" spans="1:2" x14ac:dyDescent="0.25">
      <c r="A268" s="24" t="s">
        <v>1721</v>
      </c>
      <c r="B268" s="25">
        <v>221.66569999999996</v>
      </c>
    </row>
    <row r="269" spans="1:2" x14ac:dyDescent="0.25">
      <c r="A269" s="24" t="s">
        <v>1756</v>
      </c>
      <c r="B269" s="25">
        <v>218.99830000000003</v>
      </c>
    </row>
    <row r="270" spans="1:2" x14ac:dyDescent="0.25">
      <c r="A270" s="24" t="s">
        <v>1475</v>
      </c>
      <c r="B270" s="25">
        <v>218.83110000000002</v>
      </c>
    </row>
    <row r="271" spans="1:2" x14ac:dyDescent="0.25">
      <c r="A271" s="24" t="s">
        <v>2585</v>
      </c>
      <c r="B271" s="25">
        <v>218.2518</v>
      </c>
    </row>
    <row r="272" spans="1:2" x14ac:dyDescent="0.25">
      <c r="A272" s="24" t="s">
        <v>2552</v>
      </c>
      <c r="B272" s="25">
        <v>215.9973</v>
      </c>
    </row>
    <row r="273" spans="1:2" x14ac:dyDescent="0.25">
      <c r="A273" s="24" t="s">
        <v>549</v>
      </c>
      <c r="B273" s="25">
        <v>215.6934</v>
      </c>
    </row>
    <row r="274" spans="1:2" x14ac:dyDescent="0.25">
      <c r="A274" s="24" t="s">
        <v>1142</v>
      </c>
      <c r="B274" s="25">
        <v>215.40270000000001</v>
      </c>
    </row>
    <row r="275" spans="1:2" x14ac:dyDescent="0.25">
      <c r="A275" s="24" t="s">
        <v>194</v>
      </c>
      <c r="B275" s="25">
        <v>214.86699999999999</v>
      </c>
    </row>
    <row r="276" spans="1:2" x14ac:dyDescent="0.25">
      <c r="A276" s="24" t="s">
        <v>608</v>
      </c>
      <c r="B276" s="25">
        <v>212.49069999999998</v>
      </c>
    </row>
    <row r="277" spans="1:2" x14ac:dyDescent="0.25">
      <c r="A277" s="24" t="s">
        <v>833</v>
      </c>
      <c r="B277" s="25">
        <v>212.07089999999997</v>
      </c>
    </row>
    <row r="278" spans="1:2" x14ac:dyDescent="0.25">
      <c r="A278" s="24" t="s">
        <v>601</v>
      </c>
      <c r="B278" s="25">
        <v>211.93960000000001</v>
      </c>
    </row>
    <row r="279" spans="1:2" x14ac:dyDescent="0.25">
      <c r="A279" s="24" t="s">
        <v>495</v>
      </c>
      <c r="B279" s="25">
        <v>211.76179999999999</v>
      </c>
    </row>
    <row r="280" spans="1:2" x14ac:dyDescent="0.25">
      <c r="A280" s="24" t="s">
        <v>360</v>
      </c>
      <c r="B280" s="25">
        <v>209.93790000000004</v>
      </c>
    </row>
    <row r="281" spans="1:2" x14ac:dyDescent="0.25">
      <c r="A281" s="24" t="s">
        <v>1544</v>
      </c>
      <c r="B281" s="25">
        <v>208.93449999999996</v>
      </c>
    </row>
    <row r="282" spans="1:2" x14ac:dyDescent="0.25">
      <c r="A282" s="24" t="s">
        <v>846</v>
      </c>
      <c r="B282" s="25">
        <v>207.84980000000002</v>
      </c>
    </row>
    <row r="283" spans="1:2" x14ac:dyDescent="0.25">
      <c r="A283" s="24" t="s">
        <v>2421</v>
      </c>
      <c r="B283" s="25">
        <v>207.34809999999999</v>
      </c>
    </row>
    <row r="284" spans="1:2" x14ac:dyDescent="0.25">
      <c r="A284" s="24" t="s">
        <v>1924</v>
      </c>
      <c r="B284" s="25">
        <v>207.28100000000003</v>
      </c>
    </row>
    <row r="285" spans="1:2" x14ac:dyDescent="0.25">
      <c r="A285" s="24" t="s">
        <v>2098</v>
      </c>
      <c r="B285" s="25">
        <v>206.33299999999994</v>
      </c>
    </row>
    <row r="286" spans="1:2" x14ac:dyDescent="0.25">
      <c r="A286" s="24" t="s">
        <v>2124</v>
      </c>
      <c r="B286" s="25">
        <v>205.18510000000001</v>
      </c>
    </row>
    <row r="287" spans="1:2" x14ac:dyDescent="0.25">
      <c r="A287" s="24" t="s">
        <v>1012</v>
      </c>
      <c r="B287" s="25">
        <v>203.83670000000001</v>
      </c>
    </row>
    <row r="288" spans="1:2" x14ac:dyDescent="0.25">
      <c r="A288" s="24" t="s">
        <v>1500</v>
      </c>
      <c r="B288" s="25">
        <v>203.285</v>
      </c>
    </row>
    <row r="289" spans="1:2" x14ac:dyDescent="0.25">
      <c r="A289" s="24" t="s">
        <v>1940</v>
      </c>
      <c r="B289" s="25">
        <v>202.3449</v>
      </c>
    </row>
    <row r="290" spans="1:2" x14ac:dyDescent="0.25">
      <c r="A290" s="24" t="s">
        <v>855</v>
      </c>
      <c r="B290" s="25">
        <v>202.14660000000001</v>
      </c>
    </row>
    <row r="291" spans="1:2" x14ac:dyDescent="0.25">
      <c r="A291" s="24" t="s">
        <v>2087</v>
      </c>
      <c r="B291" s="25">
        <v>201.23199999999997</v>
      </c>
    </row>
    <row r="292" spans="1:2" x14ac:dyDescent="0.25">
      <c r="A292" s="24" t="s">
        <v>1875</v>
      </c>
      <c r="B292" s="25">
        <v>201.15419999999997</v>
      </c>
    </row>
    <row r="293" spans="1:2" x14ac:dyDescent="0.25">
      <c r="A293" s="24" t="s">
        <v>2219</v>
      </c>
      <c r="B293" s="25">
        <v>200.25359999999998</v>
      </c>
    </row>
    <row r="294" spans="1:2" x14ac:dyDescent="0.25">
      <c r="A294" s="24" t="s">
        <v>1948</v>
      </c>
      <c r="B294" s="25">
        <v>198.7851</v>
      </c>
    </row>
    <row r="295" spans="1:2" x14ac:dyDescent="0.25">
      <c r="A295" s="24" t="s">
        <v>2394</v>
      </c>
      <c r="B295" s="25">
        <v>196.59359999999998</v>
      </c>
    </row>
    <row r="296" spans="1:2" x14ac:dyDescent="0.25">
      <c r="A296" s="24" t="s">
        <v>2358</v>
      </c>
      <c r="B296" s="25">
        <v>196.4588</v>
      </c>
    </row>
    <row r="297" spans="1:2" x14ac:dyDescent="0.25">
      <c r="A297" s="24" t="s">
        <v>1140</v>
      </c>
      <c r="B297" s="25">
        <v>196.398</v>
      </c>
    </row>
    <row r="298" spans="1:2" x14ac:dyDescent="0.25">
      <c r="A298" s="24" t="s">
        <v>425</v>
      </c>
      <c r="B298" s="25">
        <v>195.5095</v>
      </c>
    </row>
    <row r="299" spans="1:2" x14ac:dyDescent="0.25">
      <c r="A299" s="24" t="s">
        <v>48</v>
      </c>
      <c r="B299" s="25">
        <v>194.0821</v>
      </c>
    </row>
    <row r="300" spans="1:2" x14ac:dyDescent="0.25">
      <c r="A300" s="24" t="s">
        <v>581</v>
      </c>
      <c r="B300" s="25">
        <v>194.03729999999999</v>
      </c>
    </row>
    <row r="301" spans="1:2" x14ac:dyDescent="0.25">
      <c r="A301" s="24" t="s">
        <v>2010</v>
      </c>
      <c r="B301" s="25">
        <v>193.96100000000001</v>
      </c>
    </row>
    <row r="302" spans="1:2" x14ac:dyDescent="0.25">
      <c r="A302" s="24" t="s">
        <v>1136</v>
      </c>
      <c r="B302" s="25">
        <v>193.91990000000001</v>
      </c>
    </row>
    <row r="303" spans="1:2" x14ac:dyDescent="0.25">
      <c r="A303" s="24" t="s">
        <v>1573</v>
      </c>
      <c r="B303" s="25">
        <v>193.57990000000001</v>
      </c>
    </row>
    <row r="304" spans="1:2" x14ac:dyDescent="0.25">
      <c r="A304" s="24" t="s">
        <v>1918</v>
      </c>
      <c r="B304" s="25">
        <v>192.64100000000002</v>
      </c>
    </row>
    <row r="305" spans="1:2" x14ac:dyDescent="0.25">
      <c r="A305" s="24" t="s">
        <v>1363</v>
      </c>
      <c r="B305" s="25">
        <v>191.84640000000002</v>
      </c>
    </row>
    <row r="306" spans="1:2" x14ac:dyDescent="0.25">
      <c r="A306" s="24" t="s">
        <v>1196</v>
      </c>
      <c r="B306" s="25">
        <v>191.64030000000002</v>
      </c>
    </row>
    <row r="307" spans="1:2" x14ac:dyDescent="0.25">
      <c r="A307" s="24" t="s">
        <v>989</v>
      </c>
      <c r="B307" s="25">
        <v>191.5548</v>
      </c>
    </row>
    <row r="308" spans="1:2" x14ac:dyDescent="0.25">
      <c r="A308" s="24" t="s">
        <v>2123</v>
      </c>
      <c r="B308" s="25">
        <v>191.05760000000001</v>
      </c>
    </row>
    <row r="309" spans="1:2" x14ac:dyDescent="0.25">
      <c r="A309" s="24" t="s">
        <v>1624</v>
      </c>
      <c r="B309" s="25">
        <v>189.23700000000002</v>
      </c>
    </row>
    <row r="310" spans="1:2" x14ac:dyDescent="0.25">
      <c r="A310" s="24" t="s">
        <v>1370</v>
      </c>
      <c r="B310" s="25">
        <v>187.87080000000003</v>
      </c>
    </row>
    <row r="311" spans="1:2" x14ac:dyDescent="0.25">
      <c r="A311" s="24" t="s">
        <v>1448</v>
      </c>
      <c r="B311" s="25">
        <v>186.3143</v>
      </c>
    </row>
    <row r="312" spans="1:2" x14ac:dyDescent="0.25">
      <c r="A312" s="24" t="s">
        <v>1538</v>
      </c>
      <c r="B312" s="25">
        <v>185.57579999999996</v>
      </c>
    </row>
    <row r="313" spans="1:2" x14ac:dyDescent="0.25">
      <c r="A313" s="24" t="s">
        <v>1831</v>
      </c>
      <c r="B313" s="25">
        <v>185.41959999999997</v>
      </c>
    </row>
    <row r="314" spans="1:2" x14ac:dyDescent="0.25">
      <c r="A314" s="24" t="s">
        <v>291</v>
      </c>
      <c r="B314" s="25">
        <v>184.4948</v>
      </c>
    </row>
    <row r="315" spans="1:2" x14ac:dyDescent="0.25">
      <c r="A315" s="24" t="s">
        <v>1254</v>
      </c>
      <c r="B315" s="25">
        <v>183.93379999999999</v>
      </c>
    </row>
    <row r="316" spans="1:2" x14ac:dyDescent="0.25">
      <c r="A316" s="24" t="s">
        <v>1384</v>
      </c>
      <c r="B316" s="25">
        <v>182.72170000000003</v>
      </c>
    </row>
    <row r="317" spans="1:2" x14ac:dyDescent="0.25">
      <c r="A317" s="24" t="s">
        <v>1585</v>
      </c>
      <c r="B317" s="25">
        <v>180.82840000000002</v>
      </c>
    </row>
    <row r="318" spans="1:2" x14ac:dyDescent="0.25">
      <c r="A318" s="24" t="s">
        <v>859</v>
      </c>
      <c r="B318" s="25">
        <v>180.39460000000003</v>
      </c>
    </row>
    <row r="319" spans="1:2" x14ac:dyDescent="0.25">
      <c r="A319" s="24" t="s">
        <v>1660</v>
      </c>
      <c r="B319" s="25">
        <v>175.20419999999999</v>
      </c>
    </row>
    <row r="320" spans="1:2" x14ac:dyDescent="0.25">
      <c r="A320" s="24" t="s">
        <v>498</v>
      </c>
      <c r="B320" s="25">
        <v>174.94740000000002</v>
      </c>
    </row>
    <row r="321" spans="1:2" x14ac:dyDescent="0.25">
      <c r="A321" s="24" t="s">
        <v>1008</v>
      </c>
      <c r="B321" s="25">
        <v>174.09860000000012</v>
      </c>
    </row>
    <row r="322" spans="1:2" x14ac:dyDescent="0.25">
      <c r="A322" s="24" t="s">
        <v>245</v>
      </c>
      <c r="B322" s="25">
        <v>174.01320000000001</v>
      </c>
    </row>
    <row r="323" spans="1:2" x14ac:dyDescent="0.25">
      <c r="A323" s="24" t="s">
        <v>1407</v>
      </c>
      <c r="B323" s="25">
        <v>173.78589999999997</v>
      </c>
    </row>
    <row r="324" spans="1:2" x14ac:dyDescent="0.25">
      <c r="A324" s="24" t="s">
        <v>2178</v>
      </c>
      <c r="B324" s="25">
        <v>172.58420000000001</v>
      </c>
    </row>
    <row r="325" spans="1:2" x14ac:dyDescent="0.25">
      <c r="A325" s="24" t="s">
        <v>2062</v>
      </c>
      <c r="B325" s="25">
        <v>172.07210000000001</v>
      </c>
    </row>
    <row r="326" spans="1:2" x14ac:dyDescent="0.25">
      <c r="A326" s="24" t="s">
        <v>2583</v>
      </c>
      <c r="B326" s="25">
        <v>171.44400000000002</v>
      </c>
    </row>
    <row r="327" spans="1:2" x14ac:dyDescent="0.25">
      <c r="A327" s="24" t="s">
        <v>1404</v>
      </c>
      <c r="B327" s="25">
        <v>170.97460000000007</v>
      </c>
    </row>
    <row r="328" spans="1:2" x14ac:dyDescent="0.25">
      <c r="A328" s="24" t="s">
        <v>1805</v>
      </c>
      <c r="B328" s="25">
        <v>170.87970000000001</v>
      </c>
    </row>
    <row r="329" spans="1:2" x14ac:dyDescent="0.25">
      <c r="A329" s="24" t="s">
        <v>867</v>
      </c>
      <c r="B329" s="25">
        <v>169.51669999999999</v>
      </c>
    </row>
    <row r="330" spans="1:2" x14ac:dyDescent="0.25">
      <c r="A330" s="24" t="s">
        <v>1118</v>
      </c>
      <c r="B330" s="25">
        <v>169.14330000000001</v>
      </c>
    </row>
    <row r="331" spans="1:2" x14ac:dyDescent="0.25">
      <c r="A331" s="24" t="s">
        <v>1153</v>
      </c>
      <c r="B331" s="25">
        <v>169.09</v>
      </c>
    </row>
    <row r="332" spans="1:2" x14ac:dyDescent="0.25">
      <c r="A332" s="24" t="s">
        <v>1939</v>
      </c>
      <c r="B332" s="25">
        <v>168.79330000000002</v>
      </c>
    </row>
    <row r="333" spans="1:2" x14ac:dyDescent="0.25">
      <c r="A333" s="24" t="s">
        <v>316</v>
      </c>
      <c r="B333" s="25">
        <v>168.00630000000001</v>
      </c>
    </row>
    <row r="334" spans="1:2" x14ac:dyDescent="0.25">
      <c r="A334" s="24" t="s">
        <v>1891</v>
      </c>
      <c r="B334" s="25">
        <v>164.35180000000003</v>
      </c>
    </row>
    <row r="335" spans="1:2" x14ac:dyDescent="0.25">
      <c r="A335" s="24" t="s">
        <v>2073</v>
      </c>
      <c r="B335" s="25">
        <v>163.953</v>
      </c>
    </row>
    <row r="336" spans="1:2" x14ac:dyDescent="0.25">
      <c r="A336" s="24" t="s">
        <v>2099</v>
      </c>
      <c r="B336" s="25">
        <v>163.85809999999998</v>
      </c>
    </row>
    <row r="337" spans="1:2" x14ac:dyDescent="0.25">
      <c r="A337" s="24" t="s">
        <v>966</v>
      </c>
      <c r="B337" s="25">
        <v>163.37479999999999</v>
      </c>
    </row>
    <row r="338" spans="1:2" x14ac:dyDescent="0.25">
      <c r="A338" s="24" t="s">
        <v>1393</v>
      </c>
      <c r="B338" s="25">
        <v>162.95400000000001</v>
      </c>
    </row>
    <row r="339" spans="1:2" x14ac:dyDescent="0.25">
      <c r="A339" s="24" t="s">
        <v>34</v>
      </c>
      <c r="B339" s="25">
        <v>162.87809999999999</v>
      </c>
    </row>
    <row r="340" spans="1:2" x14ac:dyDescent="0.25">
      <c r="A340" s="24" t="s">
        <v>858</v>
      </c>
      <c r="B340" s="25">
        <v>162.85380000000004</v>
      </c>
    </row>
    <row r="341" spans="1:2" x14ac:dyDescent="0.25">
      <c r="A341" s="24" t="s">
        <v>2038</v>
      </c>
      <c r="B341" s="25">
        <v>160.7448</v>
      </c>
    </row>
    <row r="342" spans="1:2" x14ac:dyDescent="0.25">
      <c r="A342" s="24" t="s">
        <v>1758</v>
      </c>
      <c r="B342" s="25">
        <v>159.54529999999997</v>
      </c>
    </row>
    <row r="343" spans="1:2" x14ac:dyDescent="0.25">
      <c r="A343" s="24" t="s">
        <v>895</v>
      </c>
      <c r="B343" s="25">
        <v>158.72300000000004</v>
      </c>
    </row>
    <row r="344" spans="1:2" x14ac:dyDescent="0.25">
      <c r="A344" s="24" t="s">
        <v>638</v>
      </c>
      <c r="B344" s="25">
        <v>158.71829999999997</v>
      </c>
    </row>
    <row r="345" spans="1:2" x14ac:dyDescent="0.25">
      <c r="A345" s="24" t="s">
        <v>1992</v>
      </c>
      <c r="B345" s="25">
        <v>158.529</v>
      </c>
    </row>
    <row r="346" spans="1:2" x14ac:dyDescent="0.25">
      <c r="A346" s="24" t="s">
        <v>1416</v>
      </c>
      <c r="B346" s="25">
        <v>157.51170000000002</v>
      </c>
    </row>
    <row r="347" spans="1:2" x14ac:dyDescent="0.25">
      <c r="A347" s="24" t="s">
        <v>475</v>
      </c>
      <c r="B347" s="25">
        <v>156.40300000000002</v>
      </c>
    </row>
    <row r="348" spans="1:2" x14ac:dyDescent="0.25">
      <c r="A348" s="24" t="s">
        <v>2360</v>
      </c>
      <c r="B348" s="25">
        <v>156.25930000000002</v>
      </c>
    </row>
    <row r="349" spans="1:2" x14ac:dyDescent="0.25">
      <c r="A349" s="24" t="s">
        <v>868</v>
      </c>
      <c r="B349" s="25">
        <v>155.33429999999998</v>
      </c>
    </row>
    <row r="350" spans="1:2" x14ac:dyDescent="0.25">
      <c r="A350" s="24" t="s">
        <v>1772</v>
      </c>
      <c r="B350" s="25">
        <v>155.28389999999999</v>
      </c>
    </row>
    <row r="351" spans="1:2" x14ac:dyDescent="0.25">
      <c r="A351" s="24" t="s">
        <v>729</v>
      </c>
      <c r="B351" s="25">
        <v>154.63040000000004</v>
      </c>
    </row>
    <row r="352" spans="1:2" x14ac:dyDescent="0.25">
      <c r="A352" s="24" t="s">
        <v>2036</v>
      </c>
      <c r="B352" s="25">
        <v>154.32050000000001</v>
      </c>
    </row>
    <row r="353" spans="1:2" x14ac:dyDescent="0.25">
      <c r="A353" s="24" t="s">
        <v>2375</v>
      </c>
      <c r="B353" s="25">
        <v>153.3443</v>
      </c>
    </row>
    <row r="354" spans="1:2" x14ac:dyDescent="0.25">
      <c r="A354" s="24" t="s">
        <v>201</v>
      </c>
      <c r="B354" s="25">
        <v>152.56610000000001</v>
      </c>
    </row>
    <row r="355" spans="1:2" x14ac:dyDescent="0.25">
      <c r="A355" s="24" t="s">
        <v>745</v>
      </c>
      <c r="B355" s="25">
        <v>151.46699999999998</v>
      </c>
    </row>
    <row r="356" spans="1:2" x14ac:dyDescent="0.25">
      <c r="A356" s="24" t="s">
        <v>935</v>
      </c>
      <c r="B356" s="25">
        <v>150.9564</v>
      </c>
    </row>
    <row r="357" spans="1:2" x14ac:dyDescent="0.25">
      <c r="A357" s="24" t="s">
        <v>1283</v>
      </c>
      <c r="B357" s="25">
        <v>149.56599999999997</v>
      </c>
    </row>
    <row r="358" spans="1:2" x14ac:dyDescent="0.25">
      <c r="A358" s="24" t="s">
        <v>1864</v>
      </c>
      <c r="B358" s="25">
        <v>148.59290000000001</v>
      </c>
    </row>
    <row r="359" spans="1:2" x14ac:dyDescent="0.25">
      <c r="A359" s="24" t="s">
        <v>1071</v>
      </c>
      <c r="B359" s="25">
        <v>147.7912</v>
      </c>
    </row>
    <row r="360" spans="1:2" x14ac:dyDescent="0.25">
      <c r="A360" s="24" t="s">
        <v>562</v>
      </c>
      <c r="B360" s="25">
        <v>146.0668</v>
      </c>
    </row>
    <row r="361" spans="1:2" x14ac:dyDescent="0.25">
      <c r="A361" s="24" t="s">
        <v>777</v>
      </c>
      <c r="B361" s="25">
        <v>145.95850000000002</v>
      </c>
    </row>
    <row r="362" spans="1:2" x14ac:dyDescent="0.25">
      <c r="A362" s="24" t="s">
        <v>300</v>
      </c>
      <c r="B362" s="25">
        <v>145.6129</v>
      </c>
    </row>
    <row r="363" spans="1:2" x14ac:dyDescent="0.25">
      <c r="A363" s="24" t="s">
        <v>22</v>
      </c>
      <c r="B363" s="25">
        <v>145.02540000000002</v>
      </c>
    </row>
    <row r="364" spans="1:2" x14ac:dyDescent="0.25">
      <c r="A364" s="24" t="s">
        <v>1623</v>
      </c>
      <c r="B364" s="25">
        <v>144.6035</v>
      </c>
    </row>
    <row r="365" spans="1:2" x14ac:dyDescent="0.25">
      <c r="A365" s="24" t="s">
        <v>1967</v>
      </c>
      <c r="B365" s="25">
        <v>144.48640000000003</v>
      </c>
    </row>
    <row r="366" spans="1:2" x14ac:dyDescent="0.25">
      <c r="A366" s="24" t="s">
        <v>221</v>
      </c>
      <c r="B366" s="25">
        <v>144.27179999999996</v>
      </c>
    </row>
    <row r="367" spans="1:2" x14ac:dyDescent="0.25">
      <c r="A367" s="24" t="s">
        <v>2211</v>
      </c>
      <c r="B367" s="25">
        <v>141.72670000000002</v>
      </c>
    </row>
    <row r="368" spans="1:2" x14ac:dyDescent="0.25">
      <c r="A368" s="24" t="s">
        <v>377</v>
      </c>
      <c r="B368" s="25">
        <v>141.26499999999999</v>
      </c>
    </row>
    <row r="369" spans="1:2" x14ac:dyDescent="0.25">
      <c r="A369" s="24" t="s">
        <v>1507</v>
      </c>
      <c r="B369" s="25">
        <v>140.69689999999997</v>
      </c>
    </row>
    <row r="370" spans="1:2" x14ac:dyDescent="0.25">
      <c r="A370" s="24" t="s">
        <v>1548</v>
      </c>
      <c r="B370" s="25">
        <v>140.21440000000001</v>
      </c>
    </row>
    <row r="371" spans="1:2" x14ac:dyDescent="0.25">
      <c r="A371" s="24" t="s">
        <v>565</v>
      </c>
      <c r="B371" s="25">
        <v>140.06709999999998</v>
      </c>
    </row>
    <row r="372" spans="1:2" x14ac:dyDescent="0.25">
      <c r="A372" s="24" t="s">
        <v>2196</v>
      </c>
      <c r="B372" s="25">
        <v>138.71620000000001</v>
      </c>
    </row>
    <row r="373" spans="1:2" x14ac:dyDescent="0.25">
      <c r="A373" s="24" t="s">
        <v>2088</v>
      </c>
      <c r="B373" s="25">
        <v>135.85759999999999</v>
      </c>
    </row>
    <row r="374" spans="1:2" x14ac:dyDescent="0.25">
      <c r="A374" s="24" t="s">
        <v>2047</v>
      </c>
      <c r="B374" s="25">
        <v>135.75850000000003</v>
      </c>
    </row>
    <row r="375" spans="1:2" x14ac:dyDescent="0.25">
      <c r="A375" s="24" t="s">
        <v>1893</v>
      </c>
      <c r="B375" s="25">
        <v>132.99</v>
      </c>
    </row>
    <row r="376" spans="1:2" x14ac:dyDescent="0.25">
      <c r="A376" s="24" t="s">
        <v>1357</v>
      </c>
      <c r="B376" s="25">
        <v>132.25980000000001</v>
      </c>
    </row>
    <row r="377" spans="1:2" x14ac:dyDescent="0.25">
      <c r="A377" s="24" t="s">
        <v>2155</v>
      </c>
      <c r="B377" s="25">
        <v>131.88810000000001</v>
      </c>
    </row>
    <row r="378" spans="1:2" x14ac:dyDescent="0.25">
      <c r="A378" s="24" t="s">
        <v>2188</v>
      </c>
      <c r="B378" s="25">
        <v>127.41200000000001</v>
      </c>
    </row>
    <row r="379" spans="1:2" x14ac:dyDescent="0.25">
      <c r="A379" s="24" t="s">
        <v>1594</v>
      </c>
      <c r="B379" s="25">
        <v>127.04199999999999</v>
      </c>
    </row>
    <row r="380" spans="1:2" x14ac:dyDescent="0.25">
      <c r="A380" s="24" t="s">
        <v>227</v>
      </c>
      <c r="B380" s="25">
        <v>126.8973</v>
      </c>
    </row>
    <row r="381" spans="1:2" x14ac:dyDescent="0.25">
      <c r="A381" s="24" t="s">
        <v>73</v>
      </c>
      <c r="B381" s="25">
        <v>126.76490000000001</v>
      </c>
    </row>
    <row r="382" spans="1:2" x14ac:dyDescent="0.25">
      <c r="A382" s="24" t="s">
        <v>1299</v>
      </c>
      <c r="B382" s="25">
        <v>124.92959999999999</v>
      </c>
    </row>
    <row r="383" spans="1:2" x14ac:dyDescent="0.25">
      <c r="A383" s="24" t="s">
        <v>1333</v>
      </c>
      <c r="B383" s="25">
        <v>124.09</v>
      </c>
    </row>
    <row r="384" spans="1:2" x14ac:dyDescent="0.25">
      <c r="A384" s="24" t="s">
        <v>1087</v>
      </c>
      <c r="B384" s="25">
        <v>122.87089999999999</v>
      </c>
    </row>
    <row r="385" spans="1:2" x14ac:dyDescent="0.25">
      <c r="A385" s="24" t="s">
        <v>551</v>
      </c>
      <c r="B385" s="25">
        <v>121.47159999999998</v>
      </c>
    </row>
    <row r="386" spans="1:2" x14ac:dyDescent="0.25">
      <c r="A386" s="24" t="s">
        <v>1248</v>
      </c>
      <c r="B386" s="25">
        <v>119.4276</v>
      </c>
    </row>
    <row r="387" spans="1:2" x14ac:dyDescent="0.25">
      <c r="A387" s="24" t="s">
        <v>66</v>
      </c>
      <c r="B387" s="25">
        <v>118.46100000000001</v>
      </c>
    </row>
    <row r="388" spans="1:2" x14ac:dyDescent="0.25">
      <c r="A388" s="24" t="s">
        <v>2225</v>
      </c>
      <c r="B388" s="25">
        <v>116.9461</v>
      </c>
    </row>
    <row r="389" spans="1:2" x14ac:dyDescent="0.25">
      <c r="A389" s="24" t="s">
        <v>1838</v>
      </c>
      <c r="B389" s="25">
        <v>116.86799999999999</v>
      </c>
    </row>
    <row r="390" spans="1:2" x14ac:dyDescent="0.25">
      <c r="A390" s="24" t="s">
        <v>2311</v>
      </c>
      <c r="B390" s="25">
        <v>115.71679999999999</v>
      </c>
    </row>
    <row r="391" spans="1:2" x14ac:dyDescent="0.25">
      <c r="A391" s="24" t="s">
        <v>2023</v>
      </c>
      <c r="B391" s="25">
        <v>113.17909999999999</v>
      </c>
    </row>
    <row r="392" spans="1:2" x14ac:dyDescent="0.25">
      <c r="A392" s="24" t="s">
        <v>931</v>
      </c>
      <c r="B392" s="25">
        <v>112.95859999999999</v>
      </c>
    </row>
    <row r="393" spans="1:2" x14ac:dyDescent="0.25">
      <c r="A393" s="24" t="s">
        <v>389</v>
      </c>
      <c r="B393" s="25">
        <v>112.9217</v>
      </c>
    </row>
    <row r="394" spans="1:2" x14ac:dyDescent="0.25">
      <c r="A394" s="24" t="s">
        <v>626</v>
      </c>
      <c r="B394" s="25">
        <v>112.51560000000002</v>
      </c>
    </row>
    <row r="395" spans="1:2" x14ac:dyDescent="0.25">
      <c r="A395" s="24" t="s">
        <v>2540</v>
      </c>
      <c r="B395" s="25">
        <v>112.422</v>
      </c>
    </row>
    <row r="396" spans="1:2" x14ac:dyDescent="0.25">
      <c r="A396" s="24" t="s">
        <v>807</v>
      </c>
      <c r="B396" s="25">
        <v>112.38069999999999</v>
      </c>
    </row>
    <row r="397" spans="1:2" x14ac:dyDescent="0.25">
      <c r="A397" s="24" t="s">
        <v>894</v>
      </c>
      <c r="B397" s="25">
        <v>111.2706</v>
      </c>
    </row>
    <row r="398" spans="1:2" x14ac:dyDescent="0.25">
      <c r="A398" s="24" t="s">
        <v>621</v>
      </c>
      <c r="B398" s="25">
        <v>110.30799999999999</v>
      </c>
    </row>
    <row r="399" spans="1:2" x14ac:dyDescent="0.25">
      <c r="A399" s="24" t="s">
        <v>445</v>
      </c>
      <c r="B399" s="25">
        <v>110.1253</v>
      </c>
    </row>
    <row r="400" spans="1:2" x14ac:dyDescent="0.25">
      <c r="A400" s="24" t="s">
        <v>1848</v>
      </c>
      <c r="B400" s="25">
        <v>109.82010000000001</v>
      </c>
    </row>
    <row r="401" spans="1:2" x14ac:dyDescent="0.25">
      <c r="A401" s="24" t="s">
        <v>821</v>
      </c>
      <c r="B401" s="25">
        <v>109.80940000000001</v>
      </c>
    </row>
    <row r="402" spans="1:2" x14ac:dyDescent="0.25">
      <c r="A402" s="24" t="s">
        <v>1771</v>
      </c>
      <c r="B402" s="25">
        <v>109.48479999999999</v>
      </c>
    </row>
    <row r="403" spans="1:2" x14ac:dyDescent="0.25">
      <c r="A403" s="24" t="s">
        <v>1553</v>
      </c>
      <c r="B403" s="25">
        <v>108.9816</v>
      </c>
    </row>
    <row r="404" spans="1:2" x14ac:dyDescent="0.25">
      <c r="A404" s="24" t="s">
        <v>1401</v>
      </c>
      <c r="B404" s="25">
        <v>108.86039999999997</v>
      </c>
    </row>
    <row r="405" spans="1:2" x14ac:dyDescent="0.25">
      <c r="A405" s="24" t="s">
        <v>1063</v>
      </c>
      <c r="B405" s="25">
        <v>108.6515</v>
      </c>
    </row>
    <row r="406" spans="1:2" x14ac:dyDescent="0.25">
      <c r="A406" s="24" t="s">
        <v>2520</v>
      </c>
      <c r="B406" s="25">
        <v>107.985</v>
      </c>
    </row>
    <row r="407" spans="1:2" x14ac:dyDescent="0.25">
      <c r="A407" s="24" t="s">
        <v>2065</v>
      </c>
      <c r="B407" s="25">
        <v>107.93899999999999</v>
      </c>
    </row>
    <row r="408" spans="1:2" x14ac:dyDescent="0.25">
      <c r="A408" s="24" t="s">
        <v>1484</v>
      </c>
      <c r="B408" s="25">
        <v>107.68940000000001</v>
      </c>
    </row>
    <row r="409" spans="1:2" x14ac:dyDescent="0.25">
      <c r="A409" s="24" t="s">
        <v>2456</v>
      </c>
      <c r="B409" s="25">
        <v>106.96629999999999</v>
      </c>
    </row>
    <row r="410" spans="1:2" x14ac:dyDescent="0.25">
      <c r="A410" s="24" t="s">
        <v>460</v>
      </c>
      <c r="B410" s="25">
        <v>106.89120000000001</v>
      </c>
    </row>
    <row r="411" spans="1:2" x14ac:dyDescent="0.25">
      <c r="A411" s="24" t="s">
        <v>2022</v>
      </c>
      <c r="B411" s="25">
        <v>105.44240000000001</v>
      </c>
    </row>
    <row r="412" spans="1:2" x14ac:dyDescent="0.25">
      <c r="A412" s="24" t="s">
        <v>1678</v>
      </c>
      <c r="B412" s="25">
        <v>104.48669999999998</v>
      </c>
    </row>
    <row r="413" spans="1:2" x14ac:dyDescent="0.25">
      <c r="A413" s="24" t="s">
        <v>1913</v>
      </c>
      <c r="B413" s="25">
        <v>102.56280000000002</v>
      </c>
    </row>
    <row r="414" spans="1:2" x14ac:dyDescent="0.25">
      <c r="A414" s="24" t="s">
        <v>1453</v>
      </c>
      <c r="B414" s="25">
        <v>101.0523</v>
      </c>
    </row>
    <row r="415" spans="1:2" x14ac:dyDescent="0.25">
      <c r="A415" s="24" t="s">
        <v>2147</v>
      </c>
      <c r="B415" s="25">
        <v>100.98089999999999</v>
      </c>
    </row>
    <row r="416" spans="1:2" x14ac:dyDescent="0.25">
      <c r="A416" s="24" t="s">
        <v>2012</v>
      </c>
      <c r="B416" s="25">
        <v>100.4472</v>
      </c>
    </row>
    <row r="417" spans="1:2" x14ac:dyDescent="0.25">
      <c r="A417" s="24" t="s">
        <v>364</v>
      </c>
      <c r="B417" s="25">
        <v>100.23779999999999</v>
      </c>
    </row>
    <row r="418" spans="1:2" x14ac:dyDescent="0.25">
      <c r="A418" s="24" t="s">
        <v>1698</v>
      </c>
      <c r="B418" s="25">
        <v>99.93980000000002</v>
      </c>
    </row>
    <row r="419" spans="1:2" x14ac:dyDescent="0.25">
      <c r="A419" s="24" t="s">
        <v>1464</v>
      </c>
      <c r="B419" s="25">
        <v>99.747399999999999</v>
      </c>
    </row>
    <row r="420" spans="1:2" x14ac:dyDescent="0.25">
      <c r="A420" s="24" t="s">
        <v>817</v>
      </c>
      <c r="B420" s="25">
        <v>98.997499999999988</v>
      </c>
    </row>
    <row r="421" spans="1:2" x14ac:dyDescent="0.25">
      <c r="A421" s="24" t="s">
        <v>751</v>
      </c>
      <c r="B421" s="25">
        <v>98.638700000000014</v>
      </c>
    </row>
    <row r="422" spans="1:2" x14ac:dyDescent="0.25">
      <c r="A422" s="24" t="s">
        <v>354</v>
      </c>
      <c r="B422" s="25">
        <v>98.016099999999994</v>
      </c>
    </row>
    <row r="423" spans="1:2" x14ac:dyDescent="0.25">
      <c r="A423" s="24" t="s">
        <v>1290</v>
      </c>
      <c r="B423" s="25">
        <v>97.8733</v>
      </c>
    </row>
    <row r="424" spans="1:2" x14ac:dyDescent="0.25">
      <c r="A424" s="24" t="s">
        <v>1336</v>
      </c>
      <c r="B424" s="25">
        <v>97.723399999999998</v>
      </c>
    </row>
    <row r="425" spans="1:2" x14ac:dyDescent="0.25">
      <c r="A425" s="24" t="s">
        <v>1382</v>
      </c>
      <c r="B425" s="25">
        <v>97.670600000000007</v>
      </c>
    </row>
    <row r="426" spans="1:2" x14ac:dyDescent="0.25">
      <c r="A426" s="24" t="s">
        <v>1524</v>
      </c>
      <c r="B426" s="25">
        <v>97.164100000000005</v>
      </c>
    </row>
    <row r="427" spans="1:2" x14ac:dyDescent="0.25">
      <c r="A427" s="24" t="s">
        <v>594</v>
      </c>
      <c r="B427" s="25">
        <v>95.838300000000004</v>
      </c>
    </row>
    <row r="428" spans="1:2" x14ac:dyDescent="0.25">
      <c r="A428" s="24" t="s">
        <v>842</v>
      </c>
      <c r="B428" s="25">
        <v>95.658799999999985</v>
      </c>
    </row>
    <row r="429" spans="1:2" x14ac:dyDescent="0.25">
      <c r="A429" s="24" t="s">
        <v>342</v>
      </c>
      <c r="B429" s="25">
        <v>94.977699999999999</v>
      </c>
    </row>
    <row r="430" spans="1:2" x14ac:dyDescent="0.25">
      <c r="A430" s="24" t="s">
        <v>349</v>
      </c>
      <c r="B430" s="25">
        <v>93.02200000000002</v>
      </c>
    </row>
    <row r="431" spans="1:2" x14ac:dyDescent="0.25">
      <c r="A431" s="24" t="s">
        <v>853</v>
      </c>
      <c r="B431" s="25">
        <v>91.660599999999988</v>
      </c>
    </row>
    <row r="432" spans="1:2" x14ac:dyDescent="0.25">
      <c r="A432" s="24" t="s">
        <v>1905</v>
      </c>
      <c r="B432" s="25">
        <v>90.494</v>
      </c>
    </row>
    <row r="433" spans="1:2" x14ac:dyDescent="0.25">
      <c r="A433" s="24" t="s">
        <v>2414</v>
      </c>
      <c r="B433" s="25">
        <v>87.854399999999998</v>
      </c>
    </row>
    <row r="434" spans="1:2" x14ac:dyDescent="0.25">
      <c r="A434" s="24" t="s">
        <v>1114</v>
      </c>
      <c r="B434" s="25">
        <v>87.381599999999992</v>
      </c>
    </row>
    <row r="435" spans="1:2" x14ac:dyDescent="0.25">
      <c r="A435" s="24" t="s">
        <v>393</v>
      </c>
      <c r="B435" s="25">
        <v>86.961100000000002</v>
      </c>
    </row>
    <row r="436" spans="1:2" x14ac:dyDescent="0.25">
      <c r="A436" s="24" t="s">
        <v>9</v>
      </c>
      <c r="B436" s="25">
        <v>86.515999999999991</v>
      </c>
    </row>
    <row r="437" spans="1:2" x14ac:dyDescent="0.25">
      <c r="A437" s="24" t="s">
        <v>2128</v>
      </c>
      <c r="B437" s="25">
        <v>86.499700000000004</v>
      </c>
    </row>
    <row r="438" spans="1:2" x14ac:dyDescent="0.25">
      <c r="A438" s="24" t="s">
        <v>918</v>
      </c>
      <c r="B438" s="25">
        <v>86.23830000000001</v>
      </c>
    </row>
    <row r="439" spans="1:2" x14ac:dyDescent="0.25">
      <c r="A439" s="24" t="s">
        <v>2437</v>
      </c>
      <c r="B439" s="25">
        <v>84.427199999999999</v>
      </c>
    </row>
    <row r="440" spans="1:2" x14ac:dyDescent="0.25">
      <c r="A440" s="24" t="s">
        <v>111</v>
      </c>
      <c r="B440" s="25">
        <v>83.853699999999989</v>
      </c>
    </row>
    <row r="441" spans="1:2" x14ac:dyDescent="0.25">
      <c r="A441" s="24" t="s">
        <v>1699</v>
      </c>
      <c r="B441" s="25">
        <v>83.220499999999987</v>
      </c>
    </row>
    <row r="442" spans="1:2" x14ac:dyDescent="0.25">
      <c r="A442" s="24" t="s">
        <v>1954</v>
      </c>
      <c r="B442" s="25">
        <v>82.999799999999993</v>
      </c>
    </row>
    <row r="443" spans="1:2" x14ac:dyDescent="0.25">
      <c r="A443" s="24" t="s">
        <v>1972</v>
      </c>
      <c r="B443" s="25">
        <v>81.7</v>
      </c>
    </row>
    <row r="444" spans="1:2" x14ac:dyDescent="0.25">
      <c r="A444" s="24" t="s">
        <v>2131</v>
      </c>
      <c r="B444" s="25">
        <v>81.138300000000001</v>
      </c>
    </row>
    <row r="445" spans="1:2" x14ac:dyDescent="0.25">
      <c r="A445" s="24" t="s">
        <v>1091</v>
      </c>
      <c r="B445" s="25">
        <v>80.748199999999997</v>
      </c>
    </row>
    <row r="446" spans="1:2" x14ac:dyDescent="0.25">
      <c r="A446" s="24" t="s">
        <v>2378</v>
      </c>
      <c r="B446" s="25">
        <v>80.431300000000007</v>
      </c>
    </row>
    <row r="447" spans="1:2" x14ac:dyDescent="0.25">
      <c r="A447" s="24" t="s">
        <v>2201</v>
      </c>
      <c r="B447" s="25">
        <v>80.243600000000001</v>
      </c>
    </row>
    <row r="448" spans="1:2" x14ac:dyDescent="0.25">
      <c r="A448" s="24" t="s">
        <v>1075</v>
      </c>
      <c r="B448" s="25">
        <v>79.525400000000033</v>
      </c>
    </row>
    <row r="449" spans="1:2" x14ac:dyDescent="0.25">
      <c r="A449" s="24" t="s">
        <v>2427</v>
      </c>
      <c r="B449" s="25">
        <v>79.269800000000004</v>
      </c>
    </row>
    <row r="450" spans="1:2" x14ac:dyDescent="0.25">
      <c r="A450" s="24" t="s">
        <v>790</v>
      </c>
      <c r="B450" s="25">
        <v>79.177799999999991</v>
      </c>
    </row>
    <row r="451" spans="1:2" x14ac:dyDescent="0.25">
      <c r="A451" s="24" t="s">
        <v>1778</v>
      </c>
      <c r="B451" s="25">
        <v>78.684699999999992</v>
      </c>
    </row>
    <row r="452" spans="1:2" x14ac:dyDescent="0.25">
      <c r="A452" s="24" t="s">
        <v>285</v>
      </c>
      <c r="B452" s="25">
        <v>77.312899999999999</v>
      </c>
    </row>
    <row r="453" spans="1:2" x14ac:dyDescent="0.25">
      <c r="A453" s="24" t="s">
        <v>1753</v>
      </c>
      <c r="B453" s="25">
        <v>77.148500000000027</v>
      </c>
    </row>
    <row r="454" spans="1:2" x14ac:dyDescent="0.25">
      <c r="A454" s="24" t="s">
        <v>732</v>
      </c>
      <c r="B454" s="25">
        <v>76.887900000000002</v>
      </c>
    </row>
    <row r="455" spans="1:2" x14ac:dyDescent="0.25">
      <c r="A455" s="24" t="s">
        <v>1908</v>
      </c>
      <c r="B455" s="25">
        <v>76.471199999999996</v>
      </c>
    </row>
    <row r="456" spans="1:2" x14ac:dyDescent="0.25">
      <c r="A456" s="24" t="s">
        <v>1605</v>
      </c>
      <c r="B456" s="25">
        <v>76.44980000000001</v>
      </c>
    </row>
    <row r="457" spans="1:2" x14ac:dyDescent="0.25">
      <c r="A457" s="24" t="s">
        <v>1820</v>
      </c>
      <c r="B457" s="25">
        <v>75.998999999999995</v>
      </c>
    </row>
    <row r="458" spans="1:2" x14ac:dyDescent="0.25">
      <c r="A458" s="24" t="s">
        <v>1617</v>
      </c>
      <c r="B458" s="25">
        <v>75.3489</v>
      </c>
    </row>
    <row r="459" spans="1:2" x14ac:dyDescent="0.25">
      <c r="A459" s="24" t="s">
        <v>657</v>
      </c>
      <c r="B459" s="25">
        <v>74.401300000000006</v>
      </c>
    </row>
    <row r="460" spans="1:2" x14ac:dyDescent="0.25">
      <c r="A460" s="24" t="s">
        <v>2400</v>
      </c>
      <c r="B460" s="25">
        <v>74.31580000000001</v>
      </c>
    </row>
    <row r="461" spans="1:2" x14ac:dyDescent="0.25">
      <c r="A461" s="24" t="s">
        <v>1349</v>
      </c>
      <c r="B461" s="25">
        <v>72.537699999999987</v>
      </c>
    </row>
    <row r="462" spans="1:2" x14ac:dyDescent="0.25">
      <c r="A462" s="24" t="s">
        <v>1734</v>
      </c>
      <c r="B462" s="25">
        <v>71.891100000000009</v>
      </c>
    </row>
    <row r="463" spans="1:2" x14ac:dyDescent="0.25">
      <c r="A463" s="24" t="s">
        <v>1161</v>
      </c>
      <c r="B463" s="25">
        <v>71.776799999999994</v>
      </c>
    </row>
    <row r="464" spans="1:2" x14ac:dyDescent="0.25">
      <c r="A464" s="24" t="s">
        <v>773</v>
      </c>
      <c r="B464" s="25">
        <v>71.112499999999997</v>
      </c>
    </row>
    <row r="465" spans="1:2" x14ac:dyDescent="0.25">
      <c r="A465" s="24" t="s">
        <v>2350</v>
      </c>
      <c r="B465" s="25">
        <v>70.265900000000002</v>
      </c>
    </row>
    <row r="466" spans="1:2" x14ac:dyDescent="0.25">
      <c r="A466" s="24" t="s">
        <v>1611</v>
      </c>
      <c r="B466" s="25">
        <v>69.95320000000001</v>
      </c>
    </row>
    <row r="467" spans="1:2" x14ac:dyDescent="0.25">
      <c r="A467" s="24" t="s">
        <v>296</v>
      </c>
      <c r="B467" s="25">
        <v>69.667200000000008</v>
      </c>
    </row>
    <row r="468" spans="1:2" x14ac:dyDescent="0.25">
      <c r="A468" s="24" t="s">
        <v>951</v>
      </c>
      <c r="B468" s="25">
        <v>69.576199999999986</v>
      </c>
    </row>
    <row r="469" spans="1:2" x14ac:dyDescent="0.25">
      <c r="A469" s="24" t="s">
        <v>606</v>
      </c>
      <c r="B469" s="25">
        <v>69.175699999999992</v>
      </c>
    </row>
    <row r="470" spans="1:2" x14ac:dyDescent="0.25">
      <c r="A470" s="24" t="s">
        <v>337</v>
      </c>
      <c r="B470" s="25">
        <v>68.06819999999999</v>
      </c>
    </row>
    <row r="471" spans="1:2" x14ac:dyDescent="0.25">
      <c r="A471" s="24" t="s">
        <v>523</v>
      </c>
      <c r="B471" s="25">
        <v>67.895299999999992</v>
      </c>
    </row>
    <row r="472" spans="1:2" x14ac:dyDescent="0.25">
      <c r="A472" s="24" t="s">
        <v>828</v>
      </c>
      <c r="B472" s="25">
        <v>66.108099999999993</v>
      </c>
    </row>
    <row r="473" spans="1:2" x14ac:dyDescent="0.25">
      <c r="A473" s="24" t="s">
        <v>331</v>
      </c>
      <c r="B473" s="25">
        <v>64.208399999999997</v>
      </c>
    </row>
    <row r="474" spans="1:2" x14ac:dyDescent="0.25">
      <c r="A474" s="24" t="s">
        <v>644</v>
      </c>
      <c r="B474" s="25">
        <v>63.302</v>
      </c>
    </row>
    <row r="475" spans="1:2" x14ac:dyDescent="0.25">
      <c r="A475" s="24" t="s">
        <v>456</v>
      </c>
      <c r="B475" s="25">
        <v>63.269299999999944</v>
      </c>
    </row>
    <row r="476" spans="1:2" x14ac:dyDescent="0.25">
      <c r="A476" s="24" t="s">
        <v>2305</v>
      </c>
      <c r="B476" s="25">
        <v>62.4848</v>
      </c>
    </row>
    <row r="477" spans="1:2" x14ac:dyDescent="0.25">
      <c r="A477" s="24" t="s">
        <v>2521</v>
      </c>
      <c r="B477" s="25">
        <v>62.303799999999995</v>
      </c>
    </row>
    <row r="478" spans="1:2" x14ac:dyDescent="0.25">
      <c r="A478" s="24" t="s">
        <v>928</v>
      </c>
      <c r="B478" s="25">
        <v>62.269200000000005</v>
      </c>
    </row>
    <row r="479" spans="1:2" x14ac:dyDescent="0.25">
      <c r="A479" s="24" t="s">
        <v>2449</v>
      </c>
      <c r="B479" s="25">
        <v>58.913000000000004</v>
      </c>
    </row>
    <row r="480" spans="1:2" x14ac:dyDescent="0.25">
      <c r="A480" s="24" t="s">
        <v>1383</v>
      </c>
      <c r="B480" s="25">
        <v>58.508900000000004</v>
      </c>
    </row>
    <row r="481" spans="1:2" x14ac:dyDescent="0.25">
      <c r="A481" s="24" t="s">
        <v>1759</v>
      </c>
      <c r="B481" s="25">
        <v>58.4452</v>
      </c>
    </row>
    <row r="482" spans="1:2" x14ac:dyDescent="0.25">
      <c r="A482" s="24" t="s">
        <v>2507</v>
      </c>
      <c r="B482" s="25">
        <v>57.384999999999998</v>
      </c>
    </row>
    <row r="483" spans="1:2" x14ac:dyDescent="0.25">
      <c r="A483" s="24" t="s">
        <v>90</v>
      </c>
      <c r="B483" s="25">
        <v>57.114599999999996</v>
      </c>
    </row>
    <row r="484" spans="1:2" x14ac:dyDescent="0.25">
      <c r="A484" s="24" t="s">
        <v>1540</v>
      </c>
      <c r="B484" s="25">
        <v>53.930499999999995</v>
      </c>
    </row>
    <row r="485" spans="1:2" x14ac:dyDescent="0.25">
      <c r="A485" s="24" t="s">
        <v>1649</v>
      </c>
      <c r="B485" s="25">
        <v>53.656399999999998</v>
      </c>
    </row>
    <row r="486" spans="1:2" x14ac:dyDescent="0.25">
      <c r="A486" s="24" t="s">
        <v>1301</v>
      </c>
      <c r="B486" s="25">
        <v>53.616500000000002</v>
      </c>
    </row>
    <row r="487" spans="1:2" x14ac:dyDescent="0.25">
      <c r="A487" s="24" t="s">
        <v>1523</v>
      </c>
      <c r="B487" s="25">
        <v>53.320899999999995</v>
      </c>
    </row>
    <row r="488" spans="1:2" x14ac:dyDescent="0.25">
      <c r="A488" s="24" t="s">
        <v>992</v>
      </c>
      <c r="B488" s="25">
        <v>52.76430000000002</v>
      </c>
    </row>
    <row r="489" spans="1:2" x14ac:dyDescent="0.25">
      <c r="A489" s="24" t="s">
        <v>768</v>
      </c>
      <c r="B489" s="25">
        <v>52.157799999999995</v>
      </c>
    </row>
    <row r="490" spans="1:2" x14ac:dyDescent="0.25">
      <c r="A490" s="24" t="s">
        <v>1609</v>
      </c>
      <c r="B490" s="25">
        <v>50.771300000000004</v>
      </c>
    </row>
    <row r="491" spans="1:2" x14ac:dyDescent="0.25">
      <c r="A491" s="24" t="s">
        <v>2398</v>
      </c>
      <c r="B491" s="25">
        <v>50.3658</v>
      </c>
    </row>
    <row r="492" spans="1:2" x14ac:dyDescent="0.25">
      <c r="A492" s="24" t="s">
        <v>614</v>
      </c>
      <c r="B492" s="25">
        <v>50.325799999999994</v>
      </c>
    </row>
    <row r="493" spans="1:2" x14ac:dyDescent="0.25">
      <c r="A493" s="24" t="s">
        <v>933</v>
      </c>
      <c r="B493" s="25">
        <v>50.187600000000003</v>
      </c>
    </row>
    <row r="494" spans="1:2" x14ac:dyDescent="0.25">
      <c r="A494" s="24" t="s">
        <v>154</v>
      </c>
      <c r="B494" s="25">
        <v>50.081899999999997</v>
      </c>
    </row>
    <row r="495" spans="1:2" x14ac:dyDescent="0.25">
      <c r="A495" s="24" t="s">
        <v>1968</v>
      </c>
      <c r="B495" s="25">
        <v>48.903999999999996</v>
      </c>
    </row>
    <row r="496" spans="1:2" x14ac:dyDescent="0.25">
      <c r="A496" s="24" t="s">
        <v>1205</v>
      </c>
      <c r="B496" s="25">
        <v>48.523899999999998</v>
      </c>
    </row>
    <row r="497" spans="1:2" x14ac:dyDescent="0.25">
      <c r="A497" s="24" t="s">
        <v>810</v>
      </c>
      <c r="B497" s="25">
        <v>48.373599999999996</v>
      </c>
    </row>
    <row r="498" spans="1:2" x14ac:dyDescent="0.25">
      <c r="A498" s="24" t="s">
        <v>2407</v>
      </c>
      <c r="B498" s="25">
        <v>48.204799999999999</v>
      </c>
    </row>
    <row r="499" spans="1:2" x14ac:dyDescent="0.25">
      <c r="A499" s="24" t="s">
        <v>2515</v>
      </c>
      <c r="B499" s="25">
        <v>47.887799999999999</v>
      </c>
    </row>
    <row r="500" spans="1:2" x14ac:dyDescent="0.25">
      <c r="A500" s="24" t="s">
        <v>214</v>
      </c>
      <c r="B500" s="25">
        <v>47.753499999999995</v>
      </c>
    </row>
    <row r="501" spans="1:2" x14ac:dyDescent="0.25">
      <c r="A501" s="24" t="s">
        <v>1808</v>
      </c>
      <c r="B501" s="25">
        <v>47.5642</v>
      </c>
    </row>
    <row r="502" spans="1:2" x14ac:dyDescent="0.25">
      <c r="A502" s="24" t="s">
        <v>254</v>
      </c>
      <c r="B502" s="25">
        <v>46.961599999999997</v>
      </c>
    </row>
    <row r="503" spans="1:2" x14ac:dyDescent="0.25">
      <c r="A503" s="24" t="s">
        <v>197</v>
      </c>
      <c r="B503" s="25">
        <v>46.2149</v>
      </c>
    </row>
    <row r="504" spans="1:2" x14ac:dyDescent="0.25">
      <c r="A504" s="24" t="s">
        <v>173</v>
      </c>
      <c r="B504" s="25">
        <v>45.447799999999994</v>
      </c>
    </row>
    <row r="505" spans="1:2" x14ac:dyDescent="0.25">
      <c r="A505" s="24" t="s">
        <v>1397</v>
      </c>
      <c r="B505" s="25">
        <v>45.068799999999996</v>
      </c>
    </row>
    <row r="506" spans="1:2" x14ac:dyDescent="0.25">
      <c r="A506" s="24" t="s">
        <v>2135</v>
      </c>
      <c r="B506" s="25">
        <v>44.723399999999998</v>
      </c>
    </row>
    <row r="507" spans="1:2" x14ac:dyDescent="0.25">
      <c r="A507" s="24" t="s">
        <v>2542</v>
      </c>
      <c r="B507" s="25">
        <v>43.598100000000002</v>
      </c>
    </row>
    <row r="508" spans="1:2" x14ac:dyDescent="0.25">
      <c r="A508" s="24" t="s">
        <v>1589</v>
      </c>
      <c r="B508" s="25">
        <v>43.328299999999999</v>
      </c>
    </row>
    <row r="509" spans="1:2" x14ac:dyDescent="0.25">
      <c r="A509" s="24" t="s">
        <v>2310</v>
      </c>
      <c r="B509" s="25">
        <v>43.298099999999991</v>
      </c>
    </row>
    <row r="510" spans="1:2" x14ac:dyDescent="0.25">
      <c r="A510" s="24" t="s">
        <v>1570</v>
      </c>
      <c r="B510" s="25">
        <v>42.370999999999995</v>
      </c>
    </row>
    <row r="511" spans="1:2" x14ac:dyDescent="0.25">
      <c r="A511" s="24" t="s">
        <v>431</v>
      </c>
      <c r="B511" s="25">
        <v>42.205200000000005</v>
      </c>
    </row>
    <row r="512" spans="1:2" x14ac:dyDescent="0.25">
      <c r="A512" s="24" t="s">
        <v>2578</v>
      </c>
      <c r="B512" s="25">
        <v>41.823</v>
      </c>
    </row>
    <row r="513" spans="1:2" x14ac:dyDescent="0.25">
      <c r="A513" s="24" t="s">
        <v>2475</v>
      </c>
      <c r="B513" s="25">
        <v>41.5092</v>
      </c>
    </row>
    <row r="514" spans="1:2" x14ac:dyDescent="0.25">
      <c r="A514" s="24" t="s">
        <v>473</v>
      </c>
      <c r="B514" s="25">
        <v>40.375999999999998</v>
      </c>
    </row>
    <row r="515" spans="1:2" x14ac:dyDescent="0.25">
      <c r="A515" s="24" t="s">
        <v>2112</v>
      </c>
      <c r="B515" s="25">
        <v>39.228299999999997</v>
      </c>
    </row>
    <row r="516" spans="1:2" x14ac:dyDescent="0.25">
      <c r="A516" s="24" t="s">
        <v>175</v>
      </c>
      <c r="B516" s="25">
        <v>38.029399999999995</v>
      </c>
    </row>
    <row r="517" spans="1:2" x14ac:dyDescent="0.25">
      <c r="A517" s="24" t="s">
        <v>2379</v>
      </c>
      <c r="B517" s="25">
        <v>37.9998</v>
      </c>
    </row>
    <row r="518" spans="1:2" x14ac:dyDescent="0.25">
      <c r="A518" s="24" t="s">
        <v>2031</v>
      </c>
      <c r="B518" s="25">
        <v>37.74</v>
      </c>
    </row>
    <row r="519" spans="1:2" x14ac:dyDescent="0.25">
      <c r="A519" s="24" t="s">
        <v>2289</v>
      </c>
      <c r="B519" s="25">
        <v>37.049399999999999</v>
      </c>
    </row>
    <row r="520" spans="1:2" x14ac:dyDescent="0.25">
      <c r="A520" s="24" t="s">
        <v>1746</v>
      </c>
      <c r="B520" s="25">
        <v>36.040199999999999</v>
      </c>
    </row>
    <row r="521" spans="1:2" x14ac:dyDescent="0.25">
      <c r="A521" s="24" t="s">
        <v>2084</v>
      </c>
      <c r="B521" s="25">
        <v>35.064</v>
      </c>
    </row>
    <row r="522" spans="1:2" x14ac:dyDescent="0.25">
      <c r="A522" s="24" t="s">
        <v>2376</v>
      </c>
      <c r="B522" s="25">
        <v>34.276200000000003</v>
      </c>
    </row>
    <row r="523" spans="1:2" x14ac:dyDescent="0.25">
      <c r="A523" s="24" t="s">
        <v>2338</v>
      </c>
      <c r="B523" s="25">
        <v>33.870600000000003</v>
      </c>
    </row>
    <row r="524" spans="1:2" x14ac:dyDescent="0.25">
      <c r="A524" s="24" t="s">
        <v>1530</v>
      </c>
      <c r="B524" s="25">
        <v>32.807199999999995</v>
      </c>
    </row>
    <row r="525" spans="1:2" x14ac:dyDescent="0.25">
      <c r="A525" s="24" t="s">
        <v>1214</v>
      </c>
      <c r="B525" s="25">
        <v>32.633000000000003</v>
      </c>
    </row>
    <row r="526" spans="1:2" x14ac:dyDescent="0.25">
      <c r="A526" s="24" t="s">
        <v>1673</v>
      </c>
      <c r="B526" s="25">
        <v>32.527200000000001</v>
      </c>
    </row>
    <row r="527" spans="1:2" x14ac:dyDescent="0.25">
      <c r="A527" s="24" t="s">
        <v>1418</v>
      </c>
      <c r="B527" s="25">
        <v>31.563299999999998</v>
      </c>
    </row>
    <row r="528" spans="1:2" x14ac:dyDescent="0.25">
      <c r="A528" s="24" t="s">
        <v>1621</v>
      </c>
      <c r="B528" s="25">
        <v>31.421799999999998</v>
      </c>
    </row>
    <row r="529" spans="1:2" x14ac:dyDescent="0.25">
      <c r="A529" s="24" t="s">
        <v>1852</v>
      </c>
      <c r="B529" s="25">
        <v>31.175699999999999</v>
      </c>
    </row>
    <row r="530" spans="1:2" x14ac:dyDescent="0.25">
      <c r="A530" s="24" t="s">
        <v>1636</v>
      </c>
      <c r="B530" s="25">
        <v>30.909799999999997</v>
      </c>
    </row>
    <row r="531" spans="1:2" x14ac:dyDescent="0.25">
      <c r="A531" s="24" t="s">
        <v>1738</v>
      </c>
      <c r="B531" s="25">
        <v>30.679200000000002</v>
      </c>
    </row>
    <row r="532" spans="1:2" x14ac:dyDescent="0.25">
      <c r="A532" s="24" t="s">
        <v>487</v>
      </c>
      <c r="B532" s="25">
        <v>30.551000000000002</v>
      </c>
    </row>
    <row r="533" spans="1:2" x14ac:dyDescent="0.25">
      <c r="A533" s="24" t="s">
        <v>1576</v>
      </c>
      <c r="B533" s="25">
        <v>30.445</v>
      </c>
    </row>
    <row r="534" spans="1:2" x14ac:dyDescent="0.25">
      <c r="A534" s="24" t="s">
        <v>2496</v>
      </c>
      <c r="B534" s="25">
        <v>28.798399999999997</v>
      </c>
    </row>
    <row r="535" spans="1:2" x14ac:dyDescent="0.25">
      <c r="A535" s="24" t="s">
        <v>2158</v>
      </c>
      <c r="B535" s="25">
        <v>28.687899999999999</v>
      </c>
    </row>
    <row r="536" spans="1:2" x14ac:dyDescent="0.25">
      <c r="A536" s="24" t="s">
        <v>2548</v>
      </c>
      <c r="B536" s="25">
        <v>28.271100000000001</v>
      </c>
    </row>
    <row r="537" spans="1:2" x14ac:dyDescent="0.25">
      <c r="A537" s="24" t="s">
        <v>124</v>
      </c>
      <c r="B537" s="25">
        <v>28.128700000000002</v>
      </c>
    </row>
    <row r="538" spans="1:2" x14ac:dyDescent="0.25">
      <c r="A538" s="24" t="s">
        <v>2584</v>
      </c>
      <c r="B538" s="25">
        <v>27.69</v>
      </c>
    </row>
    <row r="539" spans="1:2" x14ac:dyDescent="0.25">
      <c r="A539" s="24" t="s">
        <v>1694</v>
      </c>
      <c r="B539" s="25">
        <v>27.603499999999997</v>
      </c>
    </row>
    <row r="540" spans="1:2" x14ac:dyDescent="0.25">
      <c r="A540" s="24" t="s">
        <v>697</v>
      </c>
      <c r="B540" s="25">
        <v>27.115400000000001</v>
      </c>
    </row>
    <row r="541" spans="1:2" x14ac:dyDescent="0.25">
      <c r="A541" s="24" t="s">
        <v>403</v>
      </c>
      <c r="B541" s="25">
        <v>26.939799999999998</v>
      </c>
    </row>
    <row r="542" spans="1:2" x14ac:dyDescent="0.25">
      <c r="A542" s="24" t="s">
        <v>2512</v>
      </c>
      <c r="B542" s="25">
        <v>26.460599999999999</v>
      </c>
    </row>
    <row r="543" spans="1:2" x14ac:dyDescent="0.25">
      <c r="A543" s="24" t="s">
        <v>1180</v>
      </c>
      <c r="B543" s="25">
        <v>25.503000000000014</v>
      </c>
    </row>
    <row r="544" spans="1:2" x14ac:dyDescent="0.25">
      <c r="A544" s="24" t="s">
        <v>2256</v>
      </c>
      <c r="B544" s="25">
        <v>25.459700000000002</v>
      </c>
    </row>
    <row r="545" spans="1:2" x14ac:dyDescent="0.25">
      <c r="A545" s="24" t="s">
        <v>2530</v>
      </c>
      <c r="B545" s="25">
        <v>24.872399999999999</v>
      </c>
    </row>
    <row r="546" spans="1:2" x14ac:dyDescent="0.25">
      <c r="A546" s="24" t="s">
        <v>1755</v>
      </c>
      <c r="B546" s="25">
        <v>24.673400000000001</v>
      </c>
    </row>
    <row r="547" spans="1:2" x14ac:dyDescent="0.25">
      <c r="A547" s="24" t="s">
        <v>2058</v>
      </c>
      <c r="B547" s="25">
        <v>24.0777</v>
      </c>
    </row>
    <row r="548" spans="1:2" x14ac:dyDescent="0.25">
      <c r="A548" s="24" t="s">
        <v>2446</v>
      </c>
      <c r="B548" s="25">
        <v>23.954999999999998</v>
      </c>
    </row>
    <row r="549" spans="1:2" x14ac:dyDescent="0.25">
      <c r="A549" s="24" t="s">
        <v>1845</v>
      </c>
      <c r="B549" s="25">
        <v>23.674799999999998</v>
      </c>
    </row>
    <row r="550" spans="1:2" x14ac:dyDescent="0.25">
      <c r="A550" s="24" t="s">
        <v>1152</v>
      </c>
      <c r="B550" s="25">
        <v>23.598999999999965</v>
      </c>
    </row>
    <row r="551" spans="1:2" x14ac:dyDescent="0.25">
      <c r="A551" s="24" t="s">
        <v>2077</v>
      </c>
      <c r="B551" s="25">
        <v>23.482399999999991</v>
      </c>
    </row>
    <row r="552" spans="1:2" x14ac:dyDescent="0.25">
      <c r="A552" s="24" t="s">
        <v>2577</v>
      </c>
      <c r="B552" s="25">
        <v>23.234999999999999</v>
      </c>
    </row>
    <row r="553" spans="1:2" x14ac:dyDescent="0.25">
      <c r="A553" s="24" t="s">
        <v>1213</v>
      </c>
      <c r="B553" s="25">
        <v>23.0685</v>
      </c>
    </row>
    <row r="554" spans="1:2" x14ac:dyDescent="0.25">
      <c r="A554" s="24" t="s">
        <v>1769</v>
      </c>
      <c r="B554" s="25">
        <v>22.591799999999999</v>
      </c>
    </row>
    <row r="555" spans="1:2" x14ac:dyDescent="0.25">
      <c r="A555" s="24" t="s">
        <v>1978</v>
      </c>
      <c r="B555" s="25">
        <v>22.1538</v>
      </c>
    </row>
    <row r="556" spans="1:2" x14ac:dyDescent="0.25">
      <c r="A556" s="24" t="s">
        <v>1857</v>
      </c>
      <c r="B556" s="25">
        <v>21.849600000000002</v>
      </c>
    </row>
    <row r="557" spans="1:2" x14ac:dyDescent="0.25">
      <c r="A557" s="24" t="s">
        <v>1366</v>
      </c>
      <c r="B557" s="25">
        <v>21.771600000000007</v>
      </c>
    </row>
    <row r="558" spans="1:2" x14ac:dyDescent="0.25">
      <c r="A558" s="24" t="s">
        <v>1335</v>
      </c>
      <c r="B558" s="25">
        <v>21.542400000000001</v>
      </c>
    </row>
    <row r="559" spans="1:2" x14ac:dyDescent="0.25">
      <c r="A559" s="24" t="s">
        <v>1823</v>
      </c>
      <c r="B559" s="25">
        <v>21.5244</v>
      </c>
    </row>
    <row r="560" spans="1:2" x14ac:dyDescent="0.25">
      <c r="A560" s="24" t="s">
        <v>279</v>
      </c>
      <c r="B560" s="25">
        <v>21.279399999999995</v>
      </c>
    </row>
    <row r="561" spans="1:2" x14ac:dyDescent="0.25">
      <c r="A561" s="24" t="s">
        <v>599</v>
      </c>
      <c r="B561" s="25">
        <v>20.905399999999993</v>
      </c>
    </row>
    <row r="562" spans="1:2" x14ac:dyDescent="0.25">
      <c r="A562" s="24" t="s">
        <v>100</v>
      </c>
      <c r="B562" s="25">
        <v>20.776200000000003</v>
      </c>
    </row>
    <row r="563" spans="1:2" x14ac:dyDescent="0.25">
      <c r="A563" s="24" t="s">
        <v>809</v>
      </c>
      <c r="B563" s="25">
        <v>20.379199999999997</v>
      </c>
    </row>
    <row r="564" spans="1:2" x14ac:dyDescent="0.25">
      <c r="A564" s="24" t="s">
        <v>2344</v>
      </c>
      <c r="B564" s="25">
        <v>20.3568</v>
      </c>
    </row>
    <row r="565" spans="1:2" x14ac:dyDescent="0.25">
      <c r="A565" s="24" t="s">
        <v>511</v>
      </c>
      <c r="B565" s="25">
        <v>19.823500000000021</v>
      </c>
    </row>
    <row r="566" spans="1:2" x14ac:dyDescent="0.25">
      <c r="A566" s="24" t="s">
        <v>530</v>
      </c>
      <c r="B566" s="25">
        <v>19.799900000000001</v>
      </c>
    </row>
    <row r="567" spans="1:2" x14ac:dyDescent="0.25">
      <c r="A567" s="24" t="s">
        <v>2232</v>
      </c>
      <c r="B567" s="25">
        <v>19.339500000000005</v>
      </c>
    </row>
    <row r="568" spans="1:2" x14ac:dyDescent="0.25">
      <c r="A568" s="24" t="s">
        <v>482</v>
      </c>
      <c r="B568" s="25">
        <v>19.331399999999999</v>
      </c>
    </row>
    <row r="569" spans="1:2" x14ac:dyDescent="0.25">
      <c r="A569" s="24" t="s">
        <v>815</v>
      </c>
      <c r="B569" s="25">
        <v>19.2423</v>
      </c>
    </row>
    <row r="570" spans="1:2" x14ac:dyDescent="0.25">
      <c r="A570" s="24" t="s">
        <v>1147</v>
      </c>
      <c r="B570" s="25">
        <v>19.187999999999999</v>
      </c>
    </row>
    <row r="571" spans="1:2" x14ac:dyDescent="0.25">
      <c r="A571" s="24" t="s">
        <v>784</v>
      </c>
      <c r="B571" s="25">
        <v>18.999500000000008</v>
      </c>
    </row>
    <row r="572" spans="1:2" x14ac:dyDescent="0.25">
      <c r="A572" s="24" t="s">
        <v>1065</v>
      </c>
      <c r="B572" s="25">
        <v>18.706</v>
      </c>
    </row>
    <row r="573" spans="1:2" x14ac:dyDescent="0.25">
      <c r="A573" s="24" t="s">
        <v>1288</v>
      </c>
      <c r="B573" s="25">
        <v>18.650700000000001</v>
      </c>
    </row>
    <row r="574" spans="1:2" x14ac:dyDescent="0.25">
      <c r="A574" s="24" t="s">
        <v>401</v>
      </c>
      <c r="B574" s="25">
        <v>18.323999999999998</v>
      </c>
    </row>
    <row r="575" spans="1:2" x14ac:dyDescent="0.25">
      <c r="A575" s="24" t="s">
        <v>1509</v>
      </c>
      <c r="B575" s="25">
        <v>18.165599999999998</v>
      </c>
    </row>
    <row r="576" spans="1:2" x14ac:dyDescent="0.25">
      <c r="A576" s="24" t="s">
        <v>1520</v>
      </c>
      <c r="B576" s="25">
        <v>18.014499999999998</v>
      </c>
    </row>
    <row r="577" spans="1:2" x14ac:dyDescent="0.25">
      <c r="A577" s="24" t="s">
        <v>2200</v>
      </c>
      <c r="B577" s="25">
        <v>17.824699999999996</v>
      </c>
    </row>
    <row r="578" spans="1:2" x14ac:dyDescent="0.25">
      <c r="A578" s="24" t="s">
        <v>2257</v>
      </c>
      <c r="B578" s="25">
        <v>17.6647</v>
      </c>
    </row>
    <row r="579" spans="1:2" x14ac:dyDescent="0.25">
      <c r="A579" s="24" t="s">
        <v>1104</v>
      </c>
      <c r="B579" s="25">
        <v>16.703399999999998</v>
      </c>
    </row>
    <row r="580" spans="1:2" x14ac:dyDescent="0.25">
      <c r="A580" s="24" t="s">
        <v>1342</v>
      </c>
      <c r="B580" s="25">
        <v>16.1952</v>
      </c>
    </row>
    <row r="581" spans="1:2" x14ac:dyDescent="0.25">
      <c r="A581" s="24" t="s">
        <v>75</v>
      </c>
      <c r="B581" s="25">
        <v>16.147199999999998</v>
      </c>
    </row>
    <row r="582" spans="1:2" x14ac:dyDescent="0.25">
      <c r="A582" s="24" t="s">
        <v>1703</v>
      </c>
      <c r="B582" s="25">
        <v>15.6645</v>
      </c>
    </row>
    <row r="583" spans="1:2" x14ac:dyDescent="0.25">
      <c r="A583" s="24" t="s">
        <v>1431</v>
      </c>
      <c r="B583" s="25">
        <v>15.4452</v>
      </c>
    </row>
    <row r="584" spans="1:2" x14ac:dyDescent="0.25">
      <c r="A584" s="24" t="s">
        <v>655</v>
      </c>
      <c r="B584" s="25">
        <v>15.035499999999999</v>
      </c>
    </row>
    <row r="585" spans="1:2" x14ac:dyDescent="0.25">
      <c r="A585" s="24" t="s">
        <v>2320</v>
      </c>
      <c r="B585" s="25">
        <v>14.9245</v>
      </c>
    </row>
    <row r="586" spans="1:2" x14ac:dyDescent="0.25">
      <c r="A586" s="24" t="s">
        <v>1421</v>
      </c>
      <c r="B586" s="25">
        <v>14.870699999999999</v>
      </c>
    </row>
    <row r="587" spans="1:2" x14ac:dyDescent="0.25">
      <c r="A587" s="24" t="s">
        <v>1056</v>
      </c>
      <c r="B587" s="25">
        <v>14.575200000000034</v>
      </c>
    </row>
    <row r="588" spans="1:2" x14ac:dyDescent="0.25">
      <c r="A588" s="24" t="s">
        <v>2324</v>
      </c>
      <c r="B588" s="25">
        <v>14.178600000000007</v>
      </c>
    </row>
    <row r="589" spans="1:2" x14ac:dyDescent="0.25">
      <c r="A589" s="24" t="s">
        <v>469</v>
      </c>
      <c r="B589" s="25">
        <v>14.0883</v>
      </c>
    </row>
    <row r="590" spans="1:2" x14ac:dyDescent="0.25">
      <c r="A590" s="24" t="s">
        <v>2546</v>
      </c>
      <c r="B590" s="25">
        <v>13.9788</v>
      </c>
    </row>
    <row r="591" spans="1:2" x14ac:dyDescent="0.25">
      <c r="A591" s="24" t="s">
        <v>1442</v>
      </c>
      <c r="B591" s="25">
        <v>13.7547</v>
      </c>
    </row>
    <row r="592" spans="1:2" x14ac:dyDescent="0.25">
      <c r="A592" s="24" t="s">
        <v>2243</v>
      </c>
      <c r="B592" s="25">
        <v>13.3995</v>
      </c>
    </row>
    <row r="593" spans="1:2" x14ac:dyDescent="0.25">
      <c r="A593" s="24" t="s">
        <v>2331</v>
      </c>
      <c r="B593" s="25">
        <v>13.318400000000002</v>
      </c>
    </row>
    <row r="594" spans="1:2" x14ac:dyDescent="0.25">
      <c r="A594" s="24" t="s">
        <v>1433</v>
      </c>
      <c r="B594" s="25">
        <v>12.899799999999999</v>
      </c>
    </row>
    <row r="595" spans="1:2" x14ac:dyDescent="0.25">
      <c r="A595" s="24" t="s">
        <v>229</v>
      </c>
      <c r="B595" s="25">
        <v>12.579499999999999</v>
      </c>
    </row>
    <row r="596" spans="1:2" x14ac:dyDescent="0.25">
      <c r="A596" s="24" t="s">
        <v>2348</v>
      </c>
      <c r="B596" s="25">
        <v>12.372800000000002</v>
      </c>
    </row>
    <row r="597" spans="1:2" x14ac:dyDescent="0.25">
      <c r="A597" s="24" t="s">
        <v>1375</v>
      </c>
      <c r="B597" s="25">
        <v>12.096</v>
      </c>
    </row>
    <row r="598" spans="1:2" x14ac:dyDescent="0.25">
      <c r="A598" s="24" t="s">
        <v>1392</v>
      </c>
      <c r="B598" s="25">
        <v>11.704000000000001</v>
      </c>
    </row>
    <row r="599" spans="1:2" x14ac:dyDescent="0.25">
      <c r="A599" s="24" t="s">
        <v>2035</v>
      </c>
      <c r="B599" s="25">
        <v>11.1944</v>
      </c>
    </row>
    <row r="600" spans="1:2" x14ac:dyDescent="0.25">
      <c r="A600" s="24" t="s">
        <v>1895</v>
      </c>
      <c r="B600" s="25">
        <v>10.656800000000004</v>
      </c>
    </row>
    <row r="601" spans="1:2" x14ac:dyDescent="0.25">
      <c r="A601" s="24" t="s">
        <v>2248</v>
      </c>
      <c r="B601" s="25">
        <v>10.248599999999993</v>
      </c>
    </row>
    <row r="602" spans="1:2" x14ac:dyDescent="0.25">
      <c r="A602" s="24" t="s">
        <v>385</v>
      </c>
      <c r="B602" s="25">
        <v>9.8958999999999993</v>
      </c>
    </row>
    <row r="603" spans="1:2" x14ac:dyDescent="0.25">
      <c r="A603" s="24" t="s">
        <v>1010</v>
      </c>
      <c r="B603" s="25">
        <v>9.5838000000000001</v>
      </c>
    </row>
    <row r="604" spans="1:2" x14ac:dyDescent="0.25">
      <c r="A604" s="24" t="s">
        <v>391</v>
      </c>
      <c r="B604" s="25">
        <v>9.48</v>
      </c>
    </row>
    <row r="605" spans="1:2" x14ac:dyDescent="0.25">
      <c r="A605" s="24" t="s">
        <v>2060</v>
      </c>
      <c r="B605" s="25">
        <v>8.9887999999999995</v>
      </c>
    </row>
    <row r="606" spans="1:2" x14ac:dyDescent="0.25">
      <c r="A606" s="24" t="s">
        <v>79</v>
      </c>
      <c r="B606" s="25">
        <v>8.9361999999999995</v>
      </c>
    </row>
    <row r="607" spans="1:2" x14ac:dyDescent="0.25">
      <c r="A607" s="24" t="s">
        <v>2526</v>
      </c>
      <c r="B607" s="25">
        <v>8.8630000000000031</v>
      </c>
    </row>
    <row r="608" spans="1:2" x14ac:dyDescent="0.25">
      <c r="A608" s="24" t="s">
        <v>1220</v>
      </c>
      <c r="B608" s="25">
        <v>8.4129999999999967</v>
      </c>
    </row>
    <row r="609" spans="1:2" x14ac:dyDescent="0.25">
      <c r="A609" s="24" t="s">
        <v>1800</v>
      </c>
      <c r="B609" s="25">
        <v>7.9552000000000005</v>
      </c>
    </row>
    <row r="610" spans="1:2" x14ac:dyDescent="0.25">
      <c r="A610" s="24" t="s">
        <v>2174</v>
      </c>
      <c r="B610" s="25">
        <v>7.8452000000000002</v>
      </c>
    </row>
    <row r="611" spans="1:2" x14ac:dyDescent="0.25">
      <c r="A611" s="24" t="s">
        <v>479</v>
      </c>
      <c r="B611" s="25">
        <v>7.4024000000000001</v>
      </c>
    </row>
    <row r="612" spans="1:2" x14ac:dyDescent="0.25">
      <c r="A612" s="24" t="s">
        <v>2293</v>
      </c>
      <c r="B612" s="25">
        <v>7.2894999999999994</v>
      </c>
    </row>
    <row r="613" spans="1:2" x14ac:dyDescent="0.25">
      <c r="A613" s="24" t="s">
        <v>1211</v>
      </c>
      <c r="B613" s="25">
        <v>7.25</v>
      </c>
    </row>
    <row r="614" spans="1:2" x14ac:dyDescent="0.25">
      <c r="A614" s="24" t="s">
        <v>406</v>
      </c>
      <c r="B614" s="25">
        <v>6.3474000000000004</v>
      </c>
    </row>
    <row r="615" spans="1:2" x14ac:dyDescent="0.25">
      <c r="A615" s="24" t="s">
        <v>1308</v>
      </c>
      <c r="B615" s="25">
        <v>6.3381000000000007</v>
      </c>
    </row>
    <row r="616" spans="1:2" x14ac:dyDescent="0.25">
      <c r="A616" s="24" t="s">
        <v>2553</v>
      </c>
      <c r="B616" s="25">
        <v>6.0735999999999999</v>
      </c>
    </row>
    <row r="617" spans="1:2" x14ac:dyDescent="0.25">
      <c r="A617" s="24" t="s">
        <v>1380</v>
      </c>
      <c r="B617" s="25">
        <v>5.8705999999999978</v>
      </c>
    </row>
    <row r="618" spans="1:2" x14ac:dyDescent="0.25">
      <c r="A618" s="24" t="s">
        <v>2393</v>
      </c>
      <c r="B618" s="25">
        <v>4.3499999999999996</v>
      </c>
    </row>
    <row r="619" spans="1:2" x14ac:dyDescent="0.25">
      <c r="A619" s="24" t="s">
        <v>2481</v>
      </c>
      <c r="B619" s="25">
        <v>4.2909999999999968</v>
      </c>
    </row>
    <row r="620" spans="1:2" x14ac:dyDescent="0.25">
      <c r="A620" s="24" t="s">
        <v>2430</v>
      </c>
      <c r="B620" s="25">
        <v>4.1147999999999998</v>
      </c>
    </row>
    <row r="621" spans="1:2" x14ac:dyDescent="0.25">
      <c r="A621" s="24" t="s">
        <v>313</v>
      </c>
      <c r="B621" s="25">
        <v>3.7975999999999956</v>
      </c>
    </row>
    <row r="622" spans="1:2" x14ac:dyDescent="0.25">
      <c r="A622" s="24" t="s">
        <v>1677</v>
      </c>
      <c r="B622" s="25">
        <v>3.6377999999999995</v>
      </c>
    </row>
    <row r="623" spans="1:2" x14ac:dyDescent="0.25">
      <c r="A623" s="24" t="s">
        <v>2509</v>
      </c>
      <c r="B623" s="25">
        <v>2.7664</v>
      </c>
    </row>
    <row r="624" spans="1:2" x14ac:dyDescent="0.25">
      <c r="A624" s="24" t="s">
        <v>2071</v>
      </c>
      <c r="B624" s="25">
        <v>1.6519999999999999</v>
      </c>
    </row>
    <row r="625" spans="1:2" x14ac:dyDescent="0.25">
      <c r="A625" s="24" t="s">
        <v>1886</v>
      </c>
      <c r="B625" s="25">
        <v>1.3050000000000006</v>
      </c>
    </row>
    <row r="626" spans="1:2" x14ac:dyDescent="0.25">
      <c r="A626" s="24" t="s">
        <v>233</v>
      </c>
      <c r="B626" s="25">
        <v>0.69930000000000003</v>
      </c>
    </row>
    <row r="627" spans="1:2" x14ac:dyDescent="0.25">
      <c r="A627" s="24" t="s">
        <v>1638</v>
      </c>
      <c r="B627" s="25">
        <v>0.61330000000000107</v>
      </c>
    </row>
    <row r="628" spans="1:2" x14ac:dyDescent="0.25">
      <c r="A628" s="24" t="s">
        <v>1123</v>
      </c>
      <c r="B628" s="25">
        <v>0.46410000000000001</v>
      </c>
    </row>
    <row r="629" spans="1:2" x14ac:dyDescent="0.25">
      <c r="A629" s="24" t="s">
        <v>852</v>
      </c>
      <c r="B629" s="25">
        <v>0</v>
      </c>
    </row>
    <row r="630" spans="1:2" x14ac:dyDescent="0.25">
      <c r="A630" s="24" t="s">
        <v>1306</v>
      </c>
      <c r="B630" s="25">
        <v>-0.59039999999999992</v>
      </c>
    </row>
    <row r="631" spans="1:2" x14ac:dyDescent="0.25">
      <c r="A631" s="24" t="s">
        <v>294</v>
      </c>
      <c r="B631" s="25">
        <v>-0.74379999999999313</v>
      </c>
    </row>
    <row r="632" spans="1:2" x14ac:dyDescent="0.25">
      <c r="A632" s="24" t="s">
        <v>2233</v>
      </c>
      <c r="B632" s="25">
        <v>-1.2453000000000001</v>
      </c>
    </row>
    <row r="633" spans="1:2" x14ac:dyDescent="0.25">
      <c r="A633" s="24" t="s">
        <v>1501</v>
      </c>
      <c r="B633" s="25">
        <v>-1.6813000000000007</v>
      </c>
    </row>
    <row r="634" spans="1:2" x14ac:dyDescent="0.25">
      <c r="A634" s="24" t="s">
        <v>2082</v>
      </c>
      <c r="B634" s="25">
        <v>-1.9656</v>
      </c>
    </row>
    <row r="635" spans="1:2" x14ac:dyDescent="0.25">
      <c r="A635" s="24" t="s">
        <v>2366</v>
      </c>
      <c r="B635" s="25">
        <v>-2.7</v>
      </c>
    </row>
    <row r="636" spans="1:2" x14ac:dyDescent="0.25">
      <c r="A636" s="24" t="s">
        <v>670</v>
      </c>
      <c r="B636" s="25">
        <v>-3.6755999999999958</v>
      </c>
    </row>
    <row r="637" spans="1:2" x14ac:dyDescent="0.25">
      <c r="A637" s="24" t="s">
        <v>1323</v>
      </c>
      <c r="B637" s="25">
        <v>-5.1371000000000073</v>
      </c>
    </row>
    <row r="638" spans="1:2" x14ac:dyDescent="0.25">
      <c r="A638" s="24" t="s">
        <v>1824</v>
      </c>
      <c r="B638" s="25">
        <v>-5.7479999999999993</v>
      </c>
    </row>
    <row r="639" spans="1:2" x14ac:dyDescent="0.25">
      <c r="A639" s="24" t="s">
        <v>2165</v>
      </c>
      <c r="B639" s="25">
        <v>-6.378400000000001</v>
      </c>
    </row>
    <row r="640" spans="1:2" x14ac:dyDescent="0.25">
      <c r="A640" s="24" t="s">
        <v>2488</v>
      </c>
      <c r="B640" s="25">
        <v>-6.3959999999999999</v>
      </c>
    </row>
    <row r="641" spans="1:2" x14ac:dyDescent="0.25">
      <c r="A641" s="24" t="s">
        <v>1319</v>
      </c>
      <c r="B641" s="25">
        <v>-6.6473000000000004</v>
      </c>
    </row>
    <row r="642" spans="1:2" x14ac:dyDescent="0.25">
      <c r="A642" s="24" t="s">
        <v>1019</v>
      </c>
      <c r="B642" s="25">
        <v>-7.5145999999999979</v>
      </c>
    </row>
    <row r="643" spans="1:2" x14ac:dyDescent="0.25">
      <c r="A643" s="24" t="s">
        <v>567</v>
      </c>
      <c r="B643" s="25">
        <v>-8.7002000000000006</v>
      </c>
    </row>
    <row r="644" spans="1:2" x14ac:dyDescent="0.25">
      <c r="A644" s="24" t="s">
        <v>2591</v>
      </c>
      <c r="B644" s="25">
        <v>-8.8792000000000009</v>
      </c>
    </row>
    <row r="645" spans="1:2" x14ac:dyDescent="0.25">
      <c r="A645" s="24" t="s">
        <v>619</v>
      </c>
      <c r="B645" s="25">
        <v>-9.5265999999999948</v>
      </c>
    </row>
    <row r="646" spans="1:2" x14ac:dyDescent="0.25">
      <c r="A646" s="24" t="s">
        <v>1293</v>
      </c>
      <c r="B646" s="25">
        <v>-11.454899999999991</v>
      </c>
    </row>
    <row r="647" spans="1:2" x14ac:dyDescent="0.25">
      <c r="A647" s="24" t="s">
        <v>872</v>
      </c>
      <c r="B647" s="25">
        <v>-11.6333</v>
      </c>
    </row>
    <row r="648" spans="1:2" x14ac:dyDescent="0.25">
      <c r="A648" s="24" t="s">
        <v>1184</v>
      </c>
      <c r="B648" s="25">
        <v>-11.7064</v>
      </c>
    </row>
    <row r="649" spans="1:2" x14ac:dyDescent="0.25">
      <c r="A649" s="24" t="s">
        <v>1512</v>
      </c>
      <c r="B649" s="25">
        <v>-12.021799999999999</v>
      </c>
    </row>
    <row r="650" spans="1:2" x14ac:dyDescent="0.25">
      <c r="A650" s="24" t="s">
        <v>1914</v>
      </c>
      <c r="B650" s="25">
        <v>-12.303999999999984</v>
      </c>
    </row>
    <row r="651" spans="1:2" x14ac:dyDescent="0.25">
      <c r="A651" s="24" t="s">
        <v>59</v>
      </c>
      <c r="B651" s="25">
        <v>-14.255300000000002</v>
      </c>
    </row>
    <row r="652" spans="1:2" x14ac:dyDescent="0.25">
      <c r="A652" s="24" t="s">
        <v>987</v>
      </c>
      <c r="B652" s="25">
        <v>-18.745000000000001</v>
      </c>
    </row>
    <row r="653" spans="1:2" x14ac:dyDescent="0.25">
      <c r="A653" s="24" t="s">
        <v>1276</v>
      </c>
      <c r="B653" s="25">
        <v>-18.836400000000001</v>
      </c>
    </row>
    <row r="654" spans="1:2" x14ac:dyDescent="0.25">
      <c r="A654" s="24" t="s">
        <v>1355</v>
      </c>
      <c r="B654" s="25">
        <v>-19.107000000000003</v>
      </c>
    </row>
    <row r="655" spans="1:2" x14ac:dyDescent="0.25">
      <c r="A655" s="24" t="s">
        <v>2110</v>
      </c>
      <c r="B655" s="25">
        <v>-19.933</v>
      </c>
    </row>
    <row r="656" spans="1:2" x14ac:dyDescent="0.25">
      <c r="A656" s="24" t="s">
        <v>2573</v>
      </c>
      <c r="B656" s="25">
        <v>-20.3828</v>
      </c>
    </row>
    <row r="657" spans="1:2" x14ac:dyDescent="0.25">
      <c r="A657" s="24" t="s">
        <v>2266</v>
      </c>
      <c r="B657" s="25">
        <v>-22.850100000000005</v>
      </c>
    </row>
    <row r="658" spans="1:2" x14ac:dyDescent="0.25">
      <c r="A658" s="24" t="s">
        <v>452</v>
      </c>
      <c r="B658" s="25">
        <v>-23.729999999999997</v>
      </c>
    </row>
    <row r="659" spans="1:2" x14ac:dyDescent="0.25">
      <c r="A659" s="24" t="s">
        <v>1685</v>
      </c>
      <c r="B659" s="25">
        <v>-23.937200000000001</v>
      </c>
    </row>
    <row r="660" spans="1:2" x14ac:dyDescent="0.25">
      <c r="A660" s="24" t="s">
        <v>1987</v>
      </c>
      <c r="B660" s="25">
        <v>-24.4893</v>
      </c>
    </row>
    <row r="661" spans="1:2" x14ac:dyDescent="0.25">
      <c r="A661" s="24" t="s">
        <v>766</v>
      </c>
      <c r="B661" s="25">
        <v>-24.765099999999983</v>
      </c>
    </row>
    <row r="662" spans="1:2" x14ac:dyDescent="0.25">
      <c r="A662" s="24" t="s">
        <v>1451</v>
      </c>
      <c r="B662" s="25">
        <v>-25.153999999999932</v>
      </c>
    </row>
    <row r="663" spans="1:2" x14ac:dyDescent="0.25">
      <c r="A663" s="24" t="s">
        <v>1950</v>
      </c>
      <c r="B663" s="25">
        <v>-25.194800000000001</v>
      </c>
    </row>
    <row r="664" spans="1:2" x14ac:dyDescent="0.25">
      <c r="A664" s="24" t="s">
        <v>1669</v>
      </c>
      <c r="B664" s="25">
        <v>-29.419499999999996</v>
      </c>
    </row>
    <row r="665" spans="1:2" x14ac:dyDescent="0.25">
      <c r="A665" s="24" t="s">
        <v>1460</v>
      </c>
      <c r="B665" s="25">
        <v>-30.649399999999844</v>
      </c>
    </row>
    <row r="666" spans="1:2" x14ac:dyDescent="0.25">
      <c r="A666" s="24" t="s">
        <v>435</v>
      </c>
      <c r="B666" s="25">
        <v>-32.582700000000003</v>
      </c>
    </row>
    <row r="667" spans="1:2" x14ac:dyDescent="0.25">
      <c r="A667" s="24" t="s">
        <v>369</v>
      </c>
      <c r="B667" s="25">
        <v>-33.226599999999998</v>
      </c>
    </row>
    <row r="668" spans="1:2" x14ac:dyDescent="0.25">
      <c r="A668" s="24" t="s">
        <v>798</v>
      </c>
      <c r="B668" s="25">
        <v>-33.252099999999999</v>
      </c>
    </row>
    <row r="669" spans="1:2" x14ac:dyDescent="0.25">
      <c r="A669" s="24" t="s">
        <v>1167</v>
      </c>
      <c r="B669" s="25">
        <v>-33.338199999999993</v>
      </c>
    </row>
    <row r="670" spans="1:2" x14ac:dyDescent="0.25">
      <c r="A670" s="24" t="s">
        <v>723</v>
      </c>
      <c r="B670" s="25">
        <v>-37.943199999999997</v>
      </c>
    </row>
    <row r="671" spans="1:2" x14ac:dyDescent="0.25">
      <c r="A671" s="24" t="s">
        <v>1344</v>
      </c>
      <c r="B671" s="25">
        <v>-41.958999999999982</v>
      </c>
    </row>
    <row r="672" spans="1:2" x14ac:dyDescent="0.25">
      <c r="A672" s="24" t="s">
        <v>2561</v>
      </c>
      <c r="B672" s="25">
        <v>-42.866400000000013</v>
      </c>
    </row>
    <row r="673" spans="1:2" x14ac:dyDescent="0.25">
      <c r="A673" s="24" t="s">
        <v>848</v>
      </c>
      <c r="B673" s="25">
        <v>-43.519199999999998</v>
      </c>
    </row>
    <row r="674" spans="1:2" x14ac:dyDescent="0.25">
      <c r="A674" s="24" t="s">
        <v>289</v>
      </c>
      <c r="B674" s="25">
        <v>-47.471000000000004</v>
      </c>
    </row>
    <row r="675" spans="1:2" x14ac:dyDescent="0.25">
      <c r="A675" s="24" t="s">
        <v>1775</v>
      </c>
      <c r="B675" s="25">
        <v>-48.413200000000003</v>
      </c>
    </row>
    <row r="676" spans="1:2" x14ac:dyDescent="0.25">
      <c r="A676" s="24" t="s">
        <v>323</v>
      </c>
      <c r="B676" s="25">
        <v>-48.918799999999997</v>
      </c>
    </row>
    <row r="677" spans="1:2" x14ac:dyDescent="0.25">
      <c r="A677" s="24" t="s">
        <v>520</v>
      </c>
      <c r="B677" s="25">
        <v>-54.817300000000031</v>
      </c>
    </row>
    <row r="678" spans="1:2" x14ac:dyDescent="0.25">
      <c r="A678" s="24" t="s">
        <v>1058</v>
      </c>
      <c r="B678" s="25">
        <v>-54.869199999999999</v>
      </c>
    </row>
    <row r="679" spans="1:2" x14ac:dyDescent="0.25">
      <c r="A679" s="24" t="s">
        <v>118</v>
      </c>
      <c r="B679" s="25">
        <v>-56.9024</v>
      </c>
    </row>
    <row r="680" spans="1:2" x14ac:dyDescent="0.25">
      <c r="A680" s="24" t="s">
        <v>1688</v>
      </c>
      <c r="B680" s="25">
        <v>-62.214799999999997</v>
      </c>
    </row>
    <row r="681" spans="1:2" x14ac:dyDescent="0.25">
      <c r="A681" s="24" t="s">
        <v>588</v>
      </c>
      <c r="B681" s="25">
        <v>-65.192700000000002</v>
      </c>
    </row>
    <row r="682" spans="1:2" x14ac:dyDescent="0.25">
      <c r="A682" s="24" t="s">
        <v>2504</v>
      </c>
      <c r="B682" s="25">
        <v>-66.011799999999994</v>
      </c>
    </row>
    <row r="683" spans="1:2" x14ac:dyDescent="0.25">
      <c r="A683" s="24" t="s">
        <v>1535</v>
      </c>
      <c r="B683" s="25">
        <v>-67.20689999999999</v>
      </c>
    </row>
    <row r="684" spans="1:2" x14ac:dyDescent="0.25">
      <c r="A684" s="24" t="s">
        <v>160</v>
      </c>
      <c r="B684" s="25">
        <v>-71.734599999999986</v>
      </c>
    </row>
    <row r="685" spans="1:2" x14ac:dyDescent="0.25">
      <c r="A685" s="24" t="s">
        <v>458</v>
      </c>
      <c r="B685" s="25">
        <v>-71.8994</v>
      </c>
    </row>
    <row r="686" spans="1:2" x14ac:dyDescent="0.25">
      <c r="A686" s="24" t="s">
        <v>1863</v>
      </c>
      <c r="B686" s="25">
        <v>-73.834999999999994</v>
      </c>
    </row>
    <row r="687" spans="1:2" x14ac:dyDescent="0.25">
      <c r="A687" s="24" t="s">
        <v>2519</v>
      </c>
      <c r="B687" s="25">
        <v>-74.30619999999999</v>
      </c>
    </row>
    <row r="688" spans="1:2" x14ac:dyDescent="0.25">
      <c r="A688" s="24" t="s">
        <v>1642</v>
      </c>
      <c r="B688" s="25">
        <v>-76.075400000000016</v>
      </c>
    </row>
    <row r="689" spans="1:2" x14ac:dyDescent="0.25">
      <c r="A689" s="24" t="s">
        <v>502</v>
      </c>
      <c r="B689" s="25">
        <v>-76.472300000000004</v>
      </c>
    </row>
    <row r="690" spans="1:2" x14ac:dyDescent="0.25">
      <c r="A690" s="24" t="s">
        <v>2318</v>
      </c>
      <c r="B690" s="25">
        <v>-77.1267</v>
      </c>
    </row>
    <row r="691" spans="1:2" x14ac:dyDescent="0.25">
      <c r="A691" s="24" t="s">
        <v>1110</v>
      </c>
      <c r="B691" s="25">
        <v>-77.840699999999998</v>
      </c>
    </row>
    <row r="692" spans="1:2" x14ac:dyDescent="0.25">
      <c r="A692" s="24" t="s">
        <v>1936</v>
      </c>
      <c r="B692" s="25">
        <v>-78.505199999999988</v>
      </c>
    </row>
    <row r="693" spans="1:2" x14ac:dyDescent="0.25">
      <c r="A693" s="24" t="s">
        <v>1599</v>
      </c>
      <c r="B693" s="25">
        <v>-92.391300000000001</v>
      </c>
    </row>
    <row r="694" spans="1:2" x14ac:dyDescent="0.25">
      <c r="A694" s="24" t="s">
        <v>910</v>
      </c>
      <c r="B694" s="25">
        <v>-93.099500000000006</v>
      </c>
    </row>
    <row r="695" spans="1:2" x14ac:dyDescent="0.25">
      <c r="A695" s="24" t="s">
        <v>726</v>
      </c>
      <c r="B695" s="25">
        <v>-96.810600000000008</v>
      </c>
    </row>
    <row r="696" spans="1:2" x14ac:dyDescent="0.25">
      <c r="A696" s="24" t="s">
        <v>17</v>
      </c>
      <c r="B696" s="25">
        <v>-99.889899999999983</v>
      </c>
    </row>
    <row r="697" spans="1:2" x14ac:dyDescent="0.25">
      <c r="A697" s="24" t="s">
        <v>108</v>
      </c>
      <c r="B697" s="25">
        <v>-103.13779999999997</v>
      </c>
    </row>
    <row r="698" spans="1:2" x14ac:dyDescent="0.25">
      <c r="A698" s="24" t="s">
        <v>2342</v>
      </c>
      <c r="B698" s="25">
        <v>-105.4958</v>
      </c>
    </row>
    <row r="699" spans="1:2" x14ac:dyDescent="0.25">
      <c r="A699" s="24" t="s">
        <v>1622</v>
      </c>
      <c r="B699" s="25">
        <v>-113.53270000000002</v>
      </c>
    </row>
    <row r="700" spans="1:2" x14ac:dyDescent="0.25">
      <c r="A700" s="24" t="s">
        <v>433</v>
      </c>
      <c r="B700" s="25">
        <v>-121.58580000000001</v>
      </c>
    </row>
    <row r="701" spans="1:2" x14ac:dyDescent="0.25">
      <c r="A701" s="24" t="s">
        <v>1042</v>
      </c>
      <c r="B701" s="25">
        <v>-126.22939999999994</v>
      </c>
    </row>
    <row r="702" spans="1:2" x14ac:dyDescent="0.25">
      <c r="A702" s="24" t="s">
        <v>427</v>
      </c>
      <c r="B702" s="25">
        <v>-130.3879</v>
      </c>
    </row>
    <row r="703" spans="1:2" x14ac:dyDescent="0.25">
      <c r="A703" s="24" t="s">
        <v>1790</v>
      </c>
      <c r="B703" s="25">
        <v>-136.40920000000003</v>
      </c>
    </row>
    <row r="704" spans="1:2" x14ac:dyDescent="0.25">
      <c r="A704" s="24" t="s">
        <v>1890</v>
      </c>
      <c r="B704" s="25">
        <v>-142.34719999999999</v>
      </c>
    </row>
    <row r="705" spans="1:2" x14ac:dyDescent="0.25">
      <c r="A705" s="24" t="s">
        <v>516</v>
      </c>
      <c r="B705" s="25">
        <v>-143.21669999999997</v>
      </c>
    </row>
    <row r="706" spans="1:2" x14ac:dyDescent="0.25">
      <c r="A706" s="24" t="s">
        <v>1359</v>
      </c>
      <c r="B706" s="25">
        <v>-144.19469999999998</v>
      </c>
    </row>
    <row r="707" spans="1:2" x14ac:dyDescent="0.25">
      <c r="A707" s="24" t="s">
        <v>596</v>
      </c>
      <c r="B707" s="25">
        <v>-146.83319999999998</v>
      </c>
    </row>
    <row r="708" spans="1:2" x14ac:dyDescent="0.25">
      <c r="A708" s="24" t="s">
        <v>305</v>
      </c>
      <c r="B708" s="25">
        <v>-157.53139999999999</v>
      </c>
    </row>
    <row r="709" spans="1:2" x14ac:dyDescent="0.25">
      <c r="A709" s="24" t="s">
        <v>636</v>
      </c>
      <c r="B709" s="25">
        <v>-165.25520000000003</v>
      </c>
    </row>
    <row r="710" spans="1:2" x14ac:dyDescent="0.25">
      <c r="A710" s="24" t="s">
        <v>463</v>
      </c>
      <c r="B710" s="25">
        <v>-168.50170000000003</v>
      </c>
    </row>
    <row r="711" spans="1:2" x14ac:dyDescent="0.25">
      <c r="A711" s="24" t="s">
        <v>1979</v>
      </c>
      <c r="B711" s="25">
        <v>-175.95869999999999</v>
      </c>
    </row>
    <row r="712" spans="1:2" x14ac:dyDescent="0.25">
      <c r="A712" s="24" t="s">
        <v>1011</v>
      </c>
      <c r="B712" s="25">
        <v>-179.0505</v>
      </c>
    </row>
    <row r="713" spans="1:2" x14ac:dyDescent="0.25">
      <c r="A713" s="24" t="s">
        <v>556</v>
      </c>
      <c r="B713" s="25">
        <v>-203.36340000000001</v>
      </c>
    </row>
    <row r="714" spans="1:2" x14ac:dyDescent="0.25">
      <c r="A714" s="24" t="s">
        <v>1917</v>
      </c>
      <c r="B714" s="25">
        <v>-206.71719999999999</v>
      </c>
    </row>
    <row r="715" spans="1:2" x14ac:dyDescent="0.25">
      <c r="A715" s="24" t="s">
        <v>1515</v>
      </c>
      <c r="B715" s="25">
        <v>-209.71860000000001</v>
      </c>
    </row>
    <row r="716" spans="1:2" x14ac:dyDescent="0.25">
      <c r="A716" s="24" t="s">
        <v>718</v>
      </c>
      <c r="B716" s="25">
        <v>-217.18160000000003</v>
      </c>
    </row>
    <row r="717" spans="1:2" x14ac:dyDescent="0.25">
      <c r="A717" s="24" t="s">
        <v>81</v>
      </c>
      <c r="B717" s="25">
        <v>-220.43189999999993</v>
      </c>
    </row>
    <row r="718" spans="1:2" x14ac:dyDescent="0.25">
      <c r="A718" s="24" t="s">
        <v>2303</v>
      </c>
      <c r="B718" s="25">
        <v>-221.583</v>
      </c>
    </row>
    <row r="719" spans="1:2" x14ac:dyDescent="0.25">
      <c r="A719" s="24" t="s">
        <v>2169</v>
      </c>
      <c r="B719" s="25">
        <v>-228.10040000000001</v>
      </c>
    </row>
    <row r="720" spans="1:2" x14ac:dyDescent="0.25">
      <c r="A720" s="24" t="s">
        <v>759</v>
      </c>
      <c r="B720" s="25">
        <v>-237.2885</v>
      </c>
    </row>
    <row r="721" spans="1:2" x14ac:dyDescent="0.25">
      <c r="A721" s="24" t="s">
        <v>1787</v>
      </c>
      <c r="B721" s="25">
        <v>-243.6276</v>
      </c>
    </row>
    <row r="722" spans="1:2" x14ac:dyDescent="0.25">
      <c r="A722" s="24" t="s">
        <v>666</v>
      </c>
      <c r="B722" s="25">
        <v>-244.73410000000001</v>
      </c>
    </row>
    <row r="723" spans="1:2" x14ac:dyDescent="0.25">
      <c r="A723" s="24" t="s">
        <v>612</v>
      </c>
      <c r="B723" s="25">
        <v>-248.95939999999999</v>
      </c>
    </row>
    <row r="724" spans="1:2" x14ac:dyDescent="0.25">
      <c r="A724" s="24" t="s">
        <v>2543</v>
      </c>
      <c r="B724" s="25">
        <v>-256.57159999999999</v>
      </c>
    </row>
    <row r="725" spans="1:2" x14ac:dyDescent="0.25">
      <c r="A725" s="24" t="s">
        <v>592</v>
      </c>
      <c r="B725" s="25">
        <v>-257.70199999999994</v>
      </c>
    </row>
    <row r="726" spans="1:2" x14ac:dyDescent="0.25">
      <c r="A726" s="24" t="s">
        <v>663</v>
      </c>
      <c r="B726" s="25">
        <v>-258.0027</v>
      </c>
    </row>
    <row r="727" spans="1:2" x14ac:dyDescent="0.25">
      <c r="A727" s="24" t="s">
        <v>454</v>
      </c>
      <c r="B727" s="25">
        <v>-264.57900000000006</v>
      </c>
    </row>
    <row r="728" spans="1:2" x14ac:dyDescent="0.25">
      <c r="A728" s="24" t="s">
        <v>441</v>
      </c>
      <c r="B728" s="25">
        <v>-268.57229999999998</v>
      </c>
    </row>
    <row r="729" spans="1:2" x14ac:dyDescent="0.25">
      <c r="A729" s="24" t="s">
        <v>504</v>
      </c>
      <c r="B729" s="25">
        <v>-285.80679999999995</v>
      </c>
    </row>
    <row r="730" spans="1:2" x14ac:dyDescent="0.25">
      <c r="A730" s="24" t="s">
        <v>1654</v>
      </c>
      <c r="B730" s="25">
        <v>-288.41309999999993</v>
      </c>
    </row>
    <row r="731" spans="1:2" x14ac:dyDescent="0.25">
      <c r="A731" s="24" t="s">
        <v>270</v>
      </c>
      <c r="B731" s="25">
        <v>-289.83430000000004</v>
      </c>
    </row>
    <row r="732" spans="1:2" x14ac:dyDescent="0.25">
      <c r="A732" s="24" t="s">
        <v>770</v>
      </c>
      <c r="B732" s="25">
        <v>-293.7496999999999</v>
      </c>
    </row>
    <row r="733" spans="1:2" x14ac:dyDescent="0.25">
      <c r="A733" s="24" t="s">
        <v>298</v>
      </c>
      <c r="B733" s="25">
        <v>-295.88519999999994</v>
      </c>
    </row>
    <row r="734" spans="1:2" x14ac:dyDescent="0.25">
      <c r="A734" s="24" t="s">
        <v>1521</v>
      </c>
      <c r="B734" s="25">
        <v>-300.31360000000001</v>
      </c>
    </row>
    <row r="735" spans="1:2" x14ac:dyDescent="0.25">
      <c r="A735" s="24" t="s">
        <v>747</v>
      </c>
      <c r="B735" s="25">
        <v>-308.87580000000008</v>
      </c>
    </row>
    <row r="736" spans="1:2" x14ac:dyDescent="0.25">
      <c r="A736" s="24" t="s">
        <v>1398</v>
      </c>
      <c r="B736" s="25">
        <v>-314.42489999999998</v>
      </c>
    </row>
    <row r="737" spans="1:2" x14ac:dyDescent="0.25">
      <c r="A737" s="24" t="s">
        <v>1250</v>
      </c>
      <c r="B737" s="25">
        <v>-314.66229999999996</v>
      </c>
    </row>
    <row r="738" spans="1:2" x14ac:dyDescent="0.25">
      <c r="A738" s="24" t="s">
        <v>250</v>
      </c>
      <c r="B738" s="25">
        <v>-321.03200000000004</v>
      </c>
    </row>
    <row r="739" spans="1:2" x14ac:dyDescent="0.25">
      <c r="A739" s="24" t="s">
        <v>1240</v>
      </c>
      <c r="B739" s="25">
        <v>-328.59010000000001</v>
      </c>
    </row>
    <row r="740" spans="1:2" x14ac:dyDescent="0.25">
      <c r="A740" s="24" t="s">
        <v>1668</v>
      </c>
      <c r="B740" s="25">
        <v>-330.41989999999998</v>
      </c>
    </row>
    <row r="741" spans="1:2" x14ac:dyDescent="0.25">
      <c r="A741" s="24" t="s">
        <v>1985</v>
      </c>
      <c r="B741" s="25">
        <v>-337.26059999999995</v>
      </c>
    </row>
    <row r="742" spans="1:2" x14ac:dyDescent="0.25">
      <c r="A742" s="24" t="s">
        <v>2028</v>
      </c>
      <c r="B742" s="25">
        <v>-365.99810000000008</v>
      </c>
    </row>
    <row r="743" spans="1:2" x14ac:dyDescent="0.25">
      <c r="A743" s="24" t="s">
        <v>2052</v>
      </c>
      <c r="B743" s="25">
        <v>-391.01639999999998</v>
      </c>
    </row>
    <row r="744" spans="1:2" x14ac:dyDescent="0.25">
      <c r="A744" s="24" t="s">
        <v>1706</v>
      </c>
      <c r="B744" s="25">
        <v>-391.24230000000006</v>
      </c>
    </row>
    <row r="745" spans="1:2" x14ac:dyDescent="0.25">
      <c r="A745" s="24" t="s">
        <v>1740</v>
      </c>
      <c r="B745" s="25">
        <v>-394.36860000000001</v>
      </c>
    </row>
    <row r="746" spans="1:2" x14ac:dyDescent="0.25">
      <c r="A746" s="24" t="s">
        <v>166</v>
      </c>
      <c r="B746" s="25">
        <v>-397.12760000000003</v>
      </c>
    </row>
    <row r="747" spans="1:2" x14ac:dyDescent="0.25">
      <c r="A747" s="24" t="s">
        <v>192</v>
      </c>
      <c r="B747" s="25">
        <v>-397.64260000000002</v>
      </c>
    </row>
    <row r="748" spans="1:2" x14ac:dyDescent="0.25">
      <c r="A748" s="24" t="s">
        <v>2273</v>
      </c>
      <c r="B748" s="25">
        <v>-403.66469999999998</v>
      </c>
    </row>
    <row r="749" spans="1:2" x14ac:dyDescent="0.25">
      <c r="A749" s="24" t="s">
        <v>256</v>
      </c>
      <c r="B749" s="25">
        <v>-406.51</v>
      </c>
    </row>
    <row r="750" spans="1:2" x14ac:dyDescent="0.25">
      <c r="A750" s="24" t="s">
        <v>1711</v>
      </c>
      <c r="B750" s="25">
        <v>-412.42239999999998</v>
      </c>
    </row>
    <row r="751" spans="1:2" x14ac:dyDescent="0.25">
      <c r="A751" s="24" t="s">
        <v>180</v>
      </c>
      <c r="B751" s="25">
        <v>-419.52320000000003</v>
      </c>
    </row>
    <row r="752" spans="1:2" x14ac:dyDescent="0.25">
      <c r="A752" s="24" t="s">
        <v>1028</v>
      </c>
      <c r="B752" s="25">
        <v>-427.18399999999997</v>
      </c>
    </row>
    <row r="753" spans="1:2" x14ac:dyDescent="0.25">
      <c r="A753" s="24" t="s">
        <v>835</v>
      </c>
      <c r="B753" s="25">
        <v>-449.17850000000004</v>
      </c>
    </row>
    <row r="754" spans="1:2" x14ac:dyDescent="0.25">
      <c r="A754" s="24" t="s">
        <v>628</v>
      </c>
      <c r="B754" s="25">
        <v>-450.75799999999998</v>
      </c>
    </row>
    <row r="755" spans="1:2" x14ac:dyDescent="0.25">
      <c r="A755" s="24" t="s">
        <v>822</v>
      </c>
      <c r="B755" s="25">
        <v>-499.12969999999996</v>
      </c>
    </row>
    <row r="756" spans="1:2" x14ac:dyDescent="0.25">
      <c r="A756" s="24" t="s">
        <v>326</v>
      </c>
      <c r="B756" s="25">
        <v>-650.59710000000007</v>
      </c>
    </row>
    <row r="757" spans="1:2" x14ac:dyDescent="0.25">
      <c r="A757" s="24" t="s">
        <v>1348</v>
      </c>
      <c r="B757" s="25">
        <v>-669.14490000000001</v>
      </c>
    </row>
    <row r="758" spans="1:2" x14ac:dyDescent="0.25">
      <c r="A758" s="24" t="s">
        <v>1478</v>
      </c>
      <c r="B758" s="25">
        <v>-807.77700000000004</v>
      </c>
    </row>
    <row r="759" spans="1:2" x14ac:dyDescent="0.25">
      <c r="A759" s="24" t="s">
        <v>416</v>
      </c>
      <c r="B759" s="25">
        <v>-818.90800000000002</v>
      </c>
    </row>
    <row r="760" spans="1:2" x14ac:dyDescent="0.25">
      <c r="A760" s="24" t="s">
        <v>691</v>
      </c>
      <c r="B760" s="25">
        <v>-881.27600000000018</v>
      </c>
    </row>
    <row r="761" spans="1:2" x14ac:dyDescent="0.25">
      <c r="A761" s="24" t="s">
        <v>1872</v>
      </c>
      <c r="B761" s="25">
        <v>-890.16190000000006</v>
      </c>
    </row>
    <row r="762" spans="1:2" x14ac:dyDescent="0.25">
      <c r="A762" s="24" t="s">
        <v>1125</v>
      </c>
      <c r="B762" s="25">
        <v>-901.4303000000001</v>
      </c>
    </row>
    <row r="763" spans="1:2" x14ac:dyDescent="0.25">
      <c r="A763" s="24" t="s">
        <v>84</v>
      </c>
      <c r="B763" s="25">
        <v>-913.39119999999991</v>
      </c>
    </row>
    <row r="764" spans="1:2" x14ac:dyDescent="0.25">
      <c r="A764" s="24" t="s">
        <v>1458</v>
      </c>
      <c r="B764" s="25">
        <v>-916.35550000000001</v>
      </c>
    </row>
    <row r="765" spans="1:2" x14ac:dyDescent="0.25">
      <c r="A765" s="24" t="s">
        <v>1130</v>
      </c>
      <c r="B765" s="25">
        <v>-932.83699999999999</v>
      </c>
    </row>
    <row r="766" spans="1:2" x14ac:dyDescent="0.25">
      <c r="A766" s="24" t="s">
        <v>2352</v>
      </c>
      <c r="B766" s="25">
        <v>-990.1554000000001</v>
      </c>
    </row>
    <row r="767" spans="1:2" x14ac:dyDescent="0.25">
      <c r="A767" s="24" t="s">
        <v>1017</v>
      </c>
      <c r="B767" s="25">
        <v>-1006.5523000000002</v>
      </c>
    </row>
    <row r="768" spans="1:2" x14ac:dyDescent="0.25">
      <c r="A768" s="24" t="s">
        <v>2083</v>
      </c>
      <c r="B768" s="25">
        <v>-1136.7180000000001</v>
      </c>
    </row>
    <row r="769" spans="1:2" x14ac:dyDescent="0.25">
      <c r="A769" s="24" t="s">
        <v>1444</v>
      </c>
      <c r="B769" s="25">
        <v>-1151.9078</v>
      </c>
    </row>
    <row r="770" spans="1:2" x14ac:dyDescent="0.25">
      <c r="A770" s="24" t="s">
        <v>489</v>
      </c>
      <c r="B770" s="25">
        <v>-1368.6646999999998</v>
      </c>
    </row>
    <row r="771" spans="1:2" x14ac:dyDescent="0.25">
      <c r="A771" s="24" t="s">
        <v>351</v>
      </c>
      <c r="B771" s="25">
        <v>-1668.6747</v>
      </c>
    </row>
    <row r="772" spans="1:2" x14ac:dyDescent="0.25">
      <c r="A772" s="24" t="s">
        <v>1717</v>
      </c>
      <c r="B772" s="25">
        <v>-2251.0832000000005</v>
      </c>
    </row>
    <row r="773" spans="1:2" x14ac:dyDescent="0.25">
      <c r="A773" s="24" t="s">
        <v>142</v>
      </c>
      <c r="B773" s="25">
        <v>-2835.2529</v>
      </c>
    </row>
    <row r="774" spans="1:2" x14ac:dyDescent="0.25">
      <c r="A774" s="24" t="s">
        <v>2246</v>
      </c>
      <c r="B774" s="25">
        <v>-3391.4082000000003</v>
      </c>
    </row>
    <row r="775" spans="1:2" x14ac:dyDescent="0.25">
      <c r="A775" s="24" t="s">
        <v>2532</v>
      </c>
      <c r="B775" s="25">
        <v>-3825.3394000000003</v>
      </c>
    </row>
    <row r="776" spans="1:2" x14ac:dyDescent="0.25">
      <c r="A776" s="24" t="s">
        <v>1579</v>
      </c>
      <c r="B776" s="25">
        <v>-6652.7235000000001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6AB8-591B-48DC-B597-9872D49BB358}">
  <dimension ref="A3:E53"/>
  <sheetViews>
    <sheetView zoomScale="95" workbookViewId="0">
      <selection activeCell="B13" sqref="B13"/>
    </sheetView>
  </sheetViews>
  <sheetFormatPr defaultRowHeight="15" x14ac:dyDescent="0.25"/>
  <cols>
    <col min="1" max="1" width="18.7109375" bestFit="1" customWidth="1"/>
    <col min="2" max="2" width="12.5703125" bestFit="1" customWidth="1"/>
    <col min="4" max="4" width="18.7109375" bestFit="1" customWidth="1"/>
    <col min="5" max="5" width="12" bestFit="1" customWidth="1"/>
  </cols>
  <sheetData>
    <row r="3" spans="1:5" x14ac:dyDescent="0.25">
      <c r="A3" s="23" t="s">
        <v>2595</v>
      </c>
      <c r="B3" t="s">
        <v>2597</v>
      </c>
    </row>
    <row r="4" spans="1:5" x14ac:dyDescent="0.25">
      <c r="A4" s="24" t="s">
        <v>898</v>
      </c>
      <c r="B4" s="25">
        <v>11884.579999999998</v>
      </c>
      <c r="D4" t="str">
        <f>A4</f>
        <v>Alabama</v>
      </c>
      <c r="E4">
        <f>B4</f>
        <v>11884.579999999998</v>
      </c>
    </row>
    <row r="5" spans="1:5" x14ac:dyDescent="0.25">
      <c r="A5" s="24" t="s">
        <v>198</v>
      </c>
      <c r="B5" s="25">
        <v>22914.55599999999</v>
      </c>
      <c r="D5" t="str">
        <f t="shared" ref="D5:D52" si="0">A5</f>
        <v>Arizona</v>
      </c>
      <c r="E5">
        <f t="shared" ref="E5:E52" si="1">B5</f>
        <v>22914.55599999999</v>
      </c>
    </row>
    <row r="6" spans="1:5" x14ac:dyDescent="0.25">
      <c r="A6" s="24" t="s">
        <v>589</v>
      </c>
      <c r="B6" s="25">
        <v>9652.8300000000017</v>
      </c>
      <c r="D6" t="str">
        <f t="shared" si="0"/>
        <v>Arkansas</v>
      </c>
      <c r="E6">
        <f t="shared" si="1"/>
        <v>9652.8300000000017</v>
      </c>
    </row>
    <row r="7" spans="1:5" x14ac:dyDescent="0.25">
      <c r="A7" s="24" t="s">
        <v>18</v>
      </c>
      <c r="B7" s="25">
        <v>335190.25600000087</v>
      </c>
      <c r="D7" t="str">
        <f t="shared" si="0"/>
        <v>California</v>
      </c>
      <c r="E7">
        <f t="shared" si="1"/>
        <v>335190.25600000087</v>
      </c>
    </row>
    <row r="8" spans="1:5" x14ac:dyDescent="0.25">
      <c r="A8" s="24" t="s">
        <v>306</v>
      </c>
      <c r="B8" s="25">
        <v>29249.064000000006</v>
      </c>
      <c r="D8" t="str">
        <f t="shared" si="0"/>
        <v>Colorado</v>
      </c>
      <c r="E8">
        <f t="shared" si="1"/>
        <v>29249.064000000006</v>
      </c>
    </row>
    <row r="9" spans="1:5" x14ac:dyDescent="0.25">
      <c r="A9" s="24" t="s">
        <v>91</v>
      </c>
      <c r="B9" s="25">
        <v>15034.697</v>
      </c>
      <c r="D9" t="str">
        <f t="shared" si="0"/>
        <v>Connecticut</v>
      </c>
      <c r="E9">
        <f t="shared" si="1"/>
        <v>15034.697</v>
      </c>
    </row>
    <row r="10" spans="1:5" x14ac:dyDescent="0.25">
      <c r="A10" s="24" t="s">
        <v>309</v>
      </c>
      <c r="B10" s="25">
        <v>12515.703</v>
      </c>
      <c r="D10" t="str">
        <f t="shared" si="0"/>
        <v>Delaware</v>
      </c>
      <c r="E10">
        <f t="shared" si="1"/>
        <v>12515.703</v>
      </c>
    </row>
    <row r="11" spans="1:5" x14ac:dyDescent="0.25">
      <c r="A11" s="24" t="s">
        <v>913</v>
      </c>
      <c r="B11" s="25">
        <v>419.83000000000004</v>
      </c>
      <c r="D11" t="str">
        <f t="shared" si="0"/>
        <v>District of Columbia</v>
      </c>
      <c r="E11">
        <f t="shared" si="1"/>
        <v>419.83000000000004</v>
      </c>
    </row>
    <row r="12" spans="1:5" x14ac:dyDescent="0.25">
      <c r="A12" s="24" t="s">
        <v>44</v>
      </c>
      <c r="B12" s="25">
        <v>49914.999000000003</v>
      </c>
      <c r="D12" t="str">
        <f t="shared" si="0"/>
        <v>Florida</v>
      </c>
      <c r="E12">
        <f t="shared" si="1"/>
        <v>49914.999000000003</v>
      </c>
    </row>
    <row r="13" spans="1:5" x14ac:dyDescent="0.25">
      <c r="A13" s="24" t="s">
        <v>109</v>
      </c>
      <c r="B13" s="25">
        <v>37260.690000000017</v>
      </c>
      <c r="D13" t="str">
        <f t="shared" si="0"/>
        <v>Georgia</v>
      </c>
      <c r="E13">
        <f t="shared" si="1"/>
        <v>37260.690000000017</v>
      </c>
    </row>
    <row r="14" spans="1:5" x14ac:dyDescent="0.25">
      <c r="A14" s="24" t="s">
        <v>499</v>
      </c>
      <c r="B14" s="25">
        <v>3180.0340000000001</v>
      </c>
      <c r="D14" t="str">
        <f t="shared" si="0"/>
        <v>Idaho</v>
      </c>
      <c r="E14">
        <f t="shared" si="1"/>
        <v>3180.0340000000001</v>
      </c>
    </row>
    <row r="15" spans="1:5" x14ac:dyDescent="0.25">
      <c r="A15" s="24" t="s">
        <v>164</v>
      </c>
      <c r="B15" s="25">
        <v>64224.32999999998</v>
      </c>
      <c r="D15" t="str">
        <f t="shared" si="0"/>
        <v>Illinois</v>
      </c>
      <c r="E15">
        <f t="shared" si="1"/>
        <v>64224.32999999998</v>
      </c>
    </row>
    <row r="16" spans="1:5" x14ac:dyDescent="0.25">
      <c r="A16" s="24" t="s">
        <v>317</v>
      </c>
      <c r="B16" s="25">
        <v>32039.229999999992</v>
      </c>
      <c r="D16" t="str">
        <f t="shared" si="0"/>
        <v>Indiana</v>
      </c>
      <c r="E16">
        <f t="shared" si="1"/>
        <v>32039.229999999992</v>
      </c>
    </row>
    <row r="17" spans="1:5" x14ac:dyDescent="0.25">
      <c r="A17" s="24" t="s">
        <v>1350</v>
      </c>
      <c r="B17" s="25">
        <v>3747.7200000000012</v>
      </c>
      <c r="D17" t="str">
        <f t="shared" si="0"/>
        <v>Iowa</v>
      </c>
      <c r="E17">
        <f t="shared" si="1"/>
        <v>3747.7200000000012</v>
      </c>
    </row>
    <row r="18" spans="1:5" x14ac:dyDescent="0.25">
      <c r="A18" s="24" t="s">
        <v>1051</v>
      </c>
      <c r="B18" s="25">
        <v>1837.2099999999998</v>
      </c>
      <c r="D18" t="str">
        <f t="shared" si="0"/>
        <v>Kansas</v>
      </c>
      <c r="E18">
        <f t="shared" si="1"/>
        <v>1837.2099999999998</v>
      </c>
    </row>
    <row r="19" spans="1:5" x14ac:dyDescent="0.25">
      <c r="A19" s="24" t="s">
        <v>195</v>
      </c>
      <c r="B19" s="25">
        <v>24352.729999999996</v>
      </c>
      <c r="D19" t="str">
        <f t="shared" si="0"/>
        <v>Kentucky</v>
      </c>
      <c r="E19">
        <f t="shared" si="1"/>
        <v>24352.729999999996</v>
      </c>
    </row>
    <row r="20" spans="1:5" x14ac:dyDescent="0.25">
      <c r="A20" s="24" t="s">
        <v>394</v>
      </c>
      <c r="B20" s="25">
        <v>8369.31</v>
      </c>
      <c r="D20" t="str">
        <f t="shared" si="0"/>
        <v>Louisiana</v>
      </c>
      <c r="E20">
        <f t="shared" si="1"/>
        <v>8369.31</v>
      </c>
    </row>
    <row r="21" spans="1:5" x14ac:dyDescent="0.25">
      <c r="A21" s="24" t="s">
        <v>1581</v>
      </c>
      <c r="B21" s="25">
        <v>547.33000000000004</v>
      </c>
      <c r="D21" t="str">
        <f t="shared" si="0"/>
        <v>Maine</v>
      </c>
      <c r="E21">
        <f t="shared" si="1"/>
        <v>547.33000000000004</v>
      </c>
    </row>
    <row r="22" spans="1:5" x14ac:dyDescent="0.25">
      <c r="A22" s="24" t="s">
        <v>10</v>
      </c>
      <c r="B22" s="25">
        <v>16090.102999999997</v>
      </c>
      <c r="D22" t="str">
        <f t="shared" si="0"/>
        <v>Maryland</v>
      </c>
      <c r="E22">
        <f t="shared" si="1"/>
        <v>16090.102999999997</v>
      </c>
    </row>
    <row r="23" spans="1:5" x14ac:dyDescent="0.25">
      <c r="A23" s="24" t="s">
        <v>370</v>
      </c>
      <c r="B23" s="25">
        <v>14302.340000000006</v>
      </c>
      <c r="D23" t="str">
        <f t="shared" si="0"/>
        <v>Massachusetts</v>
      </c>
      <c r="E23">
        <f t="shared" si="1"/>
        <v>14302.340000000006</v>
      </c>
    </row>
    <row r="24" spans="1:5" x14ac:dyDescent="0.25">
      <c r="A24" s="24" t="s">
        <v>365</v>
      </c>
      <c r="B24" s="25">
        <v>48504.684000000001</v>
      </c>
      <c r="D24" t="str">
        <f t="shared" si="0"/>
        <v>Michigan</v>
      </c>
      <c r="E24">
        <f t="shared" si="1"/>
        <v>48504.684000000001</v>
      </c>
    </row>
    <row r="25" spans="1:5" x14ac:dyDescent="0.25">
      <c r="A25" s="24" t="s">
        <v>387</v>
      </c>
      <c r="B25" s="25">
        <v>10808.629999999997</v>
      </c>
      <c r="D25" t="str">
        <f t="shared" si="0"/>
        <v>Minnesota</v>
      </c>
      <c r="E25">
        <f t="shared" si="1"/>
        <v>10808.629999999997</v>
      </c>
    </row>
    <row r="26" spans="1:5" x14ac:dyDescent="0.25">
      <c r="A26" s="24" t="s">
        <v>143</v>
      </c>
      <c r="B26" s="25">
        <v>8924.02</v>
      </c>
      <c r="D26" t="str">
        <f t="shared" si="0"/>
        <v>Mississippi</v>
      </c>
      <c r="E26">
        <f t="shared" si="1"/>
        <v>8924.02</v>
      </c>
    </row>
    <row r="27" spans="1:5" x14ac:dyDescent="0.25">
      <c r="A27" s="24" t="s">
        <v>472</v>
      </c>
      <c r="B27" s="25">
        <v>14641.910000000003</v>
      </c>
      <c r="D27" t="str">
        <f t="shared" si="0"/>
        <v>Missouri</v>
      </c>
      <c r="E27">
        <f t="shared" si="1"/>
        <v>14641.910000000003</v>
      </c>
    </row>
    <row r="28" spans="1:5" x14ac:dyDescent="0.25">
      <c r="A28" s="24" t="s">
        <v>2104</v>
      </c>
      <c r="B28" s="25">
        <v>4622.2799999999988</v>
      </c>
      <c r="D28" t="str">
        <f t="shared" si="0"/>
        <v>Montana</v>
      </c>
      <c r="E28">
        <f t="shared" si="1"/>
        <v>4622.2799999999988</v>
      </c>
    </row>
    <row r="29" spans="1:5" x14ac:dyDescent="0.25">
      <c r="A29" s="24" t="s">
        <v>651</v>
      </c>
      <c r="B29" s="25">
        <v>6108.77</v>
      </c>
      <c r="D29" t="str">
        <f t="shared" si="0"/>
        <v>Nebraska</v>
      </c>
      <c r="E29">
        <f t="shared" si="1"/>
        <v>6108.77</v>
      </c>
    </row>
    <row r="30" spans="1:5" x14ac:dyDescent="0.25">
      <c r="A30" s="24" t="s">
        <v>483</v>
      </c>
      <c r="B30" s="25">
        <v>11757.43</v>
      </c>
      <c r="D30" t="str">
        <f t="shared" si="0"/>
        <v>Nevada</v>
      </c>
      <c r="E30">
        <f t="shared" si="1"/>
        <v>11757.43</v>
      </c>
    </row>
    <row r="31" spans="1:5" x14ac:dyDescent="0.25">
      <c r="A31" s="24" t="s">
        <v>104</v>
      </c>
      <c r="B31" s="25">
        <v>2848.0099999999998</v>
      </c>
      <c r="D31" t="str">
        <f t="shared" si="0"/>
        <v>New Hampshire</v>
      </c>
      <c r="E31">
        <f t="shared" si="1"/>
        <v>2848.0099999999998</v>
      </c>
    </row>
    <row r="32" spans="1:5" x14ac:dyDescent="0.25">
      <c r="A32" s="24" t="s">
        <v>85</v>
      </c>
      <c r="B32" s="25">
        <v>32086.941999999995</v>
      </c>
      <c r="D32" t="str">
        <f t="shared" si="0"/>
        <v>New Jersey</v>
      </c>
      <c r="E32">
        <f t="shared" si="1"/>
        <v>32086.941999999995</v>
      </c>
    </row>
    <row r="33" spans="1:5" x14ac:dyDescent="0.25">
      <c r="A33" s="24" t="s">
        <v>1868</v>
      </c>
      <c r="B33" s="25">
        <v>5102.637999999999</v>
      </c>
      <c r="D33" t="str">
        <f t="shared" si="0"/>
        <v>New Mexico</v>
      </c>
      <c r="E33">
        <f t="shared" si="1"/>
        <v>5102.637999999999</v>
      </c>
    </row>
    <row r="34" spans="1:5" x14ac:dyDescent="0.25">
      <c r="A34" s="24" t="s">
        <v>94</v>
      </c>
      <c r="B34" s="25">
        <v>186748.09699999986</v>
      </c>
      <c r="D34" t="str">
        <f t="shared" si="0"/>
        <v>New York</v>
      </c>
      <c r="E34">
        <f t="shared" si="1"/>
        <v>186748.09699999986</v>
      </c>
    </row>
    <row r="35" spans="1:5" x14ac:dyDescent="0.25">
      <c r="A35" s="24" t="s">
        <v>35</v>
      </c>
      <c r="B35" s="25">
        <v>39705.124999999993</v>
      </c>
      <c r="D35" t="str">
        <f t="shared" si="0"/>
        <v>North Carolina</v>
      </c>
      <c r="E35">
        <f t="shared" si="1"/>
        <v>39705.124999999993</v>
      </c>
    </row>
    <row r="36" spans="1:5" x14ac:dyDescent="0.25">
      <c r="A36" s="24" t="s">
        <v>2300</v>
      </c>
      <c r="B36" s="25">
        <v>1952.9099999999999</v>
      </c>
      <c r="D36" t="str">
        <f t="shared" si="0"/>
        <v>North Dakota</v>
      </c>
      <c r="E36">
        <f t="shared" si="1"/>
        <v>1952.9099999999999</v>
      </c>
    </row>
    <row r="37" spans="1:5" x14ac:dyDescent="0.25">
      <c r="A37" s="24" t="s">
        <v>67</v>
      </c>
      <c r="B37" s="25">
        <v>68194.859999999986</v>
      </c>
      <c r="D37" t="str">
        <f t="shared" si="0"/>
        <v>Ohio</v>
      </c>
      <c r="E37">
        <f t="shared" si="1"/>
        <v>68194.859999999986</v>
      </c>
    </row>
    <row r="38" spans="1:5" x14ac:dyDescent="0.25">
      <c r="A38" s="24" t="s">
        <v>29</v>
      </c>
      <c r="B38" s="25">
        <v>17653.699999999997</v>
      </c>
      <c r="D38" t="str">
        <f t="shared" si="0"/>
        <v>Oklahoma</v>
      </c>
      <c r="E38">
        <f t="shared" si="1"/>
        <v>17653.699999999997</v>
      </c>
    </row>
    <row r="39" spans="1:5" x14ac:dyDescent="0.25">
      <c r="A39" s="24" t="s">
        <v>465</v>
      </c>
      <c r="B39" s="25">
        <v>10530.429999999998</v>
      </c>
      <c r="D39" t="str">
        <f t="shared" si="0"/>
        <v>Oregon</v>
      </c>
      <c r="E39">
        <f t="shared" si="1"/>
        <v>10530.429999999998</v>
      </c>
    </row>
    <row r="40" spans="1:5" x14ac:dyDescent="0.25">
      <c r="A40" s="24" t="s">
        <v>39</v>
      </c>
      <c r="B40" s="25">
        <v>82354.949999999983</v>
      </c>
      <c r="D40" t="str">
        <f t="shared" si="0"/>
        <v>Pennsylvania</v>
      </c>
      <c r="E40">
        <f t="shared" si="1"/>
        <v>82354.949999999983</v>
      </c>
    </row>
    <row r="41" spans="1:5" x14ac:dyDescent="0.25">
      <c r="A41" s="24" t="s">
        <v>883</v>
      </c>
      <c r="B41" s="25">
        <v>13602.71</v>
      </c>
      <c r="D41" t="str">
        <f t="shared" si="0"/>
        <v>Rhode Island</v>
      </c>
      <c r="E41">
        <f t="shared" si="1"/>
        <v>13602.71</v>
      </c>
    </row>
    <row r="42" spans="1:5" x14ac:dyDescent="0.25">
      <c r="A42" s="24" t="s">
        <v>1148</v>
      </c>
      <c r="B42" s="25">
        <v>3047.2300000000005</v>
      </c>
      <c r="D42" t="str">
        <f t="shared" si="0"/>
        <v>South Carolina</v>
      </c>
      <c r="E42">
        <f t="shared" si="1"/>
        <v>3047.2300000000005</v>
      </c>
    </row>
    <row r="43" spans="1:5" x14ac:dyDescent="0.25">
      <c r="A43" s="24" t="s">
        <v>2390</v>
      </c>
      <c r="B43" s="25">
        <v>1736.4099999999999</v>
      </c>
      <c r="D43" t="str">
        <f t="shared" si="0"/>
        <v>South Dakota</v>
      </c>
      <c r="E43">
        <f t="shared" si="1"/>
        <v>1736.4099999999999</v>
      </c>
    </row>
    <row r="44" spans="1:5" x14ac:dyDescent="0.25">
      <c r="A44" s="24" t="s">
        <v>219</v>
      </c>
      <c r="B44" s="25">
        <v>26288.316999999992</v>
      </c>
      <c r="D44" t="str">
        <f t="shared" si="0"/>
        <v>Tennessee</v>
      </c>
      <c r="E44">
        <f t="shared" si="1"/>
        <v>26288.316999999992</v>
      </c>
    </row>
    <row r="45" spans="1:5" x14ac:dyDescent="0.25">
      <c r="A45" s="24" t="s">
        <v>23</v>
      </c>
      <c r="B45" s="25">
        <v>116261.93019999994</v>
      </c>
      <c r="D45" t="str">
        <f t="shared" si="0"/>
        <v>Texas</v>
      </c>
      <c r="E45">
        <f t="shared" si="1"/>
        <v>116261.93019999994</v>
      </c>
    </row>
    <row r="46" spans="1:5" x14ac:dyDescent="0.25">
      <c r="A46" s="24" t="s">
        <v>1156</v>
      </c>
      <c r="B46" s="25">
        <v>5316.0479999999989</v>
      </c>
      <c r="D46" t="str">
        <f t="shared" si="0"/>
        <v>Utah</v>
      </c>
      <c r="E46">
        <f t="shared" si="1"/>
        <v>5316.0479999999989</v>
      </c>
    </row>
    <row r="47" spans="1:5" x14ac:dyDescent="0.25">
      <c r="A47" s="24" t="s">
        <v>138</v>
      </c>
      <c r="B47" s="25">
        <v>4091.2700000000004</v>
      </c>
      <c r="D47" t="str">
        <f t="shared" si="0"/>
        <v>Vermont</v>
      </c>
      <c r="E47">
        <f t="shared" si="1"/>
        <v>4091.2700000000004</v>
      </c>
    </row>
    <row r="48" spans="1:5" x14ac:dyDescent="0.25">
      <c r="A48" s="24" t="s">
        <v>181</v>
      </c>
      <c r="B48" s="25">
        <v>32721.249999999985</v>
      </c>
      <c r="D48" t="str">
        <f t="shared" si="0"/>
        <v>Virginia</v>
      </c>
      <c r="E48">
        <f t="shared" si="1"/>
        <v>32721.249999999985</v>
      </c>
    </row>
    <row r="49" spans="1:5" x14ac:dyDescent="0.25">
      <c r="A49" s="24" t="s">
        <v>70</v>
      </c>
      <c r="B49" s="25">
        <v>92975.180000000022</v>
      </c>
      <c r="D49" t="str">
        <f t="shared" si="0"/>
        <v>Washington</v>
      </c>
      <c r="E49">
        <f t="shared" si="1"/>
        <v>92975.180000000022</v>
      </c>
    </row>
    <row r="50" spans="1:5" x14ac:dyDescent="0.25">
      <c r="A50" s="24" t="s">
        <v>2349</v>
      </c>
      <c r="B50" s="25">
        <v>1397.8240000000001</v>
      </c>
      <c r="D50" t="str">
        <f t="shared" si="0"/>
        <v>West Virginia</v>
      </c>
      <c r="E50">
        <f t="shared" si="1"/>
        <v>1397.8240000000001</v>
      </c>
    </row>
    <row r="51" spans="1:5" x14ac:dyDescent="0.25">
      <c r="A51" s="24" t="s">
        <v>56</v>
      </c>
      <c r="B51" s="25">
        <v>21490.090000000004</v>
      </c>
      <c r="D51" t="str">
        <f t="shared" si="0"/>
        <v>Wisconsin</v>
      </c>
      <c r="E51">
        <f t="shared" si="1"/>
        <v>21490.090000000004</v>
      </c>
    </row>
    <row r="52" spans="1:5" x14ac:dyDescent="0.25">
      <c r="A52" s="24" t="s">
        <v>1812</v>
      </c>
      <c r="B52" s="25">
        <v>1603.136</v>
      </c>
      <c r="D52" t="str">
        <f t="shared" si="0"/>
        <v>Wyoming</v>
      </c>
      <c r="E52">
        <f t="shared" si="1"/>
        <v>1603.136</v>
      </c>
    </row>
    <row r="53" spans="1:5" x14ac:dyDescent="0.25">
      <c r="A53" s="24" t="s">
        <v>2596</v>
      </c>
      <c r="B53" s="25">
        <v>1565804.3232000005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K5903"/>
  <sheetViews>
    <sheetView workbookViewId="0">
      <selection activeCell="D1" sqref="D1:D1048576"/>
    </sheetView>
  </sheetViews>
  <sheetFormatPr defaultRowHeight="15" x14ac:dyDescent="0.25"/>
  <cols>
    <col min="1" max="3" width="12.85546875" customWidth="1"/>
    <col min="4" max="4" width="20.42578125" bestFit="1" customWidth="1"/>
    <col min="5" max="5" width="17.28515625" bestFit="1" customWidth="1"/>
    <col min="6" max="6" width="13.140625" bestFit="1" customWidth="1"/>
    <col min="7" max="7" width="15" customWidth="1"/>
    <col min="8" max="8" width="108.85546875" bestFit="1" customWidth="1"/>
    <col min="9" max="9" width="10" bestFit="1" customWidth="1"/>
    <col min="10" max="10" width="10.85546875" customWidth="1"/>
    <col min="11" max="11" width="10.7109375" bestFit="1" customWidth="1"/>
    <col min="12" max="12" width="11" customWidth="1"/>
  </cols>
  <sheetData>
    <row r="1" spans="1:11" x14ac:dyDescent="0.25">
      <c r="A1" s="7" t="s">
        <v>0</v>
      </c>
      <c r="B1" s="22" t="s">
        <v>2593</v>
      </c>
      <c r="C1" s="22" t="s">
        <v>2594</v>
      </c>
      <c r="D1" s="8" t="s">
        <v>1</v>
      </c>
      <c r="E1" s="8" t="s">
        <v>2</v>
      </c>
      <c r="F1" s="8" t="s">
        <v>3</v>
      </c>
      <c r="G1" s="8" t="s">
        <v>4</v>
      </c>
      <c r="H1" s="8" t="s">
        <v>5</v>
      </c>
      <c r="I1" s="9" t="s">
        <v>6</v>
      </c>
      <c r="J1" s="9" t="s">
        <v>7</v>
      </c>
      <c r="K1" s="10" t="s">
        <v>8</v>
      </c>
    </row>
    <row r="2" spans="1:11" x14ac:dyDescent="0.25">
      <c r="A2" s="2">
        <v>43466</v>
      </c>
      <c r="B2" s="18">
        <f t="shared" ref="B2:B65" si="0">YEAR(A2)</f>
        <v>2019</v>
      </c>
      <c r="C2" s="18">
        <f t="shared" ref="C2:C65" si="1">MONTH(A2)</f>
        <v>1</v>
      </c>
      <c r="D2" s="3" t="s">
        <v>9</v>
      </c>
      <c r="E2" s="3" t="s">
        <v>10</v>
      </c>
      <c r="F2" s="3" t="s">
        <v>11</v>
      </c>
      <c r="G2" s="3" t="s">
        <v>12</v>
      </c>
      <c r="H2" s="3" t="s">
        <v>13</v>
      </c>
      <c r="I2" s="11">
        <v>73.94</v>
      </c>
      <c r="J2" s="18">
        <v>1</v>
      </c>
      <c r="K2" s="12">
        <v>28.2668</v>
      </c>
    </row>
    <row r="3" spans="1:11" x14ac:dyDescent="0.25">
      <c r="A3" s="4">
        <v>43467</v>
      </c>
      <c r="B3" s="19">
        <f t="shared" si="0"/>
        <v>2019</v>
      </c>
      <c r="C3" s="19">
        <f t="shared" si="1"/>
        <v>1</v>
      </c>
      <c r="D3" s="5" t="s">
        <v>9</v>
      </c>
      <c r="E3" s="5" t="s">
        <v>10</v>
      </c>
      <c r="F3" s="5" t="s">
        <v>11</v>
      </c>
      <c r="G3" s="5" t="s">
        <v>12</v>
      </c>
      <c r="H3" s="5" t="s">
        <v>13</v>
      </c>
      <c r="I3" s="13">
        <v>173.94</v>
      </c>
      <c r="J3" s="19">
        <v>3</v>
      </c>
      <c r="K3" s="14">
        <v>38.266800000000003</v>
      </c>
    </row>
    <row r="4" spans="1:11" x14ac:dyDescent="0.25">
      <c r="A4" s="2">
        <v>43467</v>
      </c>
      <c r="B4" s="18">
        <f t="shared" si="0"/>
        <v>2019</v>
      </c>
      <c r="C4" s="18">
        <f t="shared" si="1"/>
        <v>1</v>
      </c>
      <c r="D4" s="3" t="s">
        <v>9</v>
      </c>
      <c r="E4" s="3" t="s">
        <v>10</v>
      </c>
      <c r="F4" s="3" t="s">
        <v>14</v>
      </c>
      <c r="G4" s="3" t="s">
        <v>15</v>
      </c>
      <c r="H4" s="3" t="s">
        <v>16</v>
      </c>
      <c r="I4" s="11">
        <v>231.98</v>
      </c>
      <c r="J4" s="18">
        <v>2</v>
      </c>
      <c r="K4" s="12">
        <v>67.274199999999993</v>
      </c>
    </row>
    <row r="5" spans="1:11" x14ac:dyDescent="0.25">
      <c r="A5" s="4">
        <v>43468</v>
      </c>
      <c r="B5" s="19">
        <f t="shared" si="0"/>
        <v>2019</v>
      </c>
      <c r="C5" s="19">
        <f t="shared" si="1"/>
        <v>1</v>
      </c>
      <c r="D5" s="5" t="s">
        <v>17</v>
      </c>
      <c r="E5" s="5" t="s">
        <v>18</v>
      </c>
      <c r="F5" s="5" t="s">
        <v>19</v>
      </c>
      <c r="G5" s="5" t="s">
        <v>20</v>
      </c>
      <c r="H5" s="5" t="s">
        <v>21</v>
      </c>
      <c r="I5" s="13">
        <v>114.46</v>
      </c>
      <c r="J5" s="19">
        <v>2</v>
      </c>
      <c r="K5" s="14">
        <v>28.614999999999998</v>
      </c>
    </row>
    <row r="6" spans="1:11" x14ac:dyDescent="0.25">
      <c r="A6" s="2">
        <v>43468</v>
      </c>
      <c r="B6" s="18">
        <f t="shared" si="0"/>
        <v>2019</v>
      </c>
      <c r="C6" s="18">
        <f t="shared" si="1"/>
        <v>1</v>
      </c>
      <c r="D6" s="3" t="s">
        <v>22</v>
      </c>
      <c r="E6" s="3" t="s">
        <v>23</v>
      </c>
      <c r="F6" s="3" t="s">
        <v>14</v>
      </c>
      <c r="G6" s="3" t="s">
        <v>24</v>
      </c>
      <c r="H6" s="3" t="s">
        <v>25</v>
      </c>
      <c r="I6" s="11">
        <v>30.08</v>
      </c>
      <c r="J6" s="18">
        <v>2</v>
      </c>
      <c r="K6" s="12">
        <v>-5.2640000000000002</v>
      </c>
    </row>
    <row r="7" spans="1:11" x14ac:dyDescent="0.25">
      <c r="A7" s="4">
        <v>43468</v>
      </c>
      <c r="B7" s="19">
        <f t="shared" si="0"/>
        <v>2019</v>
      </c>
      <c r="C7" s="19">
        <f t="shared" si="1"/>
        <v>1</v>
      </c>
      <c r="D7" s="5" t="s">
        <v>22</v>
      </c>
      <c r="E7" s="5" t="s">
        <v>23</v>
      </c>
      <c r="F7" s="5" t="s">
        <v>14</v>
      </c>
      <c r="G7" s="5" t="s">
        <v>24</v>
      </c>
      <c r="H7" s="5" t="s">
        <v>26</v>
      </c>
      <c r="I7" s="13">
        <v>165.6</v>
      </c>
      <c r="J7" s="19">
        <v>3</v>
      </c>
      <c r="K7" s="14">
        <v>-6.21</v>
      </c>
    </row>
    <row r="8" spans="1:11" x14ac:dyDescent="0.25">
      <c r="A8" s="2">
        <v>43468</v>
      </c>
      <c r="B8" s="18">
        <f t="shared" si="0"/>
        <v>2019</v>
      </c>
      <c r="C8" s="18">
        <f t="shared" si="1"/>
        <v>1</v>
      </c>
      <c r="D8" s="3" t="s">
        <v>22</v>
      </c>
      <c r="E8" s="3" t="s">
        <v>23</v>
      </c>
      <c r="F8" s="3" t="s">
        <v>14</v>
      </c>
      <c r="G8" s="3" t="s">
        <v>15</v>
      </c>
      <c r="H8" s="3" t="s">
        <v>27</v>
      </c>
      <c r="I8" s="11">
        <v>180.96</v>
      </c>
      <c r="J8" s="18">
        <v>5</v>
      </c>
      <c r="K8" s="12">
        <v>13.571999999999999</v>
      </c>
    </row>
    <row r="9" spans="1:11" x14ac:dyDescent="0.25">
      <c r="A9" s="4">
        <v>43468</v>
      </c>
      <c r="B9" s="19">
        <f t="shared" si="0"/>
        <v>2019</v>
      </c>
      <c r="C9" s="19">
        <f t="shared" si="1"/>
        <v>1</v>
      </c>
      <c r="D9" s="5" t="s">
        <v>28</v>
      </c>
      <c r="E9" s="5" t="s">
        <v>29</v>
      </c>
      <c r="F9" s="5" t="s">
        <v>11</v>
      </c>
      <c r="G9" s="5" t="s">
        <v>30</v>
      </c>
      <c r="H9" s="5" t="s">
        <v>31</v>
      </c>
      <c r="I9" s="13">
        <v>1592.85</v>
      </c>
      <c r="J9" s="19">
        <v>7</v>
      </c>
      <c r="K9" s="14">
        <v>350.42700000000002</v>
      </c>
    </row>
    <row r="10" spans="1:11" x14ac:dyDescent="0.25">
      <c r="A10" s="2">
        <v>43468</v>
      </c>
      <c r="B10" s="18">
        <f t="shared" si="0"/>
        <v>2019</v>
      </c>
      <c r="C10" s="18">
        <f t="shared" si="1"/>
        <v>1</v>
      </c>
      <c r="D10" s="3" t="s">
        <v>28</v>
      </c>
      <c r="E10" s="3" t="s">
        <v>29</v>
      </c>
      <c r="F10" s="3" t="s">
        <v>19</v>
      </c>
      <c r="G10" s="3" t="s">
        <v>32</v>
      </c>
      <c r="H10" s="3" t="s">
        <v>33</v>
      </c>
      <c r="I10" s="11">
        <v>11.88</v>
      </c>
      <c r="J10" s="18">
        <v>2</v>
      </c>
      <c r="K10" s="12">
        <v>5.3460000000000001</v>
      </c>
    </row>
    <row r="11" spans="1:11" x14ac:dyDescent="0.25">
      <c r="A11" s="4">
        <v>43469</v>
      </c>
      <c r="B11" s="19">
        <f t="shared" si="0"/>
        <v>2019</v>
      </c>
      <c r="C11" s="19">
        <f t="shared" si="1"/>
        <v>1</v>
      </c>
      <c r="D11" s="5" t="s">
        <v>34</v>
      </c>
      <c r="E11" s="5" t="s">
        <v>35</v>
      </c>
      <c r="F11" s="5" t="s">
        <v>14</v>
      </c>
      <c r="G11" s="5" t="s">
        <v>36</v>
      </c>
      <c r="H11" s="5" t="s">
        <v>37</v>
      </c>
      <c r="I11" s="13">
        <v>959.96799999999996</v>
      </c>
      <c r="J11" s="19">
        <v>4</v>
      </c>
      <c r="K11" s="14">
        <v>119.996</v>
      </c>
    </row>
    <row r="12" spans="1:11" x14ac:dyDescent="0.25">
      <c r="A12" s="2">
        <v>43469</v>
      </c>
      <c r="B12" s="18">
        <f t="shared" si="0"/>
        <v>2019</v>
      </c>
      <c r="C12" s="18">
        <f t="shared" si="1"/>
        <v>1</v>
      </c>
      <c r="D12" s="3" t="s">
        <v>38</v>
      </c>
      <c r="E12" s="3" t="s">
        <v>39</v>
      </c>
      <c r="F12" s="3" t="s">
        <v>19</v>
      </c>
      <c r="G12" s="3" t="s">
        <v>40</v>
      </c>
      <c r="H12" s="3" t="s">
        <v>41</v>
      </c>
      <c r="I12" s="11">
        <v>4.6719999999999997</v>
      </c>
      <c r="J12" s="18">
        <v>1</v>
      </c>
      <c r="K12" s="12">
        <v>0.58399999999999996</v>
      </c>
    </row>
    <row r="13" spans="1:11" x14ac:dyDescent="0.25">
      <c r="A13" s="4">
        <v>43469</v>
      </c>
      <c r="B13" s="19">
        <f t="shared" si="0"/>
        <v>2019</v>
      </c>
      <c r="C13" s="19">
        <f t="shared" si="1"/>
        <v>1</v>
      </c>
      <c r="D13" s="5" t="s">
        <v>38</v>
      </c>
      <c r="E13" s="5" t="s">
        <v>39</v>
      </c>
      <c r="F13" s="5" t="s">
        <v>19</v>
      </c>
      <c r="G13" s="5" t="s">
        <v>32</v>
      </c>
      <c r="H13" s="5" t="s">
        <v>42</v>
      </c>
      <c r="I13" s="13">
        <v>104.58</v>
      </c>
      <c r="J13" s="19">
        <v>6</v>
      </c>
      <c r="K13" s="14">
        <v>-80.177999999999997</v>
      </c>
    </row>
    <row r="14" spans="1:11" x14ac:dyDescent="0.25">
      <c r="A14" s="2">
        <v>43470</v>
      </c>
      <c r="B14" s="18">
        <f t="shared" si="0"/>
        <v>2019</v>
      </c>
      <c r="C14" s="18">
        <f t="shared" si="1"/>
        <v>1</v>
      </c>
      <c r="D14" s="3" t="s">
        <v>43</v>
      </c>
      <c r="E14" s="3" t="s">
        <v>44</v>
      </c>
      <c r="F14" s="3" t="s">
        <v>14</v>
      </c>
      <c r="G14" s="3" t="s">
        <v>24</v>
      </c>
      <c r="H14" s="3" t="s">
        <v>45</v>
      </c>
      <c r="I14" s="11">
        <v>191.47200000000001</v>
      </c>
      <c r="J14" s="18">
        <v>6</v>
      </c>
      <c r="K14" s="12">
        <v>40.687800000000003</v>
      </c>
    </row>
    <row r="15" spans="1:11" x14ac:dyDescent="0.25">
      <c r="A15" s="4">
        <v>43470</v>
      </c>
      <c r="B15" s="19">
        <f t="shared" si="0"/>
        <v>2019</v>
      </c>
      <c r="C15" s="19">
        <f t="shared" si="1"/>
        <v>1</v>
      </c>
      <c r="D15" s="5" t="s">
        <v>43</v>
      </c>
      <c r="E15" s="5" t="s">
        <v>44</v>
      </c>
      <c r="F15" s="5" t="s">
        <v>19</v>
      </c>
      <c r="G15" s="5" t="s">
        <v>40</v>
      </c>
      <c r="H15" s="5" t="s">
        <v>46</v>
      </c>
      <c r="I15" s="13">
        <v>5.2480000000000002</v>
      </c>
      <c r="J15" s="19">
        <v>2</v>
      </c>
      <c r="K15" s="14">
        <v>0.59040000000000004</v>
      </c>
    </row>
    <row r="16" spans="1:11" x14ac:dyDescent="0.25">
      <c r="A16" s="2">
        <v>43470</v>
      </c>
      <c r="B16" s="18">
        <f t="shared" si="0"/>
        <v>2019</v>
      </c>
      <c r="C16" s="18">
        <f t="shared" si="1"/>
        <v>1</v>
      </c>
      <c r="D16" s="3" t="s">
        <v>43</v>
      </c>
      <c r="E16" s="3" t="s">
        <v>44</v>
      </c>
      <c r="F16" s="3" t="s">
        <v>14</v>
      </c>
      <c r="G16" s="3" t="s">
        <v>15</v>
      </c>
      <c r="H16" s="3" t="s">
        <v>47</v>
      </c>
      <c r="I16" s="11">
        <v>59.183999999999997</v>
      </c>
      <c r="J16" s="18">
        <v>2</v>
      </c>
      <c r="K16" s="12">
        <v>5.1786000000000003</v>
      </c>
    </row>
    <row r="17" spans="1:11" x14ac:dyDescent="0.25">
      <c r="A17" s="4">
        <v>43472</v>
      </c>
      <c r="B17" s="19">
        <f t="shared" si="0"/>
        <v>2019</v>
      </c>
      <c r="C17" s="19">
        <f t="shared" si="1"/>
        <v>1</v>
      </c>
      <c r="D17" s="5" t="s">
        <v>48</v>
      </c>
      <c r="E17" s="5" t="s">
        <v>18</v>
      </c>
      <c r="F17" s="5" t="s">
        <v>19</v>
      </c>
      <c r="G17" s="5" t="s">
        <v>40</v>
      </c>
      <c r="H17" s="5" t="s">
        <v>49</v>
      </c>
      <c r="I17" s="13">
        <v>34.58</v>
      </c>
      <c r="J17" s="19">
        <v>1</v>
      </c>
      <c r="K17" s="14">
        <v>10.0282</v>
      </c>
    </row>
    <row r="18" spans="1:11" x14ac:dyDescent="0.25">
      <c r="A18" s="2">
        <v>43472</v>
      </c>
      <c r="B18" s="18">
        <f t="shared" si="0"/>
        <v>2019</v>
      </c>
      <c r="C18" s="18">
        <f t="shared" si="1"/>
        <v>1</v>
      </c>
      <c r="D18" s="3" t="s">
        <v>50</v>
      </c>
      <c r="E18" s="3" t="s">
        <v>23</v>
      </c>
      <c r="F18" s="3" t="s">
        <v>11</v>
      </c>
      <c r="G18" s="3" t="s">
        <v>51</v>
      </c>
      <c r="H18" s="3" t="s">
        <v>52</v>
      </c>
      <c r="I18" s="11">
        <v>23.076000000000001</v>
      </c>
      <c r="J18" s="18">
        <v>3</v>
      </c>
      <c r="K18" s="12">
        <v>-10.9611</v>
      </c>
    </row>
    <row r="19" spans="1:11" x14ac:dyDescent="0.25">
      <c r="A19" s="4">
        <v>43472</v>
      </c>
      <c r="B19" s="19">
        <f t="shared" si="0"/>
        <v>2019</v>
      </c>
      <c r="C19" s="19">
        <f t="shared" si="1"/>
        <v>1</v>
      </c>
      <c r="D19" s="5" t="s">
        <v>50</v>
      </c>
      <c r="E19" s="5" t="s">
        <v>23</v>
      </c>
      <c r="F19" s="5" t="s">
        <v>19</v>
      </c>
      <c r="G19" s="5" t="s">
        <v>53</v>
      </c>
      <c r="H19" s="5" t="s">
        <v>54</v>
      </c>
      <c r="I19" s="13">
        <v>25.92</v>
      </c>
      <c r="J19" s="19">
        <v>5</v>
      </c>
      <c r="K19" s="14">
        <v>9.0719999999999992</v>
      </c>
    </row>
    <row r="20" spans="1:11" x14ac:dyDescent="0.25">
      <c r="A20" s="2">
        <v>43473</v>
      </c>
      <c r="B20" s="18">
        <f t="shared" si="0"/>
        <v>2019</v>
      </c>
      <c r="C20" s="18">
        <f t="shared" si="1"/>
        <v>1</v>
      </c>
      <c r="D20" s="3" t="s">
        <v>55</v>
      </c>
      <c r="E20" s="3" t="s">
        <v>56</v>
      </c>
      <c r="F20" s="3" t="s">
        <v>11</v>
      </c>
      <c r="G20" s="3" t="s">
        <v>12</v>
      </c>
      <c r="H20" s="3" t="s">
        <v>57</v>
      </c>
      <c r="I20" s="11">
        <v>1565.88</v>
      </c>
      <c r="J20" s="18">
        <v>6</v>
      </c>
      <c r="K20" s="12">
        <v>407.12880000000001</v>
      </c>
    </row>
    <row r="21" spans="1:11" x14ac:dyDescent="0.25">
      <c r="A21" s="4">
        <v>43473</v>
      </c>
      <c r="B21" s="19">
        <f t="shared" si="0"/>
        <v>2019</v>
      </c>
      <c r="C21" s="19">
        <f t="shared" si="1"/>
        <v>1</v>
      </c>
      <c r="D21" s="5" t="s">
        <v>55</v>
      </c>
      <c r="E21" s="5" t="s">
        <v>56</v>
      </c>
      <c r="F21" s="5" t="s">
        <v>19</v>
      </c>
      <c r="G21" s="5" t="s">
        <v>32</v>
      </c>
      <c r="H21" s="5" t="s">
        <v>58</v>
      </c>
      <c r="I21" s="13">
        <v>106.05</v>
      </c>
      <c r="J21" s="19">
        <v>7</v>
      </c>
      <c r="K21" s="14">
        <v>49.843499999999999</v>
      </c>
    </row>
    <row r="22" spans="1:11" x14ac:dyDescent="0.25">
      <c r="A22" s="2">
        <v>43473</v>
      </c>
      <c r="B22" s="18">
        <f t="shared" si="0"/>
        <v>2019</v>
      </c>
      <c r="C22" s="18">
        <f t="shared" si="1"/>
        <v>1</v>
      </c>
      <c r="D22" s="3" t="s">
        <v>59</v>
      </c>
      <c r="E22" s="3" t="s">
        <v>35</v>
      </c>
      <c r="F22" s="3" t="s">
        <v>19</v>
      </c>
      <c r="G22" s="3" t="s">
        <v>32</v>
      </c>
      <c r="H22" s="3" t="s">
        <v>60</v>
      </c>
      <c r="I22" s="11">
        <v>30.827999999999999</v>
      </c>
      <c r="J22" s="18">
        <v>7</v>
      </c>
      <c r="K22" s="12">
        <v>-24.662400000000002</v>
      </c>
    </row>
    <row r="23" spans="1:11" x14ac:dyDescent="0.25">
      <c r="A23" s="4">
        <v>43473</v>
      </c>
      <c r="B23" s="19">
        <f t="shared" si="0"/>
        <v>2019</v>
      </c>
      <c r="C23" s="19">
        <f t="shared" si="1"/>
        <v>1</v>
      </c>
      <c r="D23" s="5" t="s">
        <v>59</v>
      </c>
      <c r="E23" s="5" t="s">
        <v>35</v>
      </c>
      <c r="F23" s="5" t="s">
        <v>19</v>
      </c>
      <c r="G23" s="5" t="s">
        <v>40</v>
      </c>
      <c r="H23" s="5" t="s">
        <v>61</v>
      </c>
      <c r="I23" s="13">
        <v>47.616</v>
      </c>
      <c r="J23" s="19">
        <v>3</v>
      </c>
      <c r="K23" s="14">
        <v>5.952</v>
      </c>
    </row>
    <row r="24" spans="1:11" x14ac:dyDescent="0.25">
      <c r="A24" s="2">
        <v>43473</v>
      </c>
      <c r="B24" s="18">
        <f t="shared" si="0"/>
        <v>2019</v>
      </c>
      <c r="C24" s="18">
        <f t="shared" si="1"/>
        <v>1</v>
      </c>
      <c r="D24" s="3" t="s">
        <v>59</v>
      </c>
      <c r="E24" s="3" t="s">
        <v>35</v>
      </c>
      <c r="F24" s="3" t="s">
        <v>14</v>
      </c>
      <c r="G24" s="3" t="s">
        <v>15</v>
      </c>
      <c r="H24" s="3" t="s">
        <v>62</v>
      </c>
      <c r="I24" s="11">
        <v>108.78400000000001</v>
      </c>
      <c r="J24" s="18">
        <v>2</v>
      </c>
      <c r="K24" s="12">
        <v>10.878399999999999</v>
      </c>
    </row>
    <row r="25" spans="1:11" x14ac:dyDescent="0.25">
      <c r="A25" s="4">
        <v>43474</v>
      </c>
      <c r="B25" s="19">
        <f t="shared" si="0"/>
        <v>2019</v>
      </c>
      <c r="C25" s="19">
        <f t="shared" si="1"/>
        <v>1</v>
      </c>
      <c r="D25" s="5" t="s">
        <v>63</v>
      </c>
      <c r="E25" s="5" t="s">
        <v>18</v>
      </c>
      <c r="F25" s="5" t="s">
        <v>14</v>
      </c>
      <c r="G25" s="5" t="s">
        <v>24</v>
      </c>
      <c r="H25" s="5" t="s">
        <v>64</v>
      </c>
      <c r="I25" s="13">
        <v>349.95</v>
      </c>
      <c r="J25" s="19">
        <v>5</v>
      </c>
      <c r="K25" s="14">
        <v>118.983</v>
      </c>
    </row>
    <row r="26" spans="1:11" x14ac:dyDescent="0.25">
      <c r="A26" s="2">
        <v>43474</v>
      </c>
      <c r="B26" s="18">
        <f t="shared" si="0"/>
        <v>2019</v>
      </c>
      <c r="C26" s="18">
        <f t="shared" si="1"/>
        <v>1</v>
      </c>
      <c r="D26" s="3" t="s">
        <v>63</v>
      </c>
      <c r="E26" s="3" t="s">
        <v>18</v>
      </c>
      <c r="F26" s="3" t="s">
        <v>14</v>
      </c>
      <c r="G26" s="3" t="s">
        <v>15</v>
      </c>
      <c r="H26" s="3" t="s">
        <v>65</v>
      </c>
      <c r="I26" s="11">
        <v>377.928</v>
      </c>
      <c r="J26" s="18">
        <v>9</v>
      </c>
      <c r="K26" s="12">
        <v>141.72300000000001</v>
      </c>
    </row>
    <row r="27" spans="1:11" x14ac:dyDescent="0.25">
      <c r="A27" s="4">
        <v>43474</v>
      </c>
      <c r="B27" s="19">
        <f t="shared" si="0"/>
        <v>2019</v>
      </c>
      <c r="C27" s="19">
        <f t="shared" si="1"/>
        <v>1</v>
      </c>
      <c r="D27" s="5" t="s">
        <v>66</v>
      </c>
      <c r="E27" s="5" t="s">
        <v>67</v>
      </c>
      <c r="F27" s="5" t="s">
        <v>11</v>
      </c>
      <c r="G27" s="5" t="s">
        <v>51</v>
      </c>
      <c r="H27" s="5" t="s">
        <v>68</v>
      </c>
      <c r="I27" s="13">
        <v>15.167999999999999</v>
      </c>
      <c r="J27" s="19">
        <v>2</v>
      </c>
      <c r="K27" s="14">
        <v>3.7919999999999998</v>
      </c>
    </row>
    <row r="28" spans="1:11" x14ac:dyDescent="0.25">
      <c r="A28" s="2">
        <v>43475</v>
      </c>
      <c r="B28" s="18">
        <f t="shared" si="0"/>
        <v>2019</v>
      </c>
      <c r="C28" s="18">
        <f t="shared" si="1"/>
        <v>1</v>
      </c>
      <c r="D28" s="3" t="s">
        <v>69</v>
      </c>
      <c r="E28" s="3" t="s">
        <v>70</v>
      </c>
      <c r="F28" s="3" t="s">
        <v>11</v>
      </c>
      <c r="G28" s="3" t="s">
        <v>51</v>
      </c>
      <c r="H28" s="3" t="s">
        <v>71</v>
      </c>
      <c r="I28" s="11">
        <v>79.92</v>
      </c>
      <c r="J28" s="18">
        <v>4</v>
      </c>
      <c r="K28" s="12">
        <v>34.365600000000001</v>
      </c>
    </row>
    <row r="29" spans="1:11" x14ac:dyDescent="0.25">
      <c r="A29" s="4">
        <v>43475</v>
      </c>
      <c r="B29" s="19">
        <f t="shared" si="0"/>
        <v>2019</v>
      </c>
      <c r="C29" s="19">
        <f t="shared" si="1"/>
        <v>1</v>
      </c>
      <c r="D29" s="5" t="s">
        <v>69</v>
      </c>
      <c r="E29" s="5" t="s">
        <v>70</v>
      </c>
      <c r="F29" s="5" t="s">
        <v>14</v>
      </c>
      <c r="G29" s="5" t="s">
        <v>24</v>
      </c>
      <c r="H29" s="5" t="s">
        <v>72</v>
      </c>
      <c r="I29" s="13">
        <v>69.98</v>
      </c>
      <c r="J29" s="19">
        <v>2</v>
      </c>
      <c r="K29" s="14">
        <v>13.296200000000001</v>
      </c>
    </row>
    <row r="30" spans="1:11" x14ac:dyDescent="0.25">
      <c r="A30" s="2">
        <v>43475</v>
      </c>
      <c r="B30" s="18">
        <f t="shared" si="0"/>
        <v>2019</v>
      </c>
      <c r="C30" s="18">
        <f t="shared" si="1"/>
        <v>1</v>
      </c>
      <c r="D30" s="3" t="s">
        <v>73</v>
      </c>
      <c r="E30" s="3" t="s">
        <v>70</v>
      </c>
      <c r="F30" s="3" t="s">
        <v>11</v>
      </c>
      <c r="G30" s="3" t="s">
        <v>51</v>
      </c>
      <c r="H30" s="3" t="s">
        <v>74</v>
      </c>
      <c r="I30" s="11">
        <v>24.85</v>
      </c>
      <c r="J30" s="18">
        <v>5</v>
      </c>
      <c r="K30" s="12">
        <v>7.7035</v>
      </c>
    </row>
    <row r="31" spans="1:11" x14ac:dyDescent="0.25">
      <c r="A31" s="4">
        <v>43476</v>
      </c>
      <c r="B31" s="19">
        <f t="shared" si="0"/>
        <v>2019</v>
      </c>
      <c r="C31" s="19">
        <f t="shared" si="1"/>
        <v>1</v>
      </c>
      <c r="D31" s="5" t="s">
        <v>75</v>
      </c>
      <c r="E31" s="5" t="s">
        <v>67</v>
      </c>
      <c r="F31" s="5" t="s">
        <v>19</v>
      </c>
      <c r="G31" s="5" t="s">
        <v>53</v>
      </c>
      <c r="H31" s="5" t="s">
        <v>76</v>
      </c>
      <c r="I31" s="13">
        <v>15.552</v>
      </c>
      <c r="J31" s="19">
        <v>3</v>
      </c>
      <c r="K31" s="14">
        <v>5.4432</v>
      </c>
    </row>
    <row r="32" spans="1:11" x14ac:dyDescent="0.25">
      <c r="A32" s="2">
        <v>43476</v>
      </c>
      <c r="B32" s="18">
        <f t="shared" si="0"/>
        <v>2019</v>
      </c>
      <c r="C32" s="18">
        <f t="shared" si="1"/>
        <v>1</v>
      </c>
      <c r="D32" s="3" t="s">
        <v>75</v>
      </c>
      <c r="E32" s="3" t="s">
        <v>67</v>
      </c>
      <c r="F32" s="3" t="s">
        <v>19</v>
      </c>
      <c r="G32" s="3" t="s">
        <v>53</v>
      </c>
      <c r="H32" s="3" t="s">
        <v>77</v>
      </c>
      <c r="I32" s="11">
        <v>63.311999999999998</v>
      </c>
      <c r="J32" s="18">
        <v>3</v>
      </c>
      <c r="K32" s="12">
        <v>20.5764</v>
      </c>
    </row>
    <row r="33" spans="1:11" x14ac:dyDescent="0.25">
      <c r="A33" s="4">
        <v>43476</v>
      </c>
      <c r="B33" s="19">
        <f t="shared" si="0"/>
        <v>2019</v>
      </c>
      <c r="C33" s="19">
        <f t="shared" si="1"/>
        <v>1</v>
      </c>
      <c r="D33" s="5" t="s">
        <v>75</v>
      </c>
      <c r="E33" s="5" t="s">
        <v>67</v>
      </c>
      <c r="F33" s="5" t="s">
        <v>14</v>
      </c>
      <c r="G33" s="5" t="s">
        <v>15</v>
      </c>
      <c r="H33" s="5" t="s">
        <v>78</v>
      </c>
      <c r="I33" s="13">
        <v>15.587999999999999</v>
      </c>
      <c r="J33" s="19">
        <v>2</v>
      </c>
      <c r="K33" s="14">
        <v>-9.8724000000000007</v>
      </c>
    </row>
    <row r="34" spans="1:11" x14ac:dyDescent="0.25">
      <c r="A34" s="2">
        <v>43476</v>
      </c>
      <c r="B34" s="18">
        <f t="shared" si="0"/>
        <v>2019</v>
      </c>
      <c r="C34" s="18">
        <f t="shared" si="1"/>
        <v>1</v>
      </c>
      <c r="D34" s="3" t="s">
        <v>79</v>
      </c>
      <c r="E34" s="3" t="s">
        <v>67</v>
      </c>
      <c r="F34" s="3" t="s">
        <v>11</v>
      </c>
      <c r="G34" s="3" t="s">
        <v>51</v>
      </c>
      <c r="H34" s="3" t="s">
        <v>80</v>
      </c>
      <c r="I34" s="11">
        <v>54.991999999999997</v>
      </c>
      <c r="J34" s="18">
        <v>14</v>
      </c>
      <c r="K34" s="12">
        <v>8.9361999999999995</v>
      </c>
    </row>
    <row r="35" spans="1:11" x14ac:dyDescent="0.25">
      <c r="A35" s="4">
        <v>43479</v>
      </c>
      <c r="B35" s="19">
        <f t="shared" si="0"/>
        <v>2019</v>
      </c>
      <c r="C35" s="19">
        <f t="shared" si="1"/>
        <v>1</v>
      </c>
      <c r="D35" s="5" t="s">
        <v>81</v>
      </c>
      <c r="E35" s="5" t="s">
        <v>35</v>
      </c>
      <c r="F35" s="5" t="s">
        <v>19</v>
      </c>
      <c r="G35" s="5" t="s">
        <v>53</v>
      </c>
      <c r="H35" s="5" t="s">
        <v>82</v>
      </c>
      <c r="I35" s="13">
        <v>89.567999999999998</v>
      </c>
      <c r="J35" s="19">
        <v>2</v>
      </c>
      <c r="K35" s="14">
        <v>32.468400000000003</v>
      </c>
    </row>
    <row r="36" spans="1:11" x14ac:dyDescent="0.25">
      <c r="A36" s="2">
        <v>43479</v>
      </c>
      <c r="B36" s="18">
        <f t="shared" si="0"/>
        <v>2019</v>
      </c>
      <c r="C36" s="18">
        <f t="shared" si="1"/>
        <v>1</v>
      </c>
      <c r="D36" s="3" t="s">
        <v>81</v>
      </c>
      <c r="E36" s="3" t="s">
        <v>35</v>
      </c>
      <c r="F36" s="3" t="s">
        <v>11</v>
      </c>
      <c r="G36" s="3" t="s">
        <v>51</v>
      </c>
      <c r="H36" s="3" t="s">
        <v>83</v>
      </c>
      <c r="I36" s="11">
        <v>315.77600000000001</v>
      </c>
      <c r="J36" s="18">
        <v>8</v>
      </c>
      <c r="K36" s="12">
        <v>31.5776</v>
      </c>
    </row>
    <row r="37" spans="1:11" x14ac:dyDescent="0.25">
      <c r="A37" s="4">
        <v>43480</v>
      </c>
      <c r="B37" s="19">
        <f t="shared" si="0"/>
        <v>2019</v>
      </c>
      <c r="C37" s="19">
        <f t="shared" si="1"/>
        <v>1</v>
      </c>
      <c r="D37" s="5" t="s">
        <v>84</v>
      </c>
      <c r="E37" s="5" t="s">
        <v>85</v>
      </c>
      <c r="F37" s="5" t="s">
        <v>19</v>
      </c>
      <c r="G37" s="5" t="s">
        <v>86</v>
      </c>
      <c r="H37" s="5" t="s">
        <v>87</v>
      </c>
      <c r="I37" s="13">
        <v>52.34</v>
      </c>
      <c r="J37" s="19">
        <v>2</v>
      </c>
      <c r="K37" s="14">
        <v>24.599799999999998</v>
      </c>
    </row>
    <row r="38" spans="1:11" x14ac:dyDescent="0.25">
      <c r="A38" s="2">
        <v>43480</v>
      </c>
      <c r="B38" s="18">
        <f t="shared" si="0"/>
        <v>2019</v>
      </c>
      <c r="C38" s="18">
        <f t="shared" si="1"/>
        <v>1</v>
      </c>
      <c r="D38" s="3" t="s">
        <v>84</v>
      </c>
      <c r="E38" s="3" t="s">
        <v>85</v>
      </c>
      <c r="F38" s="3" t="s">
        <v>19</v>
      </c>
      <c r="G38" s="3" t="s">
        <v>40</v>
      </c>
      <c r="H38" s="3" t="s">
        <v>88</v>
      </c>
      <c r="I38" s="11">
        <v>4.66</v>
      </c>
      <c r="J38" s="18">
        <v>2</v>
      </c>
      <c r="K38" s="12">
        <v>1.3513999999999999</v>
      </c>
    </row>
    <row r="39" spans="1:11" x14ac:dyDescent="0.25">
      <c r="A39" s="4">
        <v>43480</v>
      </c>
      <c r="B39" s="19">
        <f t="shared" si="0"/>
        <v>2019</v>
      </c>
      <c r="C39" s="19">
        <f t="shared" si="1"/>
        <v>1</v>
      </c>
      <c r="D39" s="5" t="s">
        <v>84</v>
      </c>
      <c r="E39" s="5" t="s">
        <v>85</v>
      </c>
      <c r="F39" s="5" t="s">
        <v>14</v>
      </c>
      <c r="G39" s="5" t="s">
        <v>24</v>
      </c>
      <c r="H39" s="5" t="s">
        <v>89</v>
      </c>
      <c r="I39" s="13">
        <v>254.97</v>
      </c>
      <c r="J39" s="19">
        <v>3</v>
      </c>
      <c r="K39" s="14">
        <v>91.789199999999994</v>
      </c>
    </row>
    <row r="40" spans="1:11" x14ac:dyDescent="0.25">
      <c r="A40" s="2">
        <v>43480</v>
      </c>
      <c r="B40" s="18">
        <f t="shared" si="0"/>
        <v>2019</v>
      </c>
      <c r="C40" s="18">
        <f t="shared" si="1"/>
        <v>1</v>
      </c>
      <c r="D40" s="3" t="s">
        <v>90</v>
      </c>
      <c r="E40" s="3" t="s">
        <v>91</v>
      </c>
      <c r="F40" s="3" t="s">
        <v>11</v>
      </c>
      <c r="G40" s="3" t="s">
        <v>30</v>
      </c>
      <c r="H40" s="3" t="s">
        <v>92</v>
      </c>
      <c r="I40" s="11">
        <v>181.797</v>
      </c>
      <c r="J40" s="18">
        <v>1</v>
      </c>
      <c r="K40" s="12">
        <v>-15.582599999999999</v>
      </c>
    </row>
    <row r="41" spans="1:11" x14ac:dyDescent="0.25">
      <c r="A41" s="4">
        <v>43480</v>
      </c>
      <c r="B41" s="19">
        <f t="shared" si="0"/>
        <v>2019</v>
      </c>
      <c r="C41" s="19">
        <f t="shared" si="1"/>
        <v>1</v>
      </c>
      <c r="D41" s="5" t="s">
        <v>93</v>
      </c>
      <c r="E41" s="5" t="s">
        <v>94</v>
      </c>
      <c r="F41" s="5" t="s">
        <v>19</v>
      </c>
      <c r="G41" s="5" t="s">
        <v>86</v>
      </c>
      <c r="H41" s="5" t="s">
        <v>95</v>
      </c>
      <c r="I41" s="13">
        <v>16.52</v>
      </c>
      <c r="J41" s="19">
        <v>4</v>
      </c>
      <c r="K41" s="14">
        <v>7.5991999999999997</v>
      </c>
    </row>
    <row r="42" spans="1:11" x14ac:dyDescent="0.25">
      <c r="A42" s="2">
        <v>43480</v>
      </c>
      <c r="B42" s="18">
        <f t="shared" si="0"/>
        <v>2019</v>
      </c>
      <c r="C42" s="18">
        <f t="shared" si="1"/>
        <v>1</v>
      </c>
      <c r="D42" s="3" t="s">
        <v>93</v>
      </c>
      <c r="E42" s="3" t="s">
        <v>94</v>
      </c>
      <c r="F42" s="3" t="s">
        <v>19</v>
      </c>
      <c r="G42" s="3" t="s">
        <v>53</v>
      </c>
      <c r="H42" s="3" t="s">
        <v>96</v>
      </c>
      <c r="I42" s="11">
        <v>60.12</v>
      </c>
      <c r="J42" s="18">
        <v>9</v>
      </c>
      <c r="K42" s="12">
        <v>28.857600000000001</v>
      </c>
    </row>
    <row r="43" spans="1:11" x14ac:dyDescent="0.25">
      <c r="A43" s="4">
        <v>43480</v>
      </c>
      <c r="B43" s="19">
        <f t="shared" si="0"/>
        <v>2019</v>
      </c>
      <c r="C43" s="19">
        <f t="shared" si="1"/>
        <v>1</v>
      </c>
      <c r="D43" s="5" t="s">
        <v>93</v>
      </c>
      <c r="E43" s="5" t="s">
        <v>94</v>
      </c>
      <c r="F43" s="5" t="s">
        <v>19</v>
      </c>
      <c r="G43" s="5" t="s">
        <v>32</v>
      </c>
      <c r="H43" s="5" t="s">
        <v>97</v>
      </c>
      <c r="I43" s="13">
        <v>49.536000000000001</v>
      </c>
      <c r="J43" s="19">
        <v>3</v>
      </c>
      <c r="K43" s="14">
        <v>17.337599999999998</v>
      </c>
    </row>
    <row r="44" spans="1:11" x14ac:dyDescent="0.25">
      <c r="A44" s="2">
        <v>43480</v>
      </c>
      <c r="B44" s="18">
        <f t="shared" si="0"/>
        <v>2019</v>
      </c>
      <c r="C44" s="18">
        <f t="shared" si="1"/>
        <v>1</v>
      </c>
      <c r="D44" s="3" t="s">
        <v>98</v>
      </c>
      <c r="E44" s="3" t="s">
        <v>94</v>
      </c>
      <c r="F44" s="3" t="s">
        <v>19</v>
      </c>
      <c r="G44" s="3" t="s">
        <v>53</v>
      </c>
      <c r="H44" s="3" t="s">
        <v>99</v>
      </c>
      <c r="I44" s="11">
        <v>81.98</v>
      </c>
      <c r="J44" s="18">
        <v>2</v>
      </c>
      <c r="K44" s="12">
        <v>40.170200000000001</v>
      </c>
    </row>
    <row r="45" spans="1:11" x14ac:dyDescent="0.25">
      <c r="A45" s="4">
        <v>43481</v>
      </c>
      <c r="B45" s="19">
        <f t="shared" si="0"/>
        <v>2019</v>
      </c>
      <c r="C45" s="19">
        <f t="shared" si="1"/>
        <v>1</v>
      </c>
      <c r="D45" s="5" t="s">
        <v>100</v>
      </c>
      <c r="E45" s="5" t="s">
        <v>18</v>
      </c>
      <c r="F45" s="5" t="s">
        <v>19</v>
      </c>
      <c r="G45" s="5" t="s">
        <v>32</v>
      </c>
      <c r="H45" s="5" t="s">
        <v>101</v>
      </c>
      <c r="I45" s="13">
        <v>11.648</v>
      </c>
      <c r="J45" s="19">
        <v>2</v>
      </c>
      <c r="K45" s="14">
        <v>4.2224000000000004</v>
      </c>
    </row>
    <row r="46" spans="1:11" x14ac:dyDescent="0.25">
      <c r="A46" s="2">
        <v>43481</v>
      </c>
      <c r="B46" s="18">
        <f t="shared" si="0"/>
        <v>2019</v>
      </c>
      <c r="C46" s="18">
        <f t="shared" si="1"/>
        <v>1</v>
      </c>
      <c r="D46" s="3" t="s">
        <v>100</v>
      </c>
      <c r="E46" s="3" t="s">
        <v>18</v>
      </c>
      <c r="F46" s="3" t="s">
        <v>14</v>
      </c>
      <c r="G46" s="3" t="s">
        <v>24</v>
      </c>
      <c r="H46" s="3" t="s">
        <v>102</v>
      </c>
      <c r="I46" s="11">
        <v>90.57</v>
      </c>
      <c r="J46" s="18">
        <v>3</v>
      </c>
      <c r="K46" s="12">
        <v>11.774100000000001</v>
      </c>
    </row>
    <row r="47" spans="1:11" x14ac:dyDescent="0.25">
      <c r="A47" s="4">
        <v>43482</v>
      </c>
      <c r="B47" s="19">
        <f t="shared" si="0"/>
        <v>2019</v>
      </c>
      <c r="C47" s="19">
        <f t="shared" si="1"/>
        <v>1</v>
      </c>
      <c r="D47" s="5" t="s">
        <v>103</v>
      </c>
      <c r="E47" s="5" t="s">
        <v>104</v>
      </c>
      <c r="F47" s="5" t="s">
        <v>11</v>
      </c>
      <c r="G47" s="5" t="s">
        <v>51</v>
      </c>
      <c r="H47" s="5" t="s">
        <v>105</v>
      </c>
      <c r="I47" s="13">
        <v>322.58999999999997</v>
      </c>
      <c r="J47" s="19">
        <v>3</v>
      </c>
      <c r="K47" s="14">
        <v>64.518000000000001</v>
      </c>
    </row>
    <row r="48" spans="1:11" x14ac:dyDescent="0.25">
      <c r="A48" s="2">
        <v>43482</v>
      </c>
      <c r="B48" s="18">
        <f t="shared" si="0"/>
        <v>2019</v>
      </c>
      <c r="C48" s="18">
        <f t="shared" si="1"/>
        <v>1</v>
      </c>
      <c r="D48" s="3" t="s">
        <v>103</v>
      </c>
      <c r="E48" s="3" t="s">
        <v>104</v>
      </c>
      <c r="F48" s="3" t="s">
        <v>14</v>
      </c>
      <c r="G48" s="3" t="s">
        <v>24</v>
      </c>
      <c r="H48" s="3" t="s">
        <v>106</v>
      </c>
      <c r="I48" s="11">
        <v>29.99</v>
      </c>
      <c r="J48" s="18">
        <v>1</v>
      </c>
      <c r="K48" s="12">
        <v>13.195600000000001</v>
      </c>
    </row>
    <row r="49" spans="1:11" x14ac:dyDescent="0.25">
      <c r="A49" s="4">
        <v>43482</v>
      </c>
      <c r="B49" s="19">
        <f t="shared" si="0"/>
        <v>2019</v>
      </c>
      <c r="C49" s="19">
        <f t="shared" si="1"/>
        <v>1</v>
      </c>
      <c r="D49" s="5" t="s">
        <v>103</v>
      </c>
      <c r="E49" s="5" t="s">
        <v>104</v>
      </c>
      <c r="F49" s="5" t="s">
        <v>14</v>
      </c>
      <c r="G49" s="5" t="s">
        <v>24</v>
      </c>
      <c r="H49" s="5" t="s">
        <v>107</v>
      </c>
      <c r="I49" s="13">
        <v>371.97</v>
      </c>
      <c r="J49" s="19">
        <v>3</v>
      </c>
      <c r="K49" s="14">
        <v>66.954599999999999</v>
      </c>
    </row>
    <row r="50" spans="1:11" x14ac:dyDescent="0.25">
      <c r="A50" s="2">
        <v>43482</v>
      </c>
      <c r="B50" s="18">
        <f t="shared" si="0"/>
        <v>2019</v>
      </c>
      <c r="C50" s="18">
        <f t="shared" si="1"/>
        <v>1</v>
      </c>
      <c r="D50" s="3" t="s">
        <v>108</v>
      </c>
      <c r="E50" s="3" t="s">
        <v>109</v>
      </c>
      <c r="F50" s="3" t="s">
        <v>14</v>
      </c>
      <c r="G50" s="3" t="s">
        <v>24</v>
      </c>
      <c r="H50" s="3" t="s">
        <v>110</v>
      </c>
      <c r="I50" s="11">
        <v>316</v>
      </c>
      <c r="J50" s="18">
        <v>4</v>
      </c>
      <c r="K50" s="12">
        <v>31.6</v>
      </c>
    </row>
    <row r="51" spans="1:11" x14ac:dyDescent="0.25">
      <c r="A51" s="4">
        <v>43486</v>
      </c>
      <c r="B51" s="19">
        <f t="shared" si="0"/>
        <v>2019</v>
      </c>
      <c r="C51" s="19">
        <f t="shared" si="1"/>
        <v>1</v>
      </c>
      <c r="D51" s="5" t="s">
        <v>111</v>
      </c>
      <c r="E51" s="5" t="s">
        <v>18</v>
      </c>
      <c r="F51" s="5" t="s">
        <v>11</v>
      </c>
      <c r="G51" s="5" t="s">
        <v>112</v>
      </c>
      <c r="H51" s="5" t="s">
        <v>113</v>
      </c>
      <c r="I51" s="13">
        <v>153.56800000000001</v>
      </c>
      <c r="J51" s="19">
        <v>2</v>
      </c>
      <c r="K51" s="14">
        <v>-5.7587999999999999</v>
      </c>
    </row>
    <row r="52" spans="1:11" x14ac:dyDescent="0.25">
      <c r="A52" s="2">
        <v>43486</v>
      </c>
      <c r="B52" s="18">
        <f t="shared" si="0"/>
        <v>2019</v>
      </c>
      <c r="C52" s="18">
        <f t="shared" si="1"/>
        <v>1</v>
      </c>
      <c r="D52" s="3" t="s">
        <v>111</v>
      </c>
      <c r="E52" s="3" t="s">
        <v>18</v>
      </c>
      <c r="F52" s="3" t="s">
        <v>11</v>
      </c>
      <c r="G52" s="3" t="s">
        <v>112</v>
      </c>
      <c r="H52" s="3" t="s">
        <v>114</v>
      </c>
      <c r="I52" s="11">
        <v>1013.4880000000001</v>
      </c>
      <c r="J52" s="18">
        <v>7</v>
      </c>
      <c r="K52" s="12">
        <v>76.011600000000001</v>
      </c>
    </row>
    <row r="53" spans="1:11" x14ac:dyDescent="0.25">
      <c r="A53" s="4">
        <v>43487</v>
      </c>
      <c r="B53" s="19">
        <f t="shared" si="0"/>
        <v>2019</v>
      </c>
      <c r="C53" s="19">
        <f t="shared" si="1"/>
        <v>1</v>
      </c>
      <c r="D53" s="5" t="s">
        <v>115</v>
      </c>
      <c r="E53" s="5" t="s">
        <v>85</v>
      </c>
      <c r="F53" s="5" t="s">
        <v>19</v>
      </c>
      <c r="G53" s="5" t="s">
        <v>116</v>
      </c>
      <c r="H53" s="5" t="s">
        <v>117</v>
      </c>
      <c r="I53" s="13">
        <v>7.56</v>
      </c>
      <c r="J53" s="19">
        <v>6</v>
      </c>
      <c r="K53" s="14">
        <v>0.3024</v>
      </c>
    </row>
    <row r="54" spans="1:11" x14ac:dyDescent="0.25">
      <c r="A54" s="2">
        <v>43487</v>
      </c>
      <c r="B54" s="18">
        <f t="shared" si="0"/>
        <v>2019</v>
      </c>
      <c r="C54" s="18">
        <f t="shared" si="1"/>
        <v>1</v>
      </c>
      <c r="D54" s="3" t="s">
        <v>118</v>
      </c>
      <c r="E54" s="3" t="s">
        <v>35</v>
      </c>
      <c r="F54" s="3" t="s">
        <v>11</v>
      </c>
      <c r="G54" s="3" t="s">
        <v>51</v>
      </c>
      <c r="H54" s="3" t="s">
        <v>119</v>
      </c>
      <c r="I54" s="11">
        <v>14.272</v>
      </c>
      <c r="J54" s="18">
        <v>8</v>
      </c>
      <c r="K54" s="12">
        <v>4.2816000000000001</v>
      </c>
    </row>
    <row r="55" spans="1:11" x14ac:dyDescent="0.25">
      <c r="A55" s="4">
        <v>43487</v>
      </c>
      <c r="B55" s="19">
        <f t="shared" si="0"/>
        <v>2019</v>
      </c>
      <c r="C55" s="19">
        <f t="shared" si="1"/>
        <v>1</v>
      </c>
      <c r="D55" s="5" t="s">
        <v>118</v>
      </c>
      <c r="E55" s="5" t="s">
        <v>35</v>
      </c>
      <c r="F55" s="5" t="s">
        <v>11</v>
      </c>
      <c r="G55" s="5" t="s">
        <v>12</v>
      </c>
      <c r="H55" s="5" t="s">
        <v>120</v>
      </c>
      <c r="I55" s="13">
        <v>451.13600000000002</v>
      </c>
      <c r="J55" s="19">
        <v>4</v>
      </c>
      <c r="K55" s="14">
        <v>-67.670400000000001</v>
      </c>
    </row>
    <row r="56" spans="1:11" x14ac:dyDescent="0.25">
      <c r="A56" s="2">
        <v>43487</v>
      </c>
      <c r="B56" s="18">
        <f t="shared" si="0"/>
        <v>2019</v>
      </c>
      <c r="C56" s="18">
        <f t="shared" si="1"/>
        <v>1</v>
      </c>
      <c r="D56" s="3" t="s">
        <v>118</v>
      </c>
      <c r="E56" s="3" t="s">
        <v>35</v>
      </c>
      <c r="F56" s="3" t="s">
        <v>19</v>
      </c>
      <c r="G56" s="3" t="s">
        <v>121</v>
      </c>
      <c r="H56" s="3" t="s">
        <v>122</v>
      </c>
      <c r="I56" s="11">
        <v>64.864000000000004</v>
      </c>
      <c r="J56" s="18">
        <v>4</v>
      </c>
      <c r="K56" s="12">
        <v>6.4863999999999997</v>
      </c>
    </row>
    <row r="57" spans="1:11" x14ac:dyDescent="0.25">
      <c r="A57" s="4">
        <v>43487</v>
      </c>
      <c r="B57" s="19">
        <f t="shared" si="0"/>
        <v>2019</v>
      </c>
      <c r="C57" s="19">
        <f t="shared" si="1"/>
        <v>1</v>
      </c>
      <c r="D57" s="5" t="s">
        <v>43</v>
      </c>
      <c r="E57" s="5" t="s">
        <v>70</v>
      </c>
      <c r="F57" s="5" t="s">
        <v>11</v>
      </c>
      <c r="G57" s="5" t="s">
        <v>51</v>
      </c>
      <c r="H57" s="5" t="s">
        <v>123</v>
      </c>
      <c r="I57" s="13">
        <v>109.9</v>
      </c>
      <c r="J57" s="19">
        <v>5</v>
      </c>
      <c r="K57" s="14">
        <v>37.366</v>
      </c>
    </row>
    <row r="58" spans="1:11" x14ac:dyDescent="0.25">
      <c r="A58" s="2">
        <v>43487</v>
      </c>
      <c r="B58" s="18">
        <f t="shared" si="0"/>
        <v>2019</v>
      </c>
      <c r="C58" s="18">
        <f t="shared" si="1"/>
        <v>1</v>
      </c>
      <c r="D58" s="3" t="s">
        <v>124</v>
      </c>
      <c r="E58" s="3" t="s">
        <v>70</v>
      </c>
      <c r="F58" s="3" t="s">
        <v>19</v>
      </c>
      <c r="G58" s="3" t="s">
        <v>53</v>
      </c>
      <c r="H58" s="3" t="s">
        <v>125</v>
      </c>
      <c r="I58" s="11">
        <v>12.96</v>
      </c>
      <c r="J58" s="18">
        <v>2</v>
      </c>
      <c r="K58" s="12">
        <v>6.2207999999999997</v>
      </c>
    </row>
    <row r="59" spans="1:11" x14ac:dyDescent="0.25">
      <c r="A59" s="4">
        <v>43487</v>
      </c>
      <c r="B59" s="19">
        <f t="shared" si="0"/>
        <v>2019</v>
      </c>
      <c r="C59" s="19">
        <f t="shared" si="1"/>
        <v>1</v>
      </c>
      <c r="D59" s="5" t="s">
        <v>126</v>
      </c>
      <c r="E59" s="5" t="s">
        <v>18</v>
      </c>
      <c r="F59" s="5" t="s">
        <v>19</v>
      </c>
      <c r="G59" s="5" t="s">
        <v>127</v>
      </c>
      <c r="H59" s="5" t="s">
        <v>128</v>
      </c>
      <c r="I59" s="13">
        <v>44.4</v>
      </c>
      <c r="J59" s="19">
        <v>3</v>
      </c>
      <c r="K59" s="14">
        <v>22.2</v>
      </c>
    </row>
    <row r="60" spans="1:11" x14ac:dyDescent="0.25">
      <c r="A60" s="2">
        <v>43487</v>
      </c>
      <c r="B60" s="18">
        <f t="shared" si="0"/>
        <v>2019</v>
      </c>
      <c r="C60" s="18">
        <f t="shared" si="1"/>
        <v>1</v>
      </c>
      <c r="D60" s="3" t="s">
        <v>126</v>
      </c>
      <c r="E60" s="3" t="s">
        <v>18</v>
      </c>
      <c r="F60" s="3" t="s">
        <v>19</v>
      </c>
      <c r="G60" s="3" t="s">
        <v>127</v>
      </c>
      <c r="H60" s="3" t="s">
        <v>129</v>
      </c>
      <c r="I60" s="11">
        <v>20.65</v>
      </c>
      <c r="J60" s="18">
        <v>5</v>
      </c>
      <c r="K60" s="12">
        <v>9.4990000000000006</v>
      </c>
    </row>
    <row r="61" spans="1:11" x14ac:dyDescent="0.25">
      <c r="A61" s="4">
        <v>43487</v>
      </c>
      <c r="B61" s="19">
        <f t="shared" si="0"/>
        <v>2019</v>
      </c>
      <c r="C61" s="19">
        <f t="shared" si="1"/>
        <v>1</v>
      </c>
      <c r="D61" s="5" t="s">
        <v>130</v>
      </c>
      <c r="E61" s="5" t="s">
        <v>67</v>
      </c>
      <c r="F61" s="5" t="s">
        <v>14</v>
      </c>
      <c r="G61" s="5" t="s">
        <v>15</v>
      </c>
      <c r="H61" s="5" t="s">
        <v>131</v>
      </c>
      <c r="I61" s="13">
        <v>110.376</v>
      </c>
      <c r="J61" s="19">
        <v>4</v>
      </c>
      <c r="K61" s="14">
        <v>-20.235600000000002</v>
      </c>
    </row>
    <row r="62" spans="1:11" x14ac:dyDescent="0.25">
      <c r="A62" s="2">
        <v>43487</v>
      </c>
      <c r="B62" s="18">
        <f t="shared" si="0"/>
        <v>2019</v>
      </c>
      <c r="C62" s="18">
        <f t="shared" si="1"/>
        <v>1</v>
      </c>
      <c r="D62" s="3" t="s">
        <v>130</v>
      </c>
      <c r="E62" s="3" t="s">
        <v>67</v>
      </c>
      <c r="F62" s="3" t="s">
        <v>14</v>
      </c>
      <c r="G62" s="3" t="s">
        <v>24</v>
      </c>
      <c r="H62" s="3" t="s">
        <v>132</v>
      </c>
      <c r="I62" s="11">
        <v>55.176000000000002</v>
      </c>
      <c r="J62" s="18">
        <v>3</v>
      </c>
      <c r="K62" s="12">
        <v>15.863099999999999</v>
      </c>
    </row>
    <row r="63" spans="1:11" x14ac:dyDescent="0.25">
      <c r="A63" s="4">
        <v>43487</v>
      </c>
      <c r="B63" s="19">
        <f t="shared" si="0"/>
        <v>2019</v>
      </c>
      <c r="C63" s="19">
        <f t="shared" si="1"/>
        <v>1</v>
      </c>
      <c r="D63" s="5" t="s">
        <v>133</v>
      </c>
      <c r="E63" s="5" t="s">
        <v>94</v>
      </c>
      <c r="F63" s="5" t="s">
        <v>19</v>
      </c>
      <c r="G63" s="5" t="s">
        <v>32</v>
      </c>
      <c r="H63" s="5" t="s">
        <v>134</v>
      </c>
      <c r="I63" s="13">
        <v>26.335999999999999</v>
      </c>
      <c r="J63" s="19">
        <v>4</v>
      </c>
      <c r="K63" s="14">
        <v>9.2175999999999991</v>
      </c>
    </row>
    <row r="64" spans="1:11" x14ac:dyDescent="0.25">
      <c r="A64" s="2">
        <v>43488</v>
      </c>
      <c r="B64" s="18">
        <f t="shared" si="0"/>
        <v>2019</v>
      </c>
      <c r="C64" s="18">
        <f t="shared" si="1"/>
        <v>1</v>
      </c>
      <c r="D64" s="3" t="s">
        <v>135</v>
      </c>
      <c r="E64" s="3" t="s">
        <v>18</v>
      </c>
      <c r="F64" s="3" t="s">
        <v>11</v>
      </c>
      <c r="G64" s="3" t="s">
        <v>51</v>
      </c>
      <c r="H64" s="3" t="s">
        <v>136</v>
      </c>
      <c r="I64" s="11">
        <v>59.99</v>
      </c>
      <c r="J64" s="18">
        <v>7</v>
      </c>
      <c r="K64" s="12">
        <v>21.596399999999999</v>
      </c>
    </row>
    <row r="65" spans="1:11" x14ac:dyDescent="0.25">
      <c r="A65" s="4">
        <v>43488</v>
      </c>
      <c r="B65" s="19">
        <f t="shared" si="0"/>
        <v>2019</v>
      </c>
      <c r="C65" s="19">
        <f t="shared" si="1"/>
        <v>1</v>
      </c>
      <c r="D65" s="5" t="s">
        <v>137</v>
      </c>
      <c r="E65" s="5" t="s">
        <v>138</v>
      </c>
      <c r="F65" s="5" t="s">
        <v>14</v>
      </c>
      <c r="G65" s="5" t="s">
        <v>24</v>
      </c>
      <c r="H65" s="5" t="s">
        <v>139</v>
      </c>
      <c r="I65" s="13">
        <v>99.98</v>
      </c>
      <c r="J65" s="19">
        <v>2</v>
      </c>
      <c r="K65" s="14">
        <v>42.991399999999999</v>
      </c>
    </row>
    <row r="66" spans="1:11" x14ac:dyDescent="0.25">
      <c r="A66" s="2">
        <v>43488</v>
      </c>
      <c r="B66" s="18">
        <f t="shared" ref="B66:B129" si="2">YEAR(A66)</f>
        <v>2019</v>
      </c>
      <c r="C66" s="18">
        <f t="shared" ref="C66:C129" si="3">MONTH(A66)</f>
        <v>1</v>
      </c>
      <c r="D66" s="3" t="s">
        <v>137</v>
      </c>
      <c r="E66" s="3" t="s">
        <v>138</v>
      </c>
      <c r="F66" s="3" t="s">
        <v>19</v>
      </c>
      <c r="G66" s="3" t="s">
        <v>40</v>
      </c>
      <c r="H66" s="3" t="s">
        <v>140</v>
      </c>
      <c r="I66" s="11">
        <v>8.0399999999999991</v>
      </c>
      <c r="J66" s="18">
        <v>6</v>
      </c>
      <c r="K66" s="12">
        <v>2.7336</v>
      </c>
    </row>
    <row r="67" spans="1:11" x14ac:dyDescent="0.25">
      <c r="A67" s="4">
        <v>43488</v>
      </c>
      <c r="B67" s="19">
        <f t="shared" si="2"/>
        <v>2019</v>
      </c>
      <c r="C67" s="19">
        <f t="shared" si="3"/>
        <v>1</v>
      </c>
      <c r="D67" s="5" t="s">
        <v>137</v>
      </c>
      <c r="E67" s="5" t="s">
        <v>138</v>
      </c>
      <c r="F67" s="5" t="s">
        <v>19</v>
      </c>
      <c r="G67" s="5" t="s">
        <v>20</v>
      </c>
      <c r="H67" s="5" t="s">
        <v>141</v>
      </c>
      <c r="I67" s="13">
        <v>1564.29</v>
      </c>
      <c r="J67" s="19">
        <v>13</v>
      </c>
      <c r="K67" s="14">
        <v>406.71539999999999</v>
      </c>
    </row>
    <row r="68" spans="1:11" x14ac:dyDescent="0.25">
      <c r="A68" s="2">
        <v>43489</v>
      </c>
      <c r="B68" s="18">
        <f t="shared" si="2"/>
        <v>2019</v>
      </c>
      <c r="C68" s="18">
        <f t="shared" si="3"/>
        <v>1</v>
      </c>
      <c r="D68" s="3" t="s">
        <v>142</v>
      </c>
      <c r="E68" s="3" t="s">
        <v>143</v>
      </c>
      <c r="F68" s="3" t="s">
        <v>19</v>
      </c>
      <c r="G68" s="3" t="s">
        <v>32</v>
      </c>
      <c r="H68" s="3" t="s">
        <v>144</v>
      </c>
      <c r="I68" s="11">
        <v>31.36</v>
      </c>
      <c r="J68" s="18">
        <v>4</v>
      </c>
      <c r="K68" s="12">
        <v>15.68</v>
      </c>
    </row>
    <row r="69" spans="1:11" x14ac:dyDescent="0.25">
      <c r="A69" s="4">
        <v>43490</v>
      </c>
      <c r="B69" s="19">
        <f t="shared" si="2"/>
        <v>2019</v>
      </c>
      <c r="C69" s="19">
        <f t="shared" si="3"/>
        <v>1</v>
      </c>
      <c r="D69" s="5" t="s">
        <v>145</v>
      </c>
      <c r="E69" s="5" t="s">
        <v>85</v>
      </c>
      <c r="F69" s="5" t="s">
        <v>19</v>
      </c>
      <c r="G69" s="5" t="s">
        <v>40</v>
      </c>
      <c r="H69" s="5" t="s">
        <v>146</v>
      </c>
      <c r="I69" s="13">
        <v>9.2100000000000009</v>
      </c>
      <c r="J69" s="19">
        <v>3</v>
      </c>
      <c r="K69" s="14">
        <v>2.3025000000000002</v>
      </c>
    </row>
    <row r="70" spans="1:11" x14ac:dyDescent="0.25">
      <c r="A70" s="2">
        <v>43490</v>
      </c>
      <c r="B70" s="18">
        <f t="shared" si="2"/>
        <v>2019</v>
      </c>
      <c r="C70" s="18">
        <f t="shared" si="3"/>
        <v>1</v>
      </c>
      <c r="D70" s="3" t="s">
        <v>145</v>
      </c>
      <c r="E70" s="3" t="s">
        <v>85</v>
      </c>
      <c r="F70" s="3" t="s">
        <v>19</v>
      </c>
      <c r="G70" s="3" t="s">
        <v>53</v>
      </c>
      <c r="H70" s="3" t="s">
        <v>147</v>
      </c>
      <c r="I70" s="11">
        <v>18</v>
      </c>
      <c r="J70" s="18">
        <v>5</v>
      </c>
      <c r="K70" s="12">
        <v>8.2799999999999994</v>
      </c>
    </row>
    <row r="71" spans="1:11" x14ac:dyDescent="0.25">
      <c r="A71" s="4">
        <v>43490</v>
      </c>
      <c r="B71" s="19">
        <f t="shared" si="2"/>
        <v>2019</v>
      </c>
      <c r="C71" s="19">
        <f t="shared" si="3"/>
        <v>1</v>
      </c>
      <c r="D71" s="5" t="s">
        <v>148</v>
      </c>
      <c r="E71" s="5" t="s">
        <v>94</v>
      </c>
      <c r="F71" s="5" t="s">
        <v>19</v>
      </c>
      <c r="G71" s="5" t="s">
        <v>32</v>
      </c>
      <c r="H71" s="5" t="s">
        <v>149</v>
      </c>
      <c r="I71" s="13">
        <v>43.12</v>
      </c>
      <c r="J71" s="19">
        <v>5</v>
      </c>
      <c r="K71" s="14">
        <v>15.092000000000001</v>
      </c>
    </row>
    <row r="72" spans="1:11" x14ac:dyDescent="0.25">
      <c r="A72" s="2">
        <v>43490</v>
      </c>
      <c r="B72" s="18">
        <f t="shared" si="2"/>
        <v>2019</v>
      </c>
      <c r="C72" s="18">
        <f t="shared" si="3"/>
        <v>1</v>
      </c>
      <c r="D72" s="3" t="s">
        <v>148</v>
      </c>
      <c r="E72" s="3" t="s">
        <v>94</v>
      </c>
      <c r="F72" s="3" t="s">
        <v>11</v>
      </c>
      <c r="G72" s="3" t="s">
        <v>30</v>
      </c>
      <c r="H72" s="3" t="s">
        <v>150</v>
      </c>
      <c r="I72" s="11">
        <v>313.72199999999998</v>
      </c>
      <c r="J72" s="18">
        <v>3</v>
      </c>
      <c r="K72" s="12">
        <v>-99.345299999999995</v>
      </c>
    </row>
    <row r="73" spans="1:11" x14ac:dyDescent="0.25">
      <c r="A73" s="4">
        <v>43490</v>
      </c>
      <c r="B73" s="19">
        <f t="shared" si="2"/>
        <v>2019</v>
      </c>
      <c r="C73" s="19">
        <f t="shared" si="3"/>
        <v>1</v>
      </c>
      <c r="D73" s="5" t="s">
        <v>148</v>
      </c>
      <c r="E73" s="5" t="s">
        <v>94</v>
      </c>
      <c r="F73" s="5" t="s">
        <v>11</v>
      </c>
      <c r="G73" s="5" t="s">
        <v>51</v>
      </c>
      <c r="H73" s="5" t="s">
        <v>151</v>
      </c>
      <c r="I73" s="13">
        <v>45.98</v>
      </c>
      <c r="J73" s="19">
        <v>1</v>
      </c>
      <c r="K73" s="14">
        <v>7.8166000000000002</v>
      </c>
    </row>
    <row r="74" spans="1:11" x14ac:dyDescent="0.25">
      <c r="A74" s="2">
        <v>43490</v>
      </c>
      <c r="B74" s="18">
        <f t="shared" si="2"/>
        <v>2019</v>
      </c>
      <c r="C74" s="18">
        <f t="shared" si="3"/>
        <v>1</v>
      </c>
      <c r="D74" s="3" t="s">
        <v>148</v>
      </c>
      <c r="E74" s="3" t="s">
        <v>94</v>
      </c>
      <c r="F74" s="3" t="s">
        <v>19</v>
      </c>
      <c r="G74" s="3" t="s">
        <v>20</v>
      </c>
      <c r="H74" s="3" t="s">
        <v>152</v>
      </c>
      <c r="I74" s="11">
        <v>428.68</v>
      </c>
      <c r="J74" s="18">
        <v>7</v>
      </c>
      <c r="K74" s="12">
        <v>0</v>
      </c>
    </row>
    <row r="75" spans="1:11" x14ac:dyDescent="0.25">
      <c r="A75" s="4">
        <v>43493</v>
      </c>
      <c r="B75" s="19">
        <f t="shared" si="2"/>
        <v>2019</v>
      </c>
      <c r="C75" s="19">
        <f t="shared" si="3"/>
        <v>1</v>
      </c>
      <c r="D75" s="5" t="s">
        <v>142</v>
      </c>
      <c r="E75" s="5" t="s">
        <v>18</v>
      </c>
      <c r="F75" s="5" t="s">
        <v>19</v>
      </c>
      <c r="G75" s="5" t="s">
        <v>40</v>
      </c>
      <c r="H75" s="5" t="s">
        <v>153</v>
      </c>
      <c r="I75" s="13">
        <v>39.68</v>
      </c>
      <c r="J75" s="19">
        <v>2</v>
      </c>
      <c r="K75" s="14">
        <v>10.316800000000001</v>
      </c>
    </row>
    <row r="76" spans="1:11" x14ac:dyDescent="0.25">
      <c r="A76" s="2">
        <v>43495</v>
      </c>
      <c r="B76" s="18">
        <f t="shared" si="2"/>
        <v>2019</v>
      </c>
      <c r="C76" s="18">
        <f t="shared" si="3"/>
        <v>1</v>
      </c>
      <c r="D76" s="3" t="s">
        <v>154</v>
      </c>
      <c r="E76" s="3" t="s">
        <v>18</v>
      </c>
      <c r="F76" s="3" t="s">
        <v>19</v>
      </c>
      <c r="G76" s="3" t="s">
        <v>32</v>
      </c>
      <c r="H76" s="3" t="s">
        <v>155</v>
      </c>
      <c r="I76" s="11">
        <v>17.456</v>
      </c>
      <c r="J76" s="18">
        <v>2</v>
      </c>
      <c r="K76" s="12">
        <v>5.8914</v>
      </c>
    </row>
    <row r="77" spans="1:11" x14ac:dyDescent="0.25">
      <c r="A77" s="4">
        <v>43495</v>
      </c>
      <c r="B77" s="19">
        <f t="shared" si="2"/>
        <v>2019</v>
      </c>
      <c r="C77" s="19">
        <f t="shared" si="3"/>
        <v>1</v>
      </c>
      <c r="D77" s="5" t="s">
        <v>156</v>
      </c>
      <c r="E77" s="5" t="s">
        <v>18</v>
      </c>
      <c r="F77" s="5" t="s">
        <v>19</v>
      </c>
      <c r="G77" s="5" t="s">
        <v>20</v>
      </c>
      <c r="H77" s="5" t="s">
        <v>157</v>
      </c>
      <c r="I77" s="13">
        <v>305.01</v>
      </c>
      <c r="J77" s="19">
        <v>9</v>
      </c>
      <c r="K77" s="14">
        <v>76.252499999999998</v>
      </c>
    </row>
    <row r="78" spans="1:11" x14ac:dyDescent="0.25">
      <c r="A78" s="2">
        <v>43495</v>
      </c>
      <c r="B78" s="18">
        <f t="shared" si="2"/>
        <v>2019</v>
      </c>
      <c r="C78" s="18">
        <f t="shared" si="3"/>
        <v>1</v>
      </c>
      <c r="D78" s="3" t="s">
        <v>156</v>
      </c>
      <c r="E78" s="3" t="s">
        <v>18</v>
      </c>
      <c r="F78" s="3" t="s">
        <v>19</v>
      </c>
      <c r="G78" s="3" t="s">
        <v>32</v>
      </c>
      <c r="H78" s="3" t="s">
        <v>158</v>
      </c>
      <c r="I78" s="11">
        <v>50.783999999999999</v>
      </c>
      <c r="J78" s="18">
        <v>2</v>
      </c>
      <c r="K78" s="12">
        <v>17.7744</v>
      </c>
    </row>
    <row r="79" spans="1:11" x14ac:dyDescent="0.25">
      <c r="A79" s="4">
        <v>43495</v>
      </c>
      <c r="B79" s="19">
        <f t="shared" si="2"/>
        <v>2019</v>
      </c>
      <c r="C79" s="19">
        <f t="shared" si="3"/>
        <v>1</v>
      </c>
      <c r="D79" s="5" t="s">
        <v>156</v>
      </c>
      <c r="E79" s="5" t="s">
        <v>18</v>
      </c>
      <c r="F79" s="5" t="s">
        <v>19</v>
      </c>
      <c r="G79" s="5" t="s">
        <v>127</v>
      </c>
      <c r="H79" s="5" t="s">
        <v>159</v>
      </c>
      <c r="I79" s="13">
        <v>26.01</v>
      </c>
      <c r="J79" s="19">
        <v>9</v>
      </c>
      <c r="K79" s="14">
        <v>12.2247</v>
      </c>
    </row>
    <row r="80" spans="1:11" x14ac:dyDescent="0.25">
      <c r="A80" s="2">
        <v>43495</v>
      </c>
      <c r="B80" s="18">
        <f t="shared" si="2"/>
        <v>2019</v>
      </c>
      <c r="C80" s="18">
        <f t="shared" si="3"/>
        <v>1</v>
      </c>
      <c r="D80" s="3" t="s">
        <v>160</v>
      </c>
      <c r="E80" s="3" t="s">
        <v>70</v>
      </c>
      <c r="F80" s="3" t="s">
        <v>11</v>
      </c>
      <c r="G80" s="3" t="s">
        <v>112</v>
      </c>
      <c r="H80" s="3" t="s">
        <v>161</v>
      </c>
      <c r="I80" s="11">
        <v>435.16800000000001</v>
      </c>
      <c r="J80" s="18">
        <v>4</v>
      </c>
      <c r="K80" s="12">
        <v>-59.835599999999999</v>
      </c>
    </row>
    <row r="81" spans="1:11" x14ac:dyDescent="0.25">
      <c r="A81" s="4">
        <v>43495</v>
      </c>
      <c r="B81" s="19">
        <f t="shared" si="2"/>
        <v>2019</v>
      </c>
      <c r="C81" s="19">
        <f t="shared" si="3"/>
        <v>1</v>
      </c>
      <c r="D81" s="5" t="s">
        <v>160</v>
      </c>
      <c r="E81" s="5" t="s">
        <v>70</v>
      </c>
      <c r="F81" s="5" t="s">
        <v>11</v>
      </c>
      <c r="G81" s="5" t="s">
        <v>12</v>
      </c>
      <c r="H81" s="5" t="s">
        <v>162</v>
      </c>
      <c r="I81" s="13">
        <v>48.58</v>
      </c>
      <c r="J81" s="19">
        <v>1</v>
      </c>
      <c r="K81" s="14">
        <v>7.7728000000000002</v>
      </c>
    </row>
    <row r="82" spans="1:11" x14ac:dyDescent="0.25">
      <c r="A82" s="2">
        <v>43495</v>
      </c>
      <c r="B82" s="18">
        <f t="shared" si="2"/>
        <v>2019</v>
      </c>
      <c r="C82" s="18">
        <f t="shared" si="3"/>
        <v>1</v>
      </c>
      <c r="D82" s="3" t="s">
        <v>163</v>
      </c>
      <c r="E82" s="3" t="s">
        <v>164</v>
      </c>
      <c r="F82" s="3" t="s">
        <v>19</v>
      </c>
      <c r="G82" s="3" t="s">
        <v>53</v>
      </c>
      <c r="H82" s="3" t="s">
        <v>165</v>
      </c>
      <c r="I82" s="11">
        <v>156.512</v>
      </c>
      <c r="J82" s="18">
        <v>4</v>
      </c>
      <c r="K82" s="12">
        <v>52.822800000000001</v>
      </c>
    </row>
    <row r="83" spans="1:11" x14ac:dyDescent="0.25">
      <c r="A83" s="4">
        <v>43495</v>
      </c>
      <c r="B83" s="19">
        <f t="shared" si="2"/>
        <v>2019</v>
      </c>
      <c r="C83" s="19">
        <f t="shared" si="3"/>
        <v>1</v>
      </c>
      <c r="D83" s="5" t="s">
        <v>166</v>
      </c>
      <c r="E83" s="5" t="s">
        <v>164</v>
      </c>
      <c r="F83" s="5" t="s">
        <v>14</v>
      </c>
      <c r="G83" s="5" t="s">
        <v>15</v>
      </c>
      <c r="H83" s="5" t="s">
        <v>167</v>
      </c>
      <c r="I83" s="13">
        <v>1439.9680000000001</v>
      </c>
      <c r="J83" s="19">
        <v>4</v>
      </c>
      <c r="K83" s="14">
        <v>143.99680000000001</v>
      </c>
    </row>
    <row r="84" spans="1:11" x14ac:dyDescent="0.25">
      <c r="A84" s="2">
        <v>43495</v>
      </c>
      <c r="B84" s="18">
        <f t="shared" si="2"/>
        <v>2019</v>
      </c>
      <c r="C84" s="18">
        <f t="shared" si="3"/>
        <v>1</v>
      </c>
      <c r="D84" s="3" t="s">
        <v>166</v>
      </c>
      <c r="E84" s="3" t="s">
        <v>164</v>
      </c>
      <c r="F84" s="3" t="s">
        <v>19</v>
      </c>
      <c r="G84" s="3" t="s">
        <v>32</v>
      </c>
      <c r="H84" s="3" t="s">
        <v>168</v>
      </c>
      <c r="I84" s="11">
        <v>1.728</v>
      </c>
      <c r="J84" s="18">
        <v>3</v>
      </c>
      <c r="K84" s="12">
        <v>-2.6783999999999999</v>
      </c>
    </row>
    <row r="85" spans="1:11" x14ac:dyDescent="0.25">
      <c r="A85" s="4">
        <v>43495</v>
      </c>
      <c r="B85" s="19">
        <f t="shared" si="2"/>
        <v>2019</v>
      </c>
      <c r="C85" s="19">
        <f t="shared" si="3"/>
        <v>1</v>
      </c>
      <c r="D85" s="5" t="s">
        <v>166</v>
      </c>
      <c r="E85" s="5" t="s">
        <v>164</v>
      </c>
      <c r="F85" s="5" t="s">
        <v>11</v>
      </c>
      <c r="G85" s="5" t="s">
        <v>30</v>
      </c>
      <c r="H85" s="5" t="s">
        <v>169</v>
      </c>
      <c r="I85" s="13">
        <v>626.1</v>
      </c>
      <c r="J85" s="19">
        <v>3</v>
      </c>
      <c r="K85" s="14">
        <v>-538.44600000000003</v>
      </c>
    </row>
    <row r="86" spans="1:11" x14ac:dyDescent="0.25">
      <c r="A86" s="2">
        <v>43496</v>
      </c>
      <c r="B86" s="18">
        <f t="shared" si="2"/>
        <v>2019</v>
      </c>
      <c r="C86" s="18">
        <f t="shared" si="3"/>
        <v>1</v>
      </c>
      <c r="D86" s="3" t="s">
        <v>170</v>
      </c>
      <c r="E86" s="3" t="s">
        <v>18</v>
      </c>
      <c r="F86" s="3" t="s">
        <v>14</v>
      </c>
      <c r="G86" s="3" t="s">
        <v>15</v>
      </c>
      <c r="H86" s="3" t="s">
        <v>171</v>
      </c>
      <c r="I86" s="11">
        <v>109.592</v>
      </c>
      <c r="J86" s="18">
        <v>1</v>
      </c>
      <c r="K86" s="12">
        <v>8.2194000000000003</v>
      </c>
    </row>
    <row r="87" spans="1:11" x14ac:dyDescent="0.25">
      <c r="A87" s="4">
        <v>43496</v>
      </c>
      <c r="B87" s="19">
        <f t="shared" si="2"/>
        <v>2019</v>
      </c>
      <c r="C87" s="19">
        <f t="shared" si="3"/>
        <v>1</v>
      </c>
      <c r="D87" s="5" t="s">
        <v>170</v>
      </c>
      <c r="E87" s="5" t="s">
        <v>18</v>
      </c>
      <c r="F87" s="5" t="s">
        <v>19</v>
      </c>
      <c r="G87" s="5" t="s">
        <v>53</v>
      </c>
      <c r="H87" s="5" t="s">
        <v>172</v>
      </c>
      <c r="I87" s="13">
        <v>56.7</v>
      </c>
      <c r="J87" s="19">
        <v>5</v>
      </c>
      <c r="K87" s="14">
        <v>27.783000000000001</v>
      </c>
    </row>
    <row r="88" spans="1:11" x14ac:dyDescent="0.25">
      <c r="A88" s="2">
        <v>43496</v>
      </c>
      <c r="B88" s="18">
        <f t="shared" si="2"/>
        <v>2019</v>
      </c>
      <c r="C88" s="18">
        <f t="shared" si="3"/>
        <v>1</v>
      </c>
      <c r="D88" s="3" t="s">
        <v>173</v>
      </c>
      <c r="E88" s="3" t="s">
        <v>23</v>
      </c>
      <c r="F88" s="3" t="s">
        <v>19</v>
      </c>
      <c r="G88" s="3" t="s">
        <v>53</v>
      </c>
      <c r="H88" s="3" t="s">
        <v>174</v>
      </c>
      <c r="I88" s="11">
        <v>15.552</v>
      </c>
      <c r="J88" s="18">
        <v>3</v>
      </c>
      <c r="K88" s="12">
        <v>5.4432</v>
      </c>
    </row>
    <row r="89" spans="1:11" x14ac:dyDescent="0.25">
      <c r="A89" s="4">
        <v>43496</v>
      </c>
      <c r="B89" s="19">
        <f t="shared" si="2"/>
        <v>2019</v>
      </c>
      <c r="C89" s="19">
        <f t="shared" si="3"/>
        <v>1</v>
      </c>
      <c r="D89" s="5" t="s">
        <v>175</v>
      </c>
      <c r="E89" s="5" t="s">
        <v>85</v>
      </c>
      <c r="F89" s="5" t="s">
        <v>19</v>
      </c>
      <c r="G89" s="5" t="s">
        <v>86</v>
      </c>
      <c r="H89" s="5" t="s">
        <v>176</v>
      </c>
      <c r="I89" s="13">
        <v>23.36</v>
      </c>
      <c r="J89" s="19">
        <v>2</v>
      </c>
      <c r="K89" s="14">
        <v>11.68</v>
      </c>
    </row>
    <row r="90" spans="1:11" x14ac:dyDescent="0.25">
      <c r="A90" s="2">
        <v>43496</v>
      </c>
      <c r="B90" s="18">
        <f t="shared" si="2"/>
        <v>2019</v>
      </c>
      <c r="C90" s="18">
        <f t="shared" si="3"/>
        <v>1</v>
      </c>
      <c r="D90" s="3" t="s">
        <v>177</v>
      </c>
      <c r="E90" s="3" t="s">
        <v>109</v>
      </c>
      <c r="F90" s="3" t="s">
        <v>19</v>
      </c>
      <c r="G90" s="3" t="s">
        <v>32</v>
      </c>
      <c r="H90" s="3" t="s">
        <v>178</v>
      </c>
      <c r="I90" s="11">
        <v>1270.99</v>
      </c>
      <c r="J90" s="18">
        <v>1</v>
      </c>
      <c r="K90" s="12">
        <v>635.495</v>
      </c>
    </row>
    <row r="91" spans="1:11" x14ac:dyDescent="0.25">
      <c r="A91" s="4">
        <v>43496</v>
      </c>
      <c r="B91" s="19">
        <f t="shared" si="2"/>
        <v>2019</v>
      </c>
      <c r="C91" s="19">
        <f t="shared" si="3"/>
        <v>1</v>
      </c>
      <c r="D91" s="5" t="s">
        <v>177</v>
      </c>
      <c r="E91" s="5" t="s">
        <v>109</v>
      </c>
      <c r="F91" s="5" t="s">
        <v>19</v>
      </c>
      <c r="G91" s="5" t="s">
        <v>86</v>
      </c>
      <c r="H91" s="5" t="s">
        <v>179</v>
      </c>
      <c r="I91" s="13">
        <v>125.36</v>
      </c>
      <c r="J91" s="19">
        <v>8</v>
      </c>
      <c r="K91" s="14">
        <v>58.919199999999996</v>
      </c>
    </row>
    <row r="92" spans="1:11" x14ac:dyDescent="0.25">
      <c r="A92" s="2">
        <v>43497</v>
      </c>
      <c r="B92" s="18">
        <f t="shared" si="2"/>
        <v>2019</v>
      </c>
      <c r="C92" s="18">
        <f t="shared" si="3"/>
        <v>2</v>
      </c>
      <c r="D92" s="3" t="s">
        <v>180</v>
      </c>
      <c r="E92" s="3" t="s">
        <v>181</v>
      </c>
      <c r="F92" s="3" t="s">
        <v>19</v>
      </c>
      <c r="G92" s="3" t="s">
        <v>20</v>
      </c>
      <c r="H92" s="3" t="s">
        <v>182</v>
      </c>
      <c r="I92" s="11">
        <v>56.45</v>
      </c>
      <c r="J92" s="18">
        <v>5</v>
      </c>
      <c r="K92" s="12">
        <v>14.677</v>
      </c>
    </row>
    <row r="93" spans="1:11" x14ac:dyDescent="0.25">
      <c r="A93" s="4">
        <v>43497</v>
      </c>
      <c r="B93" s="19">
        <f t="shared" si="2"/>
        <v>2019</v>
      </c>
      <c r="C93" s="19">
        <f t="shared" si="3"/>
        <v>2</v>
      </c>
      <c r="D93" s="5" t="s">
        <v>183</v>
      </c>
      <c r="E93" s="5" t="s">
        <v>18</v>
      </c>
      <c r="F93" s="5" t="s">
        <v>19</v>
      </c>
      <c r="G93" s="5" t="s">
        <v>53</v>
      </c>
      <c r="H93" s="5" t="s">
        <v>184</v>
      </c>
      <c r="I93" s="13">
        <v>1105.52</v>
      </c>
      <c r="J93" s="19">
        <v>4</v>
      </c>
      <c r="K93" s="14">
        <v>48.539200000000001</v>
      </c>
    </row>
    <row r="94" spans="1:11" x14ac:dyDescent="0.25">
      <c r="A94" s="2">
        <v>43498</v>
      </c>
      <c r="B94" s="18">
        <f t="shared" si="2"/>
        <v>2019</v>
      </c>
      <c r="C94" s="18">
        <f t="shared" si="3"/>
        <v>2</v>
      </c>
      <c r="D94" s="3" t="s">
        <v>185</v>
      </c>
      <c r="E94" s="3" t="s">
        <v>94</v>
      </c>
      <c r="F94" s="3" t="s">
        <v>19</v>
      </c>
      <c r="G94" s="3" t="s">
        <v>20</v>
      </c>
      <c r="H94" s="3" t="s">
        <v>186</v>
      </c>
      <c r="I94" s="11">
        <v>117.96</v>
      </c>
      <c r="J94" s="18">
        <v>2</v>
      </c>
      <c r="K94" s="12">
        <v>5.8979999999999997</v>
      </c>
    </row>
    <row r="95" spans="1:11" x14ac:dyDescent="0.25">
      <c r="A95" s="4">
        <v>43498</v>
      </c>
      <c r="B95" s="19">
        <f t="shared" si="2"/>
        <v>2019</v>
      </c>
      <c r="C95" s="19">
        <f t="shared" si="3"/>
        <v>2</v>
      </c>
      <c r="D95" s="5" t="s">
        <v>187</v>
      </c>
      <c r="E95" s="5" t="s">
        <v>181</v>
      </c>
      <c r="F95" s="5" t="s">
        <v>14</v>
      </c>
      <c r="G95" s="5" t="s">
        <v>188</v>
      </c>
      <c r="H95" s="5" t="s">
        <v>189</v>
      </c>
      <c r="I95" s="13">
        <v>4749.95</v>
      </c>
      <c r="J95" s="19">
        <v>5</v>
      </c>
      <c r="K95" s="14">
        <v>2799.9839999999999</v>
      </c>
    </row>
    <row r="96" spans="1:11" x14ac:dyDescent="0.25">
      <c r="A96" s="2">
        <v>43498</v>
      </c>
      <c r="B96" s="18">
        <f t="shared" si="2"/>
        <v>2019</v>
      </c>
      <c r="C96" s="18">
        <f t="shared" si="3"/>
        <v>2</v>
      </c>
      <c r="D96" s="3" t="s">
        <v>187</v>
      </c>
      <c r="E96" s="3" t="s">
        <v>181</v>
      </c>
      <c r="F96" s="3" t="s">
        <v>19</v>
      </c>
      <c r="G96" s="3" t="s">
        <v>32</v>
      </c>
      <c r="H96" s="3" t="s">
        <v>190</v>
      </c>
      <c r="I96" s="11">
        <v>36.4</v>
      </c>
      <c r="J96" s="18">
        <v>8</v>
      </c>
      <c r="K96" s="12">
        <v>18.2</v>
      </c>
    </row>
    <row r="97" spans="1:11" x14ac:dyDescent="0.25">
      <c r="A97" s="4">
        <v>43498</v>
      </c>
      <c r="B97" s="19">
        <f t="shared" si="2"/>
        <v>2019</v>
      </c>
      <c r="C97" s="19">
        <f t="shared" si="3"/>
        <v>2</v>
      </c>
      <c r="D97" s="5" t="s">
        <v>187</v>
      </c>
      <c r="E97" s="5" t="s">
        <v>181</v>
      </c>
      <c r="F97" s="5" t="s">
        <v>11</v>
      </c>
      <c r="G97" s="5" t="s">
        <v>51</v>
      </c>
      <c r="H97" s="5" t="s">
        <v>191</v>
      </c>
      <c r="I97" s="13">
        <v>18.690000000000001</v>
      </c>
      <c r="J97" s="19">
        <v>7</v>
      </c>
      <c r="K97" s="14">
        <v>7.1021999999999998</v>
      </c>
    </row>
    <row r="98" spans="1:11" x14ac:dyDescent="0.25">
      <c r="A98" s="2">
        <v>43498</v>
      </c>
      <c r="B98" s="18">
        <f t="shared" si="2"/>
        <v>2019</v>
      </c>
      <c r="C98" s="18">
        <f t="shared" si="3"/>
        <v>2</v>
      </c>
      <c r="D98" s="3" t="s">
        <v>192</v>
      </c>
      <c r="E98" s="3" t="s">
        <v>23</v>
      </c>
      <c r="F98" s="3" t="s">
        <v>11</v>
      </c>
      <c r="G98" s="3" t="s">
        <v>51</v>
      </c>
      <c r="H98" s="3" t="s">
        <v>193</v>
      </c>
      <c r="I98" s="11">
        <v>73.784000000000006</v>
      </c>
      <c r="J98" s="18">
        <v>2</v>
      </c>
      <c r="K98" s="12">
        <v>-77.473200000000006</v>
      </c>
    </row>
    <row r="99" spans="1:11" x14ac:dyDescent="0.25">
      <c r="A99" s="4">
        <v>43499</v>
      </c>
      <c r="B99" s="19">
        <f t="shared" si="2"/>
        <v>2019</v>
      </c>
      <c r="C99" s="19">
        <f t="shared" si="3"/>
        <v>2</v>
      </c>
      <c r="D99" s="5" t="s">
        <v>194</v>
      </c>
      <c r="E99" s="5" t="s">
        <v>195</v>
      </c>
      <c r="F99" s="5" t="s">
        <v>11</v>
      </c>
      <c r="G99" s="5" t="s">
        <v>112</v>
      </c>
      <c r="H99" s="5" t="s">
        <v>196</v>
      </c>
      <c r="I99" s="13">
        <v>866.4</v>
      </c>
      <c r="J99" s="19">
        <v>4</v>
      </c>
      <c r="K99" s="14">
        <v>225.26400000000001</v>
      </c>
    </row>
    <row r="100" spans="1:11" x14ac:dyDescent="0.25">
      <c r="A100" s="2">
        <v>43500</v>
      </c>
      <c r="B100" s="18">
        <f t="shared" si="2"/>
        <v>2019</v>
      </c>
      <c r="C100" s="18">
        <f t="shared" si="3"/>
        <v>2</v>
      </c>
      <c r="D100" s="3" t="s">
        <v>197</v>
      </c>
      <c r="E100" s="3" t="s">
        <v>198</v>
      </c>
      <c r="F100" s="3" t="s">
        <v>11</v>
      </c>
      <c r="G100" s="3" t="s">
        <v>51</v>
      </c>
      <c r="H100" s="3" t="s">
        <v>199</v>
      </c>
      <c r="I100" s="11">
        <v>14.368</v>
      </c>
      <c r="J100" s="18">
        <v>2</v>
      </c>
      <c r="K100" s="12">
        <v>3.9512</v>
      </c>
    </row>
    <row r="101" spans="1:11" x14ac:dyDescent="0.25">
      <c r="A101" s="4">
        <v>43500</v>
      </c>
      <c r="B101" s="19">
        <f t="shared" si="2"/>
        <v>2019</v>
      </c>
      <c r="C101" s="19">
        <f t="shared" si="3"/>
        <v>2</v>
      </c>
      <c r="D101" s="5" t="s">
        <v>200</v>
      </c>
      <c r="E101" s="5" t="s">
        <v>10</v>
      </c>
      <c r="F101" s="5" t="s">
        <v>14</v>
      </c>
      <c r="G101" s="5" t="s">
        <v>15</v>
      </c>
      <c r="H101" s="5" t="s">
        <v>27</v>
      </c>
      <c r="I101" s="13">
        <v>90.48</v>
      </c>
      <c r="J101" s="19">
        <v>2</v>
      </c>
      <c r="K101" s="14">
        <v>23.524799999999999</v>
      </c>
    </row>
    <row r="102" spans="1:11" x14ac:dyDescent="0.25">
      <c r="A102" s="2">
        <v>43500</v>
      </c>
      <c r="B102" s="18">
        <f t="shared" si="2"/>
        <v>2019</v>
      </c>
      <c r="C102" s="18">
        <f t="shared" si="3"/>
        <v>2</v>
      </c>
      <c r="D102" s="3" t="s">
        <v>201</v>
      </c>
      <c r="E102" s="3" t="s">
        <v>18</v>
      </c>
      <c r="F102" s="3" t="s">
        <v>19</v>
      </c>
      <c r="G102" s="3" t="s">
        <v>20</v>
      </c>
      <c r="H102" s="3" t="s">
        <v>202</v>
      </c>
      <c r="I102" s="11">
        <v>93.02</v>
      </c>
      <c r="J102" s="18">
        <v>2</v>
      </c>
      <c r="K102" s="12">
        <v>3.7208000000000001</v>
      </c>
    </row>
    <row r="103" spans="1:11" x14ac:dyDescent="0.25">
      <c r="A103" s="4">
        <v>43501</v>
      </c>
      <c r="B103" s="19">
        <f t="shared" si="2"/>
        <v>2019</v>
      </c>
      <c r="C103" s="19">
        <f t="shared" si="3"/>
        <v>2</v>
      </c>
      <c r="D103" s="5" t="s">
        <v>203</v>
      </c>
      <c r="E103" s="5" t="s">
        <v>109</v>
      </c>
      <c r="F103" s="5" t="s">
        <v>19</v>
      </c>
      <c r="G103" s="5" t="s">
        <v>20</v>
      </c>
      <c r="H103" s="5" t="s">
        <v>204</v>
      </c>
      <c r="I103" s="13">
        <v>80.98</v>
      </c>
      <c r="J103" s="19">
        <v>1</v>
      </c>
      <c r="K103" s="14">
        <v>1.6195999999999999</v>
      </c>
    </row>
    <row r="104" spans="1:11" x14ac:dyDescent="0.25">
      <c r="A104" s="2">
        <v>43501</v>
      </c>
      <c r="B104" s="18">
        <f t="shared" si="2"/>
        <v>2019</v>
      </c>
      <c r="C104" s="18">
        <f t="shared" si="3"/>
        <v>2</v>
      </c>
      <c r="D104" s="3" t="s">
        <v>203</v>
      </c>
      <c r="E104" s="3" t="s">
        <v>109</v>
      </c>
      <c r="F104" s="3" t="s">
        <v>19</v>
      </c>
      <c r="G104" s="3" t="s">
        <v>53</v>
      </c>
      <c r="H104" s="3" t="s">
        <v>205</v>
      </c>
      <c r="I104" s="11">
        <v>348.84</v>
      </c>
      <c r="J104" s="18">
        <v>9</v>
      </c>
      <c r="K104" s="12">
        <v>170.9316</v>
      </c>
    </row>
    <row r="105" spans="1:11" x14ac:dyDescent="0.25">
      <c r="A105" s="4">
        <v>43501</v>
      </c>
      <c r="B105" s="19">
        <f t="shared" si="2"/>
        <v>2019</v>
      </c>
      <c r="C105" s="19">
        <f t="shared" si="3"/>
        <v>2</v>
      </c>
      <c r="D105" s="5" t="s">
        <v>203</v>
      </c>
      <c r="E105" s="5" t="s">
        <v>109</v>
      </c>
      <c r="F105" s="5" t="s">
        <v>19</v>
      </c>
      <c r="G105" s="5" t="s">
        <v>116</v>
      </c>
      <c r="H105" s="5" t="s">
        <v>206</v>
      </c>
      <c r="I105" s="13">
        <v>9.4499999999999993</v>
      </c>
      <c r="J105" s="19">
        <v>5</v>
      </c>
      <c r="K105" s="14">
        <v>0.189</v>
      </c>
    </row>
    <row r="106" spans="1:11" x14ac:dyDescent="0.25">
      <c r="A106" s="2">
        <v>43501</v>
      </c>
      <c r="B106" s="18">
        <f t="shared" si="2"/>
        <v>2019</v>
      </c>
      <c r="C106" s="18">
        <f t="shared" si="3"/>
        <v>2</v>
      </c>
      <c r="D106" s="3" t="s">
        <v>203</v>
      </c>
      <c r="E106" s="3" t="s">
        <v>109</v>
      </c>
      <c r="F106" s="3" t="s">
        <v>11</v>
      </c>
      <c r="G106" s="3" t="s">
        <v>51</v>
      </c>
      <c r="H106" s="3" t="s">
        <v>207</v>
      </c>
      <c r="I106" s="11">
        <v>18.84</v>
      </c>
      <c r="J106" s="18">
        <v>3</v>
      </c>
      <c r="K106" s="12">
        <v>7.1592000000000002</v>
      </c>
    </row>
    <row r="107" spans="1:11" x14ac:dyDescent="0.25">
      <c r="A107" s="4">
        <v>43501</v>
      </c>
      <c r="B107" s="19">
        <f t="shared" si="2"/>
        <v>2019</v>
      </c>
      <c r="C107" s="19">
        <f t="shared" si="3"/>
        <v>2</v>
      </c>
      <c r="D107" s="5" t="s">
        <v>203</v>
      </c>
      <c r="E107" s="5" t="s">
        <v>109</v>
      </c>
      <c r="F107" s="5" t="s">
        <v>11</v>
      </c>
      <c r="G107" s="5" t="s">
        <v>12</v>
      </c>
      <c r="H107" s="5" t="s">
        <v>208</v>
      </c>
      <c r="I107" s="13">
        <v>239.98</v>
      </c>
      <c r="J107" s="19">
        <v>2</v>
      </c>
      <c r="K107" s="14">
        <v>52.7956</v>
      </c>
    </row>
    <row r="108" spans="1:11" x14ac:dyDescent="0.25">
      <c r="A108" s="2">
        <v>43501</v>
      </c>
      <c r="B108" s="18">
        <f t="shared" si="2"/>
        <v>2019</v>
      </c>
      <c r="C108" s="18">
        <f t="shared" si="3"/>
        <v>2</v>
      </c>
      <c r="D108" s="3" t="s">
        <v>203</v>
      </c>
      <c r="E108" s="3" t="s">
        <v>109</v>
      </c>
      <c r="F108" s="3" t="s">
        <v>19</v>
      </c>
      <c r="G108" s="3" t="s">
        <v>86</v>
      </c>
      <c r="H108" s="3" t="s">
        <v>209</v>
      </c>
      <c r="I108" s="11">
        <v>167.96</v>
      </c>
      <c r="J108" s="18">
        <v>2</v>
      </c>
      <c r="K108" s="12">
        <v>78.941199999999995</v>
      </c>
    </row>
    <row r="109" spans="1:11" x14ac:dyDescent="0.25">
      <c r="A109" s="4">
        <v>43501</v>
      </c>
      <c r="B109" s="19">
        <f t="shared" si="2"/>
        <v>2019</v>
      </c>
      <c r="C109" s="19">
        <f t="shared" si="3"/>
        <v>2</v>
      </c>
      <c r="D109" s="5" t="s">
        <v>203</v>
      </c>
      <c r="E109" s="5" t="s">
        <v>109</v>
      </c>
      <c r="F109" s="5" t="s">
        <v>14</v>
      </c>
      <c r="G109" s="5" t="s">
        <v>15</v>
      </c>
      <c r="H109" s="5" t="s">
        <v>210</v>
      </c>
      <c r="I109" s="13">
        <v>104.85</v>
      </c>
      <c r="J109" s="19">
        <v>3</v>
      </c>
      <c r="K109" s="14">
        <v>28.3095</v>
      </c>
    </row>
    <row r="110" spans="1:11" x14ac:dyDescent="0.25">
      <c r="A110" s="2">
        <v>43501</v>
      </c>
      <c r="B110" s="18">
        <f t="shared" si="2"/>
        <v>2019</v>
      </c>
      <c r="C110" s="18">
        <f t="shared" si="3"/>
        <v>2</v>
      </c>
      <c r="D110" s="3" t="s">
        <v>203</v>
      </c>
      <c r="E110" s="3" t="s">
        <v>109</v>
      </c>
      <c r="F110" s="3" t="s">
        <v>14</v>
      </c>
      <c r="G110" s="3" t="s">
        <v>15</v>
      </c>
      <c r="H110" s="3" t="s">
        <v>211</v>
      </c>
      <c r="I110" s="11">
        <v>484.83</v>
      </c>
      <c r="J110" s="18">
        <v>3</v>
      </c>
      <c r="K110" s="12">
        <v>126.0558</v>
      </c>
    </row>
    <row r="111" spans="1:11" x14ac:dyDescent="0.25">
      <c r="A111" s="4">
        <v>43501</v>
      </c>
      <c r="B111" s="19">
        <f t="shared" si="2"/>
        <v>2019</v>
      </c>
      <c r="C111" s="19">
        <f t="shared" si="3"/>
        <v>2</v>
      </c>
      <c r="D111" s="5" t="s">
        <v>203</v>
      </c>
      <c r="E111" s="5" t="s">
        <v>109</v>
      </c>
      <c r="F111" s="5" t="s">
        <v>19</v>
      </c>
      <c r="G111" s="5" t="s">
        <v>53</v>
      </c>
      <c r="H111" s="5" t="s">
        <v>212</v>
      </c>
      <c r="I111" s="13">
        <v>122.97</v>
      </c>
      <c r="J111" s="19">
        <v>3</v>
      </c>
      <c r="K111" s="14">
        <v>60.255299999999998</v>
      </c>
    </row>
    <row r="112" spans="1:11" x14ac:dyDescent="0.25">
      <c r="A112" s="2">
        <v>43501</v>
      </c>
      <c r="B112" s="18">
        <f t="shared" si="2"/>
        <v>2019</v>
      </c>
      <c r="C112" s="18">
        <f t="shared" si="3"/>
        <v>2</v>
      </c>
      <c r="D112" s="3" t="s">
        <v>203</v>
      </c>
      <c r="E112" s="3" t="s">
        <v>109</v>
      </c>
      <c r="F112" s="3" t="s">
        <v>19</v>
      </c>
      <c r="G112" s="3" t="s">
        <v>20</v>
      </c>
      <c r="H112" s="3" t="s">
        <v>213</v>
      </c>
      <c r="I112" s="11">
        <v>154.44</v>
      </c>
      <c r="J112" s="18">
        <v>3</v>
      </c>
      <c r="K112" s="12">
        <v>1.5444</v>
      </c>
    </row>
    <row r="113" spans="1:11" x14ac:dyDescent="0.25">
      <c r="A113" s="4">
        <v>43501</v>
      </c>
      <c r="B113" s="19">
        <f t="shared" si="2"/>
        <v>2019</v>
      </c>
      <c r="C113" s="19">
        <f t="shared" si="3"/>
        <v>2</v>
      </c>
      <c r="D113" s="5" t="s">
        <v>203</v>
      </c>
      <c r="E113" s="5" t="s">
        <v>109</v>
      </c>
      <c r="F113" s="5" t="s">
        <v>19</v>
      </c>
      <c r="G113" s="5" t="s">
        <v>53</v>
      </c>
      <c r="H113" s="5" t="s">
        <v>165</v>
      </c>
      <c r="I113" s="13">
        <v>342.37</v>
      </c>
      <c r="J113" s="19">
        <v>7</v>
      </c>
      <c r="K113" s="14">
        <v>160.91390000000001</v>
      </c>
    </row>
    <row r="114" spans="1:11" x14ac:dyDescent="0.25">
      <c r="A114" s="2">
        <v>43501</v>
      </c>
      <c r="B114" s="18">
        <f t="shared" si="2"/>
        <v>2019</v>
      </c>
      <c r="C114" s="18">
        <f t="shared" si="3"/>
        <v>2</v>
      </c>
      <c r="D114" s="3" t="s">
        <v>214</v>
      </c>
      <c r="E114" s="3" t="s">
        <v>18</v>
      </c>
      <c r="F114" s="3" t="s">
        <v>19</v>
      </c>
      <c r="G114" s="3" t="s">
        <v>127</v>
      </c>
      <c r="H114" s="3" t="s">
        <v>215</v>
      </c>
      <c r="I114" s="11">
        <v>14.73</v>
      </c>
      <c r="J114" s="18">
        <v>3</v>
      </c>
      <c r="K114" s="12">
        <v>7.2176999999999998</v>
      </c>
    </row>
    <row r="115" spans="1:11" x14ac:dyDescent="0.25">
      <c r="A115" s="4">
        <v>43501</v>
      </c>
      <c r="B115" s="19">
        <f t="shared" si="2"/>
        <v>2019</v>
      </c>
      <c r="C115" s="19">
        <f t="shared" si="3"/>
        <v>2</v>
      </c>
      <c r="D115" s="5" t="s">
        <v>214</v>
      </c>
      <c r="E115" s="5" t="s">
        <v>18</v>
      </c>
      <c r="F115" s="5" t="s">
        <v>19</v>
      </c>
      <c r="G115" s="5" t="s">
        <v>20</v>
      </c>
      <c r="H115" s="5" t="s">
        <v>216</v>
      </c>
      <c r="I115" s="13">
        <v>186.54</v>
      </c>
      <c r="J115" s="19">
        <v>3</v>
      </c>
      <c r="K115" s="14">
        <v>50.3658</v>
      </c>
    </row>
    <row r="116" spans="1:11" x14ac:dyDescent="0.25">
      <c r="A116" s="2">
        <v>43501</v>
      </c>
      <c r="B116" s="18">
        <f t="shared" si="2"/>
        <v>2019</v>
      </c>
      <c r="C116" s="18">
        <f t="shared" si="3"/>
        <v>2</v>
      </c>
      <c r="D116" s="3" t="s">
        <v>214</v>
      </c>
      <c r="E116" s="3" t="s">
        <v>18</v>
      </c>
      <c r="F116" s="3" t="s">
        <v>11</v>
      </c>
      <c r="G116" s="3" t="s">
        <v>30</v>
      </c>
      <c r="H116" s="3" t="s">
        <v>150</v>
      </c>
      <c r="I116" s="11">
        <v>557.72799999999995</v>
      </c>
      <c r="J116" s="18">
        <v>4</v>
      </c>
      <c r="K116" s="12">
        <v>6.9715999999999996</v>
      </c>
    </row>
    <row r="117" spans="1:11" x14ac:dyDescent="0.25">
      <c r="A117" s="4">
        <v>43501</v>
      </c>
      <c r="B117" s="19">
        <f t="shared" si="2"/>
        <v>2019</v>
      </c>
      <c r="C117" s="19">
        <f t="shared" si="3"/>
        <v>2</v>
      </c>
      <c r="D117" s="5" t="s">
        <v>214</v>
      </c>
      <c r="E117" s="5" t="s">
        <v>18</v>
      </c>
      <c r="F117" s="5" t="s">
        <v>14</v>
      </c>
      <c r="G117" s="5" t="s">
        <v>15</v>
      </c>
      <c r="H117" s="5" t="s">
        <v>217</v>
      </c>
      <c r="I117" s="13">
        <v>159.96799999999999</v>
      </c>
      <c r="J117" s="19">
        <v>4</v>
      </c>
      <c r="K117" s="14">
        <v>-31.993600000000001</v>
      </c>
    </row>
    <row r="118" spans="1:11" x14ac:dyDescent="0.25">
      <c r="A118" s="2">
        <v>43502</v>
      </c>
      <c r="B118" s="18">
        <f t="shared" si="2"/>
        <v>2019</v>
      </c>
      <c r="C118" s="18">
        <f t="shared" si="3"/>
        <v>2</v>
      </c>
      <c r="D118" s="3" t="s">
        <v>218</v>
      </c>
      <c r="E118" s="3" t="s">
        <v>219</v>
      </c>
      <c r="F118" s="3" t="s">
        <v>11</v>
      </c>
      <c r="G118" s="3" t="s">
        <v>51</v>
      </c>
      <c r="H118" s="3" t="s">
        <v>220</v>
      </c>
      <c r="I118" s="11">
        <v>132.22399999999999</v>
      </c>
      <c r="J118" s="18">
        <v>4</v>
      </c>
      <c r="K118" s="12">
        <v>-18.180800000000001</v>
      </c>
    </row>
    <row r="119" spans="1:11" x14ac:dyDescent="0.25">
      <c r="A119" s="4">
        <v>43503</v>
      </c>
      <c r="B119" s="19">
        <f t="shared" si="2"/>
        <v>2019</v>
      </c>
      <c r="C119" s="19">
        <f t="shared" si="3"/>
        <v>2</v>
      </c>
      <c r="D119" s="5" t="s">
        <v>221</v>
      </c>
      <c r="E119" s="5" t="s">
        <v>181</v>
      </c>
      <c r="F119" s="5" t="s">
        <v>14</v>
      </c>
      <c r="G119" s="5" t="s">
        <v>24</v>
      </c>
      <c r="H119" s="5" t="s">
        <v>222</v>
      </c>
      <c r="I119" s="13">
        <v>100</v>
      </c>
      <c r="J119" s="19">
        <v>4</v>
      </c>
      <c r="K119" s="14">
        <v>21</v>
      </c>
    </row>
    <row r="120" spans="1:11" x14ac:dyDescent="0.25">
      <c r="A120" s="2">
        <v>43503</v>
      </c>
      <c r="B120" s="18">
        <f t="shared" si="2"/>
        <v>2019</v>
      </c>
      <c r="C120" s="18">
        <f t="shared" si="3"/>
        <v>2</v>
      </c>
      <c r="D120" s="3" t="s">
        <v>221</v>
      </c>
      <c r="E120" s="3" t="s">
        <v>181</v>
      </c>
      <c r="F120" s="3" t="s">
        <v>19</v>
      </c>
      <c r="G120" s="3" t="s">
        <v>127</v>
      </c>
      <c r="H120" s="3" t="s">
        <v>223</v>
      </c>
      <c r="I120" s="11">
        <v>7.83</v>
      </c>
      <c r="J120" s="18">
        <v>3</v>
      </c>
      <c r="K120" s="12">
        <v>3.6017999999999999</v>
      </c>
    </row>
    <row r="121" spans="1:11" x14ac:dyDescent="0.25">
      <c r="A121" s="4">
        <v>43503</v>
      </c>
      <c r="B121" s="19">
        <f t="shared" si="2"/>
        <v>2019</v>
      </c>
      <c r="C121" s="19">
        <f t="shared" si="3"/>
        <v>2</v>
      </c>
      <c r="D121" s="5" t="s">
        <v>224</v>
      </c>
      <c r="E121" s="5" t="s">
        <v>67</v>
      </c>
      <c r="F121" s="5" t="s">
        <v>19</v>
      </c>
      <c r="G121" s="5" t="s">
        <v>53</v>
      </c>
      <c r="H121" s="5" t="s">
        <v>225</v>
      </c>
      <c r="I121" s="13">
        <v>30.352</v>
      </c>
      <c r="J121" s="19">
        <v>2</v>
      </c>
      <c r="K121" s="14">
        <v>10.623200000000001</v>
      </c>
    </row>
    <row r="122" spans="1:11" x14ac:dyDescent="0.25">
      <c r="A122" s="2">
        <v>43503</v>
      </c>
      <c r="B122" s="18">
        <f t="shared" si="2"/>
        <v>2019</v>
      </c>
      <c r="C122" s="18">
        <f t="shared" si="3"/>
        <v>2</v>
      </c>
      <c r="D122" s="3" t="s">
        <v>34</v>
      </c>
      <c r="E122" s="3" t="s">
        <v>18</v>
      </c>
      <c r="F122" s="3" t="s">
        <v>14</v>
      </c>
      <c r="G122" s="3" t="s">
        <v>15</v>
      </c>
      <c r="H122" s="3" t="s">
        <v>226</v>
      </c>
      <c r="I122" s="11">
        <v>623.96</v>
      </c>
      <c r="J122" s="18">
        <v>5</v>
      </c>
      <c r="K122" s="12">
        <v>38.997500000000002</v>
      </c>
    </row>
    <row r="123" spans="1:11" x14ac:dyDescent="0.25">
      <c r="A123" s="4">
        <v>43504</v>
      </c>
      <c r="B123" s="19">
        <f t="shared" si="2"/>
        <v>2019</v>
      </c>
      <c r="C123" s="19">
        <f t="shared" si="3"/>
        <v>2</v>
      </c>
      <c r="D123" s="5" t="s">
        <v>227</v>
      </c>
      <c r="E123" s="5" t="s">
        <v>35</v>
      </c>
      <c r="F123" s="5" t="s">
        <v>14</v>
      </c>
      <c r="G123" s="5" t="s">
        <v>15</v>
      </c>
      <c r="H123" s="5" t="s">
        <v>228</v>
      </c>
      <c r="I123" s="13">
        <v>1127.9760000000001</v>
      </c>
      <c r="J123" s="19">
        <v>3</v>
      </c>
      <c r="K123" s="14">
        <v>126.8973</v>
      </c>
    </row>
    <row r="124" spans="1:11" x14ac:dyDescent="0.25">
      <c r="A124" s="2">
        <v>43504</v>
      </c>
      <c r="B124" s="18">
        <f t="shared" si="2"/>
        <v>2019</v>
      </c>
      <c r="C124" s="18">
        <f t="shared" si="3"/>
        <v>2</v>
      </c>
      <c r="D124" s="3" t="s">
        <v>229</v>
      </c>
      <c r="E124" s="3" t="s">
        <v>23</v>
      </c>
      <c r="F124" s="3" t="s">
        <v>11</v>
      </c>
      <c r="G124" s="3" t="s">
        <v>112</v>
      </c>
      <c r="H124" s="3" t="s">
        <v>230</v>
      </c>
      <c r="I124" s="11">
        <v>241.5</v>
      </c>
      <c r="J124" s="18">
        <v>4</v>
      </c>
      <c r="K124" s="12">
        <v>0</v>
      </c>
    </row>
    <row r="125" spans="1:11" x14ac:dyDescent="0.25">
      <c r="A125" s="4">
        <v>43505</v>
      </c>
      <c r="B125" s="19">
        <f t="shared" si="2"/>
        <v>2019</v>
      </c>
      <c r="C125" s="19">
        <f t="shared" si="3"/>
        <v>2</v>
      </c>
      <c r="D125" s="5" t="s">
        <v>231</v>
      </c>
      <c r="E125" s="5" t="s">
        <v>18</v>
      </c>
      <c r="F125" s="5" t="s">
        <v>14</v>
      </c>
      <c r="G125" s="5" t="s">
        <v>24</v>
      </c>
      <c r="H125" s="5" t="s">
        <v>106</v>
      </c>
      <c r="I125" s="13">
        <v>89.97</v>
      </c>
      <c r="J125" s="19">
        <v>3</v>
      </c>
      <c r="K125" s="14">
        <v>39.586799999999997</v>
      </c>
    </row>
    <row r="126" spans="1:11" x14ac:dyDescent="0.25">
      <c r="A126" s="2">
        <v>43505</v>
      </c>
      <c r="B126" s="18">
        <f t="shared" si="2"/>
        <v>2019</v>
      </c>
      <c r="C126" s="18">
        <f t="shared" si="3"/>
        <v>2</v>
      </c>
      <c r="D126" s="3" t="s">
        <v>231</v>
      </c>
      <c r="E126" s="3" t="s">
        <v>18</v>
      </c>
      <c r="F126" s="3" t="s">
        <v>14</v>
      </c>
      <c r="G126" s="3" t="s">
        <v>24</v>
      </c>
      <c r="H126" s="3" t="s">
        <v>232</v>
      </c>
      <c r="I126" s="11">
        <v>31.86</v>
      </c>
      <c r="J126" s="18">
        <v>2</v>
      </c>
      <c r="K126" s="12">
        <v>11.151</v>
      </c>
    </row>
    <row r="127" spans="1:11" x14ac:dyDescent="0.25">
      <c r="A127" s="4">
        <v>43507</v>
      </c>
      <c r="B127" s="19">
        <f t="shared" si="2"/>
        <v>2019</v>
      </c>
      <c r="C127" s="19">
        <f t="shared" si="3"/>
        <v>2</v>
      </c>
      <c r="D127" s="5" t="s">
        <v>233</v>
      </c>
      <c r="E127" s="5" t="s">
        <v>29</v>
      </c>
      <c r="F127" s="5" t="s">
        <v>14</v>
      </c>
      <c r="G127" s="5" t="s">
        <v>15</v>
      </c>
      <c r="H127" s="5" t="s">
        <v>234</v>
      </c>
      <c r="I127" s="13">
        <v>69.930000000000007</v>
      </c>
      <c r="J127" s="19">
        <v>7</v>
      </c>
      <c r="K127" s="14">
        <v>0.69930000000000003</v>
      </c>
    </row>
    <row r="128" spans="1:11" x14ac:dyDescent="0.25">
      <c r="A128" s="2">
        <v>43508</v>
      </c>
      <c r="B128" s="18">
        <f t="shared" si="2"/>
        <v>2019</v>
      </c>
      <c r="C128" s="18">
        <f t="shared" si="3"/>
        <v>2</v>
      </c>
      <c r="D128" s="3" t="s">
        <v>235</v>
      </c>
      <c r="E128" s="3" t="s">
        <v>109</v>
      </c>
      <c r="F128" s="3" t="s">
        <v>19</v>
      </c>
      <c r="G128" s="3" t="s">
        <v>20</v>
      </c>
      <c r="H128" s="3" t="s">
        <v>236</v>
      </c>
      <c r="I128" s="11">
        <v>1350.12</v>
      </c>
      <c r="J128" s="18">
        <v>6</v>
      </c>
      <c r="K128" s="12">
        <v>175.51560000000001</v>
      </c>
    </row>
    <row r="129" spans="1:11" x14ac:dyDescent="0.25">
      <c r="A129" s="4">
        <v>43508</v>
      </c>
      <c r="B129" s="19">
        <f t="shared" si="2"/>
        <v>2019</v>
      </c>
      <c r="C129" s="19">
        <f t="shared" si="3"/>
        <v>2</v>
      </c>
      <c r="D129" s="5" t="s">
        <v>235</v>
      </c>
      <c r="E129" s="5" t="s">
        <v>109</v>
      </c>
      <c r="F129" s="5" t="s">
        <v>19</v>
      </c>
      <c r="G129" s="5" t="s">
        <v>32</v>
      </c>
      <c r="H129" s="5" t="s">
        <v>237</v>
      </c>
      <c r="I129" s="13">
        <v>15.92</v>
      </c>
      <c r="J129" s="19">
        <v>4</v>
      </c>
      <c r="K129" s="14">
        <v>7.4824000000000002</v>
      </c>
    </row>
    <row r="130" spans="1:11" x14ac:dyDescent="0.25">
      <c r="A130" s="2">
        <v>43509</v>
      </c>
      <c r="B130" s="18">
        <f t="shared" ref="B130:B193" si="4">YEAR(A130)</f>
        <v>2019</v>
      </c>
      <c r="C130" s="18">
        <f t="shared" ref="C130:C193" si="5">MONTH(A130)</f>
        <v>2</v>
      </c>
      <c r="D130" s="3" t="s">
        <v>238</v>
      </c>
      <c r="E130" s="3" t="s">
        <v>18</v>
      </c>
      <c r="F130" s="3" t="s">
        <v>19</v>
      </c>
      <c r="G130" s="3" t="s">
        <v>53</v>
      </c>
      <c r="H130" s="3" t="s">
        <v>239</v>
      </c>
      <c r="I130" s="11">
        <v>146.82</v>
      </c>
      <c r="J130" s="18">
        <v>3</v>
      </c>
      <c r="K130" s="12">
        <v>73.41</v>
      </c>
    </row>
    <row r="131" spans="1:11" x14ac:dyDescent="0.25">
      <c r="A131" s="4">
        <v>43510</v>
      </c>
      <c r="B131" s="19">
        <f t="shared" si="4"/>
        <v>2019</v>
      </c>
      <c r="C131" s="19">
        <f t="shared" si="5"/>
        <v>2</v>
      </c>
      <c r="D131" s="5" t="s">
        <v>240</v>
      </c>
      <c r="E131" s="5" t="s">
        <v>10</v>
      </c>
      <c r="F131" s="5" t="s">
        <v>19</v>
      </c>
      <c r="G131" s="5" t="s">
        <v>53</v>
      </c>
      <c r="H131" s="5" t="s">
        <v>241</v>
      </c>
      <c r="I131" s="13">
        <v>4.7699999999999996</v>
      </c>
      <c r="J131" s="19">
        <v>1</v>
      </c>
      <c r="K131" s="14">
        <v>2.1465000000000001</v>
      </c>
    </row>
    <row r="132" spans="1:11" x14ac:dyDescent="0.25">
      <c r="A132" s="2">
        <v>43510</v>
      </c>
      <c r="B132" s="18">
        <f t="shared" si="4"/>
        <v>2019</v>
      </c>
      <c r="C132" s="18">
        <f t="shared" si="5"/>
        <v>2</v>
      </c>
      <c r="D132" s="3" t="s">
        <v>240</v>
      </c>
      <c r="E132" s="3" t="s">
        <v>10</v>
      </c>
      <c r="F132" s="3" t="s">
        <v>19</v>
      </c>
      <c r="G132" s="3" t="s">
        <v>40</v>
      </c>
      <c r="H132" s="3" t="s">
        <v>242</v>
      </c>
      <c r="I132" s="11">
        <v>7.98</v>
      </c>
      <c r="J132" s="18">
        <v>3</v>
      </c>
      <c r="K132" s="12">
        <v>2.0748000000000002</v>
      </c>
    </row>
    <row r="133" spans="1:11" x14ac:dyDescent="0.25">
      <c r="A133" s="4">
        <v>43510</v>
      </c>
      <c r="B133" s="19">
        <f t="shared" si="4"/>
        <v>2019</v>
      </c>
      <c r="C133" s="19">
        <f t="shared" si="5"/>
        <v>2</v>
      </c>
      <c r="D133" s="5" t="s">
        <v>240</v>
      </c>
      <c r="E133" s="5" t="s">
        <v>10</v>
      </c>
      <c r="F133" s="5" t="s">
        <v>11</v>
      </c>
      <c r="G133" s="5" t="s">
        <v>30</v>
      </c>
      <c r="H133" s="5" t="s">
        <v>243</v>
      </c>
      <c r="I133" s="13">
        <v>550.43100000000004</v>
      </c>
      <c r="J133" s="19">
        <v>3</v>
      </c>
      <c r="K133" s="14">
        <v>-47.1798</v>
      </c>
    </row>
    <row r="134" spans="1:11" x14ac:dyDescent="0.25">
      <c r="A134" s="2">
        <v>43510</v>
      </c>
      <c r="B134" s="18">
        <f t="shared" si="4"/>
        <v>2019</v>
      </c>
      <c r="C134" s="18">
        <f t="shared" si="5"/>
        <v>2</v>
      </c>
      <c r="D134" s="3" t="s">
        <v>240</v>
      </c>
      <c r="E134" s="3" t="s">
        <v>10</v>
      </c>
      <c r="F134" s="3" t="s">
        <v>11</v>
      </c>
      <c r="G134" s="3" t="s">
        <v>51</v>
      </c>
      <c r="H134" s="3" t="s">
        <v>244</v>
      </c>
      <c r="I134" s="11">
        <v>10.56</v>
      </c>
      <c r="J134" s="18">
        <v>6</v>
      </c>
      <c r="K134" s="12">
        <v>4.6463999999999999</v>
      </c>
    </row>
    <row r="135" spans="1:11" x14ac:dyDescent="0.25">
      <c r="A135" s="4">
        <v>43510</v>
      </c>
      <c r="B135" s="19">
        <f t="shared" si="4"/>
        <v>2019</v>
      </c>
      <c r="C135" s="19">
        <f t="shared" si="5"/>
        <v>2</v>
      </c>
      <c r="D135" s="5" t="s">
        <v>245</v>
      </c>
      <c r="E135" s="5" t="s">
        <v>143</v>
      </c>
      <c r="F135" s="5" t="s">
        <v>19</v>
      </c>
      <c r="G135" s="5" t="s">
        <v>40</v>
      </c>
      <c r="H135" s="5" t="s">
        <v>246</v>
      </c>
      <c r="I135" s="13">
        <v>264.18</v>
      </c>
      <c r="J135" s="19">
        <v>7</v>
      </c>
      <c r="K135" s="14">
        <v>68.686800000000005</v>
      </c>
    </row>
    <row r="136" spans="1:11" x14ac:dyDescent="0.25">
      <c r="A136" s="2">
        <v>43511</v>
      </c>
      <c r="B136" s="18">
        <f t="shared" si="4"/>
        <v>2019</v>
      </c>
      <c r="C136" s="18">
        <f t="shared" si="5"/>
        <v>2</v>
      </c>
      <c r="D136" s="3" t="s">
        <v>247</v>
      </c>
      <c r="E136" s="3" t="s">
        <v>94</v>
      </c>
      <c r="F136" s="3" t="s">
        <v>19</v>
      </c>
      <c r="G136" s="3" t="s">
        <v>32</v>
      </c>
      <c r="H136" s="3" t="s">
        <v>248</v>
      </c>
      <c r="I136" s="11">
        <v>398.35199999999998</v>
      </c>
      <c r="J136" s="18">
        <v>3</v>
      </c>
      <c r="K136" s="12">
        <v>124.485</v>
      </c>
    </row>
    <row r="137" spans="1:11" x14ac:dyDescent="0.25">
      <c r="A137" s="4">
        <v>43511</v>
      </c>
      <c r="B137" s="19">
        <f t="shared" si="4"/>
        <v>2019</v>
      </c>
      <c r="C137" s="19">
        <f t="shared" si="5"/>
        <v>2</v>
      </c>
      <c r="D137" s="5" t="s">
        <v>247</v>
      </c>
      <c r="E137" s="5" t="s">
        <v>94</v>
      </c>
      <c r="F137" s="5" t="s">
        <v>19</v>
      </c>
      <c r="G137" s="5" t="s">
        <v>116</v>
      </c>
      <c r="H137" s="5" t="s">
        <v>249</v>
      </c>
      <c r="I137" s="13">
        <v>8.7200000000000006</v>
      </c>
      <c r="J137" s="19">
        <v>4</v>
      </c>
      <c r="K137" s="14">
        <v>3.5752000000000002</v>
      </c>
    </row>
    <row r="138" spans="1:11" x14ac:dyDescent="0.25">
      <c r="A138" s="2">
        <v>43512</v>
      </c>
      <c r="B138" s="18">
        <f t="shared" si="4"/>
        <v>2019</v>
      </c>
      <c r="C138" s="18">
        <f t="shared" si="5"/>
        <v>2</v>
      </c>
      <c r="D138" s="3" t="s">
        <v>250</v>
      </c>
      <c r="E138" s="3" t="s">
        <v>164</v>
      </c>
      <c r="F138" s="3" t="s">
        <v>19</v>
      </c>
      <c r="G138" s="3" t="s">
        <v>121</v>
      </c>
      <c r="H138" s="3" t="s">
        <v>251</v>
      </c>
      <c r="I138" s="11">
        <v>92.063999999999993</v>
      </c>
      <c r="J138" s="18">
        <v>6</v>
      </c>
      <c r="K138" s="12">
        <v>-225.55680000000001</v>
      </c>
    </row>
    <row r="139" spans="1:11" x14ac:dyDescent="0.25">
      <c r="A139" s="4">
        <v>43512</v>
      </c>
      <c r="B139" s="19">
        <f t="shared" si="4"/>
        <v>2019</v>
      </c>
      <c r="C139" s="19">
        <f t="shared" si="5"/>
        <v>2</v>
      </c>
      <c r="D139" s="5" t="s">
        <v>250</v>
      </c>
      <c r="E139" s="5" t="s">
        <v>164</v>
      </c>
      <c r="F139" s="5" t="s">
        <v>19</v>
      </c>
      <c r="G139" s="5" t="s">
        <v>116</v>
      </c>
      <c r="H139" s="5" t="s">
        <v>249</v>
      </c>
      <c r="I139" s="13">
        <v>6.976</v>
      </c>
      <c r="J139" s="19">
        <v>4</v>
      </c>
      <c r="K139" s="14">
        <v>1.8311999999999999</v>
      </c>
    </row>
    <row r="140" spans="1:11" x14ac:dyDescent="0.25">
      <c r="A140" s="2">
        <v>43512</v>
      </c>
      <c r="B140" s="18">
        <f t="shared" si="4"/>
        <v>2019</v>
      </c>
      <c r="C140" s="18">
        <f t="shared" si="5"/>
        <v>2</v>
      </c>
      <c r="D140" s="3" t="s">
        <v>250</v>
      </c>
      <c r="E140" s="3" t="s">
        <v>164</v>
      </c>
      <c r="F140" s="3" t="s">
        <v>11</v>
      </c>
      <c r="G140" s="3" t="s">
        <v>112</v>
      </c>
      <c r="H140" s="3" t="s">
        <v>252</v>
      </c>
      <c r="I140" s="11">
        <v>62.957999999999998</v>
      </c>
      <c r="J140" s="18">
        <v>3</v>
      </c>
      <c r="K140" s="12">
        <v>-2.6981999999999999</v>
      </c>
    </row>
    <row r="141" spans="1:11" x14ac:dyDescent="0.25">
      <c r="A141" s="4">
        <v>43512</v>
      </c>
      <c r="B141" s="19">
        <f t="shared" si="4"/>
        <v>2019</v>
      </c>
      <c r="C141" s="19">
        <f t="shared" si="5"/>
        <v>2</v>
      </c>
      <c r="D141" s="5" t="s">
        <v>250</v>
      </c>
      <c r="E141" s="5" t="s">
        <v>164</v>
      </c>
      <c r="F141" s="5" t="s">
        <v>19</v>
      </c>
      <c r="G141" s="5" t="s">
        <v>53</v>
      </c>
      <c r="H141" s="5" t="s">
        <v>253</v>
      </c>
      <c r="I141" s="13">
        <v>5.1840000000000002</v>
      </c>
      <c r="J141" s="19">
        <v>1</v>
      </c>
      <c r="K141" s="14">
        <v>1.8144</v>
      </c>
    </row>
    <row r="142" spans="1:11" x14ac:dyDescent="0.25">
      <c r="A142" s="2">
        <v>43512</v>
      </c>
      <c r="B142" s="18">
        <f t="shared" si="4"/>
        <v>2019</v>
      </c>
      <c r="C142" s="18">
        <f t="shared" si="5"/>
        <v>2</v>
      </c>
      <c r="D142" s="3" t="s">
        <v>254</v>
      </c>
      <c r="E142" s="3" t="s">
        <v>85</v>
      </c>
      <c r="F142" s="3" t="s">
        <v>11</v>
      </c>
      <c r="G142" s="3" t="s">
        <v>112</v>
      </c>
      <c r="H142" s="3" t="s">
        <v>255</v>
      </c>
      <c r="I142" s="11">
        <v>227.96</v>
      </c>
      <c r="J142" s="18">
        <v>2</v>
      </c>
      <c r="K142" s="12">
        <v>36.473599999999998</v>
      </c>
    </row>
    <row r="143" spans="1:11" x14ac:dyDescent="0.25">
      <c r="A143" s="4">
        <v>43512</v>
      </c>
      <c r="B143" s="19">
        <f t="shared" si="4"/>
        <v>2019</v>
      </c>
      <c r="C143" s="19">
        <f t="shared" si="5"/>
        <v>2</v>
      </c>
      <c r="D143" s="5" t="s">
        <v>256</v>
      </c>
      <c r="E143" s="5" t="s">
        <v>195</v>
      </c>
      <c r="F143" s="5" t="s">
        <v>11</v>
      </c>
      <c r="G143" s="5" t="s">
        <v>51</v>
      </c>
      <c r="H143" s="5" t="s">
        <v>257</v>
      </c>
      <c r="I143" s="13">
        <v>318.08</v>
      </c>
      <c r="J143" s="19">
        <v>4</v>
      </c>
      <c r="K143" s="14">
        <v>34.988799999999998</v>
      </c>
    </row>
    <row r="144" spans="1:11" x14ac:dyDescent="0.25">
      <c r="A144" s="2">
        <v>43512</v>
      </c>
      <c r="B144" s="18">
        <f t="shared" si="4"/>
        <v>2019</v>
      </c>
      <c r="C144" s="18">
        <f t="shared" si="5"/>
        <v>2</v>
      </c>
      <c r="D144" s="3" t="s">
        <v>256</v>
      </c>
      <c r="E144" s="3" t="s">
        <v>195</v>
      </c>
      <c r="F144" s="3" t="s">
        <v>19</v>
      </c>
      <c r="G144" s="3" t="s">
        <v>32</v>
      </c>
      <c r="H144" s="3" t="s">
        <v>258</v>
      </c>
      <c r="I144" s="11">
        <v>5.8</v>
      </c>
      <c r="J144" s="18">
        <v>1</v>
      </c>
      <c r="K144" s="12">
        <v>2.61</v>
      </c>
    </row>
    <row r="145" spans="1:11" x14ac:dyDescent="0.25">
      <c r="A145" s="4">
        <v>43512</v>
      </c>
      <c r="B145" s="19">
        <f t="shared" si="4"/>
        <v>2019</v>
      </c>
      <c r="C145" s="19">
        <f t="shared" si="5"/>
        <v>2</v>
      </c>
      <c r="D145" s="5" t="s">
        <v>259</v>
      </c>
      <c r="E145" s="5" t="s">
        <v>94</v>
      </c>
      <c r="F145" s="5" t="s">
        <v>11</v>
      </c>
      <c r="G145" s="5" t="s">
        <v>112</v>
      </c>
      <c r="H145" s="5" t="s">
        <v>260</v>
      </c>
      <c r="I145" s="13">
        <v>326.64600000000002</v>
      </c>
      <c r="J145" s="19">
        <v>3</v>
      </c>
      <c r="K145" s="14">
        <v>39.923400000000001</v>
      </c>
    </row>
    <row r="146" spans="1:11" x14ac:dyDescent="0.25">
      <c r="A146" s="2">
        <v>43512</v>
      </c>
      <c r="B146" s="18">
        <f t="shared" si="4"/>
        <v>2019</v>
      </c>
      <c r="C146" s="18">
        <f t="shared" si="5"/>
        <v>2</v>
      </c>
      <c r="D146" s="3" t="s">
        <v>259</v>
      </c>
      <c r="E146" s="3" t="s">
        <v>94</v>
      </c>
      <c r="F146" s="3" t="s">
        <v>14</v>
      </c>
      <c r="G146" s="3" t="s">
        <v>24</v>
      </c>
      <c r="H146" s="3" t="s">
        <v>106</v>
      </c>
      <c r="I146" s="11">
        <v>89.97</v>
      </c>
      <c r="J146" s="18">
        <v>3</v>
      </c>
      <c r="K146" s="12">
        <v>39.586799999999997</v>
      </c>
    </row>
    <row r="147" spans="1:11" x14ac:dyDescent="0.25">
      <c r="A147" s="4">
        <v>43515</v>
      </c>
      <c r="B147" s="19">
        <f t="shared" si="4"/>
        <v>2019</v>
      </c>
      <c r="C147" s="19">
        <f t="shared" si="5"/>
        <v>2</v>
      </c>
      <c r="D147" s="5" t="s">
        <v>261</v>
      </c>
      <c r="E147" s="5" t="s">
        <v>94</v>
      </c>
      <c r="F147" s="5" t="s">
        <v>11</v>
      </c>
      <c r="G147" s="5" t="s">
        <v>51</v>
      </c>
      <c r="H147" s="5" t="s">
        <v>262</v>
      </c>
      <c r="I147" s="13">
        <v>44.46</v>
      </c>
      <c r="J147" s="19">
        <v>2</v>
      </c>
      <c r="K147" s="14">
        <v>14.671799999999999</v>
      </c>
    </row>
    <row r="148" spans="1:11" x14ac:dyDescent="0.25">
      <c r="A148" s="2">
        <v>43515</v>
      </c>
      <c r="B148" s="18">
        <f t="shared" si="4"/>
        <v>2019</v>
      </c>
      <c r="C148" s="18">
        <f t="shared" si="5"/>
        <v>2</v>
      </c>
      <c r="D148" s="3" t="s">
        <v>261</v>
      </c>
      <c r="E148" s="3" t="s">
        <v>94</v>
      </c>
      <c r="F148" s="3" t="s">
        <v>19</v>
      </c>
      <c r="G148" s="3" t="s">
        <v>20</v>
      </c>
      <c r="H148" s="3" t="s">
        <v>263</v>
      </c>
      <c r="I148" s="11">
        <v>242.94</v>
      </c>
      <c r="J148" s="18">
        <v>3</v>
      </c>
      <c r="K148" s="12">
        <v>9.7175999999999991</v>
      </c>
    </row>
    <row r="149" spans="1:11" x14ac:dyDescent="0.25">
      <c r="A149" s="4">
        <v>43515</v>
      </c>
      <c r="B149" s="19">
        <f t="shared" si="4"/>
        <v>2019</v>
      </c>
      <c r="C149" s="19">
        <f t="shared" si="5"/>
        <v>2</v>
      </c>
      <c r="D149" s="5" t="s">
        <v>180</v>
      </c>
      <c r="E149" s="5" t="s">
        <v>94</v>
      </c>
      <c r="F149" s="5" t="s">
        <v>19</v>
      </c>
      <c r="G149" s="5" t="s">
        <v>127</v>
      </c>
      <c r="H149" s="5" t="s">
        <v>264</v>
      </c>
      <c r="I149" s="13">
        <v>8.67</v>
      </c>
      <c r="J149" s="19">
        <v>3</v>
      </c>
      <c r="K149" s="14">
        <v>4.0749000000000004</v>
      </c>
    </row>
    <row r="150" spans="1:11" x14ac:dyDescent="0.25">
      <c r="A150" s="2">
        <v>43515</v>
      </c>
      <c r="B150" s="18">
        <f t="shared" si="4"/>
        <v>2019</v>
      </c>
      <c r="C150" s="18">
        <f t="shared" si="5"/>
        <v>2</v>
      </c>
      <c r="D150" s="3" t="s">
        <v>180</v>
      </c>
      <c r="E150" s="3" t="s">
        <v>94</v>
      </c>
      <c r="F150" s="3" t="s">
        <v>19</v>
      </c>
      <c r="G150" s="3" t="s">
        <v>265</v>
      </c>
      <c r="H150" s="3" t="s">
        <v>266</v>
      </c>
      <c r="I150" s="11">
        <v>25.71</v>
      </c>
      <c r="J150" s="18">
        <v>3</v>
      </c>
      <c r="K150" s="12">
        <v>6.6845999999999997</v>
      </c>
    </row>
    <row r="151" spans="1:11" x14ac:dyDescent="0.25">
      <c r="A151" s="4">
        <v>43515</v>
      </c>
      <c r="B151" s="19">
        <f t="shared" si="4"/>
        <v>2019</v>
      </c>
      <c r="C151" s="19">
        <f t="shared" si="5"/>
        <v>2</v>
      </c>
      <c r="D151" s="5" t="s">
        <v>261</v>
      </c>
      <c r="E151" s="5" t="s">
        <v>18</v>
      </c>
      <c r="F151" s="5" t="s">
        <v>19</v>
      </c>
      <c r="G151" s="5" t="s">
        <v>53</v>
      </c>
      <c r="H151" s="5" t="s">
        <v>267</v>
      </c>
      <c r="I151" s="13">
        <v>70.88</v>
      </c>
      <c r="J151" s="19">
        <v>2</v>
      </c>
      <c r="K151" s="14">
        <v>33.313600000000001</v>
      </c>
    </row>
    <row r="152" spans="1:11" x14ac:dyDescent="0.25">
      <c r="A152" s="2">
        <v>43516</v>
      </c>
      <c r="B152" s="18">
        <f t="shared" si="4"/>
        <v>2019</v>
      </c>
      <c r="C152" s="18">
        <f t="shared" si="5"/>
        <v>2</v>
      </c>
      <c r="D152" s="3" t="s">
        <v>268</v>
      </c>
      <c r="E152" s="3" t="s">
        <v>219</v>
      </c>
      <c r="F152" s="3" t="s">
        <v>19</v>
      </c>
      <c r="G152" s="3" t="s">
        <v>53</v>
      </c>
      <c r="H152" s="3" t="s">
        <v>269</v>
      </c>
      <c r="I152" s="11">
        <v>16.495999999999999</v>
      </c>
      <c r="J152" s="18">
        <v>2</v>
      </c>
      <c r="K152" s="12">
        <v>5.5674000000000001</v>
      </c>
    </row>
    <row r="153" spans="1:11" x14ac:dyDescent="0.25">
      <c r="A153" s="4">
        <v>43517</v>
      </c>
      <c r="B153" s="19">
        <f t="shared" si="4"/>
        <v>2019</v>
      </c>
      <c r="C153" s="19">
        <f t="shared" si="5"/>
        <v>2</v>
      </c>
      <c r="D153" s="5" t="s">
        <v>270</v>
      </c>
      <c r="E153" s="5" t="s">
        <v>18</v>
      </c>
      <c r="F153" s="5" t="s">
        <v>14</v>
      </c>
      <c r="G153" s="5" t="s">
        <v>24</v>
      </c>
      <c r="H153" s="5" t="s">
        <v>271</v>
      </c>
      <c r="I153" s="13">
        <v>12.99</v>
      </c>
      <c r="J153" s="19">
        <v>1</v>
      </c>
      <c r="K153" s="14">
        <v>0.77939999999999998</v>
      </c>
    </row>
    <row r="154" spans="1:11" x14ac:dyDescent="0.25">
      <c r="A154" s="2">
        <v>43517</v>
      </c>
      <c r="B154" s="18">
        <f t="shared" si="4"/>
        <v>2019</v>
      </c>
      <c r="C154" s="18">
        <f t="shared" si="5"/>
        <v>2</v>
      </c>
      <c r="D154" s="3" t="s">
        <v>270</v>
      </c>
      <c r="E154" s="3" t="s">
        <v>18</v>
      </c>
      <c r="F154" s="3" t="s">
        <v>19</v>
      </c>
      <c r="G154" s="3" t="s">
        <v>32</v>
      </c>
      <c r="H154" s="3" t="s">
        <v>272</v>
      </c>
      <c r="I154" s="11">
        <v>18.559999999999999</v>
      </c>
      <c r="J154" s="18">
        <v>4</v>
      </c>
      <c r="K154" s="12">
        <v>6.4960000000000004</v>
      </c>
    </row>
    <row r="155" spans="1:11" x14ac:dyDescent="0.25">
      <c r="A155" s="4">
        <v>43517</v>
      </c>
      <c r="B155" s="19">
        <f t="shared" si="4"/>
        <v>2019</v>
      </c>
      <c r="C155" s="19">
        <f t="shared" si="5"/>
        <v>2</v>
      </c>
      <c r="D155" s="5" t="s">
        <v>270</v>
      </c>
      <c r="E155" s="5" t="s">
        <v>18</v>
      </c>
      <c r="F155" s="5" t="s">
        <v>19</v>
      </c>
      <c r="G155" s="5" t="s">
        <v>20</v>
      </c>
      <c r="H155" s="5" t="s">
        <v>273</v>
      </c>
      <c r="I155" s="13">
        <v>449.15</v>
      </c>
      <c r="J155" s="19">
        <v>5</v>
      </c>
      <c r="K155" s="14">
        <v>8.9830000000000005</v>
      </c>
    </row>
    <row r="156" spans="1:11" x14ac:dyDescent="0.25">
      <c r="A156" s="2">
        <v>43517</v>
      </c>
      <c r="B156" s="18">
        <f t="shared" si="4"/>
        <v>2019</v>
      </c>
      <c r="C156" s="18">
        <f t="shared" si="5"/>
        <v>2</v>
      </c>
      <c r="D156" s="3" t="s">
        <v>270</v>
      </c>
      <c r="E156" s="3" t="s">
        <v>18</v>
      </c>
      <c r="F156" s="3" t="s">
        <v>19</v>
      </c>
      <c r="G156" s="3" t="s">
        <v>32</v>
      </c>
      <c r="H156" s="3" t="s">
        <v>274</v>
      </c>
      <c r="I156" s="11">
        <v>31.248000000000001</v>
      </c>
      <c r="J156" s="18">
        <v>7</v>
      </c>
      <c r="K156" s="12">
        <v>10.9368</v>
      </c>
    </row>
    <row r="157" spans="1:11" x14ac:dyDescent="0.25">
      <c r="A157" s="4">
        <v>43517</v>
      </c>
      <c r="B157" s="19">
        <f t="shared" si="4"/>
        <v>2019</v>
      </c>
      <c r="C157" s="19">
        <f t="shared" si="5"/>
        <v>2</v>
      </c>
      <c r="D157" s="5" t="s">
        <v>275</v>
      </c>
      <c r="E157" s="5" t="s">
        <v>94</v>
      </c>
      <c r="F157" s="5" t="s">
        <v>11</v>
      </c>
      <c r="G157" s="5" t="s">
        <v>51</v>
      </c>
      <c r="H157" s="5" t="s">
        <v>276</v>
      </c>
      <c r="I157" s="13">
        <v>68.95</v>
      </c>
      <c r="J157" s="19">
        <v>5</v>
      </c>
      <c r="K157" s="14">
        <v>28.959</v>
      </c>
    </row>
    <row r="158" spans="1:11" x14ac:dyDescent="0.25">
      <c r="A158" s="2">
        <v>43517</v>
      </c>
      <c r="B158" s="18">
        <f t="shared" si="4"/>
        <v>2019</v>
      </c>
      <c r="C158" s="18">
        <f t="shared" si="5"/>
        <v>2</v>
      </c>
      <c r="D158" s="3" t="s">
        <v>275</v>
      </c>
      <c r="E158" s="3" t="s">
        <v>94</v>
      </c>
      <c r="F158" s="3" t="s">
        <v>19</v>
      </c>
      <c r="G158" s="3" t="s">
        <v>20</v>
      </c>
      <c r="H158" s="3" t="s">
        <v>277</v>
      </c>
      <c r="I158" s="11">
        <v>296.37</v>
      </c>
      <c r="J158" s="18">
        <v>3</v>
      </c>
      <c r="K158" s="12">
        <v>80.019900000000007</v>
      </c>
    </row>
    <row r="159" spans="1:11" x14ac:dyDescent="0.25">
      <c r="A159" s="4">
        <v>43517</v>
      </c>
      <c r="B159" s="19">
        <f t="shared" si="4"/>
        <v>2019</v>
      </c>
      <c r="C159" s="19">
        <f t="shared" si="5"/>
        <v>2</v>
      </c>
      <c r="D159" s="5" t="s">
        <v>275</v>
      </c>
      <c r="E159" s="5" t="s">
        <v>94</v>
      </c>
      <c r="F159" s="5" t="s">
        <v>14</v>
      </c>
      <c r="G159" s="5" t="s">
        <v>15</v>
      </c>
      <c r="H159" s="5" t="s">
        <v>278</v>
      </c>
      <c r="I159" s="13">
        <v>39.979999999999997</v>
      </c>
      <c r="J159" s="19">
        <v>2</v>
      </c>
      <c r="K159" s="14">
        <v>1.9990000000000001</v>
      </c>
    </row>
    <row r="160" spans="1:11" x14ac:dyDescent="0.25">
      <c r="A160" s="2">
        <v>43517</v>
      </c>
      <c r="B160" s="18">
        <f t="shared" si="4"/>
        <v>2019</v>
      </c>
      <c r="C160" s="18">
        <f t="shared" si="5"/>
        <v>2</v>
      </c>
      <c r="D160" s="3" t="s">
        <v>279</v>
      </c>
      <c r="E160" s="3" t="s">
        <v>44</v>
      </c>
      <c r="F160" s="3" t="s">
        <v>19</v>
      </c>
      <c r="G160" s="3" t="s">
        <v>32</v>
      </c>
      <c r="H160" s="3" t="s">
        <v>280</v>
      </c>
      <c r="I160" s="11">
        <v>3.762</v>
      </c>
      <c r="J160" s="18">
        <v>3</v>
      </c>
      <c r="K160" s="12">
        <v>-2.7587999999999999</v>
      </c>
    </row>
    <row r="161" spans="1:11" x14ac:dyDescent="0.25">
      <c r="A161" s="4">
        <v>43517</v>
      </c>
      <c r="B161" s="19">
        <f t="shared" si="4"/>
        <v>2019</v>
      </c>
      <c r="C161" s="19">
        <f t="shared" si="5"/>
        <v>2</v>
      </c>
      <c r="D161" s="5" t="s">
        <v>279</v>
      </c>
      <c r="E161" s="5" t="s">
        <v>44</v>
      </c>
      <c r="F161" s="5" t="s">
        <v>19</v>
      </c>
      <c r="G161" s="5" t="s">
        <v>32</v>
      </c>
      <c r="H161" s="5" t="s">
        <v>42</v>
      </c>
      <c r="I161" s="13">
        <v>34.86</v>
      </c>
      <c r="J161" s="19">
        <v>2</v>
      </c>
      <c r="K161" s="14">
        <v>-26.725999999999999</v>
      </c>
    </row>
    <row r="162" spans="1:11" x14ac:dyDescent="0.25">
      <c r="A162" s="2">
        <v>43517</v>
      </c>
      <c r="B162" s="18">
        <f t="shared" si="4"/>
        <v>2019</v>
      </c>
      <c r="C162" s="18">
        <f t="shared" si="5"/>
        <v>2</v>
      </c>
      <c r="D162" s="3" t="s">
        <v>279</v>
      </c>
      <c r="E162" s="3" t="s">
        <v>44</v>
      </c>
      <c r="F162" s="3" t="s">
        <v>19</v>
      </c>
      <c r="G162" s="3" t="s">
        <v>20</v>
      </c>
      <c r="H162" s="3" t="s">
        <v>281</v>
      </c>
      <c r="I162" s="11">
        <v>432.45600000000002</v>
      </c>
      <c r="J162" s="18">
        <v>3</v>
      </c>
      <c r="K162" s="12">
        <v>32.434199999999997</v>
      </c>
    </row>
    <row r="163" spans="1:11" x14ac:dyDescent="0.25">
      <c r="A163" s="4">
        <v>43517</v>
      </c>
      <c r="B163" s="19">
        <f t="shared" si="4"/>
        <v>2019</v>
      </c>
      <c r="C163" s="19">
        <f t="shared" si="5"/>
        <v>2</v>
      </c>
      <c r="D163" s="5" t="s">
        <v>250</v>
      </c>
      <c r="E163" s="5" t="s">
        <v>94</v>
      </c>
      <c r="F163" s="5" t="s">
        <v>11</v>
      </c>
      <c r="G163" s="5" t="s">
        <v>51</v>
      </c>
      <c r="H163" s="5" t="s">
        <v>282</v>
      </c>
      <c r="I163" s="13">
        <v>135.80000000000001</v>
      </c>
      <c r="J163" s="19">
        <v>7</v>
      </c>
      <c r="K163" s="14">
        <v>66.542000000000002</v>
      </c>
    </row>
    <row r="164" spans="1:11" x14ac:dyDescent="0.25">
      <c r="A164" s="2">
        <v>43518</v>
      </c>
      <c r="B164" s="18">
        <f t="shared" si="4"/>
        <v>2019</v>
      </c>
      <c r="C164" s="18">
        <f t="shared" si="5"/>
        <v>2</v>
      </c>
      <c r="D164" s="3" t="s">
        <v>283</v>
      </c>
      <c r="E164" s="3" t="s">
        <v>56</v>
      </c>
      <c r="F164" s="3" t="s">
        <v>19</v>
      </c>
      <c r="G164" s="3" t="s">
        <v>121</v>
      </c>
      <c r="H164" s="3" t="s">
        <v>284</v>
      </c>
      <c r="I164" s="11">
        <v>490.32</v>
      </c>
      <c r="J164" s="18">
        <v>9</v>
      </c>
      <c r="K164" s="12">
        <v>137.28960000000001</v>
      </c>
    </row>
    <row r="165" spans="1:11" x14ac:dyDescent="0.25">
      <c r="A165" s="4">
        <v>43518</v>
      </c>
      <c r="B165" s="19">
        <f t="shared" si="4"/>
        <v>2019</v>
      </c>
      <c r="C165" s="19">
        <f t="shared" si="5"/>
        <v>2</v>
      </c>
      <c r="D165" s="5" t="s">
        <v>285</v>
      </c>
      <c r="E165" s="5" t="s">
        <v>18</v>
      </c>
      <c r="F165" s="5" t="s">
        <v>14</v>
      </c>
      <c r="G165" s="5" t="s">
        <v>15</v>
      </c>
      <c r="H165" s="5" t="s">
        <v>286</v>
      </c>
      <c r="I165" s="13">
        <v>445.96</v>
      </c>
      <c r="J165" s="19">
        <v>5</v>
      </c>
      <c r="K165" s="14">
        <v>55.744999999999997</v>
      </c>
    </row>
    <row r="166" spans="1:11" x14ac:dyDescent="0.25">
      <c r="A166" s="2">
        <v>43518</v>
      </c>
      <c r="B166" s="18">
        <f t="shared" si="4"/>
        <v>2019</v>
      </c>
      <c r="C166" s="18">
        <f t="shared" si="5"/>
        <v>2</v>
      </c>
      <c r="D166" s="3" t="s">
        <v>285</v>
      </c>
      <c r="E166" s="3" t="s">
        <v>18</v>
      </c>
      <c r="F166" s="3" t="s">
        <v>14</v>
      </c>
      <c r="G166" s="3" t="s">
        <v>24</v>
      </c>
      <c r="H166" s="3" t="s">
        <v>287</v>
      </c>
      <c r="I166" s="11">
        <v>36.24</v>
      </c>
      <c r="J166" s="18">
        <v>1</v>
      </c>
      <c r="K166" s="12">
        <v>15.220800000000001</v>
      </c>
    </row>
    <row r="167" spans="1:11" x14ac:dyDescent="0.25">
      <c r="A167" s="4">
        <v>43518</v>
      </c>
      <c r="B167" s="19">
        <f t="shared" si="4"/>
        <v>2019</v>
      </c>
      <c r="C167" s="19">
        <f t="shared" si="5"/>
        <v>2</v>
      </c>
      <c r="D167" s="5" t="s">
        <v>285</v>
      </c>
      <c r="E167" s="5" t="s">
        <v>18</v>
      </c>
      <c r="F167" s="5" t="s">
        <v>19</v>
      </c>
      <c r="G167" s="5" t="s">
        <v>116</v>
      </c>
      <c r="H167" s="5" t="s">
        <v>288</v>
      </c>
      <c r="I167" s="13">
        <v>10.65</v>
      </c>
      <c r="J167" s="19">
        <v>3</v>
      </c>
      <c r="K167" s="14">
        <v>5.0054999999999996</v>
      </c>
    </row>
    <row r="168" spans="1:11" x14ac:dyDescent="0.25">
      <c r="A168" s="2">
        <v>43519</v>
      </c>
      <c r="B168" s="18">
        <f t="shared" si="4"/>
        <v>2019</v>
      </c>
      <c r="C168" s="18">
        <f t="shared" si="5"/>
        <v>2</v>
      </c>
      <c r="D168" s="3" t="s">
        <v>289</v>
      </c>
      <c r="E168" s="3" t="s">
        <v>39</v>
      </c>
      <c r="F168" s="3" t="s">
        <v>19</v>
      </c>
      <c r="G168" s="3" t="s">
        <v>86</v>
      </c>
      <c r="H168" s="3" t="s">
        <v>290</v>
      </c>
      <c r="I168" s="11">
        <v>57.576000000000001</v>
      </c>
      <c r="J168" s="18">
        <v>3</v>
      </c>
      <c r="K168" s="12">
        <v>21.591000000000001</v>
      </c>
    </row>
    <row r="169" spans="1:11" x14ac:dyDescent="0.25">
      <c r="A169" s="4">
        <v>43521</v>
      </c>
      <c r="B169" s="19">
        <f t="shared" si="4"/>
        <v>2019</v>
      </c>
      <c r="C169" s="19">
        <f t="shared" si="5"/>
        <v>2</v>
      </c>
      <c r="D169" s="5" t="s">
        <v>291</v>
      </c>
      <c r="E169" s="5" t="s">
        <v>67</v>
      </c>
      <c r="F169" s="5" t="s">
        <v>19</v>
      </c>
      <c r="G169" s="5" t="s">
        <v>86</v>
      </c>
      <c r="H169" s="5" t="s">
        <v>176</v>
      </c>
      <c r="I169" s="13">
        <v>46.72</v>
      </c>
      <c r="J169" s="19">
        <v>5</v>
      </c>
      <c r="K169" s="14">
        <v>17.52</v>
      </c>
    </row>
    <row r="170" spans="1:11" x14ac:dyDescent="0.25">
      <c r="A170" s="2">
        <v>43523</v>
      </c>
      <c r="B170" s="18">
        <f t="shared" si="4"/>
        <v>2019</v>
      </c>
      <c r="C170" s="18">
        <f t="shared" si="5"/>
        <v>2</v>
      </c>
      <c r="D170" s="3" t="s">
        <v>292</v>
      </c>
      <c r="E170" s="3" t="s">
        <v>94</v>
      </c>
      <c r="F170" s="3" t="s">
        <v>19</v>
      </c>
      <c r="G170" s="3" t="s">
        <v>121</v>
      </c>
      <c r="H170" s="3" t="s">
        <v>293</v>
      </c>
      <c r="I170" s="11">
        <v>170.88</v>
      </c>
      <c r="J170" s="18">
        <v>3</v>
      </c>
      <c r="K170" s="12">
        <v>49.555199999999999</v>
      </c>
    </row>
    <row r="171" spans="1:11" x14ac:dyDescent="0.25">
      <c r="A171" s="4">
        <v>43523</v>
      </c>
      <c r="B171" s="19">
        <f t="shared" si="4"/>
        <v>2019</v>
      </c>
      <c r="C171" s="19">
        <f t="shared" si="5"/>
        <v>2</v>
      </c>
      <c r="D171" s="5" t="s">
        <v>294</v>
      </c>
      <c r="E171" s="5" t="s">
        <v>56</v>
      </c>
      <c r="F171" s="5" t="s">
        <v>19</v>
      </c>
      <c r="G171" s="5" t="s">
        <v>32</v>
      </c>
      <c r="H171" s="5" t="s">
        <v>295</v>
      </c>
      <c r="I171" s="13">
        <v>56.82</v>
      </c>
      <c r="J171" s="19">
        <v>3</v>
      </c>
      <c r="K171" s="14">
        <v>28.41</v>
      </c>
    </row>
    <row r="172" spans="1:11" x14ac:dyDescent="0.25">
      <c r="A172" s="2">
        <v>43523</v>
      </c>
      <c r="B172" s="18">
        <f t="shared" si="4"/>
        <v>2019</v>
      </c>
      <c r="C172" s="18">
        <f t="shared" si="5"/>
        <v>2</v>
      </c>
      <c r="D172" s="3" t="s">
        <v>296</v>
      </c>
      <c r="E172" s="3" t="s">
        <v>23</v>
      </c>
      <c r="F172" s="3" t="s">
        <v>11</v>
      </c>
      <c r="G172" s="3" t="s">
        <v>51</v>
      </c>
      <c r="H172" s="3" t="s">
        <v>297</v>
      </c>
      <c r="I172" s="11">
        <v>16.192</v>
      </c>
      <c r="J172" s="18">
        <v>2</v>
      </c>
      <c r="K172" s="12">
        <v>-6.8815999999999997</v>
      </c>
    </row>
    <row r="173" spans="1:11" x14ac:dyDescent="0.25">
      <c r="A173" s="4">
        <v>43524</v>
      </c>
      <c r="B173" s="19">
        <f t="shared" si="4"/>
        <v>2019</v>
      </c>
      <c r="C173" s="19">
        <f t="shared" si="5"/>
        <v>2</v>
      </c>
      <c r="D173" s="5" t="s">
        <v>298</v>
      </c>
      <c r="E173" s="5" t="s">
        <v>67</v>
      </c>
      <c r="F173" s="5" t="s">
        <v>19</v>
      </c>
      <c r="G173" s="5" t="s">
        <v>40</v>
      </c>
      <c r="H173" s="5" t="s">
        <v>299</v>
      </c>
      <c r="I173" s="13">
        <v>111.104</v>
      </c>
      <c r="J173" s="19">
        <v>7</v>
      </c>
      <c r="K173" s="14">
        <v>8.3328000000000007</v>
      </c>
    </row>
    <row r="174" spans="1:11" x14ac:dyDescent="0.25">
      <c r="A174" s="2">
        <v>43524</v>
      </c>
      <c r="B174" s="18">
        <f t="shared" si="4"/>
        <v>2019</v>
      </c>
      <c r="C174" s="18">
        <f t="shared" si="5"/>
        <v>2</v>
      </c>
      <c r="D174" s="3" t="s">
        <v>300</v>
      </c>
      <c r="E174" s="3" t="s">
        <v>94</v>
      </c>
      <c r="F174" s="3" t="s">
        <v>19</v>
      </c>
      <c r="G174" s="3" t="s">
        <v>116</v>
      </c>
      <c r="H174" s="3" t="s">
        <v>301</v>
      </c>
      <c r="I174" s="11">
        <v>36.479999999999997</v>
      </c>
      <c r="J174" s="18">
        <v>6</v>
      </c>
      <c r="K174" s="12">
        <v>18.239999999999998</v>
      </c>
    </row>
    <row r="175" spans="1:11" x14ac:dyDescent="0.25">
      <c r="A175" s="4">
        <v>43525</v>
      </c>
      <c r="B175" s="19">
        <f t="shared" si="4"/>
        <v>2019</v>
      </c>
      <c r="C175" s="19">
        <f t="shared" si="5"/>
        <v>3</v>
      </c>
      <c r="D175" s="5" t="s">
        <v>302</v>
      </c>
      <c r="E175" s="5" t="s">
        <v>94</v>
      </c>
      <c r="F175" s="5" t="s">
        <v>11</v>
      </c>
      <c r="G175" s="5" t="s">
        <v>30</v>
      </c>
      <c r="H175" s="5" t="s">
        <v>150</v>
      </c>
      <c r="I175" s="13">
        <v>836.59199999999998</v>
      </c>
      <c r="J175" s="19">
        <v>8</v>
      </c>
      <c r="K175" s="14">
        <v>-264.92079999999999</v>
      </c>
    </row>
    <row r="176" spans="1:11" x14ac:dyDescent="0.25">
      <c r="A176" s="2">
        <v>43525</v>
      </c>
      <c r="B176" s="18">
        <f t="shared" si="4"/>
        <v>2019</v>
      </c>
      <c r="C176" s="18">
        <f t="shared" si="5"/>
        <v>3</v>
      </c>
      <c r="D176" s="3" t="s">
        <v>302</v>
      </c>
      <c r="E176" s="3" t="s">
        <v>94</v>
      </c>
      <c r="F176" s="3" t="s">
        <v>19</v>
      </c>
      <c r="G176" s="3" t="s">
        <v>53</v>
      </c>
      <c r="H176" s="3" t="s">
        <v>172</v>
      </c>
      <c r="I176" s="11">
        <v>26.38</v>
      </c>
      <c r="J176" s="18">
        <v>1</v>
      </c>
      <c r="K176" s="12">
        <v>12.1348</v>
      </c>
    </row>
    <row r="177" spans="1:11" x14ac:dyDescent="0.25">
      <c r="A177" s="4">
        <v>43525</v>
      </c>
      <c r="B177" s="19">
        <f t="shared" si="4"/>
        <v>2019</v>
      </c>
      <c r="C177" s="19">
        <f t="shared" si="5"/>
        <v>3</v>
      </c>
      <c r="D177" s="5" t="s">
        <v>302</v>
      </c>
      <c r="E177" s="5" t="s">
        <v>94</v>
      </c>
      <c r="F177" s="5" t="s">
        <v>19</v>
      </c>
      <c r="G177" s="5" t="s">
        <v>20</v>
      </c>
      <c r="H177" s="5" t="s">
        <v>303</v>
      </c>
      <c r="I177" s="13">
        <v>362.92</v>
      </c>
      <c r="J177" s="19">
        <v>2</v>
      </c>
      <c r="K177" s="14">
        <v>105.24679999999999</v>
      </c>
    </row>
    <row r="178" spans="1:11" x14ac:dyDescent="0.25">
      <c r="A178" s="2">
        <v>43525</v>
      </c>
      <c r="B178" s="18">
        <f t="shared" si="4"/>
        <v>2019</v>
      </c>
      <c r="C178" s="18">
        <f t="shared" si="5"/>
        <v>3</v>
      </c>
      <c r="D178" s="3" t="s">
        <v>302</v>
      </c>
      <c r="E178" s="3" t="s">
        <v>94</v>
      </c>
      <c r="F178" s="3" t="s">
        <v>14</v>
      </c>
      <c r="G178" s="3" t="s">
        <v>188</v>
      </c>
      <c r="H178" s="3" t="s">
        <v>304</v>
      </c>
      <c r="I178" s="11">
        <v>4899.93</v>
      </c>
      <c r="J178" s="18">
        <v>7</v>
      </c>
      <c r="K178" s="12">
        <v>2400.9657000000002</v>
      </c>
    </row>
    <row r="179" spans="1:11" x14ac:dyDescent="0.25">
      <c r="A179" s="4">
        <v>43525</v>
      </c>
      <c r="B179" s="19">
        <f t="shared" si="4"/>
        <v>2019</v>
      </c>
      <c r="C179" s="19">
        <f t="shared" si="5"/>
        <v>3</v>
      </c>
      <c r="D179" s="5" t="s">
        <v>305</v>
      </c>
      <c r="E179" s="5" t="s">
        <v>306</v>
      </c>
      <c r="F179" s="5" t="s">
        <v>14</v>
      </c>
      <c r="G179" s="5" t="s">
        <v>15</v>
      </c>
      <c r="H179" s="5" t="s">
        <v>307</v>
      </c>
      <c r="I179" s="13">
        <v>159.98400000000001</v>
      </c>
      <c r="J179" s="19">
        <v>2</v>
      </c>
      <c r="K179" s="14">
        <v>13.9986</v>
      </c>
    </row>
    <row r="180" spans="1:11" x14ac:dyDescent="0.25">
      <c r="A180" s="2">
        <v>43527</v>
      </c>
      <c r="B180" s="18">
        <f t="shared" si="4"/>
        <v>2019</v>
      </c>
      <c r="C180" s="18">
        <f t="shared" si="5"/>
        <v>3</v>
      </c>
      <c r="D180" s="3" t="s">
        <v>308</v>
      </c>
      <c r="E180" s="3" t="s">
        <v>309</v>
      </c>
      <c r="F180" s="3" t="s">
        <v>19</v>
      </c>
      <c r="G180" s="3" t="s">
        <v>32</v>
      </c>
      <c r="H180" s="3" t="s">
        <v>310</v>
      </c>
      <c r="I180" s="11">
        <v>447.86</v>
      </c>
      <c r="J180" s="18">
        <v>7</v>
      </c>
      <c r="K180" s="12">
        <v>219.45140000000001</v>
      </c>
    </row>
    <row r="181" spans="1:11" x14ac:dyDescent="0.25">
      <c r="A181" s="4">
        <v>43527</v>
      </c>
      <c r="B181" s="19">
        <f t="shared" si="4"/>
        <v>2019</v>
      </c>
      <c r="C181" s="19">
        <f t="shared" si="5"/>
        <v>3</v>
      </c>
      <c r="D181" s="5" t="s">
        <v>308</v>
      </c>
      <c r="E181" s="5" t="s">
        <v>309</v>
      </c>
      <c r="F181" s="5" t="s">
        <v>14</v>
      </c>
      <c r="G181" s="5" t="s">
        <v>15</v>
      </c>
      <c r="H181" s="5" t="s">
        <v>311</v>
      </c>
      <c r="I181" s="13">
        <v>479.95</v>
      </c>
      <c r="J181" s="19">
        <v>5</v>
      </c>
      <c r="K181" s="14">
        <v>129.5865</v>
      </c>
    </row>
    <row r="182" spans="1:11" x14ac:dyDescent="0.25">
      <c r="A182" s="2">
        <v>43527</v>
      </c>
      <c r="B182" s="18">
        <f t="shared" si="4"/>
        <v>2019</v>
      </c>
      <c r="C182" s="18">
        <f t="shared" si="5"/>
        <v>3</v>
      </c>
      <c r="D182" s="3" t="s">
        <v>308</v>
      </c>
      <c r="E182" s="3" t="s">
        <v>309</v>
      </c>
      <c r="F182" s="3" t="s">
        <v>19</v>
      </c>
      <c r="G182" s="3" t="s">
        <v>53</v>
      </c>
      <c r="H182" s="3" t="s">
        <v>312</v>
      </c>
      <c r="I182" s="11">
        <v>166.44</v>
      </c>
      <c r="J182" s="18">
        <v>3</v>
      </c>
      <c r="K182" s="12">
        <v>79.891199999999998</v>
      </c>
    </row>
    <row r="183" spans="1:11" x14ac:dyDescent="0.25">
      <c r="A183" s="4">
        <v>43527</v>
      </c>
      <c r="B183" s="19">
        <f t="shared" si="4"/>
        <v>2019</v>
      </c>
      <c r="C183" s="19">
        <f t="shared" si="5"/>
        <v>3</v>
      </c>
      <c r="D183" s="5" t="s">
        <v>313</v>
      </c>
      <c r="E183" s="5" t="s">
        <v>23</v>
      </c>
      <c r="F183" s="5" t="s">
        <v>19</v>
      </c>
      <c r="G183" s="5" t="s">
        <v>53</v>
      </c>
      <c r="H183" s="5" t="s">
        <v>314</v>
      </c>
      <c r="I183" s="13">
        <v>42.783999999999999</v>
      </c>
      <c r="J183" s="19">
        <v>7</v>
      </c>
      <c r="K183" s="14">
        <v>15.5092</v>
      </c>
    </row>
    <row r="184" spans="1:11" x14ac:dyDescent="0.25">
      <c r="A184" s="2">
        <v>43527</v>
      </c>
      <c r="B184" s="18">
        <f t="shared" si="4"/>
        <v>2019</v>
      </c>
      <c r="C184" s="18">
        <f t="shared" si="5"/>
        <v>3</v>
      </c>
      <c r="D184" s="3" t="s">
        <v>313</v>
      </c>
      <c r="E184" s="3" t="s">
        <v>23</v>
      </c>
      <c r="F184" s="3" t="s">
        <v>11</v>
      </c>
      <c r="G184" s="3" t="s">
        <v>112</v>
      </c>
      <c r="H184" s="3" t="s">
        <v>315</v>
      </c>
      <c r="I184" s="11">
        <v>563.42999999999995</v>
      </c>
      <c r="J184" s="18">
        <v>5</v>
      </c>
      <c r="K184" s="12">
        <v>-56.343000000000004</v>
      </c>
    </row>
    <row r="185" spans="1:11" x14ac:dyDescent="0.25">
      <c r="A185" s="4">
        <v>43527</v>
      </c>
      <c r="B185" s="19">
        <f t="shared" si="4"/>
        <v>2019</v>
      </c>
      <c r="C185" s="19">
        <f t="shared" si="5"/>
        <v>3</v>
      </c>
      <c r="D185" s="5" t="s">
        <v>316</v>
      </c>
      <c r="E185" s="5" t="s">
        <v>317</v>
      </c>
      <c r="F185" s="5" t="s">
        <v>14</v>
      </c>
      <c r="G185" s="5" t="s">
        <v>15</v>
      </c>
      <c r="H185" s="5" t="s">
        <v>318</v>
      </c>
      <c r="I185" s="13">
        <v>134.85</v>
      </c>
      <c r="J185" s="19">
        <v>3</v>
      </c>
      <c r="K185" s="14">
        <v>37.758000000000003</v>
      </c>
    </row>
    <row r="186" spans="1:11" x14ac:dyDescent="0.25">
      <c r="A186" s="2">
        <v>43527</v>
      </c>
      <c r="B186" s="18">
        <f t="shared" si="4"/>
        <v>2019</v>
      </c>
      <c r="C186" s="18">
        <f t="shared" si="5"/>
        <v>3</v>
      </c>
      <c r="D186" s="3" t="s">
        <v>319</v>
      </c>
      <c r="E186" s="3" t="s">
        <v>23</v>
      </c>
      <c r="F186" s="3" t="s">
        <v>11</v>
      </c>
      <c r="G186" s="3" t="s">
        <v>30</v>
      </c>
      <c r="H186" s="3" t="s">
        <v>320</v>
      </c>
      <c r="I186" s="11">
        <v>637.89599999999996</v>
      </c>
      <c r="J186" s="18">
        <v>3</v>
      </c>
      <c r="K186" s="12">
        <v>-127.5792</v>
      </c>
    </row>
    <row r="187" spans="1:11" x14ac:dyDescent="0.25">
      <c r="A187" s="4">
        <v>43527</v>
      </c>
      <c r="B187" s="19">
        <f t="shared" si="4"/>
        <v>2019</v>
      </c>
      <c r="C187" s="19">
        <f t="shared" si="5"/>
        <v>3</v>
      </c>
      <c r="D187" s="5" t="s">
        <v>319</v>
      </c>
      <c r="E187" s="5" t="s">
        <v>23</v>
      </c>
      <c r="F187" s="5" t="s">
        <v>14</v>
      </c>
      <c r="G187" s="5" t="s">
        <v>188</v>
      </c>
      <c r="H187" s="5" t="s">
        <v>321</v>
      </c>
      <c r="I187" s="13">
        <v>287.91000000000003</v>
      </c>
      <c r="J187" s="19">
        <v>3</v>
      </c>
      <c r="K187" s="14">
        <v>33.589500000000001</v>
      </c>
    </row>
    <row r="188" spans="1:11" x14ac:dyDescent="0.25">
      <c r="A188" s="2">
        <v>43527</v>
      </c>
      <c r="B188" s="18">
        <f t="shared" si="4"/>
        <v>2019</v>
      </c>
      <c r="C188" s="18">
        <f t="shared" si="5"/>
        <v>3</v>
      </c>
      <c r="D188" s="3" t="s">
        <v>319</v>
      </c>
      <c r="E188" s="3" t="s">
        <v>23</v>
      </c>
      <c r="F188" s="3" t="s">
        <v>19</v>
      </c>
      <c r="G188" s="3" t="s">
        <v>86</v>
      </c>
      <c r="H188" s="3" t="s">
        <v>322</v>
      </c>
      <c r="I188" s="11">
        <v>36.6</v>
      </c>
      <c r="J188" s="18">
        <v>3</v>
      </c>
      <c r="K188" s="12">
        <v>11.895</v>
      </c>
    </row>
    <row r="189" spans="1:11" x14ac:dyDescent="0.25">
      <c r="A189" s="4">
        <v>43527</v>
      </c>
      <c r="B189" s="19">
        <f t="shared" si="4"/>
        <v>2019</v>
      </c>
      <c r="C189" s="19">
        <f t="shared" si="5"/>
        <v>3</v>
      </c>
      <c r="D189" s="5" t="s">
        <v>323</v>
      </c>
      <c r="E189" s="5" t="s">
        <v>18</v>
      </c>
      <c r="F189" s="5" t="s">
        <v>19</v>
      </c>
      <c r="G189" s="5" t="s">
        <v>265</v>
      </c>
      <c r="H189" s="5" t="s">
        <v>324</v>
      </c>
      <c r="I189" s="13">
        <v>25.35</v>
      </c>
      <c r="J189" s="19">
        <v>3</v>
      </c>
      <c r="K189" s="14">
        <v>7.6050000000000004</v>
      </c>
    </row>
    <row r="190" spans="1:11" x14ac:dyDescent="0.25">
      <c r="A190" s="2">
        <v>43527</v>
      </c>
      <c r="B190" s="18">
        <f t="shared" si="4"/>
        <v>2019</v>
      </c>
      <c r="C190" s="18">
        <f t="shared" si="5"/>
        <v>3</v>
      </c>
      <c r="D190" s="3" t="s">
        <v>323</v>
      </c>
      <c r="E190" s="3" t="s">
        <v>18</v>
      </c>
      <c r="F190" s="3" t="s">
        <v>11</v>
      </c>
      <c r="G190" s="3" t="s">
        <v>51</v>
      </c>
      <c r="H190" s="3" t="s">
        <v>325</v>
      </c>
      <c r="I190" s="11">
        <v>35.28</v>
      </c>
      <c r="J190" s="18">
        <v>3</v>
      </c>
      <c r="K190" s="12">
        <v>11.995200000000001</v>
      </c>
    </row>
    <row r="191" spans="1:11" x14ac:dyDescent="0.25">
      <c r="A191" s="4">
        <v>43527</v>
      </c>
      <c r="B191" s="19">
        <f t="shared" si="4"/>
        <v>2019</v>
      </c>
      <c r="C191" s="19">
        <f t="shared" si="5"/>
        <v>3</v>
      </c>
      <c r="D191" s="5" t="s">
        <v>326</v>
      </c>
      <c r="E191" s="5" t="s">
        <v>23</v>
      </c>
      <c r="F191" s="5" t="s">
        <v>19</v>
      </c>
      <c r="G191" s="5" t="s">
        <v>265</v>
      </c>
      <c r="H191" s="5" t="s">
        <v>327</v>
      </c>
      <c r="I191" s="13">
        <v>3930.0720000000001</v>
      </c>
      <c r="J191" s="19">
        <v>3</v>
      </c>
      <c r="K191" s="14">
        <v>-786.01440000000002</v>
      </c>
    </row>
    <row r="192" spans="1:11" x14ac:dyDescent="0.25">
      <c r="A192" s="2">
        <v>43527</v>
      </c>
      <c r="B192" s="18">
        <f t="shared" si="4"/>
        <v>2019</v>
      </c>
      <c r="C192" s="18">
        <f t="shared" si="5"/>
        <v>3</v>
      </c>
      <c r="D192" s="3" t="s">
        <v>326</v>
      </c>
      <c r="E192" s="3" t="s">
        <v>23</v>
      </c>
      <c r="F192" s="3" t="s">
        <v>19</v>
      </c>
      <c r="G192" s="3" t="s">
        <v>116</v>
      </c>
      <c r="H192" s="3" t="s">
        <v>328</v>
      </c>
      <c r="I192" s="11">
        <v>2.3039999999999998</v>
      </c>
      <c r="J192" s="18">
        <v>1</v>
      </c>
      <c r="K192" s="12">
        <v>0.77759999999999996</v>
      </c>
    </row>
    <row r="193" spans="1:11" x14ac:dyDescent="0.25">
      <c r="A193" s="4">
        <v>43527</v>
      </c>
      <c r="B193" s="19">
        <f t="shared" si="4"/>
        <v>2019</v>
      </c>
      <c r="C193" s="19">
        <f t="shared" si="5"/>
        <v>3</v>
      </c>
      <c r="D193" s="5" t="s">
        <v>326</v>
      </c>
      <c r="E193" s="5" t="s">
        <v>23</v>
      </c>
      <c r="F193" s="5" t="s">
        <v>14</v>
      </c>
      <c r="G193" s="5" t="s">
        <v>15</v>
      </c>
      <c r="H193" s="5" t="s">
        <v>329</v>
      </c>
      <c r="I193" s="13">
        <v>431.976</v>
      </c>
      <c r="J193" s="19">
        <v>3</v>
      </c>
      <c r="K193" s="14">
        <v>32.398200000000003</v>
      </c>
    </row>
    <row r="194" spans="1:11" x14ac:dyDescent="0.25">
      <c r="A194" s="2">
        <v>43527</v>
      </c>
      <c r="B194" s="18">
        <f t="shared" ref="B194:B257" si="6">YEAR(A194)</f>
        <v>2019</v>
      </c>
      <c r="C194" s="18">
        <f t="shared" ref="C194:C257" si="7">MONTH(A194)</f>
        <v>3</v>
      </c>
      <c r="D194" s="3" t="s">
        <v>326</v>
      </c>
      <c r="E194" s="3" t="s">
        <v>23</v>
      </c>
      <c r="F194" s="3" t="s">
        <v>14</v>
      </c>
      <c r="G194" s="3" t="s">
        <v>24</v>
      </c>
      <c r="H194" s="3" t="s">
        <v>330</v>
      </c>
      <c r="I194" s="11">
        <v>41.72</v>
      </c>
      <c r="J194" s="18">
        <v>7</v>
      </c>
      <c r="K194" s="12">
        <v>5.7365000000000004</v>
      </c>
    </row>
    <row r="195" spans="1:11" x14ac:dyDescent="0.25">
      <c r="A195" s="4">
        <v>43528</v>
      </c>
      <c r="B195" s="19">
        <f t="shared" si="6"/>
        <v>2019</v>
      </c>
      <c r="C195" s="19">
        <f t="shared" si="7"/>
        <v>3</v>
      </c>
      <c r="D195" s="5" t="s">
        <v>331</v>
      </c>
      <c r="E195" s="5" t="s">
        <v>18</v>
      </c>
      <c r="F195" s="5" t="s">
        <v>19</v>
      </c>
      <c r="G195" s="5" t="s">
        <v>40</v>
      </c>
      <c r="H195" s="5" t="s">
        <v>332</v>
      </c>
      <c r="I195" s="13">
        <v>16.989999999999998</v>
      </c>
      <c r="J195" s="19">
        <v>1</v>
      </c>
      <c r="K195" s="14">
        <v>4.9271000000000003</v>
      </c>
    </row>
    <row r="196" spans="1:11" x14ac:dyDescent="0.25">
      <c r="A196" s="2">
        <v>43528</v>
      </c>
      <c r="B196" s="18">
        <f t="shared" si="6"/>
        <v>2019</v>
      </c>
      <c r="C196" s="18">
        <f t="shared" si="7"/>
        <v>3</v>
      </c>
      <c r="D196" s="3" t="s">
        <v>333</v>
      </c>
      <c r="E196" s="3" t="s">
        <v>44</v>
      </c>
      <c r="F196" s="3" t="s">
        <v>19</v>
      </c>
      <c r="G196" s="3" t="s">
        <v>127</v>
      </c>
      <c r="H196" s="3" t="s">
        <v>334</v>
      </c>
      <c r="I196" s="11">
        <v>10.08</v>
      </c>
      <c r="J196" s="18">
        <v>4</v>
      </c>
      <c r="K196" s="12">
        <v>3.528</v>
      </c>
    </row>
    <row r="197" spans="1:11" x14ac:dyDescent="0.25">
      <c r="A197" s="4">
        <v>43528</v>
      </c>
      <c r="B197" s="19">
        <f t="shared" si="6"/>
        <v>2019</v>
      </c>
      <c r="C197" s="19">
        <f t="shared" si="7"/>
        <v>3</v>
      </c>
      <c r="D197" s="5" t="s">
        <v>335</v>
      </c>
      <c r="E197" s="5" t="s">
        <v>317</v>
      </c>
      <c r="F197" s="5" t="s">
        <v>19</v>
      </c>
      <c r="G197" s="5" t="s">
        <v>32</v>
      </c>
      <c r="H197" s="5" t="s">
        <v>336</v>
      </c>
      <c r="I197" s="13">
        <v>128.4</v>
      </c>
      <c r="J197" s="19">
        <v>3</v>
      </c>
      <c r="K197" s="14">
        <v>64.2</v>
      </c>
    </row>
    <row r="198" spans="1:11" x14ac:dyDescent="0.25">
      <c r="A198" s="2">
        <v>43528</v>
      </c>
      <c r="B198" s="18">
        <f t="shared" si="6"/>
        <v>2019</v>
      </c>
      <c r="C198" s="18">
        <f t="shared" si="7"/>
        <v>3</v>
      </c>
      <c r="D198" s="3" t="s">
        <v>337</v>
      </c>
      <c r="E198" s="3" t="s">
        <v>104</v>
      </c>
      <c r="F198" s="3" t="s">
        <v>14</v>
      </c>
      <c r="G198" s="3" t="s">
        <v>24</v>
      </c>
      <c r="H198" s="3" t="s">
        <v>338</v>
      </c>
      <c r="I198" s="11">
        <v>159.97999999999999</v>
      </c>
      <c r="J198" s="18">
        <v>2</v>
      </c>
      <c r="K198" s="12">
        <v>57.592799999999997</v>
      </c>
    </row>
    <row r="199" spans="1:11" x14ac:dyDescent="0.25">
      <c r="A199" s="4">
        <v>43529</v>
      </c>
      <c r="B199" s="19">
        <f t="shared" si="6"/>
        <v>2019</v>
      </c>
      <c r="C199" s="19">
        <f t="shared" si="7"/>
        <v>3</v>
      </c>
      <c r="D199" s="5" t="s">
        <v>339</v>
      </c>
      <c r="E199" s="5" t="s">
        <v>23</v>
      </c>
      <c r="F199" s="5" t="s">
        <v>19</v>
      </c>
      <c r="G199" s="5" t="s">
        <v>86</v>
      </c>
      <c r="H199" s="5" t="s">
        <v>340</v>
      </c>
      <c r="I199" s="13">
        <v>149.352</v>
      </c>
      <c r="J199" s="19">
        <v>3</v>
      </c>
      <c r="K199" s="14">
        <v>50.406300000000002</v>
      </c>
    </row>
    <row r="200" spans="1:11" x14ac:dyDescent="0.25">
      <c r="A200" s="2">
        <v>43529</v>
      </c>
      <c r="B200" s="18">
        <f t="shared" si="6"/>
        <v>2019</v>
      </c>
      <c r="C200" s="18">
        <f t="shared" si="7"/>
        <v>3</v>
      </c>
      <c r="D200" s="3" t="s">
        <v>339</v>
      </c>
      <c r="E200" s="3" t="s">
        <v>23</v>
      </c>
      <c r="F200" s="3" t="s">
        <v>19</v>
      </c>
      <c r="G200" s="3" t="s">
        <v>20</v>
      </c>
      <c r="H200" s="3" t="s">
        <v>341</v>
      </c>
      <c r="I200" s="11">
        <v>12.992000000000001</v>
      </c>
      <c r="J200" s="18">
        <v>1</v>
      </c>
      <c r="K200" s="12">
        <v>-0.81200000000000006</v>
      </c>
    </row>
    <row r="201" spans="1:11" x14ac:dyDescent="0.25">
      <c r="A201" s="4">
        <v>43530</v>
      </c>
      <c r="B201" s="19">
        <f t="shared" si="6"/>
        <v>2019</v>
      </c>
      <c r="C201" s="19">
        <f t="shared" si="7"/>
        <v>3</v>
      </c>
      <c r="D201" s="5" t="s">
        <v>342</v>
      </c>
      <c r="E201" s="5" t="s">
        <v>39</v>
      </c>
      <c r="F201" s="5" t="s">
        <v>14</v>
      </c>
      <c r="G201" s="5" t="s">
        <v>15</v>
      </c>
      <c r="H201" s="5" t="s">
        <v>343</v>
      </c>
      <c r="I201" s="13">
        <v>431.94</v>
      </c>
      <c r="J201" s="19">
        <v>2</v>
      </c>
      <c r="K201" s="14">
        <v>-71.989999999999995</v>
      </c>
    </row>
    <row r="202" spans="1:11" x14ac:dyDescent="0.25">
      <c r="A202" s="2">
        <v>43530</v>
      </c>
      <c r="B202" s="18">
        <f t="shared" si="6"/>
        <v>2019</v>
      </c>
      <c r="C202" s="18">
        <f t="shared" si="7"/>
        <v>3</v>
      </c>
      <c r="D202" s="3" t="s">
        <v>342</v>
      </c>
      <c r="E202" s="3" t="s">
        <v>39</v>
      </c>
      <c r="F202" s="3" t="s">
        <v>19</v>
      </c>
      <c r="G202" s="3" t="s">
        <v>32</v>
      </c>
      <c r="H202" s="3" t="s">
        <v>344</v>
      </c>
      <c r="I202" s="11">
        <v>2.0430000000000001</v>
      </c>
      <c r="J202" s="18">
        <v>1</v>
      </c>
      <c r="K202" s="12">
        <v>-1.4982</v>
      </c>
    </row>
    <row r="203" spans="1:11" x14ac:dyDescent="0.25">
      <c r="A203" s="4">
        <v>43530</v>
      </c>
      <c r="B203" s="19">
        <f t="shared" si="6"/>
        <v>2019</v>
      </c>
      <c r="C203" s="19">
        <f t="shared" si="7"/>
        <v>3</v>
      </c>
      <c r="D203" s="5" t="s">
        <v>342</v>
      </c>
      <c r="E203" s="5" t="s">
        <v>39</v>
      </c>
      <c r="F203" s="5" t="s">
        <v>14</v>
      </c>
      <c r="G203" s="5" t="s">
        <v>15</v>
      </c>
      <c r="H203" s="5" t="s">
        <v>345</v>
      </c>
      <c r="I203" s="13">
        <v>68.238</v>
      </c>
      <c r="J203" s="19">
        <v>3</v>
      </c>
      <c r="K203" s="14">
        <v>-12.510300000000001</v>
      </c>
    </row>
    <row r="204" spans="1:11" x14ac:dyDescent="0.25">
      <c r="A204" s="2">
        <v>43530</v>
      </c>
      <c r="B204" s="18">
        <f t="shared" si="6"/>
        <v>2019</v>
      </c>
      <c r="C204" s="18">
        <f t="shared" si="7"/>
        <v>3</v>
      </c>
      <c r="D204" s="3" t="s">
        <v>298</v>
      </c>
      <c r="E204" s="3" t="s">
        <v>164</v>
      </c>
      <c r="F204" s="3" t="s">
        <v>19</v>
      </c>
      <c r="G204" s="3" t="s">
        <v>121</v>
      </c>
      <c r="H204" s="3" t="s">
        <v>346</v>
      </c>
      <c r="I204" s="11">
        <v>2.3340000000000001</v>
      </c>
      <c r="J204" s="18">
        <v>3</v>
      </c>
      <c r="K204" s="12">
        <v>-6.3018000000000001</v>
      </c>
    </row>
    <row r="205" spans="1:11" x14ac:dyDescent="0.25">
      <c r="A205" s="4">
        <v>43530</v>
      </c>
      <c r="B205" s="19">
        <f t="shared" si="6"/>
        <v>2019</v>
      </c>
      <c r="C205" s="19">
        <f t="shared" si="7"/>
        <v>3</v>
      </c>
      <c r="D205" s="5" t="s">
        <v>298</v>
      </c>
      <c r="E205" s="5" t="s">
        <v>164</v>
      </c>
      <c r="F205" s="5" t="s">
        <v>19</v>
      </c>
      <c r="G205" s="5" t="s">
        <v>32</v>
      </c>
      <c r="H205" s="5" t="s">
        <v>347</v>
      </c>
      <c r="I205" s="13">
        <v>1.728</v>
      </c>
      <c r="J205" s="19">
        <v>4</v>
      </c>
      <c r="K205" s="14">
        <v>-2.7648000000000001</v>
      </c>
    </row>
    <row r="206" spans="1:11" x14ac:dyDescent="0.25">
      <c r="A206" s="2">
        <v>43530</v>
      </c>
      <c r="B206" s="18">
        <f t="shared" si="6"/>
        <v>2019</v>
      </c>
      <c r="C206" s="18">
        <f t="shared" si="7"/>
        <v>3</v>
      </c>
      <c r="D206" s="3" t="s">
        <v>298</v>
      </c>
      <c r="E206" s="3" t="s">
        <v>164</v>
      </c>
      <c r="F206" s="3" t="s">
        <v>11</v>
      </c>
      <c r="G206" s="3" t="s">
        <v>51</v>
      </c>
      <c r="H206" s="3" t="s">
        <v>257</v>
      </c>
      <c r="I206" s="11">
        <v>159.04</v>
      </c>
      <c r="J206" s="18">
        <v>5</v>
      </c>
      <c r="K206" s="12">
        <v>-194.82400000000001</v>
      </c>
    </row>
    <row r="207" spans="1:11" x14ac:dyDescent="0.25">
      <c r="A207" s="4">
        <v>43530</v>
      </c>
      <c r="B207" s="19">
        <f t="shared" si="6"/>
        <v>2019</v>
      </c>
      <c r="C207" s="19">
        <f t="shared" si="7"/>
        <v>3</v>
      </c>
      <c r="D207" s="5" t="s">
        <v>298</v>
      </c>
      <c r="E207" s="5" t="s">
        <v>164</v>
      </c>
      <c r="F207" s="5" t="s">
        <v>11</v>
      </c>
      <c r="G207" s="5" t="s">
        <v>30</v>
      </c>
      <c r="H207" s="5" t="s">
        <v>348</v>
      </c>
      <c r="I207" s="13">
        <v>145.97999999999999</v>
      </c>
      <c r="J207" s="19">
        <v>2</v>
      </c>
      <c r="K207" s="14">
        <v>-99.266400000000004</v>
      </c>
    </row>
    <row r="208" spans="1:11" x14ac:dyDescent="0.25">
      <c r="A208" s="2">
        <v>43531</v>
      </c>
      <c r="B208" s="18">
        <f t="shared" si="6"/>
        <v>2019</v>
      </c>
      <c r="C208" s="18">
        <f t="shared" si="7"/>
        <v>3</v>
      </c>
      <c r="D208" s="3" t="s">
        <v>349</v>
      </c>
      <c r="E208" s="3" t="s">
        <v>23</v>
      </c>
      <c r="F208" s="3" t="s">
        <v>14</v>
      </c>
      <c r="G208" s="3" t="s">
        <v>15</v>
      </c>
      <c r="H208" s="3" t="s">
        <v>350</v>
      </c>
      <c r="I208" s="11">
        <v>21.071999999999999</v>
      </c>
      <c r="J208" s="18">
        <v>3</v>
      </c>
      <c r="K208" s="12">
        <v>1.5804</v>
      </c>
    </row>
    <row r="209" spans="1:11" x14ac:dyDescent="0.25">
      <c r="A209" s="4">
        <v>43532</v>
      </c>
      <c r="B209" s="19">
        <f t="shared" si="6"/>
        <v>2019</v>
      </c>
      <c r="C209" s="19">
        <f t="shared" si="7"/>
        <v>3</v>
      </c>
      <c r="D209" s="5" t="s">
        <v>351</v>
      </c>
      <c r="E209" s="5" t="s">
        <v>44</v>
      </c>
      <c r="F209" s="5" t="s">
        <v>14</v>
      </c>
      <c r="G209" s="5" t="s">
        <v>15</v>
      </c>
      <c r="H209" s="5" t="s">
        <v>352</v>
      </c>
      <c r="I209" s="13">
        <v>1363.96</v>
      </c>
      <c r="J209" s="19">
        <v>5</v>
      </c>
      <c r="K209" s="14">
        <v>85.247500000000002</v>
      </c>
    </row>
    <row r="210" spans="1:11" x14ac:dyDescent="0.25">
      <c r="A210" s="2">
        <v>43532</v>
      </c>
      <c r="B210" s="18">
        <f t="shared" si="6"/>
        <v>2019</v>
      </c>
      <c r="C210" s="18">
        <f t="shared" si="7"/>
        <v>3</v>
      </c>
      <c r="D210" s="3" t="s">
        <v>351</v>
      </c>
      <c r="E210" s="3" t="s">
        <v>44</v>
      </c>
      <c r="F210" s="3" t="s">
        <v>11</v>
      </c>
      <c r="G210" s="3" t="s">
        <v>51</v>
      </c>
      <c r="H210" s="3" t="s">
        <v>353</v>
      </c>
      <c r="I210" s="11">
        <v>102.36</v>
      </c>
      <c r="J210" s="18">
        <v>3</v>
      </c>
      <c r="K210" s="12">
        <v>-3.8384999999999998</v>
      </c>
    </row>
    <row r="211" spans="1:11" x14ac:dyDescent="0.25">
      <c r="A211" s="4">
        <v>43532</v>
      </c>
      <c r="B211" s="19">
        <f t="shared" si="6"/>
        <v>2019</v>
      </c>
      <c r="C211" s="19">
        <f t="shared" si="7"/>
        <v>3</v>
      </c>
      <c r="D211" s="5" t="s">
        <v>247</v>
      </c>
      <c r="E211" s="5" t="s">
        <v>198</v>
      </c>
      <c r="F211" s="5" t="s">
        <v>19</v>
      </c>
      <c r="G211" s="5" t="s">
        <v>32</v>
      </c>
      <c r="H211" s="5" t="s">
        <v>149</v>
      </c>
      <c r="I211" s="13">
        <v>9.702</v>
      </c>
      <c r="J211" s="19">
        <v>3</v>
      </c>
      <c r="K211" s="14">
        <v>-7.1147999999999998</v>
      </c>
    </row>
    <row r="212" spans="1:11" x14ac:dyDescent="0.25">
      <c r="A212" s="2">
        <v>43532</v>
      </c>
      <c r="B212" s="18">
        <f t="shared" si="6"/>
        <v>2019</v>
      </c>
      <c r="C212" s="18">
        <f t="shared" si="7"/>
        <v>3</v>
      </c>
      <c r="D212" s="3" t="s">
        <v>354</v>
      </c>
      <c r="E212" s="3" t="s">
        <v>39</v>
      </c>
      <c r="F212" s="3" t="s">
        <v>14</v>
      </c>
      <c r="G212" s="3" t="s">
        <v>15</v>
      </c>
      <c r="H212" s="3" t="s">
        <v>27</v>
      </c>
      <c r="I212" s="11">
        <v>108.57599999999999</v>
      </c>
      <c r="J212" s="18">
        <v>4</v>
      </c>
      <c r="K212" s="12">
        <v>-25.334399999999999</v>
      </c>
    </row>
    <row r="213" spans="1:11" x14ac:dyDescent="0.25">
      <c r="A213" s="4">
        <v>43532</v>
      </c>
      <c r="B213" s="19">
        <f t="shared" si="6"/>
        <v>2019</v>
      </c>
      <c r="C213" s="19">
        <f t="shared" si="7"/>
        <v>3</v>
      </c>
      <c r="D213" s="5" t="s">
        <v>354</v>
      </c>
      <c r="E213" s="5" t="s">
        <v>39</v>
      </c>
      <c r="F213" s="5" t="s">
        <v>19</v>
      </c>
      <c r="G213" s="5" t="s">
        <v>116</v>
      </c>
      <c r="H213" s="5" t="s">
        <v>355</v>
      </c>
      <c r="I213" s="13">
        <v>5.984</v>
      </c>
      <c r="J213" s="19">
        <v>2</v>
      </c>
      <c r="K213" s="14">
        <v>-1.3464</v>
      </c>
    </row>
    <row r="214" spans="1:11" x14ac:dyDescent="0.25">
      <c r="A214" s="2">
        <v>43532</v>
      </c>
      <c r="B214" s="18">
        <f t="shared" si="6"/>
        <v>2019</v>
      </c>
      <c r="C214" s="18">
        <f t="shared" si="7"/>
        <v>3</v>
      </c>
      <c r="D214" s="3" t="s">
        <v>356</v>
      </c>
      <c r="E214" s="3" t="s">
        <v>94</v>
      </c>
      <c r="F214" s="3" t="s">
        <v>11</v>
      </c>
      <c r="G214" s="3" t="s">
        <v>51</v>
      </c>
      <c r="H214" s="3" t="s">
        <v>357</v>
      </c>
      <c r="I214" s="11">
        <v>113.6</v>
      </c>
      <c r="J214" s="18">
        <v>8</v>
      </c>
      <c r="K214" s="12">
        <v>44.304000000000002</v>
      </c>
    </row>
    <row r="215" spans="1:11" x14ac:dyDescent="0.25">
      <c r="A215" s="4">
        <v>43532</v>
      </c>
      <c r="B215" s="19">
        <f t="shared" si="6"/>
        <v>2019</v>
      </c>
      <c r="C215" s="19">
        <f t="shared" si="7"/>
        <v>3</v>
      </c>
      <c r="D215" s="5" t="s">
        <v>356</v>
      </c>
      <c r="E215" s="5" t="s">
        <v>94</v>
      </c>
      <c r="F215" s="5" t="s">
        <v>19</v>
      </c>
      <c r="G215" s="5" t="s">
        <v>53</v>
      </c>
      <c r="H215" s="5" t="s">
        <v>358</v>
      </c>
      <c r="I215" s="13">
        <v>12.96</v>
      </c>
      <c r="J215" s="19">
        <v>2</v>
      </c>
      <c r="K215" s="14">
        <v>6.3503999999999996</v>
      </c>
    </row>
    <row r="216" spans="1:11" x14ac:dyDescent="0.25">
      <c r="A216" s="2">
        <v>43532</v>
      </c>
      <c r="B216" s="18">
        <f t="shared" si="6"/>
        <v>2019</v>
      </c>
      <c r="C216" s="18">
        <f t="shared" si="7"/>
        <v>3</v>
      </c>
      <c r="D216" s="3" t="s">
        <v>356</v>
      </c>
      <c r="E216" s="3" t="s">
        <v>94</v>
      </c>
      <c r="F216" s="3" t="s">
        <v>19</v>
      </c>
      <c r="G216" s="3" t="s">
        <v>32</v>
      </c>
      <c r="H216" s="3" t="s">
        <v>359</v>
      </c>
      <c r="I216" s="11">
        <v>69.456000000000003</v>
      </c>
      <c r="J216" s="18">
        <v>2</v>
      </c>
      <c r="K216" s="12">
        <v>22.5732</v>
      </c>
    </row>
    <row r="217" spans="1:11" x14ac:dyDescent="0.25">
      <c r="A217" s="4">
        <v>43532</v>
      </c>
      <c r="B217" s="19">
        <f t="shared" si="6"/>
        <v>2019</v>
      </c>
      <c r="C217" s="19">
        <f t="shared" si="7"/>
        <v>3</v>
      </c>
      <c r="D217" s="5" t="s">
        <v>360</v>
      </c>
      <c r="E217" s="5" t="s">
        <v>23</v>
      </c>
      <c r="F217" s="5" t="s">
        <v>19</v>
      </c>
      <c r="G217" s="5" t="s">
        <v>32</v>
      </c>
      <c r="H217" s="5" t="s">
        <v>361</v>
      </c>
      <c r="I217" s="13">
        <v>8.8559999999999999</v>
      </c>
      <c r="J217" s="19">
        <v>9</v>
      </c>
      <c r="K217" s="14">
        <v>-14.169600000000001</v>
      </c>
    </row>
    <row r="218" spans="1:11" x14ac:dyDescent="0.25">
      <c r="A218" s="2">
        <v>43532</v>
      </c>
      <c r="B218" s="18">
        <f t="shared" si="6"/>
        <v>2019</v>
      </c>
      <c r="C218" s="18">
        <f t="shared" si="7"/>
        <v>3</v>
      </c>
      <c r="D218" s="3" t="s">
        <v>360</v>
      </c>
      <c r="E218" s="3" t="s">
        <v>23</v>
      </c>
      <c r="F218" s="3" t="s">
        <v>14</v>
      </c>
      <c r="G218" s="3" t="s">
        <v>24</v>
      </c>
      <c r="H218" s="3" t="s">
        <v>362</v>
      </c>
      <c r="I218" s="11">
        <v>27.96</v>
      </c>
      <c r="J218" s="18">
        <v>5</v>
      </c>
      <c r="K218" s="12">
        <v>8.3879999999999999</v>
      </c>
    </row>
    <row r="219" spans="1:11" x14ac:dyDescent="0.25">
      <c r="A219" s="4">
        <v>43532</v>
      </c>
      <c r="B219" s="19">
        <f t="shared" si="6"/>
        <v>2019</v>
      </c>
      <c r="C219" s="19">
        <f t="shared" si="7"/>
        <v>3</v>
      </c>
      <c r="D219" s="5" t="s">
        <v>360</v>
      </c>
      <c r="E219" s="5" t="s">
        <v>23</v>
      </c>
      <c r="F219" s="5" t="s">
        <v>19</v>
      </c>
      <c r="G219" s="5" t="s">
        <v>86</v>
      </c>
      <c r="H219" s="5" t="s">
        <v>363</v>
      </c>
      <c r="I219" s="13">
        <v>146.352</v>
      </c>
      <c r="J219" s="19">
        <v>3</v>
      </c>
      <c r="K219" s="14">
        <v>49.393799999999999</v>
      </c>
    </row>
    <row r="220" spans="1:11" x14ac:dyDescent="0.25">
      <c r="A220" s="2">
        <v>43532</v>
      </c>
      <c r="B220" s="18">
        <f t="shared" si="6"/>
        <v>2019</v>
      </c>
      <c r="C220" s="18">
        <f t="shared" si="7"/>
        <v>3</v>
      </c>
      <c r="D220" s="3" t="s">
        <v>364</v>
      </c>
      <c r="E220" s="3" t="s">
        <v>365</v>
      </c>
      <c r="F220" s="3" t="s">
        <v>19</v>
      </c>
      <c r="G220" s="3" t="s">
        <v>121</v>
      </c>
      <c r="H220" s="3" t="s">
        <v>251</v>
      </c>
      <c r="I220" s="11">
        <v>207.14400000000001</v>
      </c>
      <c r="J220" s="18">
        <v>3</v>
      </c>
      <c r="K220" s="12">
        <v>48.333599999999997</v>
      </c>
    </row>
    <row r="221" spans="1:11" x14ac:dyDescent="0.25">
      <c r="A221" s="4">
        <v>43532</v>
      </c>
      <c r="B221" s="19">
        <f t="shared" si="6"/>
        <v>2019</v>
      </c>
      <c r="C221" s="19">
        <f t="shared" si="7"/>
        <v>3</v>
      </c>
      <c r="D221" s="5" t="s">
        <v>364</v>
      </c>
      <c r="E221" s="5" t="s">
        <v>365</v>
      </c>
      <c r="F221" s="5" t="s">
        <v>19</v>
      </c>
      <c r="G221" s="5" t="s">
        <v>40</v>
      </c>
      <c r="H221" s="5" t="s">
        <v>366</v>
      </c>
      <c r="I221" s="13">
        <v>13.9</v>
      </c>
      <c r="J221" s="19">
        <v>5</v>
      </c>
      <c r="K221" s="14">
        <v>3.7530000000000001</v>
      </c>
    </row>
    <row r="222" spans="1:11" x14ac:dyDescent="0.25">
      <c r="A222" s="2">
        <v>43533</v>
      </c>
      <c r="B222" s="18">
        <f t="shared" si="6"/>
        <v>2019</v>
      </c>
      <c r="C222" s="18">
        <f t="shared" si="7"/>
        <v>3</v>
      </c>
      <c r="D222" s="3" t="s">
        <v>367</v>
      </c>
      <c r="E222" s="3" t="s">
        <v>91</v>
      </c>
      <c r="F222" s="3" t="s">
        <v>14</v>
      </c>
      <c r="G222" s="3" t="s">
        <v>24</v>
      </c>
      <c r="H222" s="3" t="s">
        <v>368</v>
      </c>
      <c r="I222" s="11">
        <v>199.75</v>
      </c>
      <c r="J222" s="18">
        <v>5</v>
      </c>
      <c r="K222" s="12">
        <v>87.89</v>
      </c>
    </row>
    <row r="223" spans="1:11" x14ac:dyDescent="0.25">
      <c r="A223" s="4">
        <v>43533</v>
      </c>
      <c r="B223" s="19">
        <f t="shared" si="6"/>
        <v>2019</v>
      </c>
      <c r="C223" s="19">
        <f t="shared" si="7"/>
        <v>3</v>
      </c>
      <c r="D223" s="5" t="s">
        <v>369</v>
      </c>
      <c r="E223" s="5" t="s">
        <v>370</v>
      </c>
      <c r="F223" s="5" t="s">
        <v>19</v>
      </c>
      <c r="G223" s="5" t="s">
        <v>20</v>
      </c>
      <c r="H223" s="5" t="s">
        <v>371</v>
      </c>
      <c r="I223" s="13">
        <v>11.21</v>
      </c>
      <c r="J223" s="19">
        <v>1</v>
      </c>
      <c r="K223" s="14">
        <v>3.363</v>
      </c>
    </row>
    <row r="224" spans="1:11" x14ac:dyDescent="0.25">
      <c r="A224" s="2">
        <v>43533</v>
      </c>
      <c r="B224" s="18">
        <f t="shared" si="6"/>
        <v>2019</v>
      </c>
      <c r="C224" s="18">
        <f t="shared" si="7"/>
        <v>3</v>
      </c>
      <c r="D224" s="3" t="s">
        <v>369</v>
      </c>
      <c r="E224" s="3" t="s">
        <v>370</v>
      </c>
      <c r="F224" s="3" t="s">
        <v>11</v>
      </c>
      <c r="G224" s="3" t="s">
        <v>112</v>
      </c>
      <c r="H224" s="3" t="s">
        <v>372</v>
      </c>
      <c r="I224" s="11">
        <v>354.9</v>
      </c>
      <c r="J224" s="18">
        <v>5</v>
      </c>
      <c r="K224" s="12">
        <v>88.724999999999994</v>
      </c>
    </row>
    <row r="225" spans="1:11" x14ac:dyDescent="0.25">
      <c r="A225" s="4">
        <v>43533</v>
      </c>
      <c r="B225" s="19">
        <f t="shared" si="6"/>
        <v>2019</v>
      </c>
      <c r="C225" s="19">
        <f t="shared" si="7"/>
        <v>3</v>
      </c>
      <c r="D225" s="5" t="s">
        <v>369</v>
      </c>
      <c r="E225" s="5" t="s">
        <v>370</v>
      </c>
      <c r="F225" s="5" t="s">
        <v>19</v>
      </c>
      <c r="G225" s="5" t="s">
        <v>53</v>
      </c>
      <c r="H225" s="5" t="s">
        <v>373</v>
      </c>
      <c r="I225" s="13">
        <v>17.940000000000001</v>
      </c>
      <c r="J225" s="19">
        <v>3</v>
      </c>
      <c r="K225" s="14">
        <v>8.7905999999999995</v>
      </c>
    </row>
    <row r="226" spans="1:11" x14ac:dyDescent="0.25">
      <c r="A226" s="2">
        <v>43533</v>
      </c>
      <c r="B226" s="18">
        <f t="shared" si="6"/>
        <v>2019</v>
      </c>
      <c r="C226" s="18">
        <f t="shared" si="7"/>
        <v>3</v>
      </c>
      <c r="D226" s="3" t="s">
        <v>369</v>
      </c>
      <c r="E226" s="3" t="s">
        <v>370</v>
      </c>
      <c r="F226" s="3" t="s">
        <v>19</v>
      </c>
      <c r="G226" s="3" t="s">
        <v>32</v>
      </c>
      <c r="H226" s="3" t="s">
        <v>374</v>
      </c>
      <c r="I226" s="11">
        <v>51.8</v>
      </c>
      <c r="J226" s="18">
        <v>4</v>
      </c>
      <c r="K226" s="12">
        <v>23.31</v>
      </c>
    </row>
    <row r="227" spans="1:11" x14ac:dyDescent="0.25">
      <c r="A227" s="4">
        <v>43534</v>
      </c>
      <c r="B227" s="19">
        <f t="shared" si="6"/>
        <v>2019</v>
      </c>
      <c r="C227" s="19">
        <f t="shared" si="7"/>
        <v>3</v>
      </c>
      <c r="D227" s="5" t="s">
        <v>375</v>
      </c>
      <c r="E227" s="5" t="s">
        <v>94</v>
      </c>
      <c r="F227" s="5" t="s">
        <v>11</v>
      </c>
      <c r="G227" s="5" t="s">
        <v>12</v>
      </c>
      <c r="H227" s="5" t="s">
        <v>376</v>
      </c>
      <c r="I227" s="13">
        <v>176.78399999999999</v>
      </c>
      <c r="J227" s="19">
        <v>1</v>
      </c>
      <c r="K227" s="14">
        <v>-22.097999999999999</v>
      </c>
    </row>
    <row r="228" spans="1:11" x14ac:dyDescent="0.25">
      <c r="A228" s="2">
        <v>43534</v>
      </c>
      <c r="B228" s="18">
        <f t="shared" si="6"/>
        <v>2019</v>
      </c>
      <c r="C228" s="18">
        <f t="shared" si="7"/>
        <v>3</v>
      </c>
      <c r="D228" s="3" t="s">
        <v>377</v>
      </c>
      <c r="E228" s="3" t="s">
        <v>39</v>
      </c>
      <c r="F228" s="3" t="s">
        <v>14</v>
      </c>
      <c r="G228" s="3" t="s">
        <v>24</v>
      </c>
      <c r="H228" s="3" t="s">
        <v>378</v>
      </c>
      <c r="I228" s="11">
        <v>39.991999999999997</v>
      </c>
      <c r="J228" s="18">
        <v>1</v>
      </c>
      <c r="K228" s="12">
        <v>7.4984999999999999</v>
      </c>
    </row>
    <row r="229" spans="1:11" x14ac:dyDescent="0.25">
      <c r="A229" s="4">
        <v>43534</v>
      </c>
      <c r="B229" s="19">
        <f t="shared" si="6"/>
        <v>2019</v>
      </c>
      <c r="C229" s="19">
        <f t="shared" si="7"/>
        <v>3</v>
      </c>
      <c r="D229" s="5" t="s">
        <v>379</v>
      </c>
      <c r="E229" s="5" t="s">
        <v>18</v>
      </c>
      <c r="F229" s="5" t="s">
        <v>19</v>
      </c>
      <c r="G229" s="5" t="s">
        <v>53</v>
      </c>
      <c r="H229" s="5" t="s">
        <v>380</v>
      </c>
      <c r="I229" s="13">
        <v>14.9</v>
      </c>
      <c r="J229" s="19">
        <v>5</v>
      </c>
      <c r="K229" s="14">
        <v>7.1520000000000001</v>
      </c>
    </row>
    <row r="230" spans="1:11" x14ac:dyDescent="0.25">
      <c r="A230" s="2">
        <v>43534</v>
      </c>
      <c r="B230" s="18">
        <f t="shared" si="6"/>
        <v>2019</v>
      </c>
      <c r="C230" s="18">
        <f t="shared" si="7"/>
        <v>3</v>
      </c>
      <c r="D230" s="3" t="s">
        <v>379</v>
      </c>
      <c r="E230" s="3" t="s">
        <v>18</v>
      </c>
      <c r="F230" s="3" t="s">
        <v>14</v>
      </c>
      <c r="G230" s="3" t="s">
        <v>15</v>
      </c>
      <c r="H230" s="3" t="s">
        <v>381</v>
      </c>
      <c r="I230" s="11">
        <v>4158.9120000000003</v>
      </c>
      <c r="J230" s="18">
        <v>8</v>
      </c>
      <c r="K230" s="12">
        <v>363.90480000000002</v>
      </c>
    </row>
    <row r="231" spans="1:11" x14ac:dyDescent="0.25">
      <c r="A231" s="4">
        <v>43534</v>
      </c>
      <c r="B231" s="19">
        <f t="shared" si="6"/>
        <v>2019</v>
      </c>
      <c r="C231" s="19">
        <f t="shared" si="7"/>
        <v>3</v>
      </c>
      <c r="D231" s="5" t="s">
        <v>382</v>
      </c>
      <c r="E231" s="5" t="s">
        <v>18</v>
      </c>
      <c r="F231" s="5" t="s">
        <v>14</v>
      </c>
      <c r="G231" s="5" t="s">
        <v>24</v>
      </c>
      <c r="H231" s="5" t="s">
        <v>383</v>
      </c>
      <c r="I231" s="13">
        <v>26.85</v>
      </c>
      <c r="J231" s="19">
        <v>3</v>
      </c>
      <c r="K231" s="14">
        <v>5.1014999999999997</v>
      </c>
    </row>
    <row r="232" spans="1:11" x14ac:dyDescent="0.25">
      <c r="A232" s="2">
        <v>43534</v>
      </c>
      <c r="B232" s="18">
        <f t="shared" si="6"/>
        <v>2019</v>
      </c>
      <c r="C232" s="18">
        <f t="shared" si="7"/>
        <v>3</v>
      </c>
      <c r="D232" s="3" t="s">
        <v>382</v>
      </c>
      <c r="E232" s="3" t="s">
        <v>18</v>
      </c>
      <c r="F232" s="3" t="s">
        <v>14</v>
      </c>
      <c r="G232" s="3" t="s">
        <v>188</v>
      </c>
      <c r="H232" s="3" t="s">
        <v>384</v>
      </c>
      <c r="I232" s="11">
        <v>3357.6</v>
      </c>
      <c r="J232" s="18">
        <v>3</v>
      </c>
      <c r="K232" s="12">
        <v>377.73</v>
      </c>
    </row>
    <row r="233" spans="1:11" x14ac:dyDescent="0.25">
      <c r="A233" s="4">
        <v>43534</v>
      </c>
      <c r="B233" s="19">
        <f t="shared" si="6"/>
        <v>2019</v>
      </c>
      <c r="C233" s="19">
        <f t="shared" si="7"/>
        <v>3</v>
      </c>
      <c r="D233" s="5" t="s">
        <v>385</v>
      </c>
      <c r="E233" s="5" t="s">
        <v>198</v>
      </c>
      <c r="F233" s="5" t="s">
        <v>19</v>
      </c>
      <c r="G233" s="5" t="s">
        <v>20</v>
      </c>
      <c r="H233" s="5" t="s">
        <v>386</v>
      </c>
      <c r="I233" s="13">
        <v>104.696</v>
      </c>
      <c r="J233" s="19">
        <v>1</v>
      </c>
      <c r="K233" s="14">
        <v>6.5434999999999999</v>
      </c>
    </row>
    <row r="234" spans="1:11" x14ac:dyDescent="0.25">
      <c r="A234" s="2">
        <v>43535</v>
      </c>
      <c r="B234" s="18">
        <f t="shared" si="6"/>
        <v>2019</v>
      </c>
      <c r="C234" s="18">
        <f t="shared" si="7"/>
        <v>3</v>
      </c>
      <c r="D234" s="3" t="s">
        <v>305</v>
      </c>
      <c r="E234" s="3" t="s">
        <v>387</v>
      </c>
      <c r="F234" s="3" t="s">
        <v>14</v>
      </c>
      <c r="G234" s="3" t="s">
        <v>24</v>
      </c>
      <c r="H234" s="3" t="s">
        <v>132</v>
      </c>
      <c r="I234" s="11">
        <v>45.98</v>
      </c>
      <c r="J234" s="18">
        <v>2</v>
      </c>
      <c r="K234" s="12">
        <v>19.7714</v>
      </c>
    </row>
    <row r="235" spans="1:11" x14ac:dyDescent="0.25">
      <c r="A235" s="4">
        <v>43535</v>
      </c>
      <c r="B235" s="19">
        <f t="shared" si="6"/>
        <v>2019</v>
      </c>
      <c r="C235" s="19">
        <f t="shared" si="7"/>
        <v>3</v>
      </c>
      <c r="D235" s="5" t="s">
        <v>305</v>
      </c>
      <c r="E235" s="5" t="s">
        <v>387</v>
      </c>
      <c r="F235" s="5" t="s">
        <v>19</v>
      </c>
      <c r="G235" s="5" t="s">
        <v>32</v>
      </c>
      <c r="H235" s="5" t="s">
        <v>388</v>
      </c>
      <c r="I235" s="13">
        <v>17.46</v>
      </c>
      <c r="J235" s="19">
        <v>2</v>
      </c>
      <c r="K235" s="14">
        <v>8.2062000000000008</v>
      </c>
    </row>
    <row r="236" spans="1:11" x14ac:dyDescent="0.25">
      <c r="A236" s="2">
        <v>43535</v>
      </c>
      <c r="B236" s="18">
        <f t="shared" si="6"/>
        <v>2019</v>
      </c>
      <c r="C236" s="18">
        <f t="shared" si="7"/>
        <v>3</v>
      </c>
      <c r="D236" s="3" t="s">
        <v>389</v>
      </c>
      <c r="E236" s="3" t="s">
        <v>85</v>
      </c>
      <c r="F236" s="3" t="s">
        <v>11</v>
      </c>
      <c r="G236" s="3" t="s">
        <v>30</v>
      </c>
      <c r="H236" s="3" t="s">
        <v>150</v>
      </c>
      <c r="I236" s="11">
        <v>244.006</v>
      </c>
      <c r="J236" s="18">
        <v>2</v>
      </c>
      <c r="K236" s="12">
        <v>-31.372199999999999</v>
      </c>
    </row>
    <row r="237" spans="1:11" x14ac:dyDescent="0.25">
      <c r="A237" s="4">
        <v>43535</v>
      </c>
      <c r="B237" s="19">
        <f t="shared" si="6"/>
        <v>2019</v>
      </c>
      <c r="C237" s="19">
        <f t="shared" si="7"/>
        <v>3</v>
      </c>
      <c r="D237" s="5" t="s">
        <v>390</v>
      </c>
      <c r="E237" s="5" t="s">
        <v>109</v>
      </c>
      <c r="F237" s="5" t="s">
        <v>11</v>
      </c>
      <c r="G237" s="5" t="s">
        <v>51</v>
      </c>
      <c r="H237" s="5" t="s">
        <v>52</v>
      </c>
      <c r="I237" s="13">
        <v>76.92</v>
      </c>
      <c r="J237" s="19">
        <v>4</v>
      </c>
      <c r="K237" s="14">
        <v>31.537199999999999</v>
      </c>
    </row>
    <row r="238" spans="1:11" x14ac:dyDescent="0.25">
      <c r="A238" s="2">
        <v>43535</v>
      </c>
      <c r="B238" s="18">
        <f t="shared" si="6"/>
        <v>2019</v>
      </c>
      <c r="C238" s="18">
        <f t="shared" si="7"/>
        <v>3</v>
      </c>
      <c r="D238" s="3" t="s">
        <v>390</v>
      </c>
      <c r="E238" s="3" t="s">
        <v>109</v>
      </c>
      <c r="F238" s="3" t="s">
        <v>19</v>
      </c>
      <c r="G238" s="3" t="s">
        <v>20</v>
      </c>
      <c r="H238" s="3" t="s">
        <v>141</v>
      </c>
      <c r="I238" s="11">
        <v>481.32</v>
      </c>
      <c r="J238" s="18">
        <v>4</v>
      </c>
      <c r="K238" s="12">
        <v>125.14319999999999</v>
      </c>
    </row>
    <row r="239" spans="1:11" x14ac:dyDescent="0.25">
      <c r="A239" s="4">
        <v>43535</v>
      </c>
      <c r="B239" s="19">
        <f t="shared" si="6"/>
        <v>2019</v>
      </c>
      <c r="C239" s="19">
        <f t="shared" si="7"/>
        <v>3</v>
      </c>
      <c r="D239" s="5" t="s">
        <v>391</v>
      </c>
      <c r="E239" s="5" t="s">
        <v>39</v>
      </c>
      <c r="F239" s="5" t="s">
        <v>11</v>
      </c>
      <c r="G239" s="5" t="s">
        <v>51</v>
      </c>
      <c r="H239" s="5" t="s">
        <v>392</v>
      </c>
      <c r="I239" s="13">
        <v>30.335999999999999</v>
      </c>
      <c r="J239" s="19">
        <v>4</v>
      </c>
      <c r="K239" s="14">
        <v>9.48</v>
      </c>
    </row>
    <row r="240" spans="1:11" x14ac:dyDescent="0.25">
      <c r="A240" s="2">
        <v>43536</v>
      </c>
      <c r="B240" s="18">
        <f t="shared" si="6"/>
        <v>2019</v>
      </c>
      <c r="C240" s="18">
        <f t="shared" si="7"/>
        <v>3</v>
      </c>
      <c r="D240" s="3" t="s">
        <v>393</v>
      </c>
      <c r="E240" s="3" t="s">
        <v>394</v>
      </c>
      <c r="F240" s="3" t="s">
        <v>19</v>
      </c>
      <c r="G240" s="3" t="s">
        <v>53</v>
      </c>
      <c r="H240" s="3" t="s">
        <v>125</v>
      </c>
      <c r="I240" s="11">
        <v>12.96</v>
      </c>
      <c r="J240" s="18">
        <v>2</v>
      </c>
      <c r="K240" s="12">
        <v>6.2207999999999997</v>
      </c>
    </row>
    <row r="241" spans="1:11" x14ac:dyDescent="0.25">
      <c r="A241" s="4">
        <v>43536</v>
      </c>
      <c r="B241" s="19">
        <f t="shared" si="6"/>
        <v>2019</v>
      </c>
      <c r="C241" s="19">
        <f t="shared" si="7"/>
        <v>3</v>
      </c>
      <c r="D241" s="5" t="s">
        <v>395</v>
      </c>
      <c r="E241" s="5" t="s">
        <v>94</v>
      </c>
      <c r="F241" s="5" t="s">
        <v>19</v>
      </c>
      <c r="G241" s="5" t="s">
        <v>86</v>
      </c>
      <c r="H241" s="5" t="s">
        <v>176</v>
      </c>
      <c r="I241" s="13">
        <v>29.34</v>
      </c>
      <c r="J241" s="19">
        <v>3</v>
      </c>
      <c r="K241" s="14">
        <v>13.4964</v>
      </c>
    </row>
    <row r="242" spans="1:11" x14ac:dyDescent="0.25">
      <c r="A242" s="2">
        <v>43536</v>
      </c>
      <c r="B242" s="18">
        <f t="shared" si="6"/>
        <v>2019</v>
      </c>
      <c r="C242" s="18">
        <f t="shared" si="7"/>
        <v>3</v>
      </c>
      <c r="D242" s="3" t="s">
        <v>396</v>
      </c>
      <c r="E242" s="3" t="s">
        <v>18</v>
      </c>
      <c r="F242" s="3" t="s">
        <v>19</v>
      </c>
      <c r="G242" s="3" t="s">
        <v>20</v>
      </c>
      <c r="H242" s="3" t="s">
        <v>397</v>
      </c>
      <c r="I242" s="11">
        <v>676.55</v>
      </c>
      <c r="J242" s="18">
        <v>5</v>
      </c>
      <c r="K242" s="12">
        <v>6.7655000000000003</v>
      </c>
    </row>
    <row r="243" spans="1:11" x14ac:dyDescent="0.25">
      <c r="A243" s="4">
        <v>43536</v>
      </c>
      <c r="B243" s="19">
        <f t="shared" si="6"/>
        <v>2019</v>
      </c>
      <c r="C243" s="19">
        <f t="shared" si="7"/>
        <v>3</v>
      </c>
      <c r="D243" s="5" t="s">
        <v>396</v>
      </c>
      <c r="E243" s="5" t="s">
        <v>18</v>
      </c>
      <c r="F243" s="5" t="s">
        <v>19</v>
      </c>
      <c r="G243" s="5" t="s">
        <v>121</v>
      </c>
      <c r="H243" s="5" t="s">
        <v>398</v>
      </c>
      <c r="I243" s="13">
        <v>154.9</v>
      </c>
      <c r="J243" s="19">
        <v>5</v>
      </c>
      <c r="K243" s="14">
        <v>40.274000000000001</v>
      </c>
    </row>
    <row r="244" spans="1:11" x14ac:dyDescent="0.25">
      <c r="A244" s="2">
        <v>43536</v>
      </c>
      <c r="B244" s="18">
        <f t="shared" si="6"/>
        <v>2019</v>
      </c>
      <c r="C244" s="18">
        <f t="shared" si="7"/>
        <v>3</v>
      </c>
      <c r="D244" s="3" t="s">
        <v>396</v>
      </c>
      <c r="E244" s="3" t="s">
        <v>18</v>
      </c>
      <c r="F244" s="3" t="s">
        <v>19</v>
      </c>
      <c r="G244" s="3" t="s">
        <v>86</v>
      </c>
      <c r="H244" s="3" t="s">
        <v>399</v>
      </c>
      <c r="I244" s="11">
        <v>30.56</v>
      </c>
      <c r="J244" s="18">
        <v>4</v>
      </c>
      <c r="K244" s="12">
        <v>14.974399999999999</v>
      </c>
    </row>
    <row r="245" spans="1:11" x14ac:dyDescent="0.25">
      <c r="A245" s="4">
        <v>43536</v>
      </c>
      <c r="B245" s="19">
        <f t="shared" si="6"/>
        <v>2019</v>
      </c>
      <c r="C245" s="19">
        <f t="shared" si="7"/>
        <v>3</v>
      </c>
      <c r="D245" s="5" t="s">
        <v>396</v>
      </c>
      <c r="E245" s="5" t="s">
        <v>18</v>
      </c>
      <c r="F245" s="5" t="s">
        <v>11</v>
      </c>
      <c r="G245" s="5" t="s">
        <v>112</v>
      </c>
      <c r="H245" s="5" t="s">
        <v>400</v>
      </c>
      <c r="I245" s="13">
        <v>770.35199999999998</v>
      </c>
      <c r="J245" s="19">
        <v>3</v>
      </c>
      <c r="K245" s="14">
        <v>77.035200000000003</v>
      </c>
    </row>
    <row r="246" spans="1:11" x14ac:dyDescent="0.25">
      <c r="A246" s="2">
        <v>43536</v>
      </c>
      <c r="B246" s="18">
        <f t="shared" si="6"/>
        <v>2019</v>
      </c>
      <c r="C246" s="18">
        <f t="shared" si="7"/>
        <v>3</v>
      </c>
      <c r="D246" s="3" t="s">
        <v>401</v>
      </c>
      <c r="E246" s="3" t="s">
        <v>18</v>
      </c>
      <c r="F246" s="3" t="s">
        <v>19</v>
      </c>
      <c r="G246" s="3" t="s">
        <v>53</v>
      </c>
      <c r="H246" s="3" t="s">
        <v>402</v>
      </c>
      <c r="I246" s="11">
        <v>19.98</v>
      </c>
      <c r="J246" s="18">
        <v>2</v>
      </c>
      <c r="K246" s="12">
        <v>8.9909999999999997</v>
      </c>
    </row>
    <row r="247" spans="1:11" x14ac:dyDescent="0.25">
      <c r="A247" s="4">
        <v>43537</v>
      </c>
      <c r="B247" s="19">
        <f t="shared" si="6"/>
        <v>2019</v>
      </c>
      <c r="C247" s="19">
        <f t="shared" si="7"/>
        <v>3</v>
      </c>
      <c r="D247" s="5" t="s">
        <v>403</v>
      </c>
      <c r="E247" s="5" t="s">
        <v>198</v>
      </c>
      <c r="F247" s="5" t="s">
        <v>19</v>
      </c>
      <c r="G247" s="5" t="s">
        <v>121</v>
      </c>
      <c r="H247" s="5" t="s">
        <v>404</v>
      </c>
      <c r="I247" s="13">
        <v>157.91999999999999</v>
      </c>
      <c r="J247" s="19">
        <v>5</v>
      </c>
      <c r="K247" s="14">
        <v>17.765999999999998</v>
      </c>
    </row>
    <row r="248" spans="1:11" x14ac:dyDescent="0.25">
      <c r="A248" s="2">
        <v>43537</v>
      </c>
      <c r="B248" s="18">
        <f t="shared" si="6"/>
        <v>2019</v>
      </c>
      <c r="C248" s="18">
        <f t="shared" si="7"/>
        <v>3</v>
      </c>
      <c r="D248" s="3" t="s">
        <v>403</v>
      </c>
      <c r="E248" s="3" t="s">
        <v>198</v>
      </c>
      <c r="F248" s="3" t="s">
        <v>14</v>
      </c>
      <c r="G248" s="3" t="s">
        <v>15</v>
      </c>
      <c r="H248" s="3" t="s">
        <v>405</v>
      </c>
      <c r="I248" s="11">
        <v>203.184</v>
      </c>
      <c r="J248" s="18">
        <v>2</v>
      </c>
      <c r="K248" s="12">
        <v>15.238799999999999</v>
      </c>
    </row>
    <row r="249" spans="1:11" x14ac:dyDescent="0.25">
      <c r="A249" s="4">
        <v>43537</v>
      </c>
      <c r="B249" s="19">
        <f t="shared" si="6"/>
        <v>2019</v>
      </c>
      <c r="C249" s="19">
        <f t="shared" si="7"/>
        <v>3</v>
      </c>
      <c r="D249" s="5" t="s">
        <v>406</v>
      </c>
      <c r="E249" s="5" t="s">
        <v>23</v>
      </c>
      <c r="F249" s="5" t="s">
        <v>19</v>
      </c>
      <c r="G249" s="5" t="s">
        <v>53</v>
      </c>
      <c r="H249" s="5" t="s">
        <v>407</v>
      </c>
      <c r="I249" s="13">
        <v>70.08</v>
      </c>
      <c r="J249" s="19">
        <v>5</v>
      </c>
      <c r="K249" s="14">
        <v>24.527999999999999</v>
      </c>
    </row>
    <row r="250" spans="1:11" x14ac:dyDescent="0.25">
      <c r="A250" s="2">
        <v>43537</v>
      </c>
      <c r="B250" s="18">
        <f t="shared" si="6"/>
        <v>2019</v>
      </c>
      <c r="C250" s="18">
        <f t="shared" si="7"/>
        <v>3</v>
      </c>
      <c r="D250" s="3" t="s">
        <v>406</v>
      </c>
      <c r="E250" s="3" t="s">
        <v>23</v>
      </c>
      <c r="F250" s="3" t="s">
        <v>19</v>
      </c>
      <c r="G250" s="3" t="s">
        <v>32</v>
      </c>
      <c r="H250" s="3" t="s">
        <v>408</v>
      </c>
      <c r="I250" s="11">
        <v>1.272</v>
      </c>
      <c r="J250" s="18">
        <v>2</v>
      </c>
      <c r="K250" s="12">
        <v>-2.1623999999999999</v>
      </c>
    </row>
    <row r="251" spans="1:11" x14ac:dyDescent="0.25">
      <c r="A251" s="4">
        <v>43537</v>
      </c>
      <c r="B251" s="19">
        <f t="shared" si="6"/>
        <v>2019</v>
      </c>
      <c r="C251" s="19">
        <f t="shared" si="7"/>
        <v>3</v>
      </c>
      <c r="D251" s="5" t="s">
        <v>406</v>
      </c>
      <c r="E251" s="5" t="s">
        <v>23</v>
      </c>
      <c r="F251" s="5" t="s">
        <v>11</v>
      </c>
      <c r="G251" s="5" t="s">
        <v>30</v>
      </c>
      <c r="H251" s="5" t="s">
        <v>409</v>
      </c>
      <c r="I251" s="13">
        <v>557.58500000000004</v>
      </c>
      <c r="J251" s="19">
        <v>5</v>
      </c>
      <c r="K251" s="14">
        <v>0</v>
      </c>
    </row>
    <row r="252" spans="1:11" x14ac:dyDescent="0.25">
      <c r="A252" s="2">
        <v>43537</v>
      </c>
      <c r="B252" s="18">
        <f t="shared" si="6"/>
        <v>2019</v>
      </c>
      <c r="C252" s="18">
        <f t="shared" si="7"/>
        <v>3</v>
      </c>
      <c r="D252" s="3" t="s">
        <v>410</v>
      </c>
      <c r="E252" s="3" t="s">
        <v>181</v>
      </c>
      <c r="F252" s="3" t="s">
        <v>11</v>
      </c>
      <c r="G252" s="3" t="s">
        <v>51</v>
      </c>
      <c r="H252" s="3" t="s">
        <v>411</v>
      </c>
      <c r="I252" s="11">
        <v>127.88</v>
      </c>
      <c r="J252" s="18">
        <v>2</v>
      </c>
      <c r="K252" s="12">
        <v>40.921599999999998</v>
      </c>
    </row>
    <row r="253" spans="1:11" x14ac:dyDescent="0.25">
      <c r="A253" s="4">
        <v>43537</v>
      </c>
      <c r="B253" s="19">
        <f t="shared" si="6"/>
        <v>2019</v>
      </c>
      <c r="C253" s="19">
        <f t="shared" si="7"/>
        <v>3</v>
      </c>
      <c r="D253" s="5" t="s">
        <v>410</v>
      </c>
      <c r="E253" s="5" t="s">
        <v>181</v>
      </c>
      <c r="F253" s="5" t="s">
        <v>19</v>
      </c>
      <c r="G253" s="5" t="s">
        <v>121</v>
      </c>
      <c r="H253" s="5" t="s">
        <v>412</v>
      </c>
      <c r="I253" s="13">
        <v>160.32</v>
      </c>
      <c r="J253" s="19">
        <v>2</v>
      </c>
      <c r="K253" s="14">
        <v>44.889600000000002</v>
      </c>
    </row>
    <row r="254" spans="1:11" x14ac:dyDescent="0.25">
      <c r="A254" s="2">
        <v>43537</v>
      </c>
      <c r="B254" s="18">
        <f t="shared" si="6"/>
        <v>2019</v>
      </c>
      <c r="C254" s="18">
        <f t="shared" si="7"/>
        <v>3</v>
      </c>
      <c r="D254" s="3" t="s">
        <v>410</v>
      </c>
      <c r="E254" s="3" t="s">
        <v>181</v>
      </c>
      <c r="F254" s="3" t="s">
        <v>19</v>
      </c>
      <c r="G254" s="3" t="s">
        <v>32</v>
      </c>
      <c r="H254" s="3" t="s">
        <v>413</v>
      </c>
      <c r="I254" s="11">
        <v>46</v>
      </c>
      <c r="J254" s="18">
        <v>4</v>
      </c>
      <c r="K254" s="12">
        <v>20.7</v>
      </c>
    </row>
    <row r="255" spans="1:11" x14ac:dyDescent="0.25">
      <c r="A255" s="4">
        <v>43537</v>
      </c>
      <c r="B255" s="19">
        <f t="shared" si="6"/>
        <v>2019</v>
      </c>
      <c r="C255" s="19">
        <f t="shared" si="7"/>
        <v>3</v>
      </c>
      <c r="D255" s="5" t="s">
        <v>414</v>
      </c>
      <c r="E255" s="5" t="s">
        <v>18</v>
      </c>
      <c r="F255" s="5" t="s">
        <v>11</v>
      </c>
      <c r="G255" s="5" t="s">
        <v>51</v>
      </c>
      <c r="H255" s="5" t="s">
        <v>415</v>
      </c>
      <c r="I255" s="13">
        <v>28.28</v>
      </c>
      <c r="J255" s="19">
        <v>2</v>
      </c>
      <c r="K255" s="14">
        <v>7.3528000000000002</v>
      </c>
    </row>
    <row r="256" spans="1:11" x14ac:dyDescent="0.25">
      <c r="A256" s="2">
        <v>43537</v>
      </c>
      <c r="B256" s="18">
        <f t="shared" si="6"/>
        <v>2019</v>
      </c>
      <c r="C256" s="18">
        <f t="shared" si="7"/>
        <v>3</v>
      </c>
      <c r="D256" s="3" t="s">
        <v>414</v>
      </c>
      <c r="E256" s="3" t="s">
        <v>18</v>
      </c>
      <c r="F256" s="3" t="s">
        <v>19</v>
      </c>
      <c r="G256" s="3" t="s">
        <v>265</v>
      </c>
      <c r="H256" s="3" t="s">
        <v>327</v>
      </c>
      <c r="I256" s="11">
        <v>4912.59</v>
      </c>
      <c r="J256" s="18">
        <v>3</v>
      </c>
      <c r="K256" s="12">
        <v>196.50360000000001</v>
      </c>
    </row>
    <row r="257" spans="1:11" x14ac:dyDescent="0.25">
      <c r="A257" s="4">
        <v>43537</v>
      </c>
      <c r="B257" s="19">
        <f t="shared" si="6"/>
        <v>2019</v>
      </c>
      <c r="C257" s="19">
        <f t="shared" si="7"/>
        <v>3</v>
      </c>
      <c r="D257" s="5" t="s">
        <v>416</v>
      </c>
      <c r="E257" s="5" t="s">
        <v>39</v>
      </c>
      <c r="F257" s="5" t="s">
        <v>11</v>
      </c>
      <c r="G257" s="5" t="s">
        <v>112</v>
      </c>
      <c r="H257" s="5" t="s">
        <v>417</v>
      </c>
      <c r="I257" s="13">
        <v>386.68</v>
      </c>
      <c r="J257" s="19">
        <v>2</v>
      </c>
      <c r="K257" s="14">
        <v>-5.524</v>
      </c>
    </row>
    <row r="258" spans="1:11" x14ac:dyDescent="0.25">
      <c r="A258" s="2">
        <v>43537</v>
      </c>
      <c r="B258" s="18">
        <f t="shared" ref="B258:B321" si="8">YEAR(A258)</f>
        <v>2019</v>
      </c>
      <c r="C258" s="18">
        <f t="shared" ref="C258:C321" si="9">MONTH(A258)</f>
        <v>3</v>
      </c>
      <c r="D258" s="3" t="s">
        <v>416</v>
      </c>
      <c r="E258" s="3" t="s">
        <v>39</v>
      </c>
      <c r="F258" s="3" t="s">
        <v>14</v>
      </c>
      <c r="G258" s="3" t="s">
        <v>24</v>
      </c>
      <c r="H258" s="3" t="s">
        <v>418</v>
      </c>
      <c r="I258" s="11">
        <v>379.96</v>
      </c>
      <c r="J258" s="18">
        <v>5</v>
      </c>
      <c r="K258" s="12">
        <v>47.494999999999997</v>
      </c>
    </row>
    <row r="259" spans="1:11" x14ac:dyDescent="0.25">
      <c r="A259" s="4">
        <v>43537</v>
      </c>
      <c r="B259" s="19">
        <f t="shared" si="8"/>
        <v>2019</v>
      </c>
      <c r="C259" s="19">
        <f t="shared" si="9"/>
        <v>3</v>
      </c>
      <c r="D259" s="5" t="s">
        <v>416</v>
      </c>
      <c r="E259" s="5" t="s">
        <v>39</v>
      </c>
      <c r="F259" s="5" t="s">
        <v>14</v>
      </c>
      <c r="G259" s="5" t="s">
        <v>15</v>
      </c>
      <c r="H259" s="5" t="s">
        <v>419</v>
      </c>
      <c r="I259" s="13">
        <v>539.91</v>
      </c>
      <c r="J259" s="19">
        <v>3</v>
      </c>
      <c r="K259" s="14">
        <v>-116.98050000000001</v>
      </c>
    </row>
    <row r="260" spans="1:11" x14ac:dyDescent="0.25">
      <c r="A260" s="2">
        <v>43537</v>
      </c>
      <c r="B260" s="18">
        <f t="shared" si="8"/>
        <v>2019</v>
      </c>
      <c r="C260" s="18">
        <f t="shared" si="9"/>
        <v>3</v>
      </c>
      <c r="D260" s="3" t="s">
        <v>416</v>
      </c>
      <c r="E260" s="3" t="s">
        <v>39</v>
      </c>
      <c r="F260" s="3" t="s">
        <v>19</v>
      </c>
      <c r="G260" s="3" t="s">
        <v>53</v>
      </c>
      <c r="H260" s="3" t="s">
        <v>269</v>
      </c>
      <c r="I260" s="11">
        <v>41.24</v>
      </c>
      <c r="J260" s="18">
        <v>5</v>
      </c>
      <c r="K260" s="12">
        <v>13.9185</v>
      </c>
    </row>
    <row r="261" spans="1:11" x14ac:dyDescent="0.25">
      <c r="A261" s="4">
        <v>43537</v>
      </c>
      <c r="B261" s="19">
        <f t="shared" si="8"/>
        <v>2019</v>
      </c>
      <c r="C261" s="19">
        <f t="shared" si="9"/>
        <v>3</v>
      </c>
      <c r="D261" s="5" t="s">
        <v>416</v>
      </c>
      <c r="E261" s="5" t="s">
        <v>39</v>
      </c>
      <c r="F261" s="5" t="s">
        <v>19</v>
      </c>
      <c r="G261" s="5" t="s">
        <v>32</v>
      </c>
      <c r="H261" s="5" t="s">
        <v>420</v>
      </c>
      <c r="I261" s="13">
        <v>51.896999999999998</v>
      </c>
      <c r="J261" s="19">
        <v>1</v>
      </c>
      <c r="K261" s="14">
        <v>-41.517600000000002</v>
      </c>
    </row>
    <row r="262" spans="1:11" x14ac:dyDescent="0.25">
      <c r="A262" s="2">
        <v>43537</v>
      </c>
      <c r="B262" s="18">
        <f t="shared" si="8"/>
        <v>2019</v>
      </c>
      <c r="C262" s="18">
        <f t="shared" si="9"/>
        <v>3</v>
      </c>
      <c r="D262" s="3" t="s">
        <v>416</v>
      </c>
      <c r="E262" s="3" t="s">
        <v>39</v>
      </c>
      <c r="F262" s="3" t="s">
        <v>19</v>
      </c>
      <c r="G262" s="3" t="s">
        <v>20</v>
      </c>
      <c r="H262" s="3" t="s">
        <v>421</v>
      </c>
      <c r="I262" s="11">
        <v>552.55999999999995</v>
      </c>
      <c r="J262" s="18">
        <v>5</v>
      </c>
      <c r="K262" s="12">
        <v>-138.13999999999999</v>
      </c>
    </row>
    <row r="263" spans="1:11" x14ac:dyDescent="0.25">
      <c r="A263" s="4">
        <v>43537</v>
      </c>
      <c r="B263" s="19">
        <f t="shared" si="8"/>
        <v>2019</v>
      </c>
      <c r="C263" s="19">
        <f t="shared" si="9"/>
        <v>3</v>
      </c>
      <c r="D263" s="5" t="s">
        <v>416</v>
      </c>
      <c r="E263" s="5" t="s">
        <v>39</v>
      </c>
      <c r="F263" s="5" t="s">
        <v>19</v>
      </c>
      <c r="G263" s="5" t="s">
        <v>32</v>
      </c>
      <c r="H263" s="5" t="s">
        <v>422</v>
      </c>
      <c r="I263" s="13">
        <v>23.16</v>
      </c>
      <c r="J263" s="19">
        <v>5</v>
      </c>
      <c r="K263" s="14">
        <v>-15.44</v>
      </c>
    </row>
    <row r="264" spans="1:11" x14ac:dyDescent="0.25">
      <c r="A264" s="2">
        <v>43537</v>
      </c>
      <c r="B264" s="18">
        <f t="shared" si="8"/>
        <v>2019</v>
      </c>
      <c r="C264" s="18">
        <f t="shared" si="9"/>
        <v>3</v>
      </c>
      <c r="D264" s="3" t="s">
        <v>416</v>
      </c>
      <c r="E264" s="3" t="s">
        <v>39</v>
      </c>
      <c r="F264" s="3" t="s">
        <v>19</v>
      </c>
      <c r="G264" s="3" t="s">
        <v>20</v>
      </c>
      <c r="H264" s="3" t="s">
        <v>423</v>
      </c>
      <c r="I264" s="11">
        <v>126.08</v>
      </c>
      <c r="J264" s="18">
        <v>2</v>
      </c>
      <c r="K264" s="12">
        <v>-28.367999999999999</v>
      </c>
    </row>
    <row r="265" spans="1:11" x14ac:dyDescent="0.25">
      <c r="A265" s="4">
        <v>43537</v>
      </c>
      <c r="B265" s="19">
        <f t="shared" si="8"/>
        <v>2019</v>
      </c>
      <c r="C265" s="19">
        <f t="shared" si="9"/>
        <v>3</v>
      </c>
      <c r="D265" s="5" t="s">
        <v>416</v>
      </c>
      <c r="E265" s="5" t="s">
        <v>39</v>
      </c>
      <c r="F265" s="5" t="s">
        <v>14</v>
      </c>
      <c r="G265" s="5" t="s">
        <v>188</v>
      </c>
      <c r="H265" s="5" t="s">
        <v>424</v>
      </c>
      <c r="I265" s="13">
        <v>449.1</v>
      </c>
      <c r="J265" s="19">
        <v>3</v>
      </c>
      <c r="K265" s="14">
        <v>-643.71</v>
      </c>
    </row>
    <row r="266" spans="1:11" x14ac:dyDescent="0.25">
      <c r="A266" s="2">
        <v>43537</v>
      </c>
      <c r="B266" s="18">
        <f t="shared" si="8"/>
        <v>2019</v>
      </c>
      <c r="C266" s="18">
        <f t="shared" si="9"/>
        <v>3</v>
      </c>
      <c r="D266" s="3" t="s">
        <v>425</v>
      </c>
      <c r="E266" s="3" t="s">
        <v>18</v>
      </c>
      <c r="F266" s="3" t="s">
        <v>19</v>
      </c>
      <c r="G266" s="3" t="s">
        <v>32</v>
      </c>
      <c r="H266" s="3" t="s">
        <v>426</v>
      </c>
      <c r="I266" s="11">
        <v>51.183999999999997</v>
      </c>
      <c r="J266" s="18">
        <v>7</v>
      </c>
      <c r="K266" s="12">
        <v>19.193999999999999</v>
      </c>
    </row>
    <row r="267" spans="1:11" x14ac:dyDescent="0.25">
      <c r="A267" s="4">
        <v>43538</v>
      </c>
      <c r="B267" s="19">
        <f t="shared" si="8"/>
        <v>2019</v>
      </c>
      <c r="C267" s="19">
        <f t="shared" si="9"/>
        <v>3</v>
      </c>
      <c r="D267" s="5" t="s">
        <v>427</v>
      </c>
      <c r="E267" s="5" t="s">
        <v>67</v>
      </c>
      <c r="F267" s="5" t="s">
        <v>11</v>
      </c>
      <c r="G267" s="5" t="s">
        <v>51</v>
      </c>
      <c r="H267" s="5" t="s">
        <v>428</v>
      </c>
      <c r="I267" s="13">
        <v>21.88</v>
      </c>
      <c r="J267" s="19">
        <v>5</v>
      </c>
      <c r="K267" s="14">
        <v>6.2904999999999998</v>
      </c>
    </row>
    <row r="268" spans="1:11" x14ac:dyDescent="0.25">
      <c r="A268" s="2">
        <v>43538</v>
      </c>
      <c r="B268" s="18">
        <f t="shared" si="8"/>
        <v>2019</v>
      </c>
      <c r="C268" s="18">
        <f t="shared" si="9"/>
        <v>3</v>
      </c>
      <c r="D268" s="3" t="s">
        <v>235</v>
      </c>
      <c r="E268" s="3" t="s">
        <v>23</v>
      </c>
      <c r="F268" s="3" t="s">
        <v>11</v>
      </c>
      <c r="G268" s="3" t="s">
        <v>12</v>
      </c>
      <c r="H268" s="3" t="s">
        <v>429</v>
      </c>
      <c r="I268" s="11">
        <v>241.33199999999999</v>
      </c>
      <c r="J268" s="18">
        <v>5</v>
      </c>
      <c r="K268" s="12">
        <v>-14.196</v>
      </c>
    </row>
    <row r="269" spans="1:11" x14ac:dyDescent="0.25">
      <c r="A269" s="4">
        <v>43538</v>
      </c>
      <c r="B269" s="19">
        <f t="shared" si="8"/>
        <v>2019</v>
      </c>
      <c r="C269" s="19">
        <f t="shared" si="9"/>
        <v>3</v>
      </c>
      <c r="D269" s="5" t="s">
        <v>235</v>
      </c>
      <c r="E269" s="5" t="s">
        <v>23</v>
      </c>
      <c r="F269" s="5" t="s">
        <v>19</v>
      </c>
      <c r="G269" s="5" t="s">
        <v>53</v>
      </c>
      <c r="H269" s="5" t="s">
        <v>358</v>
      </c>
      <c r="I269" s="13">
        <v>5.1840000000000002</v>
      </c>
      <c r="J269" s="19">
        <v>1</v>
      </c>
      <c r="K269" s="14">
        <v>1.8792</v>
      </c>
    </row>
    <row r="270" spans="1:11" x14ac:dyDescent="0.25">
      <c r="A270" s="2">
        <v>43538</v>
      </c>
      <c r="B270" s="18">
        <f t="shared" si="8"/>
        <v>2019</v>
      </c>
      <c r="C270" s="18">
        <f t="shared" si="9"/>
        <v>3</v>
      </c>
      <c r="D270" s="3" t="s">
        <v>235</v>
      </c>
      <c r="E270" s="3" t="s">
        <v>23</v>
      </c>
      <c r="F270" s="3" t="s">
        <v>19</v>
      </c>
      <c r="G270" s="3" t="s">
        <v>40</v>
      </c>
      <c r="H270" s="3" t="s">
        <v>430</v>
      </c>
      <c r="I270" s="11">
        <v>145.54400000000001</v>
      </c>
      <c r="J270" s="18">
        <v>7</v>
      </c>
      <c r="K270" s="12">
        <v>16.373699999999999</v>
      </c>
    </row>
    <row r="271" spans="1:11" x14ac:dyDescent="0.25">
      <c r="A271" s="4">
        <v>43538</v>
      </c>
      <c r="B271" s="19">
        <f t="shared" si="8"/>
        <v>2019</v>
      </c>
      <c r="C271" s="19">
        <f t="shared" si="9"/>
        <v>3</v>
      </c>
      <c r="D271" s="5" t="s">
        <v>431</v>
      </c>
      <c r="E271" s="5" t="s">
        <v>70</v>
      </c>
      <c r="F271" s="5" t="s">
        <v>11</v>
      </c>
      <c r="G271" s="5" t="s">
        <v>112</v>
      </c>
      <c r="H271" s="5" t="s">
        <v>432</v>
      </c>
      <c r="I271" s="13">
        <v>196.78399999999999</v>
      </c>
      <c r="J271" s="19">
        <v>2</v>
      </c>
      <c r="K271" s="14">
        <v>-22.138200000000001</v>
      </c>
    </row>
    <row r="272" spans="1:11" x14ac:dyDescent="0.25">
      <c r="A272" s="2">
        <v>43538</v>
      </c>
      <c r="B272" s="18">
        <f t="shared" si="8"/>
        <v>2019</v>
      </c>
      <c r="C272" s="18">
        <f t="shared" si="9"/>
        <v>3</v>
      </c>
      <c r="D272" s="3" t="s">
        <v>364</v>
      </c>
      <c r="E272" s="3" t="s">
        <v>18</v>
      </c>
      <c r="F272" s="3" t="s">
        <v>19</v>
      </c>
      <c r="G272" s="3" t="s">
        <v>32</v>
      </c>
      <c r="H272" s="3" t="s">
        <v>388</v>
      </c>
      <c r="I272" s="11">
        <v>41.904000000000003</v>
      </c>
      <c r="J272" s="18">
        <v>6</v>
      </c>
      <c r="K272" s="12">
        <v>14.1426</v>
      </c>
    </row>
    <row r="273" spans="1:11" x14ac:dyDescent="0.25">
      <c r="A273" s="4">
        <v>43538</v>
      </c>
      <c r="B273" s="19">
        <f t="shared" si="8"/>
        <v>2019</v>
      </c>
      <c r="C273" s="19">
        <f t="shared" si="9"/>
        <v>3</v>
      </c>
      <c r="D273" s="5" t="s">
        <v>433</v>
      </c>
      <c r="E273" s="5" t="s">
        <v>56</v>
      </c>
      <c r="F273" s="5" t="s">
        <v>11</v>
      </c>
      <c r="G273" s="5" t="s">
        <v>51</v>
      </c>
      <c r="H273" s="5" t="s">
        <v>434</v>
      </c>
      <c r="I273" s="13">
        <v>16.739999999999998</v>
      </c>
      <c r="J273" s="19">
        <v>2</v>
      </c>
      <c r="K273" s="14">
        <v>4.3524000000000003</v>
      </c>
    </row>
    <row r="274" spans="1:11" x14ac:dyDescent="0.25">
      <c r="A274" s="2">
        <v>43539</v>
      </c>
      <c r="B274" s="18">
        <f t="shared" si="8"/>
        <v>2019</v>
      </c>
      <c r="C274" s="18">
        <f t="shared" si="9"/>
        <v>3</v>
      </c>
      <c r="D274" s="3" t="s">
        <v>435</v>
      </c>
      <c r="E274" s="3" t="s">
        <v>39</v>
      </c>
      <c r="F274" s="3" t="s">
        <v>14</v>
      </c>
      <c r="G274" s="3" t="s">
        <v>24</v>
      </c>
      <c r="H274" s="3" t="s">
        <v>436</v>
      </c>
      <c r="I274" s="11">
        <v>83.975999999999999</v>
      </c>
      <c r="J274" s="18">
        <v>3</v>
      </c>
      <c r="K274" s="12">
        <v>-13.646100000000001</v>
      </c>
    </row>
    <row r="275" spans="1:11" x14ac:dyDescent="0.25">
      <c r="A275" s="4">
        <v>43539</v>
      </c>
      <c r="B275" s="19">
        <f t="shared" si="8"/>
        <v>2019</v>
      </c>
      <c r="C275" s="19">
        <f t="shared" si="9"/>
        <v>3</v>
      </c>
      <c r="D275" s="5" t="s">
        <v>437</v>
      </c>
      <c r="E275" s="5" t="s">
        <v>18</v>
      </c>
      <c r="F275" s="5" t="s">
        <v>19</v>
      </c>
      <c r="G275" s="5" t="s">
        <v>32</v>
      </c>
      <c r="H275" s="5" t="s">
        <v>438</v>
      </c>
      <c r="I275" s="13">
        <v>4.5439999999999996</v>
      </c>
      <c r="J275" s="19">
        <v>2</v>
      </c>
      <c r="K275" s="14">
        <v>1.6472</v>
      </c>
    </row>
    <row r="276" spans="1:11" x14ac:dyDescent="0.25">
      <c r="A276" s="2">
        <v>43539</v>
      </c>
      <c r="B276" s="18">
        <f t="shared" si="8"/>
        <v>2019</v>
      </c>
      <c r="C276" s="18">
        <f t="shared" si="9"/>
        <v>3</v>
      </c>
      <c r="D276" s="3" t="s">
        <v>437</v>
      </c>
      <c r="E276" s="3" t="s">
        <v>18</v>
      </c>
      <c r="F276" s="3" t="s">
        <v>11</v>
      </c>
      <c r="G276" s="3" t="s">
        <v>112</v>
      </c>
      <c r="H276" s="3" t="s">
        <v>439</v>
      </c>
      <c r="I276" s="11">
        <v>1352.0319999999999</v>
      </c>
      <c r="J276" s="18">
        <v>4</v>
      </c>
      <c r="K276" s="12">
        <v>84.501999999999995</v>
      </c>
    </row>
    <row r="277" spans="1:11" x14ac:dyDescent="0.25">
      <c r="A277" s="4">
        <v>43539</v>
      </c>
      <c r="B277" s="19">
        <f t="shared" si="8"/>
        <v>2019</v>
      </c>
      <c r="C277" s="19">
        <f t="shared" si="9"/>
        <v>3</v>
      </c>
      <c r="D277" s="5" t="s">
        <v>360</v>
      </c>
      <c r="E277" s="5" t="s">
        <v>143</v>
      </c>
      <c r="F277" s="5" t="s">
        <v>19</v>
      </c>
      <c r="G277" s="5" t="s">
        <v>53</v>
      </c>
      <c r="H277" s="5" t="s">
        <v>440</v>
      </c>
      <c r="I277" s="13">
        <v>319.76</v>
      </c>
      <c r="J277" s="19">
        <v>14</v>
      </c>
      <c r="K277" s="14">
        <v>147.08959999999999</v>
      </c>
    </row>
    <row r="278" spans="1:11" x14ac:dyDescent="0.25">
      <c r="A278" s="2">
        <v>43539</v>
      </c>
      <c r="B278" s="18">
        <f t="shared" si="8"/>
        <v>2019</v>
      </c>
      <c r="C278" s="18">
        <f t="shared" si="9"/>
        <v>3</v>
      </c>
      <c r="D278" s="3" t="s">
        <v>360</v>
      </c>
      <c r="E278" s="3" t="s">
        <v>143</v>
      </c>
      <c r="F278" s="3" t="s">
        <v>19</v>
      </c>
      <c r="G278" s="3" t="s">
        <v>53</v>
      </c>
      <c r="H278" s="3" t="s">
        <v>440</v>
      </c>
      <c r="I278" s="11">
        <v>45.68</v>
      </c>
      <c r="J278" s="18">
        <v>2</v>
      </c>
      <c r="K278" s="12">
        <v>21.012799999999999</v>
      </c>
    </row>
    <row r="279" spans="1:11" x14ac:dyDescent="0.25">
      <c r="A279" s="4">
        <v>43539</v>
      </c>
      <c r="B279" s="19">
        <f t="shared" si="8"/>
        <v>2019</v>
      </c>
      <c r="C279" s="19">
        <f t="shared" si="9"/>
        <v>3</v>
      </c>
      <c r="D279" s="5" t="s">
        <v>441</v>
      </c>
      <c r="E279" s="5" t="s">
        <v>23</v>
      </c>
      <c r="F279" s="5" t="s">
        <v>11</v>
      </c>
      <c r="G279" s="5" t="s">
        <v>112</v>
      </c>
      <c r="H279" s="5" t="s">
        <v>442</v>
      </c>
      <c r="I279" s="13">
        <v>528.42999999999995</v>
      </c>
      <c r="J279" s="19">
        <v>5</v>
      </c>
      <c r="K279" s="14">
        <v>-143.43100000000001</v>
      </c>
    </row>
    <row r="280" spans="1:11" x14ac:dyDescent="0.25">
      <c r="A280" s="2">
        <v>43539</v>
      </c>
      <c r="B280" s="18">
        <f t="shared" si="8"/>
        <v>2019</v>
      </c>
      <c r="C280" s="18">
        <f t="shared" si="9"/>
        <v>3</v>
      </c>
      <c r="D280" s="3" t="s">
        <v>441</v>
      </c>
      <c r="E280" s="3" t="s">
        <v>23</v>
      </c>
      <c r="F280" s="3" t="s">
        <v>19</v>
      </c>
      <c r="G280" s="3" t="s">
        <v>32</v>
      </c>
      <c r="H280" s="3" t="s">
        <v>443</v>
      </c>
      <c r="I280" s="11">
        <v>22.385999999999999</v>
      </c>
      <c r="J280" s="18">
        <v>7</v>
      </c>
      <c r="K280" s="12">
        <v>-35.817599999999999</v>
      </c>
    </row>
    <row r="281" spans="1:11" x14ac:dyDescent="0.25">
      <c r="A281" s="4">
        <v>43541</v>
      </c>
      <c r="B281" s="19">
        <f t="shared" si="8"/>
        <v>2019</v>
      </c>
      <c r="C281" s="19">
        <f t="shared" si="9"/>
        <v>3</v>
      </c>
      <c r="D281" s="5" t="s">
        <v>444</v>
      </c>
      <c r="E281" s="5" t="s">
        <v>370</v>
      </c>
      <c r="F281" s="5" t="s">
        <v>19</v>
      </c>
      <c r="G281" s="5" t="s">
        <v>40</v>
      </c>
      <c r="H281" s="5" t="s">
        <v>153</v>
      </c>
      <c r="I281" s="13">
        <v>39.68</v>
      </c>
      <c r="J281" s="19">
        <v>2</v>
      </c>
      <c r="K281" s="14">
        <v>10.316800000000001</v>
      </c>
    </row>
    <row r="282" spans="1:11" x14ac:dyDescent="0.25">
      <c r="A282" s="2">
        <v>43541</v>
      </c>
      <c r="B282" s="18">
        <f t="shared" si="8"/>
        <v>2019</v>
      </c>
      <c r="C282" s="18">
        <f t="shared" si="9"/>
        <v>3</v>
      </c>
      <c r="D282" s="3" t="s">
        <v>445</v>
      </c>
      <c r="E282" s="3" t="s">
        <v>309</v>
      </c>
      <c r="F282" s="3" t="s">
        <v>14</v>
      </c>
      <c r="G282" s="3" t="s">
        <v>15</v>
      </c>
      <c r="H282" s="3" t="s">
        <v>446</v>
      </c>
      <c r="I282" s="11">
        <v>129.97999999999999</v>
      </c>
      <c r="J282" s="18">
        <v>2</v>
      </c>
      <c r="K282" s="12">
        <v>62.3904</v>
      </c>
    </row>
    <row r="283" spans="1:11" x14ac:dyDescent="0.25">
      <c r="A283" s="4">
        <v>43541</v>
      </c>
      <c r="B283" s="19">
        <f t="shared" si="8"/>
        <v>2019</v>
      </c>
      <c r="C283" s="19">
        <f t="shared" si="9"/>
        <v>3</v>
      </c>
      <c r="D283" s="5" t="s">
        <v>445</v>
      </c>
      <c r="E283" s="5" t="s">
        <v>309</v>
      </c>
      <c r="F283" s="5" t="s">
        <v>19</v>
      </c>
      <c r="G283" s="5" t="s">
        <v>32</v>
      </c>
      <c r="H283" s="5" t="s">
        <v>447</v>
      </c>
      <c r="I283" s="13">
        <v>32.54</v>
      </c>
      <c r="J283" s="19">
        <v>2</v>
      </c>
      <c r="K283" s="14">
        <v>15.944599999999999</v>
      </c>
    </row>
    <row r="284" spans="1:11" x14ac:dyDescent="0.25">
      <c r="A284" s="2">
        <v>43541</v>
      </c>
      <c r="B284" s="18">
        <f t="shared" si="8"/>
        <v>2019</v>
      </c>
      <c r="C284" s="18">
        <f t="shared" si="9"/>
        <v>3</v>
      </c>
      <c r="D284" s="3" t="s">
        <v>448</v>
      </c>
      <c r="E284" s="3" t="s">
        <v>10</v>
      </c>
      <c r="F284" s="3" t="s">
        <v>19</v>
      </c>
      <c r="G284" s="3" t="s">
        <v>86</v>
      </c>
      <c r="H284" s="3" t="s">
        <v>449</v>
      </c>
      <c r="I284" s="11">
        <v>199.9</v>
      </c>
      <c r="J284" s="18">
        <v>5</v>
      </c>
      <c r="K284" s="12">
        <v>89.954999999999998</v>
      </c>
    </row>
    <row r="285" spans="1:11" x14ac:dyDescent="0.25">
      <c r="A285" s="4">
        <v>43541</v>
      </c>
      <c r="B285" s="19">
        <f t="shared" si="8"/>
        <v>2019</v>
      </c>
      <c r="C285" s="19">
        <f t="shared" si="9"/>
        <v>3</v>
      </c>
      <c r="D285" s="5" t="s">
        <v>448</v>
      </c>
      <c r="E285" s="5" t="s">
        <v>10</v>
      </c>
      <c r="F285" s="5" t="s">
        <v>19</v>
      </c>
      <c r="G285" s="5" t="s">
        <v>121</v>
      </c>
      <c r="H285" s="5" t="s">
        <v>450</v>
      </c>
      <c r="I285" s="13">
        <v>901.95</v>
      </c>
      <c r="J285" s="19">
        <v>3</v>
      </c>
      <c r="K285" s="14">
        <v>297.64350000000002</v>
      </c>
    </row>
    <row r="286" spans="1:11" x14ac:dyDescent="0.25">
      <c r="A286" s="2">
        <v>43541</v>
      </c>
      <c r="B286" s="18">
        <f t="shared" si="8"/>
        <v>2019</v>
      </c>
      <c r="C286" s="18">
        <f t="shared" si="9"/>
        <v>3</v>
      </c>
      <c r="D286" s="3" t="s">
        <v>448</v>
      </c>
      <c r="E286" s="3" t="s">
        <v>10</v>
      </c>
      <c r="F286" s="3" t="s">
        <v>11</v>
      </c>
      <c r="G286" s="3" t="s">
        <v>51</v>
      </c>
      <c r="H286" s="3" t="s">
        <v>451</v>
      </c>
      <c r="I286" s="11">
        <v>971.5</v>
      </c>
      <c r="J286" s="18">
        <v>5</v>
      </c>
      <c r="K286" s="12">
        <v>252.59</v>
      </c>
    </row>
    <row r="287" spans="1:11" x14ac:dyDescent="0.25">
      <c r="A287" s="4">
        <v>43541</v>
      </c>
      <c r="B287" s="19">
        <f t="shared" si="8"/>
        <v>2019</v>
      </c>
      <c r="C287" s="19">
        <f t="shared" si="9"/>
        <v>3</v>
      </c>
      <c r="D287" s="5" t="s">
        <v>452</v>
      </c>
      <c r="E287" s="5" t="s">
        <v>18</v>
      </c>
      <c r="F287" s="5" t="s">
        <v>14</v>
      </c>
      <c r="G287" s="5" t="s">
        <v>15</v>
      </c>
      <c r="H287" s="5" t="s">
        <v>453</v>
      </c>
      <c r="I287" s="13">
        <v>84.784000000000006</v>
      </c>
      <c r="J287" s="19">
        <v>2</v>
      </c>
      <c r="K287" s="14">
        <v>-20.136199999999999</v>
      </c>
    </row>
    <row r="288" spans="1:11" x14ac:dyDescent="0.25">
      <c r="A288" s="2">
        <v>43542</v>
      </c>
      <c r="B288" s="18">
        <f t="shared" si="8"/>
        <v>2019</v>
      </c>
      <c r="C288" s="18">
        <f t="shared" si="9"/>
        <v>3</v>
      </c>
      <c r="D288" s="3" t="s">
        <v>454</v>
      </c>
      <c r="E288" s="3" t="s">
        <v>219</v>
      </c>
      <c r="F288" s="3" t="s">
        <v>11</v>
      </c>
      <c r="G288" s="3" t="s">
        <v>30</v>
      </c>
      <c r="H288" s="3" t="s">
        <v>455</v>
      </c>
      <c r="I288" s="11">
        <v>189.88200000000001</v>
      </c>
      <c r="J288" s="18">
        <v>3</v>
      </c>
      <c r="K288" s="12">
        <v>-94.941000000000003</v>
      </c>
    </row>
    <row r="289" spans="1:11" x14ac:dyDescent="0.25">
      <c r="A289" s="4">
        <v>43542</v>
      </c>
      <c r="B289" s="19">
        <f t="shared" si="8"/>
        <v>2019</v>
      </c>
      <c r="C289" s="19">
        <f t="shared" si="9"/>
        <v>3</v>
      </c>
      <c r="D289" s="5" t="s">
        <v>456</v>
      </c>
      <c r="E289" s="5" t="s">
        <v>219</v>
      </c>
      <c r="F289" s="5" t="s">
        <v>19</v>
      </c>
      <c r="G289" s="5" t="s">
        <v>121</v>
      </c>
      <c r="H289" s="5" t="s">
        <v>457</v>
      </c>
      <c r="I289" s="13">
        <v>871.8</v>
      </c>
      <c r="J289" s="19">
        <v>3</v>
      </c>
      <c r="K289" s="14">
        <v>87.18</v>
      </c>
    </row>
    <row r="290" spans="1:11" x14ac:dyDescent="0.25">
      <c r="A290" s="2">
        <v>43543</v>
      </c>
      <c r="B290" s="18">
        <f t="shared" si="8"/>
        <v>2019</v>
      </c>
      <c r="C290" s="18">
        <f t="shared" si="9"/>
        <v>3</v>
      </c>
      <c r="D290" s="3" t="s">
        <v>458</v>
      </c>
      <c r="E290" s="3" t="s">
        <v>306</v>
      </c>
      <c r="F290" s="3" t="s">
        <v>11</v>
      </c>
      <c r="G290" s="3" t="s">
        <v>12</v>
      </c>
      <c r="H290" s="3" t="s">
        <v>459</v>
      </c>
      <c r="I290" s="11">
        <v>72.293999999999997</v>
      </c>
      <c r="J290" s="18">
        <v>1</v>
      </c>
      <c r="K290" s="12">
        <v>-98.8018</v>
      </c>
    </row>
    <row r="291" spans="1:11" x14ac:dyDescent="0.25">
      <c r="A291" s="4">
        <v>43543</v>
      </c>
      <c r="B291" s="19">
        <f t="shared" si="8"/>
        <v>2019</v>
      </c>
      <c r="C291" s="19">
        <f t="shared" si="9"/>
        <v>3</v>
      </c>
      <c r="D291" s="5" t="s">
        <v>460</v>
      </c>
      <c r="E291" s="5" t="s">
        <v>94</v>
      </c>
      <c r="F291" s="5" t="s">
        <v>11</v>
      </c>
      <c r="G291" s="5" t="s">
        <v>51</v>
      </c>
      <c r="H291" s="5" t="s">
        <v>461</v>
      </c>
      <c r="I291" s="13">
        <v>14.98</v>
      </c>
      <c r="J291" s="19">
        <v>1</v>
      </c>
      <c r="K291" s="14">
        <v>6.8907999999999996</v>
      </c>
    </row>
    <row r="292" spans="1:11" x14ac:dyDescent="0.25">
      <c r="A292" s="2">
        <v>43543</v>
      </c>
      <c r="B292" s="18">
        <f t="shared" si="8"/>
        <v>2019</v>
      </c>
      <c r="C292" s="18">
        <f t="shared" si="9"/>
        <v>3</v>
      </c>
      <c r="D292" s="3" t="s">
        <v>460</v>
      </c>
      <c r="E292" s="3" t="s">
        <v>94</v>
      </c>
      <c r="F292" s="3" t="s">
        <v>11</v>
      </c>
      <c r="G292" s="3" t="s">
        <v>51</v>
      </c>
      <c r="H292" s="3" t="s">
        <v>462</v>
      </c>
      <c r="I292" s="11">
        <v>20.32</v>
      </c>
      <c r="J292" s="18">
        <v>4</v>
      </c>
      <c r="K292" s="12">
        <v>6.9088000000000003</v>
      </c>
    </row>
    <row r="293" spans="1:11" x14ac:dyDescent="0.25">
      <c r="A293" s="4">
        <v>43543</v>
      </c>
      <c r="B293" s="19">
        <f t="shared" si="8"/>
        <v>2019</v>
      </c>
      <c r="C293" s="19">
        <f t="shared" si="9"/>
        <v>3</v>
      </c>
      <c r="D293" s="5" t="s">
        <v>463</v>
      </c>
      <c r="E293" s="5" t="s">
        <v>219</v>
      </c>
      <c r="F293" s="5" t="s">
        <v>19</v>
      </c>
      <c r="G293" s="5" t="s">
        <v>32</v>
      </c>
      <c r="H293" s="5" t="s">
        <v>464</v>
      </c>
      <c r="I293" s="13">
        <v>31.085999999999999</v>
      </c>
      <c r="J293" s="19">
        <v>3</v>
      </c>
      <c r="K293" s="14">
        <v>-20.724</v>
      </c>
    </row>
    <row r="294" spans="1:11" x14ac:dyDescent="0.25">
      <c r="A294" s="2">
        <v>43544</v>
      </c>
      <c r="B294" s="18">
        <f t="shared" si="8"/>
        <v>2019</v>
      </c>
      <c r="C294" s="18">
        <f t="shared" si="9"/>
        <v>3</v>
      </c>
      <c r="D294" s="3" t="s">
        <v>351</v>
      </c>
      <c r="E294" s="3" t="s">
        <v>465</v>
      </c>
      <c r="F294" s="3" t="s">
        <v>14</v>
      </c>
      <c r="G294" s="3" t="s">
        <v>15</v>
      </c>
      <c r="H294" s="3" t="s">
        <v>453</v>
      </c>
      <c r="I294" s="11">
        <v>84.784000000000006</v>
      </c>
      <c r="J294" s="18">
        <v>2</v>
      </c>
      <c r="K294" s="12">
        <v>-20.136199999999999</v>
      </c>
    </row>
    <row r="295" spans="1:11" x14ac:dyDescent="0.25">
      <c r="A295" s="4">
        <v>43544</v>
      </c>
      <c r="B295" s="19">
        <f t="shared" si="8"/>
        <v>2019</v>
      </c>
      <c r="C295" s="19">
        <f t="shared" si="9"/>
        <v>3</v>
      </c>
      <c r="D295" s="5" t="s">
        <v>351</v>
      </c>
      <c r="E295" s="5" t="s">
        <v>465</v>
      </c>
      <c r="F295" s="5" t="s">
        <v>19</v>
      </c>
      <c r="G295" s="5" t="s">
        <v>53</v>
      </c>
      <c r="H295" s="5" t="s">
        <v>466</v>
      </c>
      <c r="I295" s="13">
        <v>20.736000000000001</v>
      </c>
      <c r="J295" s="19">
        <v>4</v>
      </c>
      <c r="K295" s="14">
        <v>7.2576000000000001</v>
      </c>
    </row>
    <row r="296" spans="1:11" x14ac:dyDescent="0.25">
      <c r="A296" s="2">
        <v>43544</v>
      </c>
      <c r="B296" s="18">
        <f t="shared" si="8"/>
        <v>2019</v>
      </c>
      <c r="C296" s="18">
        <f t="shared" si="9"/>
        <v>3</v>
      </c>
      <c r="D296" s="3" t="s">
        <v>351</v>
      </c>
      <c r="E296" s="3" t="s">
        <v>465</v>
      </c>
      <c r="F296" s="3" t="s">
        <v>19</v>
      </c>
      <c r="G296" s="3" t="s">
        <v>32</v>
      </c>
      <c r="H296" s="3" t="s">
        <v>467</v>
      </c>
      <c r="I296" s="11">
        <v>16.821000000000002</v>
      </c>
      <c r="J296" s="18">
        <v>3</v>
      </c>
      <c r="K296" s="12">
        <v>-12.896100000000001</v>
      </c>
    </row>
    <row r="297" spans="1:11" x14ac:dyDescent="0.25">
      <c r="A297" s="4">
        <v>43544</v>
      </c>
      <c r="B297" s="19">
        <f t="shared" si="8"/>
        <v>2019</v>
      </c>
      <c r="C297" s="19">
        <f t="shared" si="9"/>
        <v>3</v>
      </c>
      <c r="D297" s="5" t="s">
        <v>351</v>
      </c>
      <c r="E297" s="5" t="s">
        <v>465</v>
      </c>
      <c r="F297" s="5" t="s">
        <v>19</v>
      </c>
      <c r="G297" s="5" t="s">
        <v>53</v>
      </c>
      <c r="H297" s="5" t="s">
        <v>468</v>
      </c>
      <c r="I297" s="13">
        <v>10.368</v>
      </c>
      <c r="J297" s="19">
        <v>2</v>
      </c>
      <c r="K297" s="14">
        <v>3.6288</v>
      </c>
    </row>
    <row r="298" spans="1:11" x14ac:dyDescent="0.25">
      <c r="A298" s="2">
        <v>43544</v>
      </c>
      <c r="B298" s="18">
        <f t="shared" si="8"/>
        <v>2019</v>
      </c>
      <c r="C298" s="18">
        <f t="shared" si="9"/>
        <v>3</v>
      </c>
      <c r="D298" s="3" t="s">
        <v>469</v>
      </c>
      <c r="E298" s="3" t="s">
        <v>164</v>
      </c>
      <c r="F298" s="3" t="s">
        <v>14</v>
      </c>
      <c r="G298" s="3" t="s">
        <v>15</v>
      </c>
      <c r="H298" s="3" t="s">
        <v>470</v>
      </c>
      <c r="I298" s="11">
        <v>11.992000000000001</v>
      </c>
      <c r="J298" s="18">
        <v>1</v>
      </c>
      <c r="K298" s="12">
        <v>0.89939999999999998</v>
      </c>
    </row>
    <row r="299" spans="1:11" x14ac:dyDescent="0.25">
      <c r="A299" s="4">
        <v>43544</v>
      </c>
      <c r="B299" s="19">
        <f t="shared" si="8"/>
        <v>2019</v>
      </c>
      <c r="C299" s="19">
        <f t="shared" si="9"/>
        <v>3</v>
      </c>
      <c r="D299" s="5" t="s">
        <v>471</v>
      </c>
      <c r="E299" s="5" t="s">
        <v>472</v>
      </c>
      <c r="F299" s="5" t="s">
        <v>11</v>
      </c>
      <c r="G299" s="5" t="s">
        <v>30</v>
      </c>
      <c r="H299" s="5" t="s">
        <v>150</v>
      </c>
      <c r="I299" s="13">
        <v>697.16</v>
      </c>
      <c r="J299" s="19">
        <v>4</v>
      </c>
      <c r="K299" s="14">
        <v>146.40360000000001</v>
      </c>
    </row>
    <row r="300" spans="1:11" x14ac:dyDescent="0.25">
      <c r="A300" s="2">
        <v>43544</v>
      </c>
      <c r="B300" s="18">
        <f t="shared" si="8"/>
        <v>2019</v>
      </c>
      <c r="C300" s="18">
        <f t="shared" si="9"/>
        <v>3</v>
      </c>
      <c r="D300" s="3" t="s">
        <v>473</v>
      </c>
      <c r="E300" s="3" t="s">
        <v>143</v>
      </c>
      <c r="F300" s="3" t="s">
        <v>11</v>
      </c>
      <c r="G300" s="3" t="s">
        <v>51</v>
      </c>
      <c r="H300" s="3" t="s">
        <v>474</v>
      </c>
      <c r="I300" s="11">
        <v>86.45</v>
      </c>
      <c r="J300" s="18">
        <v>7</v>
      </c>
      <c r="K300" s="12">
        <v>38.037999999999997</v>
      </c>
    </row>
    <row r="301" spans="1:11" x14ac:dyDescent="0.25">
      <c r="A301" s="4">
        <v>43545</v>
      </c>
      <c r="B301" s="19">
        <f t="shared" si="8"/>
        <v>2019</v>
      </c>
      <c r="C301" s="19">
        <f t="shared" si="9"/>
        <v>3</v>
      </c>
      <c r="D301" s="5" t="s">
        <v>475</v>
      </c>
      <c r="E301" s="5" t="s">
        <v>164</v>
      </c>
      <c r="F301" s="5" t="s">
        <v>19</v>
      </c>
      <c r="G301" s="5" t="s">
        <v>32</v>
      </c>
      <c r="H301" s="5" t="s">
        <v>476</v>
      </c>
      <c r="I301" s="13">
        <v>3.1680000000000001</v>
      </c>
      <c r="J301" s="19">
        <v>2</v>
      </c>
      <c r="K301" s="14">
        <v>-4.7519999999999998</v>
      </c>
    </row>
    <row r="302" spans="1:11" x14ac:dyDescent="0.25">
      <c r="A302" s="2">
        <v>43545</v>
      </c>
      <c r="B302" s="18">
        <f t="shared" si="8"/>
        <v>2019</v>
      </c>
      <c r="C302" s="18">
        <f t="shared" si="9"/>
        <v>3</v>
      </c>
      <c r="D302" s="3" t="s">
        <v>475</v>
      </c>
      <c r="E302" s="3" t="s">
        <v>164</v>
      </c>
      <c r="F302" s="3" t="s">
        <v>11</v>
      </c>
      <c r="G302" s="3" t="s">
        <v>112</v>
      </c>
      <c r="H302" s="3" t="s">
        <v>477</v>
      </c>
      <c r="I302" s="11">
        <v>528.42999999999995</v>
      </c>
      <c r="J302" s="18">
        <v>5</v>
      </c>
      <c r="K302" s="12">
        <v>0</v>
      </c>
    </row>
    <row r="303" spans="1:11" x14ac:dyDescent="0.25">
      <c r="A303" s="4">
        <v>43545</v>
      </c>
      <c r="B303" s="19">
        <f t="shared" si="8"/>
        <v>2019</v>
      </c>
      <c r="C303" s="19">
        <f t="shared" si="9"/>
        <v>3</v>
      </c>
      <c r="D303" s="5" t="s">
        <v>475</v>
      </c>
      <c r="E303" s="5" t="s">
        <v>164</v>
      </c>
      <c r="F303" s="5" t="s">
        <v>19</v>
      </c>
      <c r="G303" s="5" t="s">
        <v>40</v>
      </c>
      <c r="H303" s="5" t="s">
        <v>478</v>
      </c>
      <c r="I303" s="13">
        <v>13.391999999999999</v>
      </c>
      <c r="J303" s="19">
        <v>3</v>
      </c>
      <c r="K303" s="14">
        <v>1.5065999999999999</v>
      </c>
    </row>
    <row r="304" spans="1:11" x14ac:dyDescent="0.25">
      <c r="A304" s="2">
        <v>43545</v>
      </c>
      <c r="B304" s="18">
        <f t="shared" si="8"/>
        <v>2019</v>
      </c>
      <c r="C304" s="18">
        <f t="shared" si="9"/>
        <v>3</v>
      </c>
      <c r="D304" s="3" t="s">
        <v>479</v>
      </c>
      <c r="E304" s="3" t="s">
        <v>23</v>
      </c>
      <c r="F304" s="3" t="s">
        <v>11</v>
      </c>
      <c r="G304" s="3" t="s">
        <v>30</v>
      </c>
      <c r="H304" s="3" t="s">
        <v>480</v>
      </c>
      <c r="I304" s="11">
        <v>99.372</v>
      </c>
      <c r="J304" s="18">
        <v>2</v>
      </c>
      <c r="K304" s="12">
        <v>-1.4196</v>
      </c>
    </row>
    <row r="305" spans="1:11" x14ac:dyDescent="0.25">
      <c r="A305" s="4">
        <v>43545</v>
      </c>
      <c r="B305" s="19">
        <f t="shared" si="8"/>
        <v>2019</v>
      </c>
      <c r="C305" s="19">
        <f t="shared" si="9"/>
        <v>3</v>
      </c>
      <c r="D305" s="5" t="s">
        <v>479</v>
      </c>
      <c r="E305" s="5" t="s">
        <v>23</v>
      </c>
      <c r="F305" s="5" t="s">
        <v>19</v>
      </c>
      <c r="G305" s="5" t="s">
        <v>40</v>
      </c>
      <c r="H305" s="5" t="s">
        <v>481</v>
      </c>
      <c r="I305" s="13">
        <v>1.3440000000000001</v>
      </c>
      <c r="J305" s="19">
        <v>1</v>
      </c>
      <c r="K305" s="14">
        <v>0.504</v>
      </c>
    </row>
    <row r="306" spans="1:11" x14ac:dyDescent="0.25">
      <c r="A306" s="2">
        <v>43546</v>
      </c>
      <c r="B306" s="18">
        <f t="shared" si="8"/>
        <v>2019</v>
      </c>
      <c r="C306" s="18">
        <f t="shared" si="9"/>
        <v>3</v>
      </c>
      <c r="D306" s="3" t="s">
        <v>482</v>
      </c>
      <c r="E306" s="3" t="s">
        <v>483</v>
      </c>
      <c r="F306" s="3" t="s">
        <v>14</v>
      </c>
      <c r="G306" s="3" t="s">
        <v>24</v>
      </c>
      <c r="H306" s="3" t="s">
        <v>484</v>
      </c>
      <c r="I306" s="11">
        <v>58.58</v>
      </c>
      <c r="J306" s="18">
        <v>2</v>
      </c>
      <c r="K306" s="12">
        <v>19.331399999999999</v>
      </c>
    </row>
    <row r="307" spans="1:11" x14ac:dyDescent="0.25">
      <c r="A307" s="4">
        <v>43546</v>
      </c>
      <c r="B307" s="19">
        <f t="shared" si="8"/>
        <v>2019</v>
      </c>
      <c r="C307" s="19">
        <f t="shared" si="9"/>
        <v>3</v>
      </c>
      <c r="D307" s="5" t="s">
        <v>124</v>
      </c>
      <c r="E307" s="5" t="s">
        <v>70</v>
      </c>
      <c r="F307" s="5" t="s">
        <v>11</v>
      </c>
      <c r="G307" s="5" t="s">
        <v>112</v>
      </c>
      <c r="H307" s="5" t="s">
        <v>252</v>
      </c>
      <c r="I307" s="13">
        <v>167.88800000000001</v>
      </c>
      <c r="J307" s="19">
        <v>7</v>
      </c>
      <c r="K307" s="14">
        <v>14.690200000000001</v>
      </c>
    </row>
    <row r="308" spans="1:11" x14ac:dyDescent="0.25">
      <c r="A308" s="2">
        <v>43548</v>
      </c>
      <c r="B308" s="18">
        <f t="shared" si="8"/>
        <v>2019</v>
      </c>
      <c r="C308" s="18">
        <f t="shared" si="9"/>
        <v>3</v>
      </c>
      <c r="D308" s="3" t="s">
        <v>485</v>
      </c>
      <c r="E308" s="3" t="s">
        <v>465</v>
      </c>
      <c r="F308" s="3" t="s">
        <v>14</v>
      </c>
      <c r="G308" s="3" t="s">
        <v>15</v>
      </c>
      <c r="H308" s="3" t="s">
        <v>486</v>
      </c>
      <c r="I308" s="11">
        <v>403.16800000000001</v>
      </c>
      <c r="J308" s="18">
        <v>4</v>
      </c>
      <c r="K308" s="12">
        <v>25.198</v>
      </c>
    </row>
    <row r="309" spans="1:11" x14ac:dyDescent="0.25">
      <c r="A309" s="4">
        <v>43548</v>
      </c>
      <c r="B309" s="19">
        <f t="shared" si="8"/>
        <v>2019</v>
      </c>
      <c r="C309" s="19">
        <f t="shared" si="9"/>
        <v>3</v>
      </c>
      <c r="D309" s="5" t="s">
        <v>487</v>
      </c>
      <c r="E309" s="5" t="s">
        <v>317</v>
      </c>
      <c r="F309" s="5" t="s">
        <v>19</v>
      </c>
      <c r="G309" s="5" t="s">
        <v>53</v>
      </c>
      <c r="H309" s="5" t="s">
        <v>488</v>
      </c>
      <c r="I309" s="13">
        <v>22.48</v>
      </c>
      <c r="J309" s="19">
        <v>1</v>
      </c>
      <c r="K309" s="14">
        <v>10.3408</v>
      </c>
    </row>
    <row r="310" spans="1:11" x14ac:dyDescent="0.25">
      <c r="A310" s="2">
        <v>43548</v>
      </c>
      <c r="B310" s="18">
        <f t="shared" si="8"/>
        <v>2019</v>
      </c>
      <c r="C310" s="18">
        <f t="shared" si="9"/>
        <v>3</v>
      </c>
      <c r="D310" s="3" t="s">
        <v>489</v>
      </c>
      <c r="E310" s="3" t="s">
        <v>67</v>
      </c>
      <c r="F310" s="3" t="s">
        <v>11</v>
      </c>
      <c r="G310" s="3" t="s">
        <v>12</v>
      </c>
      <c r="H310" s="3" t="s">
        <v>490</v>
      </c>
      <c r="I310" s="11">
        <v>301.47000000000003</v>
      </c>
      <c r="J310" s="18">
        <v>3</v>
      </c>
      <c r="K310" s="12">
        <v>-241.17599999999999</v>
      </c>
    </row>
    <row r="311" spans="1:11" x14ac:dyDescent="0.25">
      <c r="A311" s="4">
        <v>43548</v>
      </c>
      <c r="B311" s="19">
        <f t="shared" si="8"/>
        <v>2019</v>
      </c>
      <c r="C311" s="19">
        <f t="shared" si="9"/>
        <v>3</v>
      </c>
      <c r="D311" s="5" t="s">
        <v>489</v>
      </c>
      <c r="E311" s="5" t="s">
        <v>67</v>
      </c>
      <c r="F311" s="5" t="s">
        <v>19</v>
      </c>
      <c r="G311" s="5" t="s">
        <v>40</v>
      </c>
      <c r="H311" s="5" t="s">
        <v>491</v>
      </c>
      <c r="I311" s="13">
        <v>18.655999999999999</v>
      </c>
      <c r="J311" s="19">
        <v>2</v>
      </c>
      <c r="K311" s="14">
        <v>1.6324000000000001</v>
      </c>
    </row>
    <row r="312" spans="1:11" x14ac:dyDescent="0.25">
      <c r="A312" s="2">
        <v>43549</v>
      </c>
      <c r="B312" s="18">
        <f t="shared" si="8"/>
        <v>2019</v>
      </c>
      <c r="C312" s="18">
        <f t="shared" si="9"/>
        <v>3</v>
      </c>
      <c r="D312" s="3" t="s">
        <v>133</v>
      </c>
      <c r="E312" s="3" t="s">
        <v>29</v>
      </c>
      <c r="F312" s="3" t="s">
        <v>14</v>
      </c>
      <c r="G312" s="3" t="s">
        <v>24</v>
      </c>
      <c r="H312" s="3" t="s">
        <v>492</v>
      </c>
      <c r="I312" s="11">
        <v>1287.45</v>
      </c>
      <c r="J312" s="18">
        <v>5</v>
      </c>
      <c r="K312" s="12">
        <v>244.6155</v>
      </c>
    </row>
    <row r="313" spans="1:11" x14ac:dyDescent="0.25">
      <c r="A313" s="4">
        <v>43549</v>
      </c>
      <c r="B313" s="19">
        <f t="shared" si="8"/>
        <v>2019</v>
      </c>
      <c r="C313" s="19">
        <f t="shared" si="9"/>
        <v>3</v>
      </c>
      <c r="D313" s="5" t="s">
        <v>493</v>
      </c>
      <c r="E313" s="5" t="s">
        <v>94</v>
      </c>
      <c r="F313" s="5" t="s">
        <v>19</v>
      </c>
      <c r="G313" s="5" t="s">
        <v>40</v>
      </c>
      <c r="H313" s="5" t="s">
        <v>61</v>
      </c>
      <c r="I313" s="13">
        <v>59.52</v>
      </c>
      <c r="J313" s="19">
        <v>3</v>
      </c>
      <c r="K313" s="14">
        <v>17.856000000000002</v>
      </c>
    </row>
    <row r="314" spans="1:11" x14ac:dyDescent="0.25">
      <c r="A314" s="2">
        <v>43550</v>
      </c>
      <c r="B314" s="18">
        <f t="shared" si="8"/>
        <v>2019</v>
      </c>
      <c r="C314" s="18">
        <f t="shared" si="9"/>
        <v>3</v>
      </c>
      <c r="D314" s="3" t="s">
        <v>433</v>
      </c>
      <c r="E314" s="3" t="s">
        <v>94</v>
      </c>
      <c r="F314" s="3" t="s">
        <v>19</v>
      </c>
      <c r="G314" s="3" t="s">
        <v>20</v>
      </c>
      <c r="H314" s="3" t="s">
        <v>494</v>
      </c>
      <c r="I314" s="11">
        <v>459.95</v>
      </c>
      <c r="J314" s="18">
        <v>5</v>
      </c>
      <c r="K314" s="12">
        <v>18.398</v>
      </c>
    </row>
    <row r="315" spans="1:11" x14ac:dyDescent="0.25">
      <c r="A315" s="4">
        <v>43550</v>
      </c>
      <c r="B315" s="19">
        <f t="shared" si="8"/>
        <v>2019</v>
      </c>
      <c r="C315" s="19">
        <f t="shared" si="9"/>
        <v>3</v>
      </c>
      <c r="D315" s="5" t="s">
        <v>495</v>
      </c>
      <c r="E315" s="5" t="s">
        <v>35</v>
      </c>
      <c r="F315" s="5" t="s">
        <v>19</v>
      </c>
      <c r="G315" s="5" t="s">
        <v>20</v>
      </c>
      <c r="H315" s="5" t="s">
        <v>496</v>
      </c>
      <c r="I315" s="13">
        <v>67.64</v>
      </c>
      <c r="J315" s="19">
        <v>5</v>
      </c>
      <c r="K315" s="14">
        <v>5.9184999999999999</v>
      </c>
    </row>
    <row r="316" spans="1:11" x14ac:dyDescent="0.25">
      <c r="A316" s="2">
        <v>43550</v>
      </c>
      <c r="B316" s="18">
        <f t="shared" si="8"/>
        <v>2019</v>
      </c>
      <c r="C316" s="18">
        <f t="shared" si="9"/>
        <v>3</v>
      </c>
      <c r="D316" s="3" t="s">
        <v>495</v>
      </c>
      <c r="E316" s="3" t="s">
        <v>35</v>
      </c>
      <c r="F316" s="3" t="s">
        <v>14</v>
      </c>
      <c r="G316" s="3" t="s">
        <v>24</v>
      </c>
      <c r="H316" s="3" t="s">
        <v>497</v>
      </c>
      <c r="I316" s="11">
        <v>119.976</v>
      </c>
      <c r="J316" s="18">
        <v>3</v>
      </c>
      <c r="K316" s="12">
        <v>-17.996400000000001</v>
      </c>
    </row>
    <row r="317" spans="1:11" x14ac:dyDescent="0.25">
      <c r="A317" s="4">
        <v>43550</v>
      </c>
      <c r="B317" s="19">
        <f t="shared" si="8"/>
        <v>2019</v>
      </c>
      <c r="C317" s="19">
        <f t="shared" si="9"/>
        <v>3</v>
      </c>
      <c r="D317" s="5" t="s">
        <v>498</v>
      </c>
      <c r="E317" s="5" t="s">
        <v>499</v>
      </c>
      <c r="F317" s="5" t="s">
        <v>19</v>
      </c>
      <c r="G317" s="5" t="s">
        <v>53</v>
      </c>
      <c r="H317" s="5" t="s">
        <v>500</v>
      </c>
      <c r="I317" s="13">
        <v>17.64</v>
      </c>
      <c r="J317" s="19">
        <v>3</v>
      </c>
      <c r="K317" s="14">
        <v>8.6435999999999993</v>
      </c>
    </row>
    <row r="318" spans="1:11" x14ac:dyDescent="0.25">
      <c r="A318" s="2">
        <v>43550</v>
      </c>
      <c r="B318" s="18">
        <f t="shared" si="8"/>
        <v>2019</v>
      </c>
      <c r="C318" s="18">
        <f t="shared" si="9"/>
        <v>3</v>
      </c>
      <c r="D318" s="3" t="s">
        <v>498</v>
      </c>
      <c r="E318" s="3" t="s">
        <v>499</v>
      </c>
      <c r="F318" s="3" t="s">
        <v>19</v>
      </c>
      <c r="G318" s="3" t="s">
        <v>32</v>
      </c>
      <c r="H318" s="3" t="s">
        <v>501</v>
      </c>
      <c r="I318" s="11">
        <v>17.04</v>
      </c>
      <c r="J318" s="18">
        <v>3</v>
      </c>
      <c r="K318" s="12">
        <v>5.5380000000000003</v>
      </c>
    </row>
    <row r="319" spans="1:11" x14ac:dyDescent="0.25">
      <c r="A319" s="4">
        <v>43551</v>
      </c>
      <c r="B319" s="19">
        <f t="shared" si="8"/>
        <v>2019</v>
      </c>
      <c r="C319" s="19">
        <f t="shared" si="9"/>
        <v>3</v>
      </c>
      <c r="D319" s="5" t="s">
        <v>502</v>
      </c>
      <c r="E319" s="5" t="s">
        <v>109</v>
      </c>
      <c r="F319" s="5" t="s">
        <v>11</v>
      </c>
      <c r="G319" s="5" t="s">
        <v>51</v>
      </c>
      <c r="H319" s="5" t="s">
        <v>297</v>
      </c>
      <c r="I319" s="13">
        <v>20.239999999999998</v>
      </c>
      <c r="J319" s="19">
        <v>1</v>
      </c>
      <c r="K319" s="14">
        <v>8.7032000000000007</v>
      </c>
    </row>
    <row r="320" spans="1:11" x14ac:dyDescent="0.25">
      <c r="A320" s="2">
        <v>43551</v>
      </c>
      <c r="B320" s="18">
        <f t="shared" si="8"/>
        <v>2019</v>
      </c>
      <c r="C320" s="18">
        <f t="shared" si="9"/>
        <v>3</v>
      </c>
      <c r="D320" s="3" t="s">
        <v>502</v>
      </c>
      <c r="E320" s="3" t="s">
        <v>109</v>
      </c>
      <c r="F320" s="3" t="s">
        <v>11</v>
      </c>
      <c r="G320" s="3" t="s">
        <v>51</v>
      </c>
      <c r="H320" s="3" t="s">
        <v>503</v>
      </c>
      <c r="I320" s="11">
        <v>39.92</v>
      </c>
      <c r="J320" s="18">
        <v>4</v>
      </c>
      <c r="K320" s="12">
        <v>11.1776</v>
      </c>
    </row>
    <row r="321" spans="1:11" x14ac:dyDescent="0.25">
      <c r="A321" s="4">
        <v>43551</v>
      </c>
      <c r="B321" s="19">
        <f t="shared" si="8"/>
        <v>2019</v>
      </c>
      <c r="C321" s="19">
        <f t="shared" si="9"/>
        <v>3</v>
      </c>
      <c r="D321" s="5" t="s">
        <v>502</v>
      </c>
      <c r="E321" s="5" t="s">
        <v>109</v>
      </c>
      <c r="F321" s="5" t="s">
        <v>19</v>
      </c>
      <c r="G321" s="5" t="s">
        <v>32</v>
      </c>
      <c r="H321" s="5" t="s">
        <v>447</v>
      </c>
      <c r="I321" s="13">
        <v>32.54</v>
      </c>
      <c r="J321" s="19">
        <v>2</v>
      </c>
      <c r="K321" s="14">
        <v>15.944599999999999</v>
      </c>
    </row>
    <row r="322" spans="1:11" x14ac:dyDescent="0.25">
      <c r="A322" s="2">
        <v>43552</v>
      </c>
      <c r="B322" s="18">
        <f t="shared" ref="B322:B385" si="10">YEAR(A322)</f>
        <v>2019</v>
      </c>
      <c r="C322" s="18">
        <f t="shared" ref="C322:C385" si="11">MONTH(A322)</f>
        <v>3</v>
      </c>
      <c r="D322" s="3" t="s">
        <v>504</v>
      </c>
      <c r="E322" s="3" t="s">
        <v>181</v>
      </c>
      <c r="F322" s="3" t="s">
        <v>19</v>
      </c>
      <c r="G322" s="3" t="s">
        <v>20</v>
      </c>
      <c r="H322" s="3" t="s">
        <v>505</v>
      </c>
      <c r="I322" s="11">
        <v>31.4</v>
      </c>
      <c r="J322" s="18">
        <v>2</v>
      </c>
      <c r="K322" s="12">
        <v>7.85</v>
      </c>
    </row>
    <row r="323" spans="1:11" x14ac:dyDescent="0.25">
      <c r="A323" s="4">
        <v>43552</v>
      </c>
      <c r="B323" s="19">
        <f t="shared" si="10"/>
        <v>2019</v>
      </c>
      <c r="C323" s="19">
        <f t="shared" si="11"/>
        <v>3</v>
      </c>
      <c r="D323" s="5" t="s">
        <v>319</v>
      </c>
      <c r="E323" s="5" t="s">
        <v>18</v>
      </c>
      <c r="F323" s="5" t="s">
        <v>19</v>
      </c>
      <c r="G323" s="5" t="s">
        <v>20</v>
      </c>
      <c r="H323" s="5" t="s">
        <v>506</v>
      </c>
      <c r="I323" s="13">
        <v>87.92</v>
      </c>
      <c r="J323" s="19">
        <v>4</v>
      </c>
      <c r="K323" s="14">
        <v>0.87919999999999998</v>
      </c>
    </row>
    <row r="324" spans="1:11" x14ac:dyDescent="0.25">
      <c r="A324" s="2">
        <v>43552</v>
      </c>
      <c r="B324" s="18">
        <f t="shared" si="10"/>
        <v>2019</v>
      </c>
      <c r="C324" s="18">
        <f t="shared" si="11"/>
        <v>3</v>
      </c>
      <c r="D324" s="3" t="s">
        <v>319</v>
      </c>
      <c r="E324" s="3" t="s">
        <v>18</v>
      </c>
      <c r="F324" s="3" t="s">
        <v>19</v>
      </c>
      <c r="G324" s="3" t="s">
        <v>53</v>
      </c>
      <c r="H324" s="3" t="s">
        <v>507</v>
      </c>
      <c r="I324" s="11">
        <v>5.98</v>
      </c>
      <c r="J324" s="18">
        <v>1</v>
      </c>
      <c r="K324" s="12">
        <v>2.9302000000000001</v>
      </c>
    </row>
    <row r="325" spans="1:11" x14ac:dyDescent="0.25">
      <c r="A325" s="4">
        <v>43553</v>
      </c>
      <c r="B325" s="19">
        <f t="shared" si="10"/>
        <v>2019</v>
      </c>
      <c r="C325" s="19">
        <f t="shared" si="11"/>
        <v>3</v>
      </c>
      <c r="D325" s="5" t="s">
        <v>508</v>
      </c>
      <c r="E325" s="5" t="s">
        <v>164</v>
      </c>
      <c r="F325" s="5" t="s">
        <v>19</v>
      </c>
      <c r="G325" s="5" t="s">
        <v>53</v>
      </c>
      <c r="H325" s="5" t="s">
        <v>509</v>
      </c>
      <c r="I325" s="13">
        <v>45.527999999999999</v>
      </c>
      <c r="J325" s="19">
        <v>3</v>
      </c>
      <c r="K325" s="14">
        <v>15.934799999999999</v>
      </c>
    </row>
    <row r="326" spans="1:11" x14ac:dyDescent="0.25">
      <c r="A326" s="2">
        <v>43553</v>
      </c>
      <c r="B326" s="18">
        <f t="shared" si="10"/>
        <v>2019</v>
      </c>
      <c r="C326" s="18">
        <f t="shared" si="11"/>
        <v>3</v>
      </c>
      <c r="D326" s="3" t="s">
        <v>508</v>
      </c>
      <c r="E326" s="3" t="s">
        <v>164</v>
      </c>
      <c r="F326" s="3" t="s">
        <v>11</v>
      </c>
      <c r="G326" s="3" t="s">
        <v>112</v>
      </c>
      <c r="H326" s="3" t="s">
        <v>510</v>
      </c>
      <c r="I326" s="11">
        <v>844.11599999999999</v>
      </c>
      <c r="J326" s="18">
        <v>6</v>
      </c>
      <c r="K326" s="12">
        <v>-36.176400000000001</v>
      </c>
    </row>
    <row r="327" spans="1:11" x14ac:dyDescent="0.25">
      <c r="A327" s="4">
        <v>43553</v>
      </c>
      <c r="B327" s="19">
        <f t="shared" si="10"/>
        <v>2019</v>
      </c>
      <c r="C327" s="19">
        <f t="shared" si="11"/>
        <v>3</v>
      </c>
      <c r="D327" s="5" t="s">
        <v>508</v>
      </c>
      <c r="E327" s="5" t="s">
        <v>164</v>
      </c>
      <c r="F327" s="5" t="s">
        <v>14</v>
      </c>
      <c r="G327" s="5" t="s">
        <v>15</v>
      </c>
      <c r="H327" s="5" t="s">
        <v>405</v>
      </c>
      <c r="I327" s="13">
        <v>812.73599999999999</v>
      </c>
      <c r="J327" s="19">
        <v>8</v>
      </c>
      <c r="K327" s="14">
        <v>60.955199999999998</v>
      </c>
    </row>
    <row r="328" spans="1:11" x14ac:dyDescent="0.25">
      <c r="A328" s="2">
        <v>43553</v>
      </c>
      <c r="B328" s="18">
        <f t="shared" si="10"/>
        <v>2019</v>
      </c>
      <c r="C328" s="18">
        <f t="shared" si="11"/>
        <v>3</v>
      </c>
      <c r="D328" s="3" t="s">
        <v>511</v>
      </c>
      <c r="E328" s="3" t="s">
        <v>94</v>
      </c>
      <c r="F328" s="3" t="s">
        <v>19</v>
      </c>
      <c r="G328" s="3" t="s">
        <v>53</v>
      </c>
      <c r="H328" s="3" t="s">
        <v>512</v>
      </c>
      <c r="I328" s="11">
        <v>13.48</v>
      </c>
      <c r="J328" s="18">
        <v>2</v>
      </c>
      <c r="K328" s="12">
        <v>6.74</v>
      </c>
    </row>
    <row r="329" spans="1:11" x14ac:dyDescent="0.25">
      <c r="A329" s="4">
        <v>43553</v>
      </c>
      <c r="B329" s="19">
        <f t="shared" si="10"/>
        <v>2019</v>
      </c>
      <c r="C329" s="19">
        <f t="shared" si="11"/>
        <v>3</v>
      </c>
      <c r="D329" s="5" t="s">
        <v>511</v>
      </c>
      <c r="E329" s="5" t="s">
        <v>94</v>
      </c>
      <c r="F329" s="5" t="s">
        <v>19</v>
      </c>
      <c r="G329" s="5" t="s">
        <v>32</v>
      </c>
      <c r="H329" s="5" t="s">
        <v>513</v>
      </c>
      <c r="I329" s="13">
        <v>29.8</v>
      </c>
      <c r="J329" s="19">
        <v>5</v>
      </c>
      <c r="K329" s="14">
        <v>9.3125</v>
      </c>
    </row>
    <row r="330" spans="1:11" x14ac:dyDescent="0.25">
      <c r="A330" s="2">
        <v>43553</v>
      </c>
      <c r="B330" s="18">
        <f t="shared" si="10"/>
        <v>2019</v>
      </c>
      <c r="C330" s="18">
        <f t="shared" si="11"/>
        <v>3</v>
      </c>
      <c r="D330" s="3" t="s">
        <v>511</v>
      </c>
      <c r="E330" s="3" t="s">
        <v>94</v>
      </c>
      <c r="F330" s="3" t="s">
        <v>11</v>
      </c>
      <c r="G330" s="3" t="s">
        <v>51</v>
      </c>
      <c r="H330" s="3" t="s">
        <v>514</v>
      </c>
      <c r="I330" s="11">
        <v>414</v>
      </c>
      <c r="J330" s="18">
        <v>8</v>
      </c>
      <c r="K330" s="12">
        <v>124.2</v>
      </c>
    </row>
    <row r="331" spans="1:11" x14ac:dyDescent="0.25">
      <c r="A331" s="4">
        <v>43553</v>
      </c>
      <c r="B331" s="19">
        <f t="shared" si="10"/>
        <v>2019</v>
      </c>
      <c r="C331" s="19">
        <f t="shared" si="11"/>
        <v>3</v>
      </c>
      <c r="D331" s="5" t="s">
        <v>511</v>
      </c>
      <c r="E331" s="5" t="s">
        <v>94</v>
      </c>
      <c r="F331" s="5" t="s">
        <v>19</v>
      </c>
      <c r="G331" s="5" t="s">
        <v>32</v>
      </c>
      <c r="H331" s="5" t="s">
        <v>515</v>
      </c>
      <c r="I331" s="13">
        <v>41.328000000000003</v>
      </c>
      <c r="J331" s="19">
        <v>7</v>
      </c>
      <c r="K331" s="14">
        <v>14.981400000000001</v>
      </c>
    </row>
    <row r="332" spans="1:11" x14ac:dyDescent="0.25">
      <c r="A332" s="2">
        <v>43553</v>
      </c>
      <c r="B332" s="18">
        <f t="shared" si="10"/>
        <v>2019</v>
      </c>
      <c r="C332" s="18">
        <f t="shared" si="11"/>
        <v>3</v>
      </c>
      <c r="D332" s="3" t="s">
        <v>516</v>
      </c>
      <c r="E332" s="3" t="s">
        <v>67</v>
      </c>
      <c r="F332" s="3" t="s">
        <v>11</v>
      </c>
      <c r="G332" s="3" t="s">
        <v>12</v>
      </c>
      <c r="H332" s="3" t="s">
        <v>208</v>
      </c>
      <c r="I332" s="11">
        <v>299.97500000000002</v>
      </c>
      <c r="J332" s="18">
        <v>5</v>
      </c>
      <c r="K332" s="12">
        <v>-167.98599999999999</v>
      </c>
    </row>
    <row r="333" spans="1:11" x14ac:dyDescent="0.25">
      <c r="A333" s="4">
        <v>43553</v>
      </c>
      <c r="B333" s="19">
        <f t="shared" si="10"/>
        <v>2019</v>
      </c>
      <c r="C333" s="19">
        <f t="shared" si="11"/>
        <v>3</v>
      </c>
      <c r="D333" s="5" t="s">
        <v>516</v>
      </c>
      <c r="E333" s="5" t="s">
        <v>67</v>
      </c>
      <c r="F333" s="5" t="s">
        <v>14</v>
      </c>
      <c r="G333" s="5" t="s">
        <v>15</v>
      </c>
      <c r="H333" s="5" t="s">
        <v>517</v>
      </c>
      <c r="I333" s="13">
        <v>158.376</v>
      </c>
      <c r="J333" s="19">
        <v>4</v>
      </c>
      <c r="K333" s="14">
        <v>-36.9544</v>
      </c>
    </row>
    <row r="334" spans="1:11" x14ac:dyDescent="0.25">
      <c r="A334" s="2">
        <v>43554</v>
      </c>
      <c r="B334" s="18">
        <f t="shared" si="10"/>
        <v>2019</v>
      </c>
      <c r="C334" s="18">
        <f t="shared" si="11"/>
        <v>3</v>
      </c>
      <c r="D334" s="3" t="s">
        <v>518</v>
      </c>
      <c r="E334" s="3" t="s">
        <v>91</v>
      </c>
      <c r="F334" s="3" t="s">
        <v>19</v>
      </c>
      <c r="G334" s="3" t="s">
        <v>53</v>
      </c>
      <c r="H334" s="3" t="s">
        <v>519</v>
      </c>
      <c r="I334" s="11">
        <v>11.34</v>
      </c>
      <c r="J334" s="18">
        <v>1</v>
      </c>
      <c r="K334" s="12">
        <v>5.5566000000000004</v>
      </c>
    </row>
    <row r="335" spans="1:11" x14ac:dyDescent="0.25">
      <c r="A335" s="4">
        <v>43555</v>
      </c>
      <c r="B335" s="19">
        <f t="shared" si="10"/>
        <v>2019</v>
      </c>
      <c r="C335" s="19">
        <f t="shared" si="11"/>
        <v>3</v>
      </c>
      <c r="D335" s="5" t="s">
        <v>520</v>
      </c>
      <c r="E335" s="5" t="s">
        <v>39</v>
      </c>
      <c r="F335" s="5" t="s">
        <v>14</v>
      </c>
      <c r="G335" s="5" t="s">
        <v>15</v>
      </c>
      <c r="H335" s="5" t="s">
        <v>521</v>
      </c>
      <c r="I335" s="13">
        <v>280.78199999999998</v>
      </c>
      <c r="J335" s="19">
        <v>3</v>
      </c>
      <c r="K335" s="14">
        <v>-60.836100000000002</v>
      </c>
    </row>
    <row r="336" spans="1:11" x14ac:dyDescent="0.25">
      <c r="A336" s="2">
        <v>43555</v>
      </c>
      <c r="B336" s="18">
        <f t="shared" si="10"/>
        <v>2019</v>
      </c>
      <c r="C336" s="18">
        <f t="shared" si="11"/>
        <v>3</v>
      </c>
      <c r="D336" s="3" t="s">
        <v>520</v>
      </c>
      <c r="E336" s="3" t="s">
        <v>39</v>
      </c>
      <c r="F336" s="3" t="s">
        <v>14</v>
      </c>
      <c r="G336" s="3" t="s">
        <v>24</v>
      </c>
      <c r="H336" s="3" t="s">
        <v>522</v>
      </c>
      <c r="I336" s="11">
        <v>31.984000000000002</v>
      </c>
      <c r="J336" s="18">
        <v>2</v>
      </c>
      <c r="K336" s="12">
        <v>1.1994</v>
      </c>
    </row>
    <row r="337" spans="1:11" x14ac:dyDescent="0.25">
      <c r="A337" s="4">
        <v>43555</v>
      </c>
      <c r="B337" s="19">
        <f t="shared" si="10"/>
        <v>2019</v>
      </c>
      <c r="C337" s="19">
        <f t="shared" si="11"/>
        <v>3</v>
      </c>
      <c r="D337" s="5" t="s">
        <v>523</v>
      </c>
      <c r="E337" s="5" t="s">
        <v>94</v>
      </c>
      <c r="F337" s="5" t="s">
        <v>11</v>
      </c>
      <c r="G337" s="5" t="s">
        <v>112</v>
      </c>
      <c r="H337" s="5" t="s">
        <v>524</v>
      </c>
      <c r="I337" s="13">
        <v>327.99599999999998</v>
      </c>
      <c r="J337" s="19">
        <v>6</v>
      </c>
      <c r="K337" s="14">
        <v>54.665999999999997</v>
      </c>
    </row>
    <row r="338" spans="1:11" x14ac:dyDescent="0.25">
      <c r="A338" s="2">
        <v>43556</v>
      </c>
      <c r="B338" s="18">
        <f t="shared" si="10"/>
        <v>2019</v>
      </c>
      <c r="C338" s="18">
        <f t="shared" si="11"/>
        <v>4</v>
      </c>
      <c r="D338" s="3" t="s">
        <v>525</v>
      </c>
      <c r="E338" s="3" t="s">
        <v>94</v>
      </c>
      <c r="F338" s="3" t="s">
        <v>19</v>
      </c>
      <c r="G338" s="3" t="s">
        <v>40</v>
      </c>
      <c r="H338" s="3" t="s">
        <v>153</v>
      </c>
      <c r="I338" s="11">
        <v>59.52</v>
      </c>
      <c r="J338" s="18">
        <v>3</v>
      </c>
      <c r="K338" s="12">
        <v>15.475199999999999</v>
      </c>
    </row>
    <row r="339" spans="1:11" x14ac:dyDescent="0.25">
      <c r="A339" s="4">
        <v>43556</v>
      </c>
      <c r="B339" s="19">
        <f t="shared" si="10"/>
        <v>2019</v>
      </c>
      <c r="C339" s="19">
        <f t="shared" si="11"/>
        <v>4</v>
      </c>
      <c r="D339" s="5" t="s">
        <v>525</v>
      </c>
      <c r="E339" s="5" t="s">
        <v>94</v>
      </c>
      <c r="F339" s="5" t="s">
        <v>19</v>
      </c>
      <c r="G339" s="5" t="s">
        <v>20</v>
      </c>
      <c r="H339" s="5" t="s">
        <v>526</v>
      </c>
      <c r="I339" s="13">
        <v>161.94</v>
      </c>
      <c r="J339" s="19">
        <v>3</v>
      </c>
      <c r="K339" s="14">
        <v>9.7164000000000001</v>
      </c>
    </row>
    <row r="340" spans="1:11" x14ac:dyDescent="0.25">
      <c r="A340" s="2">
        <v>43556</v>
      </c>
      <c r="B340" s="18">
        <f t="shared" si="10"/>
        <v>2019</v>
      </c>
      <c r="C340" s="18">
        <f t="shared" si="11"/>
        <v>4</v>
      </c>
      <c r="D340" s="3" t="s">
        <v>525</v>
      </c>
      <c r="E340" s="3" t="s">
        <v>94</v>
      </c>
      <c r="F340" s="3" t="s">
        <v>19</v>
      </c>
      <c r="G340" s="3" t="s">
        <v>40</v>
      </c>
      <c r="H340" s="3" t="s">
        <v>527</v>
      </c>
      <c r="I340" s="11">
        <v>263.88</v>
      </c>
      <c r="J340" s="18">
        <v>6</v>
      </c>
      <c r="K340" s="12">
        <v>71.247600000000006</v>
      </c>
    </row>
    <row r="341" spans="1:11" x14ac:dyDescent="0.25">
      <c r="A341" s="4">
        <v>43556</v>
      </c>
      <c r="B341" s="19">
        <f t="shared" si="10"/>
        <v>2019</v>
      </c>
      <c r="C341" s="19">
        <f t="shared" si="11"/>
        <v>4</v>
      </c>
      <c r="D341" s="5" t="s">
        <v>525</v>
      </c>
      <c r="E341" s="5" t="s">
        <v>94</v>
      </c>
      <c r="F341" s="5" t="s">
        <v>19</v>
      </c>
      <c r="G341" s="5" t="s">
        <v>40</v>
      </c>
      <c r="H341" s="5" t="s">
        <v>528</v>
      </c>
      <c r="I341" s="13">
        <v>30.48</v>
      </c>
      <c r="J341" s="19">
        <v>3</v>
      </c>
      <c r="K341" s="14">
        <v>7.9248000000000003</v>
      </c>
    </row>
    <row r="342" spans="1:11" x14ac:dyDescent="0.25">
      <c r="A342" s="2">
        <v>43556</v>
      </c>
      <c r="B342" s="18">
        <f t="shared" si="10"/>
        <v>2019</v>
      </c>
      <c r="C342" s="18">
        <f t="shared" si="11"/>
        <v>4</v>
      </c>
      <c r="D342" s="3" t="s">
        <v>525</v>
      </c>
      <c r="E342" s="3" t="s">
        <v>94</v>
      </c>
      <c r="F342" s="3" t="s">
        <v>19</v>
      </c>
      <c r="G342" s="3" t="s">
        <v>40</v>
      </c>
      <c r="H342" s="3" t="s">
        <v>529</v>
      </c>
      <c r="I342" s="11">
        <v>9.84</v>
      </c>
      <c r="J342" s="18">
        <v>3</v>
      </c>
      <c r="K342" s="12">
        <v>2.8536000000000001</v>
      </c>
    </row>
    <row r="343" spans="1:11" x14ac:dyDescent="0.25">
      <c r="A343" s="4">
        <v>43556</v>
      </c>
      <c r="B343" s="19">
        <f t="shared" si="10"/>
        <v>2019</v>
      </c>
      <c r="C343" s="19">
        <f t="shared" si="11"/>
        <v>4</v>
      </c>
      <c r="D343" s="5" t="s">
        <v>525</v>
      </c>
      <c r="E343" s="5" t="s">
        <v>94</v>
      </c>
      <c r="F343" s="5" t="s">
        <v>14</v>
      </c>
      <c r="G343" s="5" t="s">
        <v>15</v>
      </c>
      <c r="H343" s="5" t="s">
        <v>350</v>
      </c>
      <c r="I343" s="13">
        <v>35.119999999999997</v>
      </c>
      <c r="J343" s="19">
        <v>4</v>
      </c>
      <c r="K343" s="14">
        <v>9.1311999999999998</v>
      </c>
    </row>
    <row r="344" spans="1:11" x14ac:dyDescent="0.25">
      <c r="A344" s="2">
        <v>43556</v>
      </c>
      <c r="B344" s="18">
        <f t="shared" si="10"/>
        <v>2019</v>
      </c>
      <c r="C344" s="18">
        <f t="shared" si="11"/>
        <v>4</v>
      </c>
      <c r="D344" s="3" t="s">
        <v>530</v>
      </c>
      <c r="E344" s="3" t="s">
        <v>198</v>
      </c>
      <c r="F344" s="3" t="s">
        <v>19</v>
      </c>
      <c r="G344" s="3" t="s">
        <v>116</v>
      </c>
      <c r="H344" s="3" t="s">
        <v>301</v>
      </c>
      <c r="I344" s="11">
        <v>31.56</v>
      </c>
      <c r="J344" s="18">
        <v>5</v>
      </c>
      <c r="K344" s="12">
        <v>9.8625000000000007</v>
      </c>
    </row>
    <row r="345" spans="1:11" x14ac:dyDescent="0.25">
      <c r="A345" s="4">
        <v>43556</v>
      </c>
      <c r="B345" s="19">
        <f t="shared" si="10"/>
        <v>2019</v>
      </c>
      <c r="C345" s="19">
        <f t="shared" si="11"/>
        <v>4</v>
      </c>
      <c r="D345" s="5" t="s">
        <v>530</v>
      </c>
      <c r="E345" s="5" t="s">
        <v>198</v>
      </c>
      <c r="F345" s="5" t="s">
        <v>19</v>
      </c>
      <c r="G345" s="5" t="s">
        <v>121</v>
      </c>
      <c r="H345" s="5" t="s">
        <v>531</v>
      </c>
      <c r="I345" s="13">
        <v>30.143999999999998</v>
      </c>
      <c r="J345" s="19">
        <v>2</v>
      </c>
      <c r="K345" s="14">
        <v>3.0144000000000002</v>
      </c>
    </row>
    <row r="346" spans="1:11" x14ac:dyDescent="0.25">
      <c r="A346" s="2">
        <v>43556</v>
      </c>
      <c r="B346" s="18">
        <f t="shared" si="10"/>
        <v>2019</v>
      </c>
      <c r="C346" s="18">
        <f t="shared" si="11"/>
        <v>4</v>
      </c>
      <c r="D346" s="3" t="s">
        <v>296</v>
      </c>
      <c r="E346" s="3" t="s">
        <v>94</v>
      </c>
      <c r="F346" s="3" t="s">
        <v>19</v>
      </c>
      <c r="G346" s="3" t="s">
        <v>40</v>
      </c>
      <c r="H346" s="3" t="s">
        <v>532</v>
      </c>
      <c r="I346" s="11">
        <v>88.04</v>
      </c>
      <c r="J346" s="18">
        <v>4</v>
      </c>
      <c r="K346" s="12">
        <v>22.8904</v>
      </c>
    </row>
    <row r="347" spans="1:11" x14ac:dyDescent="0.25">
      <c r="A347" s="4">
        <v>43556</v>
      </c>
      <c r="B347" s="19">
        <f t="shared" si="10"/>
        <v>2019</v>
      </c>
      <c r="C347" s="19">
        <f t="shared" si="11"/>
        <v>4</v>
      </c>
      <c r="D347" s="5" t="s">
        <v>533</v>
      </c>
      <c r="E347" s="5" t="s">
        <v>94</v>
      </c>
      <c r="F347" s="5" t="s">
        <v>19</v>
      </c>
      <c r="G347" s="5" t="s">
        <v>127</v>
      </c>
      <c r="H347" s="5" t="s">
        <v>534</v>
      </c>
      <c r="I347" s="13">
        <v>20.7</v>
      </c>
      <c r="J347" s="19">
        <v>2</v>
      </c>
      <c r="K347" s="14">
        <v>9.9359999999999999</v>
      </c>
    </row>
    <row r="348" spans="1:11" x14ac:dyDescent="0.25">
      <c r="A348" s="2">
        <v>43556</v>
      </c>
      <c r="B348" s="18">
        <f t="shared" si="10"/>
        <v>2019</v>
      </c>
      <c r="C348" s="18">
        <f t="shared" si="11"/>
        <v>4</v>
      </c>
      <c r="D348" s="3" t="s">
        <v>533</v>
      </c>
      <c r="E348" s="3" t="s">
        <v>94</v>
      </c>
      <c r="F348" s="3" t="s">
        <v>19</v>
      </c>
      <c r="G348" s="3" t="s">
        <v>265</v>
      </c>
      <c r="H348" s="3" t="s">
        <v>535</v>
      </c>
      <c r="I348" s="11">
        <v>10.95</v>
      </c>
      <c r="J348" s="18">
        <v>3</v>
      </c>
      <c r="K348" s="12">
        <v>3.2850000000000001</v>
      </c>
    </row>
    <row r="349" spans="1:11" x14ac:dyDescent="0.25">
      <c r="A349" s="4">
        <v>43556</v>
      </c>
      <c r="B349" s="19">
        <f t="shared" si="10"/>
        <v>2019</v>
      </c>
      <c r="C349" s="19">
        <f t="shared" si="11"/>
        <v>4</v>
      </c>
      <c r="D349" s="5" t="s">
        <v>533</v>
      </c>
      <c r="E349" s="5" t="s">
        <v>94</v>
      </c>
      <c r="F349" s="5" t="s">
        <v>19</v>
      </c>
      <c r="G349" s="5" t="s">
        <v>32</v>
      </c>
      <c r="H349" s="5" t="s">
        <v>536</v>
      </c>
      <c r="I349" s="13">
        <v>14.352</v>
      </c>
      <c r="J349" s="19">
        <v>3</v>
      </c>
      <c r="K349" s="14">
        <v>4.6643999999999997</v>
      </c>
    </row>
    <row r="350" spans="1:11" x14ac:dyDescent="0.25">
      <c r="A350" s="2">
        <v>43556</v>
      </c>
      <c r="B350" s="18">
        <f t="shared" si="10"/>
        <v>2019</v>
      </c>
      <c r="C350" s="18">
        <f t="shared" si="11"/>
        <v>4</v>
      </c>
      <c r="D350" s="3" t="s">
        <v>126</v>
      </c>
      <c r="E350" s="3" t="s">
        <v>94</v>
      </c>
      <c r="F350" s="3" t="s">
        <v>11</v>
      </c>
      <c r="G350" s="3" t="s">
        <v>112</v>
      </c>
      <c r="H350" s="3" t="s">
        <v>537</v>
      </c>
      <c r="I350" s="11">
        <v>1317.492</v>
      </c>
      <c r="J350" s="18">
        <v>6</v>
      </c>
      <c r="K350" s="12">
        <v>292.77600000000001</v>
      </c>
    </row>
    <row r="351" spans="1:11" x14ac:dyDescent="0.25">
      <c r="A351" s="4">
        <v>43556</v>
      </c>
      <c r="B351" s="19">
        <f t="shared" si="10"/>
        <v>2019</v>
      </c>
      <c r="C351" s="19">
        <f t="shared" si="11"/>
        <v>4</v>
      </c>
      <c r="D351" s="5" t="s">
        <v>126</v>
      </c>
      <c r="E351" s="5" t="s">
        <v>94</v>
      </c>
      <c r="F351" s="5" t="s">
        <v>19</v>
      </c>
      <c r="G351" s="5" t="s">
        <v>265</v>
      </c>
      <c r="H351" s="5" t="s">
        <v>538</v>
      </c>
      <c r="I351" s="13">
        <v>63.84</v>
      </c>
      <c r="J351" s="19">
        <v>8</v>
      </c>
      <c r="K351" s="14">
        <v>18.5136</v>
      </c>
    </row>
    <row r="352" spans="1:11" x14ac:dyDescent="0.25">
      <c r="A352" s="2">
        <v>43556</v>
      </c>
      <c r="B352" s="18">
        <f t="shared" si="10"/>
        <v>2019</v>
      </c>
      <c r="C352" s="18">
        <f t="shared" si="11"/>
        <v>4</v>
      </c>
      <c r="D352" s="3" t="s">
        <v>126</v>
      </c>
      <c r="E352" s="3" t="s">
        <v>94</v>
      </c>
      <c r="F352" s="3" t="s">
        <v>19</v>
      </c>
      <c r="G352" s="3" t="s">
        <v>32</v>
      </c>
      <c r="H352" s="3" t="s">
        <v>539</v>
      </c>
      <c r="I352" s="11">
        <v>3.5920000000000001</v>
      </c>
      <c r="J352" s="18">
        <v>1</v>
      </c>
      <c r="K352" s="12">
        <v>1.1225000000000001</v>
      </c>
    </row>
    <row r="353" spans="1:11" x14ac:dyDescent="0.25">
      <c r="A353" s="4">
        <v>43556</v>
      </c>
      <c r="B353" s="19">
        <f t="shared" si="10"/>
        <v>2019</v>
      </c>
      <c r="C353" s="19">
        <f t="shared" si="11"/>
        <v>4</v>
      </c>
      <c r="D353" s="5" t="s">
        <v>540</v>
      </c>
      <c r="E353" s="5" t="s">
        <v>109</v>
      </c>
      <c r="F353" s="5" t="s">
        <v>11</v>
      </c>
      <c r="G353" s="5" t="s">
        <v>51</v>
      </c>
      <c r="H353" s="5" t="s">
        <v>244</v>
      </c>
      <c r="I353" s="13">
        <v>7.04</v>
      </c>
      <c r="J353" s="19">
        <v>4</v>
      </c>
      <c r="K353" s="14">
        <v>3.0975999999999999</v>
      </c>
    </row>
    <row r="354" spans="1:11" x14ac:dyDescent="0.25">
      <c r="A354" s="2">
        <v>43556</v>
      </c>
      <c r="B354" s="18">
        <f t="shared" si="10"/>
        <v>2019</v>
      </c>
      <c r="C354" s="18">
        <f t="shared" si="11"/>
        <v>4</v>
      </c>
      <c r="D354" s="3" t="s">
        <v>441</v>
      </c>
      <c r="E354" s="3" t="s">
        <v>56</v>
      </c>
      <c r="F354" s="3" t="s">
        <v>14</v>
      </c>
      <c r="G354" s="3" t="s">
        <v>15</v>
      </c>
      <c r="H354" s="3" t="s">
        <v>78</v>
      </c>
      <c r="I354" s="11">
        <v>12.99</v>
      </c>
      <c r="J354" s="18">
        <v>1</v>
      </c>
      <c r="K354" s="12">
        <v>0.25979999999999998</v>
      </c>
    </row>
    <row r="355" spans="1:11" x14ac:dyDescent="0.25">
      <c r="A355" s="4">
        <v>43557</v>
      </c>
      <c r="B355" s="19">
        <f t="shared" si="10"/>
        <v>2019</v>
      </c>
      <c r="C355" s="19">
        <f t="shared" si="11"/>
        <v>4</v>
      </c>
      <c r="D355" s="5" t="s">
        <v>541</v>
      </c>
      <c r="E355" s="5" t="s">
        <v>56</v>
      </c>
      <c r="F355" s="5" t="s">
        <v>11</v>
      </c>
      <c r="G355" s="5" t="s">
        <v>112</v>
      </c>
      <c r="H355" s="5" t="s">
        <v>542</v>
      </c>
      <c r="I355" s="13">
        <v>1454.9</v>
      </c>
      <c r="J355" s="19">
        <v>5</v>
      </c>
      <c r="K355" s="14">
        <v>378.274</v>
      </c>
    </row>
    <row r="356" spans="1:11" x14ac:dyDescent="0.25">
      <c r="A356" s="2">
        <v>43558</v>
      </c>
      <c r="B356" s="18">
        <f t="shared" si="10"/>
        <v>2019</v>
      </c>
      <c r="C356" s="18">
        <f t="shared" si="11"/>
        <v>4</v>
      </c>
      <c r="D356" s="3" t="s">
        <v>520</v>
      </c>
      <c r="E356" s="3" t="s">
        <v>39</v>
      </c>
      <c r="F356" s="3" t="s">
        <v>19</v>
      </c>
      <c r="G356" s="3" t="s">
        <v>32</v>
      </c>
      <c r="H356" s="3" t="s">
        <v>543</v>
      </c>
      <c r="I356" s="11">
        <v>99.846000000000004</v>
      </c>
      <c r="J356" s="18">
        <v>9</v>
      </c>
      <c r="K356" s="12">
        <v>-83.204999999999998</v>
      </c>
    </row>
    <row r="357" spans="1:11" x14ac:dyDescent="0.25">
      <c r="A357" s="4">
        <v>43558</v>
      </c>
      <c r="B357" s="19">
        <f t="shared" si="10"/>
        <v>2019</v>
      </c>
      <c r="C357" s="19">
        <f t="shared" si="11"/>
        <v>4</v>
      </c>
      <c r="D357" s="5" t="s">
        <v>544</v>
      </c>
      <c r="E357" s="5" t="s">
        <v>317</v>
      </c>
      <c r="F357" s="5" t="s">
        <v>11</v>
      </c>
      <c r="G357" s="5" t="s">
        <v>51</v>
      </c>
      <c r="H357" s="5" t="s">
        <v>545</v>
      </c>
      <c r="I357" s="13">
        <v>71.12</v>
      </c>
      <c r="J357" s="19">
        <v>4</v>
      </c>
      <c r="K357" s="14">
        <v>22.0472</v>
      </c>
    </row>
    <row r="358" spans="1:11" x14ac:dyDescent="0.25">
      <c r="A358" s="2">
        <v>43558</v>
      </c>
      <c r="B358" s="18">
        <f t="shared" si="10"/>
        <v>2019</v>
      </c>
      <c r="C358" s="18">
        <f t="shared" si="11"/>
        <v>4</v>
      </c>
      <c r="D358" s="3" t="s">
        <v>544</v>
      </c>
      <c r="E358" s="3" t="s">
        <v>317</v>
      </c>
      <c r="F358" s="3" t="s">
        <v>14</v>
      </c>
      <c r="G358" s="3" t="s">
        <v>15</v>
      </c>
      <c r="H358" s="3" t="s">
        <v>446</v>
      </c>
      <c r="I358" s="11">
        <v>259.95999999999998</v>
      </c>
      <c r="J358" s="18">
        <v>4</v>
      </c>
      <c r="K358" s="12">
        <v>124.7808</v>
      </c>
    </row>
    <row r="359" spans="1:11" x14ac:dyDescent="0.25">
      <c r="A359" s="4">
        <v>43558</v>
      </c>
      <c r="B359" s="19">
        <f t="shared" si="10"/>
        <v>2019</v>
      </c>
      <c r="C359" s="19">
        <f t="shared" si="11"/>
        <v>4</v>
      </c>
      <c r="D359" s="5" t="s">
        <v>546</v>
      </c>
      <c r="E359" s="5" t="s">
        <v>23</v>
      </c>
      <c r="F359" s="5" t="s">
        <v>19</v>
      </c>
      <c r="G359" s="5" t="s">
        <v>53</v>
      </c>
      <c r="H359" s="5" t="s">
        <v>547</v>
      </c>
      <c r="I359" s="13">
        <v>10.272</v>
      </c>
      <c r="J359" s="19">
        <v>3</v>
      </c>
      <c r="K359" s="14">
        <v>3.21</v>
      </c>
    </row>
    <row r="360" spans="1:11" x14ac:dyDescent="0.25">
      <c r="A360" s="2">
        <v>43559</v>
      </c>
      <c r="B360" s="18">
        <f t="shared" si="10"/>
        <v>2019</v>
      </c>
      <c r="C360" s="18">
        <f t="shared" si="11"/>
        <v>4</v>
      </c>
      <c r="D360" s="3" t="s">
        <v>508</v>
      </c>
      <c r="E360" s="3" t="s">
        <v>181</v>
      </c>
      <c r="F360" s="3" t="s">
        <v>14</v>
      </c>
      <c r="G360" s="3" t="s">
        <v>15</v>
      </c>
      <c r="H360" s="3" t="s">
        <v>217</v>
      </c>
      <c r="I360" s="11">
        <v>149.97</v>
      </c>
      <c r="J360" s="18">
        <v>3</v>
      </c>
      <c r="K360" s="12">
        <v>5.9988000000000001</v>
      </c>
    </row>
    <row r="361" spans="1:11" x14ac:dyDescent="0.25">
      <c r="A361" s="4">
        <v>43559</v>
      </c>
      <c r="B361" s="19">
        <f t="shared" si="10"/>
        <v>2019</v>
      </c>
      <c r="C361" s="19">
        <f t="shared" si="11"/>
        <v>4</v>
      </c>
      <c r="D361" s="5" t="s">
        <v>508</v>
      </c>
      <c r="E361" s="5" t="s">
        <v>181</v>
      </c>
      <c r="F361" s="5" t="s">
        <v>19</v>
      </c>
      <c r="G361" s="5" t="s">
        <v>53</v>
      </c>
      <c r="H361" s="5" t="s">
        <v>548</v>
      </c>
      <c r="I361" s="13">
        <v>27.81</v>
      </c>
      <c r="J361" s="19">
        <v>3</v>
      </c>
      <c r="K361" s="14">
        <v>13.0707</v>
      </c>
    </row>
    <row r="362" spans="1:11" x14ac:dyDescent="0.25">
      <c r="A362" s="2">
        <v>43559</v>
      </c>
      <c r="B362" s="18">
        <f t="shared" si="10"/>
        <v>2019</v>
      </c>
      <c r="C362" s="18">
        <f t="shared" si="11"/>
        <v>4</v>
      </c>
      <c r="D362" s="3" t="s">
        <v>549</v>
      </c>
      <c r="E362" s="3" t="s">
        <v>94</v>
      </c>
      <c r="F362" s="3" t="s">
        <v>19</v>
      </c>
      <c r="G362" s="3" t="s">
        <v>32</v>
      </c>
      <c r="H362" s="3" t="s">
        <v>550</v>
      </c>
      <c r="I362" s="11">
        <v>588.78399999999999</v>
      </c>
      <c r="J362" s="18">
        <v>2</v>
      </c>
      <c r="K362" s="12">
        <v>183.995</v>
      </c>
    </row>
    <row r="363" spans="1:11" x14ac:dyDescent="0.25">
      <c r="A363" s="4">
        <v>43559</v>
      </c>
      <c r="B363" s="19">
        <f t="shared" si="10"/>
        <v>2019</v>
      </c>
      <c r="C363" s="19">
        <f t="shared" si="11"/>
        <v>4</v>
      </c>
      <c r="D363" s="5" t="s">
        <v>551</v>
      </c>
      <c r="E363" s="5" t="s">
        <v>94</v>
      </c>
      <c r="F363" s="5" t="s">
        <v>11</v>
      </c>
      <c r="G363" s="5" t="s">
        <v>51</v>
      </c>
      <c r="H363" s="5" t="s">
        <v>220</v>
      </c>
      <c r="I363" s="13">
        <v>82.64</v>
      </c>
      <c r="J363" s="19">
        <v>2</v>
      </c>
      <c r="K363" s="14">
        <v>7.4375999999999998</v>
      </c>
    </row>
    <row r="364" spans="1:11" x14ac:dyDescent="0.25">
      <c r="A364" s="2">
        <v>43559</v>
      </c>
      <c r="B364" s="18">
        <f t="shared" si="10"/>
        <v>2019</v>
      </c>
      <c r="C364" s="18">
        <f t="shared" si="11"/>
        <v>4</v>
      </c>
      <c r="D364" s="3" t="s">
        <v>551</v>
      </c>
      <c r="E364" s="3" t="s">
        <v>94</v>
      </c>
      <c r="F364" s="3" t="s">
        <v>19</v>
      </c>
      <c r="G364" s="3" t="s">
        <v>20</v>
      </c>
      <c r="H364" s="3" t="s">
        <v>552</v>
      </c>
      <c r="I364" s="11">
        <v>31.02</v>
      </c>
      <c r="J364" s="18">
        <v>2</v>
      </c>
      <c r="K364" s="12">
        <v>8.0652000000000008</v>
      </c>
    </row>
    <row r="365" spans="1:11" x14ac:dyDescent="0.25">
      <c r="A365" s="4">
        <v>43559</v>
      </c>
      <c r="B365" s="19">
        <f t="shared" si="10"/>
        <v>2019</v>
      </c>
      <c r="C365" s="19">
        <f t="shared" si="11"/>
        <v>4</v>
      </c>
      <c r="D365" s="5" t="s">
        <v>551</v>
      </c>
      <c r="E365" s="5" t="s">
        <v>94</v>
      </c>
      <c r="F365" s="5" t="s">
        <v>14</v>
      </c>
      <c r="G365" s="5" t="s">
        <v>24</v>
      </c>
      <c r="H365" s="5" t="s">
        <v>553</v>
      </c>
      <c r="I365" s="13">
        <v>89.97</v>
      </c>
      <c r="J365" s="19">
        <v>3</v>
      </c>
      <c r="K365" s="14">
        <v>37.787399999999998</v>
      </c>
    </row>
    <row r="366" spans="1:11" x14ac:dyDescent="0.25">
      <c r="A366" s="2">
        <v>43560</v>
      </c>
      <c r="B366" s="18">
        <f t="shared" si="10"/>
        <v>2019</v>
      </c>
      <c r="C366" s="18">
        <f t="shared" si="11"/>
        <v>4</v>
      </c>
      <c r="D366" s="3" t="s">
        <v>554</v>
      </c>
      <c r="E366" s="3" t="s">
        <v>23</v>
      </c>
      <c r="F366" s="3" t="s">
        <v>19</v>
      </c>
      <c r="G366" s="3" t="s">
        <v>20</v>
      </c>
      <c r="H366" s="3" t="s">
        <v>555</v>
      </c>
      <c r="I366" s="11">
        <v>158.36799999999999</v>
      </c>
      <c r="J366" s="18">
        <v>7</v>
      </c>
      <c r="K366" s="12">
        <v>13.857200000000001</v>
      </c>
    </row>
    <row r="367" spans="1:11" x14ac:dyDescent="0.25">
      <c r="A367" s="4">
        <v>43560</v>
      </c>
      <c r="B367" s="19">
        <f t="shared" si="10"/>
        <v>2019</v>
      </c>
      <c r="C367" s="19">
        <f t="shared" si="11"/>
        <v>4</v>
      </c>
      <c r="D367" s="5" t="s">
        <v>556</v>
      </c>
      <c r="E367" s="5" t="s">
        <v>39</v>
      </c>
      <c r="F367" s="5" t="s">
        <v>14</v>
      </c>
      <c r="G367" s="5" t="s">
        <v>15</v>
      </c>
      <c r="H367" s="5" t="s">
        <v>517</v>
      </c>
      <c r="I367" s="13">
        <v>118.782</v>
      </c>
      <c r="J367" s="19">
        <v>3</v>
      </c>
      <c r="K367" s="14">
        <v>-27.715800000000002</v>
      </c>
    </row>
    <row r="368" spans="1:11" x14ac:dyDescent="0.25">
      <c r="A368" s="2">
        <v>43560</v>
      </c>
      <c r="B368" s="18">
        <f t="shared" si="10"/>
        <v>2019</v>
      </c>
      <c r="C368" s="18">
        <f t="shared" si="11"/>
        <v>4</v>
      </c>
      <c r="D368" s="3" t="s">
        <v>556</v>
      </c>
      <c r="E368" s="3" t="s">
        <v>39</v>
      </c>
      <c r="F368" s="3" t="s">
        <v>19</v>
      </c>
      <c r="G368" s="3" t="s">
        <v>265</v>
      </c>
      <c r="H368" s="3" t="s">
        <v>557</v>
      </c>
      <c r="I368" s="11">
        <v>769.18399999999997</v>
      </c>
      <c r="J368" s="18">
        <v>4</v>
      </c>
      <c r="K368" s="12">
        <v>-163.45160000000001</v>
      </c>
    </row>
    <row r="369" spans="1:11" x14ac:dyDescent="0.25">
      <c r="A369" s="4">
        <v>43561</v>
      </c>
      <c r="B369" s="19">
        <f t="shared" si="10"/>
        <v>2019</v>
      </c>
      <c r="C369" s="19">
        <f t="shared" si="11"/>
        <v>4</v>
      </c>
      <c r="D369" s="5" t="s">
        <v>558</v>
      </c>
      <c r="E369" s="5" t="s">
        <v>138</v>
      </c>
      <c r="F369" s="5" t="s">
        <v>14</v>
      </c>
      <c r="G369" s="5" t="s">
        <v>15</v>
      </c>
      <c r="H369" s="5" t="s">
        <v>559</v>
      </c>
      <c r="I369" s="13">
        <v>1294.75</v>
      </c>
      <c r="J369" s="19">
        <v>5</v>
      </c>
      <c r="K369" s="14">
        <v>336.63499999999999</v>
      </c>
    </row>
    <row r="370" spans="1:11" x14ac:dyDescent="0.25">
      <c r="A370" s="2">
        <v>43562</v>
      </c>
      <c r="B370" s="18">
        <f t="shared" si="10"/>
        <v>2019</v>
      </c>
      <c r="C370" s="18">
        <f t="shared" si="11"/>
        <v>4</v>
      </c>
      <c r="D370" s="3" t="s">
        <v>560</v>
      </c>
      <c r="E370" s="3" t="s">
        <v>18</v>
      </c>
      <c r="F370" s="3" t="s">
        <v>14</v>
      </c>
      <c r="G370" s="3" t="s">
        <v>36</v>
      </c>
      <c r="H370" s="3" t="s">
        <v>561</v>
      </c>
      <c r="I370" s="11">
        <v>1199.9760000000001</v>
      </c>
      <c r="J370" s="18">
        <v>3</v>
      </c>
      <c r="K370" s="12">
        <v>374.99250000000001</v>
      </c>
    </row>
    <row r="371" spans="1:11" x14ac:dyDescent="0.25">
      <c r="A371" s="4">
        <v>43562</v>
      </c>
      <c r="B371" s="19">
        <f t="shared" si="10"/>
        <v>2019</v>
      </c>
      <c r="C371" s="19">
        <f t="shared" si="11"/>
        <v>4</v>
      </c>
      <c r="D371" s="5" t="s">
        <v>562</v>
      </c>
      <c r="E371" s="5" t="s">
        <v>94</v>
      </c>
      <c r="F371" s="5" t="s">
        <v>11</v>
      </c>
      <c r="G371" s="5" t="s">
        <v>112</v>
      </c>
      <c r="H371" s="5" t="s">
        <v>537</v>
      </c>
      <c r="I371" s="13">
        <v>658.74599999999998</v>
      </c>
      <c r="J371" s="19">
        <v>3</v>
      </c>
      <c r="K371" s="14">
        <v>146.38800000000001</v>
      </c>
    </row>
    <row r="372" spans="1:11" x14ac:dyDescent="0.25">
      <c r="A372" s="2">
        <v>43562</v>
      </c>
      <c r="B372" s="18">
        <f t="shared" si="10"/>
        <v>2019</v>
      </c>
      <c r="C372" s="18">
        <f t="shared" si="11"/>
        <v>4</v>
      </c>
      <c r="D372" s="3" t="s">
        <v>563</v>
      </c>
      <c r="E372" s="3" t="s">
        <v>94</v>
      </c>
      <c r="F372" s="3" t="s">
        <v>19</v>
      </c>
      <c r="G372" s="3" t="s">
        <v>40</v>
      </c>
      <c r="H372" s="3" t="s">
        <v>564</v>
      </c>
      <c r="I372" s="11">
        <v>3.64</v>
      </c>
      <c r="J372" s="18">
        <v>2</v>
      </c>
      <c r="K372" s="12">
        <v>0.98280000000000001</v>
      </c>
    </row>
    <row r="373" spans="1:11" x14ac:dyDescent="0.25">
      <c r="A373" s="4">
        <v>43562</v>
      </c>
      <c r="B373" s="19">
        <f t="shared" si="10"/>
        <v>2019</v>
      </c>
      <c r="C373" s="19">
        <f t="shared" si="11"/>
        <v>4</v>
      </c>
      <c r="D373" s="5" t="s">
        <v>565</v>
      </c>
      <c r="E373" s="5" t="s">
        <v>85</v>
      </c>
      <c r="F373" s="5" t="s">
        <v>19</v>
      </c>
      <c r="G373" s="5" t="s">
        <v>53</v>
      </c>
      <c r="H373" s="5" t="s">
        <v>566</v>
      </c>
      <c r="I373" s="13">
        <v>37.94</v>
      </c>
      <c r="J373" s="19">
        <v>2</v>
      </c>
      <c r="K373" s="14">
        <v>18.211200000000002</v>
      </c>
    </row>
    <row r="374" spans="1:11" x14ac:dyDescent="0.25">
      <c r="A374" s="2">
        <v>43562</v>
      </c>
      <c r="B374" s="18">
        <f t="shared" si="10"/>
        <v>2019</v>
      </c>
      <c r="C374" s="18">
        <f t="shared" si="11"/>
        <v>4</v>
      </c>
      <c r="D374" s="3" t="s">
        <v>567</v>
      </c>
      <c r="E374" s="3" t="s">
        <v>39</v>
      </c>
      <c r="F374" s="3" t="s">
        <v>19</v>
      </c>
      <c r="G374" s="3" t="s">
        <v>121</v>
      </c>
      <c r="H374" s="3" t="s">
        <v>568</v>
      </c>
      <c r="I374" s="11">
        <v>33.527999999999999</v>
      </c>
      <c r="J374" s="18">
        <v>3</v>
      </c>
      <c r="K374" s="12">
        <v>2.5146000000000002</v>
      </c>
    </row>
    <row r="375" spans="1:11" x14ac:dyDescent="0.25">
      <c r="A375" s="4">
        <v>43562</v>
      </c>
      <c r="B375" s="19">
        <f t="shared" si="10"/>
        <v>2019</v>
      </c>
      <c r="C375" s="19">
        <f t="shared" si="11"/>
        <v>4</v>
      </c>
      <c r="D375" s="5" t="s">
        <v>567</v>
      </c>
      <c r="E375" s="5" t="s">
        <v>39</v>
      </c>
      <c r="F375" s="5" t="s">
        <v>19</v>
      </c>
      <c r="G375" s="5" t="s">
        <v>20</v>
      </c>
      <c r="H375" s="5" t="s">
        <v>569</v>
      </c>
      <c r="I375" s="13">
        <v>36.744</v>
      </c>
      <c r="J375" s="19">
        <v>3</v>
      </c>
      <c r="K375" s="14">
        <v>3.6743999999999999</v>
      </c>
    </row>
    <row r="376" spans="1:11" x14ac:dyDescent="0.25">
      <c r="A376" s="2">
        <v>43563</v>
      </c>
      <c r="B376" s="18">
        <f t="shared" si="10"/>
        <v>2019</v>
      </c>
      <c r="C376" s="18">
        <f t="shared" si="11"/>
        <v>4</v>
      </c>
      <c r="D376" s="3" t="s">
        <v>570</v>
      </c>
      <c r="E376" s="3" t="s">
        <v>94</v>
      </c>
      <c r="F376" s="3" t="s">
        <v>11</v>
      </c>
      <c r="G376" s="3" t="s">
        <v>12</v>
      </c>
      <c r="H376" s="3" t="s">
        <v>571</v>
      </c>
      <c r="I376" s="11">
        <v>388.70400000000001</v>
      </c>
      <c r="J376" s="18">
        <v>6</v>
      </c>
      <c r="K376" s="12">
        <v>-4.8587999999999996</v>
      </c>
    </row>
    <row r="377" spans="1:11" x14ac:dyDescent="0.25">
      <c r="A377" s="4">
        <v>43563</v>
      </c>
      <c r="B377" s="19">
        <f t="shared" si="10"/>
        <v>2019</v>
      </c>
      <c r="C377" s="19">
        <f t="shared" si="11"/>
        <v>4</v>
      </c>
      <c r="D377" s="5" t="s">
        <v>570</v>
      </c>
      <c r="E377" s="5" t="s">
        <v>94</v>
      </c>
      <c r="F377" s="5" t="s">
        <v>19</v>
      </c>
      <c r="G377" s="5" t="s">
        <v>86</v>
      </c>
      <c r="H377" s="5" t="s">
        <v>95</v>
      </c>
      <c r="I377" s="13">
        <v>8.26</v>
      </c>
      <c r="J377" s="19">
        <v>2</v>
      </c>
      <c r="K377" s="14">
        <v>3.7995999999999999</v>
      </c>
    </row>
    <row r="378" spans="1:11" x14ac:dyDescent="0.25">
      <c r="A378" s="2">
        <v>43563</v>
      </c>
      <c r="B378" s="18">
        <f t="shared" si="10"/>
        <v>2019</v>
      </c>
      <c r="C378" s="18">
        <f t="shared" si="11"/>
        <v>4</v>
      </c>
      <c r="D378" s="3" t="s">
        <v>570</v>
      </c>
      <c r="E378" s="3" t="s">
        <v>94</v>
      </c>
      <c r="F378" s="3" t="s">
        <v>19</v>
      </c>
      <c r="G378" s="3" t="s">
        <v>40</v>
      </c>
      <c r="H378" s="3" t="s">
        <v>572</v>
      </c>
      <c r="I378" s="11">
        <v>17.04</v>
      </c>
      <c r="J378" s="18">
        <v>4</v>
      </c>
      <c r="K378" s="12">
        <v>6.9863999999999997</v>
      </c>
    </row>
    <row r="379" spans="1:11" x14ac:dyDescent="0.25">
      <c r="A379" s="4">
        <v>43563</v>
      </c>
      <c r="B379" s="19">
        <f t="shared" si="10"/>
        <v>2019</v>
      </c>
      <c r="C379" s="19">
        <f t="shared" si="11"/>
        <v>4</v>
      </c>
      <c r="D379" s="5" t="s">
        <v>570</v>
      </c>
      <c r="E379" s="5" t="s">
        <v>94</v>
      </c>
      <c r="F379" s="5" t="s">
        <v>19</v>
      </c>
      <c r="G379" s="5" t="s">
        <v>53</v>
      </c>
      <c r="H379" s="5" t="s">
        <v>573</v>
      </c>
      <c r="I379" s="13">
        <v>34.4</v>
      </c>
      <c r="J379" s="19">
        <v>5</v>
      </c>
      <c r="K379" s="14">
        <v>15.824</v>
      </c>
    </row>
    <row r="380" spans="1:11" x14ac:dyDescent="0.25">
      <c r="A380" s="2">
        <v>43563</v>
      </c>
      <c r="B380" s="18">
        <f t="shared" si="10"/>
        <v>2019</v>
      </c>
      <c r="C380" s="18">
        <f t="shared" si="11"/>
        <v>4</v>
      </c>
      <c r="D380" s="3" t="s">
        <v>574</v>
      </c>
      <c r="E380" s="3" t="s">
        <v>18</v>
      </c>
      <c r="F380" s="3" t="s">
        <v>19</v>
      </c>
      <c r="G380" s="3" t="s">
        <v>53</v>
      </c>
      <c r="H380" s="3" t="s">
        <v>575</v>
      </c>
      <c r="I380" s="11">
        <v>20.04</v>
      </c>
      <c r="J380" s="18">
        <v>3</v>
      </c>
      <c r="K380" s="12">
        <v>9.6191999999999993</v>
      </c>
    </row>
    <row r="381" spans="1:11" x14ac:dyDescent="0.25">
      <c r="A381" s="4">
        <v>43563</v>
      </c>
      <c r="B381" s="19">
        <f t="shared" si="10"/>
        <v>2019</v>
      </c>
      <c r="C381" s="19">
        <f t="shared" si="11"/>
        <v>4</v>
      </c>
      <c r="D381" s="5" t="s">
        <v>574</v>
      </c>
      <c r="E381" s="5" t="s">
        <v>18</v>
      </c>
      <c r="F381" s="5" t="s">
        <v>19</v>
      </c>
      <c r="G381" s="5" t="s">
        <v>20</v>
      </c>
      <c r="H381" s="5" t="s">
        <v>576</v>
      </c>
      <c r="I381" s="13">
        <v>64.959999999999994</v>
      </c>
      <c r="J381" s="19">
        <v>2</v>
      </c>
      <c r="K381" s="14">
        <v>2.5983999999999998</v>
      </c>
    </row>
    <row r="382" spans="1:11" x14ac:dyDescent="0.25">
      <c r="A382" s="2">
        <v>43563</v>
      </c>
      <c r="B382" s="18">
        <f t="shared" si="10"/>
        <v>2019</v>
      </c>
      <c r="C382" s="18">
        <f t="shared" si="11"/>
        <v>4</v>
      </c>
      <c r="D382" s="3" t="s">
        <v>574</v>
      </c>
      <c r="E382" s="3" t="s">
        <v>18</v>
      </c>
      <c r="F382" s="3" t="s">
        <v>19</v>
      </c>
      <c r="G382" s="3" t="s">
        <v>53</v>
      </c>
      <c r="H382" s="3" t="s">
        <v>577</v>
      </c>
      <c r="I382" s="11">
        <v>12.96</v>
      </c>
      <c r="J382" s="18">
        <v>2</v>
      </c>
      <c r="K382" s="12">
        <v>6.2207999999999997</v>
      </c>
    </row>
    <row r="383" spans="1:11" x14ac:dyDescent="0.25">
      <c r="A383" s="4">
        <v>43563</v>
      </c>
      <c r="B383" s="19">
        <f t="shared" si="10"/>
        <v>2019</v>
      </c>
      <c r="C383" s="19">
        <f t="shared" si="11"/>
        <v>4</v>
      </c>
      <c r="D383" s="5" t="s">
        <v>351</v>
      </c>
      <c r="E383" s="5" t="s">
        <v>23</v>
      </c>
      <c r="F383" s="5" t="s">
        <v>14</v>
      </c>
      <c r="G383" s="5" t="s">
        <v>24</v>
      </c>
      <c r="H383" s="5" t="s">
        <v>578</v>
      </c>
      <c r="I383" s="13">
        <v>431.928</v>
      </c>
      <c r="J383" s="19">
        <v>9</v>
      </c>
      <c r="K383" s="14">
        <v>64.789199999999994</v>
      </c>
    </row>
    <row r="384" spans="1:11" x14ac:dyDescent="0.25">
      <c r="A384" s="2">
        <v>43563</v>
      </c>
      <c r="B384" s="18">
        <f t="shared" si="10"/>
        <v>2019</v>
      </c>
      <c r="C384" s="18">
        <f t="shared" si="11"/>
        <v>4</v>
      </c>
      <c r="D384" s="3" t="s">
        <v>351</v>
      </c>
      <c r="E384" s="3" t="s">
        <v>23</v>
      </c>
      <c r="F384" s="3" t="s">
        <v>11</v>
      </c>
      <c r="G384" s="3" t="s">
        <v>112</v>
      </c>
      <c r="H384" s="3" t="s">
        <v>579</v>
      </c>
      <c r="I384" s="11">
        <v>95.983999999999995</v>
      </c>
      <c r="J384" s="18">
        <v>4</v>
      </c>
      <c r="K384" s="12">
        <v>-4.1135999999999999</v>
      </c>
    </row>
    <row r="385" spans="1:11" x14ac:dyDescent="0.25">
      <c r="A385" s="4">
        <v>43563</v>
      </c>
      <c r="B385" s="19">
        <f t="shared" si="10"/>
        <v>2019</v>
      </c>
      <c r="C385" s="19">
        <f t="shared" si="11"/>
        <v>4</v>
      </c>
      <c r="D385" s="5" t="s">
        <v>351</v>
      </c>
      <c r="E385" s="5" t="s">
        <v>23</v>
      </c>
      <c r="F385" s="5" t="s">
        <v>19</v>
      </c>
      <c r="G385" s="5" t="s">
        <v>32</v>
      </c>
      <c r="H385" s="5" t="s">
        <v>580</v>
      </c>
      <c r="I385" s="13">
        <v>1088.7919999999999</v>
      </c>
      <c r="J385" s="19">
        <v>4</v>
      </c>
      <c r="K385" s="14">
        <v>-1850.9464</v>
      </c>
    </row>
    <row r="386" spans="1:11" x14ac:dyDescent="0.25">
      <c r="A386" s="2">
        <v>43563</v>
      </c>
      <c r="B386" s="18">
        <f t="shared" ref="B386:B449" si="12">YEAR(A386)</f>
        <v>2019</v>
      </c>
      <c r="C386" s="18">
        <f t="shared" ref="C386:C449" si="13">MONTH(A386)</f>
        <v>4</v>
      </c>
      <c r="D386" s="3" t="s">
        <v>581</v>
      </c>
      <c r="E386" s="3" t="s">
        <v>67</v>
      </c>
      <c r="F386" s="3" t="s">
        <v>19</v>
      </c>
      <c r="G386" s="3" t="s">
        <v>86</v>
      </c>
      <c r="H386" s="3" t="s">
        <v>582</v>
      </c>
      <c r="I386" s="11">
        <v>8.8719999999999999</v>
      </c>
      <c r="J386" s="18">
        <v>1</v>
      </c>
      <c r="K386" s="12">
        <v>3.2161</v>
      </c>
    </row>
    <row r="387" spans="1:11" x14ac:dyDescent="0.25">
      <c r="A387" s="4">
        <v>43563</v>
      </c>
      <c r="B387" s="19">
        <f t="shared" si="12"/>
        <v>2019</v>
      </c>
      <c r="C387" s="19">
        <f t="shared" si="13"/>
        <v>4</v>
      </c>
      <c r="D387" s="5" t="s">
        <v>581</v>
      </c>
      <c r="E387" s="5" t="s">
        <v>67</v>
      </c>
      <c r="F387" s="5" t="s">
        <v>19</v>
      </c>
      <c r="G387" s="5" t="s">
        <v>32</v>
      </c>
      <c r="H387" s="5" t="s">
        <v>583</v>
      </c>
      <c r="I387" s="13">
        <v>121.104</v>
      </c>
      <c r="J387" s="19">
        <v>6</v>
      </c>
      <c r="K387" s="14">
        <v>-100.92</v>
      </c>
    </row>
    <row r="388" spans="1:11" x14ac:dyDescent="0.25">
      <c r="A388" s="2">
        <v>43563</v>
      </c>
      <c r="B388" s="18">
        <f t="shared" si="12"/>
        <v>2019</v>
      </c>
      <c r="C388" s="18">
        <f t="shared" si="13"/>
        <v>4</v>
      </c>
      <c r="D388" s="3" t="s">
        <v>395</v>
      </c>
      <c r="E388" s="3" t="s">
        <v>18</v>
      </c>
      <c r="F388" s="3" t="s">
        <v>11</v>
      </c>
      <c r="G388" s="3" t="s">
        <v>51</v>
      </c>
      <c r="H388" s="3" t="s">
        <v>584</v>
      </c>
      <c r="I388" s="11">
        <v>24.7</v>
      </c>
      <c r="J388" s="18">
        <v>5</v>
      </c>
      <c r="K388" s="12">
        <v>10.374000000000001</v>
      </c>
    </row>
    <row r="389" spans="1:11" x14ac:dyDescent="0.25">
      <c r="A389" s="4">
        <v>43563</v>
      </c>
      <c r="B389" s="19">
        <f t="shared" si="12"/>
        <v>2019</v>
      </c>
      <c r="C389" s="19">
        <f t="shared" si="13"/>
        <v>4</v>
      </c>
      <c r="D389" s="5" t="s">
        <v>247</v>
      </c>
      <c r="E389" s="5" t="s">
        <v>109</v>
      </c>
      <c r="F389" s="5" t="s">
        <v>19</v>
      </c>
      <c r="G389" s="5" t="s">
        <v>86</v>
      </c>
      <c r="H389" s="5" t="s">
        <v>585</v>
      </c>
      <c r="I389" s="13">
        <v>17.920000000000002</v>
      </c>
      <c r="J389" s="19">
        <v>4</v>
      </c>
      <c r="K389" s="14">
        <v>8.6015999999999995</v>
      </c>
    </row>
    <row r="390" spans="1:11" x14ac:dyDescent="0.25">
      <c r="A390" s="2">
        <v>43563</v>
      </c>
      <c r="B390" s="18">
        <f t="shared" si="12"/>
        <v>2019</v>
      </c>
      <c r="C390" s="18">
        <f t="shared" si="13"/>
        <v>4</v>
      </c>
      <c r="D390" s="3" t="s">
        <v>586</v>
      </c>
      <c r="E390" s="3" t="s">
        <v>109</v>
      </c>
      <c r="F390" s="3" t="s">
        <v>11</v>
      </c>
      <c r="G390" s="3" t="s">
        <v>12</v>
      </c>
      <c r="H390" s="3" t="s">
        <v>587</v>
      </c>
      <c r="I390" s="11">
        <v>354.9</v>
      </c>
      <c r="J390" s="18">
        <v>5</v>
      </c>
      <c r="K390" s="12">
        <v>88.724999999999994</v>
      </c>
    </row>
    <row r="391" spans="1:11" x14ac:dyDescent="0.25">
      <c r="A391" s="4">
        <v>43563</v>
      </c>
      <c r="B391" s="19">
        <f t="shared" si="12"/>
        <v>2019</v>
      </c>
      <c r="C391" s="19">
        <f t="shared" si="13"/>
        <v>4</v>
      </c>
      <c r="D391" s="5" t="s">
        <v>588</v>
      </c>
      <c r="E391" s="5" t="s">
        <v>589</v>
      </c>
      <c r="F391" s="5" t="s">
        <v>19</v>
      </c>
      <c r="G391" s="5" t="s">
        <v>116</v>
      </c>
      <c r="H391" s="5" t="s">
        <v>590</v>
      </c>
      <c r="I391" s="13">
        <v>30</v>
      </c>
      <c r="J391" s="19">
        <v>6</v>
      </c>
      <c r="K391" s="14">
        <v>14.4</v>
      </c>
    </row>
    <row r="392" spans="1:11" x14ac:dyDescent="0.25">
      <c r="A392" s="2">
        <v>43563</v>
      </c>
      <c r="B392" s="18">
        <f t="shared" si="12"/>
        <v>2019</v>
      </c>
      <c r="C392" s="18">
        <f t="shared" si="13"/>
        <v>4</v>
      </c>
      <c r="D392" s="3" t="s">
        <v>588</v>
      </c>
      <c r="E392" s="3" t="s">
        <v>589</v>
      </c>
      <c r="F392" s="3" t="s">
        <v>19</v>
      </c>
      <c r="G392" s="3" t="s">
        <v>53</v>
      </c>
      <c r="H392" s="3" t="s">
        <v>358</v>
      </c>
      <c r="I392" s="11">
        <v>25.92</v>
      </c>
      <c r="J392" s="18">
        <v>4</v>
      </c>
      <c r="K392" s="12">
        <v>12.700799999999999</v>
      </c>
    </row>
    <row r="393" spans="1:11" x14ac:dyDescent="0.25">
      <c r="A393" s="4">
        <v>43563</v>
      </c>
      <c r="B393" s="19">
        <f t="shared" si="12"/>
        <v>2019</v>
      </c>
      <c r="C393" s="19">
        <f t="shared" si="13"/>
        <v>4</v>
      </c>
      <c r="D393" s="5" t="s">
        <v>588</v>
      </c>
      <c r="E393" s="5" t="s">
        <v>589</v>
      </c>
      <c r="F393" s="5" t="s">
        <v>11</v>
      </c>
      <c r="G393" s="5" t="s">
        <v>51</v>
      </c>
      <c r="H393" s="5" t="s">
        <v>591</v>
      </c>
      <c r="I393" s="13">
        <v>159.91999999999999</v>
      </c>
      <c r="J393" s="19">
        <v>4</v>
      </c>
      <c r="K393" s="14">
        <v>31.984000000000002</v>
      </c>
    </row>
    <row r="394" spans="1:11" x14ac:dyDescent="0.25">
      <c r="A394" s="2">
        <v>43564</v>
      </c>
      <c r="B394" s="18">
        <f t="shared" si="12"/>
        <v>2019</v>
      </c>
      <c r="C394" s="18">
        <f t="shared" si="13"/>
        <v>4</v>
      </c>
      <c r="D394" s="3" t="s">
        <v>592</v>
      </c>
      <c r="E394" s="3" t="s">
        <v>70</v>
      </c>
      <c r="F394" s="3" t="s">
        <v>19</v>
      </c>
      <c r="G394" s="3" t="s">
        <v>32</v>
      </c>
      <c r="H394" s="3" t="s">
        <v>593</v>
      </c>
      <c r="I394" s="11">
        <v>35.351999999999997</v>
      </c>
      <c r="J394" s="18">
        <v>9</v>
      </c>
      <c r="K394" s="12">
        <v>12.815099999999999</v>
      </c>
    </row>
    <row r="395" spans="1:11" x14ac:dyDescent="0.25">
      <c r="A395" s="4">
        <v>43564</v>
      </c>
      <c r="B395" s="19">
        <f t="shared" si="12"/>
        <v>2019</v>
      </c>
      <c r="C395" s="19">
        <f t="shared" si="13"/>
        <v>4</v>
      </c>
      <c r="D395" s="5" t="s">
        <v>594</v>
      </c>
      <c r="E395" s="5" t="s">
        <v>365</v>
      </c>
      <c r="F395" s="5" t="s">
        <v>14</v>
      </c>
      <c r="G395" s="5" t="s">
        <v>15</v>
      </c>
      <c r="H395" s="5" t="s">
        <v>559</v>
      </c>
      <c r="I395" s="13">
        <v>517.9</v>
      </c>
      <c r="J395" s="19">
        <v>2</v>
      </c>
      <c r="K395" s="14">
        <v>134.654</v>
      </c>
    </row>
    <row r="396" spans="1:11" x14ac:dyDescent="0.25">
      <c r="A396" s="2">
        <v>43564</v>
      </c>
      <c r="B396" s="18">
        <f t="shared" si="12"/>
        <v>2019</v>
      </c>
      <c r="C396" s="18">
        <f t="shared" si="13"/>
        <v>4</v>
      </c>
      <c r="D396" s="3" t="s">
        <v>594</v>
      </c>
      <c r="E396" s="3" t="s">
        <v>365</v>
      </c>
      <c r="F396" s="3" t="s">
        <v>19</v>
      </c>
      <c r="G396" s="3" t="s">
        <v>32</v>
      </c>
      <c r="H396" s="3" t="s">
        <v>595</v>
      </c>
      <c r="I396" s="11">
        <v>5.28</v>
      </c>
      <c r="J396" s="18">
        <v>2</v>
      </c>
      <c r="K396" s="12">
        <v>2.4287999999999998</v>
      </c>
    </row>
    <row r="397" spans="1:11" x14ac:dyDescent="0.25">
      <c r="A397" s="4">
        <v>43564</v>
      </c>
      <c r="B397" s="19">
        <f t="shared" si="12"/>
        <v>2019</v>
      </c>
      <c r="C397" s="19">
        <f t="shared" si="13"/>
        <v>4</v>
      </c>
      <c r="D397" s="5" t="s">
        <v>596</v>
      </c>
      <c r="E397" s="5" t="s">
        <v>18</v>
      </c>
      <c r="F397" s="5" t="s">
        <v>11</v>
      </c>
      <c r="G397" s="5" t="s">
        <v>12</v>
      </c>
      <c r="H397" s="5" t="s">
        <v>597</v>
      </c>
      <c r="I397" s="13">
        <v>556.66499999999996</v>
      </c>
      <c r="J397" s="19">
        <v>5</v>
      </c>
      <c r="K397" s="14">
        <v>6.5490000000000004</v>
      </c>
    </row>
    <row r="398" spans="1:11" x14ac:dyDescent="0.25">
      <c r="A398" s="2">
        <v>43565</v>
      </c>
      <c r="B398" s="18">
        <f t="shared" si="12"/>
        <v>2019</v>
      </c>
      <c r="C398" s="18">
        <f t="shared" si="13"/>
        <v>4</v>
      </c>
      <c r="D398" s="3" t="s">
        <v>231</v>
      </c>
      <c r="E398" s="3" t="s">
        <v>67</v>
      </c>
      <c r="F398" s="3" t="s">
        <v>19</v>
      </c>
      <c r="G398" s="3" t="s">
        <v>32</v>
      </c>
      <c r="H398" s="3" t="s">
        <v>598</v>
      </c>
      <c r="I398" s="11">
        <v>8.9039999999999999</v>
      </c>
      <c r="J398" s="18">
        <v>2</v>
      </c>
      <c r="K398" s="12">
        <v>-6.5296000000000003</v>
      </c>
    </row>
    <row r="399" spans="1:11" x14ac:dyDescent="0.25">
      <c r="A399" s="4">
        <v>43565</v>
      </c>
      <c r="B399" s="19">
        <f t="shared" si="12"/>
        <v>2019</v>
      </c>
      <c r="C399" s="19">
        <f t="shared" si="13"/>
        <v>4</v>
      </c>
      <c r="D399" s="5" t="s">
        <v>599</v>
      </c>
      <c r="E399" s="5" t="s">
        <v>18</v>
      </c>
      <c r="F399" s="5" t="s">
        <v>19</v>
      </c>
      <c r="G399" s="5" t="s">
        <v>53</v>
      </c>
      <c r="H399" s="5" t="s">
        <v>600</v>
      </c>
      <c r="I399" s="13">
        <v>12.96</v>
      </c>
      <c r="J399" s="19">
        <v>2</v>
      </c>
      <c r="K399" s="14">
        <v>6.2207999999999997</v>
      </c>
    </row>
    <row r="400" spans="1:11" x14ac:dyDescent="0.25">
      <c r="A400" s="2">
        <v>43565</v>
      </c>
      <c r="B400" s="18">
        <f t="shared" si="12"/>
        <v>2019</v>
      </c>
      <c r="C400" s="18">
        <f t="shared" si="13"/>
        <v>4</v>
      </c>
      <c r="D400" s="3" t="s">
        <v>599</v>
      </c>
      <c r="E400" s="3" t="s">
        <v>18</v>
      </c>
      <c r="F400" s="3" t="s">
        <v>19</v>
      </c>
      <c r="G400" s="3" t="s">
        <v>32</v>
      </c>
      <c r="H400" s="3" t="s">
        <v>272</v>
      </c>
      <c r="I400" s="11">
        <v>23.2</v>
      </c>
      <c r="J400" s="18">
        <v>5</v>
      </c>
      <c r="K400" s="12">
        <v>8.1199999999999992</v>
      </c>
    </row>
    <row r="401" spans="1:11" x14ac:dyDescent="0.25">
      <c r="A401" s="4">
        <v>43565</v>
      </c>
      <c r="B401" s="19">
        <f t="shared" si="12"/>
        <v>2019</v>
      </c>
      <c r="C401" s="19">
        <f t="shared" si="13"/>
        <v>4</v>
      </c>
      <c r="D401" s="5" t="s">
        <v>601</v>
      </c>
      <c r="E401" s="5" t="s">
        <v>18</v>
      </c>
      <c r="F401" s="5" t="s">
        <v>19</v>
      </c>
      <c r="G401" s="5" t="s">
        <v>121</v>
      </c>
      <c r="H401" s="5" t="s">
        <v>602</v>
      </c>
      <c r="I401" s="13">
        <v>113.76</v>
      </c>
      <c r="J401" s="19">
        <v>3</v>
      </c>
      <c r="K401" s="14">
        <v>44.366399999999999</v>
      </c>
    </row>
    <row r="402" spans="1:11" x14ac:dyDescent="0.25">
      <c r="A402" s="2">
        <v>43565</v>
      </c>
      <c r="B402" s="18">
        <f t="shared" si="12"/>
        <v>2019</v>
      </c>
      <c r="C402" s="18">
        <f t="shared" si="13"/>
        <v>4</v>
      </c>
      <c r="D402" s="3" t="s">
        <v>601</v>
      </c>
      <c r="E402" s="3" t="s">
        <v>18</v>
      </c>
      <c r="F402" s="3" t="s">
        <v>19</v>
      </c>
      <c r="G402" s="3" t="s">
        <v>20</v>
      </c>
      <c r="H402" s="3" t="s">
        <v>603</v>
      </c>
      <c r="I402" s="11">
        <v>579.51</v>
      </c>
      <c r="J402" s="18">
        <v>3</v>
      </c>
      <c r="K402" s="12">
        <v>81.131399999999999</v>
      </c>
    </row>
    <row r="403" spans="1:11" x14ac:dyDescent="0.25">
      <c r="A403" s="4">
        <v>43565</v>
      </c>
      <c r="B403" s="19">
        <f t="shared" si="12"/>
        <v>2019</v>
      </c>
      <c r="C403" s="19">
        <f t="shared" si="13"/>
        <v>4</v>
      </c>
      <c r="D403" s="5" t="s">
        <v>601</v>
      </c>
      <c r="E403" s="5" t="s">
        <v>18</v>
      </c>
      <c r="F403" s="5" t="s">
        <v>19</v>
      </c>
      <c r="G403" s="5" t="s">
        <v>20</v>
      </c>
      <c r="H403" s="5" t="s">
        <v>604</v>
      </c>
      <c r="I403" s="13">
        <v>150.66</v>
      </c>
      <c r="J403" s="19">
        <v>9</v>
      </c>
      <c r="K403" s="14">
        <v>6.0263999999999998</v>
      </c>
    </row>
    <row r="404" spans="1:11" x14ac:dyDescent="0.25">
      <c r="A404" s="2">
        <v>43565</v>
      </c>
      <c r="B404" s="18">
        <f t="shared" si="12"/>
        <v>2019</v>
      </c>
      <c r="C404" s="18">
        <f t="shared" si="13"/>
        <v>4</v>
      </c>
      <c r="D404" s="3" t="s">
        <v>601</v>
      </c>
      <c r="E404" s="3" t="s">
        <v>18</v>
      </c>
      <c r="F404" s="3" t="s">
        <v>19</v>
      </c>
      <c r="G404" s="3" t="s">
        <v>32</v>
      </c>
      <c r="H404" s="3" t="s">
        <v>605</v>
      </c>
      <c r="I404" s="11">
        <v>48.031999999999996</v>
      </c>
      <c r="J404" s="18">
        <v>4</v>
      </c>
      <c r="K404" s="12">
        <v>15.6104</v>
      </c>
    </row>
    <row r="405" spans="1:11" x14ac:dyDescent="0.25">
      <c r="A405" s="4">
        <v>43565</v>
      </c>
      <c r="B405" s="19">
        <f t="shared" si="12"/>
        <v>2019</v>
      </c>
      <c r="C405" s="19">
        <f t="shared" si="13"/>
        <v>4</v>
      </c>
      <c r="D405" s="5" t="s">
        <v>606</v>
      </c>
      <c r="E405" s="5" t="s">
        <v>164</v>
      </c>
      <c r="F405" s="5" t="s">
        <v>19</v>
      </c>
      <c r="G405" s="5" t="s">
        <v>40</v>
      </c>
      <c r="H405" s="5" t="s">
        <v>607</v>
      </c>
      <c r="I405" s="13">
        <v>13.568</v>
      </c>
      <c r="J405" s="19">
        <v>4</v>
      </c>
      <c r="K405" s="14">
        <v>3.2223999999999999</v>
      </c>
    </row>
    <row r="406" spans="1:11" x14ac:dyDescent="0.25">
      <c r="A406" s="2">
        <v>43567</v>
      </c>
      <c r="B406" s="18">
        <f t="shared" si="12"/>
        <v>2019</v>
      </c>
      <c r="C406" s="18">
        <f t="shared" si="13"/>
        <v>4</v>
      </c>
      <c r="D406" s="3" t="s">
        <v>608</v>
      </c>
      <c r="E406" s="3" t="s">
        <v>181</v>
      </c>
      <c r="F406" s="3" t="s">
        <v>11</v>
      </c>
      <c r="G406" s="3" t="s">
        <v>30</v>
      </c>
      <c r="H406" s="3" t="s">
        <v>609</v>
      </c>
      <c r="I406" s="11">
        <v>343.92</v>
      </c>
      <c r="J406" s="18">
        <v>4</v>
      </c>
      <c r="K406" s="12">
        <v>75.662400000000005</v>
      </c>
    </row>
    <row r="407" spans="1:11" x14ac:dyDescent="0.25">
      <c r="A407" s="4">
        <v>43567</v>
      </c>
      <c r="B407" s="19">
        <f t="shared" si="12"/>
        <v>2019</v>
      </c>
      <c r="C407" s="19">
        <f t="shared" si="13"/>
        <v>4</v>
      </c>
      <c r="D407" s="5" t="s">
        <v>608</v>
      </c>
      <c r="E407" s="5" t="s">
        <v>181</v>
      </c>
      <c r="F407" s="5" t="s">
        <v>19</v>
      </c>
      <c r="G407" s="5" t="s">
        <v>53</v>
      </c>
      <c r="H407" s="5" t="s">
        <v>610</v>
      </c>
      <c r="I407" s="13">
        <v>40.99</v>
      </c>
      <c r="J407" s="19">
        <v>1</v>
      </c>
      <c r="K407" s="14">
        <v>20.085100000000001</v>
      </c>
    </row>
    <row r="408" spans="1:11" x14ac:dyDescent="0.25">
      <c r="A408" s="2">
        <v>43567</v>
      </c>
      <c r="B408" s="18">
        <f t="shared" si="12"/>
        <v>2019</v>
      </c>
      <c r="C408" s="18">
        <f t="shared" si="13"/>
        <v>4</v>
      </c>
      <c r="D408" s="3" t="s">
        <v>608</v>
      </c>
      <c r="E408" s="3" t="s">
        <v>181</v>
      </c>
      <c r="F408" s="3" t="s">
        <v>19</v>
      </c>
      <c r="G408" s="3" t="s">
        <v>86</v>
      </c>
      <c r="H408" s="3" t="s">
        <v>611</v>
      </c>
      <c r="I408" s="11">
        <v>63.9</v>
      </c>
      <c r="J408" s="18">
        <v>5</v>
      </c>
      <c r="K408" s="12">
        <v>28.754999999999999</v>
      </c>
    </row>
    <row r="409" spans="1:11" x14ac:dyDescent="0.25">
      <c r="A409" s="4">
        <v>43567</v>
      </c>
      <c r="B409" s="19">
        <f t="shared" si="12"/>
        <v>2019</v>
      </c>
      <c r="C409" s="19">
        <f t="shared" si="13"/>
        <v>4</v>
      </c>
      <c r="D409" s="5" t="s">
        <v>612</v>
      </c>
      <c r="E409" s="5" t="s">
        <v>18</v>
      </c>
      <c r="F409" s="5" t="s">
        <v>11</v>
      </c>
      <c r="G409" s="5" t="s">
        <v>112</v>
      </c>
      <c r="H409" s="5" t="s">
        <v>255</v>
      </c>
      <c r="I409" s="13">
        <v>638.28800000000001</v>
      </c>
      <c r="J409" s="19">
        <v>7</v>
      </c>
      <c r="K409" s="14">
        <v>-31.914400000000001</v>
      </c>
    </row>
    <row r="410" spans="1:11" x14ac:dyDescent="0.25">
      <c r="A410" s="2">
        <v>43567</v>
      </c>
      <c r="B410" s="18">
        <f t="shared" si="12"/>
        <v>2019</v>
      </c>
      <c r="C410" s="18">
        <f t="shared" si="13"/>
        <v>4</v>
      </c>
      <c r="D410" s="3" t="s">
        <v>612</v>
      </c>
      <c r="E410" s="3" t="s">
        <v>18</v>
      </c>
      <c r="F410" s="3" t="s">
        <v>19</v>
      </c>
      <c r="G410" s="3" t="s">
        <v>32</v>
      </c>
      <c r="H410" s="3" t="s">
        <v>613</v>
      </c>
      <c r="I410" s="11">
        <v>13.208</v>
      </c>
      <c r="J410" s="18">
        <v>1</v>
      </c>
      <c r="K410" s="12">
        <v>4.6227999999999998</v>
      </c>
    </row>
    <row r="411" spans="1:11" x14ac:dyDescent="0.25">
      <c r="A411" s="4">
        <v>43567</v>
      </c>
      <c r="B411" s="19">
        <f t="shared" si="12"/>
        <v>2019</v>
      </c>
      <c r="C411" s="19">
        <f t="shared" si="13"/>
        <v>4</v>
      </c>
      <c r="D411" s="5" t="s">
        <v>614</v>
      </c>
      <c r="E411" s="5" t="s">
        <v>18</v>
      </c>
      <c r="F411" s="5" t="s">
        <v>19</v>
      </c>
      <c r="G411" s="5" t="s">
        <v>53</v>
      </c>
      <c r="H411" s="5" t="s">
        <v>253</v>
      </c>
      <c r="I411" s="13">
        <v>19.440000000000001</v>
      </c>
      <c r="J411" s="19">
        <v>3</v>
      </c>
      <c r="K411" s="14">
        <v>9.3312000000000008</v>
      </c>
    </row>
    <row r="412" spans="1:11" x14ac:dyDescent="0.25">
      <c r="A412" s="2">
        <v>43567</v>
      </c>
      <c r="B412" s="18">
        <f t="shared" si="12"/>
        <v>2019</v>
      </c>
      <c r="C412" s="18">
        <f t="shared" si="13"/>
        <v>4</v>
      </c>
      <c r="D412" s="3" t="s">
        <v>614</v>
      </c>
      <c r="E412" s="3" t="s">
        <v>18</v>
      </c>
      <c r="F412" s="3" t="s">
        <v>11</v>
      </c>
      <c r="G412" s="3" t="s">
        <v>112</v>
      </c>
      <c r="H412" s="3" t="s">
        <v>615</v>
      </c>
      <c r="I412" s="11">
        <v>194.352</v>
      </c>
      <c r="J412" s="18">
        <v>3</v>
      </c>
      <c r="K412" s="12">
        <v>-36.441000000000003</v>
      </c>
    </row>
    <row r="413" spans="1:11" x14ac:dyDescent="0.25">
      <c r="A413" s="4">
        <v>43567</v>
      </c>
      <c r="B413" s="19">
        <f t="shared" si="12"/>
        <v>2019</v>
      </c>
      <c r="C413" s="19">
        <f t="shared" si="13"/>
        <v>4</v>
      </c>
      <c r="D413" s="5" t="s">
        <v>614</v>
      </c>
      <c r="E413" s="5" t="s">
        <v>18</v>
      </c>
      <c r="F413" s="5" t="s">
        <v>19</v>
      </c>
      <c r="G413" s="5" t="s">
        <v>32</v>
      </c>
      <c r="H413" s="5" t="s">
        <v>616</v>
      </c>
      <c r="I413" s="13">
        <v>36.624000000000002</v>
      </c>
      <c r="J413" s="19">
        <v>3</v>
      </c>
      <c r="K413" s="14">
        <v>13.734</v>
      </c>
    </row>
    <row r="414" spans="1:11" x14ac:dyDescent="0.25">
      <c r="A414" s="2">
        <v>43567</v>
      </c>
      <c r="B414" s="18">
        <f t="shared" si="12"/>
        <v>2019</v>
      </c>
      <c r="C414" s="18">
        <f t="shared" si="13"/>
        <v>4</v>
      </c>
      <c r="D414" s="3" t="s">
        <v>533</v>
      </c>
      <c r="E414" s="3" t="s">
        <v>35</v>
      </c>
      <c r="F414" s="3" t="s">
        <v>19</v>
      </c>
      <c r="G414" s="3" t="s">
        <v>20</v>
      </c>
      <c r="H414" s="3" t="s">
        <v>526</v>
      </c>
      <c r="I414" s="11">
        <v>129.55199999999999</v>
      </c>
      <c r="J414" s="18">
        <v>3</v>
      </c>
      <c r="K414" s="12">
        <v>-22.671600000000002</v>
      </c>
    </row>
    <row r="415" spans="1:11" x14ac:dyDescent="0.25">
      <c r="A415" s="4">
        <v>43567</v>
      </c>
      <c r="B415" s="19">
        <f t="shared" si="12"/>
        <v>2019</v>
      </c>
      <c r="C415" s="19">
        <f t="shared" si="13"/>
        <v>4</v>
      </c>
      <c r="D415" s="5" t="s">
        <v>533</v>
      </c>
      <c r="E415" s="5" t="s">
        <v>35</v>
      </c>
      <c r="F415" s="5" t="s">
        <v>19</v>
      </c>
      <c r="G415" s="5" t="s">
        <v>20</v>
      </c>
      <c r="H415" s="5" t="s">
        <v>617</v>
      </c>
      <c r="I415" s="13">
        <v>51.984000000000002</v>
      </c>
      <c r="J415" s="19">
        <v>1</v>
      </c>
      <c r="K415" s="14">
        <v>-5.1984000000000004</v>
      </c>
    </row>
    <row r="416" spans="1:11" x14ac:dyDescent="0.25">
      <c r="A416" s="2">
        <v>43567</v>
      </c>
      <c r="B416" s="18">
        <f t="shared" si="12"/>
        <v>2019</v>
      </c>
      <c r="C416" s="18">
        <f t="shared" si="13"/>
        <v>4</v>
      </c>
      <c r="D416" s="3" t="s">
        <v>533</v>
      </c>
      <c r="E416" s="3" t="s">
        <v>35</v>
      </c>
      <c r="F416" s="3" t="s">
        <v>19</v>
      </c>
      <c r="G416" s="3" t="s">
        <v>53</v>
      </c>
      <c r="H416" s="3" t="s">
        <v>618</v>
      </c>
      <c r="I416" s="11">
        <v>10.272</v>
      </c>
      <c r="J416" s="18">
        <v>3</v>
      </c>
      <c r="K416" s="12">
        <v>3.4668000000000001</v>
      </c>
    </row>
    <row r="417" spans="1:11" x14ac:dyDescent="0.25">
      <c r="A417" s="4">
        <v>43568</v>
      </c>
      <c r="B417" s="19">
        <f t="shared" si="12"/>
        <v>2019</v>
      </c>
      <c r="C417" s="19">
        <f t="shared" si="13"/>
        <v>4</v>
      </c>
      <c r="D417" s="5" t="s">
        <v>619</v>
      </c>
      <c r="E417" s="5" t="s">
        <v>18</v>
      </c>
      <c r="F417" s="5" t="s">
        <v>19</v>
      </c>
      <c r="G417" s="5" t="s">
        <v>86</v>
      </c>
      <c r="H417" s="5" t="s">
        <v>620</v>
      </c>
      <c r="I417" s="13">
        <v>6.12</v>
      </c>
      <c r="J417" s="19">
        <v>3</v>
      </c>
      <c r="K417" s="14">
        <v>2.8763999999999998</v>
      </c>
    </row>
    <row r="418" spans="1:11" x14ac:dyDescent="0.25">
      <c r="A418" s="2">
        <v>43569</v>
      </c>
      <c r="B418" s="18">
        <f t="shared" si="12"/>
        <v>2019</v>
      </c>
      <c r="C418" s="18">
        <f t="shared" si="13"/>
        <v>4</v>
      </c>
      <c r="D418" s="3" t="s">
        <v>621</v>
      </c>
      <c r="E418" s="3" t="s">
        <v>18</v>
      </c>
      <c r="F418" s="3" t="s">
        <v>11</v>
      </c>
      <c r="G418" s="3" t="s">
        <v>112</v>
      </c>
      <c r="H418" s="3" t="s">
        <v>622</v>
      </c>
      <c r="I418" s="11">
        <v>383.8</v>
      </c>
      <c r="J418" s="18">
        <v>5</v>
      </c>
      <c r="K418" s="12">
        <v>38.380000000000003</v>
      </c>
    </row>
    <row r="419" spans="1:11" x14ac:dyDescent="0.25">
      <c r="A419" s="4">
        <v>43569</v>
      </c>
      <c r="B419" s="19">
        <f t="shared" si="12"/>
        <v>2019</v>
      </c>
      <c r="C419" s="19">
        <f t="shared" si="13"/>
        <v>4</v>
      </c>
      <c r="D419" s="5" t="s">
        <v>475</v>
      </c>
      <c r="E419" s="5" t="s">
        <v>198</v>
      </c>
      <c r="F419" s="5" t="s">
        <v>11</v>
      </c>
      <c r="G419" s="5" t="s">
        <v>112</v>
      </c>
      <c r="H419" s="5" t="s">
        <v>623</v>
      </c>
      <c r="I419" s="13">
        <v>933.53599999999994</v>
      </c>
      <c r="J419" s="19">
        <v>4</v>
      </c>
      <c r="K419" s="14">
        <v>105.0228</v>
      </c>
    </row>
    <row r="420" spans="1:11" x14ac:dyDescent="0.25">
      <c r="A420" s="2">
        <v>43569</v>
      </c>
      <c r="B420" s="18">
        <f t="shared" si="12"/>
        <v>2019</v>
      </c>
      <c r="C420" s="18">
        <f t="shared" si="13"/>
        <v>4</v>
      </c>
      <c r="D420" s="3" t="s">
        <v>475</v>
      </c>
      <c r="E420" s="3" t="s">
        <v>198</v>
      </c>
      <c r="F420" s="3" t="s">
        <v>19</v>
      </c>
      <c r="G420" s="3" t="s">
        <v>20</v>
      </c>
      <c r="H420" s="3" t="s">
        <v>624</v>
      </c>
      <c r="I420" s="11">
        <v>42.975999999999999</v>
      </c>
      <c r="J420" s="18">
        <v>4</v>
      </c>
      <c r="K420" s="12">
        <v>4.2976000000000001</v>
      </c>
    </row>
    <row r="421" spans="1:11" x14ac:dyDescent="0.25">
      <c r="A421" s="4">
        <v>43569</v>
      </c>
      <c r="B421" s="19">
        <f t="shared" si="12"/>
        <v>2019</v>
      </c>
      <c r="C421" s="19">
        <f t="shared" si="13"/>
        <v>4</v>
      </c>
      <c r="D421" s="5" t="s">
        <v>625</v>
      </c>
      <c r="E421" s="5" t="s">
        <v>181</v>
      </c>
      <c r="F421" s="5" t="s">
        <v>19</v>
      </c>
      <c r="G421" s="5" t="s">
        <v>20</v>
      </c>
      <c r="H421" s="5" t="s">
        <v>341</v>
      </c>
      <c r="I421" s="13">
        <v>81.2</v>
      </c>
      <c r="J421" s="19">
        <v>5</v>
      </c>
      <c r="K421" s="14">
        <v>12.18</v>
      </c>
    </row>
    <row r="422" spans="1:11" x14ac:dyDescent="0.25">
      <c r="A422" s="2">
        <v>43569</v>
      </c>
      <c r="B422" s="18">
        <f t="shared" si="12"/>
        <v>2019</v>
      </c>
      <c r="C422" s="18">
        <f t="shared" si="13"/>
        <v>4</v>
      </c>
      <c r="D422" s="3" t="s">
        <v>626</v>
      </c>
      <c r="E422" s="3" t="s">
        <v>10</v>
      </c>
      <c r="F422" s="3" t="s">
        <v>19</v>
      </c>
      <c r="G422" s="3" t="s">
        <v>32</v>
      </c>
      <c r="H422" s="3" t="s">
        <v>627</v>
      </c>
      <c r="I422" s="11">
        <v>25.06</v>
      </c>
      <c r="J422" s="18">
        <v>2</v>
      </c>
      <c r="K422" s="12">
        <v>11.7782</v>
      </c>
    </row>
    <row r="423" spans="1:11" x14ac:dyDescent="0.25">
      <c r="A423" s="4">
        <v>43570</v>
      </c>
      <c r="B423" s="19">
        <f t="shared" si="12"/>
        <v>2019</v>
      </c>
      <c r="C423" s="19">
        <f t="shared" si="13"/>
        <v>4</v>
      </c>
      <c r="D423" s="5" t="s">
        <v>628</v>
      </c>
      <c r="E423" s="5" t="s">
        <v>35</v>
      </c>
      <c r="F423" s="5" t="s">
        <v>19</v>
      </c>
      <c r="G423" s="5" t="s">
        <v>32</v>
      </c>
      <c r="H423" s="5" t="s">
        <v>629</v>
      </c>
      <c r="I423" s="13">
        <v>189.58799999999999</v>
      </c>
      <c r="J423" s="19">
        <v>2</v>
      </c>
      <c r="K423" s="14">
        <v>-145.35079999999999</v>
      </c>
    </row>
    <row r="424" spans="1:11" x14ac:dyDescent="0.25">
      <c r="A424" s="2">
        <v>43570</v>
      </c>
      <c r="B424" s="18">
        <f t="shared" si="12"/>
        <v>2019</v>
      </c>
      <c r="C424" s="18">
        <f t="shared" si="13"/>
        <v>4</v>
      </c>
      <c r="D424" s="3" t="s">
        <v>628</v>
      </c>
      <c r="E424" s="3" t="s">
        <v>35</v>
      </c>
      <c r="F424" s="3" t="s">
        <v>14</v>
      </c>
      <c r="G424" s="3" t="s">
        <v>24</v>
      </c>
      <c r="H424" s="3" t="s">
        <v>630</v>
      </c>
      <c r="I424" s="11">
        <v>408.74400000000003</v>
      </c>
      <c r="J424" s="18">
        <v>7</v>
      </c>
      <c r="K424" s="12">
        <v>76.639499999999998</v>
      </c>
    </row>
    <row r="425" spans="1:11" x14ac:dyDescent="0.25">
      <c r="A425" s="4">
        <v>43570</v>
      </c>
      <c r="B425" s="19">
        <f t="shared" si="12"/>
        <v>2019</v>
      </c>
      <c r="C425" s="19">
        <f t="shared" si="13"/>
        <v>4</v>
      </c>
      <c r="D425" s="5" t="s">
        <v>628</v>
      </c>
      <c r="E425" s="5" t="s">
        <v>35</v>
      </c>
      <c r="F425" s="5" t="s">
        <v>14</v>
      </c>
      <c r="G425" s="5" t="s">
        <v>24</v>
      </c>
      <c r="H425" s="5" t="s">
        <v>630</v>
      </c>
      <c r="I425" s="13">
        <v>291.95999999999998</v>
      </c>
      <c r="J425" s="19">
        <v>5</v>
      </c>
      <c r="K425" s="14">
        <v>54.7425</v>
      </c>
    </row>
    <row r="426" spans="1:11" x14ac:dyDescent="0.25">
      <c r="A426" s="2">
        <v>43570</v>
      </c>
      <c r="B426" s="18">
        <f t="shared" si="12"/>
        <v>2019</v>
      </c>
      <c r="C426" s="18">
        <f t="shared" si="13"/>
        <v>4</v>
      </c>
      <c r="D426" s="3" t="s">
        <v>628</v>
      </c>
      <c r="E426" s="3" t="s">
        <v>35</v>
      </c>
      <c r="F426" s="3" t="s">
        <v>19</v>
      </c>
      <c r="G426" s="3" t="s">
        <v>20</v>
      </c>
      <c r="H426" s="3" t="s">
        <v>631</v>
      </c>
      <c r="I426" s="11">
        <v>4.7679999999999998</v>
      </c>
      <c r="J426" s="18">
        <v>2</v>
      </c>
      <c r="K426" s="12">
        <v>-0.77480000000000004</v>
      </c>
    </row>
    <row r="427" spans="1:11" x14ac:dyDescent="0.25">
      <c r="A427" s="4">
        <v>43570</v>
      </c>
      <c r="B427" s="19">
        <f t="shared" si="12"/>
        <v>2019</v>
      </c>
      <c r="C427" s="19">
        <f t="shared" si="13"/>
        <v>4</v>
      </c>
      <c r="D427" s="5" t="s">
        <v>632</v>
      </c>
      <c r="E427" s="5" t="s">
        <v>18</v>
      </c>
      <c r="F427" s="5" t="s">
        <v>11</v>
      </c>
      <c r="G427" s="5" t="s">
        <v>112</v>
      </c>
      <c r="H427" s="5" t="s">
        <v>633</v>
      </c>
      <c r="I427" s="13">
        <v>1121.568</v>
      </c>
      <c r="J427" s="19">
        <v>2</v>
      </c>
      <c r="K427" s="14">
        <v>0</v>
      </c>
    </row>
    <row r="428" spans="1:11" x14ac:dyDescent="0.25">
      <c r="A428" s="2">
        <v>43570</v>
      </c>
      <c r="B428" s="18">
        <f t="shared" si="12"/>
        <v>2019</v>
      </c>
      <c r="C428" s="18">
        <f t="shared" si="13"/>
        <v>4</v>
      </c>
      <c r="D428" s="3" t="s">
        <v>441</v>
      </c>
      <c r="E428" s="3" t="s">
        <v>23</v>
      </c>
      <c r="F428" s="3" t="s">
        <v>19</v>
      </c>
      <c r="G428" s="3" t="s">
        <v>40</v>
      </c>
      <c r="H428" s="3" t="s">
        <v>634</v>
      </c>
      <c r="I428" s="11">
        <v>33.488</v>
      </c>
      <c r="J428" s="18">
        <v>7</v>
      </c>
      <c r="K428" s="12">
        <v>5.8604000000000003</v>
      </c>
    </row>
    <row r="429" spans="1:11" x14ac:dyDescent="0.25">
      <c r="A429" s="4">
        <v>43570</v>
      </c>
      <c r="B429" s="19">
        <f t="shared" si="12"/>
        <v>2019</v>
      </c>
      <c r="C429" s="19">
        <f t="shared" si="13"/>
        <v>4</v>
      </c>
      <c r="D429" s="5" t="s">
        <v>441</v>
      </c>
      <c r="E429" s="5" t="s">
        <v>23</v>
      </c>
      <c r="F429" s="5" t="s">
        <v>19</v>
      </c>
      <c r="G429" s="5" t="s">
        <v>116</v>
      </c>
      <c r="H429" s="5" t="s">
        <v>635</v>
      </c>
      <c r="I429" s="13">
        <v>8.0399999999999991</v>
      </c>
      <c r="J429" s="19">
        <v>5</v>
      </c>
      <c r="K429" s="14">
        <v>2.9144999999999999</v>
      </c>
    </row>
    <row r="430" spans="1:11" x14ac:dyDescent="0.25">
      <c r="A430" s="2">
        <v>43570</v>
      </c>
      <c r="B430" s="18">
        <f t="shared" si="12"/>
        <v>2019</v>
      </c>
      <c r="C430" s="18">
        <f t="shared" si="13"/>
        <v>4</v>
      </c>
      <c r="D430" s="3" t="s">
        <v>636</v>
      </c>
      <c r="E430" s="3" t="s">
        <v>18</v>
      </c>
      <c r="F430" s="3" t="s">
        <v>19</v>
      </c>
      <c r="G430" s="3" t="s">
        <v>53</v>
      </c>
      <c r="H430" s="3" t="s">
        <v>637</v>
      </c>
      <c r="I430" s="11">
        <v>143.69999999999999</v>
      </c>
      <c r="J430" s="18">
        <v>3</v>
      </c>
      <c r="K430" s="12">
        <v>68.975999999999999</v>
      </c>
    </row>
    <row r="431" spans="1:11" x14ac:dyDescent="0.25">
      <c r="A431" s="4">
        <v>43571</v>
      </c>
      <c r="B431" s="19">
        <f t="shared" si="12"/>
        <v>2019</v>
      </c>
      <c r="C431" s="19">
        <f t="shared" si="13"/>
        <v>4</v>
      </c>
      <c r="D431" s="5" t="s">
        <v>638</v>
      </c>
      <c r="E431" s="5" t="s">
        <v>109</v>
      </c>
      <c r="F431" s="5" t="s">
        <v>19</v>
      </c>
      <c r="G431" s="5" t="s">
        <v>40</v>
      </c>
      <c r="H431" s="5" t="s">
        <v>639</v>
      </c>
      <c r="I431" s="13">
        <v>12.84</v>
      </c>
      <c r="J431" s="19">
        <v>3</v>
      </c>
      <c r="K431" s="14">
        <v>3.7235999999999998</v>
      </c>
    </row>
    <row r="432" spans="1:11" x14ac:dyDescent="0.25">
      <c r="A432" s="2">
        <v>43571</v>
      </c>
      <c r="B432" s="18">
        <f t="shared" si="12"/>
        <v>2019</v>
      </c>
      <c r="C432" s="18">
        <f t="shared" si="13"/>
        <v>4</v>
      </c>
      <c r="D432" s="3" t="s">
        <v>640</v>
      </c>
      <c r="E432" s="3" t="s">
        <v>85</v>
      </c>
      <c r="F432" s="3" t="s">
        <v>14</v>
      </c>
      <c r="G432" s="3" t="s">
        <v>188</v>
      </c>
      <c r="H432" s="3" t="s">
        <v>641</v>
      </c>
      <c r="I432" s="11">
        <v>9099.93</v>
      </c>
      <c r="J432" s="18">
        <v>7</v>
      </c>
      <c r="K432" s="12">
        <v>2365.9818</v>
      </c>
    </row>
    <row r="433" spans="1:11" x14ac:dyDescent="0.25">
      <c r="A433" s="4">
        <v>43571</v>
      </c>
      <c r="B433" s="19">
        <f t="shared" si="12"/>
        <v>2019</v>
      </c>
      <c r="C433" s="19">
        <f t="shared" si="13"/>
        <v>4</v>
      </c>
      <c r="D433" s="5" t="s">
        <v>640</v>
      </c>
      <c r="E433" s="5" t="s">
        <v>85</v>
      </c>
      <c r="F433" s="5" t="s">
        <v>11</v>
      </c>
      <c r="G433" s="5" t="s">
        <v>51</v>
      </c>
      <c r="H433" s="5" t="s">
        <v>642</v>
      </c>
      <c r="I433" s="13">
        <v>9.9600000000000009</v>
      </c>
      <c r="J433" s="19">
        <v>2</v>
      </c>
      <c r="K433" s="14">
        <v>3.2867999999999999</v>
      </c>
    </row>
    <row r="434" spans="1:11" x14ac:dyDescent="0.25">
      <c r="A434" s="2">
        <v>43571</v>
      </c>
      <c r="B434" s="18">
        <f t="shared" si="12"/>
        <v>2019</v>
      </c>
      <c r="C434" s="18">
        <f t="shared" si="13"/>
        <v>4</v>
      </c>
      <c r="D434" s="3" t="s">
        <v>640</v>
      </c>
      <c r="E434" s="3" t="s">
        <v>85</v>
      </c>
      <c r="F434" s="3" t="s">
        <v>19</v>
      </c>
      <c r="G434" s="3" t="s">
        <v>32</v>
      </c>
      <c r="H434" s="3" t="s">
        <v>643</v>
      </c>
      <c r="I434" s="11">
        <v>25.3</v>
      </c>
      <c r="J434" s="18">
        <v>5</v>
      </c>
      <c r="K434" s="12">
        <v>11.891</v>
      </c>
    </row>
    <row r="435" spans="1:11" x14ac:dyDescent="0.25">
      <c r="A435" s="4">
        <v>43571</v>
      </c>
      <c r="B435" s="19">
        <f t="shared" si="12"/>
        <v>2019</v>
      </c>
      <c r="C435" s="19">
        <f t="shared" si="13"/>
        <v>4</v>
      </c>
      <c r="D435" s="5" t="s">
        <v>644</v>
      </c>
      <c r="E435" s="5" t="s">
        <v>70</v>
      </c>
      <c r="F435" s="5" t="s">
        <v>19</v>
      </c>
      <c r="G435" s="5" t="s">
        <v>265</v>
      </c>
      <c r="H435" s="5" t="s">
        <v>645</v>
      </c>
      <c r="I435" s="13">
        <v>28.8</v>
      </c>
      <c r="J435" s="19">
        <v>3</v>
      </c>
      <c r="K435" s="14">
        <v>0.86399999999999999</v>
      </c>
    </row>
    <row r="436" spans="1:11" x14ac:dyDescent="0.25">
      <c r="A436" s="2">
        <v>43571</v>
      </c>
      <c r="B436" s="18">
        <f t="shared" si="12"/>
        <v>2019</v>
      </c>
      <c r="C436" s="18">
        <f t="shared" si="13"/>
        <v>4</v>
      </c>
      <c r="D436" s="3" t="s">
        <v>646</v>
      </c>
      <c r="E436" s="3" t="s">
        <v>219</v>
      </c>
      <c r="F436" s="3" t="s">
        <v>14</v>
      </c>
      <c r="G436" s="3" t="s">
        <v>24</v>
      </c>
      <c r="H436" s="3" t="s">
        <v>647</v>
      </c>
      <c r="I436" s="11">
        <v>35.167999999999999</v>
      </c>
      <c r="J436" s="18">
        <v>4</v>
      </c>
      <c r="K436" s="12">
        <v>8.3523999999999994</v>
      </c>
    </row>
    <row r="437" spans="1:11" x14ac:dyDescent="0.25">
      <c r="A437" s="4">
        <v>43571</v>
      </c>
      <c r="B437" s="19">
        <f t="shared" si="12"/>
        <v>2019</v>
      </c>
      <c r="C437" s="19">
        <f t="shared" si="13"/>
        <v>4</v>
      </c>
      <c r="D437" s="5" t="s">
        <v>646</v>
      </c>
      <c r="E437" s="5" t="s">
        <v>219</v>
      </c>
      <c r="F437" s="5" t="s">
        <v>19</v>
      </c>
      <c r="G437" s="5" t="s">
        <v>53</v>
      </c>
      <c r="H437" s="5" t="s">
        <v>648</v>
      </c>
      <c r="I437" s="13">
        <v>123.08799999999999</v>
      </c>
      <c r="J437" s="19">
        <v>7</v>
      </c>
      <c r="K437" s="14">
        <v>40.003599999999999</v>
      </c>
    </row>
    <row r="438" spans="1:11" x14ac:dyDescent="0.25">
      <c r="A438" s="2">
        <v>43572</v>
      </c>
      <c r="B438" s="18">
        <f t="shared" si="12"/>
        <v>2019</v>
      </c>
      <c r="C438" s="18">
        <f t="shared" si="13"/>
        <v>4</v>
      </c>
      <c r="D438" s="3" t="s">
        <v>177</v>
      </c>
      <c r="E438" s="3" t="s">
        <v>35</v>
      </c>
      <c r="F438" s="3" t="s">
        <v>14</v>
      </c>
      <c r="G438" s="3" t="s">
        <v>15</v>
      </c>
      <c r="H438" s="3" t="s">
        <v>649</v>
      </c>
      <c r="I438" s="11">
        <v>36.792000000000002</v>
      </c>
      <c r="J438" s="18">
        <v>1</v>
      </c>
      <c r="K438" s="12">
        <v>4.1391</v>
      </c>
    </row>
    <row r="439" spans="1:11" x14ac:dyDescent="0.25">
      <c r="A439" s="4">
        <v>43572</v>
      </c>
      <c r="B439" s="19">
        <f t="shared" si="12"/>
        <v>2019</v>
      </c>
      <c r="C439" s="19">
        <f t="shared" si="13"/>
        <v>4</v>
      </c>
      <c r="D439" s="5" t="s">
        <v>177</v>
      </c>
      <c r="E439" s="5" t="s">
        <v>35</v>
      </c>
      <c r="F439" s="5" t="s">
        <v>11</v>
      </c>
      <c r="G439" s="5" t="s">
        <v>51</v>
      </c>
      <c r="H439" s="5" t="s">
        <v>650</v>
      </c>
      <c r="I439" s="13">
        <v>18.623999999999999</v>
      </c>
      <c r="J439" s="19">
        <v>8</v>
      </c>
      <c r="K439" s="14">
        <v>6.2855999999999996</v>
      </c>
    </row>
    <row r="440" spans="1:11" x14ac:dyDescent="0.25">
      <c r="A440" s="2">
        <v>43572</v>
      </c>
      <c r="B440" s="18">
        <f t="shared" si="12"/>
        <v>2019</v>
      </c>
      <c r="C440" s="18">
        <f t="shared" si="13"/>
        <v>4</v>
      </c>
      <c r="D440" s="3" t="s">
        <v>594</v>
      </c>
      <c r="E440" s="3" t="s">
        <v>651</v>
      </c>
      <c r="F440" s="3" t="s">
        <v>19</v>
      </c>
      <c r="G440" s="3" t="s">
        <v>116</v>
      </c>
      <c r="H440" s="3" t="s">
        <v>652</v>
      </c>
      <c r="I440" s="11">
        <v>29.05</v>
      </c>
      <c r="J440" s="18">
        <v>5</v>
      </c>
      <c r="K440" s="12">
        <v>9.0054999999999996</v>
      </c>
    </row>
    <row r="441" spans="1:11" x14ac:dyDescent="0.25">
      <c r="A441" s="4">
        <v>43572</v>
      </c>
      <c r="B441" s="19">
        <f t="shared" si="12"/>
        <v>2019</v>
      </c>
      <c r="C441" s="19">
        <f t="shared" si="13"/>
        <v>4</v>
      </c>
      <c r="D441" s="5" t="s">
        <v>653</v>
      </c>
      <c r="E441" s="5" t="s">
        <v>18</v>
      </c>
      <c r="F441" s="5" t="s">
        <v>11</v>
      </c>
      <c r="G441" s="5" t="s">
        <v>12</v>
      </c>
      <c r="H441" s="5" t="s">
        <v>654</v>
      </c>
      <c r="I441" s="13">
        <v>257.49900000000002</v>
      </c>
      <c r="J441" s="19">
        <v>3</v>
      </c>
      <c r="K441" s="14">
        <v>24.235199999999999</v>
      </c>
    </row>
    <row r="442" spans="1:11" x14ac:dyDescent="0.25">
      <c r="A442" s="2">
        <v>43572</v>
      </c>
      <c r="B442" s="18">
        <f t="shared" si="12"/>
        <v>2019</v>
      </c>
      <c r="C442" s="18">
        <f t="shared" si="13"/>
        <v>4</v>
      </c>
      <c r="D442" s="3" t="s">
        <v>655</v>
      </c>
      <c r="E442" s="3" t="s">
        <v>219</v>
      </c>
      <c r="F442" s="3" t="s">
        <v>11</v>
      </c>
      <c r="G442" s="3" t="s">
        <v>51</v>
      </c>
      <c r="H442" s="3" t="s">
        <v>656</v>
      </c>
      <c r="I442" s="11">
        <v>79.12</v>
      </c>
      <c r="J442" s="18">
        <v>5</v>
      </c>
      <c r="K442" s="12">
        <v>13.846</v>
      </c>
    </row>
    <row r="443" spans="1:11" x14ac:dyDescent="0.25">
      <c r="A443" s="4">
        <v>43573</v>
      </c>
      <c r="B443" s="19">
        <f t="shared" si="12"/>
        <v>2019</v>
      </c>
      <c r="C443" s="19">
        <f t="shared" si="13"/>
        <v>4</v>
      </c>
      <c r="D443" s="5" t="s">
        <v>657</v>
      </c>
      <c r="E443" s="5" t="s">
        <v>164</v>
      </c>
      <c r="F443" s="5" t="s">
        <v>19</v>
      </c>
      <c r="G443" s="5" t="s">
        <v>20</v>
      </c>
      <c r="H443" s="5" t="s">
        <v>658</v>
      </c>
      <c r="I443" s="13">
        <v>230.376</v>
      </c>
      <c r="J443" s="19">
        <v>3</v>
      </c>
      <c r="K443" s="14">
        <v>-48.954900000000002</v>
      </c>
    </row>
    <row r="444" spans="1:11" x14ac:dyDescent="0.25">
      <c r="A444" s="2">
        <v>43573</v>
      </c>
      <c r="B444" s="18">
        <f t="shared" si="12"/>
        <v>2019</v>
      </c>
      <c r="C444" s="18">
        <f t="shared" si="13"/>
        <v>4</v>
      </c>
      <c r="D444" s="3" t="s">
        <v>657</v>
      </c>
      <c r="E444" s="3" t="s">
        <v>164</v>
      </c>
      <c r="F444" s="3" t="s">
        <v>19</v>
      </c>
      <c r="G444" s="3" t="s">
        <v>53</v>
      </c>
      <c r="H444" s="3" t="s">
        <v>659</v>
      </c>
      <c r="I444" s="11">
        <v>9.6639999999999997</v>
      </c>
      <c r="J444" s="18">
        <v>2</v>
      </c>
      <c r="K444" s="12">
        <v>3.2616000000000001</v>
      </c>
    </row>
    <row r="445" spans="1:11" x14ac:dyDescent="0.25">
      <c r="A445" s="4">
        <v>43573</v>
      </c>
      <c r="B445" s="19">
        <f t="shared" si="12"/>
        <v>2019</v>
      </c>
      <c r="C445" s="19">
        <f t="shared" si="13"/>
        <v>4</v>
      </c>
      <c r="D445" s="5" t="s">
        <v>660</v>
      </c>
      <c r="E445" s="5" t="s">
        <v>181</v>
      </c>
      <c r="F445" s="5" t="s">
        <v>19</v>
      </c>
      <c r="G445" s="5" t="s">
        <v>121</v>
      </c>
      <c r="H445" s="5" t="s">
        <v>661</v>
      </c>
      <c r="I445" s="13">
        <v>203.92</v>
      </c>
      <c r="J445" s="19">
        <v>4</v>
      </c>
      <c r="K445" s="14">
        <v>55.058399999999999</v>
      </c>
    </row>
    <row r="446" spans="1:11" x14ac:dyDescent="0.25">
      <c r="A446" s="2">
        <v>43573</v>
      </c>
      <c r="B446" s="18">
        <f t="shared" si="12"/>
        <v>2019</v>
      </c>
      <c r="C446" s="18">
        <f t="shared" si="13"/>
        <v>4</v>
      </c>
      <c r="D446" s="3" t="s">
        <v>660</v>
      </c>
      <c r="E446" s="3" t="s">
        <v>181</v>
      </c>
      <c r="F446" s="3" t="s">
        <v>14</v>
      </c>
      <c r="G446" s="3" t="s">
        <v>15</v>
      </c>
      <c r="H446" s="3" t="s">
        <v>662</v>
      </c>
      <c r="I446" s="11">
        <v>29.56</v>
      </c>
      <c r="J446" s="18">
        <v>4</v>
      </c>
      <c r="K446" s="12">
        <v>7.9812000000000003</v>
      </c>
    </row>
    <row r="447" spans="1:11" x14ac:dyDescent="0.25">
      <c r="A447" s="4">
        <v>43573</v>
      </c>
      <c r="B447" s="19">
        <f t="shared" si="12"/>
        <v>2019</v>
      </c>
      <c r="C447" s="19">
        <f t="shared" si="13"/>
        <v>4</v>
      </c>
      <c r="D447" s="5" t="s">
        <v>663</v>
      </c>
      <c r="E447" s="5" t="s">
        <v>23</v>
      </c>
      <c r="F447" s="5" t="s">
        <v>11</v>
      </c>
      <c r="G447" s="5" t="s">
        <v>112</v>
      </c>
      <c r="H447" s="5" t="s">
        <v>432</v>
      </c>
      <c r="I447" s="13">
        <v>344.37200000000001</v>
      </c>
      <c r="J447" s="19">
        <v>4</v>
      </c>
      <c r="K447" s="14">
        <v>-93.472399999999993</v>
      </c>
    </row>
    <row r="448" spans="1:11" x14ac:dyDescent="0.25">
      <c r="A448" s="2">
        <v>43573</v>
      </c>
      <c r="B448" s="18">
        <f t="shared" si="12"/>
        <v>2019</v>
      </c>
      <c r="C448" s="18">
        <f t="shared" si="13"/>
        <v>4</v>
      </c>
      <c r="D448" s="3" t="s">
        <v>663</v>
      </c>
      <c r="E448" s="3" t="s">
        <v>23</v>
      </c>
      <c r="F448" s="3" t="s">
        <v>19</v>
      </c>
      <c r="G448" s="3" t="s">
        <v>20</v>
      </c>
      <c r="H448" s="3" t="s">
        <v>664</v>
      </c>
      <c r="I448" s="11">
        <v>1554.9359999999999</v>
      </c>
      <c r="J448" s="18">
        <v>3</v>
      </c>
      <c r="K448" s="12">
        <v>77.746799999999993</v>
      </c>
    </row>
    <row r="449" spans="1:11" x14ac:dyDescent="0.25">
      <c r="A449" s="4">
        <v>43573</v>
      </c>
      <c r="B449" s="19">
        <f t="shared" si="12"/>
        <v>2019</v>
      </c>
      <c r="C449" s="19">
        <f t="shared" si="13"/>
        <v>4</v>
      </c>
      <c r="D449" s="5" t="s">
        <v>663</v>
      </c>
      <c r="E449" s="5" t="s">
        <v>23</v>
      </c>
      <c r="F449" s="5" t="s">
        <v>11</v>
      </c>
      <c r="G449" s="5" t="s">
        <v>51</v>
      </c>
      <c r="H449" s="5" t="s">
        <v>665</v>
      </c>
      <c r="I449" s="13">
        <v>127.88</v>
      </c>
      <c r="J449" s="19">
        <v>5</v>
      </c>
      <c r="K449" s="14">
        <v>-67.137</v>
      </c>
    </row>
    <row r="450" spans="1:11" x14ac:dyDescent="0.25">
      <c r="A450" s="2">
        <v>43573</v>
      </c>
      <c r="B450" s="18">
        <f t="shared" ref="B450:B513" si="14">YEAR(A450)</f>
        <v>2019</v>
      </c>
      <c r="C450" s="18">
        <f t="shared" ref="C450:C513" si="15">MONTH(A450)</f>
        <v>4</v>
      </c>
      <c r="D450" s="3" t="s">
        <v>666</v>
      </c>
      <c r="E450" s="3" t="s">
        <v>94</v>
      </c>
      <c r="F450" s="3" t="s">
        <v>19</v>
      </c>
      <c r="G450" s="3" t="s">
        <v>40</v>
      </c>
      <c r="H450" s="3" t="s">
        <v>88</v>
      </c>
      <c r="I450" s="11">
        <v>6.99</v>
      </c>
      <c r="J450" s="18">
        <v>3</v>
      </c>
      <c r="K450" s="12">
        <v>2.0270999999999999</v>
      </c>
    </row>
    <row r="451" spans="1:11" x14ac:dyDescent="0.25">
      <c r="A451" s="4">
        <v>43573</v>
      </c>
      <c r="B451" s="19">
        <f t="shared" si="14"/>
        <v>2019</v>
      </c>
      <c r="C451" s="19">
        <f t="shared" si="15"/>
        <v>4</v>
      </c>
      <c r="D451" s="5" t="s">
        <v>666</v>
      </c>
      <c r="E451" s="5" t="s">
        <v>94</v>
      </c>
      <c r="F451" s="5" t="s">
        <v>19</v>
      </c>
      <c r="G451" s="5" t="s">
        <v>265</v>
      </c>
      <c r="H451" s="5" t="s">
        <v>667</v>
      </c>
      <c r="I451" s="13">
        <v>6.84</v>
      </c>
      <c r="J451" s="19">
        <v>1</v>
      </c>
      <c r="K451" s="14">
        <v>1.8468</v>
      </c>
    </row>
    <row r="452" spans="1:11" x14ac:dyDescent="0.25">
      <c r="A452" s="2">
        <v>43574</v>
      </c>
      <c r="B452" s="18">
        <f t="shared" si="14"/>
        <v>2019</v>
      </c>
      <c r="C452" s="18">
        <f t="shared" si="15"/>
        <v>4</v>
      </c>
      <c r="D452" s="3" t="s">
        <v>554</v>
      </c>
      <c r="E452" s="3" t="s">
        <v>67</v>
      </c>
      <c r="F452" s="3" t="s">
        <v>11</v>
      </c>
      <c r="G452" s="3" t="s">
        <v>30</v>
      </c>
      <c r="H452" s="3" t="s">
        <v>668</v>
      </c>
      <c r="I452" s="11">
        <v>205.17599999999999</v>
      </c>
      <c r="J452" s="18">
        <v>2</v>
      </c>
      <c r="K452" s="12">
        <v>-58.133200000000002</v>
      </c>
    </row>
    <row r="453" spans="1:11" x14ac:dyDescent="0.25">
      <c r="A453" s="4">
        <v>43574</v>
      </c>
      <c r="B453" s="19">
        <f t="shared" si="14"/>
        <v>2019</v>
      </c>
      <c r="C453" s="19">
        <f t="shared" si="15"/>
        <v>4</v>
      </c>
      <c r="D453" s="5" t="s">
        <v>554</v>
      </c>
      <c r="E453" s="5" t="s">
        <v>67</v>
      </c>
      <c r="F453" s="5" t="s">
        <v>19</v>
      </c>
      <c r="G453" s="5" t="s">
        <v>53</v>
      </c>
      <c r="H453" s="5" t="s">
        <v>669</v>
      </c>
      <c r="I453" s="13">
        <v>419.4</v>
      </c>
      <c r="J453" s="19">
        <v>5</v>
      </c>
      <c r="K453" s="14">
        <v>146.79</v>
      </c>
    </row>
    <row r="454" spans="1:11" x14ac:dyDescent="0.25">
      <c r="A454" s="2">
        <v>43574</v>
      </c>
      <c r="B454" s="18">
        <f t="shared" si="14"/>
        <v>2019</v>
      </c>
      <c r="C454" s="18">
        <f t="shared" si="15"/>
        <v>4</v>
      </c>
      <c r="D454" s="3" t="s">
        <v>670</v>
      </c>
      <c r="E454" s="3" t="s">
        <v>18</v>
      </c>
      <c r="F454" s="3" t="s">
        <v>14</v>
      </c>
      <c r="G454" s="3" t="s">
        <v>15</v>
      </c>
      <c r="H454" s="3" t="s">
        <v>671</v>
      </c>
      <c r="I454" s="11">
        <v>39.96</v>
      </c>
      <c r="J454" s="18">
        <v>5</v>
      </c>
      <c r="K454" s="12">
        <v>12.987</v>
      </c>
    </row>
    <row r="455" spans="1:11" x14ac:dyDescent="0.25">
      <c r="A455" s="4">
        <v>43574</v>
      </c>
      <c r="B455" s="19">
        <f t="shared" si="14"/>
        <v>2019</v>
      </c>
      <c r="C455" s="19">
        <f t="shared" si="15"/>
        <v>4</v>
      </c>
      <c r="D455" s="5" t="s">
        <v>670</v>
      </c>
      <c r="E455" s="5" t="s">
        <v>18</v>
      </c>
      <c r="F455" s="5" t="s">
        <v>19</v>
      </c>
      <c r="G455" s="5" t="s">
        <v>40</v>
      </c>
      <c r="H455" s="5" t="s">
        <v>672</v>
      </c>
      <c r="I455" s="13">
        <v>5.46</v>
      </c>
      <c r="J455" s="19">
        <v>3</v>
      </c>
      <c r="K455" s="14">
        <v>1.5287999999999999</v>
      </c>
    </row>
    <row r="456" spans="1:11" x14ac:dyDescent="0.25">
      <c r="A456" s="2">
        <v>43574</v>
      </c>
      <c r="B456" s="18">
        <f t="shared" si="14"/>
        <v>2019</v>
      </c>
      <c r="C456" s="18">
        <f t="shared" si="15"/>
        <v>4</v>
      </c>
      <c r="D456" s="3" t="s">
        <v>670</v>
      </c>
      <c r="E456" s="3" t="s">
        <v>18</v>
      </c>
      <c r="F456" s="3" t="s">
        <v>19</v>
      </c>
      <c r="G456" s="3" t="s">
        <v>40</v>
      </c>
      <c r="H456" s="3" t="s">
        <v>673</v>
      </c>
      <c r="I456" s="11">
        <v>73.2</v>
      </c>
      <c r="J456" s="18">
        <v>5</v>
      </c>
      <c r="K456" s="12">
        <v>21.228000000000002</v>
      </c>
    </row>
    <row r="457" spans="1:11" x14ac:dyDescent="0.25">
      <c r="A457" s="4">
        <v>43574</v>
      </c>
      <c r="B457" s="19">
        <f t="shared" si="14"/>
        <v>2019</v>
      </c>
      <c r="C457" s="19">
        <f t="shared" si="15"/>
        <v>4</v>
      </c>
      <c r="D457" s="5" t="s">
        <v>670</v>
      </c>
      <c r="E457" s="5" t="s">
        <v>18</v>
      </c>
      <c r="F457" s="5" t="s">
        <v>19</v>
      </c>
      <c r="G457" s="5" t="s">
        <v>32</v>
      </c>
      <c r="H457" s="5" t="s">
        <v>674</v>
      </c>
      <c r="I457" s="13">
        <v>5.84</v>
      </c>
      <c r="J457" s="19">
        <v>1</v>
      </c>
      <c r="K457" s="14">
        <v>1.9710000000000001</v>
      </c>
    </row>
    <row r="458" spans="1:11" x14ac:dyDescent="0.25">
      <c r="A458" s="2">
        <v>43574</v>
      </c>
      <c r="B458" s="18">
        <f t="shared" si="14"/>
        <v>2019</v>
      </c>
      <c r="C458" s="18">
        <f t="shared" si="15"/>
        <v>4</v>
      </c>
      <c r="D458" s="3" t="s">
        <v>670</v>
      </c>
      <c r="E458" s="3" t="s">
        <v>18</v>
      </c>
      <c r="F458" s="3" t="s">
        <v>19</v>
      </c>
      <c r="G458" s="3" t="s">
        <v>53</v>
      </c>
      <c r="H458" s="3" t="s">
        <v>675</v>
      </c>
      <c r="I458" s="11">
        <v>22.72</v>
      </c>
      <c r="J458" s="18">
        <v>4</v>
      </c>
      <c r="K458" s="12">
        <v>10.224</v>
      </c>
    </row>
    <row r="459" spans="1:11" x14ac:dyDescent="0.25">
      <c r="A459" s="4">
        <v>43574</v>
      </c>
      <c r="B459" s="19">
        <f t="shared" si="14"/>
        <v>2019</v>
      </c>
      <c r="C459" s="19">
        <f t="shared" si="15"/>
        <v>4</v>
      </c>
      <c r="D459" s="5" t="s">
        <v>670</v>
      </c>
      <c r="E459" s="5" t="s">
        <v>18</v>
      </c>
      <c r="F459" s="5" t="s">
        <v>19</v>
      </c>
      <c r="G459" s="5" t="s">
        <v>32</v>
      </c>
      <c r="H459" s="5" t="s">
        <v>676</v>
      </c>
      <c r="I459" s="13">
        <v>9.3360000000000003</v>
      </c>
      <c r="J459" s="19">
        <v>3</v>
      </c>
      <c r="K459" s="14">
        <v>3.2675999999999998</v>
      </c>
    </row>
    <row r="460" spans="1:11" x14ac:dyDescent="0.25">
      <c r="A460" s="2">
        <v>43574</v>
      </c>
      <c r="B460" s="18">
        <f t="shared" si="14"/>
        <v>2019</v>
      </c>
      <c r="C460" s="18">
        <f t="shared" si="15"/>
        <v>4</v>
      </c>
      <c r="D460" s="3" t="s">
        <v>677</v>
      </c>
      <c r="E460" s="3" t="s">
        <v>94</v>
      </c>
      <c r="F460" s="3" t="s">
        <v>14</v>
      </c>
      <c r="G460" s="3" t="s">
        <v>15</v>
      </c>
      <c r="H460" s="3" t="s">
        <v>678</v>
      </c>
      <c r="I460" s="11">
        <v>25.98</v>
      </c>
      <c r="J460" s="18">
        <v>2</v>
      </c>
      <c r="K460" s="12">
        <v>0.77939999999999998</v>
      </c>
    </row>
    <row r="461" spans="1:11" x14ac:dyDescent="0.25">
      <c r="A461" s="4">
        <v>43574</v>
      </c>
      <c r="B461" s="19">
        <f t="shared" si="14"/>
        <v>2019</v>
      </c>
      <c r="C461" s="19">
        <f t="shared" si="15"/>
        <v>4</v>
      </c>
      <c r="D461" s="5" t="s">
        <v>677</v>
      </c>
      <c r="E461" s="5" t="s">
        <v>94</v>
      </c>
      <c r="F461" s="5" t="s">
        <v>19</v>
      </c>
      <c r="G461" s="5" t="s">
        <v>40</v>
      </c>
      <c r="H461" s="5" t="s">
        <v>679</v>
      </c>
      <c r="I461" s="13">
        <v>3.28</v>
      </c>
      <c r="J461" s="19">
        <v>2</v>
      </c>
      <c r="K461" s="14">
        <v>1.476</v>
      </c>
    </row>
    <row r="462" spans="1:11" x14ac:dyDescent="0.25">
      <c r="A462" s="2">
        <v>43574</v>
      </c>
      <c r="B462" s="18">
        <f t="shared" si="14"/>
        <v>2019</v>
      </c>
      <c r="C462" s="18">
        <f t="shared" si="15"/>
        <v>4</v>
      </c>
      <c r="D462" s="3" t="s">
        <v>677</v>
      </c>
      <c r="E462" s="3" t="s">
        <v>94</v>
      </c>
      <c r="F462" s="3" t="s">
        <v>19</v>
      </c>
      <c r="G462" s="3" t="s">
        <v>20</v>
      </c>
      <c r="H462" s="3" t="s">
        <v>680</v>
      </c>
      <c r="I462" s="11">
        <v>459.88</v>
      </c>
      <c r="J462" s="18">
        <v>4</v>
      </c>
      <c r="K462" s="12">
        <v>13.7964</v>
      </c>
    </row>
    <row r="463" spans="1:11" x14ac:dyDescent="0.25">
      <c r="A463" s="4">
        <v>43574</v>
      </c>
      <c r="B463" s="19">
        <f t="shared" si="14"/>
        <v>2019</v>
      </c>
      <c r="C463" s="19">
        <f t="shared" si="15"/>
        <v>4</v>
      </c>
      <c r="D463" s="5" t="s">
        <v>677</v>
      </c>
      <c r="E463" s="5" t="s">
        <v>94</v>
      </c>
      <c r="F463" s="5" t="s">
        <v>19</v>
      </c>
      <c r="G463" s="5" t="s">
        <v>265</v>
      </c>
      <c r="H463" s="5" t="s">
        <v>681</v>
      </c>
      <c r="I463" s="13">
        <v>7.76</v>
      </c>
      <c r="J463" s="19">
        <v>2</v>
      </c>
      <c r="K463" s="14">
        <v>2.2504</v>
      </c>
    </row>
    <row r="464" spans="1:11" x14ac:dyDescent="0.25">
      <c r="A464" s="2">
        <v>43574</v>
      </c>
      <c r="B464" s="18">
        <f t="shared" si="14"/>
        <v>2019</v>
      </c>
      <c r="C464" s="18">
        <f t="shared" si="15"/>
        <v>4</v>
      </c>
      <c r="D464" s="3" t="s">
        <v>677</v>
      </c>
      <c r="E464" s="3" t="s">
        <v>94</v>
      </c>
      <c r="F464" s="3" t="s">
        <v>19</v>
      </c>
      <c r="G464" s="3" t="s">
        <v>40</v>
      </c>
      <c r="H464" s="3" t="s">
        <v>682</v>
      </c>
      <c r="I464" s="11">
        <v>71.959999999999994</v>
      </c>
      <c r="J464" s="18">
        <v>2</v>
      </c>
      <c r="K464" s="12">
        <v>17.989999999999998</v>
      </c>
    </row>
    <row r="465" spans="1:11" x14ac:dyDescent="0.25">
      <c r="A465" s="4">
        <v>43574</v>
      </c>
      <c r="B465" s="19">
        <f t="shared" si="14"/>
        <v>2019</v>
      </c>
      <c r="C465" s="19">
        <f t="shared" si="15"/>
        <v>4</v>
      </c>
      <c r="D465" s="5" t="s">
        <v>677</v>
      </c>
      <c r="E465" s="5" t="s">
        <v>94</v>
      </c>
      <c r="F465" s="5" t="s">
        <v>19</v>
      </c>
      <c r="G465" s="5" t="s">
        <v>265</v>
      </c>
      <c r="H465" s="5" t="s">
        <v>683</v>
      </c>
      <c r="I465" s="13">
        <v>54.9</v>
      </c>
      <c r="J465" s="19">
        <v>5</v>
      </c>
      <c r="K465" s="14">
        <v>15.372</v>
      </c>
    </row>
    <row r="466" spans="1:11" x14ac:dyDescent="0.25">
      <c r="A466" s="2">
        <v>43574</v>
      </c>
      <c r="B466" s="18">
        <f t="shared" si="14"/>
        <v>2019</v>
      </c>
      <c r="C466" s="18">
        <f t="shared" si="15"/>
        <v>4</v>
      </c>
      <c r="D466" s="3" t="s">
        <v>677</v>
      </c>
      <c r="E466" s="3" t="s">
        <v>94</v>
      </c>
      <c r="F466" s="3" t="s">
        <v>19</v>
      </c>
      <c r="G466" s="3" t="s">
        <v>32</v>
      </c>
      <c r="H466" s="3" t="s">
        <v>272</v>
      </c>
      <c r="I466" s="11">
        <v>9.2799999999999994</v>
      </c>
      <c r="J466" s="18">
        <v>2</v>
      </c>
      <c r="K466" s="12">
        <v>3.2480000000000002</v>
      </c>
    </row>
    <row r="467" spans="1:11" x14ac:dyDescent="0.25">
      <c r="A467" s="4">
        <v>43576</v>
      </c>
      <c r="B467" s="19">
        <f t="shared" si="14"/>
        <v>2019</v>
      </c>
      <c r="C467" s="19">
        <f t="shared" si="15"/>
        <v>4</v>
      </c>
      <c r="D467" s="5" t="s">
        <v>433</v>
      </c>
      <c r="E467" s="5" t="s">
        <v>164</v>
      </c>
      <c r="F467" s="5" t="s">
        <v>19</v>
      </c>
      <c r="G467" s="5" t="s">
        <v>20</v>
      </c>
      <c r="H467" s="5" t="s">
        <v>684</v>
      </c>
      <c r="I467" s="13">
        <v>102.336</v>
      </c>
      <c r="J467" s="19">
        <v>4</v>
      </c>
      <c r="K467" s="14">
        <v>-12.792</v>
      </c>
    </row>
    <row r="468" spans="1:11" x14ac:dyDescent="0.25">
      <c r="A468" s="2">
        <v>43576</v>
      </c>
      <c r="B468" s="18">
        <f t="shared" si="14"/>
        <v>2019</v>
      </c>
      <c r="C468" s="18">
        <f t="shared" si="15"/>
        <v>4</v>
      </c>
      <c r="D468" s="3" t="s">
        <v>433</v>
      </c>
      <c r="E468" s="3" t="s">
        <v>164</v>
      </c>
      <c r="F468" s="3" t="s">
        <v>19</v>
      </c>
      <c r="G468" s="3" t="s">
        <v>121</v>
      </c>
      <c r="H468" s="3" t="s">
        <v>685</v>
      </c>
      <c r="I468" s="11">
        <v>48.792000000000002</v>
      </c>
      <c r="J468" s="18">
        <v>3</v>
      </c>
      <c r="K468" s="12">
        <v>-126.8592</v>
      </c>
    </row>
    <row r="469" spans="1:11" x14ac:dyDescent="0.25">
      <c r="A469" s="4">
        <v>43576</v>
      </c>
      <c r="B469" s="19">
        <f t="shared" si="14"/>
        <v>2019</v>
      </c>
      <c r="C469" s="19">
        <f t="shared" si="15"/>
        <v>4</v>
      </c>
      <c r="D469" s="5" t="s">
        <v>433</v>
      </c>
      <c r="E469" s="5" t="s">
        <v>164</v>
      </c>
      <c r="F469" s="5" t="s">
        <v>19</v>
      </c>
      <c r="G469" s="5" t="s">
        <v>32</v>
      </c>
      <c r="H469" s="5" t="s">
        <v>686</v>
      </c>
      <c r="I469" s="13">
        <v>44.847999999999999</v>
      </c>
      <c r="J469" s="19">
        <v>8</v>
      </c>
      <c r="K469" s="14">
        <v>-67.272000000000006</v>
      </c>
    </row>
    <row r="470" spans="1:11" x14ac:dyDescent="0.25">
      <c r="A470" s="2">
        <v>43576</v>
      </c>
      <c r="B470" s="18">
        <f t="shared" si="14"/>
        <v>2019</v>
      </c>
      <c r="C470" s="18">
        <f t="shared" si="15"/>
        <v>4</v>
      </c>
      <c r="D470" s="3" t="s">
        <v>687</v>
      </c>
      <c r="E470" s="3" t="s">
        <v>70</v>
      </c>
      <c r="F470" s="3" t="s">
        <v>19</v>
      </c>
      <c r="G470" s="3" t="s">
        <v>32</v>
      </c>
      <c r="H470" s="3" t="s">
        <v>688</v>
      </c>
      <c r="I470" s="11">
        <v>8.32</v>
      </c>
      <c r="J470" s="18">
        <v>5</v>
      </c>
      <c r="K470" s="12">
        <v>2.8079999999999998</v>
      </c>
    </row>
    <row r="471" spans="1:11" x14ac:dyDescent="0.25">
      <c r="A471" s="4">
        <v>43576</v>
      </c>
      <c r="B471" s="19">
        <f t="shared" si="14"/>
        <v>2019</v>
      </c>
      <c r="C471" s="19">
        <f t="shared" si="15"/>
        <v>4</v>
      </c>
      <c r="D471" s="5" t="s">
        <v>601</v>
      </c>
      <c r="E471" s="5" t="s">
        <v>91</v>
      </c>
      <c r="F471" s="5" t="s">
        <v>19</v>
      </c>
      <c r="G471" s="5" t="s">
        <v>40</v>
      </c>
      <c r="H471" s="5" t="s">
        <v>689</v>
      </c>
      <c r="I471" s="13">
        <v>15.48</v>
      </c>
      <c r="J471" s="19">
        <v>3</v>
      </c>
      <c r="K471" s="14">
        <v>4.4892000000000003</v>
      </c>
    </row>
    <row r="472" spans="1:11" x14ac:dyDescent="0.25">
      <c r="A472" s="2">
        <v>43576</v>
      </c>
      <c r="B472" s="18">
        <f t="shared" si="14"/>
        <v>2019</v>
      </c>
      <c r="C472" s="18">
        <f t="shared" si="15"/>
        <v>4</v>
      </c>
      <c r="D472" s="3" t="s">
        <v>601</v>
      </c>
      <c r="E472" s="3" t="s">
        <v>91</v>
      </c>
      <c r="F472" s="3" t="s">
        <v>19</v>
      </c>
      <c r="G472" s="3" t="s">
        <v>53</v>
      </c>
      <c r="H472" s="3" t="s">
        <v>690</v>
      </c>
      <c r="I472" s="11">
        <v>51.84</v>
      </c>
      <c r="J472" s="18">
        <v>8</v>
      </c>
      <c r="K472" s="12">
        <v>24.883199999999999</v>
      </c>
    </row>
    <row r="473" spans="1:11" x14ac:dyDescent="0.25">
      <c r="A473" s="4">
        <v>43577</v>
      </c>
      <c r="B473" s="19">
        <f t="shared" si="14"/>
        <v>2019</v>
      </c>
      <c r="C473" s="19">
        <f t="shared" si="15"/>
        <v>4</v>
      </c>
      <c r="D473" s="5" t="s">
        <v>691</v>
      </c>
      <c r="E473" s="5" t="s">
        <v>198</v>
      </c>
      <c r="F473" s="5" t="s">
        <v>11</v>
      </c>
      <c r="G473" s="5" t="s">
        <v>51</v>
      </c>
      <c r="H473" s="5" t="s">
        <v>692</v>
      </c>
      <c r="I473" s="13">
        <v>23.56</v>
      </c>
      <c r="J473" s="19">
        <v>5</v>
      </c>
      <c r="K473" s="14">
        <v>7.0679999999999996</v>
      </c>
    </row>
    <row r="474" spans="1:11" x14ac:dyDescent="0.25">
      <c r="A474" s="2">
        <v>43577</v>
      </c>
      <c r="B474" s="18">
        <f t="shared" si="14"/>
        <v>2019</v>
      </c>
      <c r="C474" s="18">
        <f t="shared" si="15"/>
        <v>4</v>
      </c>
      <c r="D474" s="3" t="s">
        <v>691</v>
      </c>
      <c r="E474" s="3" t="s">
        <v>198</v>
      </c>
      <c r="F474" s="3" t="s">
        <v>11</v>
      </c>
      <c r="G474" s="3" t="s">
        <v>30</v>
      </c>
      <c r="H474" s="3" t="s">
        <v>693</v>
      </c>
      <c r="I474" s="11">
        <v>1272.6300000000001</v>
      </c>
      <c r="J474" s="18">
        <v>6</v>
      </c>
      <c r="K474" s="12">
        <v>-814.48320000000001</v>
      </c>
    </row>
    <row r="475" spans="1:11" x14ac:dyDescent="0.25">
      <c r="A475" s="4">
        <v>43577</v>
      </c>
      <c r="B475" s="19">
        <f t="shared" si="14"/>
        <v>2019</v>
      </c>
      <c r="C475" s="19">
        <f t="shared" si="15"/>
        <v>4</v>
      </c>
      <c r="D475" s="5" t="s">
        <v>691</v>
      </c>
      <c r="E475" s="5" t="s">
        <v>198</v>
      </c>
      <c r="F475" s="5" t="s">
        <v>19</v>
      </c>
      <c r="G475" s="5" t="s">
        <v>32</v>
      </c>
      <c r="H475" s="5" t="s">
        <v>694</v>
      </c>
      <c r="I475" s="13">
        <v>28.484999999999999</v>
      </c>
      <c r="J475" s="19">
        <v>5</v>
      </c>
      <c r="K475" s="14">
        <v>-20.888999999999999</v>
      </c>
    </row>
    <row r="476" spans="1:11" x14ac:dyDescent="0.25">
      <c r="A476" s="2">
        <v>43577</v>
      </c>
      <c r="B476" s="18">
        <f t="shared" si="14"/>
        <v>2019</v>
      </c>
      <c r="C476" s="18">
        <f t="shared" si="15"/>
        <v>4</v>
      </c>
      <c r="D476" s="3" t="s">
        <v>691</v>
      </c>
      <c r="E476" s="3" t="s">
        <v>198</v>
      </c>
      <c r="F476" s="3" t="s">
        <v>19</v>
      </c>
      <c r="G476" s="3" t="s">
        <v>265</v>
      </c>
      <c r="H476" s="3" t="s">
        <v>695</v>
      </c>
      <c r="I476" s="11">
        <v>185.376</v>
      </c>
      <c r="J476" s="18">
        <v>2</v>
      </c>
      <c r="K476" s="12">
        <v>-34.758000000000003</v>
      </c>
    </row>
    <row r="477" spans="1:11" x14ac:dyDescent="0.25">
      <c r="A477" s="4">
        <v>43577</v>
      </c>
      <c r="B477" s="19">
        <f t="shared" si="14"/>
        <v>2019</v>
      </c>
      <c r="C477" s="19">
        <f t="shared" si="15"/>
        <v>4</v>
      </c>
      <c r="D477" s="5" t="s">
        <v>691</v>
      </c>
      <c r="E477" s="5" t="s">
        <v>198</v>
      </c>
      <c r="F477" s="5" t="s">
        <v>19</v>
      </c>
      <c r="G477" s="5" t="s">
        <v>121</v>
      </c>
      <c r="H477" s="5" t="s">
        <v>696</v>
      </c>
      <c r="I477" s="13">
        <v>78.272000000000006</v>
      </c>
      <c r="J477" s="19">
        <v>2</v>
      </c>
      <c r="K477" s="14">
        <v>5.8704000000000001</v>
      </c>
    </row>
    <row r="478" spans="1:11" x14ac:dyDescent="0.25">
      <c r="A478" s="2">
        <v>43577</v>
      </c>
      <c r="B478" s="18">
        <f t="shared" si="14"/>
        <v>2019</v>
      </c>
      <c r="C478" s="18">
        <f t="shared" si="15"/>
        <v>4</v>
      </c>
      <c r="D478" s="3" t="s">
        <v>697</v>
      </c>
      <c r="E478" s="3" t="s">
        <v>472</v>
      </c>
      <c r="F478" s="3" t="s">
        <v>11</v>
      </c>
      <c r="G478" s="3" t="s">
        <v>51</v>
      </c>
      <c r="H478" s="3" t="s">
        <v>698</v>
      </c>
      <c r="I478" s="11">
        <v>86.62</v>
      </c>
      <c r="J478" s="18">
        <v>2</v>
      </c>
      <c r="K478" s="12">
        <v>8.6620000000000008</v>
      </c>
    </row>
    <row r="479" spans="1:11" x14ac:dyDescent="0.25">
      <c r="A479" s="4">
        <v>43577</v>
      </c>
      <c r="B479" s="19">
        <f t="shared" si="14"/>
        <v>2019</v>
      </c>
      <c r="C479" s="19">
        <f t="shared" si="15"/>
        <v>4</v>
      </c>
      <c r="D479" s="5" t="s">
        <v>699</v>
      </c>
      <c r="E479" s="5" t="s">
        <v>164</v>
      </c>
      <c r="F479" s="5" t="s">
        <v>19</v>
      </c>
      <c r="G479" s="5" t="s">
        <v>20</v>
      </c>
      <c r="H479" s="5" t="s">
        <v>700</v>
      </c>
      <c r="I479" s="13">
        <v>23.952000000000002</v>
      </c>
      <c r="J479" s="19">
        <v>2</v>
      </c>
      <c r="K479" s="14">
        <v>2.3952</v>
      </c>
    </row>
    <row r="480" spans="1:11" x14ac:dyDescent="0.25">
      <c r="A480" s="2">
        <v>43577</v>
      </c>
      <c r="B480" s="18">
        <f t="shared" si="14"/>
        <v>2019</v>
      </c>
      <c r="C480" s="18">
        <f t="shared" si="15"/>
        <v>4</v>
      </c>
      <c r="D480" s="3" t="s">
        <v>115</v>
      </c>
      <c r="E480" s="3" t="s">
        <v>18</v>
      </c>
      <c r="F480" s="3" t="s">
        <v>11</v>
      </c>
      <c r="G480" s="3" t="s">
        <v>51</v>
      </c>
      <c r="H480" s="3" t="s">
        <v>701</v>
      </c>
      <c r="I480" s="11">
        <v>31.56</v>
      </c>
      <c r="J480" s="18">
        <v>3</v>
      </c>
      <c r="K480" s="12">
        <v>10.4148</v>
      </c>
    </row>
    <row r="481" spans="1:11" x14ac:dyDescent="0.25">
      <c r="A481" s="4">
        <v>43577</v>
      </c>
      <c r="B481" s="19">
        <f t="shared" si="14"/>
        <v>2019</v>
      </c>
      <c r="C481" s="19">
        <f t="shared" si="15"/>
        <v>4</v>
      </c>
      <c r="D481" s="5" t="s">
        <v>702</v>
      </c>
      <c r="E481" s="5" t="s">
        <v>94</v>
      </c>
      <c r="F481" s="5" t="s">
        <v>19</v>
      </c>
      <c r="G481" s="5" t="s">
        <v>40</v>
      </c>
      <c r="H481" s="5" t="s">
        <v>703</v>
      </c>
      <c r="I481" s="13">
        <v>32.130000000000003</v>
      </c>
      <c r="J481" s="19">
        <v>9</v>
      </c>
      <c r="K481" s="14">
        <v>8.3537999999999997</v>
      </c>
    </row>
    <row r="482" spans="1:11" x14ac:dyDescent="0.25">
      <c r="A482" s="2">
        <v>43577</v>
      </c>
      <c r="B482" s="18">
        <f t="shared" si="14"/>
        <v>2019</v>
      </c>
      <c r="C482" s="18">
        <f t="shared" si="15"/>
        <v>4</v>
      </c>
      <c r="D482" s="3" t="s">
        <v>702</v>
      </c>
      <c r="E482" s="3" t="s">
        <v>94</v>
      </c>
      <c r="F482" s="3" t="s">
        <v>19</v>
      </c>
      <c r="G482" s="3" t="s">
        <v>40</v>
      </c>
      <c r="H482" s="3" t="s">
        <v>704</v>
      </c>
      <c r="I482" s="11">
        <v>2.88</v>
      </c>
      <c r="J482" s="18">
        <v>1</v>
      </c>
      <c r="K482" s="12">
        <v>0.80640000000000001</v>
      </c>
    </row>
    <row r="483" spans="1:11" x14ac:dyDescent="0.25">
      <c r="A483" s="4">
        <v>43578</v>
      </c>
      <c r="B483" s="19">
        <f t="shared" si="14"/>
        <v>2019</v>
      </c>
      <c r="C483" s="19">
        <f t="shared" si="15"/>
        <v>4</v>
      </c>
      <c r="D483" s="5" t="s">
        <v>705</v>
      </c>
      <c r="E483" s="5" t="s">
        <v>18</v>
      </c>
      <c r="F483" s="5" t="s">
        <v>19</v>
      </c>
      <c r="G483" s="5" t="s">
        <v>32</v>
      </c>
      <c r="H483" s="5" t="s">
        <v>706</v>
      </c>
      <c r="I483" s="13">
        <v>251.52</v>
      </c>
      <c r="J483" s="19">
        <v>6</v>
      </c>
      <c r="K483" s="14">
        <v>81.744</v>
      </c>
    </row>
    <row r="484" spans="1:11" x14ac:dyDescent="0.25">
      <c r="A484" s="2">
        <v>43578</v>
      </c>
      <c r="B484" s="18">
        <f t="shared" si="14"/>
        <v>2019</v>
      </c>
      <c r="C484" s="18">
        <f t="shared" si="15"/>
        <v>4</v>
      </c>
      <c r="D484" s="3" t="s">
        <v>705</v>
      </c>
      <c r="E484" s="3" t="s">
        <v>18</v>
      </c>
      <c r="F484" s="3" t="s">
        <v>14</v>
      </c>
      <c r="G484" s="3" t="s">
        <v>24</v>
      </c>
      <c r="H484" s="3" t="s">
        <v>707</v>
      </c>
      <c r="I484" s="11">
        <v>99.99</v>
      </c>
      <c r="J484" s="18">
        <v>1</v>
      </c>
      <c r="K484" s="12">
        <v>34.996499999999997</v>
      </c>
    </row>
    <row r="485" spans="1:11" x14ac:dyDescent="0.25">
      <c r="A485" s="4">
        <v>43578</v>
      </c>
      <c r="B485" s="19">
        <f t="shared" si="14"/>
        <v>2019</v>
      </c>
      <c r="C485" s="19">
        <f t="shared" si="15"/>
        <v>4</v>
      </c>
      <c r="D485" s="5" t="s">
        <v>708</v>
      </c>
      <c r="E485" s="5" t="s">
        <v>35</v>
      </c>
      <c r="F485" s="5" t="s">
        <v>19</v>
      </c>
      <c r="G485" s="5" t="s">
        <v>53</v>
      </c>
      <c r="H485" s="5" t="s">
        <v>709</v>
      </c>
      <c r="I485" s="13">
        <v>36.24</v>
      </c>
      <c r="J485" s="19">
        <v>5</v>
      </c>
      <c r="K485" s="14">
        <v>11.324999999999999</v>
      </c>
    </row>
    <row r="486" spans="1:11" x14ac:dyDescent="0.25">
      <c r="A486" s="2">
        <v>43578</v>
      </c>
      <c r="B486" s="18">
        <f t="shared" si="14"/>
        <v>2019</v>
      </c>
      <c r="C486" s="18">
        <f t="shared" si="15"/>
        <v>4</v>
      </c>
      <c r="D486" s="3" t="s">
        <v>710</v>
      </c>
      <c r="E486" s="3" t="s">
        <v>67</v>
      </c>
      <c r="F486" s="3" t="s">
        <v>19</v>
      </c>
      <c r="G486" s="3" t="s">
        <v>53</v>
      </c>
      <c r="H486" s="3" t="s">
        <v>711</v>
      </c>
      <c r="I486" s="11">
        <v>108.336</v>
      </c>
      <c r="J486" s="18">
        <v>6</v>
      </c>
      <c r="K486" s="12">
        <v>37.9176</v>
      </c>
    </row>
    <row r="487" spans="1:11" x14ac:dyDescent="0.25">
      <c r="A487" s="4">
        <v>43578</v>
      </c>
      <c r="B487" s="19">
        <f t="shared" si="14"/>
        <v>2019</v>
      </c>
      <c r="C487" s="19">
        <f t="shared" si="15"/>
        <v>4</v>
      </c>
      <c r="D487" s="5" t="s">
        <v>710</v>
      </c>
      <c r="E487" s="5" t="s">
        <v>67</v>
      </c>
      <c r="F487" s="5" t="s">
        <v>19</v>
      </c>
      <c r="G487" s="5" t="s">
        <v>20</v>
      </c>
      <c r="H487" s="5" t="s">
        <v>712</v>
      </c>
      <c r="I487" s="13">
        <v>55.92</v>
      </c>
      <c r="J487" s="19">
        <v>5</v>
      </c>
      <c r="K487" s="14">
        <v>6.2910000000000004</v>
      </c>
    </row>
    <row r="488" spans="1:11" x14ac:dyDescent="0.25">
      <c r="A488" s="2">
        <v>43578</v>
      </c>
      <c r="B488" s="18">
        <f t="shared" si="14"/>
        <v>2019</v>
      </c>
      <c r="C488" s="18">
        <f t="shared" si="15"/>
        <v>4</v>
      </c>
      <c r="D488" s="3" t="s">
        <v>710</v>
      </c>
      <c r="E488" s="3" t="s">
        <v>67</v>
      </c>
      <c r="F488" s="3" t="s">
        <v>19</v>
      </c>
      <c r="G488" s="3" t="s">
        <v>53</v>
      </c>
      <c r="H488" s="3" t="s">
        <v>713</v>
      </c>
      <c r="I488" s="11">
        <v>78.304000000000002</v>
      </c>
      <c r="J488" s="18">
        <v>2</v>
      </c>
      <c r="K488" s="12">
        <v>29.364000000000001</v>
      </c>
    </row>
    <row r="489" spans="1:11" x14ac:dyDescent="0.25">
      <c r="A489" s="4">
        <v>43578</v>
      </c>
      <c r="B489" s="19">
        <f t="shared" si="14"/>
        <v>2019</v>
      </c>
      <c r="C489" s="19">
        <f t="shared" si="15"/>
        <v>4</v>
      </c>
      <c r="D489" s="5" t="s">
        <v>714</v>
      </c>
      <c r="E489" s="5" t="s">
        <v>18</v>
      </c>
      <c r="F489" s="5" t="s">
        <v>19</v>
      </c>
      <c r="G489" s="5" t="s">
        <v>32</v>
      </c>
      <c r="H489" s="5" t="s">
        <v>715</v>
      </c>
      <c r="I489" s="13">
        <v>18.088000000000001</v>
      </c>
      <c r="J489" s="19">
        <v>7</v>
      </c>
      <c r="K489" s="14">
        <v>6.5568999999999997</v>
      </c>
    </row>
    <row r="490" spans="1:11" x14ac:dyDescent="0.25">
      <c r="A490" s="2">
        <v>43578</v>
      </c>
      <c r="B490" s="18">
        <f t="shared" si="14"/>
        <v>2019</v>
      </c>
      <c r="C490" s="18">
        <f t="shared" si="15"/>
        <v>4</v>
      </c>
      <c r="D490" s="3" t="s">
        <v>714</v>
      </c>
      <c r="E490" s="3" t="s">
        <v>18</v>
      </c>
      <c r="F490" s="3" t="s">
        <v>19</v>
      </c>
      <c r="G490" s="3" t="s">
        <v>86</v>
      </c>
      <c r="H490" s="3" t="s">
        <v>290</v>
      </c>
      <c r="I490" s="11">
        <v>71.97</v>
      </c>
      <c r="J490" s="18">
        <v>3</v>
      </c>
      <c r="K490" s="12">
        <v>35.984999999999999</v>
      </c>
    </row>
    <row r="491" spans="1:11" x14ac:dyDescent="0.25">
      <c r="A491" s="4">
        <v>43579</v>
      </c>
      <c r="B491" s="19">
        <f t="shared" si="14"/>
        <v>2019</v>
      </c>
      <c r="C491" s="19">
        <f t="shared" si="15"/>
        <v>4</v>
      </c>
      <c r="D491" s="5" t="s">
        <v>716</v>
      </c>
      <c r="E491" s="5" t="s">
        <v>23</v>
      </c>
      <c r="F491" s="5" t="s">
        <v>14</v>
      </c>
      <c r="G491" s="5" t="s">
        <v>24</v>
      </c>
      <c r="H491" s="5" t="s">
        <v>717</v>
      </c>
      <c r="I491" s="13">
        <v>258.69600000000003</v>
      </c>
      <c r="J491" s="19">
        <v>3</v>
      </c>
      <c r="K491" s="14">
        <v>64.674000000000007</v>
      </c>
    </row>
    <row r="492" spans="1:11" x14ac:dyDescent="0.25">
      <c r="A492" s="2">
        <v>43579</v>
      </c>
      <c r="B492" s="18">
        <f t="shared" si="14"/>
        <v>2019</v>
      </c>
      <c r="C492" s="18">
        <f t="shared" si="15"/>
        <v>4</v>
      </c>
      <c r="D492" s="3" t="s">
        <v>718</v>
      </c>
      <c r="E492" s="3" t="s">
        <v>18</v>
      </c>
      <c r="F492" s="3" t="s">
        <v>19</v>
      </c>
      <c r="G492" s="3" t="s">
        <v>32</v>
      </c>
      <c r="H492" s="3" t="s">
        <v>719</v>
      </c>
      <c r="I492" s="11">
        <v>3.984</v>
      </c>
      <c r="J492" s="18">
        <v>1</v>
      </c>
      <c r="K492" s="12">
        <v>1.3944000000000001</v>
      </c>
    </row>
    <row r="493" spans="1:11" x14ac:dyDescent="0.25">
      <c r="A493" s="4">
        <v>43579</v>
      </c>
      <c r="B493" s="19">
        <f t="shared" si="14"/>
        <v>2019</v>
      </c>
      <c r="C493" s="19">
        <f t="shared" si="15"/>
        <v>4</v>
      </c>
      <c r="D493" s="5" t="s">
        <v>720</v>
      </c>
      <c r="E493" s="5" t="s">
        <v>306</v>
      </c>
      <c r="F493" s="5" t="s">
        <v>19</v>
      </c>
      <c r="G493" s="5" t="s">
        <v>53</v>
      </c>
      <c r="H493" s="5" t="s">
        <v>721</v>
      </c>
      <c r="I493" s="13">
        <v>15.552</v>
      </c>
      <c r="J493" s="19">
        <v>3</v>
      </c>
      <c r="K493" s="14">
        <v>5.4432</v>
      </c>
    </row>
    <row r="494" spans="1:11" x14ac:dyDescent="0.25">
      <c r="A494" s="2">
        <v>43579</v>
      </c>
      <c r="B494" s="18">
        <f t="shared" si="14"/>
        <v>2019</v>
      </c>
      <c r="C494" s="18">
        <f t="shared" si="15"/>
        <v>4</v>
      </c>
      <c r="D494" s="3" t="s">
        <v>720</v>
      </c>
      <c r="E494" s="3" t="s">
        <v>306</v>
      </c>
      <c r="F494" s="3" t="s">
        <v>11</v>
      </c>
      <c r="G494" s="3" t="s">
        <v>112</v>
      </c>
      <c r="H494" s="3" t="s">
        <v>417</v>
      </c>
      <c r="I494" s="11">
        <v>1325.76</v>
      </c>
      <c r="J494" s="18">
        <v>6</v>
      </c>
      <c r="K494" s="12">
        <v>149.148</v>
      </c>
    </row>
    <row r="495" spans="1:11" x14ac:dyDescent="0.25">
      <c r="A495" s="4">
        <v>43579</v>
      </c>
      <c r="B495" s="19">
        <f t="shared" si="14"/>
        <v>2019</v>
      </c>
      <c r="C495" s="19">
        <f t="shared" si="15"/>
        <v>4</v>
      </c>
      <c r="D495" s="5" t="s">
        <v>720</v>
      </c>
      <c r="E495" s="5" t="s">
        <v>306</v>
      </c>
      <c r="F495" s="5" t="s">
        <v>19</v>
      </c>
      <c r="G495" s="5" t="s">
        <v>32</v>
      </c>
      <c r="H495" s="5" t="s">
        <v>722</v>
      </c>
      <c r="I495" s="13">
        <v>3.1080000000000001</v>
      </c>
      <c r="J495" s="19">
        <v>2</v>
      </c>
      <c r="K495" s="14">
        <v>-2.1756000000000002</v>
      </c>
    </row>
    <row r="496" spans="1:11" x14ac:dyDescent="0.25">
      <c r="A496" s="2">
        <v>43580</v>
      </c>
      <c r="B496" s="18">
        <f t="shared" si="14"/>
        <v>2019</v>
      </c>
      <c r="C496" s="18">
        <f t="shared" si="15"/>
        <v>4</v>
      </c>
      <c r="D496" s="3" t="s">
        <v>723</v>
      </c>
      <c r="E496" s="3" t="s">
        <v>39</v>
      </c>
      <c r="F496" s="3" t="s">
        <v>14</v>
      </c>
      <c r="G496" s="3" t="s">
        <v>15</v>
      </c>
      <c r="H496" s="3" t="s">
        <v>724</v>
      </c>
      <c r="I496" s="11">
        <v>82.8</v>
      </c>
      <c r="J496" s="18">
        <v>2</v>
      </c>
      <c r="K496" s="12">
        <v>-20.7</v>
      </c>
    </row>
    <row r="497" spans="1:11" x14ac:dyDescent="0.25">
      <c r="A497" s="4">
        <v>43580</v>
      </c>
      <c r="B497" s="19">
        <f t="shared" si="14"/>
        <v>2019</v>
      </c>
      <c r="C497" s="19">
        <f t="shared" si="15"/>
        <v>4</v>
      </c>
      <c r="D497" s="5" t="s">
        <v>723</v>
      </c>
      <c r="E497" s="5" t="s">
        <v>39</v>
      </c>
      <c r="F497" s="5" t="s">
        <v>19</v>
      </c>
      <c r="G497" s="5" t="s">
        <v>32</v>
      </c>
      <c r="H497" s="5" t="s">
        <v>464</v>
      </c>
      <c r="I497" s="13">
        <v>20.724</v>
      </c>
      <c r="J497" s="19">
        <v>2</v>
      </c>
      <c r="K497" s="14">
        <v>-13.816000000000001</v>
      </c>
    </row>
    <row r="498" spans="1:11" x14ac:dyDescent="0.25">
      <c r="A498" s="2">
        <v>43580</v>
      </c>
      <c r="B498" s="18">
        <f t="shared" si="14"/>
        <v>2019</v>
      </c>
      <c r="C498" s="18">
        <f t="shared" si="15"/>
        <v>4</v>
      </c>
      <c r="D498" s="3" t="s">
        <v>723</v>
      </c>
      <c r="E498" s="3" t="s">
        <v>39</v>
      </c>
      <c r="F498" s="3" t="s">
        <v>19</v>
      </c>
      <c r="G498" s="3" t="s">
        <v>32</v>
      </c>
      <c r="H498" s="3" t="s">
        <v>725</v>
      </c>
      <c r="I498" s="11">
        <v>4.8959999999999999</v>
      </c>
      <c r="J498" s="18">
        <v>3</v>
      </c>
      <c r="K498" s="12">
        <v>-3.4272</v>
      </c>
    </row>
    <row r="499" spans="1:11" x14ac:dyDescent="0.25">
      <c r="A499" s="4">
        <v>43581</v>
      </c>
      <c r="B499" s="19">
        <f t="shared" si="14"/>
        <v>2019</v>
      </c>
      <c r="C499" s="19">
        <f t="shared" si="15"/>
        <v>4</v>
      </c>
      <c r="D499" s="5" t="s">
        <v>425</v>
      </c>
      <c r="E499" s="5" t="s">
        <v>94</v>
      </c>
      <c r="F499" s="5" t="s">
        <v>11</v>
      </c>
      <c r="G499" s="5" t="s">
        <v>112</v>
      </c>
      <c r="H499" s="5" t="s">
        <v>315</v>
      </c>
      <c r="I499" s="13">
        <v>434.64600000000002</v>
      </c>
      <c r="J499" s="19">
        <v>3</v>
      </c>
      <c r="K499" s="14">
        <v>62.782200000000003</v>
      </c>
    </row>
    <row r="500" spans="1:11" x14ac:dyDescent="0.25">
      <c r="A500" s="2">
        <v>43583</v>
      </c>
      <c r="B500" s="18">
        <f t="shared" si="14"/>
        <v>2019</v>
      </c>
      <c r="C500" s="18">
        <f t="shared" si="15"/>
        <v>4</v>
      </c>
      <c r="D500" s="3" t="s">
        <v>726</v>
      </c>
      <c r="E500" s="3" t="s">
        <v>23</v>
      </c>
      <c r="F500" s="3" t="s">
        <v>14</v>
      </c>
      <c r="G500" s="3" t="s">
        <v>15</v>
      </c>
      <c r="H500" s="3" t="s">
        <v>727</v>
      </c>
      <c r="I500" s="11">
        <v>369.57600000000002</v>
      </c>
      <c r="J500" s="18">
        <v>3</v>
      </c>
      <c r="K500" s="12">
        <v>41.577300000000001</v>
      </c>
    </row>
    <row r="501" spans="1:11" x14ac:dyDescent="0.25">
      <c r="A501" s="4">
        <v>43583</v>
      </c>
      <c r="B501" s="19">
        <f t="shared" si="14"/>
        <v>2019</v>
      </c>
      <c r="C501" s="19">
        <f t="shared" si="15"/>
        <v>4</v>
      </c>
      <c r="D501" s="5" t="s">
        <v>726</v>
      </c>
      <c r="E501" s="5" t="s">
        <v>23</v>
      </c>
      <c r="F501" s="5" t="s">
        <v>19</v>
      </c>
      <c r="G501" s="5" t="s">
        <v>127</v>
      </c>
      <c r="H501" s="5" t="s">
        <v>728</v>
      </c>
      <c r="I501" s="13">
        <v>15.712</v>
      </c>
      <c r="J501" s="19">
        <v>4</v>
      </c>
      <c r="K501" s="14">
        <v>5.6955999999999998</v>
      </c>
    </row>
    <row r="502" spans="1:11" x14ac:dyDescent="0.25">
      <c r="A502" s="2">
        <v>43583</v>
      </c>
      <c r="B502" s="18">
        <f t="shared" si="14"/>
        <v>2019</v>
      </c>
      <c r="C502" s="18">
        <f t="shared" si="15"/>
        <v>4</v>
      </c>
      <c r="D502" s="3" t="s">
        <v>729</v>
      </c>
      <c r="E502" s="3" t="s">
        <v>306</v>
      </c>
      <c r="F502" s="3" t="s">
        <v>19</v>
      </c>
      <c r="G502" s="3" t="s">
        <v>53</v>
      </c>
      <c r="H502" s="3" t="s">
        <v>730</v>
      </c>
      <c r="I502" s="11">
        <v>29.472000000000001</v>
      </c>
      <c r="J502" s="18">
        <v>3</v>
      </c>
      <c r="K502" s="12">
        <v>9.9467999999999996</v>
      </c>
    </row>
    <row r="503" spans="1:11" x14ac:dyDescent="0.25">
      <c r="A503" s="4">
        <v>43583</v>
      </c>
      <c r="B503" s="19">
        <f t="shared" si="14"/>
        <v>2019</v>
      </c>
      <c r="C503" s="19">
        <f t="shared" si="15"/>
        <v>4</v>
      </c>
      <c r="D503" s="5" t="s">
        <v>28</v>
      </c>
      <c r="E503" s="5" t="s">
        <v>18</v>
      </c>
      <c r="F503" s="5" t="s">
        <v>11</v>
      </c>
      <c r="G503" s="5" t="s">
        <v>112</v>
      </c>
      <c r="H503" s="5" t="s">
        <v>731</v>
      </c>
      <c r="I503" s="13">
        <v>41.567999999999998</v>
      </c>
      <c r="J503" s="19">
        <v>2</v>
      </c>
      <c r="K503" s="14">
        <v>2.5979999999999999</v>
      </c>
    </row>
    <row r="504" spans="1:11" x14ac:dyDescent="0.25">
      <c r="A504" s="2">
        <v>43583</v>
      </c>
      <c r="B504" s="18">
        <f t="shared" si="14"/>
        <v>2019</v>
      </c>
      <c r="C504" s="18">
        <f t="shared" si="15"/>
        <v>4</v>
      </c>
      <c r="D504" s="3" t="s">
        <v>732</v>
      </c>
      <c r="E504" s="3" t="s">
        <v>164</v>
      </c>
      <c r="F504" s="3" t="s">
        <v>11</v>
      </c>
      <c r="G504" s="3" t="s">
        <v>51</v>
      </c>
      <c r="H504" s="3" t="s">
        <v>733</v>
      </c>
      <c r="I504" s="11">
        <v>30.344000000000001</v>
      </c>
      <c r="J504" s="18">
        <v>2</v>
      </c>
      <c r="K504" s="12">
        <v>-31.8612</v>
      </c>
    </row>
    <row r="505" spans="1:11" x14ac:dyDescent="0.25">
      <c r="A505" s="4">
        <v>43585</v>
      </c>
      <c r="B505" s="19">
        <f t="shared" si="14"/>
        <v>2019</v>
      </c>
      <c r="C505" s="19">
        <f t="shared" si="15"/>
        <v>4</v>
      </c>
      <c r="D505" s="5" t="s">
        <v>734</v>
      </c>
      <c r="E505" s="5" t="s">
        <v>94</v>
      </c>
      <c r="F505" s="5" t="s">
        <v>19</v>
      </c>
      <c r="G505" s="5" t="s">
        <v>32</v>
      </c>
      <c r="H505" s="5" t="s">
        <v>735</v>
      </c>
      <c r="I505" s="13">
        <v>7.7119999999999997</v>
      </c>
      <c r="J505" s="19">
        <v>2</v>
      </c>
      <c r="K505" s="14">
        <v>2.7955999999999999</v>
      </c>
    </row>
    <row r="506" spans="1:11" x14ac:dyDescent="0.25">
      <c r="A506" s="2">
        <v>43585</v>
      </c>
      <c r="B506" s="18">
        <f t="shared" si="14"/>
        <v>2019</v>
      </c>
      <c r="C506" s="18">
        <f t="shared" si="15"/>
        <v>4</v>
      </c>
      <c r="D506" s="3" t="s">
        <v>177</v>
      </c>
      <c r="E506" s="3" t="s">
        <v>23</v>
      </c>
      <c r="F506" s="3" t="s">
        <v>11</v>
      </c>
      <c r="G506" s="3" t="s">
        <v>51</v>
      </c>
      <c r="H506" s="3" t="s">
        <v>736</v>
      </c>
      <c r="I506" s="11">
        <v>22.608000000000001</v>
      </c>
      <c r="J506" s="18">
        <v>3</v>
      </c>
      <c r="K506" s="12">
        <v>-10.1736</v>
      </c>
    </row>
    <row r="507" spans="1:11" x14ac:dyDescent="0.25">
      <c r="A507" s="4">
        <v>43585</v>
      </c>
      <c r="B507" s="19">
        <f t="shared" si="14"/>
        <v>2019</v>
      </c>
      <c r="C507" s="19">
        <f t="shared" si="15"/>
        <v>4</v>
      </c>
      <c r="D507" s="5" t="s">
        <v>737</v>
      </c>
      <c r="E507" s="5" t="s">
        <v>198</v>
      </c>
      <c r="F507" s="5" t="s">
        <v>11</v>
      </c>
      <c r="G507" s="5" t="s">
        <v>51</v>
      </c>
      <c r="H507" s="5" t="s">
        <v>738</v>
      </c>
      <c r="I507" s="13">
        <v>111.88800000000001</v>
      </c>
      <c r="J507" s="19">
        <v>7</v>
      </c>
      <c r="K507" s="14">
        <v>22.377600000000001</v>
      </c>
    </row>
    <row r="508" spans="1:11" x14ac:dyDescent="0.25">
      <c r="A508" s="2">
        <v>43586</v>
      </c>
      <c r="B508" s="18">
        <f t="shared" si="14"/>
        <v>2019</v>
      </c>
      <c r="C508" s="18">
        <f t="shared" si="15"/>
        <v>5</v>
      </c>
      <c r="D508" s="3" t="s">
        <v>596</v>
      </c>
      <c r="E508" s="3" t="s">
        <v>219</v>
      </c>
      <c r="F508" s="3" t="s">
        <v>19</v>
      </c>
      <c r="G508" s="3" t="s">
        <v>127</v>
      </c>
      <c r="H508" s="3" t="s">
        <v>739</v>
      </c>
      <c r="I508" s="11">
        <v>3.984</v>
      </c>
      <c r="J508" s="18">
        <v>1</v>
      </c>
      <c r="K508" s="12">
        <v>1.2948</v>
      </c>
    </row>
    <row r="509" spans="1:11" x14ac:dyDescent="0.25">
      <c r="A509" s="4">
        <v>43586</v>
      </c>
      <c r="B509" s="19">
        <f t="shared" si="14"/>
        <v>2019</v>
      </c>
      <c r="C509" s="19">
        <f t="shared" si="15"/>
        <v>5</v>
      </c>
      <c r="D509" s="5" t="s">
        <v>596</v>
      </c>
      <c r="E509" s="5" t="s">
        <v>219</v>
      </c>
      <c r="F509" s="5" t="s">
        <v>11</v>
      </c>
      <c r="G509" s="5" t="s">
        <v>30</v>
      </c>
      <c r="H509" s="5" t="s">
        <v>740</v>
      </c>
      <c r="I509" s="13">
        <v>370.62</v>
      </c>
      <c r="J509" s="19">
        <v>3</v>
      </c>
      <c r="K509" s="14">
        <v>-142.071</v>
      </c>
    </row>
    <row r="510" spans="1:11" x14ac:dyDescent="0.25">
      <c r="A510" s="2">
        <v>43586</v>
      </c>
      <c r="B510" s="18">
        <f t="shared" si="14"/>
        <v>2019</v>
      </c>
      <c r="C510" s="18">
        <f t="shared" si="15"/>
        <v>5</v>
      </c>
      <c r="D510" s="3" t="s">
        <v>596</v>
      </c>
      <c r="E510" s="3" t="s">
        <v>219</v>
      </c>
      <c r="F510" s="3" t="s">
        <v>19</v>
      </c>
      <c r="G510" s="3" t="s">
        <v>32</v>
      </c>
      <c r="H510" s="3" t="s">
        <v>741</v>
      </c>
      <c r="I510" s="11">
        <v>2.742</v>
      </c>
      <c r="J510" s="18">
        <v>2</v>
      </c>
      <c r="K510" s="12">
        <v>-2.0108000000000001</v>
      </c>
    </row>
    <row r="511" spans="1:11" x14ac:dyDescent="0.25">
      <c r="A511" s="4">
        <v>43586</v>
      </c>
      <c r="B511" s="19">
        <f t="shared" si="14"/>
        <v>2019</v>
      </c>
      <c r="C511" s="19">
        <f t="shared" si="15"/>
        <v>5</v>
      </c>
      <c r="D511" s="5" t="s">
        <v>742</v>
      </c>
      <c r="E511" s="5" t="s">
        <v>589</v>
      </c>
      <c r="F511" s="5" t="s">
        <v>19</v>
      </c>
      <c r="G511" s="5" t="s">
        <v>53</v>
      </c>
      <c r="H511" s="5" t="s">
        <v>743</v>
      </c>
      <c r="I511" s="13">
        <v>109.92</v>
      </c>
      <c r="J511" s="19">
        <v>2</v>
      </c>
      <c r="K511" s="14">
        <v>53.860799999999998</v>
      </c>
    </row>
    <row r="512" spans="1:11" x14ac:dyDescent="0.25">
      <c r="A512" s="2">
        <v>43586</v>
      </c>
      <c r="B512" s="18">
        <f t="shared" si="14"/>
        <v>2019</v>
      </c>
      <c r="C512" s="18">
        <f t="shared" si="15"/>
        <v>5</v>
      </c>
      <c r="D512" s="3" t="s">
        <v>742</v>
      </c>
      <c r="E512" s="3" t="s">
        <v>589</v>
      </c>
      <c r="F512" s="3" t="s">
        <v>19</v>
      </c>
      <c r="G512" s="3" t="s">
        <v>53</v>
      </c>
      <c r="H512" s="3" t="s">
        <v>174</v>
      </c>
      <c r="I512" s="11">
        <v>19.440000000000001</v>
      </c>
      <c r="J512" s="18">
        <v>3</v>
      </c>
      <c r="K512" s="12">
        <v>9.3312000000000008</v>
      </c>
    </row>
    <row r="513" spans="1:11" x14ac:dyDescent="0.25">
      <c r="A513" s="4">
        <v>43586</v>
      </c>
      <c r="B513" s="19">
        <f t="shared" si="14"/>
        <v>2019</v>
      </c>
      <c r="C513" s="19">
        <f t="shared" si="15"/>
        <v>5</v>
      </c>
      <c r="D513" s="5" t="s">
        <v>742</v>
      </c>
      <c r="E513" s="5" t="s">
        <v>589</v>
      </c>
      <c r="F513" s="5" t="s">
        <v>19</v>
      </c>
      <c r="G513" s="5" t="s">
        <v>40</v>
      </c>
      <c r="H513" s="5" t="s">
        <v>744</v>
      </c>
      <c r="I513" s="13">
        <v>11.16</v>
      </c>
      <c r="J513" s="19">
        <v>2</v>
      </c>
      <c r="K513" s="14">
        <v>4.3524000000000003</v>
      </c>
    </row>
    <row r="514" spans="1:11" x14ac:dyDescent="0.25">
      <c r="A514" s="2">
        <v>43587</v>
      </c>
      <c r="B514" s="18">
        <f t="shared" ref="B514:B577" si="16">YEAR(A514)</f>
        <v>2019</v>
      </c>
      <c r="C514" s="18">
        <f t="shared" ref="C514:C577" si="17">MONTH(A514)</f>
        <v>5</v>
      </c>
      <c r="D514" s="3" t="s">
        <v>377</v>
      </c>
      <c r="E514" s="3" t="s">
        <v>23</v>
      </c>
      <c r="F514" s="3" t="s">
        <v>19</v>
      </c>
      <c r="G514" s="3" t="s">
        <v>40</v>
      </c>
      <c r="H514" s="3" t="s">
        <v>682</v>
      </c>
      <c r="I514" s="11">
        <v>86.352000000000004</v>
      </c>
      <c r="J514" s="18">
        <v>3</v>
      </c>
      <c r="K514" s="12">
        <v>5.3970000000000002</v>
      </c>
    </row>
    <row r="515" spans="1:11" x14ac:dyDescent="0.25">
      <c r="A515" s="4">
        <v>43587</v>
      </c>
      <c r="B515" s="19">
        <f t="shared" si="16"/>
        <v>2019</v>
      </c>
      <c r="C515" s="19">
        <f t="shared" si="17"/>
        <v>5</v>
      </c>
      <c r="D515" s="5" t="s">
        <v>745</v>
      </c>
      <c r="E515" s="5" t="s">
        <v>94</v>
      </c>
      <c r="F515" s="5" t="s">
        <v>19</v>
      </c>
      <c r="G515" s="5" t="s">
        <v>20</v>
      </c>
      <c r="H515" s="5" t="s">
        <v>746</v>
      </c>
      <c r="I515" s="13">
        <v>44.94</v>
      </c>
      <c r="J515" s="19">
        <v>3</v>
      </c>
      <c r="K515" s="14">
        <v>12.5832</v>
      </c>
    </row>
    <row r="516" spans="1:11" x14ac:dyDescent="0.25">
      <c r="A516" s="2">
        <v>43587</v>
      </c>
      <c r="B516" s="18">
        <f t="shared" si="16"/>
        <v>2019</v>
      </c>
      <c r="C516" s="18">
        <f t="shared" si="17"/>
        <v>5</v>
      </c>
      <c r="D516" s="3" t="s">
        <v>745</v>
      </c>
      <c r="E516" s="3" t="s">
        <v>94</v>
      </c>
      <c r="F516" s="3" t="s">
        <v>19</v>
      </c>
      <c r="G516" s="3" t="s">
        <v>32</v>
      </c>
      <c r="H516" s="3" t="s">
        <v>694</v>
      </c>
      <c r="I516" s="11">
        <v>45.576000000000001</v>
      </c>
      <c r="J516" s="18">
        <v>3</v>
      </c>
      <c r="K516" s="12">
        <v>15.951599999999999</v>
      </c>
    </row>
    <row r="517" spans="1:11" x14ac:dyDescent="0.25">
      <c r="A517" s="4">
        <v>43587</v>
      </c>
      <c r="B517" s="19">
        <f t="shared" si="16"/>
        <v>2019</v>
      </c>
      <c r="C517" s="19">
        <f t="shared" si="17"/>
        <v>5</v>
      </c>
      <c r="D517" s="5" t="s">
        <v>292</v>
      </c>
      <c r="E517" s="5" t="s">
        <v>35</v>
      </c>
      <c r="F517" s="5" t="s">
        <v>11</v>
      </c>
      <c r="G517" s="5" t="s">
        <v>112</v>
      </c>
      <c r="H517" s="5" t="s">
        <v>731</v>
      </c>
      <c r="I517" s="13">
        <v>187.05600000000001</v>
      </c>
      <c r="J517" s="19">
        <v>9</v>
      </c>
      <c r="K517" s="14">
        <v>11.691000000000001</v>
      </c>
    </row>
    <row r="518" spans="1:11" x14ac:dyDescent="0.25">
      <c r="A518" s="2">
        <v>43587</v>
      </c>
      <c r="B518" s="18">
        <f t="shared" si="16"/>
        <v>2019</v>
      </c>
      <c r="C518" s="18">
        <f t="shared" si="17"/>
        <v>5</v>
      </c>
      <c r="D518" s="3" t="s">
        <v>747</v>
      </c>
      <c r="E518" s="3" t="s">
        <v>23</v>
      </c>
      <c r="F518" s="3" t="s">
        <v>19</v>
      </c>
      <c r="G518" s="3" t="s">
        <v>20</v>
      </c>
      <c r="H518" s="3" t="s">
        <v>748</v>
      </c>
      <c r="I518" s="11">
        <v>18.936</v>
      </c>
      <c r="J518" s="18">
        <v>3</v>
      </c>
      <c r="K518" s="12">
        <v>-3.7871999999999999</v>
      </c>
    </row>
    <row r="519" spans="1:11" x14ac:dyDescent="0.25">
      <c r="A519" s="4">
        <v>43587</v>
      </c>
      <c r="B519" s="19">
        <f t="shared" si="16"/>
        <v>2019</v>
      </c>
      <c r="C519" s="19">
        <f t="shared" si="17"/>
        <v>5</v>
      </c>
      <c r="D519" s="5" t="s">
        <v>747</v>
      </c>
      <c r="E519" s="5" t="s">
        <v>23</v>
      </c>
      <c r="F519" s="5" t="s">
        <v>19</v>
      </c>
      <c r="G519" s="5" t="s">
        <v>20</v>
      </c>
      <c r="H519" s="5" t="s">
        <v>749</v>
      </c>
      <c r="I519" s="13">
        <v>12.672000000000001</v>
      </c>
      <c r="J519" s="19">
        <v>3</v>
      </c>
      <c r="K519" s="14">
        <v>-3.1680000000000001</v>
      </c>
    </row>
    <row r="520" spans="1:11" x14ac:dyDescent="0.25">
      <c r="A520" s="2">
        <v>43587</v>
      </c>
      <c r="B520" s="18">
        <f t="shared" si="16"/>
        <v>2019</v>
      </c>
      <c r="C520" s="18">
        <f t="shared" si="17"/>
        <v>5</v>
      </c>
      <c r="D520" s="3" t="s">
        <v>747</v>
      </c>
      <c r="E520" s="3" t="s">
        <v>23</v>
      </c>
      <c r="F520" s="3" t="s">
        <v>19</v>
      </c>
      <c r="G520" s="3" t="s">
        <v>127</v>
      </c>
      <c r="H520" s="3" t="s">
        <v>750</v>
      </c>
      <c r="I520" s="11">
        <v>5.04</v>
      </c>
      <c r="J520" s="18">
        <v>2</v>
      </c>
      <c r="K520" s="12">
        <v>1.764</v>
      </c>
    </row>
    <row r="521" spans="1:11" x14ac:dyDescent="0.25">
      <c r="A521" s="4">
        <v>43587</v>
      </c>
      <c r="B521" s="19">
        <f t="shared" si="16"/>
        <v>2019</v>
      </c>
      <c r="C521" s="19">
        <f t="shared" si="17"/>
        <v>5</v>
      </c>
      <c r="D521" s="5" t="s">
        <v>751</v>
      </c>
      <c r="E521" s="5" t="s">
        <v>23</v>
      </c>
      <c r="F521" s="5" t="s">
        <v>11</v>
      </c>
      <c r="G521" s="5" t="s">
        <v>112</v>
      </c>
      <c r="H521" s="5" t="s">
        <v>752</v>
      </c>
      <c r="I521" s="13">
        <v>366.74400000000003</v>
      </c>
      <c r="J521" s="19">
        <v>4</v>
      </c>
      <c r="K521" s="14">
        <v>-110.0232</v>
      </c>
    </row>
    <row r="522" spans="1:11" x14ac:dyDescent="0.25">
      <c r="A522" s="2">
        <v>43587</v>
      </c>
      <c r="B522" s="18">
        <f t="shared" si="16"/>
        <v>2019</v>
      </c>
      <c r="C522" s="18">
        <f t="shared" si="17"/>
        <v>5</v>
      </c>
      <c r="D522" s="3" t="s">
        <v>414</v>
      </c>
      <c r="E522" s="3" t="s">
        <v>94</v>
      </c>
      <c r="F522" s="3" t="s">
        <v>11</v>
      </c>
      <c r="G522" s="3" t="s">
        <v>51</v>
      </c>
      <c r="H522" s="3" t="s">
        <v>753</v>
      </c>
      <c r="I522" s="11">
        <v>12.56</v>
      </c>
      <c r="J522" s="18">
        <v>2</v>
      </c>
      <c r="K522" s="12">
        <v>4.0191999999999997</v>
      </c>
    </row>
    <row r="523" spans="1:11" x14ac:dyDescent="0.25">
      <c r="A523" s="4">
        <v>43587</v>
      </c>
      <c r="B523" s="19">
        <f t="shared" si="16"/>
        <v>2019</v>
      </c>
      <c r="C523" s="19">
        <f t="shared" si="17"/>
        <v>5</v>
      </c>
      <c r="D523" s="5" t="s">
        <v>414</v>
      </c>
      <c r="E523" s="5" t="s">
        <v>94</v>
      </c>
      <c r="F523" s="5" t="s">
        <v>19</v>
      </c>
      <c r="G523" s="5" t="s">
        <v>32</v>
      </c>
      <c r="H523" s="5" t="s">
        <v>754</v>
      </c>
      <c r="I523" s="13">
        <v>90.48</v>
      </c>
      <c r="J523" s="19">
        <v>3</v>
      </c>
      <c r="K523" s="14">
        <v>33.93</v>
      </c>
    </row>
    <row r="524" spans="1:11" x14ac:dyDescent="0.25">
      <c r="A524" s="2">
        <v>43587</v>
      </c>
      <c r="B524" s="18">
        <f t="shared" si="16"/>
        <v>2019</v>
      </c>
      <c r="C524" s="18">
        <f t="shared" si="17"/>
        <v>5</v>
      </c>
      <c r="D524" s="3" t="s">
        <v>414</v>
      </c>
      <c r="E524" s="3" t="s">
        <v>94</v>
      </c>
      <c r="F524" s="3" t="s">
        <v>19</v>
      </c>
      <c r="G524" s="3" t="s">
        <v>53</v>
      </c>
      <c r="H524" s="3" t="s">
        <v>755</v>
      </c>
      <c r="I524" s="11">
        <v>13.08</v>
      </c>
      <c r="J524" s="18">
        <v>2</v>
      </c>
      <c r="K524" s="12">
        <v>6.0167999999999999</v>
      </c>
    </row>
    <row r="525" spans="1:11" x14ac:dyDescent="0.25">
      <c r="A525" s="4">
        <v>43587</v>
      </c>
      <c r="B525" s="19">
        <f t="shared" si="16"/>
        <v>2019</v>
      </c>
      <c r="C525" s="19">
        <f t="shared" si="17"/>
        <v>5</v>
      </c>
      <c r="D525" s="5" t="s">
        <v>414</v>
      </c>
      <c r="E525" s="5" t="s">
        <v>94</v>
      </c>
      <c r="F525" s="5" t="s">
        <v>11</v>
      </c>
      <c r="G525" s="5" t="s">
        <v>51</v>
      </c>
      <c r="H525" s="5" t="s">
        <v>756</v>
      </c>
      <c r="I525" s="13">
        <v>214.7</v>
      </c>
      <c r="J525" s="19">
        <v>5</v>
      </c>
      <c r="K525" s="14">
        <v>83.733000000000004</v>
      </c>
    </row>
    <row r="526" spans="1:11" x14ac:dyDescent="0.25">
      <c r="A526" s="2">
        <v>43588</v>
      </c>
      <c r="B526" s="18">
        <f t="shared" si="16"/>
        <v>2019</v>
      </c>
      <c r="C526" s="18">
        <f t="shared" si="17"/>
        <v>5</v>
      </c>
      <c r="D526" s="3" t="s">
        <v>135</v>
      </c>
      <c r="E526" s="3" t="s">
        <v>164</v>
      </c>
      <c r="F526" s="3" t="s">
        <v>19</v>
      </c>
      <c r="G526" s="3" t="s">
        <v>32</v>
      </c>
      <c r="H526" s="3" t="s">
        <v>155</v>
      </c>
      <c r="I526" s="11">
        <v>2.1819999999999999</v>
      </c>
      <c r="J526" s="18">
        <v>1</v>
      </c>
      <c r="K526" s="12">
        <v>-3.6002999999999998</v>
      </c>
    </row>
    <row r="527" spans="1:11" x14ac:dyDescent="0.25">
      <c r="A527" s="4">
        <v>43588</v>
      </c>
      <c r="B527" s="19">
        <f t="shared" si="16"/>
        <v>2019</v>
      </c>
      <c r="C527" s="19">
        <f t="shared" si="17"/>
        <v>5</v>
      </c>
      <c r="D527" s="5" t="s">
        <v>135</v>
      </c>
      <c r="E527" s="5" t="s">
        <v>164</v>
      </c>
      <c r="F527" s="5" t="s">
        <v>19</v>
      </c>
      <c r="G527" s="5" t="s">
        <v>40</v>
      </c>
      <c r="H527" s="5" t="s">
        <v>757</v>
      </c>
      <c r="I527" s="13">
        <v>27.384</v>
      </c>
      <c r="J527" s="19">
        <v>7</v>
      </c>
      <c r="K527" s="14">
        <v>2.7383999999999999</v>
      </c>
    </row>
    <row r="528" spans="1:11" x14ac:dyDescent="0.25">
      <c r="A528" s="2">
        <v>43588</v>
      </c>
      <c r="B528" s="18">
        <f t="shared" si="16"/>
        <v>2019</v>
      </c>
      <c r="C528" s="18">
        <f t="shared" si="17"/>
        <v>5</v>
      </c>
      <c r="D528" s="3" t="s">
        <v>135</v>
      </c>
      <c r="E528" s="3" t="s">
        <v>164</v>
      </c>
      <c r="F528" s="3" t="s">
        <v>19</v>
      </c>
      <c r="G528" s="3" t="s">
        <v>121</v>
      </c>
      <c r="H528" s="3" t="s">
        <v>758</v>
      </c>
      <c r="I528" s="11">
        <v>26.405999999999999</v>
      </c>
      <c r="J528" s="18">
        <v>3</v>
      </c>
      <c r="K528" s="12">
        <v>-71.296199999999999</v>
      </c>
    </row>
    <row r="529" spans="1:11" x14ac:dyDescent="0.25">
      <c r="A529" s="4">
        <v>43588</v>
      </c>
      <c r="B529" s="19">
        <f t="shared" si="16"/>
        <v>2019</v>
      </c>
      <c r="C529" s="19">
        <f t="shared" si="17"/>
        <v>5</v>
      </c>
      <c r="D529" s="5" t="s">
        <v>759</v>
      </c>
      <c r="E529" s="5" t="s">
        <v>67</v>
      </c>
      <c r="F529" s="5" t="s">
        <v>14</v>
      </c>
      <c r="G529" s="5" t="s">
        <v>24</v>
      </c>
      <c r="H529" s="5" t="s">
        <v>760</v>
      </c>
      <c r="I529" s="13">
        <v>132.52000000000001</v>
      </c>
      <c r="J529" s="19">
        <v>5</v>
      </c>
      <c r="K529" s="14">
        <v>34.786499999999997</v>
      </c>
    </row>
    <row r="530" spans="1:11" x14ac:dyDescent="0.25">
      <c r="A530" s="2">
        <v>43588</v>
      </c>
      <c r="B530" s="18">
        <f t="shared" si="16"/>
        <v>2019</v>
      </c>
      <c r="C530" s="18">
        <f t="shared" si="17"/>
        <v>5</v>
      </c>
      <c r="D530" s="3" t="s">
        <v>759</v>
      </c>
      <c r="E530" s="3" t="s">
        <v>67</v>
      </c>
      <c r="F530" s="3" t="s">
        <v>19</v>
      </c>
      <c r="G530" s="3" t="s">
        <v>20</v>
      </c>
      <c r="H530" s="3" t="s">
        <v>761</v>
      </c>
      <c r="I530" s="11">
        <v>195.64</v>
      </c>
      <c r="J530" s="18">
        <v>5</v>
      </c>
      <c r="K530" s="12">
        <v>-44.018999999999998</v>
      </c>
    </row>
    <row r="531" spans="1:11" x14ac:dyDescent="0.25">
      <c r="A531" s="4">
        <v>43588</v>
      </c>
      <c r="B531" s="19">
        <f t="shared" si="16"/>
        <v>2019</v>
      </c>
      <c r="C531" s="19">
        <f t="shared" si="17"/>
        <v>5</v>
      </c>
      <c r="D531" s="5" t="s">
        <v>759</v>
      </c>
      <c r="E531" s="5" t="s">
        <v>67</v>
      </c>
      <c r="F531" s="5" t="s">
        <v>11</v>
      </c>
      <c r="G531" s="5" t="s">
        <v>51</v>
      </c>
      <c r="H531" s="5" t="s">
        <v>762</v>
      </c>
      <c r="I531" s="13">
        <v>51.968000000000004</v>
      </c>
      <c r="J531" s="19">
        <v>2</v>
      </c>
      <c r="K531" s="14">
        <v>10.393599999999999</v>
      </c>
    </row>
    <row r="532" spans="1:11" x14ac:dyDescent="0.25">
      <c r="A532" s="2">
        <v>43588</v>
      </c>
      <c r="B532" s="18">
        <f t="shared" si="16"/>
        <v>2019</v>
      </c>
      <c r="C532" s="18">
        <f t="shared" si="17"/>
        <v>5</v>
      </c>
      <c r="D532" s="3" t="s">
        <v>759</v>
      </c>
      <c r="E532" s="3" t="s">
        <v>67</v>
      </c>
      <c r="F532" s="3" t="s">
        <v>14</v>
      </c>
      <c r="G532" s="3" t="s">
        <v>24</v>
      </c>
      <c r="H532" s="3" t="s">
        <v>763</v>
      </c>
      <c r="I532" s="11">
        <v>431.976</v>
      </c>
      <c r="J532" s="18">
        <v>3</v>
      </c>
      <c r="K532" s="12">
        <v>-75.595799999999997</v>
      </c>
    </row>
    <row r="533" spans="1:11" x14ac:dyDescent="0.25">
      <c r="A533" s="4">
        <v>43588</v>
      </c>
      <c r="B533" s="19">
        <f t="shared" si="16"/>
        <v>2019</v>
      </c>
      <c r="C533" s="19">
        <f t="shared" si="17"/>
        <v>5</v>
      </c>
      <c r="D533" s="5" t="s">
        <v>759</v>
      </c>
      <c r="E533" s="5" t="s">
        <v>67</v>
      </c>
      <c r="F533" s="5" t="s">
        <v>14</v>
      </c>
      <c r="G533" s="5" t="s">
        <v>188</v>
      </c>
      <c r="H533" s="5" t="s">
        <v>764</v>
      </c>
      <c r="I533" s="13">
        <v>224.93700000000001</v>
      </c>
      <c r="J533" s="19">
        <v>3</v>
      </c>
      <c r="K533" s="14">
        <v>-164.9538</v>
      </c>
    </row>
    <row r="534" spans="1:11" x14ac:dyDescent="0.25">
      <c r="A534" s="2">
        <v>43588</v>
      </c>
      <c r="B534" s="18">
        <f t="shared" si="16"/>
        <v>2019</v>
      </c>
      <c r="C534" s="18">
        <f t="shared" si="17"/>
        <v>5</v>
      </c>
      <c r="D534" s="3" t="s">
        <v>759</v>
      </c>
      <c r="E534" s="3" t="s">
        <v>67</v>
      </c>
      <c r="F534" s="3" t="s">
        <v>19</v>
      </c>
      <c r="G534" s="3" t="s">
        <v>127</v>
      </c>
      <c r="H534" s="3" t="s">
        <v>765</v>
      </c>
      <c r="I534" s="11">
        <v>6</v>
      </c>
      <c r="J534" s="18">
        <v>2</v>
      </c>
      <c r="K534" s="12">
        <v>2.1</v>
      </c>
    </row>
    <row r="535" spans="1:11" x14ac:dyDescent="0.25">
      <c r="A535" s="4">
        <v>43590</v>
      </c>
      <c r="B535" s="19">
        <f t="shared" si="16"/>
        <v>2019</v>
      </c>
      <c r="C535" s="19">
        <f t="shared" si="17"/>
        <v>5</v>
      </c>
      <c r="D535" s="5" t="s">
        <v>766</v>
      </c>
      <c r="E535" s="5" t="s">
        <v>195</v>
      </c>
      <c r="F535" s="5" t="s">
        <v>19</v>
      </c>
      <c r="G535" s="5" t="s">
        <v>53</v>
      </c>
      <c r="H535" s="5" t="s">
        <v>767</v>
      </c>
      <c r="I535" s="13">
        <v>79.14</v>
      </c>
      <c r="J535" s="19">
        <v>3</v>
      </c>
      <c r="K535" s="14">
        <v>36.404400000000003</v>
      </c>
    </row>
    <row r="536" spans="1:11" x14ac:dyDescent="0.25">
      <c r="A536" s="2">
        <v>43590</v>
      </c>
      <c r="B536" s="18">
        <f t="shared" si="16"/>
        <v>2019</v>
      </c>
      <c r="C536" s="18">
        <f t="shared" si="17"/>
        <v>5</v>
      </c>
      <c r="D536" s="3" t="s">
        <v>768</v>
      </c>
      <c r="E536" s="3" t="s">
        <v>219</v>
      </c>
      <c r="F536" s="3" t="s">
        <v>19</v>
      </c>
      <c r="G536" s="3" t="s">
        <v>53</v>
      </c>
      <c r="H536" s="3" t="s">
        <v>769</v>
      </c>
      <c r="I536" s="11">
        <v>14.352</v>
      </c>
      <c r="J536" s="18">
        <v>3</v>
      </c>
      <c r="K536" s="12">
        <v>5.2026000000000003</v>
      </c>
    </row>
    <row r="537" spans="1:11" x14ac:dyDescent="0.25">
      <c r="A537" s="4">
        <v>43590</v>
      </c>
      <c r="B537" s="19">
        <f t="shared" si="16"/>
        <v>2019</v>
      </c>
      <c r="C537" s="19">
        <f t="shared" si="17"/>
        <v>5</v>
      </c>
      <c r="D537" s="5" t="s">
        <v>770</v>
      </c>
      <c r="E537" s="5" t="s">
        <v>18</v>
      </c>
      <c r="F537" s="5" t="s">
        <v>19</v>
      </c>
      <c r="G537" s="5" t="s">
        <v>20</v>
      </c>
      <c r="H537" s="5" t="s">
        <v>771</v>
      </c>
      <c r="I537" s="13">
        <v>5.98</v>
      </c>
      <c r="J537" s="19">
        <v>1</v>
      </c>
      <c r="K537" s="14">
        <v>1.0165999999999999</v>
      </c>
    </row>
    <row r="538" spans="1:11" x14ac:dyDescent="0.25">
      <c r="A538" s="2">
        <v>43590</v>
      </c>
      <c r="B538" s="18">
        <f t="shared" si="16"/>
        <v>2019</v>
      </c>
      <c r="C538" s="18">
        <f t="shared" si="17"/>
        <v>5</v>
      </c>
      <c r="D538" s="3" t="s">
        <v>770</v>
      </c>
      <c r="E538" s="3" t="s">
        <v>18</v>
      </c>
      <c r="F538" s="3" t="s">
        <v>14</v>
      </c>
      <c r="G538" s="3" t="s">
        <v>15</v>
      </c>
      <c r="H538" s="3" t="s">
        <v>772</v>
      </c>
      <c r="I538" s="11">
        <v>246.16800000000001</v>
      </c>
      <c r="J538" s="18">
        <v>3</v>
      </c>
      <c r="K538" s="12">
        <v>21.5397</v>
      </c>
    </row>
    <row r="539" spans="1:11" x14ac:dyDescent="0.25">
      <c r="A539" s="4">
        <v>43590</v>
      </c>
      <c r="B539" s="19">
        <f t="shared" si="16"/>
        <v>2019</v>
      </c>
      <c r="C539" s="19">
        <f t="shared" si="17"/>
        <v>5</v>
      </c>
      <c r="D539" s="5" t="s">
        <v>773</v>
      </c>
      <c r="E539" s="5" t="s">
        <v>18</v>
      </c>
      <c r="F539" s="5" t="s">
        <v>19</v>
      </c>
      <c r="G539" s="5" t="s">
        <v>32</v>
      </c>
      <c r="H539" s="5" t="s">
        <v>774</v>
      </c>
      <c r="I539" s="13">
        <v>6.72</v>
      </c>
      <c r="J539" s="19">
        <v>5</v>
      </c>
      <c r="K539" s="14">
        <v>2.3519999999999999</v>
      </c>
    </row>
    <row r="540" spans="1:11" x14ac:dyDescent="0.25">
      <c r="A540" s="2">
        <v>43590</v>
      </c>
      <c r="B540" s="18">
        <f t="shared" si="16"/>
        <v>2019</v>
      </c>
      <c r="C540" s="18">
        <f t="shared" si="17"/>
        <v>5</v>
      </c>
      <c r="D540" s="3" t="s">
        <v>773</v>
      </c>
      <c r="E540" s="3" t="s">
        <v>18</v>
      </c>
      <c r="F540" s="3" t="s">
        <v>11</v>
      </c>
      <c r="G540" s="3" t="s">
        <v>30</v>
      </c>
      <c r="H540" s="3" t="s">
        <v>775</v>
      </c>
      <c r="I540" s="11">
        <v>298.77600000000001</v>
      </c>
      <c r="J540" s="18">
        <v>3</v>
      </c>
      <c r="K540" s="12">
        <v>7.4694000000000003</v>
      </c>
    </row>
    <row r="541" spans="1:11" x14ac:dyDescent="0.25">
      <c r="A541" s="4">
        <v>43590</v>
      </c>
      <c r="B541" s="19">
        <f t="shared" si="16"/>
        <v>2019</v>
      </c>
      <c r="C541" s="19">
        <f t="shared" si="17"/>
        <v>5</v>
      </c>
      <c r="D541" s="5" t="s">
        <v>544</v>
      </c>
      <c r="E541" s="5" t="s">
        <v>219</v>
      </c>
      <c r="F541" s="5" t="s">
        <v>11</v>
      </c>
      <c r="G541" s="5" t="s">
        <v>51</v>
      </c>
      <c r="H541" s="5" t="s">
        <v>776</v>
      </c>
      <c r="I541" s="13">
        <v>16.72</v>
      </c>
      <c r="J541" s="19">
        <v>5</v>
      </c>
      <c r="K541" s="14">
        <v>3.3439999999999999</v>
      </c>
    </row>
    <row r="542" spans="1:11" x14ac:dyDescent="0.25">
      <c r="A542" s="2">
        <v>43590</v>
      </c>
      <c r="B542" s="18">
        <f t="shared" si="16"/>
        <v>2019</v>
      </c>
      <c r="C542" s="18">
        <f t="shared" si="17"/>
        <v>5</v>
      </c>
      <c r="D542" s="3" t="s">
        <v>777</v>
      </c>
      <c r="E542" s="3" t="s">
        <v>18</v>
      </c>
      <c r="F542" s="3" t="s">
        <v>11</v>
      </c>
      <c r="G542" s="3" t="s">
        <v>30</v>
      </c>
      <c r="H542" s="3" t="s">
        <v>778</v>
      </c>
      <c r="I542" s="11">
        <v>71.087999999999994</v>
      </c>
      <c r="J542" s="18">
        <v>2</v>
      </c>
      <c r="K542" s="12">
        <v>-1.7771999999999999</v>
      </c>
    </row>
    <row r="543" spans="1:11" x14ac:dyDescent="0.25">
      <c r="A543" s="4">
        <v>43590</v>
      </c>
      <c r="B543" s="19">
        <f t="shared" si="16"/>
        <v>2019</v>
      </c>
      <c r="C543" s="19">
        <f t="shared" si="17"/>
        <v>5</v>
      </c>
      <c r="D543" s="5" t="s">
        <v>779</v>
      </c>
      <c r="E543" s="5" t="s">
        <v>483</v>
      </c>
      <c r="F543" s="5" t="s">
        <v>11</v>
      </c>
      <c r="G543" s="5" t="s">
        <v>30</v>
      </c>
      <c r="H543" s="5" t="s">
        <v>780</v>
      </c>
      <c r="I543" s="13">
        <v>1685.88</v>
      </c>
      <c r="J543" s="19">
        <v>6</v>
      </c>
      <c r="K543" s="14">
        <v>320.31720000000001</v>
      </c>
    </row>
    <row r="544" spans="1:11" x14ac:dyDescent="0.25">
      <c r="A544" s="2">
        <v>43590</v>
      </c>
      <c r="B544" s="18">
        <f t="shared" si="16"/>
        <v>2019</v>
      </c>
      <c r="C544" s="18">
        <f t="shared" si="17"/>
        <v>5</v>
      </c>
      <c r="D544" s="3" t="s">
        <v>779</v>
      </c>
      <c r="E544" s="3" t="s">
        <v>483</v>
      </c>
      <c r="F544" s="3" t="s">
        <v>19</v>
      </c>
      <c r="G544" s="3" t="s">
        <v>32</v>
      </c>
      <c r="H544" s="3" t="s">
        <v>781</v>
      </c>
      <c r="I544" s="11">
        <v>5.7279999999999998</v>
      </c>
      <c r="J544" s="18">
        <v>2</v>
      </c>
      <c r="K544" s="12">
        <v>2.0047999999999999</v>
      </c>
    </row>
    <row r="545" spans="1:11" x14ac:dyDescent="0.25">
      <c r="A545" s="4">
        <v>43590</v>
      </c>
      <c r="B545" s="19">
        <f t="shared" si="16"/>
        <v>2019</v>
      </c>
      <c r="C545" s="19">
        <f t="shared" si="17"/>
        <v>5</v>
      </c>
      <c r="D545" s="5" t="s">
        <v>367</v>
      </c>
      <c r="E545" s="5" t="s">
        <v>44</v>
      </c>
      <c r="F545" s="5" t="s">
        <v>19</v>
      </c>
      <c r="G545" s="5" t="s">
        <v>53</v>
      </c>
      <c r="H545" s="5" t="s">
        <v>782</v>
      </c>
      <c r="I545" s="13">
        <v>93.248000000000005</v>
      </c>
      <c r="J545" s="19">
        <v>4</v>
      </c>
      <c r="K545" s="14">
        <v>31.4712</v>
      </c>
    </row>
    <row r="546" spans="1:11" x14ac:dyDescent="0.25">
      <c r="A546" s="2">
        <v>43590</v>
      </c>
      <c r="B546" s="18">
        <f t="shared" si="16"/>
        <v>2019</v>
      </c>
      <c r="C546" s="18">
        <f t="shared" si="17"/>
        <v>5</v>
      </c>
      <c r="D546" s="3" t="s">
        <v>367</v>
      </c>
      <c r="E546" s="3" t="s">
        <v>44</v>
      </c>
      <c r="F546" s="3" t="s">
        <v>14</v>
      </c>
      <c r="G546" s="3" t="s">
        <v>15</v>
      </c>
      <c r="H546" s="3" t="s">
        <v>783</v>
      </c>
      <c r="I546" s="11">
        <v>177.48</v>
      </c>
      <c r="J546" s="18">
        <v>3</v>
      </c>
      <c r="K546" s="12">
        <v>19.9665</v>
      </c>
    </row>
    <row r="547" spans="1:11" x14ac:dyDescent="0.25">
      <c r="A547" s="4">
        <v>43591</v>
      </c>
      <c r="B547" s="19">
        <f t="shared" si="16"/>
        <v>2019</v>
      </c>
      <c r="C547" s="19">
        <f t="shared" si="17"/>
        <v>5</v>
      </c>
      <c r="D547" s="5" t="s">
        <v>784</v>
      </c>
      <c r="E547" s="5" t="s">
        <v>67</v>
      </c>
      <c r="F547" s="5" t="s">
        <v>19</v>
      </c>
      <c r="G547" s="5" t="s">
        <v>116</v>
      </c>
      <c r="H547" s="5" t="s">
        <v>785</v>
      </c>
      <c r="I547" s="13">
        <v>7.2160000000000002</v>
      </c>
      <c r="J547" s="19">
        <v>2</v>
      </c>
      <c r="K547" s="14">
        <v>1.7138</v>
      </c>
    </row>
    <row r="548" spans="1:11" x14ac:dyDescent="0.25">
      <c r="A548" s="2">
        <v>43591</v>
      </c>
      <c r="B548" s="18">
        <f t="shared" si="16"/>
        <v>2019</v>
      </c>
      <c r="C548" s="18">
        <f t="shared" si="17"/>
        <v>5</v>
      </c>
      <c r="D548" s="3" t="s">
        <v>784</v>
      </c>
      <c r="E548" s="3" t="s">
        <v>67</v>
      </c>
      <c r="F548" s="3" t="s">
        <v>19</v>
      </c>
      <c r="G548" s="3" t="s">
        <v>53</v>
      </c>
      <c r="H548" s="3" t="s">
        <v>786</v>
      </c>
      <c r="I548" s="11">
        <v>49.567999999999998</v>
      </c>
      <c r="J548" s="18">
        <v>2</v>
      </c>
      <c r="K548" s="12">
        <v>15.49</v>
      </c>
    </row>
    <row r="549" spans="1:11" x14ac:dyDescent="0.25">
      <c r="A549" s="4">
        <v>43591</v>
      </c>
      <c r="B549" s="19">
        <f t="shared" si="16"/>
        <v>2019</v>
      </c>
      <c r="C549" s="19">
        <f t="shared" si="17"/>
        <v>5</v>
      </c>
      <c r="D549" s="5" t="s">
        <v>784</v>
      </c>
      <c r="E549" s="5" t="s">
        <v>67</v>
      </c>
      <c r="F549" s="5" t="s">
        <v>11</v>
      </c>
      <c r="G549" s="5" t="s">
        <v>51</v>
      </c>
      <c r="H549" s="5" t="s">
        <v>787</v>
      </c>
      <c r="I549" s="13">
        <v>54.712000000000003</v>
      </c>
      <c r="J549" s="19">
        <v>7</v>
      </c>
      <c r="K549" s="14">
        <v>11.626300000000001</v>
      </c>
    </row>
    <row r="550" spans="1:11" x14ac:dyDescent="0.25">
      <c r="A550" s="2">
        <v>43591</v>
      </c>
      <c r="B550" s="18">
        <f t="shared" si="16"/>
        <v>2019</v>
      </c>
      <c r="C550" s="18">
        <f t="shared" si="17"/>
        <v>5</v>
      </c>
      <c r="D550" s="3" t="s">
        <v>714</v>
      </c>
      <c r="E550" s="3" t="s">
        <v>164</v>
      </c>
      <c r="F550" s="3" t="s">
        <v>19</v>
      </c>
      <c r="G550" s="3" t="s">
        <v>32</v>
      </c>
      <c r="H550" s="3" t="s">
        <v>788</v>
      </c>
      <c r="I550" s="11">
        <v>3.2080000000000002</v>
      </c>
      <c r="J550" s="18">
        <v>2</v>
      </c>
      <c r="K550" s="12">
        <v>-5.2931999999999997</v>
      </c>
    </row>
    <row r="551" spans="1:11" x14ac:dyDescent="0.25">
      <c r="A551" s="4">
        <v>43591</v>
      </c>
      <c r="B551" s="19">
        <f t="shared" si="16"/>
        <v>2019</v>
      </c>
      <c r="C551" s="19">
        <f t="shared" si="17"/>
        <v>5</v>
      </c>
      <c r="D551" s="5" t="s">
        <v>714</v>
      </c>
      <c r="E551" s="5" t="s">
        <v>164</v>
      </c>
      <c r="F551" s="5" t="s">
        <v>14</v>
      </c>
      <c r="G551" s="5" t="s">
        <v>24</v>
      </c>
      <c r="H551" s="5" t="s">
        <v>789</v>
      </c>
      <c r="I551" s="13">
        <v>26.175999999999998</v>
      </c>
      <c r="J551" s="19">
        <v>2</v>
      </c>
      <c r="K551" s="14">
        <v>-3.2719999999999998</v>
      </c>
    </row>
    <row r="552" spans="1:11" x14ac:dyDescent="0.25">
      <c r="A552" s="2">
        <v>43591</v>
      </c>
      <c r="B552" s="18">
        <f t="shared" si="16"/>
        <v>2019</v>
      </c>
      <c r="C552" s="18">
        <f t="shared" si="17"/>
        <v>5</v>
      </c>
      <c r="D552" s="3" t="s">
        <v>784</v>
      </c>
      <c r="E552" s="3" t="s">
        <v>472</v>
      </c>
      <c r="F552" s="3" t="s">
        <v>19</v>
      </c>
      <c r="G552" s="3" t="s">
        <v>121</v>
      </c>
      <c r="H552" s="3" t="s">
        <v>284</v>
      </c>
      <c r="I552" s="11">
        <v>54.48</v>
      </c>
      <c r="J552" s="18">
        <v>1</v>
      </c>
      <c r="K552" s="12">
        <v>15.2544</v>
      </c>
    </row>
    <row r="553" spans="1:11" x14ac:dyDescent="0.25">
      <c r="A553" s="4">
        <v>43591</v>
      </c>
      <c r="B553" s="19">
        <f t="shared" si="16"/>
        <v>2019</v>
      </c>
      <c r="C553" s="19">
        <f t="shared" si="17"/>
        <v>5</v>
      </c>
      <c r="D553" s="5" t="s">
        <v>790</v>
      </c>
      <c r="E553" s="5" t="s">
        <v>18</v>
      </c>
      <c r="F553" s="5" t="s">
        <v>11</v>
      </c>
      <c r="G553" s="5" t="s">
        <v>51</v>
      </c>
      <c r="H553" s="5" t="s">
        <v>791</v>
      </c>
      <c r="I553" s="13">
        <v>41.6</v>
      </c>
      <c r="J553" s="19">
        <v>4</v>
      </c>
      <c r="K553" s="14">
        <v>14.144</v>
      </c>
    </row>
    <row r="554" spans="1:11" x14ac:dyDescent="0.25">
      <c r="A554" s="2">
        <v>43592</v>
      </c>
      <c r="B554" s="18">
        <f t="shared" si="16"/>
        <v>2019</v>
      </c>
      <c r="C554" s="18">
        <f t="shared" si="17"/>
        <v>5</v>
      </c>
      <c r="D554" s="3" t="s">
        <v>375</v>
      </c>
      <c r="E554" s="3" t="s">
        <v>94</v>
      </c>
      <c r="F554" s="3" t="s">
        <v>19</v>
      </c>
      <c r="G554" s="3" t="s">
        <v>32</v>
      </c>
      <c r="H554" s="3" t="s">
        <v>792</v>
      </c>
      <c r="I554" s="11">
        <v>85.231999999999999</v>
      </c>
      <c r="J554" s="18">
        <v>7</v>
      </c>
      <c r="K554" s="12">
        <v>30.896599999999999</v>
      </c>
    </row>
    <row r="555" spans="1:11" x14ac:dyDescent="0.25">
      <c r="A555" s="4">
        <v>43592</v>
      </c>
      <c r="B555" s="19">
        <f t="shared" si="16"/>
        <v>2019</v>
      </c>
      <c r="C555" s="19">
        <f t="shared" si="17"/>
        <v>5</v>
      </c>
      <c r="D555" s="5" t="s">
        <v>375</v>
      </c>
      <c r="E555" s="5" t="s">
        <v>94</v>
      </c>
      <c r="F555" s="5" t="s">
        <v>19</v>
      </c>
      <c r="G555" s="5" t="s">
        <v>127</v>
      </c>
      <c r="H555" s="5" t="s">
        <v>793</v>
      </c>
      <c r="I555" s="13">
        <v>44.4</v>
      </c>
      <c r="J555" s="19">
        <v>3</v>
      </c>
      <c r="K555" s="14">
        <v>22.2</v>
      </c>
    </row>
    <row r="556" spans="1:11" x14ac:dyDescent="0.25">
      <c r="A556" s="2">
        <v>43592</v>
      </c>
      <c r="B556" s="18">
        <f t="shared" si="16"/>
        <v>2019</v>
      </c>
      <c r="C556" s="18">
        <f t="shared" si="17"/>
        <v>5</v>
      </c>
      <c r="D556" s="3" t="s">
        <v>375</v>
      </c>
      <c r="E556" s="3" t="s">
        <v>94</v>
      </c>
      <c r="F556" s="3" t="s">
        <v>11</v>
      </c>
      <c r="G556" s="3" t="s">
        <v>112</v>
      </c>
      <c r="H556" s="3" t="s">
        <v>794</v>
      </c>
      <c r="I556" s="11">
        <v>442.76400000000001</v>
      </c>
      <c r="J556" s="18">
        <v>4</v>
      </c>
      <c r="K556" s="12">
        <v>59.035200000000003</v>
      </c>
    </row>
    <row r="557" spans="1:11" x14ac:dyDescent="0.25">
      <c r="A557" s="4">
        <v>43592</v>
      </c>
      <c r="B557" s="19">
        <f t="shared" si="16"/>
        <v>2019</v>
      </c>
      <c r="C557" s="19">
        <f t="shared" si="17"/>
        <v>5</v>
      </c>
      <c r="D557" s="5" t="s">
        <v>375</v>
      </c>
      <c r="E557" s="5" t="s">
        <v>94</v>
      </c>
      <c r="F557" s="5" t="s">
        <v>14</v>
      </c>
      <c r="G557" s="5" t="s">
        <v>188</v>
      </c>
      <c r="H557" s="5" t="s">
        <v>795</v>
      </c>
      <c r="I557" s="13">
        <v>3999.95</v>
      </c>
      <c r="J557" s="19">
        <v>5</v>
      </c>
      <c r="K557" s="14">
        <v>1159.9855</v>
      </c>
    </row>
    <row r="558" spans="1:11" x14ac:dyDescent="0.25">
      <c r="A558" s="2">
        <v>43592</v>
      </c>
      <c r="B558" s="18">
        <f t="shared" si="16"/>
        <v>2019</v>
      </c>
      <c r="C558" s="18">
        <f t="shared" si="17"/>
        <v>5</v>
      </c>
      <c r="D558" s="3" t="s">
        <v>375</v>
      </c>
      <c r="E558" s="3" t="s">
        <v>94</v>
      </c>
      <c r="F558" s="3" t="s">
        <v>14</v>
      </c>
      <c r="G558" s="3" t="s">
        <v>24</v>
      </c>
      <c r="H558" s="3" t="s">
        <v>796</v>
      </c>
      <c r="I558" s="11">
        <v>199.95</v>
      </c>
      <c r="J558" s="18">
        <v>5</v>
      </c>
      <c r="K558" s="12">
        <v>21.994499999999999</v>
      </c>
    </row>
    <row r="559" spans="1:11" x14ac:dyDescent="0.25">
      <c r="A559" s="4">
        <v>43592</v>
      </c>
      <c r="B559" s="19">
        <f t="shared" si="16"/>
        <v>2019</v>
      </c>
      <c r="C559" s="19">
        <f t="shared" si="17"/>
        <v>5</v>
      </c>
      <c r="D559" s="5" t="s">
        <v>375</v>
      </c>
      <c r="E559" s="5" t="s">
        <v>94</v>
      </c>
      <c r="F559" s="5" t="s">
        <v>11</v>
      </c>
      <c r="G559" s="5" t="s">
        <v>51</v>
      </c>
      <c r="H559" s="5" t="s">
        <v>797</v>
      </c>
      <c r="I559" s="13">
        <v>63.68</v>
      </c>
      <c r="J559" s="19">
        <v>8</v>
      </c>
      <c r="K559" s="14">
        <v>28.019200000000001</v>
      </c>
    </row>
    <row r="560" spans="1:11" x14ac:dyDescent="0.25">
      <c r="A560" s="2">
        <v>43593</v>
      </c>
      <c r="B560" s="18">
        <f t="shared" si="16"/>
        <v>2019</v>
      </c>
      <c r="C560" s="18">
        <f t="shared" si="17"/>
        <v>5</v>
      </c>
      <c r="D560" s="3" t="s">
        <v>798</v>
      </c>
      <c r="E560" s="3" t="s">
        <v>309</v>
      </c>
      <c r="F560" s="3" t="s">
        <v>11</v>
      </c>
      <c r="G560" s="3" t="s">
        <v>51</v>
      </c>
      <c r="H560" s="3" t="s">
        <v>799</v>
      </c>
      <c r="I560" s="11">
        <v>211.96</v>
      </c>
      <c r="J560" s="18">
        <v>2</v>
      </c>
      <c r="K560" s="12">
        <v>42.392000000000003</v>
      </c>
    </row>
    <row r="561" spans="1:11" x14ac:dyDescent="0.25">
      <c r="A561" s="4">
        <v>43593</v>
      </c>
      <c r="B561" s="19">
        <f t="shared" si="16"/>
        <v>2019</v>
      </c>
      <c r="C561" s="19">
        <f t="shared" si="17"/>
        <v>5</v>
      </c>
      <c r="D561" s="5" t="s">
        <v>800</v>
      </c>
      <c r="E561" s="5" t="s">
        <v>67</v>
      </c>
      <c r="F561" s="5" t="s">
        <v>19</v>
      </c>
      <c r="G561" s="5" t="s">
        <v>20</v>
      </c>
      <c r="H561" s="5" t="s">
        <v>801</v>
      </c>
      <c r="I561" s="13">
        <v>1006.056</v>
      </c>
      <c r="J561" s="19">
        <v>3</v>
      </c>
      <c r="K561" s="14">
        <v>88.029899999999998</v>
      </c>
    </row>
    <row r="562" spans="1:11" x14ac:dyDescent="0.25">
      <c r="A562" s="2">
        <v>43593</v>
      </c>
      <c r="B562" s="18">
        <f t="shared" si="16"/>
        <v>2019</v>
      </c>
      <c r="C562" s="18">
        <f t="shared" si="17"/>
        <v>5</v>
      </c>
      <c r="D562" s="3" t="s">
        <v>800</v>
      </c>
      <c r="E562" s="3" t="s">
        <v>67</v>
      </c>
      <c r="F562" s="3" t="s">
        <v>19</v>
      </c>
      <c r="G562" s="3" t="s">
        <v>53</v>
      </c>
      <c r="H562" s="3" t="s">
        <v>802</v>
      </c>
      <c r="I562" s="11">
        <v>10.688000000000001</v>
      </c>
      <c r="J562" s="18">
        <v>2</v>
      </c>
      <c r="K562" s="12">
        <v>3.7408000000000001</v>
      </c>
    </row>
    <row r="563" spans="1:11" x14ac:dyDescent="0.25">
      <c r="A563" s="4">
        <v>43593</v>
      </c>
      <c r="B563" s="19">
        <f t="shared" si="16"/>
        <v>2019</v>
      </c>
      <c r="C563" s="19">
        <f t="shared" si="17"/>
        <v>5</v>
      </c>
      <c r="D563" s="5" t="s">
        <v>800</v>
      </c>
      <c r="E563" s="5" t="s">
        <v>67</v>
      </c>
      <c r="F563" s="5" t="s">
        <v>19</v>
      </c>
      <c r="G563" s="5" t="s">
        <v>53</v>
      </c>
      <c r="H563" s="5" t="s">
        <v>803</v>
      </c>
      <c r="I563" s="13">
        <v>10.368</v>
      </c>
      <c r="J563" s="19">
        <v>2</v>
      </c>
      <c r="K563" s="14">
        <v>3.6288</v>
      </c>
    </row>
    <row r="564" spans="1:11" x14ac:dyDescent="0.25">
      <c r="A564" s="2">
        <v>43593</v>
      </c>
      <c r="B564" s="18">
        <f t="shared" si="16"/>
        <v>2019</v>
      </c>
      <c r="C564" s="18">
        <f t="shared" si="17"/>
        <v>5</v>
      </c>
      <c r="D564" s="3" t="s">
        <v>800</v>
      </c>
      <c r="E564" s="3" t="s">
        <v>67</v>
      </c>
      <c r="F564" s="3" t="s">
        <v>19</v>
      </c>
      <c r="G564" s="3" t="s">
        <v>20</v>
      </c>
      <c r="H564" s="3" t="s">
        <v>505</v>
      </c>
      <c r="I564" s="11">
        <v>25.12</v>
      </c>
      <c r="J564" s="18">
        <v>2</v>
      </c>
      <c r="K564" s="12">
        <v>1.57</v>
      </c>
    </row>
    <row r="565" spans="1:11" x14ac:dyDescent="0.25">
      <c r="A565" s="4">
        <v>43593</v>
      </c>
      <c r="B565" s="19">
        <f t="shared" si="16"/>
        <v>2019</v>
      </c>
      <c r="C565" s="19">
        <f t="shared" si="17"/>
        <v>5</v>
      </c>
      <c r="D565" s="5" t="s">
        <v>800</v>
      </c>
      <c r="E565" s="5" t="s">
        <v>67</v>
      </c>
      <c r="F565" s="5" t="s">
        <v>14</v>
      </c>
      <c r="G565" s="5" t="s">
        <v>24</v>
      </c>
      <c r="H565" s="5" t="s">
        <v>804</v>
      </c>
      <c r="I565" s="13">
        <v>58.112000000000002</v>
      </c>
      <c r="J565" s="19">
        <v>2</v>
      </c>
      <c r="K565" s="14">
        <v>7.2640000000000002</v>
      </c>
    </row>
    <row r="566" spans="1:11" x14ac:dyDescent="0.25">
      <c r="A566" s="2">
        <v>43593</v>
      </c>
      <c r="B566" s="18">
        <f t="shared" si="16"/>
        <v>2019</v>
      </c>
      <c r="C566" s="18">
        <f t="shared" si="17"/>
        <v>5</v>
      </c>
      <c r="D566" s="3" t="s">
        <v>805</v>
      </c>
      <c r="E566" s="3" t="s">
        <v>18</v>
      </c>
      <c r="F566" s="3" t="s">
        <v>19</v>
      </c>
      <c r="G566" s="3" t="s">
        <v>53</v>
      </c>
      <c r="H566" s="3" t="s">
        <v>806</v>
      </c>
      <c r="I566" s="11">
        <v>17.940000000000001</v>
      </c>
      <c r="J566" s="18">
        <v>3</v>
      </c>
      <c r="K566" s="12">
        <v>8.0730000000000004</v>
      </c>
    </row>
    <row r="567" spans="1:11" x14ac:dyDescent="0.25">
      <c r="A567" s="4">
        <v>43594</v>
      </c>
      <c r="B567" s="19">
        <f t="shared" si="16"/>
        <v>2019</v>
      </c>
      <c r="C567" s="19">
        <f t="shared" si="17"/>
        <v>5</v>
      </c>
      <c r="D567" s="5" t="s">
        <v>807</v>
      </c>
      <c r="E567" s="5" t="s">
        <v>70</v>
      </c>
      <c r="F567" s="5" t="s">
        <v>14</v>
      </c>
      <c r="G567" s="5" t="s">
        <v>24</v>
      </c>
      <c r="H567" s="5" t="s">
        <v>808</v>
      </c>
      <c r="I567" s="13">
        <v>93.98</v>
      </c>
      <c r="J567" s="19">
        <v>2</v>
      </c>
      <c r="K567" s="14">
        <v>13.1572</v>
      </c>
    </row>
    <row r="568" spans="1:11" x14ac:dyDescent="0.25">
      <c r="A568" s="2">
        <v>43594</v>
      </c>
      <c r="B568" s="18">
        <f t="shared" si="16"/>
        <v>2019</v>
      </c>
      <c r="C568" s="18">
        <f t="shared" si="17"/>
        <v>5</v>
      </c>
      <c r="D568" s="3" t="s">
        <v>809</v>
      </c>
      <c r="E568" s="3" t="s">
        <v>39</v>
      </c>
      <c r="F568" s="3" t="s">
        <v>19</v>
      </c>
      <c r="G568" s="3" t="s">
        <v>86</v>
      </c>
      <c r="H568" s="3" t="s">
        <v>176</v>
      </c>
      <c r="I568" s="11">
        <v>9.3439999999999994</v>
      </c>
      <c r="J568" s="18">
        <v>1</v>
      </c>
      <c r="K568" s="12">
        <v>3.504</v>
      </c>
    </row>
    <row r="569" spans="1:11" x14ac:dyDescent="0.25">
      <c r="A569" s="4">
        <v>43594</v>
      </c>
      <c r="B569" s="19">
        <f t="shared" si="16"/>
        <v>2019</v>
      </c>
      <c r="C569" s="19">
        <f t="shared" si="17"/>
        <v>5</v>
      </c>
      <c r="D569" s="5" t="s">
        <v>809</v>
      </c>
      <c r="E569" s="5" t="s">
        <v>39</v>
      </c>
      <c r="F569" s="5" t="s">
        <v>19</v>
      </c>
      <c r="G569" s="5" t="s">
        <v>40</v>
      </c>
      <c r="H569" s="5" t="s">
        <v>61</v>
      </c>
      <c r="I569" s="13">
        <v>79.36</v>
      </c>
      <c r="J569" s="19">
        <v>5</v>
      </c>
      <c r="K569" s="14">
        <v>9.92</v>
      </c>
    </row>
    <row r="570" spans="1:11" x14ac:dyDescent="0.25">
      <c r="A570" s="2">
        <v>43594</v>
      </c>
      <c r="B570" s="18">
        <f t="shared" si="16"/>
        <v>2019</v>
      </c>
      <c r="C570" s="18">
        <f t="shared" si="17"/>
        <v>5</v>
      </c>
      <c r="D570" s="3" t="s">
        <v>810</v>
      </c>
      <c r="E570" s="3" t="s">
        <v>94</v>
      </c>
      <c r="F570" s="3" t="s">
        <v>19</v>
      </c>
      <c r="G570" s="3" t="s">
        <v>40</v>
      </c>
      <c r="H570" s="3" t="s">
        <v>811</v>
      </c>
      <c r="I570" s="11">
        <v>8</v>
      </c>
      <c r="J570" s="18">
        <v>5</v>
      </c>
      <c r="K570" s="12">
        <v>3.44</v>
      </c>
    </row>
    <row r="571" spans="1:11" x14ac:dyDescent="0.25">
      <c r="A571" s="4">
        <v>43594</v>
      </c>
      <c r="B571" s="19">
        <f t="shared" si="16"/>
        <v>2019</v>
      </c>
      <c r="C571" s="19">
        <f t="shared" si="17"/>
        <v>5</v>
      </c>
      <c r="D571" s="5" t="s">
        <v>812</v>
      </c>
      <c r="E571" s="5" t="s">
        <v>18</v>
      </c>
      <c r="F571" s="5" t="s">
        <v>19</v>
      </c>
      <c r="G571" s="5" t="s">
        <v>53</v>
      </c>
      <c r="H571" s="5" t="s">
        <v>813</v>
      </c>
      <c r="I571" s="13">
        <v>32.04</v>
      </c>
      <c r="J571" s="19">
        <v>4</v>
      </c>
      <c r="K571" s="14">
        <v>14.417999999999999</v>
      </c>
    </row>
    <row r="572" spans="1:11" x14ac:dyDescent="0.25">
      <c r="A572" s="2">
        <v>43594</v>
      </c>
      <c r="B572" s="18">
        <f t="shared" si="16"/>
        <v>2019</v>
      </c>
      <c r="C572" s="18">
        <f t="shared" si="17"/>
        <v>5</v>
      </c>
      <c r="D572" s="3" t="s">
        <v>389</v>
      </c>
      <c r="E572" s="3" t="s">
        <v>23</v>
      </c>
      <c r="F572" s="3" t="s">
        <v>14</v>
      </c>
      <c r="G572" s="3" t="s">
        <v>15</v>
      </c>
      <c r="H572" s="3" t="s">
        <v>814</v>
      </c>
      <c r="I572" s="11">
        <v>19.135999999999999</v>
      </c>
      <c r="J572" s="18">
        <v>2</v>
      </c>
      <c r="K572" s="12">
        <v>1.9136</v>
      </c>
    </row>
    <row r="573" spans="1:11" x14ac:dyDescent="0.25">
      <c r="A573" s="4">
        <v>43594</v>
      </c>
      <c r="B573" s="19">
        <f t="shared" si="16"/>
        <v>2019</v>
      </c>
      <c r="C573" s="19">
        <f t="shared" si="17"/>
        <v>5</v>
      </c>
      <c r="D573" s="5" t="s">
        <v>815</v>
      </c>
      <c r="E573" s="5" t="s">
        <v>181</v>
      </c>
      <c r="F573" s="5" t="s">
        <v>19</v>
      </c>
      <c r="G573" s="5" t="s">
        <v>40</v>
      </c>
      <c r="H573" s="5" t="s">
        <v>816</v>
      </c>
      <c r="I573" s="13">
        <v>27.86</v>
      </c>
      <c r="J573" s="19">
        <v>7</v>
      </c>
      <c r="K573" s="14">
        <v>9.1937999999999995</v>
      </c>
    </row>
    <row r="574" spans="1:11" x14ac:dyDescent="0.25">
      <c r="A574" s="2">
        <v>43594</v>
      </c>
      <c r="B574" s="18">
        <f t="shared" si="16"/>
        <v>2019</v>
      </c>
      <c r="C574" s="18">
        <f t="shared" si="17"/>
        <v>5</v>
      </c>
      <c r="D574" s="3" t="s">
        <v>817</v>
      </c>
      <c r="E574" s="3" t="s">
        <v>23</v>
      </c>
      <c r="F574" s="3" t="s">
        <v>19</v>
      </c>
      <c r="G574" s="3" t="s">
        <v>20</v>
      </c>
      <c r="H574" s="3" t="s">
        <v>818</v>
      </c>
      <c r="I574" s="11">
        <v>856.65599999999995</v>
      </c>
      <c r="J574" s="18">
        <v>6</v>
      </c>
      <c r="K574" s="12">
        <v>107.08199999999999</v>
      </c>
    </row>
    <row r="575" spans="1:11" x14ac:dyDescent="0.25">
      <c r="A575" s="4">
        <v>43594</v>
      </c>
      <c r="B575" s="19">
        <f t="shared" si="16"/>
        <v>2019</v>
      </c>
      <c r="C575" s="19">
        <f t="shared" si="17"/>
        <v>5</v>
      </c>
      <c r="D575" s="5" t="s">
        <v>817</v>
      </c>
      <c r="E575" s="5" t="s">
        <v>23</v>
      </c>
      <c r="F575" s="5" t="s">
        <v>19</v>
      </c>
      <c r="G575" s="5" t="s">
        <v>32</v>
      </c>
      <c r="H575" s="5" t="s">
        <v>819</v>
      </c>
      <c r="I575" s="13">
        <v>13.183999999999999</v>
      </c>
      <c r="J575" s="19">
        <v>4</v>
      </c>
      <c r="K575" s="14">
        <v>-20.435199999999998</v>
      </c>
    </row>
    <row r="576" spans="1:11" x14ac:dyDescent="0.25">
      <c r="A576" s="2">
        <v>43594</v>
      </c>
      <c r="B576" s="18">
        <f t="shared" si="16"/>
        <v>2019</v>
      </c>
      <c r="C576" s="18">
        <f t="shared" si="17"/>
        <v>5</v>
      </c>
      <c r="D576" s="3" t="s">
        <v>817</v>
      </c>
      <c r="E576" s="3" t="s">
        <v>23</v>
      </c>
      <c r="F576" s="3" t="s">
        <v>19</v>
      </c>
      <c r="G576" s="3" t="s">
        <v>121</v>
      </c>
      <c r="H576" s="3" t="s">
        <v>820</v>
      </c>
      <c r="I576" s="11">
        <v>48.783999999999999</v>
      </c>
      <c r="J576" s="18">
        <v>4</v>
      </c>
      <c r="K576" s="12">
        <v>-131.71680000000001</v>
      </c>
    </row>
    <row r="577" spans="1:11" x14ac:dyDescent="0.25">
      <c r="A577" s="4">
        <v>43594</v>
      </c>
      <c r="B577" s="19">
        <f t="shared" si="16"/>
        <v>2019</v>
      </c>
      <c r="C577" s="19">
        <f t="shared" si="17"/>
        <v>5</v>
      </c>
      <c r="D577" s="5" t="s">
        <v>817</v>
      </c>
      <c r="E577" s="5" t="s">
        <v>23</v>
      </c>
      <c r="F577" s="5" t="s">
        <v>19</v>
      </c>
      <c r="G577" s="5" t="s">
        <v>53</v>
      </c>
      <c r="H577" s="5" t="s">
        <v>637</v>
      </c>
      <c r="I577" s="13">
        <v>76.64</v>
      </c>
      <c r="J577" s="19">
        <v>2</v>
      </c>
      <c r="K577" s="14">
        <v>26.824000000000002</v>
      </c>
    </row>
    <row r="578" spans="1:11" x14ac:dyDescent="0.25">
      <c r="A578" s="2">
        <v>43594</v>
      </c>
      <c r="B578" s="18">
        <f t="shared" ref="B578:B641" si="18">YEAR(A578)</f>
        <v>2019</v>
      </c>
      <c r="C578" s="18">
        <f t="shared" ref="C578:C641" si="19">MONTH(A578)</f>
        <v>5</v>
      </c>
      <c r="D578" s="3" t="s">
        <v>817</v>
      </c>
      <c r="E578" s="3" t="s">
        <v>23</v>
      </c>
      <c r="F578" s="3" t="s">
        <v>19</v>
      </c>
      <c r="G578" s="3" t="s">
        <v>32</v>
      </c>
      <c r="H578" s="3" t="s">
        <v>422</v>
      </c>
      <c r="I578" s="11">
        <v>18.527999999999999</v>
      </c>
      <c r="J578" s="18">
        <v>6</v>
      </c>
      <c r="K578" s="12">
        <v>-27.792000000000002</v>
      </c>
    </row>
    <row r="579" spans="1:11" x14ac:dyDescent="0.25">
      <c r="A579" s="4">
        <v>43595</v>
      </c>
      <c r="B579" s="19">
        <f t="shared" si="18"/>
        <v>2019</v>
      </c>
      <c r="C579" s="19">
        <f t="shared" si="19"/>
        <v>5</v>
      </c>
      <c r="D579" s="5" t="s">
        <v>821</v>
      </c>
      <c r="E579" s="5" t="s">
        <v>70</v>
      </c>
      <c r="F579" s="5" t="s">
        <v>19</v>
      </c>
      <c r="G579" s="5" t="s">
        <v>53</v>
      </c>
      <c r="H579" s="5" t="s">
        <v>769</v>
      </c>
      <c r="I579" s="13">
        <v>11.96</v>
      </c>
      <c r="J579" s="19">
        <v>2</v>
      </c>
      <c r="K579" s="14">
        <v>5.8604000000000003</v>
      </c>
    </row>
    <row r="580" spans="1:11" x14ac:dyDescent="0.25">
      <c r="A580" s="2">
        <v>43595</v>
      </c>
      <c r="B580" s="18">
        <f t="shared" si="18"/>
        <v>2019</v>
      </c>
      <c r="C580" s="18">
        <f t="shared" si="19"/>
        <v>5</v>
      </c>
      <c r="D580" s="3" t="s">
        <v>822</v>
      </c>
      <c r="E580" s="3" t="s">
        <v>39</v>
      </c>
      <c r="F580" s="3" t="s">
        <v>14</v>
      </c>
      <c r="G580" s="3" t="s">
        <v>15</v>
      </c>
      <c r="H580" s="3" t="s">
        <v>823</v>
      </c>
      <c r="I580" s="11">
        <v>743.98800000000006</v>
      </c>
      <c r="J580" s="18">
        <v>2</v>
      </c>
      <c r="K580" s="12">
        <v>-123.998</v>
      </c>
    </row>
    <row r="581" spans="1:11" x14ac:dyDescent="0.25">
      <c r="A581" s="4">
        <v>43595</v>
      </c>
      <c r="B581" s="19">
        <f t="shared" si="18"/>
        <v>2019</v>
      </c>
      <c r="C581" s="19">
        <f t="shared" si="19"/>
        <v>5</v>
      </c>
      <c r="D581" s="5" t="s">
        <v>790</v>
      </c>
      <c r="E581" s="5" t="s">
        <v>164</v>
      </c>
      <c r="F581" s="5" t="s">
        <v>19</v>
      </c>
      <c r="G581" s="5" t="s">
        <v>86</v>
      </c>
      <c r="H581" s="5" t="s">
        <v>824</v>
      </c>
      <c r="I581" s="13">
        <v>7.0720000000000001</v>
      </c>
      <c r="J581" s="19">
        <v>2</v>
      </c>
      <c r="K581" s="14">
        <v>2.3868</v>
      </c>
    </row>
    <row r="582" spans="1:11" x14ac:dyDescent="0.25">
      <c r="A582" s="2">
        <v>43596</v>
      </c>
      <c r="B582" s="18">
        <f t="shared" si="18"/>
        <v>2019</v>
      </c>
      <c r="C582" s="18">
        <f t="shared" si="19"/>
        <v>5</v>
      </c>
      <c r="D582" s="3" t="s">
        <v>825</v>
      </c>
      <c r="E582" s="3" t="s">
        <v>18</v>
      </c>
      <c r="F582" s="3" t="s">
        <v>19</v>
      </c>
      <c r="G582" s="3" t="s">
        <v>53</v>
      </c>
      <c r="H582" s="3" t="s">
        <v>806</v>
      </c>
      <c r="I582" s="11">
        <v>5.98</v>
      </c>
      <c r="J582" s="18">
        <v>1</v>
      </c>
      <c r="K582" s="12">
        <v>2.6909999999999998</v>
      </c>
    </row>
    <row r="583" spans="1:11" x14ac:dyDescent="0.25">
      <c r="A583" s="4">
        <v>43597</v>
      </c>
      <c r="B583" s="19">
        <f t="shared" si="18"/>
        <v>2019</v>
      </c>
      <c r="C583" s="19">
        <f t="shared" si="19"/>
        <v>5</v>
      </c>
      <c r="D583" s="5" t="s">
        <v>487</v>
      </c>
      <c r="E583" s="5" t="s">
        <v>181</v>
      </c>
      <c r="F583" s="5" t="s">
        <v>19</v>
      </c>
      <c r="G583" s="5" t="s">
        <v>40</v>
      </c>
      <c r="H583" s="5" t="s">
        <v>826</v>
      </c>
      <c r="I583" s="13">
        <v>10.96</v>
      </c>
      <c r="J583" s="19">
        <v>4</v>
      </c>
      <c r="K583" s="14">
        <v>2.9592000000000001</v>
      </c>
    </row>
    <row r="584" spans="1:11" x14ac:dyDescent="0.25">
      <c r="A584" s="2">
        <v>43597</v>
      </c>
      <c r="B584" s="18">
        <f t="shared" si="18"/>
        <v>2019</v>
      </c>
      <c r="C584" s="18">
        <f t="shared" si="19"/>
        <v>5</v>
      </c>
      <c r="D584" s="3" t="s">
        <v>599</v>
      </c>
      <c r="E584" s="3" t="s">
        <v>39</v>
      </c>
      <c r="F584" s="3" t="s">
        <v>19</v>
      </c>
      <c r="G584" s="3" t="s">
        <v>20</v>
      </c>
      <c r="H584" s="3" t="s">
        <v>213</v>
      </c>
      <c r="I584" s="11">
        <v>82.367999999999995</v>
      </c>
      <c r="J584" s="18">
        <v>2</v>
      </c>
      <c r="K584" s="12">
        <v>-19.5624</v>
      </c>
    </row>
    <row r="585" spans="1:11" x14ac:dyDescent="0.25">
      <c r="A585" s="4">
        <v>43597</v>
      </c>
      <c r="B585" s="19">
        <f t="shared" si="18"/>
        <v>2019</v>
      </c>
      <c r="C585" s="19">
        <f t="shared" si="19"/>
        <v>5</v>
      </c>
      <c r="D585" s="5" t="s">
        <v>626</v>
      </c>
      <c r="E585" s="5" t="s">
        <v>70</v>
      </c>
      <c r="F585" s="5" t="s">
        <v>19</v>
      </c>
      <c r="G585" s="5" t="s">
        <v>86</v>
      </c>
      <c r="H585" s="5" t="s">
        <v>827</v>
      </c>
      <c r="I585" s="13">
        <v>54.9</v>
      </c>
      <c r="J585" s="19">
        <v>5</v>
      </c>
      <c r="K585" s="14">
        <v>26.901</v>
      </c>
    </row>
    <row r="586" spans="1:11" x14ac:dyDescent="0.25">
      <c r="A586" s="2">
        <v>43597</v>
      </c>
      <c r="B586" s="18">
        <f t="shared" si="18"/>
        <v>2019</v>
      </c>
      <c r="C586" s="18">
        <f t="shared" si="19"/>
        <v>5</v>
      </c>
      <c r="D586" s="3" t="s">
        <v>828</v>
      </c>
      <c r="E586" s="3" t="s">
        <v>94</v>
      </c>
      <c r="F586" s="3" t="s">
        <v>11</v>
      </c>
      <c r="G586" s="3" t="s">
        <v>51</v>
      </c>
      <c r="H586" s="3" t="s">
        <v>829</v>
      </c>
      <c r="I586" s="11">
        <v>10.02</v>
      </c>
      <c r="J586" s="18">
        <v>3</v>
      </c>
      <c r="K586" s="12">
        <v>4.4088000000000003</v>
      </c>
    </row>
    <row r="587" spans="1:11" x14ac:dyDescent="0.25">
      <c r="A587" s="4">
        <v>43597</v>
      </c>
      <c r="B587" s="19">
        <f t="shared" si="18"/>
        <v>2019</v>
      </c>
      <c r="C587" s="19">
        <f t="shared" si="19"/>
        <v>5</v>
      </c>
      <c r="D587" s="5" t="s">
        <v>828</v>
      </c>
      <c r="E587" s="5" t="s">
        <v>94</v>
      </c>
      <c r="F587" s="5" t="s">
        <v>14</v>
      </c>
      <c r="G587" s="5" t="s">
        <v>15</v>
      </c>
      <c r="H587" s="5" t="s">
        <v>830</v>
      </c>
      <c r="I587" s="13">
        <v>631.96</v>
      </c>
      <c r="J587" s="19">
        <v>4</v>
      </c>
      <c r="K587" s="14">
        <v>303.3408</v>
      </c>
    </row>
    <row r="588" spans="1:11" x14ac:dyDescent="0.25">
      <c r="A588" s="2">
        <v>43597</v>
      </c>
      <c r="B588" s="18">
        <f t="shared" si="18"/>
        <v>2019</v>
      </c>
      <c r="C588" s="18">
        <f t="shared" si="19"/>
        <v>5</v>
      </c>
      <c r="D588" s="3" t="s">
        <v>445</v>
      </c>
      <c r="E588" s="3" t="s">
        <v>18</v>
      </c>
      <c r="F588" s="3" t="s">
        <v>14</v>
      </c>
      <c r="G588" s="3" t="s">
        <v>24</v>
      </c>
      <c r="H588" s="3" t="s">
        <v>831</v>
      </c>
      <c r="I588" s="11">
        <v>120</v>
      </c>
      <c r="J588" s="18">
        <v>6</v>
      </c>
      <c r="K588" s="12">
        <v>46.8</v>
      </c>
    </row>
    <row r="589" spans="1:11" x14ac:dyDescent="0.25">
      <c r="A589" s="4">
        <v>43597</v>
      </c>
      <c r="B589" s="19">
        <f t="shared" si="18"/>
        <v>2019</v>
      </c>
      <c r="C589" s="19">
        <f t="shared" si="19"/>
        <v>5</v>
      </c>
      <c r="D589" s="5" t="s">
        <v>445</v>
      </c>
      <c r="E589" s="5" t="s">
        <v>18</v>
      </c>
      <c r="F589" s="5" t="s">
        <v>19</v>
      </c>
      <c r="G589" s="5" t="s">
        <v>121</v>
      </c>
      <c r="H589" s="5" t="s">
        <v>832</v>
      </c>
      <c r="I589" s="13">
        <v>8.67</v>
      </c>
      <c r="J589" s="19">
        <v>1</v>
      </c>
      <c r="K589" s="14">
        <v>2.3409</v>
      </c>
    </row>
    <row r="590" spans="1:11" x14ac:dyDescent="0.25">
      <c r="A590" s="2">
        <v>43599</v>
      </c>
      <c r="B590" s="18">
        <f t="shared" si="18"/>
        <v>2019</v>
      </c>
      <c r="C590" s="18">
        <f t="shared" si="19"/>
        <v>5</v>
      </c>
      <c r="D590" s="3" t="s">
        <v>833</v>
      </c>
      <c r="E590" s="3" t="s">
        <v>67</v>
      </c>
      <c r="F590" s="3" t="s">
        <v>11</v>
      </c>
      <c r="G590" s="3" t="s">
        <v>51</v>
      </c>
      <c r="H590" s="3" t="s">
        <v>834</v>
      </c>
      <c r="I590" s="11">
        <v>79.384</v>
      </c>
      <c r="J590" s="18">
        <v>1</v>
      </c>
      <c r="K590" s="12">
        <v>29.768999999999998</v>
      </c>
    </row>
    <row r="591" spans="1:11" x14ac:dyDescent="0.25">
      <c r="A591" s="4">
        <v>43599</v>
      </c>
      <c r="B591" s="19">
        <f t="shared" si="18"/>
        <v>2019</v>
      </c>
      <c r="C591" s="19">
        <f t="shared" si="19"/>
        <v>5</v>
      </c>
      <c r="D591" s="5" t="s">
        <v>835</v>
      </c>
      <c r="E591" s="5" t="s">
        <v>44</v>
      </c>
      <c r="F591" s="5" t="s">
        <v>19</v>
      </c>
      <c r="G591" s="5" t="s">
        <v>32</v>
      </c>
      <c r="H591" s="5" t="s">
        <v>836</v>
      </c>
      <c r="I591" s="13">
        <v>57.582000000000001</v>
      </c>
      <c r="J591" s="19">
        <v>3</v>
      </c>
      <c r="K591" s="14">
        <v>-44.1462</v>
      </c>
    </row>
    <row r="592" spans="1:11" x14ac:dyDescent="0.25">
      <c r="A592" s="2">
        <v>43599</v>
      </c>
      <c r="B592" s="18">
        <f t="shared" si="18"/>
        <v>2019</v>
      </c>
      <c r="C592" s="18">
        <f t="shared" si="19"/>
        <v>5</v>
      </c>
      <c r="D592" s="3" t="s">
        <v>835</v>
      </c>
      <c r="E592" s="3" t="s">
        <v>44</v>
      </c>
      <c r="F592" s="3" t="s">
        <v>19</v>
      </c>
      <c r="G592" s="3" t="s">
        <v>53</v>
      </c>
      <c r="H592" s="3" t="s">
        <v>837</v>
      </c>
      <c r="I592" s="11">
        <v>31.103999999999999</v>
      </c>
      <c r="J592" s="18">
        <v>6</v>
      </c>
      <c r="K592" s="12">
        <v>10.8864</v>
      </c>
    </row>
    <row r="593" spans="1:11" x14ac:dyDescent="0.25">
      <c r="A593" s="4">
        <v>43599</v>
      </c>
      <c r="B593" s="19">
        <f t="shared" si="18"/>
        <v>2019</v>
      </c>
      <c r="C593" s="19">
        <f t="shared" si="19"/>
        <v>5</v>
      </c>
      <c r="D593" s="5" t="s">
        <v>835</v>
      </c>
      <c r="E593" s="5" t="s">
        <v>44</v>
      </c>
      <c r="F593" s="5" t="s">
        <v>11</v>
      </c>
      <c r="G593" s="5" t="s">
        <v>51</v>
      </c>
      <c r="H593" s="5" t="s">
        <v>838</v>
      </c>
      <c r="I593" s="13">
        <v>30.192</v>
      </c>
      <c r="J593" s="19">
        <v>3</v>
      </c>
      <c r="K593" s="14">
        <v>8.3027999999999995</v>
      </c>
    </row>
    <row r="594" spans="1:11" x14ac:dyDescent="0.25">
      <c r="A594" s="2">
        <v>43599</v>
      </c>
      <c r="B594" s="18">
        <f t="shared" si="18"/>
        <v>2019</v>
      </c>
      <c r="C594" s="18">
        <f t="shared" si="19"/>
        <v>5</v>
      </c>
      <c r="D594" s="3" t="s">
        <v>835</v>
      </c>
      <c r="E594" s="3" t="s">
        <v>44</v>
      </c>
      <c r="F594" s="3" t="s">
        <v>14</v>
      </c>
      <c r="G594" s="3" t="s">
        <v>15</v>
      </c>
      <c r="H594" s="3" t="s">
        <v>839</v>
      </c>
      <c r="I594" s="11">
        <v>43.6</v>
      </c>
      <c r="J594" s="18">
        <v>5</v>
      </c>
      <c r="K594" s="12">
        <v>4.3600000000000003</v>
      </c>
    </row>
    <row r="595" spans="1:11" x14ac:dyDescent="0.25">
      <c r="A595" s="4">
        <v>43599</v>
      </c>
      <c r="B595" s="19">
        <f t="shared" si="18"/>
        <v>2019</v>
      </c>
      <c r="C595" s="19">
        <f t="shared" si="19"/>
        <v>5</v>
      </c>
      <c r="D595" s="5" t="s">
        <v>835</v>
      </c>
      <c r="E595" s="5" t="s">
        <v>44</v>
      </c>
      <c r="F595" s="5" t="s">
        <v>19</v>
      </c>
      <c r="G595" s="5" t="s">
        <v>40</v>
      </c>
      <c r="H595" s="5" t="s">
        <v>840</v>
      </c>
      <c r="I595" s="13">
        <v>4.7679999999999998</v>
      </c>
      <c r="J595" s="19">
        <v>2</v>
      </c>
      <c r="K595" s="14">
        <v>0.41720000000000002</v>
      </c>
    </row>
    <row r="596" spans="1:11" x14ac:dyDescent="0.25">
      <c r="A596" s="2">
        <v>43599</v>
      </c>
      <c r="B596" s="18">
        <f t="shared" si="18"/>
        <v>2019</v>
      </c>
      <c r="C596" s="18">
        <f t="shared" si="19"/>
        <v>5</v>
      </c>
      <c r="D596" s="3" t="s">
        <v>835</v>
      </c>
      <c r="E596" s="3" t="s">
        <v>44</v>
      </c>
      <c r="F596" s="3" t="s">
        <v>19</v>
      </c>
      <c r="G596" s="3" t="s">
        <v>32</v>
      </c>
      <c r="H596" s="3" t="s">
        <v>841</v>
      </c>
      <c r="I596" s="11">
        <v>10.38</v>
      </c>
      <c r="J596" s="18">
        <v>2</v>
      </c>
      <c r="K596" s="12">
        <v>-7.6120000000000001</v>
      </c>
    </row>
    <row r="597" spans="1:11" x14ac:dyDescent="0.25">
      <c r="A597" s="4">
        <v>43599</v>
      </c>
      <c r="B597" s="19">
        <f t="shared" si="18"/>
        <v>2019</v>
      </c>
      <c r="C597" s="19">
        <f t="shared" si="19"/>
        <v>5</v>
      </c>
      <c r="D597" s="5" t="s">
        <v>835</v>
      </c>
      <c r="E597" s="5" t="s">
        <v>44</v>
      </c>
      <c r="F597" s="5" t="s">
        <v>19</v>
      </c>
      <c r="G597" s="5" t="s">
        <v>32</v>
      </c>
      <c r="H597" s="5" t="s">
        <v>274</v>
      </c>
      <c r="I597" s="13">
        <v>13.391999999999999</v>
      </c>
      <c r="J597" s="19">
        <v>8</v>
      </c>
      <c r="K597" s="14">
        <v>-9.8208000000000002</v>
      </c>
    </row>
    <row r="598" spans="1:11" x14ac:dyDescent="0.25">
      <c r="A598" s="2">
        <v>43599</v>
      </c>
      <c r="B598" s="18">
        <f t="shared" si="18"/>
        <v>2019</v>
      </c>
      <c r="C598" s="18">
        <f t="shared" si="19"/>
        <v>5</v>
      </c>
      <c r="D598" s="3" t="s">
        <v>842</v>
      </c>
      <c r="E598" s="3" t="s">
        <v>198</v>
      </c>
      <c r="F598" s="3" t="s">
        <v>14</v>
      </c>
      <c r="G598" s="3" t="s">
        <v>24</v>
      </c>
      <c r="H598" s="3" t="s">
        <v>760</v>
      </c>
      <c r="I598" s="11">
        <v>185.52799999999999</v>
      </c>
      <c r="J598" s="18">
        <v>7</v>
      </c>
      <c r="K598" s="12">
        <v>48.701099999999997</v>
      </c>
    </row>
    <row r="599" spans="1:11" x14ac:dyDescent="0.25">
      <c r="A599" s="4">
        <v>43600</v>
      </c>
      <c r="B599" s="19">
        <f t="shared" si="18"/>
        <v>2019</v>
      </c>
      <c r="C599" s="19">
        <f t="shared" si="19"/>
        <v>5</v>
      </c>
      <c r="D599" s="5" t="s">
        <v>843</v>
      </c>
      <c r="E599" s="5" t="s">
        <v>143</v>
      </c>
      <c r="F599" s="5" t="s">
        <v>19</v>
      </c>
      <c r="G599" s="5" t="s">
        <v>32</v>
      </c>
      <c r="H599" s="5" t="s">
        <v>836</v>
      </c>
      <c r="I599" s="13">
        <v>511.84</v>
      </c>
      <c r="J599" s="19">
        <v>8</v>
      </c>
      <c r="K599" s="14">
        <v>240.56479999999999</v>
      </c>
    </row>
    <row r="600" spans="1:11" x14ac:dyDescent="0.25">
      <c r="A600" s="2">
        <v>43600</v>
      </c>
      <c r="B600" s="18">
        <f t="shared" si="18"/>
        <v>2019</v>
      </c>
      <c r="C600" s="18">
        <f t="shared" si="19"/>
        <v>5</v>
      </c>
      <c r="D600" s="3" t="s">
        <v>843</v>
      </c>
      <c r="E600" s="3" t="s">
        <v>143</v>
      </c>
      <c r="F600" s="3" t="s">
        <v>19</v>
      </c>
      <c r="G600" s="3" t="s">
        <v>40</v>
      </c>
      <c r="H600" s="3" t="s">
        <v>844</v>
      </c>
      <c r="I600" s="11">
        <v>91.96</v>
      </c>
      <c r="J600" s="18">
        <v>4</v>
      </c>
      <c r="K600" s="12">
        <v>25.748799999999999</v>
      </c>
    </row>
    <row r="601" spans="1:11" x14ac:dyDescent="0.25">
      <c r="A601" s="4">
        <v>43600</v>
      </c>
      <c r="B601" s="19">
        <f t="shared" si="18"/>
        <v>2019</v>
      </c>
      <c r="C601" s="19">
        <f t="shared" si="19"/>
        <v>5</v>
      </c>
      <c r="D601" s="5" t="s">
        <v>843</v>
      </c>
      <c r="E601" s="5" t="s">
        <v>143</v>
      </c>
      <c r="F601" s="5" t="s">
        <v>19</v>
      </c>
      <c r="G601" s="5" t="s">
        <v>40</v>
      </c>
      <c r="H601" s="5" t="s">
        <v>845</v>
      </c>
      <c r="I601" s="13">
        <v>8.34</v>
      </c>
      <c r="J601" s="19">
        <v>3</v>
      </c>
      <c r="K601" s="14">
        <v>2.1684000000000001</v>
      </c>
    </row>
    <row r="602" spans="1:11" x14ac:dyDescent="0.25">
      <c r="A602" s="2">
        <v>43600</v>
      </c>
      <c r="B602" s="18">
        <f t="shared" si="18"/>
        <v>2019</v>
      </c>
      <c r="C602" s="18">
        <f t="shared" si="19"/>
        <v>5</v>
      </c>
      <c r="D602" s="3" t="s">
        <v>846</v>
      </c>
      <c r="E602" s="3" t="s">
        <v>94</v>
      </c>
      <c r="F602" s="3" t="s">
        <v>19</v>
      </c>
      <c r="G602" s="3" t="s">
        <v>32</v>
      </c>
      <c r="H602" s="3" t="s">
        <v>847</v>
      </c>
      <c r="I602" s="11">
        <v>13.776</v>
      </c>
      <c r="J602" s="18">
        <v>3</v>
      </c>
      <c r="K602" s="12">
        <v>4.4771999999999998</v>
      </c>
    </row>
    <row r="603" spans="1:11" x14ac:dyDescent="0.25">
      <c r="A603" s="4">
        <v>43600</v>
      </c>
      <c r="B603" s="19">
        <f t="shared" si="18"/>
        <v>2019</v>
      </c>
      <c r="C603" s="19">
        <f t="shared" si="19"/>
        <v>5</v>
      </c>
      <c r="D603" s="5" t="s">
        <v>848</v>
      </c>
      <c r="E603" s="5" t="s">
        <v>44</v>
      </c>
      <c r="F603" s="5" t="s">
        <v>19</v>
      </c>
      <c r="G603" s="5" t="s">
        <v>32</v>
      </c>
      <c r="H603" s="5" t="s">
        <v>849</v>
      </c>
      <c r="I603" s="13">
        <v>7.7640000000000002</v>
      </c>
      <c r="J603" s="19">
        <v>4</v>
      </c>
      <c r="K603" s="14">
        <v>-5.1760000000000002</v>
      </c>
    </row>
    <row r="604" spans="1:11" x14ac:dyDescent="0.25">
      <c r="A604" s="2">
        <v>43600</v>
      </c>
      <c r="B604" s="18">
        <f t="shared" si="18"/>
        <v>2019</v>
      </c>
      <c r="C604" s="18">
        <f t="shared" si="19"/>
        <v>5</v>
      </c>
      <c r="D604" s="3" t="s">
        <v>850</v>
      </c>
      <c r="E604" s="3" t="s">
        <v>67</v>
      </c>
      <c r="F604" s="3" t="s">
        <v>19</v>
      </c>
      <c r="G604" s="3" t="s">
        <v>53</v>
      </c>
      <c r="H604" s="3" t="s">
        <v>851</v>
      </c>
      <c r="I604" s="11">
        <v>15.231999999999999</v>
      </c>
      <c r="J604" s="18">
        <v>4</v>
      </c>
      <c r="K604" s="12">
        <v>5.5216000000000003</v>
      </c>
    </row>
    <row r="605" spans="1:11" x14ac:dyDescent="0.25">
      <c r="A605" s="4">
        <v>43601</v>
      </c>
      <c r="B605" s="19">
        <f t="shared" si="18"/>
        <v>2019</v>
      </c>
      <c r="C605" s="19">
        <f t="shared" si="19"/>
        <v>5</v>
      </c>
      <c r="D605" s="5" t="s">
        <v>852</v>
      </c>
      <c r="E605" s="5" t="s">
        <v>91</v>
      </c>
      <c r="F605" s="5" t="s">
        <v>19</v>
      </c>
      <c r="G605" s="5" t="s">
        <v>20</v>
      </c>
      <c r="H605" s="5" t="s">
        <v>421</v>
      </c>
      <c r="I605" s="13">
        <v>552.55999999999995</v>
      </c>
      <c r="J605" s="19">
        <v>4</v>
      </c>
      <c r="K605" s="14">
        <v>0</v>
      </c>
    </row>
    <row r="606" spans="1:11" x14ac:dyDescent="0.25">
      <c r="A606" s="2">
        <v>43601</v>
      </c>
      <c r="B606" s="18">
        <f t="shared" si="18"/>
        <v>2019</v>
      </c>
      <c r="C606" s="18">
        <f t="shared" si="19"/>
        <v>5</v>
      </c>
      <c r="D606" s="3" t="s">
        <v>853</v>
      </c>
      <c r="E606" s="3" t="s">
        <v>18</v>
      </c>
      <c r="F606" s="3" t="s">
        <v>19</v>
      </c>
      <c r="G606" s="3" t="s">
        <v>53</v>
      </c>
      <c r="H606" s="3" t="s">
        <v>854</v>
      </c>
      <c r="I606" s="11">
        <v>17.34</v>
      </c>
      <c r="J606" s="18">
        <v>3</v>
      </c>
      <c r="K606" s="12">
        <v>8.4966000000000008</v>
      </c>
    </row>
    <row r="607" spans="1:11" x14ac:dyDescent="0.25">
      <c r="A607" s="4">
        <v>43601</v>
      </c>
      <c r="B607" s="19">
        <f t="shared" si="18"/>
        <v>2019</v>
      </c>
      <c r="C607" s="19">
        <f t="shared" si="19"/>
        <v>5</v>
      </c>
      <c r="D607" s="5" t="s">
        <v>855</v>
      </c>
      <c r="E607" s="5" t="s">
        <v>18</v>
      </c>
      <c r="F607" s="5" t="s">
        <v>11</v>
      </c>
      <c r="G607" s="5" t="s">
        <v>51</v>
      </c>
      <c r="H607" s="5" t="s">
        <v>856</v>
      </c>
      <c r="I607" s="13">
        <v>282.83999999999997</v>
      </c>
      <c r="J607" s="19">
        <v>4</v>
      </c>
      <c r="K607" s="14">
        <v>19.7988</v>
      </c>
    </row>
    <row r="608" spans="1:11" x14ac:dyDescent="0.25">
      <c r="A608" s="2">
        <v>43601</v>
      </c>
      <c r="B608" s="18">
        <f t="shared" si="18"/>
        <v>2019</v>
      </c>
      <c r="C608" s="18">
        <f t="shared" si="19"/>
        <v>5</v>
      </c>
      <c r="D608" s="3" t="s">
        <v>855</v>
      </c>
      <c r="E608" s="3" t="s">
        <v>18</v>
      </c>
      <c r="F608" s="3" t="s">
        <v>19</v>
      </c>
      <c r="G608" s="3" t="s">
        <v>127</v>
      </c>
      <c r="H608" s="3" t="s">
        <v>857</v>
      </c>
      <c r="I608" s="11">
        <v>27.72</v>
      </c>
      <c r="J608" s="18">
        <v>9</v>
      </c>
      <c r="K608" s="12">
        <v>13.3056</v>
      </c>
    </row>
    <row r="609" spans="1:11" x14ac:dyDescent="0.25">
      <c r="A609" s="4">
        <v>43602</v>
      </c>
      <c r="B609" s="19">
        <f t="shared" si="18"/>
        <v>2019</v>
      </c>
      <c r="C609" s="19">
        <f t="shared" si="19"/>
        <v>5</v>
      </c>
      <c r="D609" s="5" t="s">
        <v>858</v>
      </c>
      <c r="E609" s="5" t="s">
        <v>44</v>
      </c>
      <c r="F609" s="5" t="s">
        <v>19</v>
      </c>
      <c r="G609" s="5" t="s">
        <v>32</v>
      </c>
      <c r="H609" s="5" t="s">
        <v>361</v>
      </c>
      <c r="I609" s="13">
        <v>2.952</v>
      </c>
      <c r="J609" s="19">
        <v>2</v>
      </c>
      <c r="K609" s="14">
        <v>-2.1648000000000001</v>
      </c>
    </row>
    <row r="610" spans="1:11" x14ac:dyDescent="0.25">
      <c r="A610" s="2">
        <v>43602</v>
      </c>
      <c r="B610" s="18">
        <f t="shared" si="18"/>
        <v>2019</v>
      </c>
      <c r="C610" s="18">
        <f t="shared" si="19"/>
        <v>5</v>
      </c>
      <c r="D610" s="3" t="s">
        <v>858</v>
      </c>
      <c r="E610" s="3" t="s">
        <v>44</v>
      </c>
      <c r="F610" s="3" t="s">
        <v>19</v>
      </c>
      <c r="G610" s="3" t="s">
        <v>32</v>
      </c>
      <c r="H610" s="3" t="s">
        <v>605</v>
      </c>
      <c r="I610" s="11">
        <v>27.018000000000001</v>
      </c>
      <c r="J610" s="18">
        <v>6</v>
      </c>
      <c r="K610" s="12">
        <v>-21.6144</v>
      </c>
    </row>
    <row r="611" spans="1:11" x14ac:dyDescent="0.25">
      <c r="A611" s="4">
        <v>43602</v>
      </c>
      <c r="B611" s="19">
        <f t="shared" si="18"/>
        <v>2019</v>
      </c>
      <c r="C611" s="19">
        <f t="shared" si="19"/>
        <v>5</v>
      </c>
      <c r="D611" s="5" t="s">
        <v>859</v>
      </c>
      <c r="E611" s="5" t="s">
        <v>91</v>
      </c>
      <c r="F611" s="5" t="s">
        <v>19</v>
      </c>
      <c r="G611" s="5" t="s">
        <v>265</v>
      </c>
      <c r="H611" s="5" t="s">
        <v>860</v>
      </c>
      <c r="I611" s="13">
        <v>65.17</v>
      </c>
      <c r="J611" s="19">
        <v>7</v>
      </c>
      <c r="K611" s="14">
        <v>18.8993</v>
      </c>
    </row>
    <row r="612" spans="1:11" x14ac:dyDescent="0.25">
      <c r="A612" s="2">
        <v>43602</v>
      </c>
      <c r="B612" s="18">
        <f t="shared" si="18"/>
        <v>2019</v>
      </c>
      <c r="C612" s="18">
        <f t="shared" si="19"/>
        <v>5</v>
      </c>
      <c r="D612" s="3" t="s">
        <v>859</v>
      </c>
      <c r="E612" s="3" t="s">
        <v>91</v>
      </c>
      <c r="F612" s="3" t="s">
        <v>19</v>
      </c>
      <c r="G612" s="3" t="s">
        <v>127</v>
      </c>
      <c r="H612" s="3" t="s">
        <v>861</v>
      </c>
      <c r="I612" s="11">
        <v>14.62</v>
      </c>
      <c r="J612" s="18">
        <v>2</v>
      </c>
      <c r="K612" s="12">
        <v>6.8714000000000004</v>
      </c>
    </row>
    <row r="613" spans="1:11" x14ac:dyDescent="0.25">
      <c r="A613" s="4">
        <v>43602</v>
      </c>
      <c r="B613" s="19">
        <f t="shared" si="18"/>
        <v>2019</v>
      </c>
      <c r="C613" s="19">
        <f t="shared" si="19"/>
        <v>5</v>
      </c>
      <c r="D613" s="5" t="s">
        <v>859</v>
      </c>
      <c r="E613" s="5" t="s">
        <v>91</v>
      </c>
      <c r="F613" s="5" t="s">
        <v>11</v>
      </c>
      <c r="G613" s="5" t="s">
        <v>51</v>
      </c>
      <c r="H613" s="5" t="s">
        <v>698</v>
      </c>
      <c r="I613" s="13">
        <v>173.24</v>
      </c>
      <c r="J613" s="19">
        <v>4</v>
      </c>
      <c r="K613" s="14">
        <v>17.324000000000002</v>
      </c>
    </row>
    <row r="614" spans="1:11" x14ac:dyDescent="0.25">
      <c r="A614" s="2">
        <v>43602</v>
      </c>
      <c r="B614" s="18">
        <f t="shared" si="18"/>
        <v>2019</v>
      </c>
      <c r="C614" s="18">
        <f t="shared" si="19"/>
        <v>5</v>
      </c>
      <c r="D614" s="3" t="s">
        <v>862</v>
      </c>
      <c r="E614" s="3" t="s">
        <v>164</v>
      </c>
      <c r="F614" s="3" t="s">
        <v>19</v>
      </c>
      <c r="G614" s="3" t="s">
        <v>32</v>
      </c>
      <c r="H614" s="3" t="s">
        <v>863</v>
      </c>
      <c r="I614" s="11">
        <v>2.89</v>
      </c>
      <c r="J614" s="18">
        <v>1</v>
      </c>
      <c r="K614" s="12">
        <v>-4.7685000000000004</v>
      </c>
    </row>
    <row r="615" spans="1:11" x14ac:dyDescent="0.25">
      <c r="A615" s="4">
        <v>43602</v>
      </c>
      <c r="B615" s="19">
        <f t="shared" si="18"/>
        <v>2019</v>
      </c>
      <c r="C615" s="19">
        <f t="shared" si="19"/>
        <v>5</v>
      </c>
      <c r="D615" s="5" t="s">
        <v>862</v>
      </c>
      <c r="E615" s="5" t="s">
        <v>164</v>
      </c>
      <c r="F615" s="5" t="s">
        <v>19</v>
      </c>
      <c r="G615" s="5" t="s">
        <v>116</v>
      </c>
      <c r="H615" s="5" t="s">
        <v>864</v>
      </c>
      <c r="I615" s="13">
        <v>7.8959999999999999</v>
      </c>
      <c r="J615" s="19">
        <v>3</v>
      </c>
      <c r="K615" s="14">
        <v>2.4674999999999998</v>
      </c>
    </row>
    <row r="616" spans="1:11" x14ac:dyDescent="0.25">
      <c r="A616" s="2">
        <v>43602</v>
      </c>
      <c r="B616" s="18">
        <f t="shared" si="18"/>
        <v>2019</v>
      </c>
      <c r="C616" s="18">
        <f t="shared" si="19"/>
        <v>5</v>
      </c>
      <c r="D616" s="3" t="s">
        <v>862</v>
      </c>
      <c r="E616" s="3" t="s">
        <v>164</v>
      </c>
      <c r="F616" s="3" t="s">
        <v>11</v>
      </c>
      <c r="G616" s="3" t="s">
        <v>51</v>
      </c>
      <c r="H616" s="3" t="s">
        <v>736</v>
      </c>
      <c r="I616" s="11">
        <v>22.608000000000001</v>
      </c>
      <c r="J616" s="18">
        <v>3</v>
      </c>
      <c r="K616" s="12">
        <v>-10.1736</v>
      </c>
    </row>
    <row r="617" spans="1:11" x14ac:dyDescent="0.25">
      <c r="A617" s="4">
        <v>43602</v>
      </c>
      <c r="B617" s="19">
        <f t="shared" si="18"/>
        <v>2019</v>
      </c>
      <c r="C617" s="19">
        <f t="shared" si="19"/>
        <v>5</v>
      </c>
      <c r="D617" s="5" t="s">
        <v>862</v>
      </c>
      <c r="E617" s="5" t="s">
        <v>164</v>
      </c>
      <c r="F617" s="5" t="s">
        <v>19</v>
      </c>
      <c r="G617" s="5" t="s">
        <v>53</v>
      </c>
      <c r="H617" s="5" t="s">
        <v>241</v>
      </c>
      <c r="I617" s="13">
        <v>30.527999999999999</v>
      </c>
      <c r="J617" s="19">
        <v>8</v>
      </c>
      <c r="K617" s="14">
        <v>9.5399999999999991</v>
      </c>
    </row>
    <row r="618" spans="1:11" x14ac:dyDescent="0.25">
      <c r="A618" s="2">
        <v>43603</v>
      </c>
      <c r="B618" s="18">
        <f t="shared" si="18"/>
        <v>2019</v>
      </c>
      <c r="C618" s="18">
        <f t="shared" si="19"/>
        <v>5</v>
      </c>
      <c r="D618" s="3" t="s">
        <v>294</v>
      </c>
      <c r="E618" s="3" t="s">
        <v>18</v>
      </c>
      <c r="F618" s="3" t="s">
        <v>19</v>
      </c>
      <c r="G618" s="3" t="s">
        <v>20</v>
      </c>
      <c r="H618" s="3" t="s">
        <v>865</v>
      </c>
      <c r="I618" s="11">
        <v>104.28</v>
      </c>
      <c r="J618" s="18">
        <v>3</v>
      </c>
      <c r="K618" s="12">
        <v>26.07</v>
      </c>
    </row>
    <row r="619" spans="1:11" x14ac:dyDescent="0.25">
      <c r="A619" s="4">
        <v>43603</v>
      </c>
      <c r="B619" s="19">
        <f t="shared" si="18"/>
        <v>2019</v>
      </c>
      <c r="C619" s="19">
        <f t="shared" si="19"/>
        <v>5</v>
      </c>
      <c r="D619" s="5" t="s">
        <v>294</v>
      </c>
      <c r="E619" s="5" t="s">
        <v>18</v>
      </c>
      <c r="F619" s="5" t="s">
        <v>19</v>
      </c>
      <c r="G619" s="5" t="s">
        <v>53</v>
      </c>
      <c r="H619" s="5" t="s">
        <v>866</v>
      </c>
      <c r="I619" s="13">
        <v>17.940000000000001</v>
      </c>
      <c r="J619" s="19">
        <v>3</v>
      </c>
      <c r="K619" s="14">
        <v>8.7905999999999995</v>
      </c>
    </row>
    <row r="620" spans="1:11" x14ac:dyDescent="0.25">
      <c r="A620" s="2">
        <v>43604</v>
      </c>
      <c r="B620" s="18">
        <f t="shared" si="18"/>
        <v>2019</v>
      </c>
      <c r="C620" s="18">
        <f t="shared" si="19"/>
        <v>5</v>
      </c>
      <c r="D620" s="3" t="s">
        <v>867</v>
      </c>
      <c r="E620" s="3" t="s">
        <v>181</v>
      </c>
      <c r="F620" s="3" t="s">
        <v>11</v>
      </c>
      <c r="G620" s="3" t="s">
        <v>112</v>
      </c>
      <c r="H620" s="3" t="s">
        <v>400</v>
      </c>
      <c r="I620" s="11">
        <v>641.96</v>
      </c>
      <c r="J620" s="18">
        <v>2</v>
      </c>
      <c r="K620" s="12">
        <v>179.74879999999999</v>
      </c>
    </row>
    <row r="621" spans="1:11" x14ac:dyDescent="0.25">
      <c r="A621" s="4">
        <v>43604</v>
      </c>
      <c r="B621" s="19">
        <f t="shared" si="18"/>
        <v>2019</v>
      </c>
      <c r="C621" s="19">
        <f t="shared" si="19"/>
        <v>5</v>
      </c>
      <c r="D621" s="5" t="s">
        <v>868</v>
      </c>
      <c r="E621" s="5" t="s">
        <v>94</v>
      </c>
      <c r="F621" s="5" t="s">
        <v>19</v>
      </c>
      <c r="G621" s="5" t="s">
        <v>121</v>
      </c>
      <c r="H621" s="5" t="s">
        <v>869</v>
      </c>
      <c r="I621" s="13">
        <v>242.9</v>
      </c>
      <c r="J621" s="19">
        <v>5</v>
      </c>
      <c r="K621" s="14">
        <v>70.441000000000003</v>
      </c>
    </row>
    <row r="622" spans="1:11" x14ac:dyDescent="0.25">
      <c r="A622" s="2">
        <v>43604</v>
      </c>
      <c r="B622" s="18">
        <f t="shared" si="18"/>
        <v>2019</v>
      </c>
      <c r="C622" s="18">
        <f t="shared" si="19"/>
        <v>5</v>
      </c>
      <c r="D622" s="3" t="s">
        <v>868</v>
      </c>
      <c r="E622" s="3" t="s">
        <v>94</v>
      </c>
      <c r="F622" s="3" t="s">
        <v>19</v>
      </c>
      <c r="G622" s="3" t="s">
        <v>20</v>
      </c>
      <c r="H622" s="3" t="s">
        <v>870</v>
      </c>
      <c r="I622" s="11">
        <v>454.9</v>
      </c>
      <c r="J622" s="18">
        <v>5</v>
      </c>
      <c r="K622" s="12">
        <v>0</v>
      </c>
    </row>
    <row r="623" spans="1:11" x14ac:dyDescent="0.25">
      <c r="A623" s="4">
        <v>43604</v>
      </c>
      <c r="B623" s="19">
        <f t="shared" si="18"/>
        <v>2019</v>
      </c>
      <c r="C623" s="19">
        <f t="shared" si="19"/>
        <v>5</v>
      </c>
      <c r="D623" s="5" t="s">
        <v>868</v>
      </c>
      <c r="E623" s="5" t="s">
        <v>94</v>
      </c>
      <c r="F623" s="5" t="s">
        <v>11</v>
      </c>
      <c r="G623" s="5" t="s">
        <v>51</v>
      </c>
      <c r="H623" s="5" t="s">
        <v>199</v>
      </c>
      <c r="I623" s="13">
        <v>35.92</v>
      </c>
      <c r="J623" s="19">
        <v>4</v>
      </c>
      <c r="K623" s="14">
        <v>15.086399999999999</v>
      </c>
    </row>
    <row r="624" spans="1:11" x14ac:dyDescent="0.25">
      <c r="A624" s="2">
        <v>43604</v>
      </c>
      <c r="B624" s="18">
        <f t="shared" si="18"/>
        <v>2019</v>
      </c>
      <c r="C624" s="18">
        <f t="shared" si="19"/>
        <v>5</v>
      </c>
      <c r="D624" s="3" t="s">
        <v>868</v>
      </c>
      <c r="E624" s="3" t="s">
        <v>94</v>
      </c>
      <c r="F624" s="3" t="s">
        <v>11</v>
      </c>
      <c r="G624" s="3" t="s">
        <v>51</v>
      </c>
      <c r="H624" s="3" t="s">
        <v>74</v>
      </c>
      <c r="I624" s="11">
        <v>39.76</v>
      </c>
      <c r="J624" s="18">
        <v>8</v>
      </c>
      <c r="K624" s="12">
        <v>12.3256</v>
      </c>
    </row>
    <row r="625" spans="1:11" x14ac:dyDescent="0.25">
      <c r="A625" s="4">
        <v>43604</v>
      </c>
      <c r="B625" s="19">
        <f t="shared" si="18"/>
        <v>2019</v>
      </c>
      <c r="C625" s="19">
        <f t="shared" si="19"/>
        <v>5</v>
      </c>
      <c r="D625" s="5" t="s">
        <v>868</v>
      </c>
      <c r="E625" s="5" t="s">
        <v>94</v>
      </c>
      <c r="F625" s="5" t="s">
        <v>19</v>
      </c>
      <c r="G625" s="5" t="s">
        <v>32</v>
      </c>
      <c r="H625" s="5" t="s">
        <v>871</v>
      </c>
      <c r="I625" s="13">
        <v>47.744</v>
      </c>
      <c r="J625" s="19">
        <v>4</v>
      </c>
      <c r="K625" s="14">
        <v>14.92</v>
      </c>
    </row>
    <row r="626" spans="1:11" x14ac:dyDescent="0.25">
      <c r="A626" s="2">
        <v>43604</v>
      </c>
      <c r="B626" s="18">
        <f t="shared" si="18"/>
        <v>2019</v>
      </c>
      <c r="C626" s="18">
        <f t="shared" si="19"/>
        <v>5</v>
      </c>
      <c r="D626" s="3" t="s">
        <v>872</v>
      </c>
      <c r="E626" s="3" t="s">
        <v>18</v>
      </c>
      <c r="F626" s="3" t="s">
        <v>19</v>
      </c>
      <c r="G626" s="3" t="s">
        <v>32</v>
      </c>
      <c r="H626" s="3" t="s">
        <v>873</v>
      </c>
      <c r="I626" s="11">
        <v>9.5839999999999996</v>
      </c>
      <c r="J626" s="18">
        <v>1</v>
      </c>
      <c r="K626" s="12">
        <v>3.3544</v>
      </c>
    </row>
    <row r="627" spans="1:11" x14ac:dyDescent="0.25">
      <c r="A627" s="4">
        <v>43604</v>
      </c>
      <c r="B627" s="19">
        <f t="shared" si="18"/>
        <v>2019</v>
      </c>
      <c r="C627" s="19">
        <f t="shared" si="19"/>
        <v>5</v>
      </c>
      <c r="D627" s="5" t="s">
        <v>858</v>
      </c>
      <c r="E627" s="5" t="s">
        <v>317</v>
      </c>
      <c r="F627" s="5" t="s">
        <v>19</v>
      </c>
      <c r="G627" s="5" t="s">
        <v>40</v>
      </c>
      <c r="H627" s="5" t="s">
        <v>639</v>
      </c>
      <c r="I627" s="13">
        <v>21.4</v>
      </c>
      <c r="J627" s="19">
        <v>5</v>
      </c>
      <c r="K627" s="14">
        <v>6.2060000000000004</v>
      </c>
    </row>
    <row r="628" spans="1:11" x14ac:dyDescent="0.25">
      <c r="A628" s="2">
        <v>43604</v>
      </c>
      <c r="B628" s="18">
        <f t="shared" si="18"/>
        <v>2019</v>
      </c>
      <c r="C628" s="18">
        <f t="shared" si="19"/>
        <v>5</v>
      </c>
      <c r="D628" s="3" t="s">
        <v>874</v>
      </c>
      <c r="E628" s="3" t="s">
        <v>18</v>
      </c>
      <c r="F628" s="3" t="s">
        <v>19</v>
      </c>
      <c r="G628" s="3" t="s">
        <v>121</v>
      </c>
      <c r="H628" s="3" t="s">
        <v>832</v>
      </c>
      <c r="I628" s="11">
        <v>87.84</v>
      </c>
      <c r="J628" s="18">
        <v>8</v>
      </c>
      <c r="K628" s="12">
        <v>23.716799999999999</v>
      </c>
    </row>
    <row r="629" spans="1:11" x14ac:dyDescent="0.25">
      <c r="A629" s="4">
        <v>43605</v>
      </c>
      <c r="B629" s="19">
        <f t="shared" si="18"/>
        <v>2019</v>
      </c>
      <c r="C629" s="19">
        <f t="shared" si="19"/>
        <v>5</v>
      </c>
      <c r="D629" s="5" t="s">
        <v>367</v>
      </c>
      <c r="E629" s="5" t="s">
        <v>18</v>
      </c>
      <c r="F629" s="5" t="s">
        <v>11</v>
      </c>
      <c r="G629" s="5" t="s">
        <v>51</v>
      </c>
      <c r="H629" s="5" t="s">
        <v>875</v>
      </c>
      <c r="I629" s="13">
        <v>1049.2</v>
      </c>
      <c r="J629" s="19">
        <v>5</v>
      </c>
      <c r="K629" s="14">
        <v>272.79199999999997</v>
      </c>
    </row>
    <row r="630" spans="1:11" x14ac:dyDescent="0.25">
      <c r="A630" s="2">
        <v>43605</v>
      </c>
      <c r="B630" s="18">
        <f t="shared" si="18"/>
        <v>2019</v>
      </c>
      <c r="C630" s="18">
        <f t="shared" si="19"/>
        <v>5</v>
      </c>
      <c r="D630" s="3" t="s">
        <v>367</v>
      </c>
      <c r="E630" s="3" t="s">
        <v>18</v>
      </c>
      <c r="F630" s="3" t="s">
        <v>19</v>
      </c>
      <c r="G630" s="3" t="s">
        <v>32</v>
      </c>
      <c r="H630" s="3" t="s">
        <v>876</v>
      </c>
      <c r="I630" s="11">
        <v>15.423999999999999</v>
      </c>
      <c r="J630" s="18">
        <v>4</v>
      </c>
      <c r="K630" s="12">
        <v>5.0128000000000004</v>
      </c>
    </row>
    <row r="631" spans="1:11" x14ac:dyDescent="0.25">
      <c r="A631" s="4">
        <v>43605</v>
      </c>
      <c r="B631" s="19">
        <f t="shared" si="18"/>
        <v>2019</v>
      </c>
      <c r="C631" s="19">
        <f t="shared" si="19"/>
        <v>5</v>
      </c>
      <c r="D631" s="5" t="s">
        <v>877</v>
      </c>
      <c r="E631" s="5" t="s">
        <v>35</v>
      </c>
      <c r="F631" s="5" t="s">
        <v>14</v>
      </c>
      <c r="G631" s="5" t="s">
        <v>15</v>
      </c>
      <c r="H631" s="5" t="s">
        <v>352</v>
      </c>
      <c r="I631" s="13">
        <v>1363.96</v>
      </c>
      <c r="J631" s="19">
        <v>5</v>
      </c>
      <c r="K631" s="14">
        <v>85.247500000000002</v>
      </c>
    </row>
    <row r="632" spans="1:11" x14ac:dyDescent="0.25">
      <c r="A632" s="2">
        <v>43605</v>
      </c>
      <c r="B632" s="18">
        <f t="shared" si="18"/>
        <v>2019</v>
      </c>
      <c r="C632" s="18">
        <f t="shared" si="19"/>
        <v>5</v>
      </c>
      <c r="D632" s="3" t="s">
        <v>495</v>
      </c>
      <c r="E632" s="3" t="s">
        <v>44</v>
      </c>
      <c r="F632" s="3" t="s">
        <v>19</v>
      </c>
      <c r="G632" s="3" t="s">
        <v>32</v>
      </c>
      <c r="H632" s="3" t="s">
        <v>539</v>
      </c>
      <c r="I632" s="11">
        <v>2.694</v>
      </c>
      <c r="J632" s="18">
        <v>2</v>
      </c>
      <c r="K632" s="12">
        <v>-2.2450000000000001</v>
      </c>
    </row>
    <row r="633" spans="1:11" x14ac:dyDescent="0.25">
      <c r="A633" s="4">
        <v>43605</v>
      </c>
      <c r="B633" s="19">
        <f t="shared" si="18"/>
        <v>2019</v>
      </c>
      <c r="C633" s="19">
        <f t="shared" si="19"/>
        <v>5</v>
      </c>
      <c r="D633" s="5" t="s">
        <v>581</v>
      </c>
      <c r="E633" s="5" t="s">
        <v>306</v>
      </c>
      <c r="F633" s="5" t="s">
        <v>19</v>
      </c>
      <c r="G633" s="5" t="s">
        <v>32</v>
      </c>
      <c r="H633" s="5" t="s">
        <v>878</v>
      </c>
      <c r="I633" s="13">
        <v>40.634999999999998</v>
      </c>
      <c r="J633" s="19">
        <v>7</v>
      </c>
      <c r="K633" s="14">
        <v>-32.508000000000003</v>
      </c>
    </row>
    <row r="634" spans="1:11" x14ac:dyDescent="0.25">
      <c r="A634" s="2">
        <v>43606</v>
      </c>
      <c r="B634" s="18">
        <f t="shared" si="18"/>
        <v>2019</v>
      </c>
      <c r="C634" s="18">
        <f t="shared" si="19"/>
        <v>5</v>
      </c>
      <c r="D634" s="3" t="s">
        <v>833</v>
      </c>
      <c r="E634" s="3" t="s">
        <v>18</v>
      </c>
      <c r="F634" s="3" t="s">
        <v>14</v>
      </c>
      <c r="G634" s="3" t="s">
        <v>15</v>
      </c>
      <c r="H634" s="3" t="s">
        <v>879</v>
      </c>
      <c r="I634" s="11">
        <v>55.176000000000002</v>
      </c>
      <c r="J634" s="18">
        <v>3</v>
      </c>
      <c r="K634" s="12">
        <v>-12.4146</v>
      </c>
    </row>
    <row r="635" spans="1:11" x14ac:dyDescent="0.25">
      <c r="A635" s="4">
        <v>43606</v>
      </c>
      <c r="B635" s="19">
        <f t="shared" si="18"/>
        <v>2019</v>
      </c>
      <c r="C635" s="19">
        <f t="shared" si="19"/>
        <v>5</v>
      </c>
      <c r="D635" s="5" t="s">
        <v>833</v>
      </c>
      <c r="E635" s="5" t="s">
        <v>18</v>
      </c>
      <c r="F635" s="5" t="s">
        <v>14</v>
      </c>
      <c r="G635" s="5" t="s">
        <v>24</v>
      </c>
      <c r="H635" s="5" t="s">
        <v>760</v>
      </c>
      <c r="I635" s="13">
        <v>66.260000000000005</v>
      </c>
      <c r="J635" s="19">
        <v>2</v>
      </c>
      <c r="K635" s="14">
        <v>27.166599999999999</v>
      </c>
    </row>
    <row r="636" spans="1:11" x14ac:dyDescent="0.25">
      <c r="A636" s="2">
        <v>43606</v>
      </c>
      <c r="B636" s="18">
        <f t="shared" si="18"/>
        <v>2019</v>
      </c>
      <c r="C636" s="18">
        <f t="shared" si="19"/>
        <v>5</v>
      </c>
      <c r="D636" s="3" t="s">
        <v>880</v>
      </c>
      <c r="E636" s="3" t="s">
        <v>483</v>
      </c>
      <c r="F636" s="3" t="s">
        <v>14</v>
      </c>
      <c r="G636" s="3" t="s">
        <v>188</v>
      </c>
      <c r="H636" s="3" t="s">
        <v>881</v>
      </c>
      <c r="I636" s="11">
        <v>2396.4</v>
      </c>
      <c r="J636" s="18">
        <v>10</v>
      </c>
      <c r="K636" s="12">
        <v>179.73</v>
      </c>
    </row>
    <row r="637" spans="1:11" x14ac:dyDescent="0.25">
      <c r="A637" s="4">
        <v>43606</v>
      </c>
      <c r="B637" s="19">
        <f t="shared" si="18"/>
        <v>2019</v>
      </c>
      <c r="C637" s="19">
        <f t="shared" si="19"/>
        <v>5</v>
      </c>
      <c r="D637" s="5" t="s">
        <v>882</v>
      </c>
      <c r="E637" s="5" t="s">
        <v>883</v>
      </c>
      <c r="F637" s="5" t="s">
        <v>19</v>
      </c>
      <c r="G637" s="5" t="s">
        <v>53</v>
      </c>
      <c r="H637" s="5" t="s">
        <v>172</v>
      </c>
      <c r="I637" s="13">
        <v>111.96</v>
      </c>
      <c r="J637" s="19">
        <v>2</v>
      </c>
      <c r="K637" s="14">
        <v>54.860399999999998</v>
      </c>
    </row>
    <row r="638" spans="1:11" x14ac:dyDescent="0.25">
      <c r="A638" s="2">
        <v>43606</v>
      </c>
      <c r="B638" s="18">
        <f t="shared" si="18"/>
        <v>2019</v>
      </c>
      <c r="C638" s="18">
        <f t="shared" si="19"/>
        <v>5</v>
      </c>
      <c r="D638" s="3" t="s">
        <v>884</v>
      </c>
      <c r="E638" s="3" t="s">
        <v>23</v>
      </c>
      <c r="F638" s="3" t="s">
        <v>19</v>
      </c>
      <c r="G638" s="3" t="s">
        <v>32</v>
      </c>
      <c r="H638" s="3" t="s">
        <v>885</v>
      </c>
      <c r="I638" s="11">
        <v>1.964</v>
      </c>
      <c r="J638" s="18">
        <v>2</v>
      </c>
      <c r="K638" s="12">
        <v>-3.2406000000000001</v>
      </c>
    </row>
    <row r="639" spans="1:11" x14ac:dyDescent="0.25">
      <c r="A639" s="4">
        <v>43606</v>
      </c>
      <c r="B639" s="19">
        <f t="shared" si="18"/>
        <v>2019</v>
      </c>
      <c r="C639" s="19">
        <f t="shared" si="19"/>
        <v>5</v>
      </c>
      <c r="D639" s="5" t="s">
        <v>884</v>
      </c>
      <c r="E639" s="5" t="s">
        <v>23</v>
      </c>
      <c r="F639" s="5" t="s">
        <v>19</v>
      </c>
      <c r="G639" s="5" t="s">
        <v>53</v>
      </c>
      <c r="H639" s="5" t="s">
        <v>886</v>
      </c>
      <c r="I639" s="13">
        <v>82.656000000000006</v>
      </c>
      <c r="J639" s="19">
        <v>9</v>
      </c>
      <c r="K639" s="14">
        <v>30.995999999999999</v>
      </c>
    </row>
    <row r="640" spans="1:11" x14ac:dyDescent="0.25">
      <c r="A640" s="2">
        <v>43606</v>
      </c>
      <c r="B640" s="18">
        <f t="shared" si="18"/>
        <v>2019</v>
      </c>
      <c r="C640" s="18">
        <f t="shared" si="19"/>
        <v>5</v>
      </c>
      <c r="D640" s="3" t="s">
        <v>887</v>
      </c>
      <c r="E640" s="3" t="s">
        <v>164</v>
      </c>
      <c r="F640" s="3" t="s">
        <v>19</v>
      </c>
      <c r="G640" s="3" t="s">
        <v>32</v>
      </c>
      <c r="H640" s="3" t="s">
        <v>888</v>
      </c>
      <c r="I640" s="11">
        <v>3.798</v>
      </c>
      <c r="J640" s="18">
        <v>3</v>
      </c>
      <c r="K640" s="12">
        <v>-5.8868999999999998</v>
      </c>
    </row>
    <row r="641" spans="1:11" x14ac:dyDescent="0.25">
      <c r="A641" s="4">
        <v>43607</v>
      </c>
      <c r="B641" s="19">
        <f t="shared" si="18"/>
        <v>2019</v>
      </c>
      <c r="C641" s="19">
        <f t="shared" si="19"/>
        <v>5</v>
      </c>
      <c r="D641" s="5" t="s">
        <v>714</v>
      </c>
      <c r="E641" s="5" t="s">
        <v>85</v>
      </c>
      <c r="F641" s="5" t="s">
        <v>14</v>
      </c>
      <c r="G641" s="5" t="s">
        <v>15</v>
      </c>
      <c r="H641" s="5" t="s">
        <v>724</v>
      </c>
      <c r="I641" s="13">
        <v>345</v>
      </c>
      <c r="J641" s="19">
        <v>5</v>
      </c>
      <c r="K641" s="14">
        <v>86.25</v>
      </c>
    </row>
    <row r="642" spans="1:11" x14ac:dyDescent="0.25">
      <c r="A642" s="2">
        <v>43607</v>
      </c>
      <c r="B642" s="18">
        <f t="shared" ref="B642:B705" si="20">YEAR(A642)</f>
        <v>2019</v>
      </c>
      <c r="C642" s="18">
        <f t="shared" ref="C642:C705" si="21">MONTH(A642)</f>
        <v>5</v>
      </c>
      <c r="D642" s="3" t="s">
        <v>714</v>
      </c>
      <c r="E642" s="3" t="s">
        <v>85</v>
      </c>
      <c r="F642" s="3" t="s">
        <v>11</v>
      </c>
      <c r="G642" s="3" t="s">
        <v>30</v>
      </c>
      <c r="H642" s="3" t="s">
        <v>775</v>
      </c>
      <c r="I642" s="11">
        <v>174.286</v>
      </c>
      <c r="J642" s="18">
        <v>2</v>
      </c>
      <c r="K642" s="12">
        <v>-19.918399999999998</v>
      </c>
    </row>
    <row r="643" spans="1:11" x14ac:dyDescent="0.25">
      <c r="A643" s="4">
        <v>43607</v>
      </c>
      <c r="B643" s="19">
        <f t="shared" si="20"/>
        <v>2019</v>
      </c>
      <c r="C643" s="19">
        <f t="shared" si="21"/>
        <v>5</v>
      </c>
      <c r="D643" s="5" t="s">
        <v>714</v>
      </c>
      <c r="E643" s="5" t="s">
        <v>85</v>
      </c>
      <c r="F643" s="5" t="s">
        <v>19</v>
      </c>
      <c r="G643" s="5" t="s">
        <v>121</v>
      </c>
      <c r="H643" s="5" t="s">
        <v>889</v>
      </c>
      <c r="I643" s="13">
        <v>662.84</v>
      </c>
      <c r="J643" s="19">
        <v>4</v>
      </c>
      <c r="K643" s="14">
        <v>172.33840000000001</v>
      </c>
    </row>
    <row r="644" spans="1:11" x14ac:dyDescent="0.25">
      <c r="A644" s="2">
        <v>43607</v>
      </c>
      <c r="B644" s="18">
        <f t="shared" si="20"/>
        <v>2019</v>
      </c>
      <c r="C644" s="18">
        <f t="shared" si="21"/>
        <v>5</v>
      </c>
      <c r="D644" s="3" t="s">
        <v>714</v>
      </c>
      <c r="E644" s="3" t="s">
        <v>85</v>
      </c>
      <c r="F644" s="3" t="s">
        <v>14</v>
      </c>
      <c r="G644" s="3" t="s">
        <v>24</v>
      </c>
      <c r="H644" s="3" t="s">
        <v>890</v>
      </c>
      <c r="I644" s="11">
        <v>95.1</v>
      </c>
      <c r="J644" s="18">
        <v>5</v>
      </c>
      <c r="K644" s="12">
        <v>30.431999999999999</v>
      </c>
    </row>
    <row r="645" spans="1:11" x14ac:dyDescent="0.25">
      <c r="A645" s="4">
        <v>43607</v>
      </c>
      <c r="B645" s="19">
        <f t="shared" si="20"/>
        <v>2019</v>
      </c>
      <c r="C645" s="19">
        <f t="shared" si="21"/>
        <v>5</v>
      </c>
      <c r="D645" s="5" t="s">
        <v>714</v>
      </c>
      <c r="E645" s="5" t="s">
        <v>85</v>
      </c>
      <c r="F645" s="5" t="s">
        <v>19</v>
      </c>
      <c r="G645" s="5" t="s">
        <v>86</v>
      </c>
      <c r="H645" s="5" t="s">
        <v>585</v>
      </c>
      <c r="I645" s="13">
        <v>26.88</v>
      </c>
      <c r="J645" s="19">
        <v>6</v>
      </c>
      <c r="K645" s="14">
        <v>12.9024</v>
      </c>
    </row>
    <row r="646" spans="1:11" x14ac:dyDescent="0.25">
      <c r="A646" s="2">
        <v>43607</v>
      </c>
      <c r="B646" s="18">
        <f t="shared" si="20"/>
        <v>2019</v>
      </c>
      <c r="C646" s="18">
        <f t="shared" si="21"/>
        <v>5</v>
      </c>
      <c r="D646" s="3" t="s">
        <v>714</v>
      </c>
      <c r="E646" s="3" t="s">
        <v>85</v>
      </c>
      <c r="F646" s="3" t="s">
        <v>14</v>
      </c>
      <c r="G646" s="3" t="s">
        <v>15</v>
      </c>
      <c r="H646" s="3" t="s">
        <v>891</v>
      </c>
      <c r="I646" s="11">
        <v>257.98</v>
      </c>
      <c r="J646" s="18">
        <v>2</v>
      </c>
      <c r="K646" s="12">
        <v>74.8142</v>
      </c>
    </row>
    <row r="647" spans="1:11" x14ac:dyDescent="0.25">
      <c r="A647" s="4">
        <v>43607</v>
      </c>
      <c r="B647" s="19">
        <f t="shared" si="20"/>
        <v>2019</v>
      </c>
      <c r="C647" s="19">
        <f t="shared" si="21"/>
        <v>5</v>
      </c>
      <c r="D647" s="5" t="s">
        <v>154</v>
      </c>
      <c r="E647" s="5" t="s">
        <v>109</v>
      </c>
      <c r="F647" s="5" t="s">
        <v>19</v>
      </c>
      <c r="G647" s="5" t="s">
        <v>127</v>
      </c>
      <c r="H647" s="5" t="s">
        <v>728</v>
      </c>
      <c r="I647" s="13">
        <v>14.73</v>
      </c>
      <c r="J647" s="19">
        <v>3</v>
      </c>
      <c r="K647" s="14">
        <v>7.2176999999999998</v>
      </c>
    </row>
    <row r="648" spans="1:11" x14ac:dyDescent="0.25">
      <c r="A648" s="2">
        <v>43607</v>
      </c>
      <c r="B648" s="18">
        <f t="shared" si="20"/>
        <v>2019</v>
      </c>
      <c r="C648" s="18">
        <f t="shared" si="21"/>
        <v>5</v>
      </c>
      <c r="D648" s="3" t="s">
        <v>892</v>
      </c>
      <c r="E648" s="3" t="s">
        <v>18</v>
      </c>
      <c r="F648" s="3" t="s">
        <v>14</v>
      </c>
      <c r="G648" s="3" t="s">
        <v>15</v>
      </c>
      <c r="H648" s="3" t="s">
        <v>893</v>
      </c>
      <c r="I648" s="11">
        <v>222.38399999999999</v>
      </c>
      <c r="J648" s="18">
        <v>2</v>
      </c>
      <c r="K648" s="12">
        <v>22.238399999999999</v>
      </c>
    </row>
    <row r="649" spans="1:11" x14ac:dyDescent="0.25">
      <c r="A649" s="4">
        <v>43608</v>
      </c>
      <c r="B649" s="19">
        <f t="shared" si="20"/>
        <v>2019</v>
      </c>
      <c r="C649" s="19">
        <f t="shared" si="21"/>
        <v>5</v>
      </c>
      <c r="D649" s="5" t="s">
        <v>894</v>
      </c>
      <c r="E649" s="5" t="s">
        <v>18</v>
      </c>
      <c r="F649" s="5" t="s">
        <v>11</v>
      </c>
      <c r="G649" s="5" t="s">
        <v>51</v>
      </c>
      <c r="H649" s="5" t="s">
        <v>474</v>
      </c>
      <c r="I649" s="13">
        <v>37.049999999999997</v>
      </c>
      <c r="J649" s="19">
        <v>3</v>
      </c>
      <c r="K649" s="14">
        <v>16.302</v>
      </c>
    </row>
    <row r="650" spans="1:11" x14ac:dyDescent="0.25">
      <c r="A650" s="2">
        <v>43608</v>
      </c>
      <c r="B650" s="18">
        <f t="shared" si="20"/>
        <v>2019</v>
      </c>
      <c r="C650" s="18">
        <f t="shared" si="21"/>
        <v>5</v>
      </c>
      <c r="D650" s="3" t="s">
        <v>895</v>
      </c>
      <c r="E650" s="3" t="s">
        <v>164</v>
      </c>
      <c r="F650" s="3" t="s">
        <v>14</v>
      </c>
      <c r="G650" s="3" t="s">
        <v>15</v>
      </c>
      <c r="H650" s="3" t="s">
        <v>896</v>
      </c>
      <c r="I650" s="11">
        <v>1979.9280000000001</v>
      </c>
      <c r="J650" s="18">
        <v>9</v>
      </c>
      <c r="K650" s="12">
        <v>148.49459999999999</v>
      </c>
    </row>
    <row r="651" spans="1:11" x14ac:dyDescent="0.25">
      <c r="A651" s="4">
        <v>43608</v>
      </c>
      <c r="B651" s="19">
        <f t="shared" si="20"/>
        <v>2019</v>
      </c>
      <c r="C651" s="19">
        <f t="shared" si="21"/>
        <v>5</v>
      </c>
      <c r="D651" s="5" t="s">
        <v>897</v>
      </c>
      <c r="E651" s="5" t="s">
        <v>898</v>
      </c>
      <c r="F651" s="5" t="s">
        <v>19</v>
      </c>
      <c r="G651" s="5" t="s">
        <v>53</v>
      </c>
      <c r="H651" s="5" t="s">
        <v>899</v>
      </c>
      <c r="I651" s="13">
        <v>4.9800000000000004</v>
      </c>
      <c r="J651" s="19">
        <v>1</v>
      </c>
      <c r="K651" s="14">
        <v>2.4401999999999999</v>
      </c>
    </row>
    <row r="652" spans="1:11" x14ac:dyDescent="0.25">
      <c r="A652" s="2">
        <v>43608</v>
      </c>
      <c r="B652" s="18">
        <f t="shared" si="20"/>
        <v>2019</v>
      </c>
      <c r="C652" s="18">
        <f t="shared" si="21"/>
        <v>5</v>
      </c>
      <c r="D652" s="3" t="s">
        <v>900</v>
      </c>
      <c r="E652" s="3" t="s">
        <v>39</v>
      </c>
      <c r="F652" s="3" t="s">
        <v>14</v>
      </c>
      <c r="G652" s="3" t="s">
        <v>36</v>
      </c>
      <c r="H652" s="3" t="s">
        <v>901</v>
      </c>
      <c r="I652" s="11">
        <v>2399.9760000000001</v>
      </c>
      <c r="J652" s="18">
        <v>4</v>
      </c>
      <c r="K652" s="12">
        <v>1119.9967999999999</v>
      </c>
    </row>
    <row r="653" spans="1:11" x14ac:dyDescent="0.25">
      <c r="A653" s="4">
        <v>43608</v>
      </c>
      <c r="B653" s="19">
        <f t="shared" si="20"/>
        <v>2019</v>
      </c>
      <c r="C653" s="19">
        <f t="shared" si="21"/>
        <v>5</v>
      </c>
      <c r="D653" s="5" t="s">
        <v>900</v>
      </c>
      <c r="E653" s="5" t="s">
        <v>39</v>
      </c>
      <c r="F653" s="5" t="s">
        <v>19</v>
      </c>
      <c r="G653" s="5" t="s">
        <v>32</v>
      </c>
      <c r="H653" s="5" t="s">
        <v>902</v>
      </c>
      <c r="I653" s="13">
        <v>6.2939999999999996</v>
      </c>
      <c r="J653" s="19">
        <v>1</v>
      </c>
      <c r="K653" s="14">
        <v>-4.1959999999999997</v>
      </c>
    </row>
    <row r="654" spans="1:11" x14ac:dyDescent="0.25">
      <c r="A654" s="2">
        <v>43608</v>
      </c>
      <c r="B654" s="18">
        <f t="shared" si="20"/>
        <v>2019</v>
      </c>
      <c r="C654" s="18">
        <f t="shared" si="21"/>
        <v>5</v>
      </c>
      <c r="D654" s="3" t="s">
        <v>900</v>
      </c>
      <c r="E654" s="3" t="s">
        <v>39</v>
      </c>
      <c r="F654" s="3" t="s">
        <v>19</v>
      </c>
      <c r="G654" s="3" t="s">
        <v>53</v>
      </c>
      <c r="H654" s="3" t="s">
        <v>903</v>
      </c>
      <c r="I654" s="11">
        <v>10.368</v>
      </c>
      <c r="J654" s="18">
        <v>2</v>
      </c>
      <c r="K654" s="12">
        <v>3.6288</v>
      </c>
    </row>
    <row r="655" spans="1:11" x14ac:dyDescent="0.25">
      <c r="A655" s="4">
        <v>43608</v>
      </c>
      <c r="B655" s="19">
        <f t="shared" si="20"/>
        <v>2019</v>
      </c>
      <c r="C655" s="19">
        <f t="shared" si="21"/>
        <v>5</v>
      </c>
      <c r="D655" s="5" t="s">
        <v>900</v>
      </c>
      <c r="E655" s="5" t="s">
        <v>39</v>
      </c>
      <c r="F655" s="5" t="s">
        <v>14</v>
      </c>
      <c r="G655" s="5" t="s">
        <v>15</v>
      </c>
      <c r="H655" s="5" t="s">
        <v>62</v>
      </c>
      <c r="I655" s="13">
        <v>122.38200000000001</v>
      </c>
      <c r="J655" s="19">
        <v>3</v>
      </c>
      <c r="K655" s="14">
        <v>-24.476400000000002</v>
      </c>
    </row>
    <row r="656" spans="1:11" x14ac:dyDescent="0.25">
      <c r="A656" s="2">
        <v>43609</v>
      </c>
      <c r="B656" s="18">
        <f t="shared" si="20"/>
        <v>2019</v>
      </c>
      <c r="C656" s="18">
        <f t="shared" si="21"/>
        <v>5</v>
      </c>
      <c r="D656" s="3" t="s">
        <v>581</v>
      </c>
      <c r="E656" s="3" t="s">
        <v>181</v>
      </c>
      <c r="F656" s="3" t="s">
        <v>19</v>
      </c>
      <c r="G656" s="3" t="s">
        <v>265</v>
      </c>
      <c r="H656" s="3" t="s">
        <v>904</v>
      </c>
      <c r="I656" s="11">
        <v>69.5</v>
      </c>
      <c r="J656" s="18">
        <v>5</v>
      </c>
      <c r="K656" s="12">
        <v>20.155000000000001</v>
      </c>
    </row>
    <row r="657" spans="1:11" x14ac:dyDescent="0.25">
      <c r="A657" s="4">
        <v>43609</v>
      </c>
      <c r="B657" s="19">
        <f t="shared" si="20"/>
        <v>2019</v>
      </c>
      <c r="C657" s="19">
        <f t="shared" si="21"/>
        <v>5</v>
      </c>
      <c r="D657" s="5" t="s">
        <v>581</v>
      </c>
      <c r="E657" s="5" t="s">
        <v>181</v>
      </c>
      <c r="F657" s="5" t="s">
        <v>19</v>
      </c>
      <c r="G657" s="5" t="s">
        <v>53</v>
      </c>
      <c r="H657" s="5" t="s">
        <v>637</v>
      </c>
      <c r="I657" s="13">
        <v>191.6</v>
      </c>
      <c r="J657" s="19">
        <v>4</v>
      </c>
      <c r="K657" s="14">
        <v>91.968000000000004</v>
      </c>
    </row>
    <row r="658" spans="1:11" x14ac:dyDescent="0.25">
      <c r="A658" s="2">
        <v>43609</v>
      </c>
      <c r="B658" s="18">
        <f t="shared" si="20"/>
        <v>2019</v>
      </c>
      <c r="C658" s="18">
        <f t="shared" si="21"/>
        <v>5</v>
      </c>
      <c r="D658" s="3" t="s">
        <v>905</v>
      </c>
      <c r="E658" s="3" t="s">
        <v>39</v>
      </c>
      <c r="F658" s="3" t="s">
        <v>19</v>
      </c>
      <c r="G658" s="3" t="s">
        <v>40</v>
      </c>
      <c r="H658" s="3" t="s">
        <v>906</v>
      </c>
      <c r="I658" s="11">
        <v>16.655999999999999</v>
      </c>
      <c r="J658" s="18">
        <v>3</v>
      </c>
      <c r="K658" s="12">
        <v>3.3311999999999999</v>
      </c>
    </row>
    <row r="659" spans="1:11" x14ac:dyDescent="0.25">
      <c r="A659" s="4">
        <v>43610</v>
      </c>
      <c r="B659" s="19">
        <f t="shared" si="20"/>
        <v>2019</v>
      </c>
      <c r="C659" s="19">
        <f t="shared" si="21"/>
        <v>5</v>
      </c>
      <c r="D659" s="5" t="s">
        <v>342</v>
      </c>
      <c r="E659" s="5" t="s">
        <v>109</v>
      </c>
      <c r="F659" s="5" t="s">
        <v>11</v>
      </c>
      <c r="G659" s="5" t="s">
        <v>51</v>
      </c>
      <c r="H659" s="5" t="s">
        <v>907</v>
      </c>
      <c r="I659" s="13">
        <v>24.96</v>
      </c>
      <c r="J659" s="19">
        <v>4</v>
      </c>
      <c r="K659" s="14">
        <v>6.24</v>
      </c>
    </row>
    <row r="660" spans="1:11" x14ac:dyDescent="0.25">
      <c r="A660" s="2">
        <v>43610</v>
      </c>
      <c r="B660" s="18">
        <f t="shared" si="20"/>
        <v>2019</v>
      </c>
      <c r="C660" s="18">
        <f t="shared" si="21"/>
        <v>5</v>
      </c>
      <c r="D660" s="3" t="s">
        <v>342</v>
      </c>
      <c r="E660" s="3" t="s">
        <v>109</v>
      </c>
      <c r="F660" s="3" t="s">
        <v>19</v>
      </c>
      <c r="G660" s="3" t="s">
        <v>53</v>
      </c>
      <c r="H660" s="3" t="s">
        <v>908</v>
      </c>
      <c r="I660" s="11">
        <v>19.36</v>
      </c>
      <c r="J660" s="18">
        <v>2</v>
      </c>
      <c r="K660" s="12">
        <v>9.2927999999999997</v>
      </c>
    </row>
    <row r="661" spans="1:11" x14ac:dyDescent="0.25">
      <c r="A661" s="4">
        <v>43610</v>
      </c>
      <c r="B661" s="19">
        <f t="shared" si="20"/>
        <v>2019</v>
      </c>
      <c r="C661" s="19">
        <f t="shared" si="21"/>
        <v>5</v>
      </c>
      <c r="D661" s="5" t="s">
        <v>342</v>
      </c>
      <c r="E661" s="5" t="s">
        <v>109</v>
      </c>
      <c r="F661" s="5" t="s">
        <v>19</v>
      </c>
      <c r="G661" s="5" t="s">
        <v>20</v>
      </c>
      <c r="H661" s="5" t="s">
        <v>909</v>
      </c>
      <c r="I661" s="13">
        <v>1267.6500000000001</v>
      </c>
      <c r="J661" s="19">
        <v>9</v>
      </c>
      <c r="K661" s="14">
        <v>152.11799999999999</v>
      </c>
    </row>
    <row r="662" spans="1:11" x14ac:dyDescent="0.25">
      <c r="A662" s="2">
        <v>43611</v>
      </c>
      <c r="B662" s="18">
        <f t="shared" si="20"/>
        <v>2019</v>
      </c>
      <c r="C662" s="18">
        <f t="shared" si="21"/>
        <v>5</v>
      </c>
      <c r="D662" s="3" t="s">
        <v>910</v>
      </c>
      <c r="E662" s="3" t="s">
        <v>23</v>
      </c>
      <c r="F662" s="3" t="s">
        <v>19</v>
      </c>
      <c r="G662" s="3" t="s">
        <v>53</v>
      </c>
      <c r="H662" s="3" t="s">
        <v>54</v>
      </c>
      <c r="I662" s="11">
        <v>10.368</v>
      </c>
      <c r="J662" s="18">
        <v>2</v>
      </c>
      <c r="K662" s="12">
        <v>3.6288</v>
      </c>
    </row>
    <row r="663" spans="1:11" x14ac:dyDescent="0.25">
      <c r="A663" s="4">
        <v>43611</v>
      </c>
      <c r="B663" s="19">
        <f t="shared" si="20"/>
        <v>2019</v>
      </c>
      <c r="C663" s="19">
        <f t="shared" si="21"/>
        <v>5</v>
      </c>
      <c r="D663" s="5" t="s">
        <v>910</v>
      </c>
      <c r="E663" s="5" t="s">
        <v>23</v>
      </c>
      <c r="F663" s="5" t="s">
        <v>11</v>
      </c>
      <c r="G663" s="5" t="s">
        <v>112</v>
      </c>
      <c r="H663" s="5" t="s">
        <v>911</v>
      </c>
      <c r="I663" s="13">
        <v>388.43</v>
      </c>
      <c r="J663" s="19">
        <v>5</v>
      </c>
      <c r="K663" s="14">
        <v>-88.784000000000006</v>
      </c>
    </row>
    <row r="664" spans="1:11" x14ac:dyDescent="0.25">
      <c r="A664" s="2">
        <v>43611</v>
      </c>
      <c r="B664" s="18">
        <f t="shared" si="20"/>
        <v>2019</v>
      </c>
      <c r="C664" s="18">
        <f t="shared" si="21"/>
        <v>5</v>
      </c>
      <c r="D664" s="3" t="s">
        <v>910</v>
      </c>
      <c r="E664" s="3" t="s">
        <v>23</v>
      </c>
      <c r="F664" s="3" t="s">
        <v>19</v>
      </c>
      <c r="G664" s="3" t="s">
        <v>53</v>
      </c>
      <c r="H664" s="3" t="s">
        <v>866</v>
      </c>
      <c r="I664" s="11">
        <v>14.352</v>
      </c>
      <c r="J664" s="18">
        <v>3</v>
      </c>
      <c r="K664" s="12">
        <v>5.2026000000000003</v>
      </c>
    </row>
    <row r="665" spans="1:11" x14ac:dyDescent="0.25">
      <c r="A665" s="4">
        <v>43611</v>
      </c>
      <c r="B665" s="19">
        <f t="shared" si="20"/>
        <v>2019</v>
      </c>
      <c r="C665" s="19">
        <f t="shared" si="21"/>
        <v>5</v>
      </c>
      <c r="D665" s="5" t="s">
        <v>910</v>
      </c>
      <c r="E665" s="5" t="s">
        <v>23</v>
      </c>
      <c r="F665" s="5" t="s">
        <v>14</v>
      </c>
      <c r="G665" s="5" t="s">
        <v>24</v>
      </c>
      <c r="H665" s="5" t="s">
        <v>912</v>
      </c>
      <c r="I665" s="13">
        <v>63.991999999999997</v>
      </c>
      <c r="J665" s="19">
        <v>1</v>
      </c>
      <c r="K665" s="14">
        <v>-7.1990999999999996</v>
      </c>
    </row>
    <row r="666" spans="1:11" x14ac:dyDescent="0.25">
      <c r="A666" s="2">
        <v>43611</v>
      </c>
      <c r="B666" s="18">
        <f t="shared" si="20"/>
        <v>2019</v>
      </c>
      <c r="C666" s="18">
        <f t="shared" si="21"/>
        <v>5</v>
      </c>
      <c r="D666" s="3" t="s">
        <v>133</v>
      </c>
      <c r="E666" s="3" t="s">
        <v>913</v>
      </c>
      <c r="F666" s="3" t="s">
        <v>19</v>
      </c>
      <c r="G666" s="3" t="s">
        <v>53</v>
      </c>
      <c r="H666" s="3" t="s">
        <v>914</v>
      </c>
      <c r="I666" s="11">
        <v>19.440000000000001</v>
      </c>
      <c r="J666" s="18">
        <v>3</v>
      </c>
      <c r="K666" s="12">
        <v>9.3312000000000008</v>
      </c>
    </row>
    <row r="667" spans="1:11" x14ac:dyDescent="0.25">
      <c r="A667" s="4">
        <v>43611</v>
      </c>
      <c r="B667" s="19">
        <f t="shared" si="20"/>
        <v>2019</v>
      </c>
      <c r="C667" s="19">
        <f t="shared" si="21"/>
        <v>5</v>
      </c>
      <c r="D667" s="5" t="s">
        <v>133</v>
      </c>
      <c r="E667" s="5" t="s">
        <v>913</v>
      </c>
      <c r="F667" s="5" t="s">
        <v>19</v>
      </c>
      <c r="G667" s="5" t="s">
        <v>32</v>
      </c>
      <c r="H667" s="5" t="s">
        <v>876</v>
      </c>
      <c r="I667" s="13">
        <v>9.64</v>
      </c>
      <c r="J667" s="19">
        <v>2</v>
      </c>
      <c r="K667" s="14">
        <v>4.4344000000000001</v>
      </c>
    </row>
    <row r="668" spans="1:11" x14ac:dyDescent="0.25">
      <c r="A668" s="2">
        <v>43611</v>
      </c>
      <c r="B668" s="18">
        <f t="shared" si="20"/>
        <v>2019</v>
      </c>
      <c r="C668" s="18">
        <f t="shared" si="21"/>
        <v>5</v>
      </c>
      <c r="D668" s="3" t="s">
        <v>133</v>
      </c>
      <c r="E668" s="3" t="s">
        <v>913</v>
      </c>
      <c r="F668" s="3" t="s">
        <v>19</v>
      </c>
      <c r="G668" s="3" t="s">
        <v>53</v>
      </c>
      <c r="H668" s="3" t="s">
        <v>915</v>
      </c>
      <c r="I668" s="11">
        <v>12.7</v>
      </c>
      <c r="J668" s="18">
        <v>2</v>
      </c>
      <c r="K668" s="12">
        <v>5.8419999999999996</v>
      </c>
    </row>
    <row r="669" spans="1:11" x14ac:dyDescent="0.25">
      <c r="A669" s="4">
        <v>43611</v>
      </c>
      <c r="B669" s="19">
        <f t="shared" si="20"/>
        <v>2019</v>
      </c>
      <c r="C669" s="19">
        <f t="shared" si="21"/>
        <v>5</v>
      </c>
      <c r="D669" s="5" t="s">
        <v>133</v>
      </c>
      <c r="E669" s="5" t="s">
        <v>913</v>
      </c>
      <c r="F669" s="5" t="s">
        <v>11</v>
      </c>
      <c r="G669" s="5" t="s">
        <v>51</v>
      </c>
      <c r="H669" s="5" t="s">
        <v>276</v>
      </c>
      <c r="I669" s="13">
        <v>41.37</v>
      </c>
      <c r="J669" s="19">
        <v>3</v>
      </c>
      <c r="K669" s="14">
        <v>17.375399999999999</v>
      </c>
    </row>
    <row r="670" spans="1:11" x14ac:dyDescent="0.25">
      <c r="A670" s="2">
        <v>43611</v>
      </c>
      <c r="B670" s="18">
        <f t="shared" si="20"/>
        <v>2019</v>
      </c>
      <c r="C670" s="18">
        <f t="shared" si="21"/>
        <v>5</v>
      </c>
      <c r="D670" s="3" t="s">
        <v>842</v>
      </c>
      <c r="E670" s="3" t="s">
        <v>39</v>
      </c>
      <c r="F670" s="3" t="s">
        <v>19</v>
      </c>
      <c r="G670" s="3" t="s">
        <v>40</v>
      </c>
      <c r="H670" s="3" t="s">
        <v>916</v>
      </c>
      <c r="I670" s="11">
        <v>1.504</v>
      </c>
      <c r="J670" s="18">
        <v>1</v>
      </c>
      <c r="K670" s="12">
        <v>0.16919999999999999</v>
      </c>
    </row>
    <row r="671" spans="1:11" x14ac:dyDescent="0.25">
      <c r="A671" s="4">
        <v>43611</v>
      </c>
      <c r="B671" s="19">
        <f t="shared" si="20"/>
        <v>2019</v>
      </c>
      <c r="C671" s="19">
        <f t="shared" si="21"/>
        <v>5</v>
      </c>
      <c r="D671" s="5" t="s">
        <v>842</v>
      </c>
      <c r="E671" s="5" t="s">
        <v>39</v>
      </c>
      <c r="F671" s="5" t="s">
        <v>19</v>
      </c>
      <c r="G671" s="5" t="s">
        <v>121</v>
      </c>
      <c r="H671" s="5" t="s">
        <v>917</v>
      </c>
      <c r="I671" s="13">
        <v>34.847999999999999</v>
      </c>
      <c r="J671" s="19">
        <v>2</v>
      </c>
      <c r="K671" s="14">
        <v>6.5339999999999998</v>
      </c>
    </row>
    <row r="672" spans="1:11" x14ac:dyDescent="0.25">
      <c r="A672" s="2">
        <v>43611</v>
      </c>
      <c r="B672" s="18">
        <f t="shared" si="20"/>
        <v>2019</v>
      </c>
      <c r="C672" s="18">
        <f t="shared" si="21"/>
        <v>5</v>
      </c>
      <c r="D672" s="3" t="s">
        <v>918</v>
      </c>
      <c r="E672" s="3" t="s">
        <v>18</v>
      </c>
      <c r="F672" s="3" t="s">
        <v>19</v>
      </c>
      <c r="G672" s="3" t="s">
        <v>116</v>
      </c>
      <c r="H672" s="3" t="s">
        <v>919</v>
      </c>
      <c r="I672" s="11">
        <v>5.94</v>
      </c>
      <c r="J672" s="18">
        <v>3</v>
      </c>
      <c r="K672" s="12">
        <v>0</v>
      </c>
    </row>
    <row r="673" spans="1:11" x14ac:dyDescent="0.25">
      <c r="A673" s="4">
        <v>43611</v>
      </c>
      <c r="B673" s="19">
        <f t="shared" si="20"/>
        <v>2019</v>
      </c>
      <c r="C673" s="19">
        <f t="shared" si="21"/>
        <v>5</v>
      </c>
      <c r="D673" s="5" t="s">
        <v>918</v>
      </c>
      <c r="E673" s="5" t="s">
        <v>18</v>
      </c>
      <c r="F673" s="5" t="s">
        <v>19</v>
      </c>
      <c r="G673" s="5" t="s">
        <v>53</v>
      </c>
      <c r="H673" s="5" t="s">
        <v>920</v>
      </c>
      <c r="I673" s="13">
        <v>45.36</v>
      </c>
      <c r="J673" s="19">
        <v>7</v>
      </c>
      <c r="K673" s="14">
        <v>21.7728</v>
      </c>
    </row>
    <row r="674" spans="1:11" x14ac:dyDescent="0.25">
      <c r="A674" s="2">
        <v>43611</v>
      </c>
      <c r="B674" s="18">
        <f t="shared" si="20"/>
        <v>2019</v>
      </c>
      <c r="C674" s="18">
        <f t="shared" si="21"/>
        <v>5</v>
      </c>
      <c r="D674" s="3" t="s">
        <v>918</v>
      </c>
      <c r="E674" s="3" t="s">
        <v>18</v>
      </c>
      <c r="F674" s="3" t="s">
        <v>14</v>
      </c>
      <c r="G674" s="3" t="s">
        <v>15</v>
      </c>
      <c r="H674" s="3" t="s">
        <v>921</v>
      </c>
      <c r="I674" s="11">
        <v>211.16800000000001</v>
      </c>
      <c r="J674" s="18">
        <v>4</v>
      </c>
      <c r="K674" s="12">
        <v>23.756399999999999</v>
      </c>
    </row>
    <row r="675" spans="1:11" x14ac:dyDescent="0.25">
      <c r="A675" s="4">
        <v>43611</v>
      </c>
      <c r="B675" s="19">
        <f t="shared" si="20"/>
        <v>2019</v>
      </c>
      <c r="C675" s="19">
        <f t="shared" si="21"/>
        <v>5</v>
      </c>
      <c r="D675" s="5" t="s">
        <v>918</v>
      </c>
      <c r="E675" s="5" t="s">
        <v>18</v>
      </c>
      <c r="F675" s="5" t="s">
        <v>11</v>
      </c>
      <c r="G675" s="5" t="s">
        <v>112</v>
      </c>
      <c r="H675" s="5" t="s">
        <v>922</v>
      </c>
      <c r="I675" s="13">
        <v>484.70400000000001</v>
      </c>
      <c r="J675" s="19">
        <v>6</v>
      </c>
      <c r="K675" s="14">
        <v>-84.8232</v>
      </c>
    </row>
    <row r="676" spans="1:11" x14ac:dyDescent="0.25">
      <c r="A676" s="2">
        <v>43611</v>
      </c>
      <c r="B676" s="18">
        <f t="shared" si="20"/>
        <v>2019</v>
      </c>
      <c r="C676" s="18">
        <f t="shared" si="21"/>
        <v>5</v>
      </c>
      <c r="D676" s="3" t="s">
        <v>918</v>
      </c>
      <c r="E676" s="3" t="s">
        <v>18</v>
      </c>
      <c r="F676" s="3" t="s">
        <v>14</v>
      </c>
      <c r="G676" s="3" t="s">
        <v>188</v>
      </c>
      <c r="H676" s="3" t="s">
        <v>923</v>
      </c>
      <c r="I676" s="11">
        <v>371.976</v>
      </c>
      <c r="J676" s="18">
        <v>3</v>
      </c>
      <c r="K676" s="12">
        <v>116.24250000000001</v>
      </c>
    </row>
    <row r="677" spans="1:11" x14ac:dyDescent="0.25">
      <c r="A677" s="4">
        <v>43611</v>
      </c>
      <c r="B677" s="19">
        <f t="shared" si="20"/>
        <v>2019</v>
      </c>
      <c r="C677" s="19">
        <f t="shared" si="21"/>
        <v>5</v>
      </c>
      <c r="D677" s="5" t="s">
        <v>518</v>
      </c>
      <c r="E677" s="5" t="s">
        <v>44</v>
      </c>
      <c r="F677" s="5" t="s">
        <v>19</v>
      </c>
      <c r="G677" s="5" t="s">
        <v>20</v>
      </c>
      <c r="H677" s="5" t="s">
        <v>924</v>
      </c>
      <c r="I677" s="13">
        <v>184.70400000000001</v>
      </c>
      <c r="J677" s="19">
        <v>6</v>
      </c>
      <c r="K677" s="14">
        <v>13.8528</v>
      </c>
    </row>
    <row r="678" spans="1:11" x14ac:dyDescent="0.25">
      <c r="A678" s="2">
        <v>43611</v>
      </c>
      <c r="B678" s="18">
        <f t="shared" si="20"/>
        <v>2019</v>
      </c>
      <c r="C678" s="18">
        <f t="shared" si="21"/>
        <v>5</v>
      </c>
      <c r="D678" s="3" t="s">
        <v>518</v>
      </c>
      <c r="E678" s="3" t="s">
        <v>44</v>
      </c>
      <c r="F678" s="3" t="s">
        <v>14</v>
      </c>
      <c r="G678" s="3" t="s">
        <v>24</v>
      </c>
      <c r="H678" s="3" t="s">
        <v>925</v>
      </c>
      <c r="I678" s="11">
        <v>47.92</v>
      </c>
      <c r="J678" s="18">
        <v>2</v>
      </c>
      <c r="K678" s="12">
        <v>11.98</v>
      </c>
    </row>
    <row r="679" spans="1:11" x14ac:dyDescent="0.25">
      <c r="A679" s="4">
        <v>43611</v>
      </c>
      <c r="B679" s="19">
        <f t="shared" si="20"/>
        <v>2019</v>
      </c>
      <c r="C679" s="19">
        <f t="shared" si="21"/>
        <v>5</v>
      </c>
      <c r="D679" s="5" t="s">
        <v>742</v>
      </c>
      <c r="E679" s="5" t="s">
        <v>56</v>
      </c>
      <c r="F679" s="5" t="s">
        <v>11</v>
      </c>
      <c r="G679" s="5" t="s">
        <v>51</v>
      </c>
      <c r="H679" s="5" t="s">
        <v>199</v>
      </c>
      <c r="I679" s="13">
        <v>26.94</v>
      </c>
      <c r="J679" s="19">
        <v>3</v>
      </c>
      <c r="K679" s="14">
        <v>11.3148</v>
      </c>
    </row>
    <row r="680" spans="1:11" x14ac:dyDescent="0.25">
      <c r="A680" s="2">
        <v>43612</v>
      </c>
      <c r="B680" s="18">
        <f t="shared" si="20"/>
        <v>2019</v>
      </c>
      <c r="C680" s="18">
        <f t="shared" si="21"/>
        <v>5</v>
      </c>
      <c r="D680" s="3" t="s">
        <v>63</v>
      </c>
      <c r="E680" s="3" t="s">
        <v>365</v>
      </c>
      <c r="F680" s="3" t="s">
        <v>11</v>
      </c>
      <c r="G680" s="3" t="s">
        <v>112</v>
      </c>
      <c r="H680" s="3" t="s">
        <v>633</v>
      </c>
      <c r="I680" s="11">
        <v>3504.9</v>
      </c>
      <c r="J680" s="18">
        <v>5</v>
      </c>
      <c r="K680" s="12">
        <v>700.98</v>
      </c>
    </row>
    <row r="681" spans="1:11" x14ac:dyDescent="0.25">
      <c r="A681" s="4">
        <v>43612</v>
      </c>
      <c r="B681" s="19">
        <f t="shared" si="20"/>
        <v>2019</v>
      </c>
      <c r="C681" s="19">
        <f t="shared" si="21"/>
        <v>5</v>
      </c>
      <c r="D681" s="5" t="s">
        <v>63</v>
      </c>
      <c r="E681" s="5" t="s">
        <v>365</v>
      </c>
      <c r="F681" s="5" t="s">
        <v>19</v>
      </c>
      <c r="G681" s="5" t="s">
        <v>53</v>
      </c>
      <c r="H681" s="5" t="s">
        <v>926</v>
      </c>
      <c r="I681" s="13">
        <v>144.12</v>
      </c>
      <c r="J681" s="19">
        <v>3</v>
      </c>
      <c r="K681" s="14">
        <v>69.177599999999998</v>
      </c>
    </row>
    <row r="682" spans="1:11" x14ac:dyDescent="0.25">
      <c r="A682" s="2">
        <v>43612</v>
      </c>
      <c r="B682" s="18">
        <f t="shared" si="20"/>
        <v>2019</v>
      </c>
      <c r="C682" s="18">
        <f t="shared" si="21"/>
        <v>5</v>
      </c>
      <c r="D682" s="3" t="s">
        <v>63</v>
      </c>
      <c r="E682" s="3" t="s">
        <v>365</v>
      </c>
      <c r="F682" s="3" t="s">
        <v>19</v>
      </c>
      <c r="G682" s="3" t="s">
        <v>53</v>
      </c>
      <c r="H682" s="3" t="s">
        <v>927</v>
      </c>
      <c r="I682" s="11">
        <v>314.55</v>
      </c>
      <c r="J682" s="18">
        <v>3</v>
      </c>
      <c r="K682" s="12">
        <v>150.98400000000001</v>
      </c>
    </row>
    <row r="683" spans="1:11" x14ac:dyDescent="0.25">
      <c r="A683" s="4">
        <v>43612</v>
      </c>
      <c r="B683" s="19">
        <f t="shared" si="20"/>
        <v>2019</v>
      </c>
      <c r="C683" s="19">
        <f t="shared" si="21"/>
        <v>5</v>
      </c>
      <c r="D683" s="5" t="s">
        <v>928</v>
      </c>
      <c r="E683" s="5" t="s">
        <v>164</v>
      </c>
      <c r="F683" s="5" t="s">
        <v>11</v>
      </c>
      <c r="G683" s="5" t="s">
        <v>51</v>
      </c>
      <c r="H683" s="5" t="s">
        <v>929</v>
      </c>
      <c r="I683" s="13">
        <v>25.175999999999998</v>
      </c>
      <c r="J683" s="19">
        <v>3</v>
      </c>
      <c r="K683" s="14">
        <v>-33.358199999999997</v>
      </c>
    </row>
    <row r="684" spans="1:11" x14ac:dyDescent="0.25">
      <c r="A684" s="2">
        <v>43612</v>
      </c>
      <c r="B684" s="18">
        <f t="shared" si="20"/>
        <v>2019</v>
      </c>
      <c r="C684" s="18">
        <f t="shared" si="21"/>
        <v>5</v>
      </c>
      <c r="D684" s="3" t="s">
        <v>928</v>
      </c>
      <c r="E684" s="3" t="s">
        <v>164</v>
      </c>
      <c r="F684" s="3" t="s">
        <v>11</v>
      </c>
      <c r="G684" s="3" t="s">
        <v>51</v>
      </c>
      <c r="H684" s="3" t="s">
        <v>930</v>
      </c>
      <c r="I684" s="11">
        <v>5.5839999999999996</v>
      </c>
      <c r="J684" s="18">
        <v>2</v>
      </c>
      <c r="K684" s="12">
        <v>-1.6752</v>
      </c>
    </row>
    <row r="685" spans="1:11" x14ac:dyDescent="0.25">
      <c r="A685" s="4">
        <v>43612</v>
      </c>
      <c r="B685" s="19">
        <f t="shared" si="20"/>
        <v>2019</v>
      </c>
      <c r="C685" s="19">
        <f t="shared" si="21"/>
        <v>5</v>
      </c>
      <c r="D685" s="5" t="s">
        <v>928</v>
      </c>
      <c r="E685" s="5" t="s">
        <v>164</v>
      </c>
      <c r="F685" s="5" t="s">
        <v>19</v>
      </c>
      <c r="G685" s="5" t="s">
        <v>20</v>
      </c>
      <c r="H685" s="5" t="s">
        <v>281</v>
      </c>
      <c r="I685" s="13">
        <v>1297.3679999999999</v>
      </c>
      <c r="J685" s="19">
        <v>9</v>
      </c>
      <c r="K685" s="14">
        <v>97.302599999999998</v>
      </c>
    </row>
    <row r="686" spans="1:11" x14ac:dyDescent="0.25">
      <c r="A686" s="2">
        <v>43612</v>
      </c>
      <c r="B686" s="18">
        <f t="shared" si="20"/>
        <v>2019</v>
      </c>
      <c r="C686" s="18">
        <f t="shared" si="21"/>
        <v>5</v>
      </c>
      <c r="D686" s="3" t="s">
        <v>931</v>
      </c>
      <c r="E686" s="3" t="s">
        <v>18</v>
      </c>
      <c r="F686" s="3" t="s">
        <v>19</v>
      </c>
      <c r="G686" s="3" t="s">
        <v>53</v>
      </c>
      <c r="H686" s="3" t="s">
        <v>932</v>
      </c>
      <c r="I686" s="11">
        <v>13.38</v>
      </c>
      <c r="J686" s="18">
        <v>2</v>
      </c>
      <c r="K686" s="12">
        <v>6.1547999999999998</v>
      </c>
    </row>
    <row r="687" spans="1:11" x14ac:dyDescent="0.25">
      <c r="A687" s="4">
        <v>43613</v>
      </c>
      <c r="B687" s="19">
        <f t="shared" si="20"/>
        <v>2019</v>
      </c>
      <c r="C687" s="19">
        <f t="shared" si="21"/>
        <v>5</v>
      </c>
      <c r="D687" s="5" t="s">
        <v>933</v>
      </c>
      <c r="E687" s="5" t="s">
        <v>143</v>
      </c>
      <c r="F687" s="5" t="s">
        <v>19</v>
      </c>
      <c r="G687" s="5" t="s">
        <v>40</v>
      </c>
      <c r="H687" s="5" t="s">
        <v>934</v>
      </c>
      <c r="I687" s="13">
        <v>185.88</v>
      </c>
      <c r="J687" s="19">
        <v>6</v>
      </c>
      <c r="K687" s="14">
        <v>50.187600000000003</v>
      </c>
    </row>
    <row r="688" spans="1:11" x14ac:dyDescent="0.25">
      <c r="A688" s="2">
        <v>43613</v>
      </c>
      <c r="B688" s="18">
        <f t="shared" si="20"/>
        <v>2019</v>
      </c>
      <c r="C688" s="18">
        <f t="shared" si="21"/>
        <v>5</v>
      </c>
      <c r="D688" s="3" t="s">
        <v>935</v>
      </c>
      <c r="E688" s="3" t="s">
        <v>44</v>
      </c>
      <c r="F688" s="3" t="s">
        <v>11</v>
      </c>
      <c r="G688" s="3" t="s">
        <v>112</v>
      </c>
      <c r="H688" s="3" t="s">
        <v>936</v>
      </c>
      <c r="I688" s="11">
        <v>390.27199999999999</v>
      </c>
      <c r="J688" s="18">
        <v>8</v>
      </c>
      <c r="K688" s="12">
        <v>-24.391999999999999</v>
      </c>
    </row>
    <row r="689" spans="1:11" x14ac:dyDescent="0.25">
      <c r="A689" s="4">
        <v>43613</v>
      </c>
      <c r="B689" s="19">
        <f t="shared" si="20"/>
        <v>2019</v>
      </c>
      <c r="C689" s="19">
        <f t="shared" si="21"/>
        <v>5</v>
      </c>
      <c r="D689" s="5" t="s">
        <v>935</v>
      </c>
      <c r="E689" s="5" t="s">
        <v>44</v>
      </c>
      <c r="F689" s="5" t="s">
        <v>19</v>
      </c>
      <c r="G689" s="5" t="s">
        <v>53</v>
      </c>
      <c r="H689" s="5" t="s">
        <v>937</v>
      </c>
      <c r="I689" s="13">
        <v>62.192</v>
      </c>
      <c r="J689" s="19">
        <v>13</v>
      </c>
      <c r="K689" s="14">
        <v>19.434999999999999</v>
      </c>
    </row>
    <row r="690" spans="1:11" x14ac:dyDescent="0.25">
      <c r="A690" s="2">
        <v>43613</v>
      </c>
      <c r="B690" s="18">
        <f t="shared" si="20"/>
        <v>2019</v>
      </c>
      <c r="C690" s="18">
        <f t="shared" si="21"/>
        <v>5</v>
      </c>
      <c r="D690" s="3" t="s">
        <v>800</v>
      </c>
      <c r="E690" s="3" t="s">
        <v>18</v>
      </c>
      <c r="F690" s="3" t="s">
        <v>19</v>
      </c>
      <c r="G690" s="3" t="s">
        <v>121</v>
      </c>
      <c r="H690" s="3" t="s">
        <v>938</v>
      </c>
      <c r="I690" s="11">
        <v>262.24</v>
      </c>
      <c r="J690" s="18">
        <v>2</v>
      </c>
      <c r="K690" s="12">
        <v>78.671999999999997</v>
      </c>
    </row>
    <row r="691" spans="1:11" x14ac:dyDescent="0.25">
      <c r="A691" s="4">
        <v>43613</v>
      </c>
      <c r="B691" s="19">
        <f t="shared" si="20"/>
        <v>2019</v>
      </c>
      <c r="C691" s="19">
        <f t="shared" si="21"/>
        <v>5</v>
      </c>
      <c r="D691" s="5" t="s">
        <v>800</v>
      </c>
      <c r="E691" s="5" t="s">
        <v>18</v>
      </c>
      <c r="F691" s="5" t="s">
        <v>19</v>
      </c>
      <c r="G691" s="5" t="s">
        <v>53</v>
      </c>
      <c r="H691" s="5" t="s">
        <v>939</v>
      </c>
      <c r="I691" s="13">
        <v>182.72</v>
      </c>
      <c r="J691" s="19">
        <v>8</v>
      </c>
      <c r="K691" s="14">
        <v>84.051199999999994</v>
      </c>
    </row>
    <row r="692" spans="1:11" x14ac:dyDescent="0.25">
      <c r="A692" s="2">
        <v>43613</v>
      </c>
      <c r="B692" s="18">
        <f t="shared" si="20"/>
        <v>2019</v>
      </c>
      <c r="C692" s="18">
        <f t="shared" si="21"/>
        <v>5</v>
      </c>
      <c r="D692" s="3" t="s">
        <v>800</v>
      </c>
      <c r="E692" s="3" t="s">
        <v>18</v>
      </c>
      <c r="F692" s="3" t="s">
        <v>14</v>
      </c>
      <c r="G692" s="3" t="s">
        <v>24</v>
      </c>
      <c r="H692" s="3" t="s">
        <v>25</v>
      </c>
      <c r="I692" s="11">
        <v>131.6</v>
      </c>
      <c r="J692" s="18">
        <v>7</v>
      </c>
      <c r="K692" s="12">
        <v>7.8959999999999999</v>
      </c>
    </row>
    <row r="693" spans="1:11" x14ac:dyDescent="0.25">
      <c r="A693" s="4">
        <v>43613</v>
      </c>
      <c r="B693" s="19">
        <f t="shared" si="20"/>
        <v>2019</v>
      </c>
      <c r="C693" s="19">
        <f t="shared" si="21"/>
        <v>5</v>
      </c>
      <c r="D693" s="5" t="s">
        <v>800</v>
      </c>
      <c r="E693" s="5" t="s">
        <v>18</v>
      </c>
      <c r="F693" s="5" t="s">
        <v>19</v>
      </c>
      <c r="G693" s="5" t="s">
        <v>32</v>
      </c>
      <c r="H693" s="5" t="s">
        <v>501</v>
      </c>
      <c r="I693" s="13">
        <v>22.72</v>
      </c>
      <c r="J693" s="19">
        <v>4</v>
      </c>
      <c r="K693" s="14">
        <v>7.3840000000000003</v>
      </c>
    </row>
    <row r="694" spans="1:11" x14ac:dyDescent="0.25">
      <c r="A694" s="2">
        <v>43613</v>
      </c>
      <c r="B694" s="18">
        <f t="shared" si="20"/>
        <v>2019</v>
      </c>
      <c r="C694" s="18">
        <f t="shared" si="21"/>
        <v>5</v>
      </c>
      <c r="D694" s="3" t="s">
        <v>800</v>
      </c>
      <c r="E694" s="3" t="s">
        <v>18</v>
      </c>
      <c r="F694" s="3" t="s">
        <v>14</v>
      </c>
      <c r="G694" s="3" t="s">
        <v>188</v>
      </c>
      <c r="H694" s="3" t="s">
        <v>940</v>
      </c>
      <c r="I694" s="11">
        <v>558.4</v>
      </c>
      <c r="J694" s="18">
        <v>2</v>
      </c>
      <c r="K694" s="12">
        <v>41.88</v>
      </c>
    </row>
    <row r="695" spans="1:11" x14ac:dyDescent="0.25">
      <c r="A695" s="4">
        <v>43613</v>
      </c>
      <c r="B695" s="19">
        <f t="shared" si="20"/>
        <v>2019</v>
      </c>
      <c r="C695" s="19">
        <f t="shared" si="21"/>
        <v>5</v>
      </c>
      <c r="D695" s="5" t="s">
        <v>414</v>
      </c>
      <c r="E695" s="5" t="s">
        <v>94</v>
      </c>
      <c r="F695" s="5" t="s">
        <v>19</v>
      </c>
      <c r="G695" s="5" t="s">
        <v>265</v>
      </c>
      <c r="H695" s="5" t="s">
        <v>683</v>
      </c>
      <c r="I695" s="13">
        <v>54.9</v>
      </c>
      <c r="J695" s="19">
        <v>5</v>
      </c>
      <c r="K695" s="14">
        <v>15.372</v>
      </c>
    </row>
    <row r="696" spans="1:11" x14ac:dyDescent="0.25">
      <c r="A696" s="2">
        <v>43613</v>
      </c>
      <c r="B696" s="18">
        <f t="shared" si="20"/>
        <v>2019</v>
      </c>
      <c r="C696" s="18">
        <f t="shared" si="21"/>
        <v>5</v>
      </c>
      <c r="D696" s="3" t="s">
        <v>691</v>
      </c>
      <c r="E696" s="3" t="s">
        <v>164</v>
      </c>
      <c r="F696" s="3" t="s">
        <v>14</v>
      </c>
      <c r="G696" s="3" t="s">
        <v>15</v>
      </c>
      <c r="H696" s="3" t="s">
        <v>941</v>
      </c>
      <c r="I696" s="11">
        <v>286.39999999999998</v>
      </c>
      <c r="J696" s="18">
        <v>1</v>
      </c>
      <c r="K696" s="12">
        <v>25.06</v>
      </c>
    </row>
    <row r="697" spans="1:11" x14ac:dyDescent="0.25">
      <c r="A697" s="4">
        <v>43614</v>
      </c>
      <c r="B697" s="19">
        <f t="shared" si="20"/>
        <v>2019</v>
      </c>
      <c r="C697" s="19">
        <f t="shared" si="21"/>
        <v>5</v>
      </c>
      <c r="D697" s="5" t="s">
        <v>942</v>
      </c>
      <c r="E697" s="5" t="s">
        <v>898</v>
      </c>
      <c r="F697" s="5" t="s">
        <v>14</v>
      </c>
      <c r="G697" s="5" t="s">
        <v>15</v>
      </c>
      <c r="H697" s="5" t="s">
        <v>943</v>
      </c>
      <c r="I697" s="13">
        <v>979.95</v>
      </c>
      <c r="J697" s="19">
        <v>5</v>
      </c>
      <c r="K697" s="14">
        <v>274.38600000000002</v>
      </c>
    </row>
    <row r="698" spans="1:11" x14ac:dyDescent="0.25">
      <c r="A698" s="2">
        <v>43614</v>
      </c>
      <c r="B698" s="18">
        <f t="shared" si="20"/>
        <v>2019</v>
      </c>
      <c r="C698" s="18">
        <f t="shared" si="21"/>
        <v>5</v>
      </c>
      <c r="D698" s="3" t="s">
        <v>942</v>
      </c>
      <c r="E698" s="3" t="s">
        <v>898</v>
      </c>
      <c r="F698" s="3" t="s">
        <v>19</v>
      </c>
      <c r="G698" s="3" t="s">
        <v>32</v>
      </c>
      <c r="H698" s="3" t="s">
        <v>190</v>
      </c>
      <c r="I698" s="11">
        <v>22.75</v>
      </c>
      <c r="J698" s="18">
        <v>5</v>
      </c>
      <c r="K698" s="12">
        <v>11.375</v>
      </c>
    </row>
    <row r="699" spans="1:11" x14ac:dyDescent="0.25">
      <c r="A699" s="4">
        <v>43614</v>
      </c>
      <c r="B699" s="19">
        <f t="shared" si="20"/>
        <v>2019</v>
      </c>
      <c r="C699" s="19">
        <f t="shared" si="21"/>
        <v>5</v>
      </c>
      <c r="D699" s="5" t="s">
        <v>525</v>
      </c>
      <c r="E699" s="5" t="s">
        <v>219</v>
      </c>
      <c r="F699" s="5" t="s">
        <v>19</v>
      </c>
      <c r="G699" s="5" t="s">
        <v>32</v>
      </c>
      <c r="H699" s="5" t="s">
        <v>627</v>
      </c>
      <c r="I699" s="13">
        <v>11.276999999999999</v>
      </c>
      <c r="J699" s="19">
        <v>3</v>
      </c>
      <c r="K699" s="14">
        <v>-8.6456999999999997</v>
      </c>
    </row>
    <row r="700" spans="1:11" x14ac:dyDescent="0.25">
      <c r="A700" s="2">
        <v>43614</v>
      </c>
      <c r="B700" s="18">
        <f t="shared" si="20"/>
        <v>2019</v>
      </c>
      <c r="C700" s="18">
        <f t="shared" si="21"/>
        <v>5</v>
      </c>
      <c r="D700" s="3" t="s">
        <v>525</v>
      </c>
      <c r="E700" s="3" t="s">
        <v>219</v>
      </c>
      <c r="F700" s="3" t="s">
        <v>19</v>
      </c>
      <c r="G700" s="3" t="s">
        <v>40</v>
      </c>
      <c r="H700" s="3" t="s">
        <v>944</v>
      </c>
      <c r="I700" s="11">
        <v>4.4480000000000004</v>
      </c>
      <c r="J700" s="18">
        <v>2</v>
      </c>
      <c r="K700" s="12">
        <v>0.33360000000000001</v>
      </c>
    </row>
    <row r="701" spans="1:11" x14ac:dyDescent="0.25">
      <c r="A701" s="4">
        <v>43614</v>
      </c>
      <c r="B701" s="19">
        <f t="shared" si="20"/>
        <v>2019</v>
      </c>
      <c r="C701" s="19">
        <f t="shared" si="21"/>
        <v>5</v>
      </c>
      <c r="D701" s="5" t="s">
        <v>525</v>
      </c>
      <c r="E701" s="5" t="s">
        <v>219</v>
      </c>
      <c r="F701" s="5" t="s">
        <v>11</v>
      </c>
      <c r="G701" s="5" t="s">
        <v>51</v>
      </c>
      <c r="H701" s="5" t="s">
        <v>945</v>
      </c>
      <c r="I701" s="13">
        <v>44.76</v>
      </c>
      <c r="J701" s="19">
        <v>3</v>
      </c>
      <c r="K701" s="14">
        <v>14.547000000000001</v>
      </c>
    </row>
    <row r="702" spans="1:11" x14ac:dyDescent="0.25">
      <c r="A702" s="2">
        <v>43615</v>
      </c>
      <c r="B702" s="18">
        <f t="shared" si="20"/>
        <v>2019</v>
      </c>
      <c r="C702" s="18">
        <f t="shared" si="21"/>
        <v>5</v>
      </c>
      <c r="D702" s="3" t="s">
        <v>946</v>
      </c>
      <c r="E702" s="3" t="s">
        <v>306</v>
      </c>
      <c r="F702" s="3" t="s">
        <v>19</v>
      </c>
      <c r="G702" s="3" t="s">
        <v>32</v>
      </c>
      <c r="H702" s="3" t="s">
        <v>754</v>
      </c>
      <c r="I702" s="11">
        <v>22.62</v>
      </c>
      <c r="J702" s="18">
        <v>2</v>
      </c>
      <c r="K702" s="12">
        <v>-15.08</v>
      </c>
    </row>
    <row r="703" spans="1:11" x14ac:dyDescent="0.25">
      <c r="A703" s="4">
        <v>43615</v>
      </c>
      <c r="B703" s="19">
        <f t="shared" si="20"/>
        <v>2019</v>
      </c>
      <c r="C703" s="19">
        <f t="shared" si="21"/>
        <v>5</v>
      </c>
      <c r="D703" s="5" t="s">
        <v>946</v>
      </c>
      <c r="E703" s="5" t="s">
        <v>306</v>
      </c>
      <c r="F703" s="5" t="s">
        <v>19</v>
      </c>
      <c r="G703" s="5" t="s">
        <v>32</v>
      </c>
      <c r="H703" s="5" t="s">
        <v>947</v>
      </c>
      <c r="I703" s="13">
        <v>14.952</v>
      </c>
      <c r="J703" s="19">
        <v>2</v>
      </c>
      <c r="K703" s="14">
        <v>-11.961600000000001</v>
      </c>
    </row>
    <row r="704" spans="1:11" x14ac:dyDescent="0.25">
      <c r="A704" s="2">
        <v>43615</v>
      </c>
      <c r="B704" s="18">
        <f t="shared" si="20"/>
        <v>2019</v>
      </c>
      <c r="C704" s="18">
        <f t="shared" si="21"/>
        <v>5</v>
      </c>
      <c r="D704" s="3" t="s">
        <v>946</v>
      </c>
      <c r="E704" s="3" t="s">
        <v>306</v>
      </c>
      <c r="F704" s="3" t="s">
        <v>11</v>
      </c>
      <c r="G704" s="3" t="s">
        <v>112</v>
      </c>
      <c r="H704" s="3" t="s">
        <v>948</v>
      </c>
      <c r="I704" s="11">
        <v>801.56799999999998</v>
      </c>
      <c r="J704" s="18">
        <v>2</v>
      </c>
      <c r="K704" s="12">
        <v>50.097999999999999</v>
      </c>
    </row>
    <row r="705" spans="1:11" x14ac:dyDescent="0.25">
      <c r="A705" s="4">
        <v>43615</v>
      </c>
      <c r="B705" s="19">
        <f t="shared" si="20"/>
        <v>2019</v>
      </c>
      <c r="C705" s="19">
        <f t="shared" si="21"/>
        <v>5</v>
      </c>
      <c r="D705" s="5" t="s">
        <v>946</v>
      </c>
      <c r="E705" s="5" t="s">
        <v>306</v>
      </c>
      <c r="F705" s="5" t="s">
        <v>19</v>
      </c>
      <c r="G705" s="5" t="s">
        <v>32</v>
      </c>
      <c r="H705" s="5" t="s">
        <v>595</v>
      </c>
      <c r="I705" s="13">
        <v>2.3759999999999999</v>
      </c>
      <c r="J705" s="19">
        <v>3</v>
      </c>
      <c r="K705" s="14">
        <v>-1.9008</v>
      </c>
    </row>
    <row r="706" spans="1:11" x14ac:dyDescent="0.25">
      <c r="A706" s="2">
        <v>43615</v>
      </c>
      <c r="B706" s="18">
        <f t="shared" ref="B706:B769" si="22">YEAR(A706)</f>
        <v>2019</v>
      </c>
      <c r="C706" s="18">
        <f t="shared" ref="C706:C769" si="23">MONTH(A706)</f>
        <v>5</v>
      </c>
      <c r="D706" s="3" t="s">
        <v>946</v>
      </c>
      <c r="E706" s="3" t="s">
        <v>306</v>
      </c>
      <c r="F706" s="3" t="s">
        <v>19</v>
      </c>
      <c r="G706" s="3" t="s">
        <v>53</v>
      </c>
      <c r="H706" s="3" t="s">
        <v>212</v>
      </c>
      <c r="I706" s="11">
        <v>32.792000000000002</v>
      </c>
      <c r="J706" s="18">
        <v>1</v>
      </c>
      <c r="K706" s="12">
        <v>11.8871</v>
      </c>
    </row>
    <row r="707" spans="1:11" x14ac:dyDescent="0.25">
      <c r="A707" s="4">
        <v>43615</v>
      </c>
      <c r="B707" s="19">
        <f t="shared" si="22"/>
        <v>2019</v>
      </c>
      <c r="C707" s="19">
        <f t="shared" si="23"/>
        <v>5</v>
      </c>
      <c r="D707" s="5" t="s">
        <v>949</v>
      </c>
      <c r="E707" s="5" t="s">
        <v>35</v>
      </c>
      <c r="F707" s="5" t="s">
        <v>19</v>
      </c>
      <c r="G707" s="5" t="s">
        <v>32</v>
      </c>
      <c r="H707" s="5" t="s">
        <v>950</v>
      </c>
      <c r="I707" s="13">
        <v>3.282</v>
      </c>
      <c r="J707" s="19">
        <v>2</v>
      </c>
      <c r="K707" s="14">
        <v>-2.6255999999999999</v>
      </c>
    </row>
    <row r="708" spans="1:11" x14ac:dyDescent="0.25">
      <c r="A708" s="2">
        <v>43615</v>
      </c>
      <c r="B708" s="18">
        <f t="shared" si="22"/>
        <v>2019</v>
      </c>
      <c r="C708" s="18">
        <f t="shared" si="23"/>
        <v>5</v>
      </c>
      <c r="D708" s="3" t="s">
        <v>951</v>
      </c>
      <c r="E708" s="3" t="s">
        <v>67</v>
      </c>
      <c r="F708" s="3" t="s">
        <v>14</v>
      </c>
      <c r="G708" s="3" t="s">
        <v>36</v>
      </c>
      <c r="H708" s="3" t="s">
        <v>952</v>
      </c>
      <c r="I708" s="11">
        <v>839.98800000000006</v>
      </c>
      <c r="J708" s="18">
        <v>2</v>
      </c>
      <c r="K708" s="12">
        <v>69.998999999999995</v>
      </c>
    </row>
    <row r="709" spans="1:11" x14ac:dyDescent="0.25">
      <c r="A709" s="4">
        <v>43615</v>
      </c>
      <c r="B709" s="19">
        <f t="shared" si="22"/>
        <v>2019</v>
      </c>
      <c r="C709" s="19">
        <f t="shared" si="23"/>
        <v>5</v>
      </c>
      <c r="D709" s="5" t="s">
        <v>874</v>
      </c>
      <c r="E709" s="5" t="s">
        <v>181</v>
      </c>
      <c r="F709" s="5" t="s">
        <v>11</v>
      </c>
      <c r="G709" s="5" t="s">
        <v>30</v>
      </c>
      <c r="H709" s="5" t="s">
        <v>953</v>
      </c>
      <c r="I709" s="13">
        <v>2275.5</v>
      </c>
      <c r="J709" s="19">
        <v>10</v>
      </c>
      <c r="K709" s="14">
        <v>386.83499999999998</v>
      </c>
    </row>
    <row r="710" spans="1:11" x14ac:dyDescent="0.25">
      <c r="A710" s="2">
        <v>43615</v>
      </c>
      <c r="B710" s="18">
        <f t="shared" si="22"/>
        <v>2019</v>
      </c>
      <c r="C710" s="18">
        <f t="shared" si="23"/>
        <v>5</v>
      </c>
      <c r="D710" s="3" t="s">
        <v>874</v>
      </c>
      <c r="E710" s="3" t="s">
        <v>181</v>
      </c>
      <c r="F710" s="3" t="s">
        <v>14</v>
      </c>
      <c r="G710" s="3" t="s">
        <v>24</v>
      </c>
      <c r="H710" s="3" t="s">
        <v>954</v>
      </c>
      <c r="I710" s="11">
        <v>1979.7</v>
      </c>
      <c r="J710" s="18">
        <v>6</v>
      </c>
      <c r="K710" s="12">
        <v>653.30100000000004</v>
      </c>
    </row>
    <row r="711" spans="1:11" x14ac:dyDescent="0.25">
      <c r="A711" s="4">
        <v>43615</v>
      </c>
      <c r="B711" s="19">
        <f t="shared" si="22"/>
        <v>2019</v>
      </c>
      <c r="C711" s="19">
        <f t="shared" si="23"/>
        <v>5</v>
      </c>
      <c r="D711" s="5" t="s">
        <v>874</v>
      </c>
      <c r="E711" s="5" t="s">
        <v>181</v>
      </c>
      <c r="F711" s="5" t="s">
        <v>19</v>
      </c>
      <c r="G711" s="5" t="s">
        <v>127</v>
      </c>
      <c r="H711" s="5" t="s">
        <v>534</v>
      </c>
      <c r="I711" s="13">
        <v>62.1</v>
      </c>
      <c r="J711" s="19">
        <v>6</v>
      </c>
      <c r="K711" s="14">
        <v>29.808</v>
      </c>
    </row>
    <row r="712" spans="1:11" x14ac:dyDescent="0.25">
      <c r="A712" s="2">
        <v>43615</v>
      </c>
      <c r="B712" s="18">
        <f t="shared" si="22"/>
        <v>2019</v>
      </c>
      <c r="C712" s="18">
        <f t="shared" si="23"/>
        <v>5</v>
      </c>
      <c r="D712" s="3" t="s">
        <v>955</v>
      </c>
      <c r="E712" s="3" t="s">
        <v>67</v>
      </c>
      <c r="F712" s="3" t="s">
        <v>19</v>
      </c>
      <c r="G712" s="3" t="s">
        <v>121</v>
      </c>
      <c r="H712" s="3" t="s">
        <v>398</v>
      </c>
      <c r="I712" s="11">
        <v>123.92</v>
      </c>
      <c r="J712" s="18">
        <v>5</v>
      </c>
      <c r="K712" s="12">
        <v>9.2940000000000005</v>
      </c>
    </row>
    <row r="713" spans="1:11" x14ac:dyDescent="0.25">
      <c r="A713" s="4">
        <v>43615</v>
      </c>
      <c r="B713" s="19">
        <f t="shared" si="22"/>
        <v>2019</v>
      </c>
      <c r="C713" s="19">
        <f t="shared" si="23"/>
        <v>5</v>
      </c>
      <c r="D713" s="5" t="s">
        <v>956</v>
      </c>
      <c r="E713" s="5" t="s">
        <v>18</v>
      </c>
      <c r="F713" s="5" t="s">
        <v>19</v>
      </c>
      <c r="G713" s="5" t="s">
        <v>53</v>
      </c>
      <c r="H713" s="5" t="s">
        <v>957</v>
      </c>
      <c r="I713" s="13">
        <v>38.880000000000003</v>
      </c>
      <c r="J713" s="19">
        <v>6</v>
      </c>
      <c r="K713" s="14">
        <v>18.662400000000002</v>
      </c>
    </row>
    <row r="714" spans="1:11" x14ac:dyDescent="0.25">
      <c r="A714" s="2">
        <v>43615</v>
      </c>
      <c r="B714" s="18">
        <f t="shared" si="22"/>
        <v>2019</v>
      </c>
      <c r="C714" s="18">
        <f t="shared" si="23"/>
        <v>5</v>
      </c>
      <c r="D714" s="3" t="s">
        <v>958</v>
      </c>
      <c r="E714" s="3" t="s">
        <v>56</v>
      </c>
      <c r="F714" s="3" t="s">
        <v>19</v>
      </c>
      <c r="G714" s="3" t="s">
        <v>121</v>
      </c>
      <c r="H714" s="3" t="s">
        <v>959</v>
      </c>
      <c r="I714" s="11">
        <v>364.74</v>
      </c>
      <c r="J714" s="18">
        <v>3</v>
      </c>
      <c r="K714" s="12">
        <v>109.422</v>
      </c>
    </row>
    <row r="715" spans="1:11" x14ac:dyDescent="0.25">
      <c r="A715" s="4">
        <v>43615</v>
      </c>
      <c r="B715" s="19">
        <f t="shared" si="22"/>
        <v>2019</v>
      </c>
      <c r="C715" s="19">
        <f t="shared" si="23"/>
        <v>5</v>
      </c>
      <c r="D715" s="5" t="s">
        <v>958</v>
      </c>
      <c r="E715" s="5" t="s">
        <v>56</v>
      </c>
      <c r="F715" s="5" t="s">
        <v>11</v>
      </c>
      <c r="G715" s="5" t="s">
        <v>51</v>
      </c>
      <c r="H715" s="5" t="s">
        <v>392</v>
      </c>
      <c r="I715" s="13">
        <v>47.4</v>
      </c>
      <c r="J715" s="19">
        <v>5</v>
      </c>
      <c r="K715" s="14">
        <v>21.33</v>
      </c>
    </row>
    <row r="716" spans="1:11" x14ac:dyDescent="0.25">
      <c r="A716" s="2">
        <v>43615</v>
      </c>
      <c r="B716" s="18">
        <f t="shared" si="22"/>
        <v>2019</v>
      </c>
      <c r="C716" s="18">
        <f t="shared" si="23"/>
        <v>5</v>
      </c>
      <c r="D716" s="3" t="s">
        <v>958</v>
      </c>
      <c r="E716" s="3" t="s">
        <v>56</v>
      </c>
      <c r="F716" s="3" t="s">
        <v>19</v>
      </c>
      <c r="G716" s="3" t="s">
        <v>20</v>
      </c>
      <c r="H716" s="3" t="s">
        <v>960</v>
      </c>
      <c r="I716" s="11">
        <v>49.76</v>
      </c>
      <c r="J716" s="18">
        <v>4</v>
      </c>
      <c r="K716" s="12">
        <v>13.9328</v>
      </c>
    </row>
    <row r="717" spans="1:11" x14ac:dyDescent="0.25">
      <c r="A717" s="4">
        <v>43615</v>
      </c>
      <c r="B717" s="19">
        <f t="shared" si="22"/>
        <v>2019</v>
      </c>
      <c r="C717" s="19">
        <f t="shared" si="23"/>
        <v>5</v>
      </c>
      <c r="D717" s="5" t="s">
        <v>958</v>
      </c>
      <c r="E717" s="5" t="s">
        <v>56</v>
      </c>
      <c r="F717" s="5" t="s">
        <v>19</v>
      </c>
      <c r="G717" s="5" t="s">
        <v>40</v>
      </c>
      <c r="H717" s="5" t="s">
        <v>944</v>
      </c>
      <c r="I717" s="13">
        <v>5.56</v>
      </c>
      <c r="J717" s="19">
        <v>2</v>
      </c>
      <c r="K717" s="14">
        <v>1.4456</v>
      </c>
    </row>
    <row r="718" spans="1:11" x14ac:dyDescent="0.25">
      <c r="A718" s="2">
        <v>43615</v>
      </c>
      <c r="B718" s="18">
        <f t="shared" si="22"/>
        <v>2019</v>
      </c>
      <c r="C718" s="18">
        <f t="shared" si="23"/>
        <v>5</v>
      </c>
      <c r="D718" s="3" t="s">
        <v>958</v>
      </c>
      <c r="E718" s="3" t="s">
        <v>56</v>
      </c>
      <c r="F718" s="3" t="s">
        <v>19</v>
      </c>
      <c r="G718" s="3" t="s">
        <v>53</v>
      </c>
      <c r="H718" s="3" t="s">
        <v>927</v>
      </c>
      <c r="I718" s="11">
        <v>629.1</v>
      </c>
      <c r="J718" s="18">
        <v>6</v>
      </c>
      <c r="K718" s="12">
        <v>301.96800000000002</v>
      </c>
    </row>
    <row r="719" spans="1:11" x14ac:dyDescent="0.25">
      <c r="A719" s="4">
        <v>43615</v>
      </c>
      <c r="B719" s="19">
        <f t="shared" si="22"/>
        <v>2019</v>
      </c>
      <c r="C719" s="19">
        <f t="shared" si="23"/>
        <v>5</v>
      </c>
      <c r="D719" s="5" t="s">
        <v>958</v>
      </c>
      <c r="E719" s="5" t="s">
        <v>56</v>
      </c>
      <c r="F719" s="5" t="s">
        <v>19</v>
      </c>
      <c r="G719" s="5" t="s">
        <v>40</v>
      </c>
      <c r="H719" s="5" t="s">
        <v>961</v>
      </c>
      <c r="I719" s="13">
        <v>14.7</v>
      </c>
      <c r="J719" s="19">
        <v>5</v>
      </c>
      <c r="K719" s="14">
        <v>3.9689999999999999</v>
      </c>
    </row>
    <row r="720" spans="1:11" x14ac:dyDescent="0.25">
      <c r="A720" s="2">
        <v>43615</v>
      </c>
      <c r="B720" s="18">
        <f t="shared" si="22"/>
        <v>2019</v>
      </c>
      <c r="C720" s="18">
        <f t="shared" si="23"/>
        <v>5</v>
      </c>
      <c r="D720" s="3" t="s">
        <v>958</v>
      </c>
      <c r="E720" s="3" t="s">
        <v>56</v>
      </c>
      <c r="F720" s="3" t="s">
        <v>19</v>
      </c>
      <c r="G720" s="3" t="s">
        <v>53</v>
      </c>
      <c r="H720" s="3" t="s">
        <v>962</v>
      </c>
      <c r="I720" s="11">
        <v>45.36</v>
      </c>
      <c r="J720" s="18">
        <v>7</v>
      </c>
      <c r="K720" s="12">
        <v>21.7728</v>
      </c>
    </row>
    <row r="721" spans="1:11" x14ac:dyDescent="0.25">
      <c r="A721" s="4">
        <v>43615</v>
      </c>
      <c r="B721" s="19">
        <f t="shared" si="22"/>
        <v>2019</v>
      </c>
      <c r="C721" s="19">
        <f t="shared" si="23"/>
        <v>5</v>
      </c>
      <c r="D721" s="5" t="s">
        <v>958</v>
      </c>
      <c r="E721" s="5" t="s">
        <v>56</v>
      </c>
      <c r="F721" s="5" t="s">
        <v>14</v>
      </c>
      <c r="G721" s="5" t="s">
        <v>15</v>
      </c>
      <c r="H721" s="5" t="s">
        <v>963</v>
      </c>
      <c r="I721" s="13">
        <v>125.99</v>
      </c>
      <c r="J721" s="19">
        <v>1</v>
      </c>
      <c r="K721" s="14">
        <v>35.277200000000001</v>
      </c>
    </row>
    <row r="722" spans="1:11" x14ac:dyDescent="0.25">
      <c r="A722" s="2">
        <v>43615</v>
      </c>
      <c r="B722" s="18">
        <f t="shared" si="22"/>
        <v>2019</v>
      </c>
      <c r="C722" s="18">
        <f t="shared" si="23"/>
        <v>5</v>
      </c>
      <c r="D722" s="3" t="s">
        <v>313</v>
      </c>
      <c r="E722" s="3" t="s">
        <v>18</v>
      </c>
      <c r="F722" s="3" t="s">
        <v>11</v>
      </c>
      <c r="G722" s="3" t="s">
        <v>51</v>
      </c>
      <c r="H722" s="3" t="s">
        <v>929</v>
      </c>
      <c r="I722" s="11">
        <v>167.84</v>
      </c>
      <c r="J722" s="18">
        <v>8</v>
      </c>
      <c r="K722" s="12">
        <v>11.748799999999999</v>
      </c>
    </row>
    <row r="723" spans="1:11" x14ac:dyDescent="0.25">
      <c r="A723" s="4">
        <v>43615</v>
      </c>
      <c r="B723" s="19">
        <f t="shared" si="22"/>
        <v>2019</v>
      </c>
      <c r="C723" s="19">
        <f t="shared" si="23"/>
        <v>5</v>
      </c>
      <c r="D723" s="5" t="s">
        <v>592</v>
      </c>
      <c r="E723" s="5" t="s">
        <v>181</v>
      </c>
      <c r="F723" s="5" t="s">
        <v>19</v>
      </c>
      <c r="G723" s="5" t="s">
        <v>86</v>
      </c>
      <c r="H723" s="5" t="s">
        <v>964</v>
      </c>
      <c r="I723" s="13">
        <v>26.55</v>
      </c>
      <c r="J723" s="19">
        <v>9</v>
      </c>
      <c r="K723" s="14">
        <v>12.744</v>
      </c>
    </row>
    <row r="724" spans="1:11" x14ac:dyDescent="0.25">
      <c r="A724" s="2">
        <v>43615</v>
      </c>
      <c r="B724" s="18">
        <f t="shared" si="22"/>
        <v>2019</v>
      </c>
      <c r="C724" s="18">
        <f t="shared" si="23"/>
        <v>5</v>
      </c>
      <c r="D724" s="3" t="s">
        <v>592</v>
      </c>
      <c r="E724" s="3" t="s">
        <v>181</v>
      </c>
      <c r="F724" s="3" t="s">
        <v>14</v>
      </c>
      <c r="G724" s="3" t="s">
        <v>24</v>
      </c>
      <c r="H724" s="3" t="s">
        <v>965</v>
      </c>
      <c r="I724" s="11">
        <v>111.98</v>
      </c>
      <c r="J724" s="18">
        <v>2</v>
      </c>
      <c r="K724" s="12">
        <v>26.8752</v>
      </c>
    </row>
    <row r="725" spans="1:11" x14ac:dyDescent="0.25">
      <c r="A725" s="4">
        <v>43615</v>
      </c>
      <c r="B725" s="19">
        <f t="shared" si="22"/>
        <v>2019</v>
      </c>
      <c r="C725" s="19">
        <f t="shared" si="23"/>
        <v>5</v>
      </c>
      <c r="D725" s="5" t="s">
        <v>966</v>
      </c>
      <c r="E725" s="5" t="s">
        <v>23</v>
      </c>
      <c r="F725" s="5" t="s">
        <v>14</v>
      </c>
      <c r="G725" s="5" t="s">
        <v>15</v>
      </c>
      <c r="H725" s="5" t="s">
        <v>967</v>
      </c>
      <c r="I725" s="13">
        <v>79.959999999999994</v>
      </c>
      <c r="J725" s="19">
        <v>5</v>
      </c>
      <c r="K725" s="14">
        <v>7.9960000000000004</v>
      </c>
    </row>
    <row r="726" spans="1:11" x14ac:dyDescent="0.25">
      <c r="A726" s="2">
        <v>43615</v>
      </c>
      <c r="B726" s="18">
        <f t="shared" si="22"/>
        <v>2019</v>
      </c>
      <c r="C726" s="18">
        <f t="shared" si="23"/>
        <v>5</v>
      </c>
      <c r="D726" s="3" t="s">
        <v>966</v>
      </c>
      <c r="E726" s="3" t="s">
        <v>23</v>
      </c>
      <c r="F726" s="3" t="s">
        <v>14</v>
      </c>
      <c r="G726" s="3" t="s">
        <v>24</v>
      </c>
      <c r="H726" s="3" t="s">
        <v>965</v>
      </c>
      <c r="I726" s="11">
        <v>223.96</v>
      </c>
      <c r="J726" s="18">
        <v>5</v>
      </c>
      <c r="K726" s="12">
        <v>11.198</v>
      </c>
    </row>
    <row r="727" spans="1:11" x14ac:dyDescent="0.25">
      <c r="A727" s="4">
        <v>43616</v>
      </c>
      <c r="B727" s="19">
        <f t="shared" si="22"/>
        <v>2019</v>
      </c>
      <c r="C727" s="19">
        <f t="shared" si="23"/>
        <v>5</v>
      </c>
      <c r="D727" s="5" t="s">
        <v>612</v>
      </c>
      <c r="E727" s="5" t="s">
        <v>164</v>
      </c>
      <c r="F727" s="5" t="s">
        <v>11</v>
      </c>
      <c r="G727" s="5" t="s">
        <v>51</v>
      </c>
      <c r="H727" s="5" t="s">
        <v>968</v>
      </c>
      <c r="I727" s="13">
        <v>32.064</v>
      </c>
      <c r="J727" s="19">
        <v>3</v>
      </c>
      <c r="K727" s="14">
        <v>-12.8256</v>
      </c>
    </row>
    <row r="728" spans="1:11" x14ac:dyDescent="0.25">
      <c r="A728" s="2">
        <v>43616</v>
      </c>
      <c r="B728" s="18">
        <f t="shared" si="22"/>
        <v>2019</v>
      </c>
      <c r="C728" s="18">
        <f t="shared" si="23"/>
        <v>5</v>
      </c>
      <c r="D728" s="3" t="s">
        <v>612</v>
      </c>
      <c r="E728" s="3" t="s">
        <v>164</v>
      </c>
      <c r="F728" s="3" t="s">
        <v>19</v>
      </c>
      <c r="G728" s="3" t="s">
        <v>53</v>
      </c>
      <c r="H728" s="3" t="s">
        <v>969</v>
      </c>
      <c r="I728" s="11">
        <v>18.495999999999999</v>
      </c>
      <c r="J728" s="18">
        <v>4</v>
      </c>
      <c r="K728" s="12">
        <v>6.7047999999999996</v>
      </c>
    </row>
    <row r="729" spans="1:11" x14ac:dyDescent="0.25">
      <c r="A729" s="4">
        <v>43616</v>
      </c>
      <c r="B729" s="19">
        <f t="shared" si="22"/>
        <v>2019</v>
      </c>
      <c r="C729" s="19">
        <f t="shared" si="23"/>
        <v>5</v>
      </c>
      <c r="D729" s="5" t="s">
        <v>612</v>
      </c>
      <c r="E729" s="5" t="s">
        <v>164</v>
      </c>
      <c r="F729" s="5" t="s">
        <v>11</v>
      </c>
      <c r="G729" s="5" t="s">
        <v>112</v>
      </c>
      <c r="H729" s="5" t="s">
        <v>970</v>
      </c>
      <c r="I729" s="13">
        <v>191.07900000000001</v>
      </c>
      <c r="J729" s="19">
        <v>3</v>
      </c>
      <c r="K729" s="14">
        <v>-38.215800000000002</v>
      </c>
    </row>
    <row r="730" spans="1:11" x14ac:dyDescent="0.25">
      <c r="A730" s="2">
        <v>43616</v>
      </c>
      <c r="B730" s="18">
        <f t="shared" si="22"/>
        <v>2019</v>
      </c>
      <c r="C730" s="18">
        <f t="shared" si="23"/>
        <v>5</v>
      </c>
      <c r="D730" s="3" t="s">
        <v>612</v>
      </c>
      <c r="E730" s="3" t="s">
        <v>164</v>
      </c>
      <c r="F730" s="3" t="s">
        <v>19</v>
      </c>
      <c r="G730" s="3" t="s">
        <v>53</v>
      </c>
      <c r="H730" s="3" t="s">
        <v>54</v>
      </c>
      <c r="I730" s="11">
        <v>10.368</v>
      </c>
      <c r="J730" s="18">
        <v>2</v>
      </c>
      <c r="K730" s="12">
        <v>3.6288</v>
      </c>
    </row>
    <row r="731" spans="1:11" x14ac:dyDescent="0.25">
      <c r="A731" s="4">
        <v>43616</v>
      </c>
      <c r="B731" s="19">
        <f t="shared" si="22"/>
        <v>2019</v>
      </c>
      <c r="C731" s="19">
        <f t="shared" si="23"/>
        <v>5</v>
      </c>
      <c r="D731" s="5" t="s">
        <v>50</v>
      </c>
      <c r="E731" s="5" t="s">
        <v>94</v>
      </c>
      <c r="F731" s="5" t="s">
        <v>19</v>
      </c>
      <c r="G731" s="5" t="s">
        <v>32</v>
      </c>
      <c r="H731" s="5" t="s">
        <v>971</v>
      </c>
      <c r="I731" s="13">
        <v>7.1520000000000001</v>
      </c>
      <c r="J731" s="19">
        <v>3</v>
      </c>
      <c r="K731" s="14">
        <v>2.3243999999999998</v>
      </c>
    </row>
    <row r="732" spans="1:11" x14ac:dyDescent="0.25">
      <c r="A732" s="2">
        <v>43616</v>
      </c>
      <c r="B732" s="18">
        <f t="shared" si="22"/>
        <v>2019</v>
      </c>
      <c r="C732" s="18">
        <f t="shared" si="23"/>
        <v>5</v>
      </c>
      <c r="D732" s="3" t="s">
        <v>50</v>
      </c>
      <c r="E732" s="3" t="s">
        <v>94</v>
      </c>
      <c r="F732" s="3" t="s">
        <v>14</v>
      </c>
      <c r="G732" s="3" t="s">
        <v>15</v>
      </c>
      <c r="H732" s="3" t="s">
        <v>972</v>
      </c>
      <c r="I732" s="11">
        <v>179.7</v>
      </c>
      <c r="J732" s="18">
        <v>6</v>
      </c>
      <c r="K732" s="12">
        <v>88.052999999999997</v>
      </c>
    </row>
    <row r="733" spans="1:11" x14ac:dyDescent="0.25">
      <c r="A733" s="4">
        <v>43618</v>
      </c>
      <c r="B733" s="19">
        <f t="shared" si="22"/>
        <v>2019</v>
      </c>
      <c r="C733" s="19">
        <f t="shared" si="23"/>
        <v>6</v>
      </c>
      <c r="D733" s="5" t="s">
        <v>973</v>
      </c>
      <c r="E733" s="5" t="s">
        <v>39</v>
      </c>
      <c r="F733" s="5" t="s">
        <v>19</v>
      </c>
      <c r="G733" s="5" t="s">
        <v>20</v>
      </c>
      <c r="H733" s="5" t="s">
        <v>263</v>
      </c>
      <c r="I733" s="13">
        <v>64.784000000000006</v>
      </c>
      <c r="J733" s="19">
        <v>1</v>
      </c>
      <c r="K733" s="14">
        <v>-12.956799999999999</v>
      </c>
    </row>
    <row r="734" spans="1:11" x14ac:dyDescent="0.25">
      <c r="A734" s="2">
        <v>43618</v>
      </c>
      <c r="B734" s="18">
        <f t="shared" si="22"/>
        <v>2019</v>
      </c>
      <c r="C734" s="18">
        <f t="shared" si="23"/>
        <v>6</v>
      </c>
      <c r="D734" s="3" t="s">
        <v>414</v>
      </c>
      <c r="E734" s="3" t="s">
        <v>70</v>
      </c>
      <c r="F734" s="3" t="s">
        <v>19</v>
      </c>
      <c r="G734" s="3" t="s">
        <v>53</v>
      </c>
      <c r="H734" s="3" t="s">
        <v>974</v>
      </c>
      <c r="I734" s="11">
        <v>30.18</v>
      </c>
      <c r="J734" s="18">
        <v>3</v>
      </c>
      <c r="K734" s="12">
        <v>13.8828</v>
      </c>
    </row>
    <row r="735" spans="1:11" x14ac:dyDescent="0.25">
      <c r="A735" s="4">
        <v>43618</v>
      </c>
      <c r="B735" s="19">
        <f t="shared" si="22"/>
        <v>2019</v>
      </c>
      <c r="C735" s="19">
        <f t="shared" si="23"/>
        <v>6</v>
      </c>
      <c r="D735" s="5" t="s">
        <v>414</v>
      </c>
      <c r="E735" s="5" t="s">
        <v>70</v>
      </c>
      <c r="F735" s="5" t="s">
        <v>19</v>
      </c>
      <c r="G735" s="5" t="s">
        <v>32</v>
      </c>
      <c r="H735" s="5" t="s">
        <v>975</v>
      </c>
      <c r="I735" s="13">
        <v>51.648000000000003</v>
      </c>
      <c r="J735" s="19">
        <v>12</v>
      </c>
      <c r="K735" s="14">
        <v>18.7224</v>
      </c>
    </row>
    <row r="736" spans="1:11" x14ac:dyDescent="0.25">
      <c r="A736" s="2">
        <v>43618</v>
      </c>
      <c r="B736" s="18">
        <f t="shared" si="22"/>
        <v>2019</v>
      </c>
      <c r="C736" s="18">
        <f t="shared" si="23"/>
        <v>6</v>
      </c>
      <c r="D736" s="3" t="s">
        <v>414</v>
      </c>
      <c r="E736" s="3" t="s">
        <v>70</v>
      </c>
      <c r="F736" s="3" t="s">
        <v>19</v>
      </c>
      <c r="G736" s="3" t="s">
        <v>32</v>
      </c>
      <c r="H736" s="3" t="s">
        <v>976</v>
      </c>
      <c r="I736" s="11">
        <v>11.231999999999999</v>
      </c>
      <c r="J736" s="18">
        <v>3</v>
      </c>
      <c r="K736" s="12">
        <v>3.9312</v>
      </c>
    </row>
    <row r="737" spans="1:11" x14ac:dyDescent="0.25">
      <c r="A737" s="4">
        <v>43619</v>
      </c>
      <c r="B737" s="19">
        <f t="shared" si="22"/>
        <v>2019</v>
      </c>
      <c r="C737" s="19">
        <f t="shared" si="23"/>
        <v>6</v>
      </c>
      <c r="D737" s="5" t="s">
        <v>882</v>
      </c>
      <c r="E737" s="5" t="s">
        <v>18</v>
      </c>
      <c r="F737" s="5" t="s">
        <v>11</v>
      </c>
      <c r="G737" s="5" t="s">
        <v>30</v>
      </c>
      <c r="H737" s="5" t="s">
        <v>778</v>
      </c>
      <c r="I737" s="13">
        <v>71.087999999999994</v>
      </c>
      <c r="J737" s="19">
        <v>2</v>
      </c>
      <c r="K737" s="14">
        <v>-1.7771999999999999</v>
      </c>
    </row>
    <row r="738" spans="1:11" x14ac:dyDescent="0.25">
      <c r="A738" s="2">
        <v>43620</v>
      </c>
      <c r="B738" s="18">
        <f t="shared" si="22"/>
        <v>2019</v>
      </c>
      <c r="C738" s="18">
        <f t="shared" si="23"/>
        <v>6</v>
      </c>
      <c r="D738" s="3" t="s">
        <v>302</v>
      </c>
      <c r="E738" s="3" t="s">
        <v>181</v>
      </c>
      <c r="F738" s="3" t="s">
        <v>19</v>
      </c>
      <c r="G738" s="3" t="s">
        <v>53</v>
      </c>
      <c r="H738" s="3" t="s">
        <v>977</v>
      </c>
      <c r="I738" s="11">
        <v>75.88</v>
      </c>
      <c r="J738" s="18">
        <v>2</v>
      </c>
      <c r="K738" s="12">
        <v>35.663600000000002</v>
      </c>
    </row>
    <row r="739" spans="1:11" x14ac:dyDescent="0.25">
      <c r="A739" s="4">
        <v>43620</v>
      </c>
      <c r="B739" s="19">
        <f t="shared" si="22"/>
        <v>2019</v>
      </c>
      <c r="C739" s="19">
        <f t="shared" si="23"/>
        <v>6</v>
      </c>
      <c r="D739" s="5" t="s">
        <v>895</v>
      </c>
      <c r="E739" s="5" t="s">
        <v>164</v>
      </c>
      <c r="F739" s="5" t="s">
        <v>19</v>
      </c>
      <c r="G739" s="5" t="s">
        <v>53</v>
      </c>
      <c r="H739" s="5" t="s">
        <v>978</v>
      </c>
      <c r="I739" s="13">
        <v>25.92</v>
      </c>
      <c r="J739" s="19">
        <v>5</v>
      </c>
      <c r="K739" s="14">
        <v>9.3960000000000008</v>
      </c>
    </row>
    <row r="740" spans="1:11" x14ac:dyDescent="0.25">
      <c r="A740" s="2">
        <v>43620</v>
      </c>
      <c r="B740" s="18">
        <f t="shared" si="22"/>
        <v>2019</v>
      </c>
      <c r="C740" s="18">
        <f t="shared" si="23"/>
        <v>6</v>
      </c>
      <c r="D740" s="3" t="s">
        <v>895</v>
      </c>
      <c r="E740" s="3" t="s">
        <v>164</v>
      </c>
      <c r="F740" s="3" t="s">
        <v>11</v>
      </c>
      <c r="G740" s="3" t="s">
        <v>51</v>
      </c>
      <c r="H740" s="3" t="s">
        <v>875</v>
      </c>
      <c r="I740" s="11">
        <v>419.68</v>
      </c>
      <c r="J740" s="18">
        <v>5</v>
      </c>
      <c r="K740" s="12">
        <v>-356.72800000000001</v>
      </c>
    </row>
    <row r="741" spans="1:11" x14ac:dyDescent="0.25">
      <c r="A741" s="4">
        <v>43620</v>
      </c>
      <c r="B741" s="19">
        <f t="shared" si="22"/>
        <v>2019</v>
      </c>
      <c r="C741" s="19">
        <f t="shared" si="23"/>
        <v>6</v>
      </c>
      <c r="D741" s="5" t="s">
        <v>895</v>
      </c>
      <c r="E741" s="5" t="s">
        <v>164</v>
      </c>
      <c r="F741" s="5" t="s">
        <v>11</v>
      </c>
      <c r="G741" s="5" t="s">
        <v>51</v>
      </c>
      <c r="H741" s="5" t="s">
        <v>797</v>
      </c>
      <c r="I741" s="13">
        <v>11.688000000000001</v>
      </c>
      <c r="J741" s="19">
        <v>3</v>
      </c>
      <c r="K741" s="14">
        <v>-4.6752000000000002</v>
      </c>
    </row>
    <row r="742" spans="1:11" x14ac:dyDescent="0.25">
      <c r="A742" s="2">
        <v>43620</v>
      </c>
      <c r="B742" s="18">
        <f t="shared" si="22"/>
        <v>2019</v>
      </c>
      <c r="C742" s="18">
        <f t="shared" si="23"/>
        <v>6</v>
      </c>
      <c r="D742" s="3" t="s">
        <v>895</v>
      </c>
      <c r="E742" s="3" t="s">
        <v>164</v>
      </c>
      <c r="F742" s="3" t="s">
        <v>14</v>
      </c>
      <c r="G742" s="3" t="s">
        <v>15</v>
      </c>
      <c r="H742" s="3" t="s">
        <v>979</v>
      </c>
      <c r="I742" s="11">
        <v>31.984000000000002</v>
      </c>
      <c r="J742" s="18">
        <v>2</v>
      </c>
      <c r="K742" s="12">
        <v>11.1944</v>
      </c>
    </row>
    <row r="743" spans="1:11" x14ac:dyDescent="0.25">
      <c r="A743" s="4">
        <v>43620</v>
      </c>
      <c r="B743" s="19">
        <f t="shared" si="22"/>
        <v>2019</v>
      </c>
      <c r="C743" s="19">
        <f t="shared" si="23"/>
        <v>6</v>
      </c>
      <c r="D743" s="5" t="s">
        <v>895</v>
      </c>
      <c r="E743" s="5" t="s">
        <v>164</v>
      </c>
      <c r="F743" s="5" t="s">
        <v>11</v>
      </c>
      <c r="G743" s="5" t="s">
        <v>30</v>
      </c>
      <c r="H743" s="5" t="s">
        <v>980</v>
      </c>
      <c r="I743" s="13">
        <v>177.22499999999999</v>
      </c>
      <c r="J743" s="19">
        <v>5</v>
      </c>
      <c r="K743" s="14">
        <v>-120.51300000000001</v>
      </c>
    </row>
    <row r="744" spans="1:11" x14ac:dyDescent="0.25">
      <c r="A744" s="2">
        <v>43620</v>
      </c>
      <c r="B744" s="18">
        <f t="shared" si="22"/>
        <v>2019</v>
      </c>
      <c r="C744" s="18">
        <f t="shared" si="23"/>
        <v>6</v>
      </c>
      <c r="D744" s="3" t="s">
        <v>895</v>
      </c>
      <c r="E744" s="3" t="s">
        <v>164</v>
      </c>
      <c r="F744" s="3" t="s">
        <v>11</v>
      </c>
      <c r="G744" s="3" t="s">
        <v>51</v>
      </c>
      <c r="H744" s="3" t="s">
        <v>981</v>
      </c>
      <c r="I744" s="11">
        <v>4.0439999999999996</v>
      </c>
      <c r="J744" s="18">
        <v>3</v>
      </c>
      <c r="K744" s="12">
        <v>-2.8308</v>
      </c>
    </row>
    <row r="745" spans="1:11" x14ac:dyDescent="0.25">
      <c r="A745" s="4">
        <v>43620</v>
      </c>
      <c r="B745" s="19">
        <f t="shared" si="22"/>
        <v>2019</v>
      </c>
      <c r="C745" s="19">
        <f t="shared" si="23"/>
        <v>6</v>
      </c>
      <c r="D745" s="5" t="s">
        <v>895</v>
      </c>
      <c r="E745" s="5" t="s">
        <v>164</v>
      </c>
      <c r="F745" s="5" t="s">
        <v>19</v>
      </c>
      <c r="G745" s="5" t="s">
        <v>40</v>
      </c>
      <c r="H745" s="5" t="s">
        <v>982</v>
      </c>
      <c r="I745" s="13">
        <v>7.4080000000000004</v>
      </c>
      <c r="J745" s="19">
        <v>2</v>
      </c>
      <c r="K745" s="14">
        <v>1.2038</v>
      </c>
    </row>
    <row r="746" spans="1:11" x14ac:dyDescent="0.25">
      <c r="A746" s="2">
        <v>43620</v>
      </c>
      <c r="B746" s="18">
        <f t="shared" si="22"/>
        <v>2019</v>
      </c>
      <c r="C746" s="18">
        <f t="shared" si="23"/>
        <v>6</v>
      </c>
      <c r="D746" s="3" t="s">
        <v>983</v>
      </c>
      <c r="E746" s="3" t="s">
        <v>94</v>
      </c>
      <c r="F746" s="3" t="s">
        <v>19</v>
      </c>
      <c r="G746" s="3" t="s">
        <v>53</v>
      </c>
      <c r="H746" s="3" t="s">
        <v>172</v>
      </c>
      <c r="I746" s="11">
        <v>14.94</v>
      </c>
      <c r="J746" s="18">
        <v>3</v>
      </c>
      <c r="K746" s="12">
        <v>7.0217999999999998</v>
      </c>
    </row>
    <row r="747" spans="1:11" x14ac:dyDescent="0.25">
      <c r="A747" s="4">
        <v>43620</v>
      </c>
      <c r="B747" s="19">
        <f t="shared" si="22"/>
        <v>2019</v>
      </c>
      <c r="C747" s="19">
        <f t="shared" si="23"/>
        <v>6</v>
      </c>
      <c r="D747" s="5" t="s">
        <v>983</v>
      </c>
      <c r="E747" s="5" t="s">
        <v>94</v>
      </c>
      <c r="F747" s="5" t="s">
        <v>14</v>
      </c>
      <c r="G747" s="5" t="s">
        <v>188</v>
      </c>
      <c r="H747" s="5" t="s">
        <v>984</v>
      </c>
      <c r="I747" s="13">
        <v>1349.85</v>
      </c>
      <c r="J747" s="19">
        <v>3</v>
      </c>
      <c r="K747" s="14">
        <v>364.45949999999999</v>
      </c>
    </row>
    <row r="748" spans="1:11" x14ac:dyDescent="0.25">
      <c r="A748" s="2">
        <v>43620</v>
      </c>
      <c r="B748" s="18">
        <f t="shared" si="22"/>
        <v>2019</v>
      </c>
      <c r="C748" s="18">
        <f t="shared" si="23"/>
        <v>6</v>
      </c>
      <c r="D748" s="3" t="s">
        <v>983</v>
      </c>
      <c r="E748" s="3" t="s">
        <v>94</v>
      </c>
      <c r="F748" s="3" t="s">
        <v>11</v>
      </c>
      <c r="G748" s="3" t="s">
        <v>12</v>
      </c>
      <c r="H748" s="3" t="s">
        <v>985</v>
      </c>
      <c r="I748" s="11">
        <v>136.78399999999999</v>
      </c>
      <c r="J748" s="18">
        <v>1</v>
      </c>
      <c r="K748" s="12">
        <v>5.1294000000000004</v>
      </c>
    </row>
    <row r="749" spans="1:11" x14ac:dyDescent="0.25">
      <c r="A749" s="4">
        <v>43620</v>
      </c>
      <c r="B749" s="19">
        <f t="shared" si="22"/>
        <v>2019</v>
      </c>
      <c r="C749" s="19">
        <f t="shared" si="23"/>
        <v>6</v>
      </c>
      <c r="D749" s="5" t="s">
        <v>983</v>
      </c>
      <c r="E749" s="5" t="s">
        <v>94</v>
      </c>
      <c r="F749" s="5" t="s">
        <v>11</v>
      </c>
      <c r="G749" s="5" t="s">
        <v>51</v>
      </c>
      <c r="H749" s="5" t="s">
        <v>986</v>
      </c>
      <c r="I749" s="13">
        <v>61.12</v>
      </c>
      <c r="J749" s="19">
        <v>4</v>
      </c>
      <c r="K749" s="14">
        <v>20.780799999999999</v>
      </c>
    </row>
    <row r="750" spans="1:11" x14ac:dyDescent="0.25">
      <c r="A750" s="2">
        <v>43621</v>
      </c>
      <c r="B750" s="18">
        <f t="shared" si="22"/>
        <v>2019</v>
      </c>
      <c r="C750" s="18">
        <f t="shared" si="23"/>
        <v>6</v>
      </c>
      <c r="D750" s="3" t="s">
        <v>987</v>
      </c>
      <c r="E750" s="3" t="s">
        <v>39</v>
      </c>
      <c r="F750" s="3" t="s">
        <v>19</v>
      </c>
      <c r="G750" s="3" t="s">
        <v>20</v>
      </c>
      <c r="H750" s="3" t="s">
        <v>988</v>
      </c>
      <c r="I750" s="11">
        <v>124.608</v>
      </c>
      <c r="J750" s="18">
        <v>4</v>
      </c>
      <c r="K750" s="12">
        <v>-23.364000000000001</v>
      </c>
    </row>
    <row r="751" spans="1:11" x14ac:dyDescent="0.25">
      <c r="A751" s="4">
        <v>43621</v>
      </c>
      <c r="B751" s="19">
        <f t="shared" si="22"/>
        <v>2019</v>
      </c>
      <c r="C751" s="19">
        <f t="shared" si="23"/>
        <v>6</v>
      </c>
      <c r="D751" s="5" t="s">
        <v>987</v>
      </c>
      <c r="E751" s="5" t="s">
        <v>39</v>
      </c>
      <c r="F751" s="5" t="s">
        <v>19</v>
      </c>
      <c r="G751" s="5" t="s">
        <v>127</v>
      </c>
      <c r="H751" s="5" t="s">
        <v>750</v>
      </c>
      <c r="I751" s="13">
        <v>7.56</v>
      </c>
      <c r="J751" s="19">
        <v>3</v>
      </c>
      <c r="K751" s="14">
        <v>2.6459999999999999</v>
      </c>
    </row>
    <row r="752" spans="1:11" x14ac:dyDescent="0.25">
      <c r="A752" s="2">
        <v>43621</v>
      </c>
      <c r="B752" s="18">
        <f t="shared" si="22"/>
        <v>2019</v>
      </c>
      <c r="C752" s="18">
        <f t="shared" si="23"/>
        <v>6</v>
      </c>
      <c r="D752" s="3" t="s">
        <v>989</v>
      </c>
      <c r="E752" s="3" t="s">
        <v>309</v>
      </c>
      <c r="F752" s="3" t="s">
        <v>19</v>
      </c>
      <c r="G752" s="3" t="s">
        <v>20</v>
      </c>
      <c r="H752" s="3" t="s">
        <v>281</v>
      </c>
      <c r="I752" s="11">
        <v>360.38</v>
      </c>
      <c r="J752" s="18">
        <v>2</v>
      </c>
      <c r="K752" s="12">
        <v>93.698800000000006</v>
      </c>
    </row>
    <row r="753" spans="1:11" x14ac:dyDescent="0.25">
      <c r="A753" s="4">
        <v>43621</v>
      </c>
      <c r="B753" s="19">
        <f t="shared" si="22"/>
        <v>2019</v>
      </c>
      <c r="C753" s="19">
        <f t="shared" si="23"/>
        <v>6</v>
      </c>
      <c r="D753" s="5" t="s">
        <v>989</v>
      </c>
      <c r="E753" s="5" t="s">
        <v>309</v>
      </c>
      <c r="F753" s="5" t="s">
        <v>19</v>
      </c>
      <c r="G753" s="5" t="s">
        <v>40</v>
      </c>
      <c r="H753" s="5" t="s">
        <v>990</v>
      </c>
      <c r="I753" s="13">
        <v>11.16</v>
      </c>
      <c r="J753" s="19">
        <v>2</v>
      </c>
      <c r="K753" s="14">
        <v>2.79</v>
      </c>
    </row>
    <row r="754" spans="1:11" x14ac:dyDescent="0.25">
      <c r="A754" s="2">
        <v>43621</v>
      </c>
      <c r="B754" s="18">
        <f t="shared" si="22"/>
        <v>2019</v>
      </c>
      <c r="C754" s="18">
        <f t="shared" si="23"/>
        <v>6</v>
      </c>
      <c r="D754" s="3" t="s">
        <v>989</v>
      </c>
      <c r="E754" s="3" t="s">
        <v>309</v>
      </c>
      <c r="F754" s="3" t="s">
        <v>19</v>
      </c>
      <c r="G754" s="3" t="s">
        <v>127</v>
      </c>
      <c r="H754" s="3" t="s">
        <v>991</v>
      </c>
      <c r="I754" s="11">
        <v>14.94</v>
      </c>
      <c r="J754" s="18">
        <v>3</v>
      </c>
      <c r="K754" s="12">
        <v>6.8723999999999998</v>
      </c>
    </row>
    <row r="755" spans="1:11" x14ac:dyDescent="0.25">
      <c r="A755" s="4">
        <v>43621</v>
      </c>
      <c r="B755" s="19">
        <f t="shared" si="22"/>
        <v>2019</v>
      </c>
      <c r="C755" s="19">
        <f t="shared" si="23"/>
        <v>6</v>
      </c>
      <c r="D755" s="5" t="s">
        <v>992</v>
      </c>
      <c r="E755" s="5" t="s">
        <v>18</v>
      </c>
      <c r="F755" s="5" t="s">
        <v>19</v>
      </c>
      <c r="G755" s="5" t="s">
        <v>32</v>
      </c>
      <c r="H755" s="5" t="s">
        <v>539</v>
      </c>
      <c r="I755" s="13">
        <v>21.552</v>
      </c>
      <c r="J755" s="19">
        <v>6</v>
      </c>
      <c r="K755" s="14">
        <v>7.0044000000000004</v>
      </c>
    </row>
    <row r="756" spans="1:11" x14ac:dyDescent="0.25">
      <c r="A756" s="2">
        <v>43621</v>
      </c>
      <c r="B756" s="18">
        <f t="shared" si="22"/>
        <v>2019</v>
      </c>
      <c r="C756" s="18">
        <f t="shared" si="23"/>
        <v>6</v>
      </c>
      <c r="D756" s="3" t="s">
        <v>992</v>
      </c>
      <c r="E756" s="3" t="s">
        <v>18</v>
      </c>
      <c r="F756" s="3" t="s">
        <v>19</v>
      </c>
      <c r="G756" s="3" t="s">
        <v>121</v>
      </c>
      <c r="H756" s="3" t="s">
        <v>993</v>
      </c>
      <c r="I756" s="11">
        <v>58.24</v>
      </c>
      <c r="J756" s="18">
        <v>4</v>
      </c>
      <c r="K756" s="12">
        <v>15.7248</v>
      </c>
    </row>
    <row r="757" spans="1:11" x14ac:dyDescent="0.25">
      <c r="A757" s="4">
        <v>43621</v>
      </c>
      <c r="B757" s="19">
        <f t="shared" si="22"/>
        <v>2019</v>
      </c>
      <c r="C757" s="19">
        <f t="shared" si="23"/>
        <v>6</v>
      </c>
      <c r="D757" s="5" t="s">
        <v>994</v>
      </c>
      <c r="E757" s="5" t="s">
        <v>70</v>
      </c>
      <c r="F757" s="5" t="s">
        <v>19</v>
      </c>
      <c r="G757" s="5" t="s">
        <v>265</v>
      </c>
      <c r="H757" s="5" t="s">
        <v>995</v>
      </c>
      <c r="I757" s="13">
        <v>61.38</v>
      </c>
      <c r="J757" s="19">
        <v>6</v>
      </c>
      <c r="K757" s="14">
        <v>15.9588</v>
      </c>
    </row>
    <row r="758" spans="1:11" x14ac:dyDescent="0.25">
      <c r="A758" s="2">
        <v>43622</v>
      </c>
      <c r="B758" s="18">
        <f t="shared" si="22"/>
        <v>2019</v>
      </c>
      <c r="C758" s="18">
        <f t="shared" si="23"/>
        <v>6</v>
      </c>
      <c r="D758" s="3" t="s">
        <v>90</v>
      </c>
      <c r="E758" s="3" t="s">
        <v>164</v>
      </c>
      <c r="F758" s="3" t="s">
        <v>14</v>
      </c>
      <c r="G758" s="3" t="s">
        <v>15</v>
      </c>
      <c r="H758" s="3" t="s">
        <v>772</v>
      </c>
      <c r="I758" s="11">
        <v>328.22399999999999</v>
      </c>
      <c r="J758" s="18">
        <v>4</v>
      </c>
      <c r="K758" s="12">
        <v>28.7196</v>
      </c>
    </row>
    <row r="759" spans="1:11" x14ac:dyDescent="0.25">
      <c r="A759" s="4">
        <v>43622</v>
      </c>
      <c r="B759" s="19">
        <f t="shared" si="22"/>
        <v>2019</v>
      </c>
      <c r="C759" s="19">
        <f t="shared" si="23"/>
        <v>6</v>
      </c>
      <c r="D759" s="5" t="s">
        <v>456</v>
      </c>
      <c r="E759" s="5" t="s">
        <v>370</v>
      </c>
      <c r="F759" s="5" t="s">
        <v>19</v>
      </c>
      <c r="G759" s="5" t="s">
        <v>20</v>
      </c>
      <c r="H759" s="5" t="s">
        <v>996</v>
      </c>
      <c r="I759" s="13">
        <v>714.3</v>
      </c>
      <c r="J759" s="19">
        <v>5</v>
      </c>
      <c r="K759" s="14">
        <v>207.14699999999999</v>
      </c>
    </row>
    <row r="760" spans="1:11" x14ac:dyDescent="0.25">
      <c r="A760" s="2">
        <v>43622</v>
      </c>
      <c r="B760" s="18">
        <f t="shared" si="22"/>
        <v>2019</v>
      </c>
      <c r="C760" s="18">
        <f t="shared" si="23"/>
        <v>6</v>
      </c>
      <c r="D760" s="3" t="s">
        <v>997</v>
      </c>
      <c r="E760" s="3" t="s">
        <v>370</v>
      </c>
      <c r="F760" s="3" t="s">
        <v>19</v>
      </c>
      <c r="G760" s="3" t="s">
        <v>53</v>
      </c>
      <c r="H760" s="3" t="s">
        <v>77</v>
      </c>
      <c r="I760" s="11">
        <v>105.52</v>
      </c>
      <c r="J760" s="18">
        <v>4</v>
      </c>
      <c r="K760" s="12">
        <v>48.539200000000001</v>
      </c>
    </row>
    <row r="761" spans="1:11" x14ac:dyDescent="0.25">
      <c r="A761" s="4">
        <v>43622</v>
      </c>
      <c r="B761" s="19">
        <f t="shared" si="22"/>
        <v>2019</v>
      </c>
      <c r="C761" s="19">
        <f t="shared" si="23"/>
        <v>6</v>
      </c>
      <c r="D761" s="5" t="s">
        <v>395</v>
      </c>
      <c r="E761" s="5" t="s">
        <v>589</v>
      </c>
      <c r="F761" s="5" t="s">
        <v>14</v>
      </c>
      <c r="G761" s="5" t="s">
        <v>24</v>
      </c>
      <c r="H761" s="5" t="s">
        <v>553</v>
      </c>
      <c r="I761" s="13">
        <v>179.94</v>
      </c>
      <c r="J761" s="19">
        <v>6</v>
      </c>
      <c r="K761" s="14">
        <v>75.574799999999996</v>
      </c>
    </row>
    <row r="762" spans="1:11" x14ac:dyDescent="0.25">
      <c r="A762" s="2">
        <v>43622</v>
      </c>
      <c r="B762" s="18">
        <f t="shared" si="22"/>
        <v>2019</v>
      </c>
      <c r="C762" s="18">
        <f t="shared" si="23"/>
        <v>6</v>
      </c>
      <c r="D762" s="3" t="s">
        <v>395</v>
      </c>
      <c r="E762" s="3" t="s">
        <v>589</v>
      </c>
      <c r="F762" s="3" t="s">
        <v>14</v>
      </c>
      <c r="G762" s="3" t="s">
        <v>24</v>
      </c>
      <c r="H762" s="3" t="s">
        <v>383</v>
      </c>
      <c r="I762" s="11">
        <v>26.85</v>
      </c>
      <c r="J762" s="18">
        <v>3</v>
      </c>
      <c r="K762" s="12">
        <v>5.1014999999999997</v>
      </c>
    </row>
    <row r="763" spans="1:11" x14ac:dyDescent="0.25">
      <c r="A763" s="4">
        <v>43622</v>
      </c>
      <c r="B763" s="19">
        <f t="shared" si="22"/>
        <v>2019</v>
      </c>
      <c r="C763" s="19">
        <f t="shared" si="23"/>
        <v>6</v>
      </c>
      <c r="D763" s="5" t="s">
        <v>395</v>
      </c>
      <c r="E763" s="5" t="s">
        <v>589</v>
      </c>
      <c r="F763" s="5" t="s">
        <v>14</v>
      </c>
      <c r="G763" s="5" t="s">
        <v>24</v>
      </c>
      <c r="H763" s="5" t="s">
        <v>717</v>
      </c>
      <c r="I763" s="13">
        <v>323.37</v>
      </c>
      <c r="J763" s="19">
        <v>3</v>
      </c>
      <c r="K763" s="14">
        <v>129.34800000000001</v>
      </c>
    </row>
    <row r="764" spans="1:11" x14ac:dyDescent="0.25">
      <c r="A764" s="2">
        <v>43622</v>
      </c>
      <c r="B764" s="18">
        <f t="shared" si="22"/>
        <v>2019</v>
      </c>
      <c r="C764" s="18">
        <f t="shared" si="23"/>
        <v>6</v>
      </c>
      <c r="D764" s="3" t="s">
        <v>395</v>
      </c>
      <c r="E764" s="3" t="s">
        <v>589</v>
      </c>
      <c r="F764" s="3" t="s">
        <v>19</v>
      </c>
      <c r="G764" s="3" t="s">
        <v>53</v>
      </c>
      <c r="H764" s="3" t="s">
        <v>998</v>
      </c>
      <c r="I764" s="11">
        <v>59.94</v>
      </c>
      <c r="J764" s="18">
        <v>3</v>
      </c>
      <c r="K764" s="12">
        <v>28.171800000000001</v>
      </c>
    </row>
    <row r="765" spans="1:11" x14ac:dyDescent="0.25">
      <c r="A765" s="4">
        <v>43622</v>
      </c>
      <c r="B765" s="19">
        <f t="shared" si="22"/>
        <v>2019</v>
      </c>
      <c r="C765" s="19">
        <f t="shared" si="23"/>
        <v>6</v>
      </c>
      <c r="D765" s="5" t="s">
        <v>395</v>
      </c>
      <c r="E765" s="5" t="s">
        <v>589</v>
      </c>
      <c r="F765" s="5" t="s">
        <v>19</v>
      </c>
      <c r="G765" s="5" t="s">
        <v>32</v>
      </c>
      <c r="H765" s="5" t="s">
        <v>999</v>
      </c>
      <c r="I765" s="13">
        <v>64.14</v>
      </c>
      <c r="J765" s="19">
        <v>3</v>
      </c>
      <c r="K765" s="14">
        <v>30.787199999999999</v>
      </c>
    </row>
    <row r="766" spans="1:11" x14ac:dyDescent="0.25">
      <c r="A766" s="2">
        <v>43622</v>
      </c>
      <c r="B766" s="18">
        <f t="shared" si="22"/>
        <v>2019</v>
      </c>
      <c r="C766" s="18">
        <f t="shared" si="23"/>
        <v>6</v>
      </c>
      <c r="D766" s="3" t="s">
        <v>395</v>
      </c>
      <c r="E766" s="3" t="s">
        <v>589</v>
      </c>
      <c r="F766" s="3" t="s">
        <v>19</v>
      </c>
      <c r="G766" s="3" t="s">
        <v>32</v>
      </c>
      <c r="H766" s="3" t="s">
        <v>676</v>
      </c>
      <c r="I766" s="11">
        <v>11.67</v>
      </c>
      <c r="J766" s="18">
        <v>3</v>
      </c>
      <c r="K766" s="12">
        <v>5.6016000000000004</v>
      </c>
    </row>
    <row r="767" spans="1:11" x14ac:dyDescent="0.25">
      <c r="A767" s="4">
        <v>43622</v>
      </c>
      <c r="B767" s="19">
        <f t="shared" si="22"/>
        <v>2019</v>
      </c>
      <c r="C767" s="19">
        <f t="shared" si="23"/>
        <v>6</v>
      </c>
      <c r="D767" s="5" t="s">
        <v>395</v>
      </c>
      <c r="E767" s="5" t="s">
        <v>589</v>
      </c>
      <c r="F767" s="5" t="s">
        <v>19</v>
      </c>
      <c r="G767" s="5" t="s">
        <v>53</v>
      </c>
      <c r="H767" s="5" t="s">
        <v>1000</v>
      </c>
      <c r="I767" s="13">
        <v>12.96</v>
      </c>
      <c r="J767" s="19">
        <v>2</v>
      </c>
      <c r="K767" s="14">
        <v>6.2207999999999997</v>
      </c>
    </row>
    <row r="768" spans="1:11" x14ac:dyDescent="0.25">
      <c r="A768" s="2">
        <v>43622</v>
      </c>
      <c r="B768" s="18">
        <f t="shared" si="22"/>
        <v>2019</v>
      </c>
      <c r="C768" s="18">
        <f t="shared" si="23"/>
        <v>6</v>
      </c>
      <c r="D768" s="3" t="s">
        <v>628</v>
      </c>
      <c r="E768" s="3" t="s">
        <v>18</v>
      </c>
      <c r="F768" s="3" t="s">
        <v>19</v>
      </c>
      <c r="G768" s="3" t="s">
        <v>127</v>
      </c>
      <c r="H768" s="3" t="s">
        <v>1001</v>
      </c>
      <c r="I768" s="11">
        <v>22.05</v>
      </c>
      <c r="J768" s="18">
        <v>7</v>
      </c>
      <c r="K768" s="12">
        <v>10.584</v>
      </c>
    </row>
    <row r="769" spans="1:11" x14ac:dyDescent="0.25">
      <c r="A769" s="4">
        <v>43622</v>
      </c>
      <c r="B769" s="19">
        <f t="shared" si="22"/>
        <v>2019</v>
      </c>
      <c r="C769" s="19">
        <f t="shared" si="23"/>
        <v>6</v>
      </c>
      <c r="D769" s="5" t="s">
        <v>628</v>
      </c>
      <c r="E769" s="5" t="s">
        <v>18</v>
      </c>
      <c r="F769" s="5" t="s">
        <v>19</v>
      </c>
      <c r="G769" s="5" t="s">
        <v>53</v>
      </c>
      <c r="H769" s="5" t="s">
        <v>1002</v>
      </c>
      <c r="I769" s="13">
        <v>99.9</v>
      </c>
      <c r="J769" s="19">
        <v>5</v>
      </c>
      <c r="K769" s="14">
        <v>46.953000000000003</v>
      </c>
    </row>
    <row r="770" spans="1:11" x14ac:dyDescent="0.25">
      <c r="A770" s="2">
        <v>43622</v>
      </c>
      <c r="B770" s="18">
        <f t="shared" ref="B770:B833" si="24">YEAR(A770)</f>
        <v>2019</v>
      </c>
      <c r="C770" s="18">
        <f t="shared" ref="C770:C833" si="25">MONTH(A770)</f>
        <v>6</v>
      </c>
      <c r="D770" s="3" t="s">
        <v>508</v>
      </c>
      <c r="E770" s="3" t="s">
        <v>18</v>
      </c>
      <c r="F770" s="3" t="s">
        <v>14</v>
      </c>
      <c r="G770" s="3" t="s">
        <v>15</v>
      </c>
      <c r="H770" s="3" t="s">
        <v>1003</v>
      </c>
      <c r="I770" s="11">
        <v>3023.9279999999999</v>
      </c>
      <c r="J770" s="18">
        <v>9</v>
      </c>
      <c r="K770" s="12">
        <v>226.7946</v>
      </c>
    </row>
    <row r="771" spans="1:11" x14ac:dyDescent="0.25">
      <c r="A771" s="4">
        <v>43622</v>
      </c>
      <c r="B771" s="19">
        <f t="shared" si="24"/>
        <v>2019</v>
      </c>
      <c r="C771" s="19">
        <f t="shared" si="25"/>
        <v>6</v>
      </c>
      <c r="D771" s="5" t="s">
        <v>508</v>
      </c>
      <c r="E771" s="5" t="s">
        <v>18</v>
      </c>
      <c r="F771" s="5" t="s">
        <v>14</v>
      </c>
      <c r="G771" s="5" t="s">
        <v>24</v>
      </c>
      <c r="H771" s="5" t="s">
        <v>1004</v>
      </c>
      <c r="I771" s="13">
        <v>26.96</v>
      </c>
      <c r="J771" s="19">
        <v>2</v>
      </c>
      <c r="K771" s="14">
        <v>3.7744</v>
      </c>
    </row>
    <row r="772" spans="1:11" x14ac:dyDescent="0.25">
      <c r="A772" s="2">
        <v>43622</v>
      </c>
      <c r="B772" s="18">
        <f t="shared" si="24"/>
        <v>2019</v>
      </c>
      <c r="C772" s="18">
        <f t="shared" si="25"/>
        <v>6</v>
      </c>
      <c r="D772" s="3" t="s">
        <v>508</v>
      </c>
      <c r="E772" s="3" t="s">
        <v>18</v>
      </c>
      <c r="F772" s="3" t="s">
        <v>14</v>
      </c>
      <c r="G772" s="3" t="s">
        <v>15</v>
      </c>
      <c r="H772" s="3" t="s">
        <v>1005</v>
      </c>
      <c r="I772" s="11">
        <v>477.6</v>
      </c>
      <c r="J772" s="18">
        <v>3</v>
      </c>
      <c r="K772" s="12">
        <v>161.19</v>
      </c>
    </row>
    <row r="773" spans="1:11" x14ac:dyDescent="0.25">
      <c r="A773" s="4">
        <v>43622</v>
      </c>
      <c r="B773" s="19">
        <f t="shared" si="24"/>
        <v>2019</v>
      </c>
      <c r="C773" s="19">
        <f t="shared" si="25"/>
        <v>6</v>
      </c>
      <c r="D773" s="5" t="s">
        <v>1006</v>
      </c>
      <c r="E773" s="5" t="s">
        <v>67</v>
      </c>
      <c r="F773" s="5" t="s">
        <v>11</v>
      </c>
      <c r="G773" s="5" t="s">
        <v>51</v>
      </c>
      <c r="H773" s="5" t="s">
        <v>451</v>
      </c>
      <c r="I773" s="13">
        <v>466.32</v>
      </c>
      <c r="J773" s="19">
        <v>3</v>
      </c>
      <c r="K773" s="14">
        <v>34.973999999999997</v>
      </c>
    </row>
    <row r="774" spans="1:11" x14ac:dyDescent="0.25">
      <c r="A774" s="2">
        <v>43622</v>
      </c>
      <c r="B774" s="18">
        <f t="shared" si="24"/>
        <v>2019</v>
      </c>
      <c r="C774" s="18">
        <f t="shared" si="25"/>
        <v>6</v>
      </c>
      <c r="D774" s="3" t="s">
        <v>1006</v>
      </c>
      <c r="E774" s="3" t="s">
        <v>67</v>
      </c>
      <c r="F774" s="3" t="s">
        <v>11</v>
      </c>
      <c r="G774" s="3" t="s">
        <v>51</v>
      </c>
      <c r="H774" s="3" t="s">
        <v>1007</v>
      </c>
      <c r="I774" s="11">
        <v>82.64</v>
      </c>
      <c r="J774" s="18">
        <v>2</v>
      </c>
      <c r="K774" s="12">
        <v>0</v>
      </c>
    </row>
    <row r="775" spans="1:11" x14ac:dyDescent="0.25">
      <c r="A775" s="4">
        <v>43623</v>
      </c>
      <c r="B775" s="19">
        <f t="shared" si="24"/>
        <v>2019</v>
      </c>
      <c r="C775" s="19">
        <f t="shared" si="25"/>
        <v>6</v>
      </c>
      <c r="D775" s="5" t="s">
        <v>238</v>
      </c>
      <c r="E775" s="5" t="s">
        <v>94</v>
      </c>
      <c r="F775" s="5" t="s">
        <v>19</v>
      </c>
      <c r="G775" s="5" t="s">
        <v>53</v>
      </c>
      <c r="H775" s="5" t="s">
        <v>721</v>
      </c>
      <c r="I775" s="13">
        <v>32.4</v>
      </c>
      <c r="J775" s="19">
        <v>5</v>
      </c>
      <c r="K775" s="14">
        <v>15.552</v>
      </c>
    </row>
    <row r="776" spans="1:11" x14ac:dyDescent="0.25">
      <c r="A776" s="2">
        <v>43623</v>
      </c>
      <c r="B776" s="18">
        <f t="shared" si="24"/>
        <v>2019</v>
      </c>
      <c r="C776" s="18">
        <f t="shared" si="25"/>
        <v>6</v>
      </c>
      <c r="D776" s="3" t="s">
        <v>1008</v>
      </c>
      <c r="E776" s="3" t="s">
        <v>18</v>
      </c>
      <c r="F776" s="3" t="s">
        <v>19</v>
      </c>
      <c r="G776" s="3" t="s">
        <v>32</v>
      </c>
      <c r="H776" s="3" t="s">
        <v>536</v>
      </c>
      <c r="I776" s="11">
        <v>4.7839999999999998</v>
      </c>
      <c r="J776" s="18">
        <v>1</v>
      </c>
      <c r="K776" s="12">
        <v>1.5548</v>
      </c>
    </row>
    <row r="777" spans="1:11" x14ac:dyDescent="0.25">
      <c r="A777" s="4">
        <v>43623</v>
      </c>
      <c r="B777" s="19">
        <f t="shared" si="24"/>
        <v>2019</v>
      </c>
      <c r="C777" s="19">
        <f t="shared" si="25"/>
        <v>6</v>
      </c>
      <c r="D777" s="5" t="s">
        <v>1008</v>
      </c>
      <c r="E777" s="5" t="s">
        <v>18</v>
      </c>
      <c r="F777" s="5" t="s">
        <v>19</v>
      </c>
      <c r="G777" s="5" t="s">
        <v>53</v>
      </c>
      <c r="H777" s="5" t="s">
        <v>1009</v>
      </c>
      <c r="I777" s="13">
        <v>4.7300000000000004</v>
      </c>
      <c r="J777" s="19">
        <v>1</v>
      </c>
      <c r="K777" s="14">
        <v>2.3176999999999999</v>
      </c>
    </row>
    <row r="778" spans="1:11" x14ac:dyDescent="0.25">
      <c r="A778" s="2">
        <v>43623</v>
      </c>
      <c r="B778" s="18">
        <f t="shared" si="24"/>
        <v>2019</v>
      </c>
      <c r="C778" s="18">
        <f t="shared" si="25"/>
        <v>6</v>
      </c>
      <c r="D778" s="3" t="s">
        <v>1010</v>
      </c>
      <c r="E778" s="3" t="s">
        <v>39</v>
      </c>
      <c r="F778" s="3" t="s">
        <v>19</v>
      </c>
      <c r="G778" s="3" t="s">
        <v>116</v>
      </c>
      <c r="H778" s="3" t="s">
        <v>635</v>
      </c>
      <c r="I778" s="11">
        <v>9.6479999999999997</v>
      </c>
      <c r="J778" s="18">
        <v>6</v>
      </c>
      <c r="K778" s="12">
        <v>3.4973999999999998</v>
      </c>
    </row>
    <row r="779" spans="1:11" x14ac:dyDescent="0.25">
      <c r="A779" s="4">
        <v>43625</v>
      </c>
      <c r="B779" s="19">
        <f t="shared" si="24"/>
        <v>2019</v>
      </c>
      <c r="C779" s="19">
        <f t="shared" si="25"/>
        <v>6</v>
      </c>
      <c r="D779" s="5" t="s">
        <v>1011</v>
      </c>
      <c r="E779" s="5" t="s">
        <v>18</v>
      </c>
      <c r="F779" s="5" t="s">
        <v>14</v>
      </c>
      <c r="G779" s="5" t="s">
        <v>15</v>
      </c>
      <c r="H779" s="5" t="s">
        <v>783</v>
      </c>
      <c r="I779" s="13">
        <v>177.48</v>
      </c>
      <c r="J779" s="19">
        <v>3</v>
      </c>
      <c r="K779" s="14">
        <v>19.9665</v>
      </c>
    </row>
    <row r="780" spans="1:11" x14ac:dyDescent="0.25">
      <c r="A780" s="2">
        <v>43625</v>
      </c>
      <c r="B780" s="18">
        <f t="shared" si="24"/>
        <v>2019</v>
      </c>
      <c r="C780" s="18">
        <f t="shared" si="25"/>
        <v>6</v>
      </c>
      <c r="D780" s="3" t="s">
        <v>1012</v>
      </c>
      <c r="E780" s="3" t="s">
        <v>44</v>
      </c>
      <c r="F780" s="3" t="s">
        <v>14</v>
      </c>
      <c r="G780" s="3" t="s">
        <v>188</v>
      </c>
      <c r="H780" s="3" t="s">
        <v>1013</v>
      </c>
      <c r="I780" s="11">
        <v>695.7</v>
      </c>
      <c r="J780" s="18">
        <v>2</v>
      </c>
      <c r="K780" s="12">
        <v>-27.827999999999999</v>
      </c>
    </row>
    <row r="781" spans="1:11" x14ac:dyDescent="0.25">
      <c r="A781" s="4">
        <v>43625</v>
      </c>
      <c r="B781" s="19">
        <f t="shared" si="24"/>
        <v>2019</v>
      </c>
      <c r="C781" s="19">
        <f t="shared" si="25"/>
        <v>6</v>
      </c>
      <c r="D781" s="5" t="s">
        <v>495</v>
      </c>
      <c r="E781" s="5" t="s">
        <v>18</v>
      </c>
      <c r="F781" s="5" t="s">
        <v>11</v>
      </c>
      <c r="G781" s="5" t="s">
        <v>112</v>
      </c>
      <c r="H781" s="5" t="s">
        <v>1014</v>
      </c>
      <c r="I781" s="13">
        <v>122.352</v>
      </c>
      <c r="J781" s="19">
        <v>3</v>
      </c>
      <c r="K781" s="14">
        <v>13.7646</v>
      </c>
    </row>
    <row r="782" spans="1:11" x14ac:dyDescent="0.25">
      <c r="A782" s="2">
        <v>43625</v>
      </c>
      <c r="B782" s="18">
        <f t="shared" si="24"/>
        <v>2019</v>
      </c>
      <c r="C782" s="18">
        <f t="shared" si="25"/>
        <v>6</v>
      </c>
      <c r="D782" s="3" t="s">
        <v>1015</v>
      </c>
      <c r="E782" s="3" t="s">
        <v>387</v>
      </c>
      <c r="F782" s="3" t="s">
        <v>11</v>
      </c>
      <c r="G782" s="3" t="s">
        <v>30</v>
      </c>
      <c r="H782" s="3" t="s">
        <v>1016</v>
      </c>
      <c r="I782" s="11">
        <v>692.94</v>
      </c>
      <c r="J782" s="18">
        <v>3</v>
      </c>
      <c r="K782" s="12">
        <v>173.23500000000001</v>
      </c>
    </row>
    <row r="783" spans="1:11" x14ac:dyDescent="0.25">
      <c r="A783" s="4">
        <v>43626</v>
      </c>
      <c r="B783" s="19">
        <f t="shared" si="24"/>
        <v>2019</v>
      </c>
      <c r="C783" s="19">
        <f t="shared" si="25"/>
        <v>6</v>
      </c>
      <c r="D783" s="5" t="s">
        <v>1017</v>
      </c>
      <c r="E783" s="5" t="s">
        <v>18</v>
      </c>
      <c r="F783" s="5" t="s">
        <v>19</v>
      </c>
      <c r="G783" s="5" t="s">
        <v>127</v>
      </c>
      <c r="H783" s="5" t="s">
        <v>534</v>
      </c>
      <c r="I783" s="13">
        <v>20.7</v>
      </c>
      <c r="J783" s="19">
        <v>2</v>
      </c>
      <c r="K783" s="14">
        <v>9.9359999999999999</v>
      </c>
    </row>
    <row r="784" spans="1:11" x14ac:dyDescent="0.25">
      <c r="A784" s="2">
        <v>43626</v>
      </c>
      <c r="B784" s="18">
        <f t="shared" si="24"/>
        <v>2019</v>
      </c>
      <c r="C784" s="18">
        <f t="shared" si="25"/>
        <v>6</v>
      </c>
      <c r="D784" s="3" t="s">
        <v>1017</v>
      </c>
      <c r="E784" s="3" t="s">
        <v>18</v>
      </c>
      <c r="F784" s="3" t="s">
        <v>11</v>
      </c>
      <c r="G784" s="3" t="s">
        <v>30</v>
      </c>
      <c r="H784" s="3" t="s">
        <v>169</v>
      </c>
      <c r="I784" s="11">
        <v>1335.68</v>
      </c>
      <c r="J784" s="18">
        <v>4</v>
      </c>
      <c r="K784" s="12">
        <v>-217.048</v>
      </c>
    </row>
    <row r="785" spans="1:11" x14ac:dyDescent="0.25">
      <c r="A785" s="4">
        <v>43626</v>
      </c>
      <c r="B785" s="19">
        <f t="shared" si="24"/>
        <v>2019</v>
      </c>
      <c r="C785" s="19">
        <f t="shared" si="25"/>
        <v>6</v>
      </c>
      <c r="D785" s="5" t="s">
        <v>1017</v>
      </c>
      <c r="E785" s="5" t="s">
        <v>18</v>
      </c>
      <c r="F785" s="5" t="s">
        <v>19</v>
      </c>
      <c r="G785" s="5" t="s">
        <v>53</v>
      </c>
      <c r="H785" s="5" t="s">
        <v>721</v>
      </c>
      <c r="I785" s="13">
        <v>32.4</v>
      </c>
      <c r="J785" s="19">
        <v>5</v>
      </c>
      <c r="K785" s="14">
        <v>15.552</v>
      </c>
    </row>
    <row r="786" spans="1:11" x14ac:dyDescent="0.25">
      <c r="A786" s="2">
        <v>43626</v>
      </c>
      <c r="B786" s="18">
        <f t="shared" si="24"/>
        <v>2019</v>
      </c>
      <c r="C786" s="18">
        <f t="shared" si="25"/>
        <v>6</v>
      </c>
      <c r="D786" s="3" t="s">
        <v>73</v>
      </c>
      <c r="E786" s="3" t="s">
        <v>39</v>
      </c>
      <c r="F786" s="3" t="s">
        <v>19</v>
      </c>
      <c r="G786" s="3" t="s">
        <v>127</v>
      </c>
      <c r="H786" s="3" t="s">
        <v>1018</v>
      </c>
      <c r="I786" s="11">
        <v>23.616</v>
      </c>
      <c r="J786" s="18">
        <v>8</v>
      </c>
      <c r="K786" s="12">
        <v>7.9703999999999997</v>
      </c>
    </row>
    <row r="787" spans="1:11" x14ac:dyDescent="0.25">
      <c r="A787" s="4">
        <v>43627</v>
      </c>
      <c r="B787" s="19">
        <f t="shared" si="24"/>
        <v>2019</v>
      </c>
      <c r="C787" s="19">
        <f t="shared" si="25"/>
        <v>6</v>
      </c>
      <c r="D787" s="5" t="s">
        <v>1019</v>
      </c>
      <c r="E787" s="5" t="s">
        <v>23</v>
      </c>
      <c r="F787" s="5" t="s">
        <v>19</v>
      </c>
      <c r="G787" s="5" t="s">
        <v>32</v>
      </c>
      <c r="H787" s="5" t="s">
        <v>774</v>
      </c>
      <c r="I787" s="13">
        <v>1.3440000000000001</v>
      </c>
      <c r="J787" s="19">
        <v>4</v>
      </c>
      <c r="K787" s="14">
        <v>-2.1503999999999999</v>
      </c>
    </row>
    <row r="788" spans="1:11" x14ac:dyDescent="0.25">
      <c r="A788" s="2">
        <v>43627</v>
      </c>
      <c r="B788" s="18">
        <f t="shared" si="24"/>
        <v>2019</v>
      </c>
      <c r="C788" s="18">
        <f t="shared" si="25"/>
        <v>6</v>
      </c>
      <c r="D788" s="3" t="s">
        <v>1019</v>
      </c>
      <c r="E788" s="3" t="s">
        <v>23</v>
      </c>
      <c r="F788" s="3" t="s">
        <v>19</v>
      </c>
      <c r="G788" s="3" t="s">
        <v>32</v>
      </c>
      <c r="H788" s="3" t="s">
        <v>1020</v>
      </c>
      <c r="I788" s="11">
        <v>8.2720000000000002</v>
      </c>
      <c r="J788" s="18">
        <v>4</v>
      </c>
      <c r="K788" s="12">
        <v>-13.6488</v>
      </c>
    </row>
    <row r="789" spans="1:11" x14ac:dyDescent="0.25">
      <c r="A789" s="4">
        <v>43627</v>
      </c>
      <c r="B789" s="19">
        <f t="shared" si="24"/>
        <v>2019</v>
      </c>
      <c r="C789" s="19">
        <f t="shared" si="25"/>
        <v>6</v>
      </c>
      <c r="D789" s="5" t="s">
        <v>1019</v>
      </c>
      <c r="E789" s="5" t="s">
        <v>23</v>
      </c>
      <c r="F789" s="5" t="s">
        <v>11</v>
      </c>
      <c r="G789" s="5" t="s">
        <v>51</v>
      </c>
      <c r="H789" s="5" t="s">
        <v>1021</v>
      </c>
      <c r="I789" s="13">
        <v>12.544</v>
      </c>
      <c r="J789" s="19">
        <v>7</v>
      </c>
      <c r="K789" s="14">
        <v>-9.0944000000000003</v>
      </c>
    </row>
    <row r="790" spans="1:11" x14ac:dyDescent="0.25">
      <c r="A790" s="2">
        <v>43627</v>
      </c>
      <c r="B790" s="18">
        <f t="shared" si="24"/>
        <v>2019</v>
      </c>
      <c r="C790" s="18">
        <f t="shared" si="25"/>
        <v>6</v>
      </c>
      <c r="D790" s="3" t="s">
        <v>1022</v>
      </c>
      <c r="E790" s="3" t="s">
        <v>94</v>
      </c>
      <c r="F790" s="3" t="s">
        <v>14</v>
      </c>
      <c r="G790" s="3" t="s">
        <v>24</v>
      </c>
      <c r="H790" s="3" t="s">
        <v>1023</v>
      </c>
      <c r="I790" s="11">
        <v>239.97</v>
      </c>
      <c r="J790" s="18">
        <v>3</v>
      </c>
      <c r="K790" s="12">
        <v>71.991</v>
      </c>
    </row>
    <row r="791" spans="1:11" x14ac:dyDescent="0.25">
      <c r="A791" s="4">
        <v>43627</v>
      </c>
      <c r="B791" s="19">
        <f t="shared" si="24"/>
        <v>2019</v>
      </c>
      <c r="C791" s="19">
        <f t="shared" si="25"/>
        <v>6</v>
      </c>
      <c r="D791" s="5" t="s">
        <v>187</v>
      </c>
      <c r="E791" s="5" t="s">
        <v>70</v>
      </c>
      <c r="F791" s="5" t="s">
        <v>19</v>
      </c>
      <c r="G791" s="5" t="s">
        <v>127</v>
      </c>
      <c r="H791" s="5" t="s">
        <v>1024</v>
      </c>
      <c r="I791" s="13">
        <v>14.62</v>
      </c>
      <c r="J791" s="19">
        <v>2</v>
      </c>
      <c r="K791" s="14">
        <v>6.8714000000000004</v>
      </c>
    </row>
    <row r="792" spans="1:11" x14ac:dyDescent="0.25">
      <c r="A792" s="2">
        <v>43627</v>
      </c>
      <c r="B792" s="18">
        <f t="shared" si="24"/>
        <v>2019</v>
      </c>
      <c r="C792" s="18">
        <f t="shared" si="25"/>
        <v>6</v>
      </c>
      <c r="D792" s="3" t="s">
        <v>187</v>
      </c>
      <c r="E792" s="3" t="s">
        <v>70</v>
      </c>
      <c r="F792" s="3" t="s">
        <v>19</v>
      </c>
      <c r="G792" s="3" t="s">
        <v>32</v>
      </c>
      <c r="H792" s="3" t="s">
        <v>876</v>
      </c>
      <c r="I792" s="11">
        <v>53.984000000000002</v>
      </c>
      <c r="J792" s="18">
        <v>14</v>
      </c>
      <c r="K792" s="12">
        <v>17.544799999999999</v>
      </c>
    </row>
    <row r="793" spans="1:11" x14ac:dyDescent="0.25">
      <c r="A793" s="4">
        <v>43627</v>
      </c>
      <c r="B793" s="19">
        <f t="shared" si="24"/>
        <v>2019</v>
      </c>
      <c r="C793" s="19">
        <f t="shared" si="25"/>
        <v>6</v>
      </c>
      <c r="D793" s="5" t="s">
        <v>187</v>
      </c>
      <c r="E793" s="5" t="s">
        <v>70</v>
      </c>
      <c r="F793" s="5" t="s">
        <v>14</v>
      </c>
      <c r="G793" s="5" t="s">
        <v>24</v>
      </c>
      <c r="H793" s="5" t="s">
        <v>1025</v>
      </c>
      <c r="I793" s="13">
        <v>389.97</v>
      </c>
      <c r="J793" s="19">
        <v>3</v>
      </c>
      <c r="K793" s="14">
        <v>132.5898</v>
      </c>
    </row>
    <row r="794" spans="1:11" x14ac:dyDescent="0.25">
      <c r="A794" s="2">
        <v>43627</v>
      </c>
      <c r="B794" s="18">
        <f t="shared" si="24"/>
        <v>2019</v>
      </c>
      <c r="C794" s="18">
        <f t="shared" si="25"/>
        <v>6</v>
      </c>
      <c r="D794" s="3" t="s">
        <v>1026</v>
      </c>
      <c r="E794" s="3" t="s">
        <v>18</v>
      </c>
      <c r="F794" s="3" t="s">
        <v>11</v>
      </c>
      <c r="G794" s="3" t="s">
        <v>30</v>
      </c>
      <c r="H794" s="3" t="s">
        <v>1027</v>
      </c>
      <c r="I794" s="11">
        <v>902.71199999999999</v>
      </c>
      <c r="J794" s="18">
        <v>3</v>
      </c>
      <c r="K794" s="12">
        <v>33.851700000000001</v>
      </c>
    </row>
    <row r="795" spans="1:11" x14ac:dyDescent="0.25">
      <c r="A795" s="4">
        <v>43628</v>
      </c>
      <c r="B795" s="19">
        <f t="shared" si="24"/>
        <v>2019</v>
      </c>
      <c r="C795" s="19">
        <f t="shared" si="25"/>
        <v>6</v>
      </c>
      <c r="D795" s="5" t="s">
        <v>1028</v>
      </c>
      <c r="E795" s="5" t="s">
        <v>18</v>
      </c>
      <c r="F795" s="5" t="s">
        <v>19</v>
      </c>
      <c r="G795" s="5" t="s">
        <v>127</v>
      </c>
      <c r="H795" s="5" t="s">
        <v>1029</v>
      </c>
      <c r="I795" s="13">
        <v>14.62</v>
      </c>
      <c r="J795" s="19">
        <v>2</v>
      </c>
      <c r="K795" s="14">
        <v>6.8714000000000004</v>
      </c>
    </row>
    <row r="796" spans="1:11" x14ac:dyDescent="0.25">
      <c r="A796" s="2">
        <v>43628</v>
      </c>
      <c r="B796" s="18">
        <f t="shared" si="24"/>
        <v>2019</v>
      </c>
      <c r="C796" s="18">
        <f t="shared" si="25"/>
        <v>6</v>
      </c>
      <c r="D796" s="3" t="s">
        <v>416</v>
      </c>
      <c r="E796" s="3" t="s">
        <v>898</v>
      </c>
      <c r="F796" s="3" t="s">
        <v>19</v>
      </c>
      <c r="G796" s="3" t="s">
        <v>121</v>
      </c>
      <c r="H796" s="3" t="s">
        <v>1030</v>
      </c>
      <c r="I796" s="11">
        <v>208.16</v>
      </c>
      <c r="J796" s="18">
        <v>1</v>
      </c>
      <c r="K796" s="12">
        <v>56.203200000000002</v>
      </c>
    </row>
    <row r="797" spans="1:11" x14ac:dyDescent="0.25">
      <c r="A797" s="4">
        <v>43628</v>
      </c>
      <c r="B797" s="19">
        <f t="shared" si="24"/>
        <v>2019</v>
      </c>
      <c r="C797" s="19">
        <f t="shared" si="25"/>
        <v>6</v>
      </c>
      <c r="D797" s="5" t="s">
        <v>416</v>
      </c>
      <c r="E797" s="5" t="s">
        <v>898</v>
      </c>
      <c r="F797" s="5" t="s">
        <v>19</v>
      </c>
      <c r="G797" s="5" t="s">
        <v>32</v>
      </c>
      <c r="H797" s="5" t="s">
        <v>274</v>
      </c>
      <c r="I797" s="13">
        <v>16.739999999999998</v>
      </c>
      <c r="J797" s="19">
        <v>3</v>
      </c>
      <c r="K797" s="14">
        <v>8.0351999999999997</v>
      </c>
    </row>
    <row r="798" spans="1:11" x14ac:dyDescent="0.25">
      <c r="A798" s="2">
        <v>43628</v>
      </c>
      <c r="B798" s="18">
        <f t="shared" si="24"/>
        <v>2019</v>
      </c>
      <c r="C798" s="18">
        <f t="shared" si="25"/>
        <v>6</v>
      </c>
      <c r="D798" s="3" t="s">
        <v>156</v>
      </c>
      <c r="E798" s="3" t="s">
        <v>309</v>
      </c>
      <c r="F798" s="3" t="s">
        <v>11</v>
      </c>
      <c r="G798" s="3" t="s">
        <v>51</v>
      </c>
      <c r="H798" s="3" t="s">
        <v>1031</v>
      </c>
      <c r="I798" s="11">
        <v>47.04</v>
      </c>
      <c r="J798" s="18">
        <v>3</v>
      </c>
      <c r="K798" s="12">
        <v>18.345600000000001</v>
      </c>
    </row>
    <row r="799" spans="1:11" x14ac:dyDescent="0.25">
      <c r="A799" s="4">
        <v>43628</v>
      </c>
      <c r="B799" s="19">
        <f t="shared" si="24"/>
        <v>2019</v>
      </c>
      <c r="C799" s="19">
        <f t="shared" si="25"/>
        <v>6</v>
      </c>
      <c r="D799" s="5" t="s">
        <v>156</v>
      </c>
      <c r="E799" s="5" t="s">
        <v>309</v>
      </c>
      <c r="F799" s="5" t="s">
        <v>19</v>
      </c>
      <c r="G799" s="5" t="s">
        <v>32</v>
      </c>
      <c r="H799" s="5" t="s">
        <v>1032</v>
      </c>
      <c r="I799" s="13">
        <v>30.84</v>
      </c>
      <c r="J799" s="19">
        <v>4</v>
      </c>
      <c r="K799" s="14">
        <v>13.878</v>
      </c>
    </row>
    <row r="800" spans="1:11" x14ac:dyDescent="0.25">
      <c r="A800" s="2">
        <v>43628</v>
      </c>
      <c r="B800" s="18">
        <f t="shared" si="24"/>
        <v>2019</v>
      </c>
      <c r="C800" s="18">
        <f t="shared" si="25"/>
        <v>6</v>
      </c>
      <c r="D800" s="3" t="s">
        <v>156</v>
      </c>
      <c r="E800" s="3" t="s">
        <v>309</v>
      </c>
      <c r="F800" s="3" t="s">
        <v>19</v>
      </c>
      <c r="G800" s="3" t="s">
        <v>20</v>
      </c>
      <c r="H800" s="3" t="s">
        <v>1033</v>
      </c>
      <c r="I800" s="11">
        <v>226.56</v>
      </c>
      <c r="J800" s="18">
        <v>6</v>
      </c>
      <c r="K800" s="12">
        <v>63.436799999999998</v>
      </c>
    </row>
    <row r="801" spans="1:11" x14ac:dyDescent="0.25">
      <c r="A801" s="4">
        <v>43628</v>
      </c>
      <c r="B801" s="19">
        <f t="shared" si="24"/>
        <v>2019</v>
      </c>
      <c r="C801" s="19">
        <f t="shared" si="25"/>
        <v>6</v>
      </c>
      <c r="D801" s="5" t="s">
        <v>156</v>
      </c>
      <c r="E801" s="5" t="s">
        <v>309</v>
      </c>
      <c r="F801" s="5" t="s">
        <v>19</v>
      </c>
      <c r="G801" s="5" t="s">
        <v>86</v>
      </c>
      <c r="H801" s="5" t="s">
        <v>611</v>
      </c>
      <c r="I801" s="13">
        <v>115.02</v>
      </c>
      <c r="J801" s="19">
        <v>9</v>
      </c>
      <c r="K801" s="14">
        <v>51.759</v>
      </c>
    </row>
    <row r="802" spans="1:11" x14ac:dyDescent="0.25">
      <c r="A802" s="2">
        <v>43628</v>
      </c>
      <c r="B802" s="18">
        <f t="shared" si="24"/>
        <v>2019</v>
      </c>
      <c r="C802" s="18">
        <f t="shared" si="25"/>
        <v>6</v>
      </c>
      <c r="D802" s="3" t="s">
        <v>156</v>
      </c>
      <c r="E802" s="3" t="s">
        <v>309</v>
      </c>
      <c r="F802" s="3" t="s">
        <v>14</v>
      </c>
      <c r="G802" s="3" t="s">
        <v>15</v>
      </c>
      <c r="H802" s="3" t="s">
        <v>1034</v>
      </c>
      <c r="I802" s="11">
        <v>68.040000000000006</v>
      </c>
      <c r="J802" s="18">
        <v>7</v>
      </c>
      <c r="K802" s="12">
        <v>19.7316</v>
      </c>
    </row>
    <row r="803" spans="1:11" x14ac:dyDescent="0.25">
      <c r="A803" s="4">
        <v>43628</v>
      </c>
      <c r="B803" s="19">
        <f t="shared" si="24"/>
        <v>2019</v>
      </c>
      <c r="C803" s="19">
        <f t="shared" si="25"/>
        <v>6</v>
      </c>
      <c r="D803" s="5" t="s">
        <v>1035</v>
      </c>
      <c r="E803" s="5" t="s">
        <v>164</v>
      </c>
      <c r="F803" s="5" t="s">
        <v>14</v>
      </c>
      <c r="G803" s="5" t="s">
        <v>188</v>
      </c>
      <c r="H803" s="5" t="s">
        <v>1036</v>
      </c>
      <c r="I803" s="13">
        <v>1007.979</v>
      </c>
      <c r="J803" s="19">
        <v>3</v>
      </c>
      <c r="K803" s="14">
        <v>43.199100000000001</v>
      </c>
    </row>
    <row r="804" spans="1:11" x14ac:dyDescent="0.25">
      <c r="A804" s="2">
        <v>43628</v>
      </c>
      <c r="B804" s="18">
        <f t="shared" si="24"/>
        <v>2019</v>
      </c>
      <c r="C804" s="18">
        <f t="shared" si="25"/>
        <v>6</v>
      </c>
      <c r="D804" s="3" t="s">
        <v>1035</v>
      </c>
      <c r="E804" s="3" t="s">
        <v>164</v>
      </c>
      <c r="F804" s="3" t="s">
        <v>19</v>
      </c>
      <c r="G804" s="3" t="s">
        <v>53</v>
      </c>
      <c r="H804" s="3" t="s">
        <v>1037</v>
      </c>
      <c r="I804" s="11">
        <v>313.488</v>
      </c>
      <c r="J804" s="18">
        <v>7</v>
      </c>
      <c r="K804" s="12">
        <v>113.63939999999999</v>
      </c>
    </row>
    <row r="805" spans="1:11" x14ac:dyDescent="0.25">
      <c r="A805" s="4">
        <v>43628</v>
      </c>
      <c r="B805" s="19">
        <f t="shared" si="24"/>
        <v>2019</v>
      </c>
      <c r="C805" s="19">
        <f t="shared" si="25"/>
        <v>6</v>
      </c>
      <c r="D805" s="5" t="s">
        <v>1038</v>
      </c>
      <c r="E805" s="5" t="s">
        <v>164</v>
      </c>
      <c r="F805" s="5" t="s">
        <v>19</v>
      </c>
      <c r="G805" s="5" t="s">
        <v>53</v>
      </c>
      <c r="H805" s="5" t="s">
        <v>1039</v>
      </c>
      <c r="I805" s="13">
        <v>23.12</v>
      </c>
      <c r="J805" s="19">
        <v>5</v>
      </c>
      <c r="K805" s="14">
        <v>8.3810000000000002</v>
      </c>
    </row>
    <row r="806" spans="1:11" x14ac:dyDescent="0.25">
      <c r="A806" s="2">
        <v>43628</v>
      </c>
      <c r="B806" s="18">
        <f t="shared" si="24"/>
        <v>2019</v>
      </c>
      <c r="C806" s="18">
        <f t="shared" si="25"/>
        <v>6</v>
      </c>
      <c r="D806" s="3" t="s">
        <v>135</v>
      </c>
      <c r="E806" s="3" t="s">
        <v>94</v>
      </c>
      <c r="F806" s="3" t="s">
        <v>19</v>
      </c>
      <c r="G806" s="3" t="s">
        <v>53</v>
      </c>
      <c r="H806" s="3" t="s">
        <v>1040</v>
      </c>
      <c r="I806" s="11">
        <v>92.94</v>
      </c>
      <c r="J806" s="18">
        <v>3</v>
      </c>
      <c r="K806" s="12">
        <v>41.823</v>
      </c>
    </row>
    <row r="807" spans="1:11" x14ac:dyDescent="0.25">
      <c r="A807" s="4">
        <v>43628</v>
      </c>
      <c r="B807" s="19">
        <f t="shared" si="24"/>
        <v>2019</v>
      </c>
      <c r="C807" s="19">
        <f t="shared" si="25"/>
        <v>6</v>
      </c>
      <c r="D807" s="5" t="s">
        <v>135</v>
      </c>
      <c r="E807" s="5" t="s">
        <v>94</v>
      </c>
      <c r="F807" s="5" t="s">
        <v>19</v>
      </c>
      <c r="G807" s="5" t="s">
        <v>121</v>
      </c>
      <c r="H807" s="5" t="s">
        <v>1041</v>
      </c>
      <c r="I807" s="13">
        <v>52.56</v>
      </c>
      <c r="J807" s="19">
        <v>3</v>
      </c>
      <c r="K807" s="14">
        <v>18.396000000000001</v>
      </c>
    </row>
    <row r="808" spans="1:11" x14ac:dyDescent="0.25">
      <c r="A808" s="2">
        <v>43628</v>
      </c>
      <c r="B808" s="18">
        <f t="shared" si="24"/>
        <v>2019</v>
      </c>
      <c r="C808" s="18">
        <f t="shared" si="25"/>
        <v>6</v>
      </c>
      <c r="D808" s="3" t="s">
        <v>250</v>
      </c>
      <c r="E808" s="3" t="s">
        <v>18</v>
      </c>
      <c r="F808" s="3" t="s">
        <v>19</v>
      </c>
      <c r="G808" s="3" t="s">
        <v>53</v>
      </c>
      <c r="H808" s="3" t="s">
        <v>1040</v>
      </c>
      <c r="I808" s="11">
        <v>185.88</v>
      </c>
      <c r="J808" s="18">
        <v>6</v>
      </c>
      <c r="K808" s="12">
        <v>83.646000000000001</v>
      </c>
    </row>
    <row r="809" spans="1:11" x14ac:dyDescent="0.25">
      <c r="A809" s="4">
        <v>43628</v>
      </c>
      <c r="B809" s="19">
        <f t="shared" si="24"/>
        <v>2019</v>
      </c>
      <c r="C809" s="19">
        <f t="shared" si="25"/>
        <v>6</v>
      </c>
      <c r="D809" s="5" t="s">
        <v>250</v>
      </c>
      <c r="E809" s="5" t="s">
        <v>18</v>
      </c>
      <c r="F809" s="5" t="s">
        <v>19</v>
      </c>
      <c r="G809" s="5" t="s">
        <v>53</v>
      </c>
      <c r="H809" s="5" t="s">
        <v>957</v>
      </c>
      <c r="I809" s="13">
        <v>12.96</v>
      </c>
      <c r="J809" s="19">
        <v>2</v>
      </c>
      <c r="K809" s="14">
        <v>6.2207999999999997</v>
      </c>
    </row>
    <row r="810" spans="1:11" x14ac:dyDescent="0.25">
      <c r="A810" s="2">
        <v>43628</v>
      </c>
      <c r="B810" s="18">
        <f t="shared" si="24"/>
        <v>2019</v>
      </c>
      <c r="C810" s="18">
        <f t="shared" si="25"/>
        <v>6</v>
      </c>
      <c r="D810" s="3" t="s">
        <v>1042</v>
      </c>
      <c r="E810" s="3" t="s">
        <v>23</v>
      </c>
      <c r="F810" s="3" t="s">
        <v>19</v>
      </c>
      <c r="G810" s="3" t="s">
        <v>121</v>
      </c>
      <c r="H810" s="3" t="s">
        <v>1043</v>
      </c>
      <c r="I810" s="11">
        <v>64.384</v>
      </c>
      <c r="J810" s="18">
        <v>4</v>
      </c>
      <c r="K810" s="12">
        <v>-160.96</v>
      </c>
    </row>
    <row r="811" spans="1:11" x14ac:dyDescent="0.25">
      <c r="A811" s="4">
        <v>43628</v>
      </c>
      <c r="B811" s="19">
        <f t="shared" si="24"/>
        <v>2019</v>
      </c>
      <c r="C811" s="19">
        <f t="shared" si="25"/>
        <v>6</v>
      </c>
      <c r="D811" s="5" t="s">
        <v>1042</v>
      </c>
      <c r="E811" s="5" t="s">
        <v>23</v>
      </c>
      <c r="F811" s="5" t="s">
        <v>11</v>
      </c>
      <c r="G811" s="5" t="s">
        <v>51</v>
      </c>
      <c r="H811" s="5" t="s">
        <v>1044</v>
      </c>
      <c r="I811" s="13">
        <v>6.984</v>
      </c>
      <c r="J811" s="19">
        <v>2</v>
      </c>
      <c r="K811" s="14">
        <v>-4.5396000000000001</v>
      </c>
    </row>
    <row r="812" spans="1:11" x14ac:dyDescent="0.25">
      <c r="A812" s="2">
        <v>43628</v>
      </c>
      <c r="B812" s="18">
        <f t="shared" si="24"/>
        <v>2019</v>
      </c>
      <c r="C812" s="18">
        <f t="shared" si="25"/>
        <v>6</v>
      </c>
      <c r="D812" s="3" t="s">
        <v>1042</v>
      </c>
      <c r="E812" s="3" t="s">
        <v>23</v>
      </c>
      <c r="F812" s="3" t="s">
        <v>19</v>
      </c>
      <c r="G812" s="3" t="s">
        <v>40</v>
      </c>
      <c r="H812" s="3" t="s">
        <v>1045</v>
      </c>
      <c r="I812" s="11">
        <v>11.263999999999999</v>
      </c>
      <c r="J812" s="18">
        <v>8</v>
      </c>
      <c r="K812" s="12">
        <v>3.9424000000000001</v>
      </c>
    </row>
    <row r="813" spans="1:11" x14ac:dyDescent="0.25">
      <c r="A813" s="4">
        <v>43628</v>
      </c>
      <c r="B813" s="19">
        <f t="shared" si="24"/>
        <v>2019</v>
      </c>
      <c r="C813" s="19">
        <f t="shared" si="25"/>
        <v>6</v>
      </c>
      <c r="D813" s="5" t="s">
        <v>1042</v>
      </c>
      <c r="E813" s="5" t="s">
        <v>23</v>
      </c>
      <c r="F813" s="5" t="s">
        <v>19</v>
      </c>
      <c r="G813" s="5" t="s">
        <v>53</v>
      </c>
      <c r="H813" s="5" t="s">
        <v>1046</v>
      </c>
      <c r="I813" s="13">
        <v>15.552</v>
      </c>
      <c r="J813" s="19">
        <v>3</v>
      </c>
      <c r="K813" s="14">
        <v>5.6375999999999999</v>
      </c>
    </row>
    <row r="814" spans="1:11" x14ac:dyDescent="0.25">
      <c r="A814" s="2">
        <v>43628</v>
      </c>
      <c r="B814" s="18">
        <f t="shared" si="24"/>
        <v>2019</v>
      </c>
      <c r="C814" s="18">
        <f t="shared" si="25"/>
        <v>6</v>
      </c>
      <c r="D814" s="3" t="s">
        <v>1042</v>
      </c>
      <c r="E814" s="3" t="s">
        <v>23</v>
      </c>
      <c r="F814" s="3" t="s">
        <v>11</v>
      </c>
      <c r="G814" s="3" t="s">
        <v>112</v>
      </c>
      <c r="H814" s="3" t="s">
        <v>1047</v>
      </c>
      <c r="I814" s="11">
        <v>379.37200000000001</v>
      </c>
      <c r="J814" s="18">
        <v>2</v>
      </c>
      <c r="K814" s="12">
        <v>-119.2312</v>
      </c>
    </row>
    <row r="815" spans="1:11" x14ac:dyDescent="0.25">
      <c r="A815" s="4">
        <v>43628</v>
      </c>
      <c r="B815" s="19">
        <f t="shared" si="24"/>
        <v>2019</v>
      </c>
      <c r="C815" s="19">
        <f t="shared" si="25"/>
        <v>6</v>
      </c>
      <c r="D815" s="5" t="s">
        <v>1042</v>
      </c>
      <c r="E815" s="5" t="s">
        <v>23</v>
      </c>
      <c r="F815" s="5" t="s">
        <v>19</v>
      </c>
      <c r="G815" s="5" t="s">
        <v>20</v>
      </c>
      <c r="H815" s="5" t="s">
        <v>1048</v>
      </c>
      <c r="I815" s="13">
        <v>67.536000000000001</v>
      </c>
      <c r="J815" s="19">
        <v>9</v>
      </c>
      <c r="K815" s="14">
        <v>6.7535999999999996</v>
      </c>
    </row>
    <row r="816" spans="1:11" x14ac:dyDescent="0.25">
      <c r="A816" s="2">
        <v>43628</v>
      </c>
      <c r="B816" s="18">
        <f t="shared" si="24"/>
        <v>2019</v>
      </c>
      <c r="C816" s="18">
        <f t="shared" si="25"/>
        <v>6</v>
      </c>
      <c r="D816" s="3" t="s">
        <v>1042</v>
      </c>
      <c r="E816" s="3" t="s">
        <v>23</v>
      </c>
      <c r="F816" s="3" t="s">
        <v>19</v>
      </c>
      <c r="G816" s="3" t="s">
        <v>32</v>
      </c>
      <c r="H816" s="3" t="s">
        <v>1049</v>
      </c>
      <c r="I816" s="11">
        <v>1.524</v>
      </c>
      <c r="J816" s="18">
        <v>2</v>
      </c>
      <c r="K816" s="12">
        <v>-2.6669999999999998</v>
      </c>
    </row>
    <row r="817" spans="1:11" x14ac:dyDescent="0.25">
      <c r="A817" s="4">
        <v>43629</v>
      </c>
      <c r="B817" s="19">
        <f t="shared" si="24"/>
        <v>2019</v>
      </c>
      <c r="C817" s="19">
        <f t="shared" si="25"/>
        <v>6</v>
      </c>
      <c r="D817" s="5" t="s">
        <v>170</v>
      </c>
      <c r="E817" s="5" t="s">
        <v>365</v>
      </c>
      <c r="F817" s="5" t="s">
        <v>14</v>
      </c>
      <c r="G817" s="5" t="s">
        <v>15</v>
      </c>
      <c r="H817" s="5" t="s">
        <v>1050</v>
      </c>
      <c r="I817" s="13">
        <v>377.97</v>
      </c>
      <c r="J817" s="19">
        <v>3</v>
      </c>
      <c r="K817" s="14">
        <v>94.492500000000007</v>
      </c>
    </row>
    <row r="818" spans="1:11" x14ac:dyDescent="0.25">
      <c r="A818" s="2">
        <v>43629</v>
      </c>
      <c r="B818" s="18">
        <f t="shared" si="24"/>
        <v>2019</v>
      </c>
      <c r="C818" s="18">
        <f t="shared" si="25"/>
        <v>6</v>
      </c>
      <c r="D818" s="3" t="s">
        <v>807</v>
      </c>
      <c r="E818" s="3" t="s">
        <v>1051</v>
      </c>
      <c r="F818" s="3" t="s">
        <v>19</v>
      </c>
      <c r="G818" s="3" t="s">
        <v>127</v>
      </c>
      <c r="H818" s="3" t="s">
        <v>1052</v>
      </c>
      <c r="I818" s="11">
        <v>18.899999999999999</v>
      </c>
      <c r="J818" s="18">
        <v>3</v>
      </c>
      <c r="K818" s="12">
        <v>8.6940000000000008</v>
      </c>
    </row>
    <row r="819" spans="1:11" x14ac:dyDescent="0.25">
      <c r="A819" s="4">
        <v>43629</v>
      </c>
      <c r="B819" s="19">
        <f t="shared" si="24"/>
        <v>2019</v>
      </c>
      <c r="C819" s="19">
        <f t="shared" si="25"/>
        <v>6</v>
      </c>
      <c r="D819" s="5" t="s">
        <v>261</v>
      </c>
      <c r="E819" s="5" t="s">
        <v>94</v>
      </c>
      <c r="F819" s="5" t="s">
        <v>19</v>
      </c>
      <c r="G819" s="5" t="s">
        <v>32</v>
      </c>
      <c r="H819" s="5" t="s">
        <v>1053</v>
      </c>
      <c r="I819" s="13">
        <v>33.567999999999998</v>
      </c>
      <c r="J819" s="19">
        <v>2</v>
      </c>
      <c r="K819" s="14">
        <v>11.748799999999999</v>
      </c>
    </row>
    <row r="820" spans="1:11" x14ac:dyDescent="0.25">
      <c r="A820" s="2">
        <v>43630</v>
      </c>
      <c r="B820" s="18">
        <f t="shared" si="24"/>
        <v>2019</v>
      </c>
      <c r="C820" s="18">
        <f t="shared" si="25"/>
        <v>6</v>
      </c>
      <c r="D820" s="3" t="s">
        <v>283</v>
      </c>
      <c r="E820" s="3" t="s">
        <v>18</v>
      </c>
      <c r="F820" s="3" t="s">
        <v>19</v>
      </c>
      <c r="G820" s="3" t="s">
        <v>40</v>
      </c>
      <c r="H820" s="3" t="s">
        <v>1054</v>
      </c>
      <c r="I820" s="11">
        <v>7.04</v>
      </c>
      <c r="J820" s="18">
        <v>4</v>
      </c>
      <c r="K820" s="12">
        <v>2.0415999999999999</v>
      </c>
    </row>
    <row r="821" spans="1:11" x14ac:dyDescent="0.25">
      <c r="A821" s="4">
        <v>43630</v>
      </c>
      <c r="B821" s="19">
        <f t="shared" si="24"/>
        <v>2019</v>
      </c>
      <c r="C821" s="19">
        <f t="shared" si="25"/>
        <v>6</v>
      </c>
      <c r="D821" s="5" t="s">
        <v>283</v>
      </c>
      <c r="E821" s="5" t="s">
        <v>18</v>
      </c>
      <c r="F821" s="5" t="s">
        <v>11</v>
      </c>
      <c r="G821" s="5" t="s">
        <v>51</v>
      </c>
      <c r="H821" s="5" t="s">
        <v>650</v>
      </c>
      <c r="I821" s="13">
        <v>8.73</v>
      </c>
      <c r="J821" s="19">
        <v>3</v>
      </c>
      <c r="K821" s="14">
        <v>4.1031000000000004</v>
      </c>
    </row>
    <row r="822" spans="1:11" x14ac:dyDescent="0.25">
      <c r="A822" s="2">
        <v>43630</v>
      </c>
      <c r="B822" s="18">
        <f t="shared" si="24"/>
        <v>2019</v>
      </c>
      <c r="C822" s="18">
        <f t="shared" si="25"/>
        <v>6</v>
      </c>
      <c r="D822" s="3" t="s">
        <v>283</v>
      </c>
      <c r="E822" s="3" t="s">
        <v>18</v>
      </c>
      <c r="F822" s="3" t="s">
        <v>14</v>
      </c>
      <c r="G822" s="3" t="s">
        <v>24</v>
      </c>
      <c r="H822" s="3" t="s">
        <v>484</v>
      </c>
      <c r="I822" s="11">
        <v>29.29</v>
      </c>
      <c r="J822" s="18">
        <v>1</v>
      </c>
      <c r="K822" s="12">
        <v>9.6656999999999993</v>
      </c>
    </row>
    <row r="823" spans="1:11" x14ac:dyDescent="0.25">
      <c r="A823" s="4">
        <v>43630</v>
      </c>
      <c r="B823" s="19">
        <f t="shared" si="24"/>
        <v>2019</v>
      </c>
      <c r="C823" s="19">
        <f t="shared" si="25"/>
        <v>6</v>
      </c>
      <c r="D823" s="5" t="s">
        <v>283</v>
      </c>
      <c r="E823" s="5" t="s">
        <v>18</v>
      </c>
      <c r="F823" s="5" t="s">
        <v>19</v>
      </c>
      <c r="G823" s="5" t="s">
        <v>40</v>
      </c>
      <c r="H823" s="5" t="s">
        <v>1055</v>
      </c>
      <c r="I823" s="13">
        <v>8.64</v>
      </c>
      <c r="J823" s="19">
        <v>3</v>
      </c>
      <c r="K823" s="14">
        <v>2.5055999999999998</v>
      </c>
    </row>
    <row r="824" spans="1:11" x14ac:dyDescent="0.25">
      <c r="A824" s="2">
        <v>43630</v>
      </c>
      <c r="B824" s="18">
        <f t="shared" si="24"/>
        <v>2019</v>
      </c>
      <c r="C824" s="18">
        <f t="shared" si="25"/>
        <v>6</v>
      </c>
      <c r="D824" s="3" t="s">
        <v>1056</v>
      </c>
      <c r="E824" s="3" t="s">
        <v>18</v>
      </c>
      <c r="F824" s="3" t="s">
        <v>11</v>
      </c>
      <c r="G824" s="3" t="s">
        <v>12</v>
      </c>
      <c r="H824" s="3" t="s">
        <v>1057</v>
      </c>
      <c r="I824" s="11">
        <v>599.16499999999996</v>
      </c>
      <c r="J824" s="18">
        <v>5</v>
      </c>
      <c r="K824" s="12">
        <v>35.244999999999997</v>
      </c>
    </row>
    <row r="825" spans="1:11" x14ac:dyDescent="0.25">
      <c r="A825" s="4">
        <v>43630</v>
      </c>
      <c r="B825" s="19">
        <f t="shared" si="24"/>
        <v>2019</v>
      </c>
      <c r="C825" s="19">
        <f t="shared" si="25"/>
        <v>6</v>
      </c>
      <c r="D825" s="5" t="s">
        <v>349</v>
      </c>
      <c r="E825" s="5" t="s">
        <v>18</v>
      </c>
      <c r="F825" s="5" t="s">
        <v>11</v>
      </c>
      <c r="G825" s="5" t="s">
        <v>30</v>
      </c>
      <c r="H825" s="5" t="s">
        <v>1016</v>
      </c>
      <c r="I825" s="13">
        <v>1293.4880000000001</v>
      </c>
      <c r="J825" s="19">
        <v>7</v>
      </c>
      <c r="K825" s="14">
        <v>80.843000000000004</v>
      </c>
    </row>
    <row r="826" spans="1:11" x14ac:dyDescent="0.25">
      <c r="A826" s="2">
        <v>43630</v>
      </c>
      <c r="B826" s="18">
        <f t="shared" si="24"/>
        <v>2019</v>
      </c>
      <c r="C826" s="18">
        <f t="shared" si="25"/>
        <v>6</v>
      </c>
      <c r="D826" s="3" t="s">
        <v>1058</v>
      </c>
      <c r="E826" s="3" t="s">
        <v>39</v>
      </c>
      <c r="F826" s="3" t="s">
        <v>11</v>
      </c>
      <c r="G826" s="3" t="s">
        <v>30</v>
      </c>
      <c r="H826" s="3" t="s">
        <v>780</v>
      </c>
      <c r="I826" s="11">
        <v>337.17599999999999</v>
      </c>
      <c r="J826" s="18">
        <v>2</v>
      </c>
      <c r="K826" s="12">
        <v>-118.0116</v>
      </c>
    </row>
    <row r="827" spans="1:11" x14ac:dyDescent="0.25">
      <c r="A827" s="4">
        <v>43630</v>
      </c>
      <c r="B827" s="19">
        <f t="shared" si="24"/>
        <v>2019</v>
      </c>
      <c r="C827" s="19">
        <f t="shared" si="25"/>
        <v>6</v>
      </c>
      <c r="D827" s="5" t="s">
        <v>445</v>
      </c>
      <c r="E827" s="5" t="s">
        <v>44</v>
      </c>
      <c r="F827" s="5" t="s">
        <v>19</v>
      </c>
      <c r="G827" s="5" t="s">
        <v>32</v>
      </c>
      <c r="H827" s="5" t="s">
        <v>1059</v>
      </c>
      <c r="I827" s="13">
        <v>39.936</v>
      </c>
      <c r="J827" s="19">
        <v>4</v>
      </c>
      <c r="K827" s="14">
        <v>-26.623999999999999</v>
      </c>
    </row>
    <row r="828" spans="1:11" x14ac:dyDescent="0.25">
      <c r="A828" s="2">
        <v>43630</v>
      </c>
      <c r="B828" s="18">
        <f t="shared" si="24"/>
        <v>2019</v>
      </c>
      <c r="C828" s="18">
        <f t="shared" si="25"/>
        <v>6</v>
      </c>
      <c r="D828" s="3" t="s">
        <v>445</v>
      </c>
      <c r="E828" s="3" t="s">
        <v>44</v>
      </c>
      <c r="F828" s="3" t="s">
        <v>14</v>
      </c>
      <c r="G828" s="3" t="s">
        <v>24</v>
      </c>
      <c r="H828" s="3" t="s">
        <v>1060</v>
      </c>
      <c r="I828" s="11">
        <v>18.463999999999999</v>
      </c>
      <c r="J828" s="18">
        <v>2</v>
      </c>
      <c r="K828" s="12">
        <v>2.3079999999999998</v>
      </c>
    </row>
    <row r="829" spans="1:11" x14ac:dyDescent="0.25">
      <c r="A829" s="4">
        <v>43630</v>
      </c>
      <c r="B829" s="19">
        <f t="shared" si="24"/>
        <v>2019</v>
      </c>
      <c r="C829" s="19">
        <f t="shared" si="25"/>
        <v>6</v>
      </c>
      <c r="D829" s="5" t="s">
        <v>1061</v>
      </c>
      <c r="E829" s="5" t="s">
        <v>70</v>
      </c>
      <c r="F829" s="5" t="s">
        <v>11</v>
      </c>
      <c r="G829" s="5" t="s">
        <v>30</v>
      </c>
      <c r="H829" s="5" t="s">
        <v>409</v>
      </c>
      <c r="I829" s="13">
        <v>1115.17</v>
      </c>
      <c r="J829" s="19">
        <v>7</v>
      </c>
      <c r="K829" s="14">
        <v>334.55099999999999</v>
      </c>
    </row>
    <row r="830" spans="1:11" x14ac:dyDescent="0.25">
      <c r="A830" s="2">
        <v>43631</v>
      </c>
      <c r="B830" s="18">
        <f t="shared" si="24"/>
        <v>2019</v>
      </c>
      <c r="C830" s="18">
        <f t="shared" si="25"/>
        <v>6</v>
      </c>
      <c r="D830" s="3" t="s">
        <v>931</v>
      </c>
      <c r="E830" s="3" t="s">
        <v>23</v>
      </c>
      <c r="F830" s="3" t="s">
        <v>19</v>
      </c>
      <c r="G830" s="3" t="s">
        <v>53</v>
      </c>
      <c r="H830" s="3" t="s">
        <v>1062</v>
      </c>
      <c r="I830" s="11">
        <v>173.488</v>
      </c>
      <c r="J830" s="18">
        <v>7</v>
      </c>
      <c r="K830" s="12">
        <v>54.215000000000003</v>
      </c>
    </row>
    <row r="831" spans="1:11" x14ac:dyDescent="0.25">
      <c r="A831" s="4">
        <v>43632</v>
      </c>
      <c r="B831" s="19">
        <f t="shared" si="24"/>
        <v>2019</v>
      </c>
      <c r="C831" s="19">
        <f t="shared" si="25"/>
        <v>6</v>
      </c>
      <c r="D831" s="5" t="s">
        <v>632</v>
      </c>
      <c r="E831" s="5" t="s">
        <v>18</v>
      </c>
      <c r="F831" s="5" t="s">
        <v>19</v>
      </c>
      <c r="G831" s="5" t="s">
        <v>53</v>
      </c>
      <c r="H831" s="5" t="s">
        <v>548</v>
      </c>
      <c r="I831" s="13">
        <v>46.35</v>
      </c>
      <c r="J831" s="19">
        <v>5</v>
      </c>
      <c r="K831" s="14">
        <v>21.784500000000001</v>
      </c>
    </row>
    <row r="832" spans="1:11" x14ac:dyDescent="0.25">
      <c r="A832" s="2">
        <v>43632</v>
      </c>
      <c r="B832" s="18">
        <f t="shared" si="24"/>
        <v>2019</v>
      </c>
      <c r="C832" s="18">
        <f t="shared" si="25"/>
        <v>6</v>
      </c>
      <c r="D832" s="3" t="s">
        <v>1063</v>
      </c>
      <c r="E832" s="3" t="s">
        <v>219</v>
      </c>
      <c r="F832" s="3" t="s">
        <v>14</v>
      </c>
      <c r="G832" s="3" t="s">
        <v>188</v>
      </c>
      <c r="H832" s="3" t="s">
        <v>1064</v>
      </c>
      <c r="I832" s="11">
        <v>91.474999999999994</v>
      </c>
      <c r="J832" s="18">
        <v>1</v>
      </c>
      <c r="K832" s="12">
        <v>-1.8294999999999999</v>
      </c>
    </row>
    <row r="833" spans="1:11" x14ac:dyDescent="0.25">
      <c r="A833" s="4">
        <v>43632</v>
      </c>
      <c r="B833" s="19">
        <f t="shared" si="24"/>
        <v>2019</v>
      </c>
      <c r="C833" s="19">
        <f t="shared" si="25"/>
        <v>6</v>
      </c>
      <c r="D833" s="5" t="s">
        <v>1065</v>
      </c>
      <c r="E833" s="5" t="s">
        <v>309</v>
      </c>
      <c r="F833" s="5" t="s">
        <v>19</v>
      </c>
      <c r="G833" s="5" t="s">
        <v>127</v>
      </c>
      <c r="H833" s="5" t="s">
        <v>334</v>
      </c>
      <c r="I833" s="13">
        <v>9.4499999999999993</v>
      </c>
      <c r="J833" s="19">
        <v>3</v>
      </c>
      <c r="K833" s="14">
        <v>4.5359999999999996</v>
      </c>
    </row>
    <row r="834" spans="1:11" x14ac:dyDescent="0.25">
      <c r="A834" s="2">
        <v>43633</v>
      </c>
      <c r="B834" s="18">
        <f t="shared" ref="B834:B897" si="26">YEAR(A834)</f>
        <v>2019</v>
      </c>
      <c r="C834" s="18">
        <f t="shared" ref="C834:C897" si="27">MONTH(A834)</f>
        <v>6</v>
      </c>
      <c r="D834" s="3" t="s">
        <v>1066</v>
      </c>
      <c r="E834" s="3" t="s">
        <v>94</v>
      </c>
      <c r="F834" s="3" t="s">
        <v>19</v>
      </c>
      <c r="G834" s="3" t="s">
        <v>20</v>
      </c>
      <c r="H834" s="3" t="s">
        <v>865</v>
      </c>
      <c r="I834" s="11">
        <v>208.56</v>
      </c>
      <c r="J834" s="18">
        <v>6</v>
      </c>
      <c r="K834" s="12">
        <v>52.14</v>
      </c>
    </row>
    <row r="835" spans="1:11" x14ac:dyDescent="0.25">
      <c r="A835" s="4">
        <v>43633</v>
      </c>
      <c r="B835" s="19">
        <f t="shared" si="26"/>
        <v>2019</v>
      </c>
      <c r="C835" s="19">
        <f t="shared" si="27"/>
        <v>6</v>
      </c>
      <c r="D835" s="5" t="s">
        <v>1066</v>
      </c>
      <c r="E835" s="5" t="s">
        <v>94</v>
      </c>
      <c r="F835" s="5" t="s">
        <v>19</v>
      </c>
      <c r="G835" s="5" t="s">
        <v>53</v>
      </c>
      <c r="H835" s="5" t="s">
        <v>1067</v>
      </c>
      <c r="I835" s="13">
        <v>32.4</v>
      </c>
      <c r="J835" s="19">
        <v>5</v>
      </c>
      <c r="K835" s="14">
        <v>15.552</v>
      </c>
    </row>
    <row r="836" spans="1:11" x14ac:dyDescent="0.25">
      <c r="A836" s="2">
        <v>43633</v>
      </c>
      <c r="B836" s="18">
        <f t="shared" si="26"/>
        <v>2019</v>
      </c>
      <c r="C836" s="18">
        <f t="shared" si="27"/>
        <v>6</v>
      </c>
      <c r="D836" s="3" t="s">
        <v>1066</v>
      </c>
      <c r="E836" s="3" t="s">
        <v>94</v>
      </c>
      <c r="F836" s="3" t="s">
        <v>11</v>
      </c>
      <c r="G836" s="3" t="s">
        <v>112</v>
      </c>
      <c r="H836" s="3" t="s">
        <v>1068</v>
      </c>
      <c r="I836" s="11">
        <v>319.41000000000003</v>
      </c>
      <c r="J836" s="18">
        <v>5</v>
      </c>
      <c r="K836" s="12">
        <v>7.0979999999999999</v>
      </c>
    </row>
    <row r="837" spans="1:11" x14ac:dyDescent="0.25">
      <c r="A837" s="4">
        <v>43633</v>
      </c>
      <c r="B837" s="19">
        <f t="shared" si="26"/>
        <v>2019</v>
      </c>
      <c r="C837" s="19">
        <f t="shared" si="27"/>
        <v>6</v>
      </c>
      <c r="D837" s="5" t="s">
        <v>1066</v>
      </c>
      <c r="E837" s="5" t="s">
        <v>94</v>
      </c>
      <c r="F837" s="5" t="s">
        <v>19</v>
      </c>
      <c r="G837" s="5" t="s">
        <v>53</v>
      </c>
      <c r="H837" s="5" t="s">
        <v>1069</v>
      </c>
      <c r="I837" s="13">
        <v>14.56</v>
      </c>
      <c r="J837" s="19">
        <v>2</v>
      </c>
      <c r="K837" s="14">
        <v>6.9888000000000003</v>
      </c>
    </row>
    <row r="838" spans="1:11" x14ac:dyDescent="0.25">
      <c r="A838" s="2">
        <v>43633</v>
      </c>
      <c r="B838" s="18">
        <f t="shared" si="26"/>
        <v>2019</v>
      </c>
      <c r="C838" s="18">
        <f t="shared" si="27"/>
        <v>6</v>
      </c>
      <c r="D838" s="3" t="s">
        <v>1066</v>
      </c>
      <c r="E838" s="3" t="s">
        <v>94</v>
      </c>
      <c r="F838" s="3" t="s">
        <v>14</v>
      </c>
      <c r="G838" s="3" t="s">
        <v>24</v>
      </c>
      <c r="H838" s="3" t="s">
        <v>1070</v>
      </c>
      <c r="I838" s="11">
        <v>30</v>
      </c>
      <c r="J838" s="18">
        <v>2</v>
      </c>
      <c r="K838" s="12">
        <v>3.3</v>
      </c>
    </row>
    <row r="839" spans="1:11" x14ac:dyDescent="0.25">
      <c r="A839" s="4">
        <v>43633</v>
      </c>
      <c r="B839" s="19">
        <f t="shared" si="26"/>
        <v>2019</v>
      </c>
      <c r="C839" s="19">
        <f t="shared" si="27"/>
        <v>6</v>
      </c>
      <c r="D839" s="5" t="s">
        <v>1066</v>
      </c>
      <c r="E839" s="5" t="s">
        <v>94</v>
      </c>
      <c r="F839" s="5" t="s">
        <v>19</v>
      </c>
      <c r="G839" s="5" t="s">
        <v>32</v>
      </c>
      <c r="H839" s="5" t="s">
        <v>58</v>
      </c>
      <c r="I839" s="13">
        <v>48.48</v>
      </c>
      <c r="J839" s="19">
        <v>4</v>
      </c>
      <c r="K839" s="14">
        <v>16.361999999999998</v>
      </c>
    </row>
    <row r="840" spans="1:11" x14ac:dyDescent="0.25">
      <c r="A840" s="2">
        <v>43633</v>
      </c>
      <c r="B840" s="18">
        <f t="shared" si="26"/>
        <v>2019</v>
      </c>
      <c r="C840" s="18">
        <f t="shared" si="27"/>
        <v>6</v>
      </c>
      <c r="D840" s="3" t="s">
        <v>1066</v>
      </c>
      <c r="E840" s="3" t="s">
        <v>94</v>
      </c>
      <c r="F840" s="3" t="s">
        <v>19</v>
      </c>
      <c r="G840" s="3" t="s">
        <v>40</v>
      </c>
      <c r="H840" s="3" t="s">
        <v>481</v>
      </c>
      <c r="I840" s="11">
        <v>1.68</v>
      </c>
      <c r="J840" s="18">
        <v>1</v>
      </c>
      <c r="K840" s="12">
        <v>0.84</v>
      </c>
    </row>
    <row r="841" spans="1:11" x14ac:dyDescent="0.25">
      <c r="A841" s="4">
        <v>43633</v>
      </c>
      <c r="B841" s="19">
        <f t="shared" si="26"/>
        <v>2019</v>
      </c>
      <c r="C841" s="19">
        <f t="shared" si="27"/>
        <v>6</v>
      </c>
      <c r="D841" s="5" t="s">
        <v>1071</v>
      </c>
      <c r="E841" s="5" t="s">
        <v>18</v>
      </c>
      <c r="F841" s="5" t="s">
        <v>19</v>
      </c>
      <c r="G841" s="5" t="s">
        <v>53</v>
      </c>
      <c r="H841" s="5" t="s">
        <v>1072</v>
      </c>
      <c r="I841" s="13">
        <v>111.96</v>
      </c>
      <c r="J841" s="19">
        <v>2</v>
      </c>
      <c r="K841" s="14">
        <v>54.860399999999998</v>
      </c>
    </row>
    <row r="842" spans="1:11" x14ac:dyDescent="0.25">
      <c r="A842" s="2">
        <v>43633</v>
      </c>
      <c r="B842" s="18">
        <f t="shared" si="26"/>
        <v>2019</v>
      </c>
      <c r="C842" s="18">
        <f t="shared" si="27"/>
        <v>6</v>
      </c>
      <c r="D842" s="3" t="s">
        <v>245</v>
      </c>
      <c r="E842" s="3" t="s">
        <v>94</v>
      </c>
      <c r="F842" s="3" t="s">
        <v>19</v>
      </c>
      <c r="G842" s="3" t="s">
        <v>20</v>
      </c>
      <c r="H842" s="3" t="s">
        <v>1073</v>
      </c>
      <c r="I842" s="11">
        <v>40.74</v>
      </c>
      <c r="J842" s="18">
        <v>3</v>
      </c>
      <c r="K842" s="12">
        <v>0.40739999999999998</v>
      </c>
    </row>
    <row r="843" spans="1:11" x14ac:dyDescent="0.25">
      <c r="A843" s="4">
        <v>43633</v>
      </c>
      <c r="B843" s="19">
        <f t="shared" si="26"/>
        <v>2019</v>
      </c>
      <c r="C843" s="19">
        <f t="shared" si="27"/>
        <v>6</v>
      </c>
      <c r="D843" s="5" t="s">
        <v>1074</v>
      </c>
      <c r="E843" s="5" t="s">
        <v>18</v>
      </c>
      <c r="F843" s="5" t="s">
        <v>11</v>
      </c>
      <c r="G843" s="5" t="s">
        <v>12</v>
      </c>
      <c r="H843" s="5" t="s">
        <v>1057</v>
      </c>
      <c r="I843" s="13">
        <v>239.666</v>
      </c>
      <c r="J843" s="19">
        <v>2</v>
      </c>
      <c r="K843" s="14">
        <v>14.098000000000001</v>
      </c>
    </row>
    <row r="844" spans="1:11" x14ac:dyDescent="0.25">
      <c r="A844" s="2">
        <v>43633</v>
      </c>
      <c r="B844" s="18">
        <f t="shared" si="26"/>
        <v>2019</v>
      </c>
      <c r="C844" s="18">
        <f t="shared" si="27"/>
        <v>6</v>
      </c>
      <c r="D844" s="3" t="s">
        <v>1074</v>
      </c>
      <c r="E844" s="3" t="s">
        <v>18</v>
      </c>
      <c r="F844" s="3" t="s">
        <v>19</v>
      </c>
      <c r="G844" s="3" t="s">
        <v>127</v>
      </c>
      <c r="H844" s="3" t="s">
        <v>765</v>
      </c>
      <c r="I844" s="11">
        <v>22.5</v>
      </c>
      <c r="J844" s="18">
        <v>6</v>
      </c>
      <c r="K844" s="12">
        <v>10.8</v>
      </c>
    </row>
    <row r="845" spans="1:11" x14ac:dyDescent="0.25">
      <c r="A845" s="4">
        <v>43633</v>
      </c>
      <c r="B845" s="19">
        <f t="shared" si="26"/>
        <v>2019</v>
      </c>
      <c r="C845" s="19">
        <f t="shared" si="27"/>
        <v>6</v>
      </c>
      <c r="D845" s="5" t="s">
        <v>1074</v>
      </c>
      <c r="E845" s="5" t="s">
        <v>18</v>
      </c>
      <c r="F845" s="5" t="s">
        <v>19</v>
      </c>
      <c r="G845" s="5" t="s">
        <v>53</v>
      </c>
      <c r="H845" s="5" t="s">
        <v>743</v>
      </c>
      <c r="I845" s="13">
        <v>219.84</v>
      </c>
      <c r="J845" s="19">
        <v>4</v>
      </c>
      <c r="K845" s="14">
        <v>107.7216</v>
      </c>
    </row>
    <row r="846" spans="1:11" x14ac:dyDescent="0.25">
      <c r="A846" s="2">
        <v>43633</v>
      </c>
      <c r="B846" s="18">
        <f t="shared" si="26"/>
        <v>2019</v>
      </c>
      <c r="C846" s="18">
        <f t="shared" si="27"/>
        <v>6</v>
      </c>
      <c r="D846" s="3" t="s">
        <v>1075</v>
      </c>
      <c r="E846" s="3" t="s">
        <v>306</v>
      </c>
      <c r="F846" s="3" t="s">
        <v>11</v>
      </c>
      <c r="G846" s="3" t="s">
        <v>51</v>
      </c>
      <c r="H846" s="3" t="s">
        <v>1076</v>
      </c>
      <c r="I846" s="11">
        <v>266.35199999999998</v>
      </c>
      <c r="J846" s="18">
        <v>3</v>
      </c>
      <c r="K846" s="12">
        <v>-13.317600000000001</v>
      </c>
    </row>
    <row r="847" spans="1:11" x14ac:dyDescent="0.25">
      <c r="A847" s="4">
        <v>43633</v>
      </c>
      <c r="B847" s="19">
        <f t="shared" si="26"/>
        <v>2019</v>
      </c>
      <c r="C847" s="19">
        <f t="shared" si="27"/>
        <v>6</v>
      </c>
      <c r="D847" s="5" t="s">
        <v>1075</v>
      </c>
      <c r="E847" s="5" t="s">
        <v>306</v>
      </c>
      <c r="F847" s="5" t="s">
        <v>11</v>
      </c>
      <c r="G847" s="5" t="s">
        <v>112</v>
      </c>
      <c r="H847" s="5" t="s">
        <v>1077</v>
      </c>
      <c r="I847" s="13">
        <v>483.13600000000002</v>
      </c>
      <c r="J847" s="19">
        <v>4</v>
      </c>
      <c r="K847" s="14">
        <v>54.352800000000002</v>
      </c>
    </row>
    <row r="848" spans="1:11" x14ac:dyDescent="0.25">
      <c r="A848" s="2">
        <v>43633</v>
      </c>
      <c r="B848" s="18">
        <f t="shared" si="26"/>
        <v>2019</v>
      </c>
      <c r="C848" s="18">
        <f t="shared" si="27"/>
        <v>6</v>
      </c>
      <c r="D848" s="3" t="s">
        <v>882</v>
      </c>
      <c r="E848" s="3" t="s">
        <v>91</v>
      </c>
      <c r="F848" s="3" t="s">
        <v>19</v>
      </c>
      <c r="G848" s="3" t="s">
        <v>32</v>
      </c>
      <c r="H848" s="3" t="s">
        <v>1078</v>
      </c>
      <c r="I848" s="11">
        <v>7.96</v>
      </c>
      <c r="J848" s="18">
        <v>2</v>
      </c>
      <c r="K848" s="12">
        <v>3.7412000000000001</v>
      </c>
    </row>
    <row r="849" spans="1:11" x14ac:dyDescent="0.25">
      <c r="A849" s="4">
        <v>43633</v>
      </c>
      <c r="B849" s="19">
        <f t="shared" si="26"/>
        <v>2019</v>
      </c>
      <c r="C849" s="19">
        <f t="shared" si="27"/>
        <v>6</v>
      </c>
      <c r="D849" s="5" t="s">
        <v>882</v>
      </c>
      <c r="E849" s="5" t="s">
        <v>91</v>
      </c>
      <c r="F849" s="5" t="s">
        <v>14</v>
      </c>
      <c r="G849" s="5" t="s">
        <v>15</v>
      </c>
      <c r="H849" s="5" t="s">
        <v>1079</v>
      </c>
      <c r="I849" s="13">
        <v>566.97</v>
      </c>
      <c r="J849" s="19">
        <v>3</v>
      </c>
      <c r="K849" s="14">
        <v>153.08189999999999</v>
      </c>
    </row>
    <row r="850" spans="1:11" x14ac:dyDescent="0.25">
      <c r="A850" s="2">
        <v>43633</v>
      </c>
      <c r="B850" s="18">
        <f t="shared" si="26"/>
        <v>2019</v>
      </c>
      <c r="C850" s="18">
        <f t="shared" si="27"/>
        <v>6</v>
      </c>
      <c r="D850" s="3" t="s">
        <v>882</v>
      </c>
      <c r="E850" s="3" t="s">
        <v>91</v>
      </c>
      <c r="F850" s="3" t="s">
        <v>19</v>
      </c>
      <c r="G850" s="3" t="s">
        <v>40</v>
      </c>
      <c r="H850" s="3" t="s">
        <v>1080</v>
      </c>
      <c r="I850" s="11">
        <v>9.84</v>
      </c>
      <c r="J850" s="18">
        <v>3</v>
      </c>
      <c r="K850" s="12">
        <v>2.8536000000000001</v>
      </c>
    </row>
    <row r="851" spans="1:11" x14ac:dyDescent="0.25">
      <c r="A851" s="4">
        <v>43633</v>
      </c>
      <c r="B851" s="19">
        <f t="shared" si="26"/>
        <v>2019</v>
      </c>
      <c r="C851" s="19">
        <f t="shared" si="27"/>
        <v>6</v>
      </c>
      <c r="D851" s="5" t="s">
        <v>1081</v>
      </c>
      <c r="E851" s="5" t="s">
        <v>94</v>
      </c>
      <c r="F851" s="5" t="s">
        <v>11</v>
      </c>
      <c r="G851" s="5" t="s">
        <v>30</v>
      </c>
      <c r="H851" s="5" t="s">
        <v>1082</v>
      </c>
      <c r="I851" s="13">
        <v>376.86599999999999</v>
      </c>
      <c r="J851" s="19">
        <v>3</v>
      </c>
      <c r="K851" s="14">
        <v>-213.5574</v>
      </c>
    </row>
    <row r="852" spans="1:11" x14ac:dyDescent="0.25">
      <c r="A852" s="2">
        <v>43634</v>
      </c>
      <c r="B852" s="18">
        <f t="shared" si="26"/>
        <v>2019</v>
      </c>
      <c r="C852" s="18">
        <f t="shared" si="27"/>
        <v>6</v>
      </c>
      <c r="D852" s="3" t="s">
        <v>458</v>
      </c>
      <c r="E852" s="3" t="s">
        <v>164</v>
      </c>
      <c r="F852" s="3" t="s">
        <v>19</v>
      </c>
      <c r="G852" s="3" t="s">
        <v>53</v>
      </c>
      <c r="H852" s="3" t="s">
        <v>1083</v>
      </c>
      <c r="I852" s="11">
        <v>76.864000000000004</v>
      </c>
      <c r="J852" s="18">
        <v>2</v>
      </c>
      <c r="K852" s="12">
        <v>26.9024</v>
      </c>
    </row>
    <row r="853" spans="1:11" x14ac:dyDescent="0.25">
      <c r="A853" s="4">
        <v>43634</v>
      </c>
      <c r="B853" s="19">
        <f t="shared" si="26"/>
        <v>2019</v>
      </c>
      <c r="C853" s="19">
        <f t="shared" si="27"/>
        <v>6</v>
      </c>
      <c r="D853" s="5" t="s">
        <v>416</v>
      </c>
      <c r="E853" s="5" t="s">
        <v>39</v>
      </c>
      <c r="F853" s="5" t="s">
        <v>19</v>
      </c>
      <c r="G853" s="5" t="s">
        <v>53</v>
      </c>
      <c r="H853" s="5" t="s">
        <v>1084</v>
      </c>
      <c r="I853" s="13">
        <v>6.8479999999999999</v>
      </c>
      <c r="J853" s="19">
        <v>2</v>
      </c>
      <c r="K853" s="14">
        <v>2.14</v>
      </c>
    </row>
    <row r="854" spans="1:11" x14ac:dyDescent="0.25">
      <c r="A854" s="2">
        <v>43634</v>
      </c>
      <c r="B854" s="18">
        <f t="shared" si="26"/>
        <v>2019</v>
      </c>
      <c r="C854" s="18">
        <f t="shared" si="27"/>
        <v>6</v>
      </c>
      <c r="D854" s="3" t="s">
        <v>416</v>
      </c>
      <c r="E854" s="3" t="s">
        <v>39</v>
      </c>
      <c r="F854" s="3" t="s">
        <v>19</v>
      </c>
      <c r="G854" s="3" t="s">
        <v>32</v>
      </c>
      <c r="H854" s="3" t="s">
        <v>1032</v>
      </c>
      <c r="I854" s="11">
        <v>4.6260000000000003</v>
      </c>
      <c r="J854" s="18">
        <v>2</v>
      </c>
      <c r="K854" s="12">
        <v>-3.855</v>
      </c>
    </row>
    <row r="855" spans="1:11" x14ac:dyDescent="0.25">
      <c r="A855" s="4">
        <v>43634</v>
      </c>
      <c r="B855" s="19">
        <f t="shared" si="26"/>
        <v>2019</v>
      </c>
      <c r="C855" s="19">
        <f t="shared" si="27"/>
        <v>6</v>
      </c>
      <c r="D855" s="5" t="s">
        <v>416</v>
      </c>
      <c r="E855" s="5" t="s">
        <v>39</v>
      </c>
      <c r="F855" s="5" t="s">
        <v>19</v>
      </c>
      <c r="G855" s="5" t="s">
        <v>121</v>
      </c>
      <c r="H855" s="5" t="s">
        <v>1085</v>
      </c>
      <c r="I855" s="13">
        <v>453.6</v>
      </c>
      <c r="J855" s="19">
        <v>3</v>
      </c>
      <c r="K855" s="14">
        <v>90.72</v>
      </c>
    </row>
    <row r="856" spans="1:11" x14ac:dyDescent="0.25">
      <c r="A856" s="2">
        <v>43635</v>
      </c>
      <c r="B856" s="18">
        <f t="shared" si="26"/>
        <v>2019</v>
      </c>
      <c r="C856" s="18">
        <f t="shared" si="27"/>
        <v>6</v>
      </c>
      <c r="D856" s="3" t="s">
        <v>973</v>
      </c>
      <c r="E856" s="3" t="s">
        <v>18</v>
      </c>
      <c r="F856" s="3" t="s">
        <v>19</v>
      </c>
      <c r="G856" s="3" t="s">
        <v>53</v>
      </c>
      <c r="H856" s="3" t="s">
        <v>1086</v>
      </c>
      <c r="I856" s="11">
        <v>17.12</v>
      </c>
      <c r="J856" s="18">
        <v>2</v>
      </c>
      <c r="K856" s="12">
        <v>8.0464000000000002</v>
      </c>
    </row>
    <row r="857" spans="1:11" x14ac:dyDescent="0.25">
      <c r="A857" s="4">
        <v>43636</v>
      </c>
      <c r="B857" s="19">
        <f t="shared" si="26"/>
        <v>2019</v>
      </c>
      <c r="C857" s="19">
        <f t="shared" si="27"/>
        <v>6</v>
      </c>
      <c r="D857" s="5" t="s">
        <v>1087</v>
      </c>
      <c r="E857" s="5" t="s">
        <v>309</v>
      </c>
      <c r="F857" s="5" t="s">
        <v>14</v>
      </c>
      <c r="G857" s="5" t="s">
        <v>24</v>
      </c>
      <c r="H857" s="5" t="s">
        <v>1070</v>
      </c>
      <c r="I857" s="13">
        <v>45</v>
      </c>
      <c r="J857" s="19">
        <v>3</v>
      </c>
      <c r="K857" s="14">
        <v>4.95</v>
      </c>
    </row>
    <row r="858" spans="1:11" x14ac:dyDescent="0.25">
      <c r="A858" s="2">
        <v>43636</v>
      </c>
      <c r="B858" s="18">
        <f t="shared" si="26"/>
        <v>2019</v>
      </c>
      <c r="C858" s="18">
        <f t="shared" si="27"/>
        <v>6</v>
      </c>
      <c r="D858" s="3" t="s">
        <v>1087</v>
      </c>
      <c r="E858" s="3" t="s">
        <v>309</v>
      </c>
      <c r="F858" s="3" t="s">
        <v>14</v>
      </c>
      <c r="G858" s="3" t="s">
        <v>15</v>
      </c>
      <c r="H858" s="3" t="s">
        <v>839</v>
      </c>
      <c r="I858" s="11">
        <v>21.8</v>
      </c>
      <c r="J858" s="18">
        <v>2</v>
      </c>
      <c r="K858" s="12">
        <v>6.1040000000000001</v>
      </c>
    </row>
    <row r="859" spans="1:11" x14ac:dyDescent="0.25">
      <c r="A859" s="4">
        <v>43636</v>
      </c>
      <c r="B859" s="19">
        <f t="shared" si="26"/>
        <v>2019</v>
      </c>
      <c r="C859" s="19">
        <f t="shared" si="27"/>
        <v>6</v>
      </c>
      <c r="D859" s="5" t="s">
        <v>1088</v>
      </c>
      <c r="E859" s="5" t="s">
        <v>18</v>
      </c>
      <c r="F859" s="5" t="s">
        <v>19</v>
      </c>
      <c r="G859" s="5" t="s">
        <v>40</v>
      </c>
      <c r="H859" s="5" t="s">
        <v>1089</v>
      </c>
      <c r="I859" s="13">
        <v>5.16</v>
      </c>
      <c r="J859" s="19">
        <v>2</v>
      </c>
      <c r="K859" s="14">
        <v>1.3415999999999999</v>
      </c>
    </row>
    <row r="860" spans="1:11" x14ac:dyDescent="0.25">
      <c r="A860" s="2">
        <v>43636</v>
      </c>
      <c r="B860" s="18">
        <f t="shared" si="26"/>
        <v>2019</v>
      </c>
      <c r="C860" s="18">
        <f t="shared" si="27"/>
        <v>6</v>
      </c>
      <c r="D860" s="3" t="s">
        <v>1088</v>
      </c>
      <c r="E860" s="3" t="s">
        <v>18</v>
      </c>
      <c r="F860" s="3" t="s">
        <v>19</v>
      </c>
      <c r="G860" s="3" t="s">
        <v>53</v>
      </c>
      <c r="H860" s="3" t="s">
        <v>1090</v>
      </c>
      <c r="I860" s="11">
        <v>38.880000000000003</v>
      </c>
      <c r="J860" s="18">
        <v>6</v>
      </c>
      <c r="K860" s="12">
        <v>18.662400000000002</v>
      </c>
    </row>
    <row r="861" spans="1:11" x14ac:dyDescent="0.25">
      <c r="A861" s="4">
        <v>43636</v>
      </c>
      <c r="B861" s="19">
        <f t="shared" si="26"/>
        <v>2019</v>
      </c>
      <c r="C861" s="19">
        <f t="shared" si="27"/>
        <v>6</v>
      </c>
      <c r="D861" s="5" t="s">
        <v>1091</v>
      </c>
      <c r="E861" s="5" t="s">
        <v>39</v>
      </c>
      <c r="F861" s="5" t="s">
        <v>19</v>
      </c>
      <c r="G861" s="5" t="s">
        <v>53</v>
      </c>
      <c r="H861" s="5" t="s">
        <v>1092</v>
      </c>
      <c r="I861" s="13">
        <v>45.055999999999997</v>
      </c>
      <c r="J861" s="19">
        <v>8</v>
      </c>
      <c r="K861" s="14">
        <v>15.2064</v>
      </c>
    </row>
    <row r="862" spans="1:11" x14ac:dyDescent="0.25">
      <c r="A862" s="2">
        <v>43636</v>
      </c>
      <c r="B862" s="18">
        <f t="shared" si="26"/>
        <v>2019</v>
      </c>
      <c r="C862" s="18">
        <f t="shared" si="27"/>
        <v>6</v>
      </c>
      <c r="D862" s="3" t="s">
        <v>1091</v>
      </c>
      <c r="E862" s="3" t="s">
        <v>39</v>
      </c>
      <c r="F862" s="3" t="s">
        <v>19</v>
      </c>
      <c r="G862" s="3" t="s">
        <v>32</v>
      </c>
      <c r="H862" s="3" t="s">
        <v>613</v>
      </c>
      <c r="I862" s="11">
        <v>29.718</v>
      </c>
      <c r="J862" s="18">
        <v>6</v>
      </c>
      <c r="K862" s="12">
        <v>-21.793199999999999</v>
      </c>
    </row>
    <row r="863" spans="1:11" x14ac:dyDescent="0.25">
      <c r="A863" s="4">
        <v>43636</v>
      </c>
      <c r="B863" s="19">
        <f t="shared" si="26"/>
        <v>2019</v>
      </c>
      <c r="C863" s="19">
        <f t="shared" si="27"/>
        <v>6</v>
      </c>
      <c r="D863" s="5" t="s">
        <v>1091</v>
      </c>
      <c r="E863" s="5" t="s">
        <v>39</v>
      </c>
      <c r="F863" s="5" t="s">
        <v>19</v>
      </c>
      <c r="G863" s="5" t="s">
        <v>53</v>
      </c>
      <c r="H863" s="5" t="s">
        <v>1090</v>
      </c>
      <c r="I863" s="13">
        <v>15.552</v>
      </c>
      <c r="J863" s="19">
        <v>3</v>
      </c>
      <c r="K863" s="14">
        <v>5.4432</v>
      </c>
    </row>
    <row r="864" spans="1:11" x14ac:dyDescent="0.25">
      <c r="A864" s="2">
        <v>43636</v>
      </c>
      <c r="B864" s="18">
        <f t="shared" si="26"/>
        <v>2019</v>
      </c>
      <c r="C864" s="18">
        <f t="shared" si="27"/>
        <v>6</v>
      </c>
      <c r="D864" s="3" t="s">
        <v>1091</v>
      </c>
      <c r="E864" s="3" t="s">
        <v>39</v>
      </c>
      <c r="F864" s="3" t="s">
        <v>19</v>
      </c>
      <c r="G864" s="3" t="s">
        <v>121</v>
      </c>
      <c r="H864" s="3" t="s">
        <v>1093</v>
      </c>
      <c r="I864" s="11">
        <v>447.69600000000003</v>
      </c>
      <c r="J864" s="18">
        <v>2</v>
      </c>
      <c r="K864" s="12">
        <v>33.577199999999998</v>
      </c>
    </row>
    <row r="865" spans="1:11" x14ac:dyDescent="0.25">
      <c r="A865" s="4">
        <v>43636</v>
      </c>
      <c r="B865" s="19">
        <f t="shared" si="26"/>
        <v>2019</v>
      </c>
      <c r="C865" s="19">
        <f t="shared" si="27"/>
        <v>6</v>
      </c>
      <c r="D865" s="5" t="s">
        <v>90</v>
      </c>
      <c r="E865" s="5" t="s">
        <v>18</v>
      </c>
      <c r="F865" s="5" t="s">
        <v>19</v>
      </c>
      <c r="G865" s="5" t="s">
        <v>53</v>
      </c>
      <c r="H865" s="5" t="s">
        <v>802</v>
      </c>
      <c r="I865" s="13">
        <v>46.76</v>
      </c>
      <c r="J865" s="19">
        <v>7</v>
      </c>
      <c r="K865" s="14">
        <v>22.444800000000001</v>
      </c>
    </row>
    <row r="866" spans="1:11" x14ac:dyDescent="0.25">
      <c r="A866" s="2">
        <v>43636</v>
      </c>
      <c r="B866" s="18">
        <f t="shared" si="26"/>
        <v>2019</v>
      </c>
      <c r="C866" s="18">
        <f t="shared" si="27"/>
        <v>6</v>
      </c>
      <c r="D866" s="3" t="s">
        <v>90</v>
      </c>
      <c r="E866" s="3" t="s">
        <v>18</v>
      </c>
      <c r="F866" s="3" t="s">
        <v>19</v>
      </c>
      <c r="G866" s="3" t="s">
        <v>32</v>
      </c>
      <c r="H866" s="3" t="s">
        <v>515</v>
      </c>
      <c r="I866" s="11">
        <v>17.712</v>
      </c>
      <c r="J866" s="18">
        <v>3</v>
      </c>
      <c r="K866" s="12">
        <v>6.4206000000000003</v>
      </c>
    </row>
    <row r="867" spans="1:11" x14ac:dyDescent="0.25">
      <c r="A867" s="4">
        <v>43636</v>
      </c>
      <c r="B867" s="19">
        <f t="shared" si="26"/>
        <v>2019</v>
      </c>
      <c r="C867" s="19">
        <f t="shared" si="27"/>
        <v>6</v>
      </c>
      <c r="D867" s="5" t="s">
        <v>90</v>
      </c>
      <c r="E867" s="5" t="s">
        <v>18</v>
      </c>
      <c r="F867" s="5" t="s">
        <v>19</v>
      </c>
      <c r="G867" s="5" t="s">
        <v>121</v>
      </c>
      <c r="H867" s="5" t="s">
        <v>1094</v>
      </c>
      <c r="I867" s="13">
        <v>21.78</v>
      </c>
      <c r="J867" s="19">
        <v>2</v>
      </c>
      <c r="K867" s="14">
        <v>5.6627999999999998</v>
      </c>
    </row>
    <row r="868" spans="1:11" x14ac:dyDescent="0.25">
      <c r="A868" s="2">
        <v>43636</v>
      </c>
      <c r="B868" s="18">
        <f t="shared" si="26"/>
        <v>2019</v>
      </c>
      <c r="C868" s="18">
        <f t="shared" si="27"/>
        <v>6</v>
      </c>
      <c r="D868" s="3" t="s">
        <v>90</v>
      </c>
      <c r="E868" s="3" t="s">
        <v>18</v>
      </c>
      <c r="F868" s="3" t="s">
        <v>19</v>
      </c>
      <c r="G868" s="3" t="s">
        <v>20</v>
      </c>
      <c r="H868" s="3" t="s">
        <v>526</v>
      </c>
      <c r="I868" s="11">
        <v>161.94</v>
      </c>
      <c r="J868" s="18">
        <v>3</v>
      </c>
      <c r="K868" s="12">
        <v>9.7164000000000001</v>
      </c>
    </row>
    <row r="869" spans="1:11" x14ac:dyDescent="0.25">
      <c r="A869" s="4">
        <v>43636</v>
      </c>
      <c r="B869" s="19">
        <f t="shared" si="26"/>
        <v>2019</v>
      </c>
      <c r="C869" s="19">
        <f t="shared" si="27"/>
        <v>6</v>
      </c>
      <c r="D869" s="5" t="s">
        <v>90</v>
      </c>
      <c r="E869" s="5" t="s">
        <v>18</v>
      </c>
      <c r="F869" s="5" t="s">
        <v>11</v>
      </c>
      <c r="G869" s="5" t="s">
        <v>112</v>
      </c>
      <c r="H869" s="5" t="s">
        <v>1095</v>
      </c>
      <c r="I869" s="13">
        <v>161.56800000000001</v>
      </c>
      <c r="J869" s="19">
        <v>2</v>
      </c>
      <c r="K869" s="14">
        <v>-8.0784000000000002</v>
      </c>
    </row>
    <row r="870" spans="1:11" x14ac:dyDescent="0.25">
      <c r="A870" s="2">
        <v>43636</v>
      </c>
      <c r="B870" s="18">
        <f t="shared" si="26"/>
        <v>2019</v>
      </c>
      <c r="C870" s="18">
        <f t="shared" si="27"/>
        <v>6</v>
      </c>
      <c r="D870" s="3" t="s">
        <v>250</v>
      </c>
      <c r="E870" s="3" t="s">
        <v>23</v>
      </c>
      <c r="F870" s="3" t="s">
        <v>14</v>
      </c>
      <c r="G870" s="3" t="s">
        <v>24</v>
      </c>
      <c r="H870" s="3" t="s">
        <v>553</v>
      </c>
      <c r="I870" s="11">
        <v>95.968000000000004</v>
      </c>
      <c r="J870" s="18">
        <v>4</v>
      </c>
      <c r="K870" s="12">
        <v>26.391200000000001</v>
      </c>
    </row>
    <row r="871" spans="1:11" x14ac:dyDescent="0.25">
      <c r="A871" s="4">
        <v>43636</v>
      </c>
      <c r="B871" s="19">
        <f t="shared" si="26"/>
        <v>2019</v>
      </c>
      <c r="C871" s="19">
        <f t="shared" si="27"/>
        <v>6</v>
      </c>
      <c r="D871" s="5" t="s">
        <v>250</v>
      </c>
      <c r="E871" s="5" t="s">
        <v>23</v>
      </c>
      <c r="F871" s="5" t="s">
        <v>19</v>
      </c>
      <c r="G871" s="5" t="s">
        <v>53</v>
      </c>
      <c r="H871" s="5" t="s">
        <v>253</v>
      </c>
      <c r="I871" s="13">
        <v>10.368</v>
      </c>
      <c r="J871" s="19">
        <v>2</v>
      </c>
      <c r="K871" s="14">
        <v>3.6288</v>
      </c>
    </row>
    <row r="872" spans="1:11" x14ac:dyDescent="0.25">
      <c r="A872" s="2">
        <v>43636</v>
      </c>
      <c r="B872" s="18">
        <f t="shared" si="26"/>
        <v>2019</v>
      </c>
      <c r="C872" s="18">
        <f t="shared" si="27"/>
        <v>6</v>
      </c>
      <c r="D872" s="3" t="s">
        <v>640</v>
      </c>
      <c r="E872" s="3" t="s">
        <v>29</v>
      </c>
      <c r="F872" s="3" t="s">
        <v>14</v>
      </c>
      <c r="G872" s="3" t="s">
        <v>24</v>
      </c>
      <c r="H872" s="3" t="s">
        <v>1096</v>
      </c>
      <c r="I872" s="11">
        <v>6.9</v>
      </c>
      <c r="J872" s="18">
        <v>1</v>
      </c>
      <c r="K872" s="12">
        <v>0.55200000000000005</v>
      </c>
    </row>
    <row r="873" spans="1:11" x14ac:dyDescent="0.25">
      <c r="A873" s="4">
        <v>43636</v>
      </c>
      <c r="B873" s="19">
        <f t="shared" si="26"/>
        <v>2019</v>
      </c>
      <c r="C873" s="19">
        <f t="shared" si="27"/>
        <v>6</v>
      </c>
      <c r="D873" s="5" t="s">
        <v>640</v>
      </c>
      <c r="E873" s="5" t="s">
        <v>29</v>
      </c>
      <c r="F873" s="5" t="s">
        <v>11</v>
      </c>
      <c r="G873" s="5" t="s">
        <v>51</v>
      </c>
      <c r="H873" s="5" t="s">
        <v>52</v>
      </c>
      <c r="I873" s="13">
        <v>57.69</v>
      </c>
      <c r="J873" s="19">
        <v>3</v>
      </c>
      <c r="K873" s="14">
        <v>23.652899999999999</v>
      </c>
    </row>
    <row r="874" spans="1:11" x14ac:dyDescent="0.25">
      <c r="A874" s="2">
        <v>43637</v>
      </c>
      <c r="B874" s="18">
        <f t="shared" si="26"/>
        <v>2019</v>
      </c>
      <c r="C874" s="18">
        <f t="shared" si="27"/>
        <v>6</v>
      </c>
      <c r="D874" s="3" t="s">
        <v>747</v>
      </c>
      <c r="E874" s="3" t="s">
        <v>94</v>
      </c>
      <c r="F874" s="3" t="s">
        <v>19</v>
      </c>
      <c r="G874" s="3" t="s">
        <v>32</v>
      </c>
      <c r="H874" s="3" t="s">
        <v>1097</v>
      </c>
      <c r="I874" s="11">
        <v>36.56</v>
      </c>
      <c r="J874" s="18">
        <v>5</v>
      </c>
      <c r="K874" s="12">
        <v>12.795999999999999</v>
      </c>
    </row>
    <row r="875" spans="1:11" x14ac:dyDescent="0.25">
      <c r="A875" s="4">
        <v>43637</v>
      </c>
      <c r="B875" s="19">
        <f t="shared" si="26"/>
        <v>2019</v>
      </c>
      <c r="C875" s="19">
        <f t="shared" si="27"/>
        <v>6</v>
      </c>
      <c r="D875" s="5" t="s">
        <v>747</v>
      </c>
      <c r="E875" s="5" t="s">
        <v>94</v>
      </c>
      <c r="F875" s="5" t="s">
        <v>19</v>
      </c>
      <c r="G875" s="5" t="s">
        <v>32</v>
      </c>
      <c r="H875" s="5" t="s">
        <v>1098</v>
      </c>
      <c r="I875" s="13">
        <v>186.14400000000001</v>
      </c>
      <c r="J875" s="19">
        <v>6</v>
      </c>
      <c r="K875" s="14">
        <v>60.4968</v>
      </c>
    </row>
    <row r="876" spans="1:11" x14ac:dyDescent="0.25">
      <c r="A876" s="2">
        <v>43637</v>
      </c>
      <c r="B876" s="18">
        <f t="shared" si="26"/>
        <v>2019</v>
      </c>
      <c r="C876" s="18">
        <f t="shared" si="27"/>
        <v>6</v>
      </c>
      <c r="D876" s="3" t="s">
        <v>747</v>
      </c>
      <c r="E876" s="3" t="s">
        <v>94</v>
      </c>
      <c r="F876" s="3" t="s">
        <v>11</v>
      </c>
      <c r="G876" s="3" t="s">
        <v>12</v>
      </c>
      <c r="H876" s="3" t="s">
        <v>376</v>
      </c>
      <c r="I876" s="11">
        <v>353.56799999999998</v>
      </c>
      <c r="J876" s="18">
        <v>2</v>
      </c>
      <c r="K876" s="12">
        <v>-44.195999999999998</v>
      </c>
    </row>
    <row r="877" spans="1:11" x14ac:dyDescent="0.25">
      <c r="A877" s="4">
        <v>43637</v>
      </c>
      <c r="B877" s="19">
        <f t="shared" si="26"/>
        <v>2019</v>
      </c>
      <c r="C877" s="19">
        <f t="shared" si="27"/>
        <v>6</v>
      </c>
      <c r="D877" s="5" t="s">
        <v>994</v>
      </c>
      <c r="E877" s="5" t="s">
        <v>164</v>
      </c>
      <c r="F877" s="5" t="s">
        <v>19</v>
      </c>
      <c r="G877" s="5" t="s">
        <v>32</v>
      </c>
      <c r="H877" s="5" t="s">
        <v>280</v>
      </c>
      <c r="I877" s="13">
        <v>0.83599999999999997</v>
      </c>
      <c r="J877" s="19">
        <v>1</v>
      </c>
      <c r="K877" s="14">
        <v>-1.3375999999999999</v>
      </c>
    </row>
    <row r="878" spans="1:11" x14ac:dyDescent="0.25">
      <c r="A878" s="2">
        <v>43639</v>
      </c>
      <c r="B878" s="18">
        <f t="shared" si="26"/>
        <v>2019</v>
      </c>
      <c r="C878" s="18">
        <f t="shared" si="27"/>
        <v>6</v>
      </c>
      <c r="D878" s="3" t="s">
        <v>1099</v>
      </c>
      <c r="E878" s="3" t="s">
        <v>94</v>
      </c>
      <c r="F878" s="3" t="s">
        <v>19</v>
      </c>
      <c r="G878" s="3" t="s">
        <v>127</v>
      </c>
      <c r="H878" s="3" t="s">
        <v>1100</v>
      </c>
      <c r="I878" s="11">
        <v>122.12</v>
      </c>
      <c r="J878" s="18">
        <v>4</v>
      </c>
      <c r="K878" s="12">
        <v>56.175199999999997</v>
      </c>
    </row>
    <row r="879" spans="1:11" x14ac:dyDescent="0.25">
      <c r="A879" s="4">
        <v>43639</v>
      </c>
      <c r="B879" s="19">
        <f t="shared" si="26"/>
        <v>2019</v>
      </c>
      <c r="C879" s="19">
        <f t="shared" si="27"/>
        <v>6</v>
      </c>
      <c r="D879" s="5" t="s">
        <v>1099</v>
      </c>
      <c r="E879" s="5" t="s">
        <v>94</v>
      </c>
      <c r="F879" s="5" t="s">
        <v>19</v>
      </c>
      <c r="G879" s="5" t="s">
        <v>127</v>
      </c>
      <c r="H879" s="5" t="s">
        <v>1101</v>
      </c>
      <c r="I879" s="13">
        <v>18.45</v>
      </c>
      <c r="J879" s="19">
        <v>5</v>
      </c>
      <c r="K879" s="14">
        <v>8.6715</v>
      </c>
    </row>
    <row r="880" spans="1:11" x14ac:dyDescent="0.25">
      <c r="A880" s="2">
        <v>43639</v>
      </c>
      <c r="B880" s="18">
        <f t="shared" si="26"/>
        <v>2019</v>
      </c>
      <c r="C880" s="18">
        <f t="shared" si="27"/>
        <v>6</v>
      </c>
      <c r="D880" s="3" t="s">
        <v>1099</v>
      </c>
      <c r="E880" s="3" t="s">
        <v>94</v>
      </c>
      <c r="F880" s="3" t="s">
        <v>19</v>
      </c>
      <c r="G880" s="3" t="s">
        <v>20</v>
      </c>
      <c r="H880" s="3" t="s">
        <v>617</v>
      </c>
      <c r="I880" s="11">
        <v>324.89999999999998</v>
      </c>
      <c r="J880" s="18">
        <v>5</v>
      </c>
      <c r="K880" s="12">
        <v>38.988</v>
      </c>
    </row>
    <row r="881" spans="1:11" x14ac:dyDescent="0.25">
      <c r="A881" s="4">
        <v>43639</v>
      </c>
      <c r="B881" s="19">
        <f t="shared" si="26"/>
        <v>2019</v>
      </c>
      <c r="C881" s="19">
        <f t="shared" si="27"/>
        <v>6</v>
      </c>
      <c r="D881" s="5" t="s">
        <v>1099</v>
      </c>
      <c r="E881" s="5" t="s">
        <v>94</v>
      </c>
      <c r="F881" s="5" t="s">
        <v>19</v>
      </c>
      <c r="G881" s="5" t="s">
        <v>53</v>
      </c>
      <c r="H881" s="5" t="s">
        <v>1102</v>
      </c>
      <c r="I881" s="13">
        <v>146.72999999999999</v>
      </c>
      <c r="J881" s="19">
        <v>3</v>
      </c>
      <c r="K881" s="14">
        <v>68.963099999999997</v>
      </c>
    </row>
    <row r="882" spans="1:11" x14ac:dyDescent="0.25">
      <c r="A882" s="2">
        <v>43639</v>
      </c>
      <c r="B882" s="18">
        <f t="shared" si="26"/>
        <v>2019</v>
      </c>
      <c r="C882" s="18">
        <f t="shared" si="27"/>
        <v>6</v>
      </c>
      <c r="D882" s="3" t="s">
        <v>1099</v>
      </c>
      <c r="E882" s="3" t="s">
        <v>94</v>
      </c>
      <c r="F882" s="3" t="s">
        <v>19</v>
      </c>
      <c r="G882" s="3" t="s">
        <v>116</v>
      </c>
      <c r="H882" s="3" t="s">
        <v>1103</v>
      </c>
      <c r="I882" s="11">
        <v>3.96</v>
      </c>
      <c r="J882" s="18">
        <v>2</v>
      </c>
      <c r="K882" s="12">
        <v>1.4652000000000001</v>
      </c>
    </row>
    <row r="883" spans="1:11" x14ac:dyDescent="0.25">
      <c r="A883" s="4">
        <v>43639</v>
      </c>
      <c r="B883" s="19">
        <f t="shared" si="26"/>
        <v>2019</v>
      </c>
      <c r="C883" s="19">
        <f t="shared" si="27"/>
        <v>6</v>
      </c>
      <c r="D883" s="5" t="s">
        <v>1104</v>
      </c>
      <c r="E883" s="5" t="s">
        <v>94</v>
      </c>
      <c r="F883" s="5" t="s">
        <v>19</v>
      </c>
      <c r="G883" s="5" t="s">
        <v>265</v>
      </c>
      <c r="H883" s="5" t="s">
        <v>1105</v>
      </c>
      <c r="I883" s="13">
        <v>835.17</v>
      </c>
      <c r="J883" s="19">
        <v>7</v>
      </c>
      <c r="K883" s="14">
        <v>16.703399999999998</v>
      </c>
    </row>
    <row r="884" spans="1:11" x14ac:dyDescent="0.25">
      <c r="A884" s="2">
        <v>43639</v>
      </c>
      <c r="B884" s="18">
        <f t="shared" si="26"/>
        <v>2019</v>
      </c>
      <c r="C884" s="18">
        <f t="shared" si="27"/>
        <v>6</v>
      </c>
      <c r="D884" s="3" t="s">
        <v>1106</v>
      </c>
      <c r="E884" s="3" t="s">
        <v>18</v>
      </c>
      <c r="F884" s="3" t="s">
        <v>19</v>
      </c>
      <c r="G884" s="3" t="s">
        <v>20</v>
      </c>
      <c r="H884" s="3" t="s">
        <v>1107</v>
      </c>
      <c r="I884" s="11">
        <v>93.68</v>
      </c>
      <c r="J884" s="18">
        <v>4</v>
      </c>
      <c r="K884" s="12">
        <v>25.293600000000001</v>
      </c>
    </row>
    <row r="885" spans="1:11" x14ac:dyDescent="0.25">
      <c r="A885" s="4">
        <v>43639</v>
      </c>
      <c r="B885" s="19">
        <f t="shared" si="26"/>
        <v>2019</v>
      </c>
      <c r="C885" s="19">
        <f t="shared" si="27"/>
        <v>6</v>
      </c>
      <c r="D885" s="5" t="s">
        <v>1106</v>
      </c>
      <c r="E885" s="5" t="s">
        <v>18</v>
      </c>
      <c r="F885" s="5" t="s">
        <v>19</v>
      </c>
      <c r="G885" s="5" t="s">
        <v>127</v>
      </c>
      <c r="H885" s="5" t="s">
        <v>1108</v>
      </c>
      <c r="I885" s="13">
        <v>21.93</v>
      </c>
      <c r="J885" s="19">
        <v>3</v>
      </c>
      <c r="K885" s="14">
        <v>10.3071</v>
      </c>
    </row>
    <row r="886" spans="1:11" x14ac:dyDescent="0.25">
      <c r="A886" s="2">
        <v>43639</v>
      </c>
      <c r="B886" s="18">
        <f t="shared" si="26"/>
        <v>2019</v>
      </c>
      <c r="C886" s="18">
        <f t="shared" si="27"/>
        <v>6</v>
      </c>
      <c r="D886" s="3" t="s">
        <v>1106</v>
      </c>
      <c r="E886" s="3" t="s">
        <v>18</v>
      </c>
      <c r="F886" s="3" t="s">
        <v>14</v>
      </c>
      <c r="G886" s="3" t="s">
        <v>15</v>
      </c>
      <c r="H886" s="3" t="s">
        <v>727</v>
      </c>
      <c r="I886" s="11">
        <v>862.34400000000005</v>
      </c>
      <c r="J886" s="18">
        <v>7</v>
      </c>
      <c r="K886" s="12">
        <v>97.0137</v>
      </c>
    </row>
    <row r="887" spans="1:11" x14ac:dyDescent="0.25">
      <c r="A887" s="4">
        <v>43639</v>
      </c>
      <c r="B887" s="19">
        <f t="shared" si="26"/>
        <v>2019</v>
      </c>
      <c r="C887" s="19">
        <f t="shared" si="27"/>
        <v>6</v>
      </c>
      <c r="D887" s="5" t="s">
        <v>1106</v>
      </c>
      <c r="E887" s="5" t="s">
        <v>18</v>
      </c>
      <c r="F887" s="5" t="s">
        <v>19</v>
      </c>
      <c r="G887" s="5" t="s">
        <v>53</v>
      </c>
      <c r="H887" s="5" t="s">
        <v>1109</v>
      </c>
      <c r="I887" s="13">
        <v>19.98</v>
      </c>
      <c r="J887" s="19">
        <v>1</v>
      </c>
      <c r="K887" s="14">
        <v>9.3905999999999992</v>
      </c>
    </row>
    <row r="888" spans="1:11" x14ac:dyDescent="0.25">
      <c r="A888" s="2">
        <v>43639</v>
      </c>
      <c r="B888" s="18">
        <f t="shared" si="26"/>
        <v>2019</v>
      </c>
      <c r="C888" s="18">
        <f t="shared" si="27"/>
        <v>6</v>
      </c>
      <c r="D888" s="3" t="s">
        <v>1110</v>
      </c>
      <c r="E888" s="3" t="s">
        <v>94</v>
      </c>
      <c r="F888" s="3" t="s">
        <v>19</v>
      </c>
      <c r="G888" s="3" t="s">
        <v>127</v>
      </c>
      <c r="H888" s="3" t="s">
        <v>1018</v>
      </c>
      <c r="I888" s="11">
        <v>25.83</v>
      </c>
      <c r="J888" s="18">
        <v>7</v>
      </c>
      <c r="K888" s="12">
        <v>12.1401</v>
      </c>
    </row>
    <row r="889" spans="1:11" x14ac:dyDescent="0.25">
      <c r="A889" s="4">
        <v>43640</v>
      </c>
      <c r="B889" s="19">
        <f t="shared" si="26"/>
        <v>2019</v>
      </c>
      <c r="C889" s="19">
        <f t="shared" si="27"/>
        <v>6</v>
      </c>
      <c r="D889" s="5" t="s">
        <v>632</v>
      </c>
      <c r="E889" s="5" t="s">
        <v>18</v>
      </c>
      <c r="F889" s="5" t="s">
        <v>14</v>
      </c>
      <c r="G889" s="5" t="s">
        <v>15</v>
      </c>
      <c r="H889" s="5" t="s">
        <v>1111</v>
      </c>
      <c r="I889" s="13">
        <v>38.24</v>
      </c>
      <c r="J889" s="19">
        <v>4</v>
      </c>
      <c r="K889" s="14">
        <v>-9.56</v>
      </c>
    </row>
    <row r="890" spans="1:11" x14ac:dyDescent="0.25">
      <c r="A890" s="2">
        <v>43640</v>
      </c>
      <c r="B890" s="18">
        <f t="shared" si="26"/>
        <v>2019</v>
      </c>
      <c r="C890" s="18">
        <f t="shared" si="27"/>
        <v>6</v>
      </c>
      <c r="D890" s="3" t="s">
        <v>1112</v>
      </c>
      <c r="E890" s="3" t="s">
        <v>317</v>
      </c>
      <c r="F890" s="3" t="s">
        <v>14</v>
      </c>
      <c r="G890" s="3" t="s">
        <v>15</v>
      </c>
      <c r="H890" s="3" t="s">
        <v>1113</v>
      </c>
      <c r="I890" s="11">
        <v>440.91</v>
      </c>
      <c r="J890" s="18">
        <v>9</v>
      </c>
      <c r="K890" s="12">
        <v>123.45480000000001</v>
      </c>
    </row>
    <row r="891" spans="1:11" x14ac:dyDescent="0.25">
      <c r="A891" s="4">
        <v>43640</v>
      </c>
      <c r="B891" s="19">
        <f t="shared" si="26"/>
        <v>2019</v>
      </c>
      <c r="C891" s="19">
        <f t="shared" si="27"/>
        <v>6</v>
      </c>
      <c r="D891" s="5" t="s">
        <v>1114</v>
      </c>
      <c r="E891" s="5" t="s">
        <v>23</v>
      </c>
      <c r="F891" s="5" t="s">
        <v>19</v>
      </c>
      <c r="G891" s="5" t="s">
        <v>121</v>
      </c>
      <c r="H891" s="5" t="s">
        <v>917</v>
      </c>
      <c r="I891" s="13">
        <v>8.7119999999999997</v>
      </c>
      <c r="J891" s="19">
        <v>2</v>
      </c>
      <c r="K891" s="14">
        <v>-19.602</v>
      </c>
    </row>
    <row r="892" spans="1:11" x14ac:dyDescent="0.25">
      <c r="A892" s="2">
        <v>43640</v>
      </c>
      <c r="B892" s="18">
        <f t="shared" si="26"/>
        <v>2019</v>
      </c>
      <c r="C892" s="18">
        <f t="shared" si="27"/>
        <v>6</v>
      </c>
      <c r="D892" s="3" t="s">
        <v>710</v>
      </c>
      <c r="E892" s="3" t="s">
        <v>18</v>
      </c>
      <c r="F892" s="3" t="s">
        <v>14</v>
      </c>
      <c r="G892" s="3" t="s">
        <v>188</v>
      </c>
      <c r="H892" s="3" t="s">
        <v>384</v>
      </c>
      <c r="I892" s="11">
        <v>4476.8</v>
      </c>
      <c r="J892" s="18">
        <v>4</v>
      </c>
      <c r="K892" s="12">
        <v>503.64</v>
      </c>
    </row>
    <row r="893" spans="1:11" x14ac:dyDescent="0.25">
      <c r="A893" s="4">
        <v>43640</v>
      </c>
      <c r="B893" s="19">
        <f t="shared" si="26"/>
        <v>2019</v>
      </c>
      <c r="C893" s="19">
        <f t="shared" si="27"/>
        <v>6</v>
      </c>
      <c r="D893" s="5" t="s">
        <v>710</v>
      </c>
      <c r="E893" s="5" t="s">
        <v>18</v>
      </c>
      <c r="F893" s="5" t="s">
        <v>19</v>
      </c>
      <c r="G893" s="5" t="s">
        <v>53</v>
      </c>
      <c r="H893" s="5" t="s">
        <v>669</v>
      </c>
      <c r="I893" s="13">
        <v>104.85</v>
      </c>
      <c r="J893" s="19">
        <v>1</v>
      </c>
      <c r="K893" s="14">
        <v>50.328000000000003</v>
      </c>
    </row>
    <row r="894" spans="1:11" x14ac:dyDescent="0.25">
      <c r="A894" s="2">
        <v>43640</v>
      </c>
      <c r="B894" s="18">
        <f t="shared" si="26"/>
        <v>2019</v>
      </c>
      <c r="C894" s="18">
        <f t="shared" si="27"/>
        <v>6</v>
      </c>
      <c r="D894" s="3" t="s">
        <v>710</v>
      </c>
      <c r="E894" s="3" t="s">
        <v>18</v>
      </c>
      <c r="F894" s="3" t="s">
        <v>19</v>
      </c>
      <c r="G894" s="3" t="s">
        <v>121</v>
      </c>
      <c r="H894" s="3" t="s">
        <v>1043</v>
      </c>
      <c r="I894" s="11">
        <v>241.44</v>
      </c>
      <c r="J894" s="18">
        <v>3</v>
      </c>
      <c r="K894" s="12">
        <v>72.432000000000002</v>
      </c>
    </row>
    <row r="895" spans="1:11" x14ac:dyDescent="0.25">
      <c r="A895" s="4">
        <v>43641</v>
      </c>
      <c r="B895" s="19">
        <f t="shared" si="26"/>
        <v>2019</v>
      </c>
      <c r="C895" s="19">
        <f t="shared" si="27"/>
        <v>6</v>
      </c>
      <c r="D895" s="5" t="s">
        <v>323</v>
      </c>
      <c r="E895" s="5" t="s">
        <v>39</v>
      </c>
      <c r="F895" s="5" t="s">
        <v>11</v>
      </c>
      <c r="G895" s="5" t="s">
        <v>112</v>
      </c>
      <c r="H895" s="5" t="s">
        <v>510</v>
      </c>
      <c r="I895" s="13">
        <v>422.05799999999999</v>
      </c>
      <c r="J895" s="19">
        <v>3</v>
      </c>
      <c r="K895" s="14">
        <v>-18.088200000000001</v>
      </c>
    </row>
    <row r="896" spans="1:11" x14ac:dyDescent="0.25">
      <c r="A896" s="2">
        <v>43641</v>
      </c>
      <c r="B896" s="18">
        <f t="shared" si="26"/>
        <v>2019</v>
      </c>
      <c r="C896" s="18">
        <f t="shared" si="27"/>
        <v>6</v>
      </c>
      <c r="D896" s="3" t="s">
        <v>323</v>
      </c>
      <c r="E896" s="3" t="s">
        <v>39</v>
      </c>
      <c r="F896" s="3" t="s">
        <v>19</v>
      </c>
      <c r="G896" s="3" t="s">
        <v>32</v>
      </c>
      <c r="H896" s="3" t="s">
        <v>158</v>
      </c>
      <c r="I896" s="11">
        <v>38.088000000000001</v>
      </c>
      <c r="J896" s="18">
        <v>4</v>
      </c>
      <c r="K896" s="12">
        <v>-27.9312</v>
      </c>
    </row>
    <row r="897" spans="1:11" x14ac:dyDescent="0.25">
      <c r="A897" s="4">
        <v>43641</v>
      </c>
      <c r="B897" s="19">
        <f t="shared" si="26"/>
        <v>2019</v>
      </c>
      <c r="C897" s="19">
        <f t="shared" si="27"/>
        <v>6</v>
      </c>
      <c r="D897" s="5" t="s">
        <v>323</v>
      </c>
      <c r="E897" s="5" t="s">
        <v>39</v>
      </c>
      <c r="F897" s="5" t="s">
        <v>19</v>
      </c>
      <c r="G897" s="5" t="s">
        <v>20</v>
      </c>
      <c r="H897" s="5" t="s">
        <v>1115</v>
      </c>
      <c r="I897" s="13">
        <v>254.352</v>
      </c>
      <c r="J897" s="19">
        <v>6</v>
      </c>
      <c r="K897" s="14">
        <v>-50.870399999999997</v>
      </c>
    </row>
    <row r="898" spans="1:11" x14ac:dyDescent="0.25">
      <c r="A898" s="2">
        <v>43641</v>
      </c>
      <c r="B898" s="18">
        <f t="shared" ref="B898:B961" si="28">YEAR(A898)</f>
        <v>2019</v>
      </c>
      <c r="C898" s="18">
        <f t="shared" ref="C898:C961" si="29">MONTH(A898)</f>
        <v>6</v>
      </c>
      <c r="D898" s="3" t="s">
        <v>567</v>
      </c>
      <c r="E898" s="3" t="s">
        <v>18</v>
      </c>
      <c r="F898" s="3" t="s">
        <v>19</v>
      </c>
      <c r="G898" s="3" t="s">
        <v>121</v>
      </c>
      <c r="H898" s="3" t="s">
        <v>122</v>
      </c>
      <c r="I898" s="11">
        <v>60.81</v>
      </c>
      <c r="J898" s="18">
        <v>3</v>
      </c>
      <c r="K898" s="12">
        <v>17.026800000000001</v>
      </c>
    </row>
    <row r="899" spans="1:11" x14ac:dyDescent="0.25">
      <c r="A899" s="4">
        <v>43641</v>
      </c>
      <c r="B899" s="19">
        <f t="shared" si="28"/>
        <v>2019</v>
      </c>
      <c r="C899" s="19">
        <f t="shared" si="29"/>
        <v>6</v>
      </c>
      <c r="D899" s="5" t="s">
        <v>574</v>
      </c>
      <c r="E899" s="5" t="s">
        <v>23</v>
      </c>
      <c r="F899" s="5" t="s">
        <v>11</v>
      </c>
      <c r="G899" s="5" t="s">
        <v>112</v>
      </c>
      <c r="H899" s="5" t="s">
        <v>1116</v>
      </c>
      <c r="I899" s="13">
        <v>85.245999999999995</v>
      </c>
      <c r="J899" s="19">
        <v>2</v>
      </c>
      <c r="K899" s="14">
        <v>-6.0890000000000004</v>
      </c>
    </row>
    <row r="900" spans="1:11" x14ac:dyDescent="0.25">
      <c r="A900" s="2">
        <v>43641</v>
      </c>
      <c r="B900" s="18">
        <f t="shared" si="28"/>
        <v>2019</v>
      </c>
      <c r="C900" s="18">
        <f t="shared" si="29"/>
        <v>6</v>
      </c>
      <c r="D900" s="3" t="s">
        <v>574</v>
      </c>
      <c r="E900" s="3" t="s">
        <v>23</v>
      </c>
      <c r="F900" s="3" t="s">
        <v>11</v>
      </c>
      <c r="G900" s="3" t="s">
        <v>51</v>
      </c>
      <c r="H900" s="3" t="s">
        <v>1117</v>
      </c>
      <c r="I900" s="11">
        <v>32.712000000000003</v>
      </c>
      <c r="J900" s="18">
        <v>2</v>
      </c>
      <c r="K900" s="12">
        <v>-26.169599999999999</v>
      </c>
    </row>
    <row r="901" spans="1:11" x14ac:dyDescent="0.25">
      <c r="A901" s="4">
        <v>43642</v>
      </c>
      <c r="B901" s="19">
        <f t="shared" si="28"/>
        <v>2019</v>
      </c>
      <c r="C901" s="19">
        <f t="shared" si="29"/>
        <v>6</v>
      </c>
      <c r="D901" s="5" t="s">
        <v>1118</v>
      </c>
      <c r="E901" s="5" t="s">
        <v>94</v>
      </c>
      <c r="F901" s="5" t="s">
        <v>19</v>
      </c>
      <c r="G901" s="5" t="s">
        <v>40</v>
      </c>
      <c r="H901" s="5" t="s">
        <v>1119</v>
      </c>
      <c r="I901" s="13">
        <v>14.7</v>
      </c>
      <c r="J901" s="19">
        <v>5</v>
      </c>
      <c r="K901" s="14">
        <v>6.6150000000000002</v>
      </c>
    </row>
    <row r="902" spans="1:11" x14ac:dyDescent="0.25">
      <c r="A902" s="2">
        <v>43642</v>
      </c>
      <c r="B902" s="18">
        <f t="shared" si="28"/>
        <v>2019</v>
      </c>
      <c r="C902" s="18">
        <f t="shared" si="29"/>
        <v>6</v>
      </c>
      <c r="D902" s="3" t="s">
        <v>1118</v>
      </c>
      <c r="E902" s="3" t="s">
        <v>94</v>
      </c>
      <c r="F902" s="3" t="s">
        <v>19</v>
      </c>
      <c r="G902" s="3" t="s">
        <v>20</v>
      </c>
      <c r="H902" s="3" t="s">
        <v>909</v>
      </c>
      <c r="I902" s="11">
        <v>704.25</v>
      </c>
      <c r="J902" s="18">
        <v>5</v>
      </c>
      <c r="K902" s="12">
        <v>84.51</v>
      </c>
    </row>
    <row r="903" spans="1:11" x14ac:dyDescent="0.25">
      <c r="A903" s="4">
        <v>43642</v>
      </c>
      <c r="B903" s="19">
        <f t="shared" si="28"/>
        <v>2019</v>
      </c>
      <c r="C903" s="19">
        <f t="shared" si="29"/>
        <v>6</v>
      </c>
      <c r="D903" s="5" t="s">
        <v>790</v>
      </c>
      <c r="E903" s="5" t="s">
        <v>883</v>
      </c>
      <c r="F903" s="5" t="s">
        <v>19</v>
      </c>
      <c r="G903" s="5" t="s">
        <v>20</v>
      </c>
      <c r="H903" s="5" t="s">
        <v>631</v>
      </c>
      <c r="I903" s="13">
        <v>14.9</v>
      </c>
      <c r="J903" s="19">
        <v>5</v>
      </c>
      <c r="K903" s="14">
        <v>1.0429999999999999</v>
      </c>
    </row>
    <row r="904" spans="1:11" x14ac:dyDescent="0.25">
      <c r="A904" s="2">
        <v>43642</v>
      </c>
      <c r="B904" s="18">
        <f t="shared" si="28"/>
        <v>2019</v>
      </c>
      <c r="C904" s="18">
        <f t="shared" si="29"/>
        <v>6</v>
      </c>
      <c r="D904" s="3" t="s">
        <v>1120</v>
      </c>
      <c r="E904" s="3" t="s">
        <v>23</v>
      </c>
      <c r="F904" s="3" t="s">
        <v>14</v>
      </c>
      <c r="G904" s="3" t="s">
        <v>24</v>
      </c>
      <c r="H904" s="3" t="s">
        <v>1121</v>
      </c>
      <c r="I904" s="11">
        <v>13.616</v>
      </c>
      <c r="J904" s="18">
        <v>2</v>
      </c>
      <c r="K904" s="12">
        <v>3.5741999999999998</v>
      </c>
    </row>
    <row r="905" spans="1:11" x14ac:dyDescent="0.25">
      <c r="A905" s="4">
        <v>43642</v>
      </c>
      <c r="B905" s="19">
        <f t="shared" si="28"/>
        <v>2019</v>
      </c>
      <c r="C905" s="19">
        <f t="shared" si="29"/>
        <v>6</v>
      </c>
      <c r="D905" s="5" t="s">
        <v>687</v>
      </c>
      <c r="E905" s="5" t="s">
        <v>18</v>
      </c>
      <c r="F905" s="5" t="s">
        <v>11</v>
      </c>
      <c r="G905" s="5" t="s">
        <v>51</v>
      </c>
      <c r="H905" s="5" t="s">
        <v>1122</v>
      </c>
      <c r="I905" s="13">
        <v>22.14</v>
      </c>
      <c r="J905" s="19">
        <v>3</v>
      </c>
      <c r="K905" s="14">
        <v>6.4206000000000003</v>
      </c>
    </row>
    <row r="906" spans="1:11" x14ac:dyDescent="0.25">
      <c r="A906" s="2">
        <v>43642</v>
      </c>
      <c r="B906" s="18">
        <f t="shared" si="28"/>
        <v>2019</v>
      </c>
      <c r="C906" s="18">
        <f t="shared" si="29"/>
        <v>6</v>
      </c>
      <c r="D906" s="3" t="s">
        <v>1123</v>
      </c>
      <c r="E906" s="3" t="s">
        <v>164</v>
      </c>
      <c r="F906" s="3" t="s">
        <v>19</v>
      </c>
      <c r="G906" s="3" t="s">
        <v>40</v>
      </c>
      <c r="H906" s="3" t="s">
        <v>1124</v>
      </c>
      <c r="I906" s="11">
        <v>5.3040000000000003</v>
      </c>
      <c r="J906" s="18">
        <v>3</v>
      </c>
      <c r="K906" s="12">
        <v>0.46410000000000001</v>
      </c>
    </row>
    <row r="907" spans="1:11" x14ac:dyDescent="0.25">
      <c r="A907" s="4">
        <v>43642</v>
      </c>
      <c r="B907" s="19">
        <f t="shared" si="28"/>
        <v>2019</v>
      </c>
      <c r="C907" s="19">
        <f t="shared" si="29"/>
        <v>6</v>
      </c>
      <c r="D907" s="5" t="s">
        <v>1125</v>
      </c>
      <c r="E907" s="5" t="s">
        <v>365</v>
      </c>
      <c r="F907" s="5" t="s">
        <v>19</v>
      </c>
      <c r="G907" s="5" t="s">
        <v>53</v>
      </c>
      <c r="H907" s="5" t="s">
        <v>212</v>
      </c>
      <c r="I907" s="13">
        <v>368.91</v>
      </c>
      <c r="J907" s="19">
        <v>9</v>
      </c>
      <c r="K907" s="14">
        <v>180.76589999999999</v>
      </c>
    </row>
    <row r="908" spans="1:11" x14ac:dyDescent="0.25">
      <c r="A908" s="2">
        <v>43642</v>
      </c>
      <c r="B908" s="18">
        <f t="shared" si="28"/>
        <v>2019</v>
      </c>
      <c r="C908" s="18">
        <f t="shared" si="29"/>
        <v>6</v>
      </c>
      <c r="D908" s="3" t="s">
        <v>1125</v>
      </c>
      <c r="E908" s="3" t="s">
        <v>365</v>
      </c>
      <c r="F908" s="3" t="s">
        <v>19</v>
      </c>
      <c r="G908" s="3" t="s">
        <v>32</v>
      </c>
      <c r="H908" s="3" t="s">
        <v>788</v>
      </c>
      <c r="I908" s="11">
        <v>8.02</v>
      </c>
      <c r="J908" s="18">
        <v>1</v>
      </c>
      <c r="K908" s="12">
        <v>3.7694000000000001</v>
      </c>
    </row>
    <row r="909" spans="1:11" x14ac:dyDescent="0.25">
      <c r="A909" s="4">
        <v>43642</v>
      </c>
      <c r="B909" s="19">
        <f t="shared" si="28"/>
        <v>2019</v>
      </c>
      <c r="C909" s="19">
        <f t="shared" si="29"/>
        <v>6</v>
      </c>
      <c r="D909" s="5" t="s">
        <v>1125</v>
      </c>
      <c r="E909" s="5" t="s">
        <v>365</v>
      </c>
      <c r="F909" s="5" t="s">
        <v>19</v>
      </c>
      <c r="G909" s="5" t="s">
        <v>20</v>
      </c>
      <c r="H909" s="5" t="s">
        <v>1126</v>
      </c>
      <c r="I909" s="13">
        <v>171.04</v>
      </c>
      <c r="J909" s="19">
        <v>4</v>
      </c>
      <c r="K909" s="14">
        <v>44.470399999999998</v>
      </c>
    </row>
    <row r="910" spans="1:11" x14ac:dyDescent="0.25">
      <c r="A910" s="2">
        <v>43642</v>
      </c>
      <c r="B910" s="18">
        <f t="shared" si="28"/>
        <v>2019</v>
      </c>
      <c r="C910" s="18">
        <f t="shared" si="29"/>
        <v>6</v>
      </c>
      <c r="D910" s="3" t="s">
        <v>1127</v>
      </c>
      <c r="E910" s="3" t="s">
        <v>18</v>
      </c>
      <c r="F910" s="3" t="s">
        <v>19</v>
      </c>
      <c r="G910" s="3" t="s">
        <v>265</v>
      </c>
      <c r="H910" s="3" t="s">
        <v>695</v>
      </c>
      <c r="I910" s="11">
        <v>231.72</v>
      </c>
      <c r="J910" s="18">
        <v>2</v>
      </c>
      <c r="K910" s="12">
        <v>11.586</v>
      </c>
    </row>
    <row r="911" spans="1:11" x14ac:dyDescent="0.25">
      <c r="A911" s="4">
        <v>43642</v>
      </c>
      <c r="B911" s="19">
        <f t="shared" si="28"/>
        <v>2019</v>
      </c>
      <c r="C911" s="19">
        <f t="shared" si="29"/>
        <v>6</v>
      </c>
      <c r="D911" s="5" t="s">
        <v>1127</v>
      </c>
      <c r="E911" s="5" t="s">
        <v>18</v>
      </c>
      <c r="F911" s="5" t="s">
        <v>19</v>
      </c>
      <c r="G911" s="5" t="s">
        <v>116</v>
      </c>
      <c r="H911" s="5" t="s">
        <v>1128</v>
      </c>
      <c r="I911" s="13">
        <v>17.899999999999999</v>
      </c>
      <c r="J911" s="19">
        <v>5</v>
      </c>
      <c r="K911" s="14">
        <v>8.9499999999999993</v>
      </c>
    </row>
    <row r="912" spans="1:11" x14ac:dyDescent="0.25">
      <c r="A912" s="2">
        <v>43642</v>
      </c>
      <c r="B912" s="18">
        <f t="shared" si="28"/>
        <v>2019</v>
      </c>
      <c r="C912" s="18">
        <f t="shared" si="29"/>
        <v>6</v>
      </c>
      <c r="D912" s="3" t="s">
        <v>1127</v>
      </c>
      <c r="E912" s="3" t="s">
        <v>18</v>
      </c>
      <c r="F912" s="3" t="s">
        <v>19</v>
      </c>
      <c r="G912" s="3" t="s">
        <v>53</v>
      </c>
      <c r="H912" s="3" t="s">
        <v>1129</v>
      </c>
      <c r="I912" s="11">
        <v>12.48</v>
      </c>
      <c r="J912" s="18">
        <v>2</v>
      </c>
      <c r="K912" s="12">
        <v>5.6159999999999997</v>
      </c>
    </row>
    <row r="913" spans="1:11" x14ac:dyDescent="0.25">
      <c r="A913" s="4">
        <v>43642</v>
      </c>
      <c r="B913" s="19">
        <f t="shared" si="28"/>
        <v>2019</v>
      </c>
      <c r="C913" s="19">
        <f t="shared" si="29"/>
        <v>6</v>
      </c>
      <c r="D913" s="5" t="s">
        <v>1130</v>
      </c>
      <c r="E913" s="5" t="s">
        <v>94</v>
      </c>
      <c r="F913" s="5" t="s">
        <v>14</v>
      </c>
      <c r="G913" s="5" t="s">
        <v>24</v>
      </c>
      <c r="H913" s="5" t="s">
        <v>1131</v>
      </c>
      <c r="I913" s="13">
        <v>20.97</v>
      </c>
      <c r="J913" s="19">
        <v>3</v>
      </c>
      <c r="K913" s="14">
        <v>9.0170999999999992</v>
      </c>
    </row>
    <row r="914" spans="1:11" x14ac:dyDescent="0.25">
      <c r="A914" s="2">
        <v>43642</v>
      </c>
      <c r="B914" s="18">
        <f t="shared" si="28"/>
        <v>2019</v>
      </c>
      <c r="C914" s="18">
        <f t="shared" si="29"/>
        <v>6</v>
      </c>
      <c r="D914" s="3" t="s">
        <v>1130</v>
      </c>
      <c r="E914" s="3" t="s">
        <v>94</v>
      </c>
      <c r="F914" s="3" t="s">
        <v>14</v>
      </c>
      <c r="G914" s="3" t="s">
        <v>24</v>
      </c>
      <c r="H914" s="3" t="s">
        <v>1132</v>
      </c>
      <c r="I914" s="11">
        <v>139.96</v>
      </c>
      <c r="J914" s="18">
        <v>4</v>
      </c>
      <c r="K914" s="12">
        <v>9.7972000000000001</v>
      </c>
    </row>
    <row r="915" spans="1:11" x14ac:dyDescent="0.25">
      <c r="A915" s="4">
        <v>43642</v>
      </c>
      <c r="B915" s="19">
        <f t="shared" si="28"/>
        <v>2019</v>
      </c>
      <c r="C915" s="19">
        <f t="shared" si="29"/>
        <v>6</v>
      </c>
      <c r="D915" s="5" t="s">
        <v>1130</v>
      </c>
      <c r="E915" s="5" t="s">
        <v>94</v>
      </c>
      <c r="F915" s="5" t="s">
        <v>11</v>
      </c>
      <c r="G915" s="5" t="s">
        <v>51</v>
      </c>
      <c r="H915" s="5" t="s">
        <v>1133</v>
      </c>
      <c r="I915" s="13">
        <v>37.74</v>
      </c>
      <c r="J915" s="19">
        <v>3</v>
      </c>
      <c r="K915" s="14">
        <v>12.8316</v>
      </c>
    </row>
    <row r="916" spans="1:11" x14ac:dyDescent="0.25">
      <c r="A916" s="2">
        <v>43642</v>
      </c>
      <c r="B916" s="18">
        <f t="shared" si="28"/>
        <v>2019</v>
      </c>
      <c r="C916" s="18">
        <f t="shared" si="29"/>
        <v>6</v>
      </c>
      <c r="D916" s="3" t="s">
        <v>1134</v>
      </c>
      <c r="E916" s="3" t="s">
        <v>109</v>
      </c>
      <c r="F916" s="3" t="s">
        <v>14</v>
      </c>
      <c r="G916" s="3" t="s">
        <v>15</v>
      </c>
      <c r="H916" s="3" t="s">
        <v>1135</v>
      </c>
      <c r="I916" s="11">
        <v>135.94999999999999</v>
      </c>
      <c r="J916" s="18">
        <v>1</v>
      </c>
      <c r="K916" s="12">
        <v>39.4255</v>
      </c>
    </row>
    <row r="917" spans="1:11" x14ac:dyDescent="0.25">
      <c r="A917" s="4">
        <v>43643</v>
      </c>
      <c r="B917" s="19">
        <f t="shared" si="28"/>
        <v>2019</v>
      </c>
      <c r="C917" s="19">
        <f t="shared" si="29"/>
        <v>6</v>
      </c>
      <c r="D917" s="5" t="s">
        <v>1136</v>
      </c>
      <c r="E917" s="5" t="s">
        <v>164</v>
      </c>
      <c r="F917" s="5" t="s">
        <v>19</v>
      </c>
      <c r="G917" s="5" t="s">
        <v>53</v>
      </c>
      <c r="H917" s="5" t="s">
        <v>932</v>
      </c>
      <c r="I917" s="13">
        <v>37.463999999999999</v>
      </c>
      <c r="J917" s="19">
        <v>7</v>
      </c>
      <c r="K917" s="14">
        <v>12.175800000000001</v>
      </c>
    </row>
    <row r="918" spans="1:11" x14ac:dyDescent="0.25">
      <c r="A918" s="2">
        <v>43643</v>
      </c>
      <c r="B918" s="18">
        <f t="shared" si="28"/>
        <v>2019</v>
      </c>
      <c r="C918" s="18">
        <f t="shared" si="29"/>
        <v>6</v>
      </c>
      <c r="D918" s="3" t="s">
        <v>1136</v>
      </c>
      <c r="E918" s="3" t="s">
        <v>164</v>
      </c>
      <c r="F918" s="3" t="s">
        <v>11</v>
      </c>
      <c r="G918" s="3" t="s">
        <v>112</v>
      </c>
      <c r="H918" s="3" t="s">
        <v>1137</v>
      </c>
      <c r="I918" s="11">
        <v>539.65800000000002</v>
      </c>
      <c r="J918" s="18">
        <v>3</v>
      </c>
      <c r="K918" s="12">
        <v>-7.7093999999999996</v>
      </c>
    </row>
    <row r="919" spans="1:11" x14ac:dyDescent="0.25">
      <c r="A919" s="4">
        <v>43643</v>
      </c>
      <c r="B919" s="19">
        <f t="shared" si="28"/>
        <v>2019</v>
      </c>
      <c r="C919" s="19">
        <f t="shared" si="29"/>
        <v>6</v>
      </c>
      <c r="D919" s="5" t="s">
        <v>452</v>
      </c>
      <c r="E919" s="5" t="s">
        <v>18</v>
      </c>
      <c r="F919" s="5" t="s">
        <v>14</v>
      </c>
      <c r="G919" s="5" t="s">
        <v>15</v>
      </c>
      <c r="H919" s="5" t="s">
        <v>1050</v>
      </c>
      <c r="I919" s="13">
        <v>201.584</v>
      </c>
      <c r="J919" s="19">
        <v>2</v>
      </c>
      <c r="K919" s="14">
        <v>12.599</v>
      </c>
    </row>
    <row r="920" spans="1:11" x14ac:dyDescent="0.25">
      <c r="A920" s="2">
        <v>43644</v>
      </c>
      <c r="B920" s="18">
        <f t="shared" si="28"/>
        <v>2019</v>
      </c>
      <c r="C920" s="18">
        <f t="shared" si="29"/>
        <v>6</v>
      </c>
      <c r="D920" s="3" t="s">
        <v>1138</v>
      </c>
      <c r="E920" s="3" t="s">
        <v>164</v>
      </c>
      <c r="F920" s="3" t="s">
        <v>14</v>
      </c>
      <c r="G920" s="3" t="s">
        <v>15</v>
      </c>
      <c r="H920" s="3" t="s">
        <v>1139</v>
      </c>
      <c r="I920" s="11">
        <v>359.976</v>
      </c>
      <c r="J920" s="18">
        <v>3</v>
      </c>
      <c r="K920" s="12">
        <v>35.997599999999998</v>
      </c>
    </row>
    <row r="921" spans="1:11" x14ac:dyDescent="0.25">
      <c r="A921" s="4">
        <v>43644</v>
      </c>
      <c r="B921" s="19">
        <f t="shared" si="28"/>
        <v>2019</v>
      </c>
      <c r="C921" s="19">
        <f t="shared" si="29"/>
        <v>6</v>
      </c>
      <c r="D921" s="5" t="s">
        <v>1140</v>
      </c>
      <c r="E921" s="5" t="s">
        <v>18</v>
      </c>
      <c r="F921" s="5" t="s">
        <v>19</v>
      </c>
      <c r="G921" s="5" t="s">
        <v>32</v>
      </c>
      <c r="H921" s="5" t="s">
        <v>715</v>
      </c>
      <c r="I921" s="13">
        <v>7.7519999999999998</v>
      </c>
      <c r="J921" s="19">
        <v>3</v>
      </c>
      <c r="K921" s="14">
        <v>2.8100999999999998</v>
      </c>
    </row>
    <row r="922" spans="1:11" x14ac:dyDescent="0.25">
      <c r="A922" s="2">
        <v>43644</v>
      </c>
      <c r="B922" s="18">
        <f t="shared" si="28"/>
        <v>2019</v>
      </c>
      <c r="C922" s="18">
        <f t="shared" si="29"/>
        <v>6</v>
      </c>
      <c r="D922" s="3" t="s">
        <v>1140</v>
      </c>
      <c r="E922" s="3" t="s">
        <v>18</v>
      </c>
      <c r="F922" s="3" t="s">
        <v>19</v>
      </c>
      <c r="G922" s="3" t="s">
        <v>32</v>
      </c>
      <c r="H922" s="3" t="s">
        <v>1141</v>
      </c>
      <c r="I922" s="11">
        <v>33.567999999999998</v>
      </c>
      <c r="J922" s="18">
        <v>2</v>
      </c>
      <c r="K922" s="12">
        <v>11.748799999999999</v>
      </c>
    </row>
    <row r="923" spans="1:11" x14ac:dyDescent="0.25">
      <c r="A923" s="4">
        <v>43644</v>
      </c>
      <c r="B923" s="19">
        <f t="shared" si="28"/>
        <v>2019</v>
      </c>
      <c r="C923" s="19">
        <f t="shared" si="29"/>
        <v>6</v>
      </c>
      <c r="D923" s="5" t="s">
        <v>1142</v>
      </c>
      <c r="E923" s="5" t="s">
        <v>85</v>
      </c>
      <c r="F923" s="5" t="s">
        <v>11</v>
      </c>
      <c r="G923" s="5" t="s">
        <v>112</v>
      </c>
      <c r="H923" s="5" t="s">
        <v>1143</v>
      </c>
      <c r="I923" s="13">
        <v>121.96</v>
      </c>
      <c r="J923" s="19">
        <v>2</v>
      </c>
      <c r="K923" s="14">
        <v>20.7332</v>
      </c>
    </row>
    <row r="924" spans="1:11" x14ac:dyDescent="0.25">
      <c r="A924" s="2">
        <v>43644</v>
      </c>
      <c r="B924" s="18">
        <f t="shared" si="28"/>
        <v>2019</v>
      </c>
      <c r="C924" s="18">
        <f t="shared" si="29"/>
        <v>6</v>
      </c>
      <c r="D924" s="3" t="s">
        <v>1142</v>
      </c>
      <c r="E924" s="3" t="s">
        <v>85</v>
      </c>
      <c r="F924" s="3" t="s">
        <v>19</v>
      </c>
      <c r="G924" s="3" t="s">
        <v>121</v>
      </c>
      <c r="H924" s="3" t="s">
        <v>1144</v>
      </c>
      <c r="I924" s="11">
        <v>8.74</v>
      </c>
      <c r="J924" s="18">
        <v>2</v>
      </c>
      <c r="K924" s="12">
        <v>2.2724000000000002</v>
      </c>
    </row>
    <row r="925" spans="1:11" x14ac:dyDescent="0.25">
      <c r="A925" s="4">
        <v>43644</v>
      </c>
      <c r="B925" s="19">
        <f t="shared" si="28"/>
        <v>2019</v>
      </c>
      <c r="C925" s="19">
        <f t="shared" si="29"/>
        <v>6</v>
      </c>
      <c r="D925" s="5" t="s">
        <v>1142</v>
      </c>
      <c r="E925" s="5" t="s">
        <v>85</v>
      </c>
      <c r="F925" s="5" t="s">
        <v>19</v>
      </c>
      <c r="G925" s="5" t="s">
        <v>53</v>
      </c>
      <c r="H925" s="5" t="s">
        <v>1145</v>
      </c>
      <c r="I925" s="13">
        <v>61.96</v>
      </c>
      <c r="J925" s="19">
        <v>2</v>
      </c>
      <c r="K925" s="14">
        <v>27.882000000000001</v>
      </c>
    </row>
    <row r="926" spans="1:11" x14ac:dyDescent="0.25">
      <c r="A926" s="2">
        <v>43644</v>
      </c>
      <c r="B926" s="18">
        <f t="shared" si="28"/>
        <v>2019</v>
      </c>
      <c r="C926" s="18">
        <f t="shared" si="29"/>
        <v>6</v>
      </c>
      <c r="D926" s="3" t="s">
        <v>1142</v>
      </c>
      <c r="E926" s="3" t="s">
        <v>85</v>
      </c>
      <c r="F926" s="3" t="s">
        <v>19</v>
      </c>
      <c r="G926" s="3" t="s">
        <v>32</v>
      </c>
      <c r="H926" s="3" t="s">
        <v>1078</v>
      </c>
      <c r="I926" s="11">
        <v>7.96</v>
      </c>
      <c r="J926" s="18">
        <v>2</v>
      </c>
      <c r="K926" s="12">
        <v>3.7412000000000001</v>
      </c>
    </row>
    <row r="927" spans="1:11" x14ac:dyDescent="0.25">
      <c r="A927" s="4">
        <v>43644</v>
      </c>
      <c r="B927" s="19">
        <f t="shared" si="28"/>
        <v>2019</v>
      </c>
      <c r="C927" s="19">
        <f t="shared" si="29"/>
        <v>6</v>
      </c>
      <c r="D927" s="5" t="s">
        <v>1142</v>
      </c>
      <c r="E927" s="5" t="s">
        <v>85</v>
      </c>
      <c r="F927" s="5" t="s">
        <v>19</v>
      </c>
      <c r="G927" s="5" t="s">
        <v>121</v>
      </c>
      <c r="H927" s="5" t="s">
        <v>1146</v>
      </c>
      <c r="I927" s="13">
        <v>275.24</v>
      </c>
      <c r="J927" s="19">
        <v>4</v>
      </c>
      <c r="K927" s="14">
        <v>121.1056</v>
      </c>
    </row>
    <row r="928" spans="1:11" x14ac:dyDescent="0.25">
      <c r="A928" s="2">
        <v>43645</v>
      </c>
      <c r="B928" s="18">
        <f t="shared" si="28"/>
        <v>2019</v>
      </c>
      <c r="C928" s="18">
        <f t="shared" si="29"/>
        <v>6</v>
      </c>
      <c r="D928" s="3" t="s">
        <v>1147</v>
      </c>
      <c r="E928" s="3" t="s">
        <v>1148</v>
      </c>
      <c r="F928" s="3" t="s">
        <v>19</v>
      </c>
      <c r="G928" s="3" t="s">
        <v>20</v>
      </c>
      <c r="H928" s="3" t="s">
        <v>684</v>
      </c>
      <c r="I928" s="11">
        <v>191.88</v>
      </c>
      <c r="J928" s="18">
        <v>6</v>
      </c>
      <c r="K928" s="12">
        <v>19.187999999999999</v>
      </c>
    </row>
    <row r="929" spans="1:11" x14ac:dyDescent="0.25">
      <c r="A929" s="4">
        <v>43646</v>
      </c>
      <c r="B929" s="19">
        <f t="shared" si="28"/>
        <v>2019</v>
      </c>
      <c r="C929" s="19">
        <f t="shared" si="29"/>
        <v>6</v>
      </c>
      <c r="D929" s="5" t="s">
        <v>1149</v>
      </c>
      <c r="E929" s="5" t="s">
        <v>109</v>
      </c>
      <c r="F929" s="5" t="s">
        <v>19</v>
      </c>
      <c r="G929" s="5" t="s">
        <v>40</v>
      </c>
      <c r="H929" s="5" t="s">
        <v>1150</v>
      </c>
      <c r="I929" s="13">
        <v>35.97</v>
      </c>
      <c r="J929" s="19">
        <v>3</v>
      </c>
      <c r="K929" s="14">
        <v>9.7119</v>
      </c>
    </row>
    <row r="930" spans="1:11" x14ac:dyDescent="0.25">
      <c r="A930" s="2">
        <v>43646</v>
      </c>
      <c r="B930" s="18">
        <f t="shared" si="28"/>
        <v>2019</v>
      </c>
      <c r="C930" s="18">
        <f t="shared" si="29"/>
        <v>6</v>
      </c>
      <c r="D930" s="3" t="s">
        <v>1149</v>
      </c>
      <c r="E930" s="3" t="s">
        <v>109</v>
      </c>
      <c r="F930" s="3" t="s">
        <v>11</v>
      </c>
      <c r="G930" s="3" t="s">
        <v>12</v>
      </c>
      <c r="H930" s="3" t="s">
        <v>1151</v>
      </c>
      <c r="I930" s="11">
        <v>1266.8599999999999</v>
      </c>
      <c r="J930" s="18">
        <v>7</v>
      </c>
      <c r="K930" s="12">
        <v>291.37779999999998</v>
      </c>
    </row>
    <row r="931" spans="1:11" x14ac:dyDescent="0.25">
      <c r="A931" s="4">
        <v>43646</v>
      </c>
      <c r="B931" s="19">
        <f t="shared" si="28"/>
        <v>2019</v>
      </c>
      <c r="C931" s="19">
        <f t="shared" si="29"/>
        <v>6</v>
      </c>
      <c r="D931" s="5" t="s">
        <v>1152</v>
      </c>
      <c r="E931" s="5" t="s">
        <v>164</v>
      </c>
      <c r="F931" s="5" t="s">
        <v>14</v>
      </c>
      <c r="G931" s="5" t="s">
        <v>24</v>
      </c>
      <c r="H931" s="5" t="s">
        <v>383</v>
      </c>
      <c r="I931" s="13">
        <v>50.12</v>
      </c>
      <c r="J931" s="19">
        <v>7</v>
      </c>
      <c r="K931" s="14">
        <v>-0.62649999999999995</v>
      </c>
    </row>
    <row r="932" spans="1:11" x14ac:dyDescent="0.25">
      <c r="A932" s="2">
        <v>43647</v>
      </c>
      <c r="B932" s="18">
        <f t="shared" si="28"/>
        <v>2019</v>
      </c>
      <c r="C932" s="18">
        <f t="shared" si="29"/>
        <v>7</v>
      </c>
      <c r="D932" s="3" t="s">
        <v>1153</v>
      </c>
      <c r="E932" s="3" t="s">
        <v>1148</v>
      </c>
      <c r="F932" s="3" t="s">
        <v>19</v>
      </c>
      <c r="G932" s="3" t="s">
        <v>32</v>
      </c>
      <c r="H932" s="3" t="s">
        <v>501</v>
      </c>
      <c r="I932" s="11">
        <v>14.2</v>
      </c>
      <c r="J932" s="18">
        <v>2</v>
      </c>
      <c r="K932" s="12">
        <v>6.532</v>
      </c>
    </row>
    <row r="933" spans="1:11" x14ac:dyDescent="0.25">
      <c r="A933" s="4">
        <v>43647</v>
      </c>
      <c r="B933" s="19">
        <f t="shared" si="28"/>
        <v>2019</v>
      </c>
      <c r="C933" s="19">
        <f t="shared" si="29"/>
        <v>7</v>
      </c>
      <c r="D933" s="5" t="s">
        <v>1153</v>
      </c>
      <c r="E933" s="5" t="s">
        <v>1148</v>
      </c>
      <c r="F933" s="5" t="s">
        <v>19</v>
      </c>
      <c r="G933" s="5" t="s">
        <v>53</v>
      </c>
      <c r="H933" s="5" t="s">
        <v>1154</v>
      </c>
      <c r="I933" s="13">
        <v>12.96</v>
      </c>
      <c r="J933" s="19">
        <v>2</v>
      </c>
      <c r="K933" s="14">
        <v>6.2207999999999997</v>
      </c>
    </row>
    <row r="934" spans="1:11" x14ac:dyDescent="0.25">
      <c r="A934" s="2">
        <v>43647</v>
      </c>
      <c r="B934" s="18">
        <f t="shared" si="28"/>
        <v>2019</v>
      </c>
      <c r="C934" s="18">
        <f t="shared" si="29"/>
        <v>7</v>
      </c>
      <c r="D934" s="3" t="s">
        <v>1153</v>
      </c>
      <c r="E934" s="3" t="s">
        <v>1148</v>
      </c>
      <c r="F934" s="3" t="s">
        <v>19</v>
      </c>
      <c r="G934" s="3" t="s">
        <v>32</v>
      </c>
      <c r="H934" s="3" t="s">
        <v>1155</v>
      </c>
      <c r="I934" s="11">
        <v>58.34</v>
      </c>
      <c r="J934" s="18">
        <v>2</v>
      </c>
      <c r="K934" s="12">
        <v>28.0032</v>
      </c>
    </row>
    <row r="935" spans="1:11" x14ac:dyDescent="0.25">
      <c r="A935" s="4">
        <v>43647</v>
      </c>
      <c r="B935" s="19">
        <f t="shared" si="28"/>
        <v>2019</v>
      </c>
      <c r="C935" s="19">
        <f t="shared" si="29"/>
        <v>7</v>
      </c>
      <c r="D935" s="5" t="s">
        <v>958</v>
      </c>
      <c r="E935" s="5" t="s">
        <v>1156</v>
      </c>
      <c r="F935" s="5" t="s">
        <v>14</v>
      </c>
      <c r="G935" s="5" t="s">
        <v>36</v>
      </c>
      <c r="H935" s="5" t="s">
        <v>37</v>
      </c>
      <c r="I935" s="13">
        <v>1499.95</v>
      </c>
      <c r="J935" s="19">
        <v>5</v>
      </c>
      <c r="K935" s="14">
        <v>449.98500000000001</v>
      </c>
    </row>
    <row r="936" spans="1:11" x14ac:dyDescent="0.25">
      <c r="A936" s="2">
        <v>43647</v>
      </c>
      <c r="B936" s="18">
        <f t="shared" si="28"/>
        <v>2019</v>
      </c>
      <c r="C936" s="18">
        <f t="shared" si="29"/>
        <v>7</v>
      </c>
      <c r="D936" s="3" t="s">
        <v>1157</v>
      </c>
      <c r="E936" s="3" t="s">
        <v>94</v>
      </c>
      <c r="F936" s="3" t="s">
        <v>19</v>
      </c>
      <c r="G936" s="3" t="s">
        <v>127</v>
      </c>
      <c r="H936" s="3" t="s">
        <v>1158</v>
      </c>
      <c r="I936" s="11">
        <v>30.53</v>
      </c>
      <c r="J936" s="18">
        <v>1</v>
      </c>
      <c r="K936" s="12">
        <v>14.043799999999999</v>
      </c>
    </row>
    <row r="937" spans="1:11" x14ac:dyDescent="0.25">
      <c r="A937" s="4">
        <v>43647</v>
      </c>
      <c r="B937" s="19">
        <f t="shared" si="28"/>
        <v>2019</v>
      </c>
      <c r="C937" s="19">
        <f t="shared" si="29"/>
        <v>7</v>
      </c>
      <c r="D937" s="5" t="s">
        <v>1157</v>
      </c>
      <c r="E937" s="5" t="s">
        <v>94</v>
      </c>
      <c r="F937" s="5" t="s">
        <v>14</v>
      </c>
      <c r="G937" s="5" t="s">
        <v>24</v>
      </c>
      <c r="H937" s="5" t="s">
        <v>1159</v>
      </c>
      <c r="I937" s="13">
        <v>30.84</v>
      </c>
      <c r="J937" s="19">
        <v>3</v>
      </c>
      <c r="K937" s="14">
        <v>6.1680000000000001</v>
      </c>
    </row>
    <row r="938" spans="1:11" x14ac:dyDescent="0.25">
      <c r="A938" s="2">
        <v>43647</v>
      </c>
      <c r="B938" s="18">
        <f t="shared" si="28"/>
        <v>2019</v>
      </c>
      <c r="C938" s="18">
        <f t="shared" si="29"/>
        <v>7</v>
      </c>
      <c r="D938" s="3" t="s">
        <v>1157</v>
      </c>
      <c r="E938" s="3" t="s">
        <v>94</v>
      </c>
      <c r="F938" s="3" t="s">
        <v>19</v>
      </c>
      <c r="G938" s="3" t="s">
        <v>53</v>
      </c>
      <c r="H938" s="3" t="s">
        <v>1160</v>
      </c>
      <c r="I938" s="11">
        <v>75.06</v>
      </c>
      <c r="J938" s="18">
        <v>9</v>
      </c>
      <c r="K938" s="12">
        <v>33.777000000000001</v>
      </c>
    </row>
    <row r="939" spans="1:11" x14ac:dyDescent="0.25">
      <c r="A939" s="4">
        <v>43647</v>
      </c>
      <c r="B939" s="19">
        <f t="shared" si="28"/>
        <v>2019</v>
      </c>
      <c r="C939" s="19">
        <f t="shared" si="29"/>
        <v>7</v>
      </c>
      <c r="D939" s="5" t="s">
        <v>1161</v>
      </c>
      <c r="E939" s="5" t="s">
        <v>70</v>
      </c>
      <c r="F939" s="5" t="s">
        <v>19</v>
      </c>
      <c r="G939" s="5" t="s">
        <v>32</v>
      </c>
      <c r="H939" s="5" t="s">
        <v>1162</v>
      </c>
      <c r="I939" s="13">
        <v>2.496</v>
      </c>
      <c r="J939" s="19">
        <v>1</v>
      </c>
      <c r="K939" s="14">
        <v>0.90480000000000005</v>
      </c>
    </row>
    <row r="940" spans="1:11" x14ac:dyDescent="0.25">
      <c r="A940" s="2">
        <v>43648</v>
      </c>
      <c r="B940" s="18">
        <f t="shared" si="28"/>
        <v>2019</v>
      </c>
      <c r="C940" s="18">
        <f t="shared" si="29"/>
        <v>7</v>
      </c>
      <c r="D940" s="3" t="s">
        <v>798</v>
      </c>
      <c r="E940" s="3" t="s">
        <v>18</v>
      </c>
      <c r="F940" s="3" t="s">
        <v>11</v>
      </c>
      <c r="G940" s="3" t="s">
        <v>112</v>
      </c>
      <c r="H940" s="3" t="s">
        <v>1163</v>
      </c>
      <c r="I940" s="11">
        <v>195.184</v>
      </c>
      <c r="J940" s="18">
        <v>1</v>
      </c>
      <c r="K940" s="12">
        <v>19.5184</v>
      </c>
    </row>
    <row r="941" spans="1:11" x14ac:dyDescent="0.25">
      <c r="A941" s="4">
        <v>43648</v>
      </c>
      <c r="B941" s="19">
        <f t="shared" si="28"/>
        <v>2019</v>
      </c>
      <c r="C941" s="19">
        <f t="shared" si="29"/>
        <v>7</v>
      </c>
      <c r="D941" s="5" t="s">
        <v>1164</v>
      </c>
      <c r="E941" s="5" t="s">
        <v>181</v>
      </c>
      <c r="F941" s="5" t="s">
        <v>19</v>
      </c>
      <c r="G941" s="5" t="s">
        <v>40</v>
      </c>
      <c r="H941" s="5" t="s">
        <v>1165</v>
      </c>
      <c r="I941" s="13">
        <v>7.7</v>
      </c>
      <c r="J941" s="19">
        <v>2</v>
      </c>
      <c r="K941" s="14">
        <v>3.157</v>
      </c>
    </row>
    <row r="942" spans="1:11" x14ac:dyDescent="0.25">
      <c r="A942" s="2">
        <v>43648</v>
      </c>
      <c r="B942" s="18">
        <f t="shared" si="28"/>
        <v>2019</v>
      </c>
      <c r="C942" s="18">
        <f t="shared" si="29"/>
        <v>7</v>
      </c>
      <c r="D942" s="3" t="s">
        <v>250</v>
      </c>
      <c r="E942" s="3" t="s">
        <v>23</v>
      </c>
      <c r="F942" s="3" t="s">
        <v>11</v>
      </c>
      <c r="G942" s="3" t="s">
        <v>112</v>
      </c>
      <c r="H942" s="3" t="s">
        <v>477</v>
      </c>
      <c r="I942" s="11">
        <v>528.42999999999995</v>
      </c>
      <c r="J942" s="18">
        <v>5</v>
      </c>
      <c r="K942" s="12">
        <v>0</v>
      </c>
    </row>
    <row r="943" spans="1:11" x14ac:dyDescent="0.25">
      <c r="A943" s="4">
        <v>43648</v>
      </c>
      <c r="B943" s="19">
        <f t="shared" si="28"/>
        <v>2019</v>
      </c>
      <c r="C943" s="19">
        <f t="shared" si="29"/>
        <v>7</v>
      </c>
      <c r="D943" s="5" t="s">
        <v>250</v>
      </c>
      <c r="E943" s="5" t="s">
        <v>23</v>
      </c>
      <c r="F943" s="5" t="s">
        <v>19</v>
      </c>
      <c r="G943" s="5" t="s">
        <v>53</v>
      </c>
      <c r="H943" s="5" t="s">
        <v>1166</v>
      </c>
      <c r="I943" s="13">
        <v>41.472000000000001</v>
      </c>
      <c r="J943" s="19">
        <v>8</v>
      </c>
      <c r="K943" s="14">
        <v>14.5152</v>
      </c>
    </row>
    <row r="944" spans="1:11" x14ac:dyDescent="0.25">
      <c r="A944" s="2">
        <v>43649</v>
      </c>
      <c r="B944" s="18">
        <f t="shared" si="28"/>
        <v>2019</v>
      </c>
      <c r="C944" s="18">
        <f t="shared" si="29"/>
        <v>7</v>
      </c>
      <c r="D944" s="3" t="s">
        <v>1167</v>
      </c>
      <c r="E944" s="3" t="s">
        <v>18</v>
      </c>
      <c r="F944" s="3" t="s">
        <v>19</v>
      </c>
      <c r="G944" s="3" t="s">
        <v>53</v>
      </c>
      <c r="H944" s="3" t="s">
        <v>1168</v>
      </c>
      <c r="I944" s="11">
        <v>12.96</v>
      </c>
      <c r="J944" s="18">
        <v>2</v>
      </c>
      <c r="K944" s="12">
        <v>6.2207999999999997</v>
      </c>
    </row>
    <row r="945" spans="1:11" x14ac:dyDescent="0.25">
      <c r="A945" s="4">
        <v>43649</v>
      </c>
      <c r="B945" s="19">
        <f t="shared" si="28"/>
        <v>2019</v>
      </c>
      <c r="C945" s="19">
        <f t="shared" si="29"/>
        <v>7</v>
      </c>
      <c r="D945" s="5" t="s">
        <v>1167</v>
      </c>
      <c r="E945" s="5" t="s">
        <v>18</v>
      </c>
      <c r="F945" s="5" t="s">
        <v>19</v>
      </c>
      <c r="G945" s="5" t="s">
        <v>116</v>
      </c>
      <c r="H945" s="5" t="s">
        <v>1169</v>
      </c>
      <c r="I945" s="13">
        <v>3.96</v>
      </c>
      <c r="J945" s="19">
        <v>2</v>
      </c>
      <c r="K945" s="14">
        <v>7.9200000000000007E-2</v>
      </c>
    </row>
    <row r="946" spans="1:11" x14ac:dyDescent="0.25">
      <c r="A946" s="2">
        <v>43649</v>
      </c>
      <c r="B946" s="18">
        <f t="shared" si="28"/>
        <v>2019</v>
      </c>
      <c r="C946" s="18">
        <f t="shared" si="29"/>
        <v>7</v>
      </c>
      <c r="D946" s="3" t="s">
        <v>396</v>
      </c>
      <c r="E946" s="3" t="s">
        <v>94</v>
      </c>
      <c r="F946" s="3" t="s">
        <v>19</v>
      </c>
      <c r="G946" s="3" t="s">
        <v>121</v>
      </c>
      <c r="H946" s="3" t="s">
        <v>1170</v>
      </c>
      <c r="I946" s="11">
        <v>706.86</v>
      </c>
      <c r="J946" s="18">
        <v>7</v>
      </c>
      <c r="K946" s="12">
        <v>197.92080000000001</v>
      </c>
    </row>
    <row r="947" spans="1:11" x14ac:dyDescent="0.25">
      <c r="A947" s="4">
        <v>43649</v>
      </c>
      <c r="B947" s="19">
        <f t="shared" si="28"/>
        <v>2019</v>
      </c>
      <c r="C947" s="19">
        <f t="shared" si="29"/>
        <v>7</v>
      </c>
      <c r="D947" s="5" t="s">
        <v>599</v>
      </c>
      <c r="E947" s="5" t="s">
        <v>39</v>
      </c>
      <c r="F947" s="5" t="s">
        <v>19</v>
      </c>
      <c r="G947" s="5" t="s">
        <v>53</v>
      </c>
      <c r="H947" s="5" t="s">
        <v>1171</v>
      </c>
      <c r="I947" s="13">
        <v>123.92</v>
      </c>
      <c r="J947" s="19">
        <v>5</v>
      </c>
      <c r="K947" s="14">
        <v>38.725000000000001</v>
      </c>
    </row>
    <row r="948" spans="1:11" x14ac:dyDescent="0.25">
      <c r="A948" s="2">
        <v>43650</v>
      </c>
      <c r="B948" s="18">
        <f t="shared" si="28"/>
        <v>2019</v>
      </c>
      <c r="C948" s="18">
        <f t="shared" si="29"/>
        <v>7</v>
      </c>
      <c r="D948" s="3" t="s">
        <v>1172</v>
      </c>
      <c r="E948" s="3" t="s">
        <v>18</v>
      </c>
      <c r="F948" s="3" t="s">
        <v>11</v>
      </c>
      <c r="G948" s="3" t="s">
        <v>51</v>
      </c>
      <c r="H948" s="3" t="s">
        <v>462</v>
      </c>
      <c r="I948" s="11">
        <v>25.4</v>
      </c>
      <c r="J948" s="18">
        <v>5</v>
      </c>
      <c r="K948" s="12">
        <v>8.6359999999999992</v>
      </c>
    </row>
    <row r="949" spans="1:11" x14ac:dyDescent="0.25">
      <c r="A949" s="4">
        <v>43650</v>
      </c>
      <c r="B949" s="19">
        <f t="shared" si="28"/>
        <v>2019</v>
      </c>
      <c r="C949" s="19">
        <f t="shared" si="29"/>
        <v>7</v>
      </c>
      <c r="D949" s="5" t="s">
        <v>1172</v>
      </c>
      <c r="E949" s="5" t="s">
        <v>18</v>
      </c>
      <c r="F949" s="5" t="s">
        <v>19</v>
      </c>
      <c r="G949" s="5" t="s">
        <v>86</v>
      </c>
      <c r="H949" s="5" t="s">
        <v>1173</v>
      </c>
      <c r="I949" s="13">
        <v>43.96</v>
      </c>
      <c r="J949" s="19">
        <v>2</v>
      </c>
      <c r="K949" s="14">
        <v>20.661200000000001</v>
      </c>
    </row>
    <row r="950" spans="1:11" x14ac:dyDescent="0.25">
      <c r="A950" s="2">
        <v>43650</v>
      </c>
      <c r="B950" s="18">
        <f t="shared" si="28"/>
        <v>2019</v>
      </c>
      <c r="C950" s="18">
        <f t="shared" si="29"/>
        <v>7</v>
      </c>
      <c r="D950" s="3" t="s">
        <v>1172</v>
      </c>
      <c r="E950" s="3" t="s">
        <v>18</v>
      </c>
      <c r="F950" s="3" t="s">
        <v>11</v>
      </c>
      <c r="G950" s="3" t="s">
        <v>12</v>
      </c>
      <c r="H950" s="3" t="s">
        <v>1174</v>
      </c>
      <c r="I950" s="11">
        <v>1279.165</v>
      </c>
      <c r="J950" s="18">
        <v>5</v>
      </c>
      <c r="K950" s="12">
        <v>225.73500000000001</v>
      </c>
    </row>
    <row r="951" spans="1:11" x14ac:dyDescent="0.25">
      <c r="A951" s="4">
        <v>43650</v>
      </c>
      <c r="B951" s="19">
        <f t="shared" si="28"/>
        <v>2019</v>
      </c>
      <c r="C951" s="19">
        <f t="shared" si="29"/>
        <v>7</v>
      </c>
      <c r="D951" s="5" t="s">
        <v>1172</v>
      </c>
      <c r="E951" s="5" t="s">
        <v>18</v>
      </c>
      <c r="F951" s="5" t="s">
        <v>19</v>
      </c>
      <c r="G951" s="5" t="s">
        <v>20</v>
      </c>
      <c r="H951" s="5" t="s">
        <v>1175</v>
      </c>
      <c r="I951" s="13">
        <v>27.92</v>
      </c>
      <c r="J951" s="19">
        <v>4</v>
      </c>
      <c r="K951" s="14">
        <v>0.55840000000000001</v>
      </c>
    </row>
    <row r="952" spans="1:11" x14ac:dyDescent="0.25">
      <c r="A952" s="2">
        <v>43650</v>
      </c>
      <c r="B952" s="18">
        <f t="shared" si="28"/>
        <v>2019</v>
      </c>
      <c r="C952" s="18">
        <f t="shared" si="29"/>
        <v>7</v>
      </c>
      <c r="D952" s="3" t="s">
        <v>367</v>
      </c>
      <c r="E952" s="3" t="s">
        <v>70</v>
      </c>
      <c r="F952" s="3" t="s">
        <v>11</v>
      </c>
      <c r="G952" s="3" t="s">
        <v>51</v>
      </c>
      <c r="H952" s="3" t="s">
        <v>462</v>
      </c>
      <c r="I952" s="11">
        <v>25.4</v>
      </c>
      <c r="J952" s="18">
        <v>5</v>
      </c>
      <c r="K952" s="12">
        <v>8.6359999999999992</v>
      </c>
    </row>
    <row r="953" spans="1:11" x14ac:dyDescent="0.25">
      <c r="A953" s="4">
        <v>43650</v>
      </c>
      <c r="B953" s="19">
        <f t="shared" si="28"/>
        <v>2019</v>
      </c>
      <c r="C953" s="19">
        <f t="shared" si="29"/>
        <v>7</v>
      </c>
      <c r="D953" s="5" t="s">
        <v>367</v>
      </c>
      <c r="E953" s="5" t="s">
        <v>70</v>
      </c>
      <c r="F953" s="5" t="s">
        <v>14</v>
      </c>
      <c r="G953" s="5" t="s">
        <v>15</v>
      </c>
      <c r="H953" s="5" t="s">
        <v>783</v>
      </c>
      <c r="I953" s="13">
        <v>177.48</v>
      </c>
      <c r="J953" s="19">
        <v>3</v>
      </c>
      <c r="K953" s="14">
        <v>19.9665</v>
      </c>
    </row>
    <row r="954" spans="1:11" x14ac:dyDescent="0.25">
      <c r="A954" s="2">
        <v>43650</v>
      </c>
      <c r="B954" s="18">
        <f t="shared" si="28"/>
        <v>2019</v>
      </c>
      <c r="C954" s="18">
        <f t="shared" si="29"/>
        <v>7</v>
      </c>
      <c r="D954" s="3" t="s">
        <v>367</v>
      </c>
      <c r="E954" s="3" t="s">
        <v>70</v>
      </c>
      <c r="F954" s="3" t="s">
        <v>14</v>
      </c>
      <c r="G954" s="3" t="s">
        <v>15</v>
      </c>
      <c r="H954" s="3" t="s">
        <v>1176</v>
      </c>
      <c r="I954" s="11">
        <v>71.975999999999999</v>
      </c>
      <c r="J954" s="18">
        <v>3</v>
      </c>
      <c r="K954" s="12">
        <v>8.9969999999999999</v>
      </c>
    </row>
    <row r="955" spans="1:11" x14ac:dyDescent="0.25">
      <c r="A955" s="4">
        <v>43653</v>
      </c>
      <c r="B955" s="19">
        <f t="shared" si="28"/>
        <v>2019</v>
      </c>
      <c r="C955" s="19">
        <f t="shared" si="29"/>
        <v>7</v>
      </c>
      <c r="D955" s="5" t="s">
        <v>1177</v>
      </c>
      <c r="E955" s="5" t="s">
        <v>44</v>
      </c>
      <c r="F955" s="5" t="s">
        <v>19</v>
      </c>
      <c r="G955" s="5" t="s">
        <v>265</v>
      </c>
      <c r="H955" s="5" t="s">
        <v>1178</v>
      </c>
      <c r="I955" s="13">
        <v>45.584000000000003</v>
      </c>
      <c r="J955" s="19">
        <v>7</v>
      </c>
      <c r="K955" s="14">
        <v>5.1281999999999996</v>
      </c>
    </row>
    <row r="956" spans="1:11" x14ac:dyDescent="0.25">
      <c r="A956" s="2">
        <v>43653</v>
      </c>
      <c r="B956" s="18">
        <f t="shared" si="28"/>
        <v>2019</v>
      </c>
      <c r="C956" s="18">
        <f t="shared" si="29"/>
        <v>7</v>
      </c>
      <c r="D956" s="3" t="s">
        <v>586</v>
      </c>
      <c r="E956" s="3" t="s">
        <v>18</v>
      </c>
      <c r="F956" s="3" t="s">
        <v>11</v>
      </c>
      <c r="G956" s="3" t="s">
        <v>51</v>
      </c>
      <c r="H956" s="3" t="s">
        <v>1179</v>
      </c>
      <c r="I956" s="11">
        <v>215.65</v>
      </c>
      <c r="J956" s="18">
        <v>5</v>
      </c>
      <c r="K956" s="12">
        <v>73.320999999999998</v>
      </c>
    </row>
    <row r="957" spans="1:11" x14ac:dyDescent="0.25">
      <c r="A957" s="4">
        <v>43653</v>
      </c>
      <c r="B957" s="19">
        <f t="shared" si="28"/>
        <v>2019</v>
      </c>
      <c r="C957" s="19">
        <f t="shared" si="29"/>
        <v>7</v>
      </c>
      <c r="D957" s="5" t="s">
        <v>1180</v>
      </c>
      <c r="E957" s="5" t="s">
        <v>164</v>
      </c>
      <c r="F957" s="5" t="s">
        <v>11</v>
      </c>
      <c r="G957" s="5" t="s">
        <v>51</v>
      </c>
      <c r="H957" s="5" t="s">
        <v>736</v>
      </c>
      <c r="I957" s="13">
        <v>60.287999999999997</v>
      </c>
      <c r="J957" s="19">
        <v>8</v>
      </c>
      <c r="K957" s="14">
        <v>-27.1296</v>
      </c>
    </row>
    <row r="958" spans="1:11" x14ac:dyDescent="0.25">
      <c r="A958" s="2">
        <v>43653</v>
      </c>
      <c r="B958" s="18">
        <f t="shared" si="28"/>
        <v>2019</v>
      </c>
      <c r="C958" s="18">
        <f t="shared" si="29"/>
        <v>7</v>
      </c>
      <c r="D958" s="3" t="s">
        <v>1180</v>
      </c>
      <c r="E958" s="3" t="s">
        <v>164</v>
      </c>
      <c r="F958" s="3" t="s">
        <v>19</v>
      </c>
      <c r="G958" s="3" t="s">
        <v>116</v>
      </c>
      <c r="H958" s="3" t="s">
        <v>864</v>
      </c>
      <c r="I958" s="11">
        <v>2.6320000000000001</v>
      </c>
      <c r="J958" s="18">
        <v>1</v>
      </c>
      <c r="K958" s="12">
        <v>0.82250000000000001</v>
      </c>
    </row>
    <row r="959" spans="1:11" x14ac:dyDescent="0.25">
      <c r="A959" s="4">
        <v>43653</v>
      </c>
      <c r="B959" s="19">
        <f t="shared" si="28"/>
        <v>2019</v>
      </c>
      <c r="C959" s="19">
        <f t="shared" si="29"/>
        <v>7</v>
      </c>
      <c r="D959" s="5" t="s">
        <v>1180</v>
      </c>
      <c r="E959" s="5" t="s">
        <v>164</v>
      </c>
      <c r="F959" s="5" t="s">
        <v>19</v>
      </c>
      <c r="G959" s="5" t="s">
        <v>53</v>
      </c>
      <c r="H959" s="5" t="s">
        <v>1181</v>
      </c>
      <c r="I959" s="13">
        <v>23.687999999999999</v>
      </c>
      <c r="J959" s="19">
        <v>9</v>
      </c>
      <c r="K959" s="14">
        <v>7.6985999999999999</v>
      </c>
    </row>
    <row r="960" spans="1:11" x14ac:dyDescent="0.25">
      <c r="A960" s="2">
        <v>43653</v>
      </c>
      <c r="B960" s="18">
        <f t="shared" si="28"/>
        <v>2019</v>
      </c>
      <c r="C960" s="18">
        <f t="shared" si="29"/>
        <v>7</v>
      </c>
      <c r="D960" s="3" t="s">
        <v>1180</v>
      </c>
      <c r="E960" s="3" t="s">
        <v>164</v>
      </c>
      <c r="F960" s="3" t="s">
        <v>11</v>
      </c>
      <c r="G960" s="3" t="s">
        <v>112</v>
      </c>
      <c r="H960" s="3" t="s">
        <v>114</v>
      </c>
      <c r="I960" s="11">
        <v>253.37200000000001</v>
      </c>
      <c r="J960" s="18">
        <v>2</v>
      </c>
      <c r="K960" s="12">
        <v>-14.478400000000001</v>
      </c>
    </row>
    <row r="961" spans="1:11" x14ac:dyDescent="0.25">
      <c r="A961" s="4">
        <v>43653</v>
      </c>
      <c r="B961" s="19">
        <f t="shared" si="28"/>
        <v>2019</v>
      </c>
      <c r="C961" s="19">
        <f t="shared" si="29"/>
        <v>7</v>
      </c>
      <c r="D961" s="5" t="s">
        <v>900</v>
      </c>
      <c r="E961" s="5" t="s">
        <v>18</v>
      </c>
      <c r="F961" s="5" t="s">
        <v>11</v>
      </c>
      <c r="G961" s="5" t="s">
        <v>112</v>
      </c>
      <c r="H961" s="5" t="s">
        <v>1182</v>
      </c>
      <c r="I961" s="13">
        <v>287.96800000000002</v>
      </c>
      <c r="J961" s="19">
        <v>4</v>
      </c>
      <c r="K961" s="14">
        <v>-3.5996000000000001</v>
      </c>
    </row>
    <row r="962" spans="1:11" x14ac:dyDescent="0.25">
      <c r="A962" s="2">
        <v>43653</v>
      </c>
      <c r="B962" s="18">
        <f t="shared" ref="B962:B1025" si="30">YEAR(A962)</f>
        <v>2019</v>
      </c>
      <c r="C962" s="18">
        <f t="shared" ref="C962:C1025" si="31">MONTH(A962)</f>
        <v>7</v>
      </c>
      <c r="D962" s="3" t="s">
        <v>900</v>
      </c>
      <c r="E962" s="3" t="s">
        <v>18</v>
      </c>
      <c r="F962" s="3" t="s">
        <v>14</v>
      </c>
      <c r="G962" s="3" t="s">
        <v>36</v>
      </c>
      <c r="H962" s="3" t="s">
        <v>1183</v>
      </c>
      <c r="I962" s="11">
        <v>2799.96</v>
      </c>
      <c r="J962" s="18">
        <v>5</v>
      </c>
      <c r="K962" s="12">
        <v>944.98649999999998</v>
      </c>
    </row>
    <row r="963" spans="1:11" x14ac:dyDescent="0.25">
      <c r="A963" s="4">
        <v>43653</v>
      </c>
      <c r="B963" s="19">
        <f t="shared" si="30"/>
        <v>2019</v>
      </c>
      <c r="C963" s="19">
        <f t="shared" si="31"/>
        <v>7</v>
      </c>
      <c r="D963" s="5" t="s">
        <v>900</v>
      </c>
      <c r="E963" s="5" t="s">
        <v>18</v>
      </c>
      <c r="F963" s="5" t="s">
        <v>19</v>
      </c>
      <c r="G963" s="5" t="s">
        <v>53</v>
      </c>
      <c r="H963" s="5" t="s">
        <v>713</v>
      </c>
      <c r="I963" s="13">
        <v>48.94</v>
      </c>
      <c r="J963" s="19">
        <v>1</v>
      </c>
      <c r="K963" s="14">
        <v>24.47</v>
      </c>
    </row>
    <row r="964" spans="1:11" x14ac:dyDescent="0.25">
      <c r="A964" s="2">
        <v>43653</v>
      </c>
      <c r="B964" s="18">
        <f t="shared" si="30"/>
        <v>2019</v>
      </c>
      <c r="C964" s="18">
        <f t="shared" si="31"/>
        <v>7</v>
      </c>
      <c r="D964" s="3" t="s">
        <v>1184</v>
      </c>
      <c r="E964" s="3" t="s">
        <v>39</v>
      </c>
      <c r="F964" s="3" t="s">
        <v>19</v>
      </c>
      <c r="G964" s="3" t="s">
        <v>127</v>
      </c>
      <c r="H964" s="3" t="s">
        <v>1185</v>
      </c>
      <c r="I964" s="11">
        <v>10.08</v>
      </c>
      <c r="J964" s="18">
        <v>2</v>
      </c>
      <c r="K964" s="12">
        <v>3.2759999999999998</v>
      </c>
    </row>
    <row r="965" spans="1:11" x14ac:dyDescent="0.25">
      <c r="A965" s="4">
        <v>43653</v>
      </c>
      <c r="B965" s="19">
        <f t="shared" si="30"/>
        <v>2019</v>
      </c>
      <c r="C965" s="19">
        <f t="shared" si="31"/>
        <v>7</v>
      </c>
      <c r="D965" s="5" t="s">
        <v>1184</v>
      </c>
      <c r="E965" s="5" t="s">
        <v>39</v>
      </c>
      <c r="F965" s="5" t="s">
        <v>14</v>
      </c>
      <c r="G965" s="5" t="s">
        <v>15</v>
      </c>
      <c r="H965" s="5" t="s">
        <v>1186</v>
      </c>
      <c r="I965" s="13">
        <v>59.994</v>
      </c>
      <c r="J965" s="19">
        <v>1</v>
      </c>
      <c r="K965" s="14">
        <v>-12.998699999999999</v>
      </c>
    </row>
    <row r="966" spans="1:11" x14ac:dyDescent="0.25">
      <c r="A966" s="2">
        <v>43653</v>
      </c>
      <c r="B966" s="18">
        <f t="shared" si="30"/>
        <v>2019</v>
      </c>
      <c r="C966" s="18">
        <f t="shared" si="31"/>
        <v>7</v>
      </c>
      <c r="D966" s="3" t="s">
        <v>1184</v>
      </c>
      <c r="E966" s="3" t="s">
        <v>39</v>
      </c>
      <c r="F966" s="3" t="s">
        <v>19</v>
      </c>
      <c r="G966" s="3" t="s">
        <v>32</v>
      </c>
      <c r="H966" s="3" t="s">
        <v>1049</v>
      </c>
      <c r="I966" s="11">
        <v>5.7149999999999999</v>
      </c>
      <c r="J966" s="18">
        <v>5</v>
      </c>
      <c r="K966" s="12">
        <v>-4.7625000000000002</v>
      </c>
    </row>
    <row r="967" spans="1:11" x14ac:dyDescent="0.25">
      <c r="A967" s="4">
        <v>43653</v>
      </c>
      <c r="B967" s="19">
        <f t="shared" si="30"/>
        <v>2019</v>
      </c>
      <c r="C967" s="19">
        <f t="shared" si="31"/>
        <v>7</v>
      </c>
      <c r="D967" s="5" t="s">
        <v>1184</v>
      </c>
      <c r="E967" s="5" t="s">
        <v>39</v>
      </c>
      <c r="F967" s="5" t="s">
        <v>19</v>
      </c>
      <c r="G967" s="5" t="s">
        <v>32</v>
      </c>
      <c r="H967" s="5" t="s">
        <v>1187</v>
      </c>
      <c r="I967" s="13">
        <v>9.42</v>
      </c>
      <c r="J967" s="19">
        <v>5</v>
      </c>
      <c r="K967" s="14">
        <v>-7.85</v>
      </c>
    </row>
    <row r="968" spans="1:11" x14ac:dyDescent="0.25">
      <c r="A968" s="2">
        <v>43653</v>
      </c>
      <c r="B968" s="18">
        <f t="shared" si="30"/>
        <v>2019</v>
      </c>
      <c r="C968" s="18">
        <f t="shared" si="31"/>
        <v>7</v>
      </c>
      <c r="D968" s="3" t="s">
        <v>710</v>
      </c>
      <c r="E968" s="3" t="s">
        <v>1156</v>
      </c>
      <c r="F968" s="3" t="s">
        <v>19</v>
      </c>
      <c r="G968" s="3" t="s">
        <v>53</v>
      </c>
      <c r="H968" s="3" t="s">
        <v>721</v>
      </c>
      <c r="I968" s="11">
        <v>12.96</v>
      </c>
      <c r="J968" s="18">
        <v>2</v>
      </c>
      <c r="K968" s="12">
        <v>6.2207999999999997</v>
      </c>
    </row>
    <row r="969" spans="1:11" x14ac:dyDescent="0.25">
      <c r="A969" s="4">
        <v>43653</v>
      </c>
      <c r="B969" s="19">
        <f t="shared" si="30"/>
        <v>2019</v>
      </c>
      <c r="C969" s="19">
        <f t="shared" si="31"/>
        <v>7</v>
      </c>
      <c r="D969" s="5" t="s">
        <v>710</v>
      </c>
      <c r="E969" s="5" t="s">
        <v>1156</v>
      </c>
      <c r="F969" s="5" t="s">
        <v>19</v>
      </c>
      <c r="G969" s="5" t="s">
        <v>40</v>
      </c>
      <c r="H969" s="5" t="s">
        <v>844</v>
      </c>
      <c r="I969" s="13">
        <v>45.98</v>
      </c>
      <c r="J969" s="19">
        <v>2</v>
      </c>
      <c r="K969" s="14">
        <v>12.8744</v>
      </c>
    </row>
    <row r="970" spans="1:11" x14ac:dyDescent="0.25">
      <c r="A970" s="2">
        <v>43654</v>
      </c>
      <c r="B970" s="18">
        <f t="shared" si="30"/>
        <v>2019</v>
      </c>
      <c r="C970" s="18">
        <f t="shared" si="31"/>
        <v>7</v>
      </c>
      <c r="D970" s="3" t="s">
        <v>997</v>
      </c>
      <c r="E970" s="3" t="s">
        <v>23</v>
      </c>
      <c r="F970" s="3" t="s">
        <v>14</v>
      </c>
      <c r="G970" s="3" t="s">
        <v>15</v>
      </c>
      <c r="H970" s="3" t="s">
        <v>1188</v>
      </c>
      <c r="I970" s="11">
        <v>863.64</v>
      </c>
      <c r="J970" s="18">
        <v>9</v>
      </c>
      <c r="K970" s="12">
        <v>107.955</v>
      </c>
    </row>
    <row r="971" spans="1:11" x14ac:dyDescent="0.25">
      <c r="A971" s="4">
        <v>43654</v>
      </c>
      <c r="B971" s="19">
        <f t="shared" si="30"/>
        <v>2019</v>
      </c>
      <c r="C971" s="19">
        <f t="shared" si="31"/>
        <v>7</v>
      </c>
      <c r="D971" s="5" t="s">
        <v>997</v>
      </c>
      <c r="E971" s="5" t="s">
        <v>23</v>
      </c>
      <c r="F971" s="5" t="s">
        <v>19</v>
      </c>
      <c r="G971" s="5" t="s">
        <v>40</v>
      </c>
      <c r="H971" s="5" t="s">
        <v>153</v>
      </c>
      <c r="I971" s="13">
        <v>47.616</v>
      </c>
      <c r="J971" s="19">
        <v>3</v>
      </c>
      <c r="K971" s="14">
        <v>3.5712000000000002</v>
      </c>
    </row>
    <row r="972" spans="1:11" x14ac:dyDescent="0.25">
      <c r="A972" s="2">
        <v>43654</v>
      </c>
      <c r="B972" s="18">
        <f t="shared" si="30"/>
        <v>2019</v>
      </c>
      <c r="C972" s="18">
        <f t="shared" si="31"/>
        <v>7</v>
      </c>
      <c r="D972" s="3" t="s">
        <v>1189</v>
      </c>
      <c r="E972" s="3" t="s">
        <v>306</v>
      </c>
      <c r="F972" s="3" t="s">
        <v>19</v>
      </c>
      <c r="G972" s="3" t="s">
        <v>32</v>
      </c>
      <c r="H972" s="3" t="s">
        <v>1059</v>
      </c>
      <c r="I972" s="11">
        <v>19.968</v>
      </c>
      <c r="J972" s="18">
        <v>2</v>
      </c>
      <c r="K972" s="12">
        <v>-13.311999999999999</v>
      </c>
    </row>
    <row r="973" spans="1:11" x14ac:dyDescent="0.25">
      <c r="A973" s="4">
        <v>43654</v>
      </c>
      <c r="B973" s="19">
        <f t="shared" si="30"/>
        <v>2019</v>
      </c>
      <c r="C973" s="19">
        <f t="shared" si="31"/>
        <v>7</v>
      </c>
      <c r="D973" s="5" t="s">
        <v>1189</v>
      </c>
      <c r="E973" s="5" t="s">
        <v>306</v>
      </c>
      <c r="F973" s="5" t="s">
        <v>19</v>
      </c>
      <c r="G973" s="5" t="s">
        <v>20</v>
      </c>
      <c r="H973" s="5" t="s">
        <v>771</v>
      </c>
      <c r="I973" s="13">
        <v>33.488</v>
      </c>
      <c r="J973" s="19">
        <v>7</v>
      </c>
      <c r="K973" s="14">
        <v>-1.2558</v>
      </c>
    </row>
    <row r="974" spans="1:11" x14ac:dyDescent="0.25">
      <c r="A974" s="2">
        <v>43654</v>
      </c>
      <c r="B974" s="18">
        <f t="shared" si="30"/>
        <v>2019</v>
      </c>
      <c r="C974" s="18">
        <f t="shared" si="31"/>
        <v>7</v>
      </c>
      <c r="D974" s="3" t="s">
        <v>1189</v>
      </c>
      <c r="E974" s="3" t="s">
        <v>306</v>
      </c>
      <c r="F974" s="3" t="s">
        <v>19</v>
      </c>
      <c r="G974" s="3" t="s">
        <v>32</v>
      </c>
      <c r="H974" s="3" t="s">
        <v>101</v>
      </c>
      <c r="I974" s="11">
        <v>8.7360000000000007</v>
      </c>
      <c r="J974" s="18">
        <v>4</v>
      </c>
      <c r="K974" s="12">
        <v>-6.1151999999999997</v>
      </c>
    </row>
    <row r="975" spans="1:11" x14ac:dyDescent="0.25">
      <c r="A975" s="4">
        <v>43654</v>
      </c>
      <c r="B975" s="19">
        <f t="shared" si="30"/>
        <v>2019</v>
      </c>
      <c r="C975" s="19">
        <f t="shared" si="31"/>
        <v>7</v>
      </c>
      <c r="D975" s="5" t="s">
        <v>1189</v>
      </c>
      <c r="E975" s="5" t="s">
        <v>306</v>
      </c>
      <c r="F975" s="5" t="s">
        <v>11</v>
      </c>
      <c r="G975" s="5" t="s">
        <v>112</v>
      </c>
      <c r="H975" s="5" t="s">
        <v>417</v>
      </c>
      <c r="I975" s="13">
        <v>662.88</v>
      </c>
      <c r="J975" s="19">
        <v>3</v>
      </c>
      <c r="K975" s="14">
        <v>74.573999999999998</v>
      </c>
    </row>
    <row r="976" spans="1:11" x14ac:dyDescent="0.25">
      <c r="A976" s="2">
        <v>43654</v>
      </c>
      <c r="B976" s="18">
        <f t="shared" si="30"/>
        <v>2019</v>
      </c>
      <c r="C976" s="18">
        <f t="shared" si="31"/>
        <v>7</v>
      </c>
      <c r="D976" s="3" t="s">
        <v>319</v>
      </c>
      <c r="E976" s="3" t="s">
        <v>70</v>
      </c>
      <c r="F976" s="3" t="s">
        <v>14</v>
      </c>
      <c r="G976" s="3" t="s">
        <v>15</v>
      </c>
      <c r="H976" s="3" t="s">
        <v>1190</v>
      </c>
      <c r="I976" s="11">
        <v>107.98399999999999</v>
      </c>
      <c r="J976" s="18">
        <v>1</v>
      </c>
      <c r="K976" s="12">
        <v>9.4486000000000008</v>
      </c>
    </row>
    <row r="977" spans="1:11" x14ac:dyDescent="0.25">
      <c r="A977" s="4">
        <v>43654</v>
      </c>
      <c r="B977" s="19">
        <f t="shared" si="30"/>
        <v>2019</v>
      </c>
      <c r="C977" s="19">
        <f t="shared" si="31"/>
        <v>7</v>
      </c>
      <c r="D977" s="5" t="s">
        <v>319</v>
      </c>
      <c r="E977" s="5" t="s">
        <v>70</v>
      </c>
      <c r="F977" s="5" t="s">
        <v>19</v>
      </c>
      <c r="G977" s="5" t="s">
        <v>32</v>
      </c>
      <c r="H977" s="5" t="s">
        <v>1191</v>
      </c>
      <c r="I977" s="13">
        <v>19.295999999999999</v>
      </c>
      <c r="J977" s="19">
        <v>3</v>
      </c>
      <c r="K977" s="14">
        <v>6.03</v>
      </c>
    </row>
    <row r="978" spans="1:11" x14ac:dyDescent="0.25">
      <c r="A978" s="2">
        <v>43654</v>
      </c>
      <c r="B978" s="18">
        <f t="shared" si="30"/>
        <v>2019</v>
      </c>
      <c r="C978" s="18">
        <f t="shared" si="31"/>
        <v>7</v>
      </c>
      <c r="D978" s="3" t="s">
        <v>544</v>
      </c>
      <c r="E978" s="3" t="s">
        <v>44</v>
      </c>
      <c r="F978" s="3" t="s">
        <v>14</v>
      </c>
      <c r="G978" s="3" t="s">
        <v>15</v>
      </c>
      <c r="H978" s="3" t="s">
        <v>1192</v>
      </c>
      <c r="I978" s="11">
        <v>823.96</v>
      </c>
      <c r="J978" s="18">
        <v>5</v>
      </c>
      <c r="K978" s="12">
        <v>51.497500000000002</v>
      </c>
    </row>
    <row r="979" spans="1:11" x14ac:dyDescent="0.25">
      <c r="A979" s="4">
        <v>43654</v>
      </c>
      <c r="B979" s="19">
        <f t="shared" si="30"/>
        <v>2019</v>
      </c>
      <c r="C979" s="19">
        <f t="shared" si="31"/>
        <v>7</v>
      </c>
      <c r="D979" s="5" t="s">
        <v>544</v>
      </c>
      <c r="E979" s="5" t="s">
        <v>44</v>
      </c>
      <c r="F979" s="5" t="s">
        <v>19</v>
      </c>
      <c r="G979" s="5" t="s">
        <v>53</v>
      </c>
      <c r="H979" s="5" t="s">
        <v>1193</v>
      </c>
      <c r="I979" s="13">
        <v>15.984</v>
      </c>
      <c r="J979" s="19">
        <v>2</v>
      </c>
      <c r="K979" s="14">
        <v>4.9950000000000001</v>
      </c>
    </row>
    <row r="980" spans="1:11" x14ac:dyDescent="0.25">
      <c r="A980" s="2">
        <v>43654</v>
      </c>
      <c r="B980" s="18">
        <f t="shared" si="30"/>
        <v>2019</v>
      </c>
      <c r="C980" s="18">
        <f t="shared" si="31"/>
        <v>7</v>
      </c>
      <c r="D980" s="3" t="s">
        <v>663</v>
      </c>
      <c r="E980" s="3" t="s">
        <v>883</v>
      </c>
      <c r="F980" s="3" t="s">
        <v>19</v>
      </c>
      <c r="G980" s="3" t="s">
        <v>53</v>
      </c>
      <c r="H980" s="3" t="s">
        <v>1194</v>
      </c>
      <c r="I980" s="11">
        <v>12.96</v>
      </c>
      <c r="J980" s="18">
        <v>2</v>
      </c>
      <c r="K980" s="12">
        <v>6.2207999999999997</v>
      </c>
    </row>
    <row r="981" spans="1:11" x14ac:dyDescent="0.25">
      <c r="A981" s="4">
        <v>43655</v>
      </c>
      <c r="B981" s="19">
        <f t="shared" si="30"/>
        <v>2019</v>
      </c>
      <c r="C981" s="19">
        <f t="shared" si="31"/>
        <v>7</v>
      </c>
      <c r="D981" s="5" t="s">
        <v>148</v>
      </c>
      <c r="E981" s="5" t="s">
        <v>94</v>
      </c>
      <c r="F981" s="5" t="s">
        <v>11</v>
      </c>
      <c r="G981" s="5" t="s">
        <v>112</v>
      </c>
      <c r="H981" s="5" t="s">
        <v>1195</v>
      </c>
      <c r="I981" s="13">
        <v>408.00599999999997</v>
      </c>
      <c r="J981" s="19">
        <v>2</v>
      </c>
      <c r="K981" s="14">
        <v>72.534400000000005</v>
      </c>
    </row>
    <row r="982" spans="1:11" x14ac:dyDescent="0.25">
      <c r="A982" s="2">
        <v>43655</v>
      </c>
      <c r="B982" s="18">
        <f t="shared" si="30"/>
        <v>2019</v>
      </c>
      <c r="C982" s="18">
        <f t="shared" si="31"/>
        <v>7</v>
      </c>
      <c r="D982" s="3" t="s">
        <v>148</v>
      </c>
      <c r="E982" s="3" t="s">
        <v>94</v>
      </c>
      <c r="F982" s="3" t="s">
        <v>11</v>
      </c>
      <c r="G982" s="3" t="s">
        <v>51</v>
      </c>
      <c r="H982" s="3" t="s">
        <v>220</v>
      </c>
      <c r="I982" s="11">
        <v>165.28</v>
      </c>
      <c r="J982" s="18">
        <v>4</v>
      </c>
      <c r="K982" s="12">
        <v>14.8752</v>
      </c>
    </row>
    <row r="983" spans="1:11" x14ac:dyDescent="0.25">
      <c r="A983" s="4">
        <v>43656</v>
      </c>
      <c r="B983" s="19">
        <f t="shared" si="30"/>
        <v>2019</v>
      </c>
      <c r="C983" s="19">
        <f t="shared" si="31"/>
        <v>7</v>
      </c>
      <c r="D983" s="5" t="s">
        <v>1196</v>
      </c>
      <c r="E983" s="5" t="s">
        <v>198</v>
      </c>
      <c r="F983" s="5" t="s">
        <v>19</v>
      </c>
      <c r="G983" s="5" t="s">
        <v>20</v>
      </c>
      <c r="H983" s="5" t="s">
        <v>1197</v>
      </c>
      <c r="I983" s="13">
        <v>16.768000000000001</v>
      </c>
      <c r="J983" s="19">
        <v>2</v>
      </c>
      <c r="K983" s="14">
        <v>1.4672000000000001</v>
      </c>
    </row>
    <row r="984" spans="1:11" x14ac:dyDescent="0.25">
      <c r="A984" s="2">
        <v>43656</v>
      </c>
      <c r="B984" s="18">
        <f t="shared" si="30"/>
        <v>2019</v>
      </c>
      <c r="C984" s="18">
        <f t="shared" si="31"/>
        <v>7</v>
      </c>
      <c r="D984" s="3" t="s">
        <v>833</v>
      </c>
      <c r="E984" s="3" t="s">
        <v>23</v>
      </c>
      <c r="F984" s="3" t="s">
        <v>19</v>
      </c>
      <c r="G984" s="3" t="s">
        <v>20</v>
      </c>
      <c r="H984" s="3" t="s">
        <v>909</v>
      </c>
      <c r="I984" s="11">
        <v>338.04</v>
      </c>
      <c r="J984" s="18">
        <v>3</v>
      </c>
      <c r="K984" s="12">
        <v>-33.804000000000002</v>
      </c>
    </row>
    <row r="985" spans="1:11" x14ac:dyDescent="0.25">
      <c r="A985" s="4">
        <v>43656</v>
      </c>
      <c r="B985" s="19">
        <f t="shared" si="30"/>
        <v>2019</v>
      </c>
      <c r="C985" s="19">
        <f t="shared" si="31"/>
        <v>7</v>
      </c>
      <c r="D985" s="5" t="s">
        <v>833</v>
      </c>
      <c r="E985" s="5" t="s">
        <v>23</v>
      </c>
      <c r="F985" s="5" t="s">
        <v>19</v>
      </c>
      <c r="G985" s="5" t="s">
        <v>40</v>
      </c>
      <c r="H985" s="5" t="s">
        <v>1198</v>
      </c>
      <c r="I985" s="13">
        <v>154.24</v>
      </c>
      <c r="J985" s="19">
        <v>4</v>
      </c>
      <c r="K985" s="14">
        <v>17.352</v>
      </c>
    </row>
    <row r="986" spans="1:11" x14ac:dyDescent="0.25">
      <c r="A986" s="2">
        <v>43656</v>
      </c>
      <c r="B986" s="18">
        <f t="shared" si="30"/>
        <v>2019</v>
      </c>
      <c r="C986" s="18">
        <f t="shared" si="31"/>
        <v>7</v>
      </c>
      <c r="D986" s="3" t="s">
        <v>1161</v>
      </c>
      <c r="E986" s="3" t="s">
        <v>198</v>
      </c>
      <c r="F986" s="3" t="s">
        <v>19</v>
      </c>
      <c r="G986" s="3" t="s">
        <v>32</v>
      </c>
      <c r="H986" s="3" t="s">
        <v>947</v>
      </c>
      <c r="I986" s="11">
        <v>44.856000000000002</v>
      </c>
      <c r="J986" s="18">
        <v>6</v>
      </c>
      <c r="K986" s="12">
        <v>-35.884799999999998</v>
      </c>
    </row>
    <row r="987" spans="1:11" x14ac:dyDescent="0.25">
      <c r="A987" s="4">
        <v>43656</v>
      </c>
      <c r="B987" s="19">
        <f t="shared" si="30"/>
        <v>2019</v>
      </c>
      <c r="C987" s="19">
        <f t="shared" si="31"/>
        <v>7</v>
      </c>
      <c r="D987" s="5" t="s">
        <v>250</v>
      </c>
      <c r="E987" s="5" t="s">
        <v>39</v>
      </c>
      <c r="F987" s="5" t="s">
        <v>14</v>
      </c>
      <c r="G987" s="5" t="s">
        <v>188</v>
      </c>
      <c r="H987" s="5" t="s">
        <v>1199</v>
      </c>
      <c r="I987" s="13">
        <v>341.99099999999999</v>
      </c>
      <c r="J987" s="19">
        <v>3</v>
      </c>
      <c r="K987" s="14">
        <v>-319.19159999999999</v>
      </c>
    </row>
    <row r="988" spans="1:11" x14ac:dyDescent="0.25">
      <c r="A988" s="2">
        <v>43658</v>
      </c>
      <c r="B988" s="18">
        <f t="shared" si="30"/>
        <v>2019</v>
      </c>
      <c r="C988" s="18">
        <f t="shared" si="31"/>
        <v>7</v>
      </c>
      <c r="D988" s="3" t="s">
        <v>1200</v>
      </c>
      <c r="E988" s="3" t="s">
        <v>18</v>
      </c>
      <c r="F988" s="3" t="s">
        <v>14</v>
      </c>
      <c r="G988" s="3" t="s">
        <v>15</v>
      </c>
      <c r="H988" s="3" t="s">
        <v>1201</v>
      </c>
      <c r="I988" s="11">
        <v>95.76</v>
      </c>
      <c r="J988" s="18">
        <v>6</v>
      </c>
      <c r="K988" s="12">
        <v>7.1820000000000004</v>
      </c>
    </row>
    <row r="989" spans="1:11" x14ac:dyDescent="0.25">
      <c r="A989" s="4">
        <v>43660</v>
      </c>
      <c r="B989" s="19">
        <f t="shared" si="30"/>
        <v>2019</v>
      </c>
      <c r="C989" s="19">
        <f t="shared" si="31"/>
        <v>7</v>
      </c>
      <c r="D989" s="5" t="s">
        <v>565</v>
      </c>
      <c r="E989" s="5" t="s">
        <v>198</v>
      </c>
      <c r="F989" s="5" t="s">
        <v>14</v>
      </c>
      <c r="G989" s="5" t="s">
        <v>15</v>
      </c>
      <c r="H989" s="5" t="s">
        <v>1202</v>
      </c>
      <c r="I989" s="13">
        <v>380.86399999999998</v>
      </c>
      <c r="J989" s="19">
        <v>8</v>
      </c>
      <c r="K989" s="14">
        <v>38.086399999999998</v>
      </c>
    </row>
    <row r="990" spans="1:11" x14ac:dyDescent="0.25">
      <c r="A990" s="2">
        <v>43660</v>
      </c>
      <c r="B990" s="18">
        <f t="shared" si="30"/>
        <v>2019</v>
      </c>
      <c r="C990" s="18">
        <f t="shared" si="31"/>
        <v>7</v>
      </c>
      <c r="D990" s="3" t="s">
        <v>1203</v>
      </c>
      <c r="E990" s="3" t="s">
        <v>39</v>
      </c>
      <c r="F990" s="3" t="s">
        <v>19</v>
      </c>
      <c r="G990" s="3" t="s">
        <v>265</v>
      </c>
      <c r="H990" s="3" t="s">
        <v>1204</v>
      </c>
      <c r="I990" s="11">
        <v>11.632</v>
      </c>
      <c r="J990" s="18">
        <v>2</v>
      </c>
      <c r="K990" s="12">
        <v>1.0178</v>
      </c>
    </row>
    <row r="991" spans="1:11" x14ac:dyDescent="0.25">
      <c r="A991" s="4">
        <v>43660</v>
      </c>
      <c r="B991" s="19">
        <f t="shared" si="30"/>
        <v>2019</v>
      </c>
      <c r="C991" s="19">
        <f t="shared" si="31"/>
        <v>7</v>
      </c>
      <c r="D991" s="5" t="s">
        <v>1205</v>
      </c>
      <c r="E991" s="5" t="s">
        <v>94</v>
      </c>
      <c r="F991" s="5" t="s">
        <v>19</v>
      </c>
      <c r="G991" s="5" t="s">
        <v>20</v>
      </c>
      <c r="H991" s="5" t="s">
        <v>371</v>
      </c>
      <c r="I991" s="13">
        <v>11.21</v>
      </c>
      <c r="J991" s="19">
        <v>1</v>
      </c>
      <c r="K991" s="14">
        <v>3.363</v>
      </c>
    </row>
    <row r="992" spans="1:11" x14ac:dyDescent="0.25">
      <c r="A992" s="2">
        <v>43660</v>
      </c>
      <c r="B992" s="18">
        <f t="shared" si="30"/>
        <v>2019</v>
      </c>
      <c r="C992" s="18">
        <f t="shared" si="31"/>
        <v>7</v>
      </c>
      <c r="D992" s="3" t="s">
        <v>1205</v>
      </c>
      <c r="E992" s="3" t="s">
        <v>94</v>
      </c>
      <c r="F992" s="3" t="s">
        <v>19</v>
      </c>
      <c r="G992" s="3" t="s">
        <v>32</v>
      </c>
      <c r="H992" s="3" t="s">
        <v>1206</v>
      </c>
      <c r="I992" s="11">
        <v>9.1440000000000001</v>
      </c>
      <c r="J992" s="18">
        <v>3</v>
      </c>
      <c r="K992" s="12">
        <v>3.2004000000000001</v>
      </c>
    </row>
    <row r="993" spans="1:11" x14ac:dyDescent="0.25">
      <c r="A993" s="4">
        <v>43660</v>
      </c>
      <c r="B993" s="19">
        <f t="shared" si="30"/>
        <v>2019</v>
      </c>
      <c r="C993" s="19">
        <f t="shared" si="31"/>
        <v>7</v>
      </c>
      <c r="D993" s="5" t="s">
        <v>1205</v>
      </c>
      <c r="E993" s="5" t="s">
        <v>94</v>
      </c>
      <c r="F993" s="5" t="s">
        <v>19</v>
      </c>
      <c r="G993" s="5" t="s">
        <v>116</v>
      </c>
      <c r="H993" s="5" t="s">
        <v>635</v>
      </c>
      <c r="I993" s="13">
        <v>14.07</v>
      </c>
      <c r="J993" s="19">
        <v>7</v>
      </c>
      <c r="K993" s="14">
        <v>6.8943000000000003</v>
      </c>
    </row>
    <row r="994" spans="1:11" x14ac:dyDescent="0.25">
      <c r="A994" s="2">
        <v>43660</v>
      </c>
      <c r="B994" s="18">
        <f t="shared" si="30"/>
        <v>2019</v>
      </c>
      <c r="C994" s="18">
        <f t="shared" si="31"/>
        <v>7</v>
      </c>
      <c r="D994" s="3" t="s">
        <v>1205</v>
      </c>
      <c r="E994" s="3" t="s">
        <v>94</v>
      </c>
      <c r="F994" s="3" t="s">
        <v>19</v>
      </c>
      <c r="G994" s="3" t="s">
        <v>40</v>
      </c>
      <c r="H994" s="3" t="s">
        <v>1207</v>
      </c>
      <c r="I994" s="11">
        <v>41.86</v>
      </c>
      <c r="J994" s="18">
        <v>7</v>
      </c>
      <c r="K994" s="12">
        <v>10.465</v>
      </c>
    </row>
    <row r="995" spans="1:11" x14ac:dyDescent="0.25">
      <c r="A995" s="4">
        <v>43660</v>
      </c>
      <c r="B995" s="19">
        <f t="shared" si="30"/>
        <v>2019</v>
      </c>
      <c r="C995" s="19">
        <f t="shared" si="31"/>
        <v>7</v>
      </c>
      <c r="D995" s="5" t="s">
        <v>1205</v>
      </c>
      <c r="E995" s="5" t="s">
        <v>94</v>
      </c>
      <c r="F995" s="5" t="s">
        <v>19</v>
      </c>
      <c r="G995" s="5" t="s">
        <v>32</v>
      </c>
      <c r="H995" s="5" t="s">
        <v>1208</v>
      </c>
      <c r="I995" s="13">
        <v>8.5440000000000005</v>
      </c>
      <c r="J995" s="19">
        <v>2</v>
      </c>
      <c r="K995" s="14">
        <v>2.8835999999999999</v>
      </c>
    </row>
    <row r="996" spans="1:11" x14ac:dyDescent="0.25">
      <c r="A996" s="2">
        <v>43660</v>
      </c>
      <c r="B996" s="18">
        <f t="shared" si="30"/>
        <v>2019</v>
      </c>
      <c r="C996" s="18">
        <f t="shared" si="31"/>
        <v>7</v>
      </c>
      <c r="D996" s="3" t="s">
        <v>1205</v>
      </c>
      <c r="E996" s="3" t="s">
        <v>94</v>
      </c>
      <c r="F996" s="3" t="s">
        <v>11</v>
      </c>
      <c r="G996" s="3" t="s">
        <v>12</v>
      </c>
      <c r="H996" s="3" t="s">
        <v>1151</v>
      </c>
      <c r="I996" s="11">
        <v>579.13599999999997</v>
      </c>
      <c r="J996" s="18">
        <v>4</v>
      </c>
      <c r="K996" s="12">
        <v>21.717600000000001</v>
      </c>
    </row>
    <row r="997" spans="1:11" x14ac:dyDescent="0.25">
      <c r="A997" s="4">
        <v>43660</v>
      </c>
      <c r="B997" s="19">
        <f t="shared" si="30"/>
        <v>2019</v>
      </c>
      <c r="C997" s="19">
        <f t="shared" si="31"/>
        <v>7</v>
      </c>
      <c r="D997" s="5" t="s">
        <v>644</v>
      </c>
      <c r="E997" s="5" t="s">
        <v>23</v>
      </c>
      <c r="F997" s="5" t="s">
        <v>14</v>
      </c>
      <c r="G997" s="5" t="s">
        <v>15</v>
      </c>
      <c r="H997" s="5" t="s">
        <v>1209</v>
      </c>
      <c r="I997" s="13">
        <v>419.94400000000002</v>
      </c>
      <c r="J997" s="19">
        <v>7</v>
      </c>
      <c r="K997" s="14">
        <v>52.493000000000002</v>
      </c>
    </row>
    <row r="998" spans="1:11" x14ac:dyDescent="0.25">
      <c r="A998" s="2">
        <v>43660</v>
      </c>
      <c r="B998" s="18">
        <f t="shared" si="30"/>
        <v>2019</v>
      </c>
      <c r="C998" s="18">
        <f t="shared" si="31"/>
        <v>7</v>
      </c>
      <c r="D998" s="3" t="s">
        <v>485</v>
      </c>
      <c r="E998" s="3" t="s">
        <v>94</v>
      </c>
      <c r="F998" s="3" t="s">
        <v>19</v>
      </c>
      <c r="G998" s="3" t="s">
        <v>32</v>
      </c>
      <c r="H998" s="3" t="s">
        <v>1210</v>
      </c>
      <c r="I998" s="11">
        <v>14.16</v>
      </c>
      <c r="J998" s="18">
        <v>2</v>
      </c>
      <c r="K998" s="12">
        <v>5.133</v>
      </c>
    </row>
    <row r="999" spans="1:11" x14ac:dyDescent="0.25">
      <c r="A999" s="4">
        <v>43660</v>
      </c>
      <c r="B999" s="19">
        <f t="shared" si="30"/>
        <v>2019</v>
      </c>
      <c r="C999" s="19">
        <f t="shared" si="31"/>
        <v>7</v>
      </c>
      <c r="D999" s="5" t="s">
        <v>1211</v>
      </c>
      <c r="E999" s="5" t="s">
        <v>898</v>
      </c>
      <c r="F999" s="5" t="s">
        <v>14</v>
      </c>
      <c r="G999" s="5" t="s">
        <v>24</v>
      </c>
      <c r="H999" s="5" t="s">
        <v>1212</v>
      </c>
      <c r="I999" s="13">
        <v>29</v>
      </c>
      <c r="J999" s="19">
        <v>2</v>
      </c>
      <c r="K999" s="14">
        <v>7.25</v>
      </c>
    </row>
    <row r="1000" spans="1:11" x14ac:dyDescent="0.25">
      <c r="A1000" s="2">
        <v>43660</v>
      </c>
      <c r="B1000" s="18">
        <f t="shared" si="30"/>
        <v>2019</v>
      </c>
      <c r="C1000" s="18">
        <f t="shared" si="31"/>
        <v>7</v>
      </c>
      <c r="D1000" s="3" t="s">
        <v>1213</v>
      </c>
      <c r="E1000" s="3" t="s">
        <v>94</v>
      </c>
      <c r="F1000" s="3" t="s">
        <v>19</v>
      </c>
      <c r="G1000" s="3" t="s">
        <v>116</v>
      </c>
      <c r="H1000" s="3" t="s">
        <v>864</v>
      </c>
      <c r="I1000" s="11">
        <v>29.61</v>
      </c>
      <c r="J1000" s="18">
        <v>9</v>
      </c>
      <c r="K1000" s="12">
        <v>13.3245</v>
      </c>
    </row>
    <row r="1001" spans="1:11" x14ac:dyDescent="0.25">
      <c r="A1001" s="4">
        <v>43660</v>
      </c>
      <c r="B1001" s="19">
        <f t="shared" si="30"/>
        <v>2019</v>
      </c>
      <c r="C1001" s="19">
        <f t="shared" si="31"/>
        <v>7</v>
      </c>
      <c r="D1001" s="5" t="s">
        <v>235</v>
      </c>
      <c r="E1001" s="5" t="s">
        <v>23</v>
      </c>
      <c r="F1001" s="5" t="s">
        <v>19</v>
      </c>
      <c r="G1001" s="5" t="s">
        <v>53</v>
      </c>
      <c r="H1001" s="5" t="s">
        <v>743</v>
      </c>
      <c r="I1001" s="13">
        <v>219.84</v>
      </c>
      <c r="J1001" s="19">
        <v>5</v>
      </c>
      <c r="K1001" s="14">
        <v>79.691999999999993</v>
      </c>
    </row>
    <row r="1002" spans="1:11" x14ac:dyDescent="0.25">
      <c r="A1002" s="2">
        <v>43660</v>
      </c>
      <c r="B1002" s="18">
        <f t="shared" si="30"/>
        <v>2019</v>
      </c>
      <c r="C1002" s="18">
        <f t="shared" si="31"/>
        <v>7</v>
      </c>
      <c r="D1002" s="3" t="s">
        <v>1214</v>
      </c>
      <c r="E1002" s="3" t="s">
        <v>109</v>
      </c>
      <c r="F1002" s="3" t="s">
        <v>19</v>
      </c>
      <c r="G1002" s="3" t="s">
        <v>32</v>
      </c>
      <c r="H1002" s="3" t="s">
        <v>1215</v>
      </c>
      <c r="I1002" s="11">
        <v>36.4</v>
      </c>
      <c r="J1002" s="18">
        <v>5</v>
      </c>
      <c r="K1002" s="12">
        <v>17.108000000000001</v>
      </c>
    </row>
    <row r="1003" spans="1:11" x14ac:dyDescent="0.25">
      <c r="A1003" s="4">
        <v>43660</v>
      </c>
      <c r="B1003" s="19">
        <f t="shared" si="30"/>
        <v>2019</v>
      </c>
      <c r="C1003" s="19">
        <f t="shared" si="31"/>
        <v>7</v>
      </c>
      <c r="D1003" s="5" t="s">
        <v>1214</v>
      </c>
      <c r="E1003" s="5" t="s">
        <v>109</v>
      </c>
      <c r="F1003" s="5" t="s">
        <v>11</v>
      </c>
      <c r="G1003" s="5" t="s">
        <v>51</v>
      </c>
      <c r="H1003" s="5" t="s">
        <v>514</v>
      </c>
      <c r="I1003" s="13">
        <v>51.75</v>
      </c>
      <c r="J1003" s="19">
        <v>1</v>
      </c>
      <c r="K1003" s="14">
        <v>15.525</v>
      </c>
    </row>
    <row r="1004" spans="1:11" x14ac:dyDescent="0.25">
      <c r="A1004" s="2">
        <v>43660</v>
      </c>
      <c r="B1004" s="18">
        <f t="shared" si="30"/>
        <v>2019</v>
      </c>
      <c r="C1004" s="18">
        <f t="shared" si="31"/>
        <v>7</v>
      </c>
      <c r="D1004" s="3" t="s">
        <v>525</v>
      </c>
      <c r="E1004" s="3" t="s">
        <v>18</v>
      </c>
      <c r="F1004" s="3" t="s">
        <v>14</v>
      </c>
      <c r="G1004" s="3" t="s">
        <v>15</v>
      </c>
      <c r="H1004" s="3" t="s">
        <v>131</v>
      </c>
      <c r="I1004" s="11">
        <v>110.376</v>
      </c>
      <c r="J1004" s="18">
        <v>3</v>
      </c>
      <c r="K1004" s="12">
        <v>12.417299999999999</v>
      </c>
    </row>
    <row r="1005" spans="1:11" x14ac:dyDescent="0.25">
      <c r="A1005" s="4">
        <v>43660</v>
      </c>
      <c r="B1005" s="19">
        <f t="shared" si="30"/>
        <v>2019</v>
      </c>
      <c r="C1005" s="19">
        <f t="shared" si="31"/>
        <v>7</v>
      </c>
      <c r="D1005" s="5" t="s">
        <v>525</v>
      </c>
      <c r="E1005" s="5" t="s">
        <v>18</v>
      </c>
      <c r="F1005" s="5" t="s">
        <v>19</v>
      </c>
      <c r="G1005" s="5" t="s">
        <v>121</v>
      </c>
      <c r="H1005" s="5" t="s">
        <v>1216</v>
      </c>
      <c r="I1005" s="13">
        <v>151.62</v>
      </c>
      <c r="J1005" s="19">
        <v>7</v>
      </c>
      <c r="K1005" s="14">
        <v>50.034599999999998</v>
      </c>
    </row>
    <row r="1006" spans="1:11" x14ac:dyDescent="0.25">
      <c r="A1006" s="2">
        <v>43660</v>
      </c>
      <c r="B1006" s="18">
        <f t="shared" si="30"/>
        <v>2019</v>
      </c>
      <c r="C1006" s="18">
        <f t="shared" si="31"/>
        <v>7</v>
      </c>
      <c r="D1006" s="3" t="s">
        <v>525</v>
      </c>
      <c r="E1006" s="3" t="s">
        <v>18</v>
      </c>
      <c r="F1006" s="3" t="s">
        <v>11</v>
      </c>
      <c r="G1006" s="3" t="s">
        <v>51</v>
      </c>
      <c r="H1006" s="3" t="s">
        <v>1217</v>
      </c>
      <c r="I1006" s="11">
        <v>30.8</v>
      </c>
      <c r="J1006" s="18">
        <v>4</v>
      </c>
      <c r="K1006" s="12">
        <v>10.164</v>
      </c>
    </row>
    <row r="1007" spans="1:11" x14ac:dyDescent="0.25">
      <c r="A1007" s="4">
        <v>43661</v>
      </c>
      <c r="B1007" s="19">
        <f t="shared" si="30"/>
        <v>2019</v>
      </c>
      <c r="C1007" s="19">
        <f t="shared" si="31"/>
        <v>7</v>
      </c>
      <c r="D1007" s="5" t="s">
        <v>382</v>
      </c>
      <c r="E1007" s="5" t="s">
        <v>1156</v>
      </c>
      <c r="F1007" s="5" t="s">
        <v>19</v>
      </c>
      <c r="G1007" s="5" t="s">
        <v>265</v>
      </c>
      <c r="H1007" s="5" t="s">
        <v>1218</v>
      </c>
      <c r="I1007" s="13">
        <v>44.4</v>
      </c>
      <c r="J1007" s="19">
        <v>5</v>
      </c>
      <c r="K1007" s="14">
        <v>12.432</v>
      </c>
    </row>
    <row r="1008" spans="1:11" x14ac:dyDescent="0.25">
      <c r="A1008" s="2">
        <v>43661</v>
      </c>
      <c r="B1008" s="18">
        <f t="shared" si="30"/>
        <v>2019</v>
      </c>
      <c r="C1008" s="18">
        <f t="shared" si="31"/>
        <v>7</v>
      </c>
      <c r="D1008" s="3" t="s">
        <v>1219</v>
      </c>
      <c r="E1008" s="3" t="s">
        <v>465</v>
      </c>
      <c r="F1008" s="3" t="s">
        <v>11</v>
      </c>
      <c r="G1008" s="3" t="s">
        <v>112</v>
      </c>
      <c r="H1008" s="3" t="s">
        <v>622</v>
      </c>
      <c r="I1008" s="11">
        <v>230.28</v>
      </c>
      <c r="J1008" s="18">
        <v>3</v>
      </c>
      <c r="K1008" s="12">
        <v>23.027999999999999</v>
      </c>
    </row>
    <row r="1009" spans="1:11" x14ac:dyDescent="0.25">
      <c r="A1009" s="4">
        <v>43661</v>
      </c>
      <c r="B1009" s="19">
        <f t="shared" si="30"/>
        <v>2019</v>
      </c>
      <c r="C1009" s="19">
        <f t="shared" si="31"/>
        <v>7</v>
      </c>
      <c r="D1009" s="5" t="s">
        <v>1219</v>
      </c>
      <c r="E1009" s="5" t="s">
        <v>465</v>
      </c>
      <c r="F1009" s="5" t="s">
        <v>19</v>
      </c>
      <c r="G1009" s="5" t="s">
        <v>53</v>
      </c>
      <c r="H1009" s="5" t="s">
        <v>767</v>
      </c>
      <c r="I1009" s="13">
        <v>105.52</v>
      </c>
      <c r="J1009" s="19">
        <v>5</v>
      </c>
      <c r="K1009" s="14">
        <v>34.293999999999997</v>
      </c>
    </row>
    <row r="1010" spans="1:11" x14ac:dyDescent="0.25">
      <c r="A1010" s="2">
        <v>43662</v>
      </c>
      <c r="B1010" s="18">
        <f t="shared" si="30"/>
        <v>2019</v>
      </c>
      <c r="C1010" s="18">
        <f t="shared" si="31"/>
        <v>7</v>
      </c>
      <c r="D1010" s="3" t="s">
        <v>1220</v>
      </c>
      <c r="E1010" s="3" t="s">
        <v>23</v>
      </c>
      <c r="F1010" s="3" t="s">
        <v>19</v>
      </c>
      <c r="G1010" s="3" t="s">
        <v>20</v>
      </c>
      <c r="H1010" s="3" t="s">
        <v>1221</v>
      </c>
      <c r="I1010" s="11">
        <v>37.223999999999997</v>
      </c>
      <c r="J1010" s="18">
        <v>3</v>
      </c>
      <c r="K1010" s="12">
        <v>3.7223999999999999</v>
      </c>
    </row>
    <row r="1011" spans="1:11" x14ac:dyDescent="0.25">
      <c r="A1011" s="4">
        <v>43662</v>
      </c>
      <c r="B1011" s="19">
        <f t="shared" si="30"/>
        <v>2019</v>
      </c>
      <c r="C1011" s="19">
        <f t="shared" si="31"/>
        <v>7</v>
      </c>
      <c r="D1011" s="5" t="s">
        <v>1220</v>
      </c>
      <c r="E1011" s="5" t="s">
        <v>23</v>
      </c>
      <c r="F1011" s="5" t="s">
        <v>19</v>
      </c>
      <c r="G1011" s="5" t="s">
        <v>53</v>
      </c>
      <c r="H1011" s="5" t="s">
        <v>1160</v>
      </c>
      <c r="I1011" s="13">
        <v>20.015999999999998</v>
      </c>
      <c r="J1011" s="19">
        <v>3</v>
      </c>
      <c r="K1011" s="14">
        <v>6.2549999999999999</v>
      </c>
    </row>
    <row r="1012" spans="1:11" x14ac:dyDescent="0.25">
      <c r="A1012" s="2">
        <v>43662</v>
      </c>
      <c r="B1012" s="18">
        <f t="shared" si="30"/>
        <v>2019</v>
      </c>
      <c r="C1012" s="18">
        <f t="shared" si="31"/>
        <v>7</v>
      </c>
      <c r="D1012" s="3" t="s">
        <v>992</v>
      </c>
      <c r="E1012" s="3" t="s">
        <v>39</v>
      </c>
      <c r="F1012" s="3" t="s">
        <v>14</v>
      </c>
      <c r="G1012" s="3" t="s">
        <v>15</v>
      </c>
      <c r="H1012" s="3" t="s">
        <v>1222</v>
      </c>
      <c r="I1012" s="11">
        <v>143.982</v>
      </c>
      <c r="J1012" s="18">
        <v>3</v>
      </c>
      <c r="K1012" s="12">
        <v>-28.796399999999998</v>
      </c>
    </row>
    <row r="1013" spans="1:11" x14ac:dyDescent="0.25">
      <c r="A1013" s="4">
        <v>43662</v>
      </c>
      <c r="B1013" s="19">
        <f t="shared" si="30"/>
        <v>2019</v>
      </c>
      <c r="C1013" s="19">
        <f t="shared" si="31"/>
        <v>7</v>
      </c>
      <c r="D1013" s="5" t="s">
        <v>992</v>
      </c>
      <c r="E1013" s="5" t="s">
        <v>39</v>
      </c>
      <c r="F1013" s="5" t="s">
        <v>14</v>
      </c>
      <c r="G1013" s="5" t="s">
        <v>15</v>
      </c>
      <c r="H1013" s="5" t="s">
        <v>1223</v>
      </c>
      <c r="I1013" s="13">
        <v>494.37599999999998</v>
      </c>
      <c r="J1013" s="19">
        <v>4</v>
      </c>
      <c r="K1013" s="14">
        <v>-115.3544</v>
      </c>
    </row>
    <row r="1014" spans="1:11" x14ac:dyDescent="0.25">
      <c r="A1014" s="2">
        <v>43662</v>
      </c>
      <c r="B1014" s="18">
        <f t="shared" si="30"/>
        <v>2019</v>
      </c>
      <c r="C1014" s="18">
        <f t="shared" si="31"/>
        <v>7</v>
      </c>
      <c r="D1014" s="3" t="s">
        <v>992</v>
      </c>
      <c r="E1014" s="3" t="s">
        <v>39</v>
      </c>
      <c r="F1014" s="3" t="s">
        <v>19</v>
      </c>
      <c r="G1014" s="3" t="s">
        <v>265</v>
      </c>
      <c r="H1014" s="3" t="s">
        <v>535</v>
      </c>
      <c r="I1014" s="11">
        <v>5.84</v>
      </c>
      <c r="J1014" s="18">
        <v>2</v>
      </c>
      <c r="K1014" s="12">
        <v>0.73</v>
      </c>
    </row>
    <row r="1015" spans="1:11" x14ac:dyDescent="0.25">
      <c r="A1015" s="4">
        <v>43662</v>
      </c>
      <c r="B1015" s="19">
        <f t="shared" si="30"/>
        <v>2019</v>
      </c>
      <c r="C1015" s="19">
        <f t="shared" si="31"/>
        <v>7</v>
      </c>
      <c r="D1015" s="5" t="s">
        <v>1219</v>
      </c>
      <c r="E1015" s="5" t="s">
        <v>23</v>
      </c>
      <c r="F1015" s="5" t="s">
        <v>11</v>
      </c>
      <c r="G1015" s="5" t="s">
        <v>51</v>
      </c>
      <c r="H1015" s="5" t="s">
        <v>797</v>
      </c>
      <c r="I1015" s="13">
        <v>9.5519999999999996</v>
      </c>
      <c r="J1015" s="19">
        <v>3</v>
      </c>
      <c r="K1015" s="14">
        <v>-3.8208000000000002</v>
      </c>
    </row>
    <row r="1016" spans="1:11" x14ac:dyDescent="0.25">
      <c r="A1016" s="2">
        <v>43662</v>
      </c>
      <c r="B1016" s="18">
        <f t="shared" si="30"/>
        <v>2019</v>
      </c>
      <c r="C1016" s="18">
        <f t="shared" si="31"/>
        <v>7</v>
      </c>
      <c r="D1016" s="3" t="s">
        <v>148</v>
      </c>
      <c r="E1016" s="3" t="s">
        <v>1148</v>
      </c>
      <c r="F1016" s="3" t="s">
        <v>19</v>
      </c>
      <c r="G1016" s="3" t="s">
        <v>86</v>
      </c>
      <c r="H1016" s="3" t="s">
        <v>620</v>
      </c>
      <c r="I1016" s="11">
        <v>10.199999999999999</v>
      </c>
      <c r="J1016" s="18">
        <v>5</v>
      </c>
      <c r="K1016" s="12">
        <v>4.7939999999999996</v>
      </c>
    </row>
    <row r="1017" spans="1:11" x14ac:dyDescent="0.25">
      <c r="A1017" s="4">
        <v>43662</v>
      </c>
      <c r="B1017" s="19">
        <f t="shared" si="30"/>
        <v>2019</v>
      </c>
      <c r="C1017" s="19">
        <f t="shared" si="31"/>
        <v>7</v>
      </c>
      <c r="D1017" s="5" t="s">
        <v>148</v>
      </c>
      <c r="E1017" s="5" t="s">
        <v>1148</v>
      </c>
      <c r="F1017" s="5" t="s">
        <v>19</v>
      </c>
      <c r="G1017" s="5" t="s">
        <v>40</v>
      </c>
      <c r="H1017" s="5" t="s">
        <v>1224</v>
      </c>
      <c r="I1017" s="13">
        <v>22.32</v>
      </c>
      <c r="J1017" s="19">
        <v>3</v>
      </c>
      <c r="K1017" s="14">
        <v>5.58</v>
      </c>
    </row>
    <row r="1018" spans="1:11" x14ac:dyDescent="0.25">
      <c r="A1018" s="2">
        <v>43662</v>
      </c>
      <c r="B1018" s="18">
        <f t="shared" si="30"/>
        <v>2019</v>
      </c>
      <c r="C1018" s="18">
        <f t="shared" si="31"/>
        <v>7</v>
      </c>
      <c r="D1018" s="3" t="s">
        <v>148</v>
      </c>
      <c r="E1018" s="3" t="s">
        <v>1148</v>
      </c>
      <c r="F1018" s="3" t="s">
        <v>19</v>
      </c>
      <c r="G1018" s="3" t="s">
        <v>32</v>
      </c>
      <c r="H1018" s="3" t="s">
        <v>876</v>
      </c>
      <c r="I1018" s="11">
        <v>24.1</v>
      </c>
      <c r="J1018" s="18">
        <v>5</v>
      </c>
      <c r="K1018" s="12">
        <v>11.086</v>
      </c>
    </row>
    <row r="1019" spans="1:11" x14ac:dyDescent="0.25">
      <c r="A1019" s="4">
        <v>43662</v>
      </c>
      <c r="B1019" s="19">
        <f t="shared" si="30"/>
        <v>2019</v>
      </c>
      <c r="C1019" s="19">
        <f t="shared" si="31"/>
        <v>7</v>
      </c>
      <c r="D1019" s="5" t="s">
        <v>148</v>
      </c>
      <c r="E1019" s="5" t="s">
        <v>1148</v>
      </c>
      <c r="F1019" s="5" t="s">
        <v>14</v>
      </c>
      <c r="G1019" s="5" t="s">
        <v>24</v>
      </c>
      <c r="H1019" s="5" t="s">
        <v>1225</v>
      </c>
      <c r="I1019" s="13">
        <v>75.98</v>
      </c>
      <c r="J1019" s="19">
        <v>2</v>
      </c>
      <c r="K1019" s="14">
        <v>18.235199999999999</v>
      </c>
    </row>
    <row r="1020" spans="1:11" x14ac:dyDescent="0.25">
      <c r="A1020" s="2">
        <v>43662</v>
      </c>
      <c r="B1020" s="18">
        <f t="shared" si="30"/>
        <v>2019</v>
      </c>
      <c r="C1020" s="18">
        <f t="shared" si="31"/>
        <v>7</v>
      </c>
      <c r="D1020" s="3" t="s">
        <v>148</v>
      </c>
      <c r="E1020" s="3" t="s">
        <v>1148</v>
      </c>
      <c r="F1020" s="3" t="s">
        <v>19</v>
      </c>
      <c r="G1020" s="3" t="s">
        <v>32</v>
      </c>
      <c r="H1020" s="3" t="s">
        <v>715</v>
      </c>
      <c r="I1020" s="11">
        <v>6.46</v>
      </c>
      <c r="J1020" s="18">
        <v>2</v>
      </c>
      <c r="K1020" s="12">
        <v>3.1654</v>
      </c>
    </row>
    <row r="1021" spans="1:11" x14ac:dyDescent="0.25">
      <c r="A1021" s="4">
        <v>43662</v>
      </c>
      <c r="B1021" s="19">
        <f t="shared" si="30"/>
        <v>2019</v>
      </c>
      <c r="C1021" s="19">
        <f t="shared" si="31"/>
        <v>7</v>
      </c>
      <c r="D1021" s="5" t="s">
        <v>148</v>
      </c>
      <c r="E1021" s="5" t="s">
        <v>1148</v>
      </c>
      <c r="F1021" s="5" t="s">
        <v>19</v>
      </c>
      <c r="G1021" s="5" t="s">
        <v>53</v>
      </c>
      <c r="H1021" s="5" t="s">
        <v>1226</v>
      </c>
      <c r="I1021" s="13">
        <v>60.12</v>
      </c>
      <c r="J1021" s="19">
        <v>9</v>
      </c>
      <c r="K1021" s="14">
        <v>28.857600000000001</v>
      </c>
    </row>
    <row r="1022" spans="1:11" x14ac:dyDescent="0.25">
      <c r="A1022" s="2">
        <v>43663</v>
      </c>
      <c r="B1022" s="18">
        <f t="shared" si="30"/>
        <v>2019</v>
      </c>
      <c r="C1022" s="18">
        <f t="shared" si="31"/>
        <v>7</v>
      </c>
      <c r="D1022" s="3" t="s">
        <v>1227</v>
      </c>
      <c r="E1022" s="3" t="s">
        <v>18</v>
      </c>
      <c r="F1022" s="3" t="s">
        <v>19</v>
      </c>
      <c r="G1022" s="3" t="s">
        <v>20</v>
      </c>
      <c r="H1022" s="3" t="s">
        <v>988</v>
      </c>
      <c r="I1022" s="11">
        <v>77.88</v>
      </c>
      <c r="J1022" s="18">
        <v>2</v>
      </c>
      <c r="K1022" s="12">
        <v>3.8940000000000001</v>
      </c>
    </row>
    <row r="1023" spans="1:11" x14ac:dyDescent="0.25">
      <c r="A1023" s="4">
        <v>43663</v>
      </c>
      <c r="B1023" s="19">
        <f t="shared" si="30"/>
        <v>2019</v>
      </c>
      <c r="C1023" s="19">
        <f t="shared" si="31"/>
        <v>7</v>
      </c>
      <c r="D1023" s="5" t="s">
        <v>1228</v>
      </c>
      <c r="E1023" s="5" t="s">
        <v>85</v>
      </c>
      <c r="F1023" s="5" t="s">
        <v>19</v>
      </c>
      <c r="G1023" s="5" t="s">
        <v>121</v>
      </c>
      <c r="H1023" s="5" t="s">
        <v>685</v>
      </c>
      <c r="I1023" s="13">
        <v>162.63999999999999</v>
      </c>
      <c r="J1023" s="19">
        <v>2</v>
      </c>
      <c r="K1023" s="14">
        <v>45.539200000000001</v>
      </c>
    </row>
    <row r="1024" spans="1:11" x14ac:dyDescent="0.25">
      <c r="A1024" s="2">
        <v>43663</v>
      </c>
      <c r="B1024" s="18">
        <f t="shared" si="30"/>
        <v>2019</v>
      </c>
      <c r="C1024" s="18">
        <f t="shared" si="31"/>
        <v>7</v>
      </c>
      <c r="D1024" s="3" t="s">
        <v>1228</v>
      </c>
      <c r="E1024" s="3" t="s">
        <v>85</v>
      </c>
      <c r="F1024" s="3" t="s">
        <v>14</v>
      </c>
      <c r="G1024" s="3" t="s">
        <v>15</v>
      </c>
      <c r="H1024" s="3" t="s">
        <v>1005</v>
      </c>
      <c r="I1024" s="11">
        <v>597</v>
      </c>
      <c r="J1024" s="18">
        <v>3</v>
      </c>
      <c r="K1024" s="12">
        <v>280.58999999999997</v>
      </c>
    </row>
    <row r="1025" spans="1:11" x14ac:dyDescent="0.25">
      <c r="A1025" s="4">
        <v>43663</v>
      </c>
      <c r="B1025" s="19">
        <f t="shared" si="30"/>
        <v>2019</v>
      </c>
      <c r="C1025" s="19">
        <f t="shared" si="31"/>
        <v>7</v>
      </c>
      <c r="D1025" s="5" t="s">
        <v>1228</v>
      </c>
      <c r="E1025" s="5" t="s">
        <v>85</v>
      </c>
      <c r="F1025" s="5" t="s">
        <v>19</v>
      </c>
      <c r="G1025" s="5" t="s">
        <v>53</v>
      </c>
      <c r="H1025" s="5" t="s">
        <v>1229</v>
      </c>
      <c r="I1025" s="13">
        <v>55.48</v>
      </c>
      <c r="J1025" s="19">
        <v>1</v>
      </c>
      <c r="K1025" s="14">
        <v>26.630400000000002</v>
      </c>
    </row>
    <row r="1026" spans="1:11" x14ac:dyDescent="0.25">
      <c r="A1026" s="2">
        <v>43663</v>
      </c>
      <c r="B1026" s="18">
        <f t="shared" ref="B1026:B1089" si="32">YEAR(A1026)</f>
        <v>2019</v>
      </c>
      <c r="C1026" s="18">
        <f t="shared" ref="C1026:C1089" si="33">MONTH(A1026)</f>
        <v>7</v>
      </c>
      <c r="D1026" s="3" t="s">
        <v>1230</v>
      </c>
      <c r="E1026" s="3" t="s">
        <v>472</v>
      </c>
      <c r="F1026" s="3" t="s">
        <v>19</v>
      </c>
      <c r="G1026" s="3" t="s">
        <v>53</v>
      </c>
      <c r="H1026" s="3" t="s">
        <v>1231</v>
      </c>
      <c r="I1026" s="11">
        <v>21.93</v>
      </c>
      <c r="J1026" s="18">
        <v>3</v>
      </c>
      <c r="K1026" s="12">
        <v>10.0878</v>
      </c>
    </row>
    <row r="1027" spans="1:11" x14ac:dyDescent="0.25">
      <c r="A1027" s="4">
        <v>43663</v>
      </c>
      <c r="B1027" s="19">
        <f t="shared" si="32"/>
        <v>2019</v>
      </c>
      <c r="C1027" s="19">
        <f t="shared" si="33"/>
        <v>7</v>
      </c>
      <c r="D1027" s="5" t="s">
        <v>1230</v>
      </c>
      <c r="E1027" s="5" t="s">
        <v>472</v>
      </c>
      <c r="F1027" s="5" t="s">
        <v>19</v>
      </c>
      <c r="G1027" s="5" t="s">
        <v>20</v>
      </c>
      <c r="H1027" s="5" t="s">
        <v>204</v>
      </c>
      <c r="I1027" s="13">
        <v>242.94</v>
      </c>
      <c r="J1027" s="19">
        <v>3</v>
      </c>
      <c r="K1027" s="14">
        <v>4.8587999999999996</v>
      </c>
    </row>
    <row r="1028" spans="1:11" x14ac:dyDescent="0.25">
      <c r="A1028" s="2">
        <v>43663</v>
      </c>
      <c r="B1028" s="18">
        <f t="shared" si="32"/>
        <v>2019</v>
      </c>
      <c r="C1028" s="18">
        <f t="shared" si="33"/>
        <v>7</v>
      </c>
      <c r="D1028" s="3" t="s">
        <v>1230</v>
      </c>
      <c r="E1028" s="3" t="s">
        <v>472</v>
      </c>
      <c r="F1028" s="3" t="s">
        <v>19</v>
      </c>
      <c r="G1028" s="3" t="s">
        <v>53</v>
      </c>
      <c r="H1028" s="3" t="s">
        <v>314</v>
      </c>
      <c r="I1028" s="11">
        <v>7.64</v>
      </c>
      <c r="J1028" s="18">
        <v>1</v>
      </c>
      <c r="K1028" s="12">
        <v>3.7435999999999998</v>
      </c>
    </row>
    <row r="1029" spans="1:11" x14ac:dyDescent="0.25">
      <c r="A1029" s="4">
        <v>43663</v>
      </c>
      <c r="B1029" s="19">
        <f t="shared" si="32"/>
        <v>2019</v>
      </c>
      <c r="C1029" s="19">
        <f t="shared" si="33"/>
        <v>7</v>
      </c>
      <c r="D1029" s="5" t="s">
        <v>1230</v>
      </c>
      <c r="E1029" s="5" t="s">
        <v>472</v>
      </c>
      <c r="F1029" s="5" t="s">
        <v>19</v>
      </c>
      <c r="G1029" s="5" t="s">
        <v>53</v>
      </c>
      <c r="H1029" s="5" t="s">
        <v>358</v>
      </c>
      <c r="I1029" s="13">
        <v>51.84</v>
      </c>
      <c r="J1029" s="19">
        <v>8</v>
      </c>
      <c r="K1029" s="14">
        <v>25.401599999999998</v>
      </c>
    </row>
    <row r="1030" spans="1:11" x14ac:dyDescent="0.25">
      <c r="A1030" s="2">
        <v>43663</v>
      </c>
      <c r="B1030" s="18">
        <f t="shared" si="32"/>
        <v>2019</v>
      </c>
      <c r="C1030" s="18">
        <f t="shared" si="33"/>
        <v>7</v>
      </c>
      <c r="D1030" s="3" t="s">
        <v>1230</v>
      </c>
      <c r="E1030" s="3" t="s">
        <v>472</v>
      </c>
      <c r="F1030" s="3" t="s">
        <v>19</v>
      </c>
      <c r="G1030" s="3" t="s">
        <v>20</v>
      </c>
      <c r="H1030" s="3" t="s">
        <v>1232</v>
      </c>
      <c r="I1030" s="11">
        <v>265.17</v>
      </c>
      <c r="J1030" s="18">
        <v>1</v>
      </c>
      <c r="K1030" s="12">
        <v>47.730600000000003</v>
      </c>
    </row>
    <row r="1031" spans="1:11" x14ac:dyDescent="0.25">
      <c r="A1031" s="4">
        <v>43663</v>
      </c>
      <c r="B1031" s="19">
        <f t="shared" si="32"/>
        <v>2019</v>
      </c>
      <c r="C1031" s="19">
        <f t="shared" si="33"/>
        <v>7</v>
      </c>
      <c r="D1031" s="5" t="s">
        <v>1233</v>
      </c>
      <c r="E1031" s="5" t="s">
        <v>70</v>
      </c>
      <c r="F1031" s="5" t="s">
        <v>11</v>
      </c>
      <c r="G1031" s="5" t="s">
        <v>51</v>
      </c>
      <c r="H1031" s="5" t="s">
        <v>1234</v>
      </c>
      <c r="I1031" s="13">
        <v>12.42</v>
      </c>
      <c r="J1031" s="19">
        <v>3</v>
      </c>
      <c r="K1031" s="14">
        <v>4.4711999999999996</v>
      </c>
    </row>
    <row r="1032" spans="1:11" x14ac:dyDescent="0.25">
      <c r="A1032" s="2">
        <v>43663</v>
      </c>
      <c r="B1032" s="18">
        <f t="shared" si="32"/>
        <v>2019</v>
      </c>
      <c r="C1032" s="18">
        <f t="shared" si="33"/>
        <v>7</v>
      </c>
      <c r="D1032" s="3" t="s">
        <v>1233</v>
      </c>
      <c r="E1032" s="3" t="s">
        <v>70</v>
      </c>
      <c r="F1032" s="3" t="s">
        <v>14</v>
      </c>
      <c r="G1032" s="3" t="s">
        <v>24</v>
      </c>
      <c r="H1032" s="3" t="s">
        <v>1235</v>
      </c>
      <c r="I1032" s="11">
        <v>428.4</v>
      </c>
      <c r="J1032" s="18">
        <v>3</v>
      </c>
      <c r="K1032" s="12">
        <v>89.963999999999999</v>
      </c>
    </row>
    <row r="1033" spans="1:11" x14ac:dyDescent="0.25">
      <c r="A1033" s="4">
        <v>43663</v>
      </c>
      <c r="B1033" s="19">
        <f t="shared" si="32"/>
        <v>2019</v>
      </c>
      <c r="C1033" s="19">
        <f t="shared" si="33"/>
        <v>7</v>
      </c>
      <c r="D1033" s="5" t="s">
        <v>1233</v>
      </c>
      <c r="E1033" s="5" t="s">
        <v>70</v>
      </c>
      <c r="F1033" s="5" t="s">
        <v>11</v>
      </c>
      <c r="G1033" s="5" t="s">
        <v>51</v>
      </c>
      <c r="H1033" s="5" t="s">
        <v>1236</v>
      </c>
      <c r="I1033" s="13">
        <v>24.75</v>
      </c>
      <c r="J1033" s="19">
        <v>5</v>
      </c>
      <c r="K1033" s="14">
        <v>10.89</v>
      </c>
    </row>
    <row r="1034" spans="1:11" x14ac:dyDescent="0.25">
      <c r="A1034" s="2">
        <v>43663</v>
      </c>
      <c r="B1034" s="18">
        <f t="shared" si="32"/>
        <v>2019</v>
      </c>
      <c r="C1034" s="18">
        <f t="shared" si="33"/>
        <v>7</v>
      </c>
      <c r="D1034" s="3" t="s">
        <v>1233</v>
      </c>
      <c r="E1034" s="3" t="s">
        <v>70</v>
      </c>
      <c r="F1034" s="3" t="s">
        <v>19</v>
      </c>
      <c r="G1034" s="3" t="s">
        <v>127</v>
      </c>
      <c r="H1034" s="3" t="s">
        <v>1237</v>
      </c>
      <c r="I1034" s="11">
        <v>87.71</v>
      </c>
      <c r="J1034" s="18">
        <v>7</v>
      </c>
      <c r="K1034" s="12">
        <v>41.223700000000001</v>
      </c>
    </row>
    <row r="1035" spans="1:11" x14ac:dyDescent="0.25">
      <c r="A1035" s="4">
        <v>43663</v>
      </c>
      <c r="B1035" s="19">
        <f t="shared" si="32"/>
        <v>2019</v>
      </c>
      <c r="C1035" s="19">
        <f t="shared" si="33"/>
        <v>7</v>
      </c>
      <c r="D1035" s="5" t="s">
        <v>1233</v>
      </c>
      <c r="E1035" s="5" t="s">
        <v>70</v>
      </c>
      <c r="F1035" s="5" t="s">
        <v>19</v>
      </c>
      <c r="G1035" s="5" t="s">
        <v>20</v>
      </c>
      <c r="H1035" s="5" t="s">
        <v>865</v>
      </c>
      <c r="I1035" s="13">
        <v>69.52</v>
      </c>
      <c r="J1035" s="19">
        <v>2</v>
      </c>
      <c r="K1035" s="14">
        <v>17.38</v>
      </c>
    </row>
    <row r="1036" spans="1:11" x14ac:dyDescent="0.25">
      <c r="A1036" s="2">
        <v>43663</v>
      </c>
      <c r="B1036" s="18">
        <f t="shared" si="32"/>
        <v>2019</v>
      </c>
      <c r="C1036" s="18">
        <f t="shared" si="33"/>
        <v>7</v>
      </c>
      <c r="D1036" s="3" t="s">
        <v>1233</v>
      </c>
      <c r="E1036" s="3" t="s">
        <v>70</v>
      </c>
      <c r="F1036" s="3" t="s">
        <v>14</v>
      </c>
      <c r="G1036" s="3" t="s">
        <v>15</v>
      </c>
      <c r="H1036" s="3" t="s">
        <v>78</v>
      </c>
      <c r="I1036" s="11">
        <v>20.783999999999999</v>
      </c>
      <c r="J1036" s="18">
        <v>2</v>
      </c>
      <c r="K1036" s="12">
        <v>-4.6764000000000001</v>
      </c>
    </row>
    <row r="1037" spans="1:11" x14ac:dyDescent="0.25">
      <c r="A1037" s="4">
        <v>43663</v>
      </c>
      <c r="B1037" s="19">
        <f t="shared" si="32"/>
        <v>2019</v>
      </c>
      <c r="C1037" s="19">
        <f t="shared" si="33"/>
        <v>7</v>
      </c>
      <c r="D1037" s="5" t="s">
        <v>1233</v>
      </c>
      <c r="E1037" s="5" t="s">
        <v>70</v>
      </c>
      <c r="F1037" s="5" t="s">
        <v>19</v>
      </c>
      <c r="G1037" s="5" t="s">
        <v>32</v>
      </c>
      <c r="H1037" s="5" t="s">
        <v>1238</v>
      </c>
      <c r="I1037" s="13">
        <v>12.816000000000001</v>
      </c>
      <c r="J1037" s="19">
        <v>3</v>
      </c>
      <c r="K1037" s="14">
        <v>4.1651999999999996</v>
      </c>
    </row>
    <row r="1038" spans="1:11" x14ac:dyDescent="0.25">
      <c r="A1038" s="2">
        <v>43663</v>
      </c>
      <c r="B1038" s="18">
        <f t="shared" si="32"/>
        <v>2019</v>
      </c>
      <c r="C1038" s="18">
        <f t="shared" si="33"/>
        <v>7</v>
      </c>
      <c r="D1038" s="3" t="s">
        <v>966</v>
      </c>
      <c r="E1038" s="3" t="s">
        <v>94</v>
      </c>
      <c r="F1038" s="3" t="s">
        <v>19</v>
      </c>
      <c r="G1038" s="3" t="s">
        <v>121</v>
      </c>
      <c r="H1038" s="3" t="s">
        <v>1239</v>
      </c>
      <c r="I1038" s="11">
        <v>45.96</v>
      </c>
      <c r="J1038" s="18">
        <v>2</v>
      </c>
      <c r="K1038" s="12">
        <v>13.788</v>
      </c>
    </row>
    <row r="1039" spans="1:11" x14ac:dyDescent="0.25">
      <c r="A1039" s="4">
        <v>43664</v>
      </c>
      <c r="B1039" s="19">
        <f t="shared" si="32"/>
        <v>2019</v>
      </c>
      <c r="C1039" s="19">
        <f t="shared" si="33"/>
        <v>7</v>
      </c>
      <c r="D1039" s="5" t="s">
        <v>1240</v>
      </c>
      <c r="E1039" s="5" t="s">
        <v>306</v>
      </c>
      <c r="F1039" s="5" t="s">
        <v>11</v>
      </c>
      <c r="G1039" s="5" t="s">
        <v>112</v>
      </c>
      <c r="H1039" s="5" t="s">
        <v>1195</v>
      </c>
      <c r="I1039" s="13">
        <v>544.00800000000004</v>
      </c>
      <c r="J1039" s="19">
        <v>3</v>
      </c>
      <c r="K1039" s="14">
        <v>40.800600000000003</v>
      </c>
    </row>
    <row r="1040" spans="1:11" x14ac:dyDescent="0.25">
      <c r="A1040" s="2">
        <v>43664</v>
      </c>
      <c r="B1040" s="18">
        <f t="shared" si="32"/>
        <v>2019</v>
      </c>
      <c r="C1040" s="18">
        <f t="shared" si="33"/>
        <v>7</v>
      </c>
      <c r="D1040" s="3" t="s">
        <v>1240</v>
      </c>
      <c r="E1040" s="3" t="s">
        <v>306</v>
      </c>
      <c r="F1040" s="3" t="s">
        <v>19</v>
      </c>
      <c r="G1040" s="3" t="s">
        <v>32</v>
      </c>
      <c r="H1040" s="3" t="s">
        <v>688</v>
      </c>
      <c r="I1040" s="11">
        <v>1.8720000000000001</v>
      </c>
      <c r="J1040" s="18">
        <v>3</v>
      </c>
      <c r="K1040" s="12">
        <v>-1.4352</v>
      </c>
    </row>
    <row r="1041" spans="1:11" x14ac:dyDescent="0.25">
      <c r="A1041" s="4">
        <v>43664</v>
      </c>
      <c r="B1041" s="19">
        <f t="shared" si="32"/>
        <v>2019</v>
      </c>
      <c r="C1041" s="19">
        <f t="shared" si="33"/>
        <v>7</v>
      </c>
      <c r="D1041" s="5" t="s">
        <v>1240</v>
      </c>
      <c r="E1041" s="5" t="s">
        <v>306</v>
      </c>
      <c r="F1041" s="5" t="s">
        <v>11</v>
      </c>
      <c r="G1041" s="5" t="s">
        <v>112</v>
      </c>
      <c r="H1041" s="5" t="s">
        <v>1241</v>
      </c>
      <c r="I1041" s="13">
        <v>854.35199999999998</v>
      </c>
      <c r="J1041" s="19">
        <v>3</v>
      </c>
      <c r="K1041" s="14">
        <v>10.679399999999999</v>
      </c>
    </row>
    <row r="1042" spans="1:11" x14ac:dyDescent="0.25">
      <c r="A1042" s="2">
        <v>43664</v>
      </c>
      <c r="B1042" s="18">
        <f t="shared" si="32"/>
        <v>2019</v>
      </c>
      <c r="C1042" s="18">
        <f t="shared" si="33"/>
        <v>7</v>
      </c>
      <c r="D1042" s="3" t="s">
        <v>1240</v>
      </c>
      <c r="E1042" s="3" t="s">
        <v>306</v>
      </c>
      <c r="F1042" s="3" t="s">
        <v>19</v>
      </c>
      <c r="G1042" s="3" t="s">
        <v>20</v>
      </c>
      <c r="H1042" s="3" t="s">
        <v>1242</v>
      </c>
      <c r="I1042" s="11">
        <v>593.56799999999998</v>
      </c>
      <c r="J1042" s="18">
        <v>2</v>
      </c>
      <c r="K1042" s="12">
        <v>0</v>
      </c>
    </row>
    <row r="1043" spans="1:11" x14ac:dyDescent="0.25">
      <c r="A1043" s="4">
        <v>43664</v>
      </c>
      <c r="B1043" s="19">
        <f t="shared" si="32"/>
        <v>2019</v>
      </c>
      <c r="C1043" s="19">
        <f t="shared" si="33"/>
        <v>7</v>
      </c>
      <c r="D1043" s="5" t="s">
        <v>1240</v>
      </c>
      <c r="E1043" s="5" t="s">
        <v>306</v>
      </c>
      <c r="F1043" s="5" t="s">
        <v>19</v>
      </c>
      <c r="G1043" s="5" t="s">
        <v>20</v>
      </c>
      <c r="H1043" s="5" t="s">
        <v>909</v>
      </c>
      <c r="I1043" s="13">
        <v>338.04</v>
      </c>
      <c r="J1043" s="19">
        <v>3</v>
      </c>
      <c r="K1043" s="14">
        <v>-33.804000000000002</v>
      </c>
    </row>
    <row r="1044" spans="1:11" x14ac:dyDescent="0.25">
      <c r="A1044" s="2">
        <v>43664</v>
      </c>
      <c r="B1044" s="18">
        <f t="shared" si="32"/>
        <v>2019</v>
      </c>
      <c r="C1044" s="18">
        <f t="shared" si="33"/>
        <v>7</v>
      </c>
      <c r="D1044" s="3" t="s">
        <v>1136</v>
      </c>
      <c r="E1044" s="3" t="s">
        <v>195</v>
      </c>
      <c r="F1044" s="3" t="s">
        <v>11</v>
      </c>
      <c r="G1044" s="3" t="s">
        <v>112</v>
      </c>
      <c r="H1044" s="3" t="s">
        <v>1243</v>
      </c>
      <c r="I1044" s="11">
        <v>140.81</v>
      </c>
      <c r="J1044" s="18">
        <v>1</v>
      </c>
      <c r="K1044" s="12">
        <v>39.4268</v>
      </c>
    </row>
    <row r="1045" spans="1:11" x14ac:dyDescent="0.25">
      <c r="A1045" s="4">
        <v>43664</v>
      </c>
      <c r="B1045" s="19">
        <f t="shared" si="32"/>
        <v>2019</v>
      </c>
      <c r="C1045" s="19">
        <f t="shared" si="33"/>
        <v>7</v>
      </c>
      <c r="D1045" s="5" t="s">
        <v>1244</v>
      </c>
      <c r="E1045" s="5" t="s">
        <v>198</v>
      </c>
      <c r="F1045" s="5" t="s">
        <v>19</v>
      </c>
      <c r="G1045" s="5" t="s">
        <v>265</v>
      </c>
      <c r="H1045" s="5" t="s">
        <v>324</v>
      </c>
      <c r="I1045" s="13">
        <v>33.799999999999997</v>
      </c>
      <c r="J1045" s="19">
        <v>5</v>
      </c>
      <c r="K1045" s="14">
        <v>4.2249999999999996</v>
      </c>
    </row>
    <row r="1046" spans="1:11" x14ac:dyDescent="0.25">
      <c r="A1046" s="2">
        <v>43664</v>
      </c>
      <c r="B1046" s="18">
        <f t="shared" si="32"/>
        <v>2019</v>
      </c>
      <c r="C1046" s="18">
        <f t="shared" si="33"/>
        <v>7</v>
      </c>
      <c r="D1046" s="3" t="s">
        <v>460</v>
      </c>
      <c r="E1046" s="3" t="s">
        <v>23</v>
      </c>
      <c r="F1046" s="3" t="s">
        <v>14</v>
      </c>
      <c r="G1046" s="3" t="s">
        <v>24</v>
      </c>
      <c r="H1046" s="3" t="s">
        <v>1245</v>
      </c>
      <c r="I1046" s="11">
        <v>15.576000000000001</v>
      </c>
      <c r="J1046" s="18">
        <v>3</v>
      </c>
      <c r="K1046" s="12">
        <v>3.3098999999999998</v>
      </c>
    </row>
    <row r="1047" spans="1:11" x14ac:dyDescent="0.25">
      <c r="A1047" s="4">
        <v>43664</v>
      </c>
      <c r="B1047" s="19">
        <f t="shared" si="32"/>
        <v>2019</v>
      </c>
      <c r="C1047" s="19">
        <f t="shared" si="33"/>
        <v>7</v>
      </c>
      <c r="D1047" s="5" t="s">
        <v>1246</v>
      </c>
      <c r="E1047" s="5" t="s">
        <v>198</v>
      </c>
      <c r="F1047" s="5" t="s">
        <v>14</v>
      </c>
      <c r="G1047" s="5" t="s">
        <v>15</v>
      </c>
      <c r="H1047" s="5" t="s">
        <v>1247</v>
      </c>
      <c r="I1047" s="13">
        <v>55.991999999999997</v>
      </c>
      <c r="J1047" s="19">
        <v>1</v>
      </c>
      <c r="K1047" s="14">
        <v>3.4994999999999998</v>
      </c>
    </row>
    <row r="1048" spans="1:11" x14ac:dyDescent="0.25">
      <c r="A1048" s="2">
        <v>43664</v>
      </c>
      <c r="B1048" s="18">
        <f t="shared" si="32"/>
        <v>2019</v>
      </c>
      <c r="C1048" s="18">
        <f t="shared" si="33"/>
        <v>7</v>
      </c>
      <c r="D1048" s="3" t="s">
        <v>1248</v>
      </c>
      <c r="E1048" s="3" t="s">
        <v>39</v>
      </c>
      <c r="F1048" s="3" t="s">
        <v>19</v>
      </c>
      <c r="G1048" s="3" t="s">
        <v>40</v>
      </c>
      <c r="H1048" s="3" t="s">
        <v>1054</v>
      </c>
      <c r="I1048" s="11">
        <v>11.263999999999999</v>
      </c>
      <c r="J1048" s="18">
        <v>8</v>
      </c>
      <c r="K1048" s="12">
        <v>1.2672000000000001</v>
      </c>
    </row>
    <row r="1049" spans="1:11" x14ac:dyDescent="0.25">
      <c r="A1049" s="4">
        <v>43664</v>
      </c>
      <c r="B1049" s="19">
        <f t="shared" si="32"/>
        <v>2019</v>
      </c>
      <c r="C1049" s="19">
        <f t="shared" si="33"/>
        <v>7</v>
      </c>
      <c r="D1049" s="5" t="s">
        <v>1248</v>
      </c>
      <c r="E1049" s="5" t="s">
        <v>39</v>
      </c>
      <c r="F1049" s="5" t="s">
        <v>19</v>
      </c>
      <c r="G1049" s="5" t="s">
        <v>20</v>
      </c>
      <c r="H1049" s="5" t="s">
        <v>1249</v>
      </c>
      <c r="I1049" s="13">
        <v>284.08</v>
      </c>
      <c r="J1049" s="19">
        <v>10</v>
      </c>
      <c r="K1049" s="14">
        <v>24.856999999999999</v>
      </c>
    </row>
    <row r="1050" spans="1:11" x14ac:dyDescent="0.25">
      <c r="A1050" s="2">
        <v>43664</v>
      </c>
      <c r="B1050" s="18">
        <f t="shared" si="32"/>
        <v>2019</v>
      </c>
      <c r="C1050" s="18">
        <f t="shared" si="33"/>
        <v>7</v>
      </c>
      <c r="D1050" s="3" t="s">
        <v>1248</v>
      </c>
      <c r="E1050" s="3" t="s">
        <v>39</v>
      </c>
      <c r="F1050" s="3" t="s">
        <v>19</v>
      </c>
      <c r="G1050" s="3" t="s">
        <v>53</v>
      </c>
      <c r="H1050" s="3" t="s">
        <v>854</v>
      </c>
      <c r="I1050" s="11">
        <v>18.495999999999999</v>
      </c>
      <c r="J1050" s="18">
        <v>4</v>
      </c>
      <c r="K1050" s="12">
        <v>6.7047999999999996</v>
      </c>
    </row>
    <row r="1051" spans="1:11" x14ac:dyDescent="0.25">
      <c r="A1051" s="4">
        <v>43665</v>
      </c>
      <c r="B1051" s="19">
        <f t="shared" si="32"/>
        <v>2019</v>
      </c>
      <c r="C1051" s="19">
        <f t="shared" si="33"/>
        <v>7</v>
      </c>
      <c r="D1051" s="5" t="s">
        <v>1250</v>
      </c>
      <c r="E1051" s="5" t="s">
        <v>143</v>
      </c>
      <c r="F1051" s="5" t="s">
        <v>11</v>
      </c>
      <c r="G1051" s="5" t="s">
        <v>51</v>
      </c>
      <c r="H1051" s="5" t="s">
        <v>1251</v>
      </c>
      <c r="I1051" s="13">
        <v>185.58</v>
      </c>
      <c r="J1051" s="19">
        <v>6</v>
      </c>
      <c r="K1051" s="14">
        <v>76.087800000000001</v>
      </c>
    </row>
    <row r="1052" spans="1:11" x14ac:dyDescent="0.25">
      <c r="A1052" s="2">
        <v>43665</v>
      </c>
      <c r="B1052" s="18">
        <f t="shared" si="32"/>
        <v>2019</v>
      </c>
      <c r="C1052" s="18">
        <f t="shared" si="33"/>
        <v>7</v>
      </c>
      <c r="D1052" s="3" t="s">
        <v>1250</v>
      </c>
      <c r="E1052" s="3" t="s">
        <v>143</v>
      </c>
      <c r="F1052" s="3" t="s">
        <v>19</v>
      </c>
      <c r="G1052" s="3" t="s">
        <v>32</v>
      </c>
      <c r="H1052" s="3" t="s">
        <v>1098</v>
      </c>
      <c r="I1052" s="11">
        <v>77.56</v>
      </c>
      <c r="J1052" s="18">
        <v>2</v>
      </c>
      <c r="K1052" s="12">
        <v>35.677599999999998</v>
      </c>
    </row>
    <row r="1053" spans="1:11" x14ac:dyDescent="0.25">
      <c r="A1053" s="4">
        <v>43665</v>
      </c>
      <c r="B1053" s="19">
        <f t="shared" si="32"/>
        <v>2019</v>
      </c>
      <c r="C1053" s="19">
        <f t="shared" si="33"/>
        <v>7</v>
      </c>
      <c r="D1053" s="5" t="s">
        <v>1250</v>
      </c>
      <c r="E1053" s="5" t="s">
        <v>143</v>
      </c>
      <c r="F1053" s="5" t="s">
        <v>19</v>
      </c>
      <c r="G1053" s="5" t="s">
        <v>20</v>
      </c>
      <c r="H1053" s="5" t="s">
        <v>506</v>
      </c>
      <c r="I1053" s="13">
        <v>87.92</v>
      </c>
      <c r="J1053" s="19">
        <v>4</v>
      </c>
      <c r="K1053" s="14">
        <v>0.87919999999999998</v>
      </c>
    </row>
    <row r="1054" spans="1:11" x14ac:dyDescent="0.25">
      <c r="A1054" s="2">
        <v>43665</v>
      </c>
      <c r="B1054" s="18">
        <f t="shared" si="32"/>
        <v>2019</v>
      </c>
      <c r="C1054" s="18">
        <f t="shared" si="33"/>
        <v>7</v>
      </c>
      <c r="D1054" s="3" t="s">
        <v>1250</v>
      </c>
      <c r="E1054" s="3" t="s">
        <v>143</v>
      </c>
      <c r="F1054" s="3" t="s">
        <v>19</v>
      </c>
      <c r="G1054" s="3" t="s">
        <v>53</v>
      </c>
      <c r="H1054" s="3" t="s">
        <v>99</v>
      </c>
      <c r="I1054" s="11">
        <v>245.94</v>
      </c>
      <c r="J1054" s="18">
        <v>6</v>
      </c>
      <c r="K1054" s="12">
        <v>120.5106</v>
      </c>
    </row>
    <row r="1055" spans="1:11" x14ac:dyDescent="0.25">
      <c r="A1055" s="4">
        <v>43665</v>
      </c>
      <c r="B1055" s="19">
        <f t="shared" si="32"/>
        <v>2019</v>
      </c>
      <c r="C1055" s="19">
        <f t="shared" si="33"/>
        <v>7</v>
      </c>
      <c r="D1055" s="5" t="s">
        <v>1250</v>
      </c>
      <c r="E1055" s="5" t="s">
        <v>143</v>
      </c>
      <c r="F1055" s="5" t="s">
        <v>19</v>
      </c>
      <c r="G1055" s="5" t="s">
        <v>32</v>
      </c>
      <c r="H1055" s="5" t="s">
        <v>1252</v>
      </c>
      <c r="I1055" s="13">
        <v>8.6</v>
      </c>
      <c r="J1055" s="19">
        <v>1</v>
      </c>
      <c r="K1055" s="14">
        <v>4.0419999999999998</v>
      </c>
    </row>
    <row r="1056" spans="1:11" x14ac:dyDescent="0.25">
      <c r="A1056" s="2">
        <v>43665</v>
      </c>
      <c r="B1056" s="18">
        <f t="shared" si="32"/>
        <v>2019</v>
      </c>
      <c r="C1056" s="18">
        <f t="shared" si="33"/>
        <v>7</v>
      </c>
      <c r="D1056" s="3" t="s">
        <v>1250</v>
      </c>
      <c r="E1056" s="3" t="s">
        <v>143</v>
      </c>
      <c r="F1056" s="3" t="s">
        <v>11</v>
      </c>
      <c r="G1056" s="3" t="s">
        <v>12</v>
      </c>
      <c r="H1056" s="3" t="s">
        <v>1253</v>
      </c>
      <c r="I1056" s="11">
        <v>504.9</v>
      </c>
      <c r="J1056" s="18">
        <v>5</v>
      </c>
      <c r="K1056" s="12">
        <v>126.22499999999999</v>
      </c>
    </row>
    <row r="1057" spans="1:11" x14ac:dyDescent="0.25">
      <c r="A1057" s="4">
        <v>43665</v>
      </c>
      <c r="B1057" s="19">
        <f t="shared" si="32"/>
        <v>2019</v>
      </c>
      <c r="C1057" s="19">
        <f t="shared" si="33"/>
        <v>7</v>
      </c>
      <c r="D1057" s="5" t="s">
        <v>1254</v>
      </c>
      <c r="E1057" s="5" t="s">
        <v>18</v>
      </c>
      <c r="F1057" s="5" t="s">
        <v>14</v>
      </c>
      <c r="G1057" s="5" t="s">
        <v>15</v>
      </c>
      <c r="H1057" s="5" t="s">
        <v>1255</v>
      </c>
      <c r="I1057" s="13">
        <v>35.984000000000002</v>
      </c>
      <c r="J1057" s="19">
        <v>2</v>
      </c>
      <c r="K1057" s="14">
        <v>4.4980000000000002</v>
      </c>
    </row>
    <row r="1058" spans="1:11" x14ac:dyDescent="0.25">
      <c r="A1058" s="2">
        <v>43665</v>
      </c>
      <c r="B1058" s="18">
        <f t="shared" si="32"/>
        <v>2019</v>
      </c>
      <c r="C1058" s="18">
        <f t="shared" si="33"/>
        <v>7</v>
      </c>
      <c r="D1058" s="3" t="s">
        <v>1254</v>
      </c>
      <c r="E1058" s="3" t="s">
        <v>18</v>
      </c>
      <c r="F1058" s="3" t="s">
        <v>14</v>
      </c>
      <c r="G1058" s="3" t="s">
        <v>24</v>
      </c>
      <c r="H1058" s="3" t="s">
        <v>1025</v>
      </c>
      <c r="I1058" s="11">
        <v>389.97</v>
      </c>
      <c r="J1058" s="18">
        <v>3</v>
      </c>
      <c r="K1058" s="12">
        <v>132.5898</v>
      </c>
    </row>
    <row r="1059" spans="1:11" x14ac:dyDescent="0.25">
      <c r="A1059" s="4">
        <v>43666</v>
      </c>
      <c r="B1059" s="19">
        <f t="shared" si="32"/>
        <v>2019</v>
      </c>
      <c r="C1059" s="19">
        <f t="shared" si="33"/>
        <v>7</v>
      </c>
      <c r="D1059" s="5" t="s">
        <v>1256</v>
      </c>
      <c r="E1059" s="5" t="s">
        <v>94</v>
      </c>
      <c r="F1059" s="5" t="s">
        <v>14</v>
      </c>
      <c r="G1059" s="5" t="s">
        <v>15</v>
      </c>
      <c r="H1059" s="5" t="s">
        <v>1257</v>
      </c>
      <c r="I1059" s="13">
        <v>89.95</v>
      </c>
      <c r="J1059" s="19">
        <v>5</v>
      </c>
      <c r="K1059" s="14">
        <v>43.176000000000002</v>
      </c>
    </row>
    <row r="1060" spans="1:11" x14ac:dyDescent="0.25">
      <c r="A1060" s="2">
        <v>43667</v>
      </c>
      <c r="B1060" s="18">
        <f t="shared" si="32"/>
        <v>2019</v>
      </c>
      <c r="C1060" s="18">
        <f t="shared" si="33"/>
        <v>7</v>
      </c>
      <c r="D1060" s="3" t="s">
        <v>463</v>
      </c>
      <c r="E1060" s="3" t="s">
        <v>39</v>
      </c>
      <c r="F1060" s="3" t="s">
        <v>19</v>
      </c>
      <c r="G1060" s="3" t="s">
        <v>32</v>
      </c>
      <c r="H1060" s="3" t="s">
        <v>849</v>
      </c>
      <c r="I1060" s="11">
        <v>1.9410000000000001</v>
      </c>
      <c r="J1060" s="18">
        <v>1</v>
      </c>
      <c r="K1060" s="12">
        <v>-1.294</v>
      </c>
    </row>
    <row r="1061" spans="1:11" x14ac:dyDescent="0.25">
      <c r="A1061" s="4">
        <v>43667</v>
      </c>
      <c r="B1061" s="19">
        <f t="shared" si="32"/>
        <v>2019</v>
      </c>
      <c r="C1061" s="19">
        <f t="shared" si="33"/>
        <v>7</v>
      </c>
      <c r="D1061" s="5" t="s">
        <v>313</v>
      </c>
      <c r="E1061" s="5" t="s">
        <v>67</v>
      </c>
      <c r="F1061" s="5" t="s">
        <v>19</v>
      </c>
      <c r="G1061" s="5" t="s">
        <v>40</v>
      </c>
      <c r="H1061" s="5" t="s">
        <v>1258</v>
      </c>
      <c r="I1061" s="13">
        <v>18.655999999999999</v>
      </c>
      <c r="J1061" s="19">
        <v>2</v>
      </c>
      <c r="K1061" s="14">
        <v>1.3992</v>
      </c>
    </row>
    <row r="1062" spans="1:11" x14ac:dyDescent="0.25">
      <c r="A1062" s="2">
        <v>43667</v>
      </c>
      <c r="B1062" s="18">
        <f t="shared" si="32"/>
        <v>2019</v>
      </c>
      <c r="C1062" s="18">
        <f t="shared" si="33"/>
        <v>7</v>
      </c>
      <c r="D1062" s="3" t="s">
        <v>313</v>
      </c>
      <c r="E1062" s="3" t="s">
        <v>67</v>
      </c>
      <c r="F1062" s="3" t="s">
        <v>19</v>
      </c>
      <c r="G1062" s="3" t="s">
        <v>32</v>
      </c>
      <c r="H1062" s="3" t="s">
        <v>1259</v>
      </c>
      <c r="I1062" s="11">
        <v>11.087999999999999</v>
      </c>
      <c r="J1062" s="18">
        <v>7</v>
      </c>
      <c r="K1062" s="12">
        <v>-8.1311999999999998</v>
      </c>
    </row>
    <row r="1063" spans="1:11" x14ac:dyDescent="0.25">
      <c r="A1063" s="4">
        <v>43667</v>
      </c>
      <c r="B1063" s="19">
        <f t="shared" si="32"/>
        <v>2019</v>
      </c>
      <c r="C1063" s="19">
        <f t="shared" si="33"/>
        <v>7</v>
      </c>
      <c r="D1063" s="5" t="s">
        <v>313</v>
      </c>
      <c r="E1063" s="5" t="s">
        <v>67</v>
      </c>
      <c r="F1063" s="5" t="s">
        <v>19</v>
      </c>
      <c r="G1063" s="5" t="s">
        <v>20</v>
      </c>
      <c r="H1063" s="5" t="s">
        <v>1260</v>
      </c>
      <c r="I1063" s="13">
        <v>66.688000000000002</v>
      </c>
      <c r="J1063" s="19">
        <v>1</v>
      </c>
      <c r="K1063" s="14">
        <v>4.1680000000000001</v>
      </c>
    </row>
    <row r="1064" spans="1:11" x14ac:dyDescent="0.25">
      <c r="A1064" s="2">
        <v>43667</v>
      </c>
      <c r="B1064" s="18">
        <f t="shared" si="32"/>
        <v>2019</v>
      </c>
      <c r="C1064" s="18">
        <f t="shared" si="33"/>
        <v>7</v>
      </c>
      <c r="D1064" s="3" t="s">
        <v>313</v>
      </c>
      <c r="E1064" s="3" t="s">
        <v>67</v>
      </c>
      <c r="F1064" s="3" t="s">
        <v>19</v>
      </c>
      <c r="G1064" s="3" t="s">
        <v>20</v>
      </c>
      <c r="H1064" s="3" t="s">
        <v>216</v>
      </c>
      <c r="I1064" s="11">
        <v>99.488</v>
      </c>
      <c r="J1064" s="18">
        <v>2</v>
      </c>
      <c r="K1064" s="12">
        <v>8.7051999999999996</v>
      </c>
    </row>
    <row r="1065" spans="1:11" x14ac:dyDescent="0.25">
      <c r="A1065" s="4">
        <v>43667</v>
      </c>
      <c r="B1065" s="19">
        <f t="shared" si="32"/>
        <v>2019</v>
      </c>
      <c r="C1065" s="19">
        <f t="shared" si="33"/>
        <v>7</v>
      </c>
      <c r="D1065" s="5" t="s">
        <v>612</v>
      </c>
      <c r="E1065" s="5" t="s">
        <v>35</v>
      </c>
      <c r="F1065" s="5" t="s">
        <v>19</v>
      </c>
      <c r="G1065" s="5" t="s">
        <v>127</v>
      </c>
      <c r="H1065" s="5" t="s">
        <v>1261</v>
      </c>
      <c r="I1065" s="13">
        <v>6.2640000000000002</v>
      </c>
      <c r="J1065" s="19">
        <v>3</v>
      </c>
      <c r="K1065" s="14">
        <v>2.0358000000000001</v>
      </c>
    </row>
    <row r="1066" spans="1:11" x14ac:dyDescent="0.25">
      <c r="A1066" s="2">
        <v>43667</v>
      </c>
      <c r="B1066" s="18">
        <f t="shared" si="32"/>
        <v>2019</v>
      </c>
      <c r="C1066" s="18">
        <f t="shared" si="33"/>
        <v>7</v>
      </c>
      <c r="D1066" s="3" t="s">
        <v>612</v>
      </c>
      <c r="E1066" s="3" t="s">
        <v>35</v>
      </c>
      <c r="F1066" s="3" t="s">
        <v>11</v>
      </c>
      <c r="G1066" s="3" t="s">
        <v>112</v>
      </c>
      <c r="H1066" s="3" t="s">
        <v>1262</v>
      </c>
      <c r="I1066" s="11">
        <v>363.92</v>
      </c>
      <c r="J1066" s="18">
        <v>5</v>
      </c>
      <c r="K1066" s="12">
        <v>0</v>
      </c>
    </row>
    <row r="1067" spans="1:11" x14ac:dyDescent="0.25">
      <c r="A1067" s="4">
        <v>43667</v>
      </c>
      <c r="B1067" s="19">
        <f t="shared" si="32"/>
        <v>2019</v>
      </c>
      <c r="C1067" s="19">
        <f t="shared" si="33"/>
        <v>7</v>
      </c>
      <c r="D1067" s="5" t="s">
        <v>493</v>
      </c>
      <c r="E1067" s="5" t="s">
        <v>18</v>
      </c>
      <c r="F1067" s="5" t="s">
        <v>19</v>
      </c>
      <c r="G1067" s="5" t="s">
        <v>86</v>
      </c>
      <c r="H1067" s="5" t="s">
        <v>209</v>
      </c>
      <c r="I1067" s="13">
        <v>419.9</v>
      </c>
      <c r="J1067" s="19">
        <v>5</v>
      </c>
      <c r="K1067" s="14">
        <v>197.35300000000001</v>
      </c>
    </row>
    <row r="1068" spans="1:11" x14ac:dyDescent="0.25">
      <c r="A1068" s="2">
        <v>43667</v>
      </c>
      <c r="B1068" s="18">
        <f t="shared" si="32"/>
        <v>2019</v>
      </c>
      <c r="C1068" s="18">
        <f t="shared" si="33"/>
        <v>7</v>
      </c>
      <c r="D1068" s="3" t="s">
        <v>493</v>
      </c>
      <c r="E1068" s="3" t="s">
        <v>18</v>
      </c>
      <c r="F1068" s="3" t="s">
        <v>19</v>
      </c>
      <c r="G1068" s="3" t="s">
        <v>127</v>
      </c>
      <c r="H1068" s="3" t="s">
        <v>1263</v>
      </c>
      <c r="I1068" s="11">
        <v>3.15</v>
      </c>
      <c r="J1068" s="18">
        <v>1</v>
      </c>
      <c r="K1068" s="12">
        <v>1.512</v>
      </c>
    </row>
    <row r="1069" spans="1:11" x14ac:dyDescent="0.25">
      <c r="A1069" s="4">
        <v>43668</v>
      </c>
      <c r="B1069" s="19">
        <f t="shared" si="32"/>
        <v>2019</v>
      </c>
      <c r="C1069" s="19">
        <f t="shared" si="33"/>
        <v>7</v>
      </c>
      <c r="D1069" s="5" t="s">
        <v>108</v>
      </c>
      <c r="E1069" s="5" t="s">
        <v>18</v>
      </c>
      <c r="F1069" s="5" t="s">
        <v>19</v>
      </c>
      <c r="G1069" s="5" t="s">
        <v>127</v>
      </c>
      <c r="H1069" s="5" t="s">
        <v>1263</v>
      </c>
      <c r="I1069" s="13">
        <v>6.3</v>
      </c>
      <c r="J1069" s="19">
        <v>2</v>
      </c>
      <c r="K1069" s="14">
        <v>3.024</v>
      </c>
    </row>
    <row r="1070" spans="1:11" x14ac:dyDescent="0.25">
      <c r="A1070" s="2">
        <v>43668</v>
      </c>
      <c r="B1070" s="18">
        <f t="shared" si="32"/>
        <v>2019</v>
      </c>
      <c r="C1070" s="18">
        <f t="shared" si="33"/>
        <v>7</v>
      </c>
      <c r="D1070" s="3" t="s">
        <v>375</v>
      </c>
      <c r="E1070" s="3" t="s">
        <v>39</v>
      </c>
      <c r="F1070" s="3" t="s">
        <v>19</v>
      </c>
      <c r="G1070" s="3" t="s">
        <v>40</v>
      </c>
      <c r="H1070" s="3" t="s">
        <v>1264</v>
      </c>
      <c r="I1070" s="11">
        <v>4.16</v>
      </c>
      <c r="J1070" s="18">
        <v>2</v>
      </c>
      <c r="K1070" s="12">
        <v>0.36399999999999999</v>
      </c>
    </row>
    <row r="1071" spans="1:11" x14ac:dyDescent="0.25">
      <c r="A1071" s="4">
        <v>43668</v>
      </c>
      <c r="B1071" s="19">
        <f t="shared" si="32"/>
        <v>2019</v>
      </c>
      <c r="C1071" s="19">
        <f t="shared" si="33"/>
        <v>7</v>
      </c>
      <c r="D1071" s="5" t="s">
        <v>375</v>
      </c>
      <c r="E1071" s="5" t="s">
        <v>39</v>
      </c>
      <c r="F1071" s="5" t="s">
        <v>11</v>
      </c>
      <c r="G1071" s="5" t="s">
        <v>51</v>
      </c>
      <c r="H1071" s="5" t="s">
        <v>1265</v>
      </c>
      <c r="I1071" s="13">
        <v>11.648</v>
      </c>
      <c r="J1071" s="19">
        <v>2</v>
      </c>
      <c r="K1071" s="14">
        <v>3.3488000000000002</v>
      </c>
    </row>
    <row r="1072" spans="1:11" x14ac:dyDescent="0.25">
      <c r="A1072" s="2">
        <v>43668</v>
      </c>
      <c r="B1072" s="18">
        <f t="shared" si="32"/>
        <v>2019</v>
      </c>
      <c r="C1072" s="18">
        <f t="shared" si="33"/>
        <v>7</v>
      </c>
      <c r="D1072" s="3" t="s">
        <v>1233</v>
      </c>
      <c r="E1072" s="3" t="s">
        <v>365</v>
      </c>
      <c r="F1072" s="3" t="s">
        <v>14</v>
      </c>
      <c r="G1072" s="3" t="s">
        <v>24</v>
      </c>
      <c r="H1072" s="3" t="s">
        <v>1266</v>
      </c>
      <c r="I1072" s="11">
        <v>109.95</v>
      </c>
      <c r="J1072" s="18">
        <v>1</v>
      </c>
      <c r="K1072" s="12">
        <v>36.283499999999997</v>
      </c>
    </row>
    <row r="1073" spans="1:11" x14ac:dyDescent="0.25">
      <c r="A1073" s="4">
        <v>43668</v>
      </c>
      <c r="B1073" s="19">
        <f t="shared" si="32"/>
        <v>2019</v>
      </c>
      <c r="C1073" s="19">
        <f t="shared" si="33"/>
        <v>7</v>
      </c>
      <c r="D1073" s="5" t="s">
        <v>1233</v>
      </c>
      <c r="E1073" s="5" t="s">
        <v>365</v>
      </c>
      <c r="F1073" s="5" t="s">
        <v>19</v>
      </c>
      <c r="G1073" s="5" t="s">
        <v>20</v>
      </c>
      <c r="H1073" s="5" t="s">
        <v>603</v>
      </c>
      <c r="I1073" s="13">
        <v>965.85</v>
      </c>
      <c r="J1073" s="19">
        <v>5</v>
      </c>
      <c r="K1073" s="14">
        <v>135.21899999999999</v>
      </c>
    </row>
    <row r="1074" spans="1:11" x14ac:dyDescent="0.25">
      <c r="A1074" s="2">
        <v>43668</v>
      </c>
      <c r="B1074" s="18">
        <f t="shared" si="32"/>
        <v>2019</v>
      </c>
      <c r="C1074" s="18">
        <f t="shared" si="33"/>
        <v>7</v>
      </c>
      <c r="D1074" s="3" t="s">
        <v>1233</v>
      </c>
      <c r="E1074" s="3" t="s">
        <v>365</v>
      </c>
      <c r="F1074" s="3" t="s">
        <v>19</v>
      </c>
      <c r="G1074" s="3" t="s">
        <v>40</v>
      </c>
      <c r="H1074" s="3" t="s">
        <v>1267</v>
      </c>
      <c r="I1074" s="11">
        <v>29.2</v>
      </c>
      <c r="J1074" s="18">
        <v>5</v>
      </c>
      <c r="K1074" s="12">
        <v>10.512</v>
      </c>
    </row>
    <row r="1075" spans="1:11" x14ac:dyDescent="0.25">
      <c r="A1075" s="4">
        <v>43668</v>
      </c>
      <c r="B1075" s="19">
        <f t="shared" si="32"/>
        <v>2019</v>
      </c>
      <c r="C1075" s="19">
        <f t="shared" si="33"/>
        <v>7</v>
      </c>
      <c r="D1075" s="5" t="s">
        <v>1233</v>
      </c>
      <c r="E1075" s="5" t="s">
        <v>365</v>
      </c>
      <c r="F1075" s="5" t="s">
        <v>19</v>
      </c>
      <c r="G1075" s="5" t="s">
        <v>53</v>
      </c>
      <c r="H1075" s="5" t="s">
        <v>1268</v>
      </c>
      <c r="I1075" s="13">
        <v>32.4</v>
      </c>
      <c r="J1075" s="19">
        <v>5</v>
      </c>
      <c r="K1075" s="14">
        <v>15.552</v>
      </c>
    </row>
    <row r="1076" spans="1:11" x14ac:dyDescent="0.25">
      <c r="A1076" s="2">
        <v>43668</v>
      </c>
      <c r="B1076" s="18">
        <f t="shared" si="32"/>
        <v>2019</v>
      </c>
      <c r="C1076" s="18">
        <f t="shared" si="33"/>
        <v>7</v>
      </c>
      <c r="D1076" s="3" t="s">
        <v>1269</v>
      </c>
      <c r="E1076" s="3" t="s">
        <v>483</v>
      </c>
      <c r="F1076" s="3" t="s">
        <v>19</v>
      </c>
      <c r="G1076" s="3" t="s">
        <v>265</v>
      </c>
      <c r="H1076" s="3" t="s">
        <v>1270</v>
      </c>
      <c r="I1076" s="11">
        <v>86.2</v>
      </c>
      <c r="J1076" s="18">
        <v>5</v>
      </c>
      <c r="K1076" s="12">
        <v>24.998000000000001</v>
      </c>
    </row>
    <row r="1077" spans="1:11" x14ac:dyDescent="0.25">
      <c r="A1077" s="4">
        <v>43668</v>
      </c>
      <c r="B1077" s="19">
        <f t="shared" si="32"/>
        <v>2019</v>
      </c>
      <c r="C1077" s="19">
        <f t="shared" si="33"/>
        <v>7</v>
      </c>
      <c r="D1077" s="5" t="s">
        <v>66</v>
      </c>
      <c r="E1077" s="5" t="s">
        <v>10</v>
      </c>
      <c r="F1077" s="5" t="s">
        <v>19</v>
      </c>
      <c r="G1077" s="5" t="s">
        <v>121</v>
      </c>
      <c r="H1077" s="5" t="s">
        <v>531</v>
      </c>
      <c r="I1077" s="13">
        <v>37.68</v>
      </c>
      <c r="J1077" s="19">
        <v>2</v>
      </c>
      <c r="K1077" s="14">
        <v>10.5504</v>
      </c>
    </row>
    <row r="1078" spans="1:11" x14ac:dyDescent="0.25">
      <c r="A1078" s="2">
        <v>43668</v>
      </c>
      <c r="B1078" s="18">
        <f t="shared" si="32"/>
        <v>2019</v>
      </c>
      <c r="C1078" s="18">
        <f t="shared" si="33"/>
        <v>7</v>
      </c>
      <c r="D1078" s="3" t="s">
        <v>66</v>
      </c>
      <c r="E1078" s="3" t="s">
        <v>10</v>
      </c>
      <c r="F1078" s="3" t="s">
        <v>19</v>
      </c>
      <c r="G1078" s="3" t="s">
        <v>53</v>
      </c>
      <c r="H1078" s="3" t="s">
        <v>1271</v>
      </c>
      <c r="I1078" s="11">
        <v>51.84</v>
      </c>
      <c r="J1078" s="18">
        <v>8</v>
      </c>
      <c r="K1078" s="12">
        <v>24.883199999999999</v>
      </c>
    </row>
    <row r="1079" spans="1:11" x14ac:dyDescent="0.25">
      <c r="A1079" s="4">
        <v>43668</v>
      </c>
      <c r="B1079" s="19">
        <f t="shared" si="32"/>
        <v>2019</v>
      </c>
      <c r="C1079" s="19">
        <f t="shared" si="33"/>
        <v>7</v>
      </c>
      <c r="D1079" s="5" t="s">
        <v>66</v>
      </c>
      <c r="E1079" s="5" t="s">
        <v>10</v>
      </c>
      <c r="F1079" s="5" t="s">
        <v>11</v>
      </c>
      <c r="G1079" s="5" t="s">
        <v>51</v>
      </c>
      <c r="H1079" s="5" t="s">
        <v>1272</v>
      </c>
      <c r="I1079" s="13">
        <v>27.42</v>
      </c>
      <c r="J1079" s="19">
        <v>3</v>
      </c>
      <c r="K1079" s="14">
        <v>9.3228000000000009</v>
      </c>
    </row>
    <row r="1080" spans="1:11" x14ac:dyDescent="0.25">
      <c r="A1080" s="2">
        <v>43668</v>
      </c>
      <c r="B1080" s="18">
        <f t="shared" si="32"/>
        <v>2019</v>
      </c>
      <c r="C1080" s="18">
        <f t="shared" si="33"/>
        <v>7</v>
      </c>
      <c r="D1080" s="3" t="s">
        <v>66</v>
      </c>
      <c r="E1080" s="3" t="s">
        <v>10</v>
      </c>
      <c r="F1080" s="3" t="s">
        <v>19</v>
      </c>
      <c r="G1080" s="3" t="s">
        <v>32</v>
      </c>
      <c r="H1080" s="3" t="s">
        <v>1273</v>
      </c>
      <c r="I1080" s="11">
        <v>5.4</v>
      </c>
      <c r="J1080" s="18">
        <v>3</v>
      </c>
      <c r="K1080" s="12">
        <v>2.5920000000000001</v>
      </c>
    </row>
    <row r="1081" spans="1:11" x14ac:dyDescent="0.25">
      <c r="A1081" s="4">
        <v>43669</v>
      </c>
      <c r="B1081" s="19">
        <f t="shared" si="32"/>
        <v>2019</v>
      </c>
      <c r="C1081" s="19">
        <f t="shared" si="33"/>
        <v>7</v>
      </c>
      <c r="D1081" s="5" t="s">
        <v>201</v>
      </c>
      <c r="E1081" s="5" t="s">
        <v>44</v>
      </c>
      <c r="F1081" s="5" t="s">
        <v>19</v>
      </c>
      <c r="G1081" s="5" t="s">
        <v>40</v>
      </c>
      <c r="H1081" s="5" t="s">
        <v>532</v>
      </c>
      <c r="I1081" s="13">
        <v>35.216000000000001</v>
      </c>
      <c r="J1081" s="19">
        <v>2</v>
      </c>
      <c r="K1081" s="14">
        <v>2.6412</v>
      </c>
    </row>
    <row r="1082" spans="1:11" x14ac:dyDescent="0.25">
      <c r="A1082" s="2">
        <v>43669</v>
      </c>
      <c r="B1082" s="18">
        <f t="shared" si="32"/>
        <v>2019</v>
      </c>
      <c r="C1082" s="18">
        <f t="shared" si="33"/>
        <v>7</v>
      </c>
      <c r="D1082" s="3" t="s">
        <v>201</v>
      </c>
      <c r="E1082" s="3" t="s">
        <v>44</v>
      </c>
      <c r="F1082" s="3" t="s">
        <v>19</v>
      </c>
      <c r="G1082" s="3" t="s">
        <v>121</v>
      </c>
      <c r="H1082" s="3" t="s">
        <v>1274</v>
      </c>
      <c r="I1082" s="11">
        <v>23.696000000000002</v>
      </c>
      <c r="J1082" s="18">
        <v>2</v>
      </c>
      <c r="K1082" s="12">
        <v>6.5164</v>
      </c>
    </row>
    <row r="1083" spans="1:11" x14ac:dyDescent="0.25">
      <c r="A1083" s="4">
        <v>43669</v>
      </c>
      <c r="B1083" s="19">
        <f t="shared" si="32"/>
        <v>2019</v>
      </c>
      <c r="C1083" s="19">
        <f t="shared" si="33"/>
        <v>7</v>
      </c>
      <c r="D1083" s="5" t="s">
        <v>201</v>
      </c>
      <c r="E1083" s="5" t="s">
        <v>44</v>
      </c>
      <c r="F1083" s="5" t="s">
        <v>14</v>
      </c>
      <c r="G1083" s="5" t="s">
        <v>188</v>
      </c>
      <c r="H1083" s="5" t="s">
        <v>1275</v>
      </c>
      <c r="I1083" s="13">
        <v>265.47500000000002</v>
      </c>
      <c r="J1083" s="19">
        <v>1</v>
      </c>
      <c r="K1083" s="14">
        <v>-111.4995</v>
      </c>
    </row>
    <row r="1084" spans="1:11" x14ac:dyDescent="0.25">
      <c r="A1084" s="2">
        <v>43669</v>
      </c>
      <c r="B1084" s="18">
        <f t="shared" si="32"/>
        <v>2019</v>
      </c>
      <c r="C1084" s="18">
        <f t="shared" si="33"/>
        <v>7</v>
      </c>
      <c r="D1084" s="3" t="s">
        <v>1276</v>
      </c>
      <c r="E1084" s="3" t="s">
        <v>164</v>
      </c>
      <c r="F1084" s="3" t="s">
        <v>19</v>
      </c>
      <c r="G1084" s="3" t="s">
        <v>32</v>
      </c>
      <c r="H1084" s="3" t="s">
        <v>1277</v>
      </c>
      <c r="I1084" s="11">
        <v>11.416</v>
      </c>
      <c r="J1084" s="18">
        <v>4</v>
      </c>
      <c r="K1084" s="12">
        <v>-18.836400000000001</v>
      </c>
    </row>
    <row r="1085" spans="1:11" x14ac:dyDescent="0.25">
      <c r="A1085" s="4">
        <v>43669</v>
      </c>
      <c r="B1085" s="19">
        <f t="shared" si="32"/>
        <v>2019</v>
      </c>
      <c r="C1085" s="19">
        <f t="shared" si="33"/>
        <v>7</v>
      </c>
      <c r="D1085" s="5" t="s">
        <v>992</v>
      </c>
      <c r="E1085" s="5" t="s">
        <v>23</v>
      </c>
      <c r="F1085" s="5" t="s">
        <v>19</v>
      </c>
      <c r="G1085" s="5" t="s">
        <v>40</v>
      </c>
      <c r="H1085" s="5" t="s">
        <v>1278</v>
      </c>
      <c r="I1085" s="13">
        <v>4.4480000000000004</v>
      </c>
      <c r="J1085" s="19">
        <v>2</v>
      </c>
      <c r="K1085" s="14">
        <v>0.33360000000000001</v>
      </c>
    </row>
    <row r="1086" spans="1:11" x14ac:dyDescent="0.25">
      <c r="A1086" s="2">
        <v>43669</v>
      </c>
      <c r="B1086" s="18">
        <f t="shared" si="32"/>
        <v>2019</v>
      </c>
      <c r="C1086" s="18">
        <f t="shared" si="33"/>
        <v>7</v>
      </c>
      <c r="D1086" s="3" t="s">
        <v>992</v>
      </c>
      <c r="E1086" s="3" t="s">
        <v>23</v>
      </c>
      <c r="F1086" s="3" t="s">
        <v>19</v>
      </c>
      <c r="G1086" s="3" t="s">
        <v>53</v>
      </c>
      <c r="H1086" s="3" t="s">
        <v>1279</v>
      </c>
      <c r="I1086" s="11">
        <v>5.1840000000000002</v>
      </c>
      <c r="J1086" s="18">
        <v>1</v>
      </c>
      <c r="K1086" s="12">
        <v>1.8144</v>
      </c>
    </row>
    <row r="1087" spans="1:11" x14ac:dyDescent="0.25">
      <c r="A1087" s="4">
        <v>43669</v>
      </c>
      <c r="B1087" s="19">
        <f t="shared" si="32"/>
        <v>2019</v>
      </c>
      <c r="C1087" s="19">
        <f t="shared" si="33"/>
        <v>7</v>
      </c>
      <c r="D1087" s="5" t="s">
        <v>992</v>
      </c>
      <c r="E1087" s="5" t="s">
        <v>23</v>
      </c>
      <c r="F1087" s="5" t="s">
        <v>19</v>
      </c>
      <c r="G1087" s="5" t="s">
        <v>40</v>
      </c>
      <c r="H1087" s="5" t="s">
        <v>527</v>
      </c>
      <c r="I1087" s="13">
        <v>175.92</v>
      </c>
      <c r="J1087" s="19">
        <v>5</v>
      </c>
      <c r="K1087" s="14">
        <v>15.393000000000001</v>
      </c>
    </row>
    <row r="1088" spans="1:11" x14ac:dyDescent="0.25">
      <c r="A1088" s="2">
        <v>43669</v>
      </c>
      <c r="B1088" s="18">
        <f t="shared" si="32"/>
        <v>2019</v>
      </c>
      <c r="C1088" s="18">
        <f t="shared" si="33"/>
        <v>7</v>
      </c>
      <c r="D1088" s="3" t="s">
        <v>992</v>
      </c>
      <c r="E1088" s="3" t="s">
        <v>23</v>
      </c>
      <c r="F1088" s="3" t="s">
        <v>19</v>
      </c>
      <c r="G1088" s="3" t="s">
        <v>32</v>
      </c>
      <c r="H1088" s="3" t="s">
        <v>33</v>
      </c>
      <c r="I1088" s="11">
        <v>4.7519999999999998</v>
      </c>
      <c r="J1088" s="18">
        <v>4</v>
      </c>
      <c r="K1088" s="12">
        <v>-8.3160000000000007</v>
      </c>
    </row>
    <row r="1089" spans="1:11" x14ac:dyDescent="0.25">
      <c r="A1089" s="4">
        <v>43669</v>
      </c>
      <c r="B1089" s="19">
        <f t="shared" si="32"/>
        <v>2019</v>
      </c>
      <c r="C1089" s="19">
        <f t="shared" si="33"/>
        <v>7</v>
      </c>
      <c r="D1089" s="5" t="s">
        <v>992</v>
      </c>
      <c r="E1089" s="5" t="s">
        <v>23</v>
      </c>
      <c r="F1089" s="5" t="s">
        <v>19</v>
      </c>
      <c r="G1089" s="5" t="s">
        <v>265</v>
      </c>
      <c r="H1089" s="5" t="s">
        <v>1280</v>
      </c>
      <c r="I1089" s="13">
        <v>13.343999999999999</v>
      </c>
      <c r="J1089" s="19">
        <v>2</v>
      </c>
      <c r="K1089" s="14">
        <v>1.0007999999999999</v>
      </c>
    </row>
    <row r="1090" spans="1:11" x14ac:dyDescent="0.25">
      <c r="A1090" s="2">
        <v>43669</v>
      </c>
      <c r="B1090" s="18">
        <f t="shared" ref="B1090:B1153" si="34">YEAR(A1090)</f>
        <v>2019</v>
      </c>
      <c r="C1090" s="18">
        <f t="shared" ref="C1090:C1153" si="35">MONTH(A1090)</f>
        <v>7</v>
      </c>
      <c r="D1090" s="3" t="s">
        <v>1281</v>
      </c>
      <c r="E1090" s="3" t="s">
        <v>23</v>
      </c>
      <c r="F1090" s="3" t="s">
        <v>14</v>
      </c>
      <c r="G1090" s="3" t="s">
        <v>15</v>
      </c>
      <c r="H1090" s="3" t="s">
        <v>1282</v>
      </c>
      <c r="I1090" s="11">
        <v>115.136</v>
      </c>
      <c r="J1090" s="18">
        <v>8</v>
      </c>
      <c r="K1090" s="12">
        <v>11.5136</v>
      </c>
    </row>
    <row r="1091" spans="1:11" x14ac:dyDescent="0.25">
      <c r="A1091" s="4">
        <v>43670</v>
      </c>
      <c r="B1091" s="19">
        <f t="shared" si="34"/>
        <v>2019</v>
      </c>
      <c r="C1091" s="19">
        <f t="shared" si="35"/>
        <v>7</v>
      </c>
      <c r="D1091" s="5" t="s">
        <v>1283</v>
      </c>
      <c r="E1091" s="5" t="s">
        <v>94</v>
      </c>
      <c r="F1091" s="5" t="s">
        <v>11</v>
      </c>
      <c r="G1091" s="5" t="s">
        <v>112</v>
      </c>
      <c r="H1091" s="5" t="s">
        <v>1284</v>
      </c>
      <c r="I1091" s="13">
        <v>253.76400000000001</v>
      </c>
      <c r="J1091" s="19">
        <v>2</v>
      </c>
      <c r="K1091" s="14">
        <v>31.015599999999999</v>
      </c>
    </row>
    <row r="1092" spans="1:11" x14ac:dyDescent="0.25">
      <c r="A1092" s="2">
        <v>43670</v>
      </c>
      <c r="B1092" s="18">
        <f t="shared" si="34"/>
        <v>2019</v>
      </c>
      <c r="C1092" s="18">
        <f t="shared" si="35"/>
        <v>7</v>
      </c>
      <c r="D1092" s="3" t="s">
        <v>1285</v>
      </c>
      <c r="E1092" s="3" t="s">
        <v>394</v>
      </c>
      <c r="F1092" s="3" t="s">
        <v>19</v>
      </c>
      <c r="G1092" s="3" t="s">
        <v>40</v>
      </c>
      <c r="H1092" s="3" t="s">
        <v>673</v>
      </c>
      <c r="I1092" s="11">
        <v>73.2</v>
      </c>
      <c r="J1092" s="18">
        <v>5</v>
      </c>
      <c r="K1092" s="12">
        <v>21.228000000000002</v>
      </c>
    </row>
    <row r="1093" spans="1:11" x14ac:dyDescent="0.25">
      <c r="A1093" s="4">
        <v>43671</v>
      </c>
      <c r="B1093" s="19">
        <f t="shared" si="34"/>
        <v>2019</v>
      </c>
      <c r="C1093" s="19">
        <f t="shared" si="35"/>
        <v>7</v>
      </c>
      <c r="D1093" s="5" t="s">
        <v>855</v>
      </c>
      <c r="E1093" s="5" t="s">
        <v>18</v>
      </c>
      <c r="F1093" s="5" t="s">
        <v>19</v>
      </c>
      <c r="G1093" s="5" t="s">
        <v>32</v>
      </c>
      <c r="H1093" s="5" t="s">
        <v>467</v>
      </c>
      <c r="I1093" s="13">
        <v>119.616</v>
      </c>
      <c r="J1093" s="19">
        <v>8</v>
      </c>
      <c r="K1093" s="14">
        <v>40.370399999999997</v>
      </c>
    </row>
    <row r="1094" spans="1:11" x14ac:dyDescent="0.25">
      <c r="A1094" s="2">
        <v>43671</v>
      </c>
      <c r="B1094" s="18">
        <f t="shared" si="34"/>
        <v>2019</v>
      </c>
      <c r="C1094" s="18">
        <f t="shared" si="35"/>
        <v>7</v>
      </c>
      <c r="D1094" s="3" t="s">
        <v>855</v>
      </c>
      <c r="E1094" s="3" t="s">
        <v>18</v>
      </c>
      <c r="F1094" s="3" t="s">
        <v>11</v>
      </c>
      <c r="G1094" s="3" t="s">
        <v>51</v>
      </c>
      <c r="H1094" s="3" t="s">
        <v>411</v>
      </c>
      <c r="I1094" s="11">
        <v>255.76</v>
      </c>
      <c r="J1094" s="18">
        <v>4</v>
      </c>
      <c r="K1094" s="12">
        <v>81.843199999999996</v>
      </c>
    </row>
    <row r="1095" spans="1:11" x14ac:dyDescent="0.25">
      <c r="A1095" s="4">
        <v>43671</v>
      </c>
      <c r="B1095" s="19">
        <f t="shared" si="34"/>
        <v>2019</v>
      </c>
      <c r="C1095" s="19">
        <f t="shared" si="35"/>
        <v>7</v>
      </c>
      <c r="D1095" s="5" t="s">
        <v>855</v>
      </c>
      <c r="E1095" s="5" t="s">
        <v>18</v>
      </c>
      <c r="F1095" s="5" t="s">
        <v>11</v>
      </c>
      <c r="G1095" s="5" t="s">
        <v>112</v>
      </c>
      <c r="H1095" s="5" t="s">
        <v>1286</v>
      </c>
      <c r="I1095" s="13">
        <v>241.56800000000001</v>
      </c>
      <c r="J1095" s="19">
        <v>2</v>
      </c>
      <c r="K1095" s="14">
        <v>18.117599999999999</v>
      </c>
    </row>
    <row r="1096" spans="1:11" x14ac:dyDescent="0.25">
      <c r="A1096" s="2">
        <v>43671</v>
      </c>
      <c r="B1096" s="18">
        <f t="shared" si="34"/>
        <v>2019</v>
      </c>
      <c r="C1096" s="18">
        <f t="shared" si="35"/>
        <v>7</v>
      </c>
      <c r="D1096" s="3" t="s">
        <v>855</v>
      </c>
      <c r="E1096" s="3" t="s">
        <v>18</v>
      </c>
      <c r="F1096" s="3" t="s">
        <v>11</v>
      </c>
      <c r="G1096" s="3" t="s">
        <v>51</v>
      </c>
      <c r="H1096" s="3" t="s">
        <v>1217</v>
      </c>
      <c r="I1096" s="11">
        <v>69.3</v>
      </c>
      <c r="J1096" s="18">
        <v>9</v>
      </c>
      <c r="K1096" s="12">
        <v>22.869</v>
      </c>
    </row>
    <row r="1097" spans="1:11" x14ac:dyDescent="0.25">
      <c r="A1097" s="4">
        <v>43671</v>
      </c>
      <c r="B1097" s="19">
        <f t="shared" si="34"/>
        <v>2019</v>
      </c>
      <c r="C1097" s="19">
        <f t="shared" si="35"/>
        <v>7</v>
      </c>
      <c r="D1097" s="5" t="s">
        <v>135</v>
      </c>
      <c r="E1097" s="5" t="s">
        <v>67</v>
      </c>
      <c r="F1097" s="5" t="s">
        <v>14</v>
      </c>
      <c r="G1097" s="5" t="s">
        <v>36</v>
      </c>
      <c r="H1097" s="5" t="s">
        <v>1287</v>
      </c>
      <c r="I1097" s="13">
        <v>1439.9760000000001</v>
      </c>
      <c r="J1097" s="19">
        <v>4</v>
      </c>
      <c r="K1097" s="14">
        <v>191.99680000000001</v>
      </c>
    </row>
    <row r="1098" spans="1:11" x14ac:dyDescent="0.25">
      <c r="A1098" s="2">
        <v>43671</v>
      </c>
      <c r="B1098" s="18">
        <f t="shared" si="34"/>
        <v>2019</v>
      </c>
      <c r="C1098" s="18">
        <f t="shared" si="35"/>
        <v>7</v>
      </c>
      <c r="D1098" s="3" t="s">
        <v>1288</v>
      </c>
      <c r="E1098" s="3" t="s">
        <v>18</v>
      </c>
      <c r="F1098" s="3" t="s">
        <v>19</v>
      </c>
      <c r="G1098" s="3" t="s">
        <v>116</v>
      </c>
      <c r="H1098" s="3" t="s">
        <v>1128</v>
      </c>
      <c r="I1098" s="11">
        <v>21.48</v>
      </c>
      <c r="J1098" s="18">
        <v>6</v>
      </c>
      <c r="K1098" s="12">
        <v>10.74</v>
      </c>
    </row>
    <row r="1099" spans="1:11" x14ac:dyDescent="0.25">
      <c r="A1099" s="4">
        <v>43671</v>
      </c>
      <c r="B1099" s="19">
        <f t="shared" si="34"/>
        <v>2019</v>
      </c>
      <c r="C1099" s="19">
        <f t="shared" si="35"/>
        <v>7</v>
      </c>
      <c r="D1099" s="5" t="s">
        <v>300</v>
      </c>
      <c r="E1099" s="5" t="s">
        <v>67</v>
      </c>
      <c r="F1099" s="5" t="s">
        <v>19</v>
      </c>
      <c r="G1099" s="5" t="s">
        <v>121</v>
      </c>
      <c r="H1099" s="5" t="s">
        <v>1289</v>
      </c>
      <c r="I1099" s="13">
        <v>243.88</v>
      </c>
      <c r="J1099" s="19">
        <v>5</v>
      </c>
      <c r="K1099" s="14">
        <v>27.436499999999999</v>
      </c>
    </row>
    <row r="1100" spans="1:11" x14ac:dyDescent="0.25">
      <c r="A1100" s="2">
        <v>43671</v>
      </c>
      <c r="B1100" s="18">
        <f t="shared" si="34"/>
        <v>2019</v>
      </c>
      <c r="C1100" s="18">
        <f t="shared" si="35"/>
        <v>7</v>
      </c>
      <c r="D1100" s="3" t="s">
        <v>1290</v>
      </c>
      <c r="E1100" s="3" t="s">
        <v>23</v>
      </c>
      <c r="F1100" s="3" t="s">
        <v>19</v>
      </c>
      <c r="G1100" s="3" t="s">
        <v>127</v>
      </c>
      <c r="H1100" s="3" t="s">
        <v>728</v>
      </c>
      <c r="I1100" s="11">
        <v>15.712</v>
      </c>
      <c r="J1100" s="18">
        <v>4</v>
      </c>
      <c r="K1100" s="12">
        <v>5.6955999999999998</v>
      </c>
    </row>
    <row r="1101" spans="1:11" x14ac:dyDescent="0.25">
      <c r="A1101" s="4">
        <v>43671</v>
      </c>
      <c r="B1101" s="19">
        <f t="shared" si="34"/>
        <v>2019</v>
      </c>
      <c r="C1101" s="19">
        <f t="shared" si="35"/>
        <v>7</v>
      </c>
      <c r="D1101" s="5" t="s">
        <v>1291</v>
      </c>
      <c r="E1101" s="5" t="s">
        <v>143</v>
      </c>
      <c r="F1101" s="5" t="s">
        <v>19</v>
      </c>
      <c r="G1101" s="5" t="s">
        <v>20</v>
      </c>
      <c r="H1101" s="5" t="s">
        <v>748</v>
      </c>
      <c r="I1101" s="13">
        <v>7.89</v>
      </c>
      <c r="J1101" s="19">
        <v>1</v>
      </c>
      <c r="K1101" s="14">
        <v>0.31559999999999999</v>
      </c>
    </row>
    <row r="1102" spans="1:11" x14ac:dyDescent="0.25">
      <c r="A1102" s="2">
        <v>43671</v>
      </c>
      <c r="B1102" s="18">
        <f t="shared" si="34"/>
        <v>2019</v>
      </c>
      <c r="C1102" s="18">
        <f t="shared" si="35"/>
        <v>7</v>
      </c>
      <c r="D1102" s="3" t="s">
        <v>1291</v>
      </c>
      <c r="E1102" s="3" t="s">
        <v>143</v>
      </c>
      <c r="F1102" s="3" t="s">
        <v>19</v>
      </c>
      <c r="G1102" s="3" t="s">
        <v>53</v>
      </c>
      <c r="H1102" s="3" t="s">
        <v>1292</v>
      </c>
      <c r="I1102" s="11">
        <v>65.5</v>
      </c>
      <c r="J1102" s="18">
        <v>5</v>
      </c>
      <c r="K1102" s="12">
        <v>32.094999999999999</v>
      </c>
    </row>
    <row r="1103" spans="1:11" x14ac:dyDescent="0.25">
      <c r="A1103" s="4">
        <v>43671</v>
      </c>
      <c r="B1103" s="19">
        <f t="shared" si="34"/>
        <v>2019</v>
      </c>
      <c r="C1103" s="19">
        <f t="shared" si="35"/>
        <v>7</v>
      </c>
      <c r="D1103" s="5" t="s">
        <v>1291</v>
      </c>
      <c r="E1103" s="5" t="s">
        <v>143</v>
      </c>
      <c r="F1103" s="5" t="s">
        <v>11</v>
      </c>
      <c r="G1103" s="5" t="s">
        <v>30</v>
      </c>
      <c r="H1103" s="5" t="s">
        <v>320</v>
      </c>
      <c r="I1103" s="13">
        <v>2430.08</v>
      </c>
      <c r="J1103" s="19">
        <v>8</v>
      </c>
      <c r="K1103" s="14">
        <v>388.81279999999998</v>
      </c>
    </row>
    <row r="1104" spans="1:11" x14ac:dyDescent="0.25">
      <c r="A1104" s="2">
        <v>43671</v>
      </c>
      <c r="B1104" s="18">
        <f t="shared" si="34"/>
        <v>2019</v>
      </c>
      <c r="C1104" s="18">
        <f t="shared" si="35"/>
        <v>7</v>
      </c>
      <c r="D1104" s="3" t="s">
        <v>1293</v>
      </c>
      <c r="E1104" s="3" t="s">
        <v>181</v>
      </c>
      <c r="F1104" s="3" t="s">
        <v>19</v>
      </c>
      <c r="G1104" s="3" t="s">
        <v>32</v>
      </c>
      <c r="H1104" s="3" t="s">
        <v>1294</v>
      </c>
      <c r="I1104" s="11">
        <v>10.44</v>
      </c>
      <c r="J1104" s="18">
        <v>1</v>
      </c>
      <c r="K1104" s="12">
        <v>4.8023999999999996</v>
      </c>
    </row>
    <row r="1105" spans="1:11" x14ac:dyDescent="0.25">
      <c r="A1105" s="4">
        <v>43671</v>
      </c>
      <c r="B1105" s="19">
        <f t="shared" si="34"/>
        <v>2019</v>
      </c>
      <c r="C1105" s="19">
        <f t="shared" si="35"/>
        <v>7</v>
      </c>
      <c r="D1105" s="5" t="s">
        <v>98</v>
      </c>
      <c r="E1105" s="5" t="s">
        <v>23</v>
      </c>
      <c r="F1105" s="5" t="s">
        <v>19</v>
      </c>
      <c r="G1105" s="5" t="s">
        <v>86</v>
      </c>
      <c r="H1105" s="5" t="s">
        <v>87</v>
      </c>
      <c r="I1105" s="13">
        <v>20.936</v>
      </c>
      <c r="J1105" s="19">
        <v>1</v>
      </c>
      <c r="K1105" s="14">
        <v>7.0659000000000001</v>
      </c>
    </row>
    <row r="1106" spans="1:11" x14ac:dyDescent="0.25">
      <c r="A1106" s="2">
        <v>43671</v>
      </c>
      <c r="B1106" s="18">
        <f t="shared" si="34"/>
        <v>2019</v>
      </c>
      <c r="C1106" s="18">
        <f t="shared" si="35"/>
        <v>7</v>
      </c>
      <c r="D1106" s="3" t="s">
        <v>551</v>
      </c>
      <c r="E1106" s="3" t="s">
        <v>18</v>
      </c>
      <c r="F1106" s="3" t="s">
        <v>19</v>
      </c>
      <c r="G1106" s="3" t="s">
        <v>40</v>
      </c>
      <c r="H1106" s="3" t="s">
        <v>1295</v>
      </c>
      <c r="I1106" s="11">
        <v>37.17</v>
      </c>
      <c r="J1106" s="18">
        <v>9</v>
      </c>
      <c r="K1106" s="12">
        <v>11.151</v>
      </c>
    </row>
    <row r="1107" spans="1:11" x14ac:dyDescent="0.25">
      <c r="A1107" s="4">
        <v>43671</v>
      </c>
      <c r="B1107" s="19">
        <f t="shared" si="34"/>
        <v>2019</v>
      </c>
      <c r="C1107" s="19">
        <f t="shared" si="35"/>
        <v>7</v>
      </c>
      <c r="D1107" s="5" t="s">
        <v>887</v>
      </c>
      <c r="E1107" s="5" t="s">
        <v>56</v>
      </c>
      <c r="F1107" s="5" t="s">
        <v>19</v>
      </c>
      <c r="G1107" s="5" t="s">
        <v>53</v>
      </c>
      <c r="H1107" s="5" t="s">
        <v>269</v>
      </c>
      <c r="I1107" s="13">
        <v>20.62</v>
      </c>
      <c r="J1107" s="19">
        <v>2</v>
      </c>
      <c r="K1107" s="14">
        <v>9.6913999999999998</v>
      </c>
    </row>
    <row r="1108" spans="1:11" x14ac:dyDescent="0.25">
      <c r="A1108" s="2">
        <v>43671</v>
      </c>
      <c r="B1108" s="18">
        <f t="shared" si="34"/>
        <v>2019</v>
      </c>
      <c r="C1108" s="18">
        <f t="shared" si="35"/>
        <v>7</v>
      </c>
      <c r="D1108" s="3" t="s">
        <v>887</v>
      </c>
      <c r="E1108" s="3" t="s">
        <v>56</v>
      </c>
      <c r="F1108" s="3" t="s">
        <v>14</v>
      </c>
      <c r="G1108" s="3" t="s">
        <v>24</v>
      </c>
      <c r="H1108" s="3" t="s">
        <v>1296</v>
      </c>
      <c r="I1108" s="11">
        <v>124.25</v>
      </c>
      <c r="J1108" s="18">
        <v>7</v>
      </c>
      <c r="K1108" s="12">
        <v>48.457500000000003</v>
      </c>
    </row>
    <row r="1109" spans="1:11" x14ac:dyDescent="0.25">
      <c r="A1109" s="4">
        <v>43671</v>
      </c>
      <c r="B1109" s="19">
        <f t="shared" si="34"/>
        <v>2019</v>
      </c>
      <c r="C1109" s="19">
        <f t="shared" si="35"/>
        <v>7</v>
      </c>
      <c r="D1109" s="5" t="s">
        <v>887</v>
      </c>
      <c r="E1109" s="5" t="s">
        <v>56</v>
      </c>
      <c r="F1109" s="5" t="s">
        <v>14</v>
      </c>
      <c r="G1109" s="5" t="s">
        <v>15</v>
      </c>
      <c r="H1109" s="5" t="s">
        <v>1202</v>
      </c>
      <c r="I1109" s="13">
        <v>297.55</v>
      </c>
      <c r="J1109" s="19">
        <v>5</v>
      </c>
      <c r="K1109" s="14">
        <v>83.313999999999993</v>
      </c>
    </row>
    <row r="1110" spans="1:11" x14ac:dyDescent="0.25">
      <c r="A1110" s="2">
        <v>43671</v>
      </c>
      <c r="B1110" s="18">
        <f t="shared" si="34"/>
        <v>2019</v>
      </c>
      <c r="C1110" s="18">
        <f t="shared" si="35"/>
        <v>7</v>
      </c>
      <c r="D1110" s="3" t="s">
        <v>887</v>
      </c>
      <c r="E1110" s="3" t="s">
        <v>56</v>
      </c>
      <c r="F1110" s="3" t="s">
        <v>11</v>
      </c>
      <c r="G1110" s="3" t="s">
        <v>112</v>
      </c>
      <c r="H1110" s="3" t="s">
        <v>1297</v>
      </c>
      <c r="I1110" s="11">
        <v>403.56</v>
      </c>
      <c r="J1110" s="18">
        <v>4</v>
      </c>
      <c r="K1110" s="12">
        <v>96.854399999999998</v>
      </c>
    </row>
    <row r="1111" spans="1:11" x14ac:dyDescent="0.25">
      <c r="A1111" s="4">
        <v>43671</v>
      </c>
      <c r="B1111" s="19">
        <f t="shared" si="34"/>
        <v>2019</v>
      </c>
      <c r="C1111" s="19">
        <f t="shared" si="35"/>
        <v>7</v>
      </c>
      <c r="D1111" s="5" t="s">
        <v>887</v>
      </c>
      <c r="E1111" s="5" t="s">
        <v>56</v>
      </c>
      <c r="F1111" s="5" t="s">
        <v>11</v>
      </c>
      <c r="G1111" s="5" t="s">
        <v>51</v>
      </c>
      <c r="H1111" s="5" t="s">
        <v>1298</v>
      </c>
      <c r="I1111" s="13">
        <v>95.2</v>
      </c>
      <c r="J1111" s="19">
        <v>5</v>
      </c>
      <c r="K1111" s="14">
        <v>27.608000000000001</v>
      </c>
    </row>
    <row r="1112" spans="1:11" x14ac:dyDescent="0.25">
      <c r="A1112" s="2">
        <v>43674</v>
      </c>
      <c r="B1112" s="18">
        <f t="shared" si="34"/>
        <v>2019</v>
      </c>
      <c r="C1112" s="18">
        <f t="shared" si="35"/>
        <v>7</v>
      </c>
      <c r="D1112" s="3" t="s">
        <v>1299</v>
      </c>
      <c r="E1112" s="3" t="s">
        <v>365</v>
      </c>
      <c r="F1112" s="3" t="s">
        <v>19</v>
      </c>
      <c r="G1112" s="3" t="s">
        <v>116</v>
      </c>
      <c r="H1112" s="3" t="s">
        <v>301</v>
      </c>
      <c r="I1112" s="11">
        <v>20.440000000000001</v>
      </c>
      <c r="J1112" s="18">
        <v>7</v>
      </c>
      <c r="K1112" s="12">
        <v>9.1980000000000004</v>
      </c>
    </row>
    <row r="1113" spans="1:11" x14ac:dyDescent="0.25">
      <c r="A1113" s="4">
        <v>43674</v>
      </c>
      <c r="B1113" s="19">
        <f t="shared" si="34"/>
        <v>2019</v>
      </c>
      <c r="C1113" s="19">
        <f t="shared" si="35"/>
        <v>7</v>
      </c>
      <c r="D1113" s="5" t="s">
        <v>1299</v>
      </c>
      <c r="E1113" s="5" t="s">
        <v>365</v>
      </c>
      <c r="F1113" s="5" t="s">
        <v>19</v>
      </c>
      <c r="G1113" s="5" t="s">
        <v>53</v>
      </c>
      <c r="H1113" s="5" t="s">
        <v>1300</v>
      </c>
      <c r="I1113" s="13">
        <v>109.92</v>
      </c>
      <c r="J1113" s="19">
        <v>2</v>
      </c>
      <c r="K1113" s="14">
        <v>53.860799999999998</v>
      </c>
    </row>
    <row r="1114" spans="1:11" x14ac:dyDescent="0.25">
      <c r="A1114" s="2">
        <v>43674</v>
      </c>
      <c r="B1114" s="18">
        <f t="shared" si="34"/>
        <v>2019</v>
      </c>
      <c r="C1114" s="18">
        <f t="shared" si="35"/>
        <v>7</v>
      </c>
      <c r="D1114" s="3" t="s">
        <v>1301</v>
      </c>
      <c r="E1114" s="3" t="s">
        <v>18</v>
      </c>
      <c r="F1114" s="3" t="s">
        <v>19</v>
      </c>
      <c r="G1114" s="3" t="s">
        <v>127</v>
      </c>
      <c r="H1114" s="3" t="s">
        <v>1302</v>
      </c>
      <c r="I1114" s="11">
        <v>18.899999999999999</v>
      </c>
      <c r="J1114" s="18">
        <v>3</v>
      </c>
      <c r="K1114" s="12">
        <v>8.6940000000000008</v>
      </c>
    </row>
    <row r="1115" spans="1:11" x14ac:dyDescent="0.25">
      <c r="A1115" s="4">
        <v>43674</v>
      </c>
      <c r="B1115" s="19">
        <f t="shared" si="34"/>
        <v>2019</v>
      </c>
      <c r="C1115" s="19">
        <f t="shared" si="35"/>
        <v>7</v>
      </c>
      <c r="D1115" s="5" t="s">
        <v>1017</v>
      </c>
      <c r="E1115" s="5" t="s">
        <v>39</v>
      </c>
      <c r="F1115" s="5" t="s">
        <v>11</v>
      </c>
      <c r="G1115" s="5" t="s">
        <v>12</v>
      </c>
      <c r="H1115" s="5" t="s">
        <v>429</v>
      </c>
      <c r="I1115" s="13">
        <v>177.45</v>
      </c>
      <c r="J1115" s="19">
        <v>5</v>
      </c>
      <c r="K1115" s="14">
        <v>-78.078000000000003</v>
      </c>
    </row>
    <row r="1116" spans="1:11" x14ac:dyDescent="0.25">
      <c r="A1116" s="2">
        <v>43674</v>
      </c>
      <c r="B1116" s="18">
        <f t="shared" si="34"/>
        <v>2019</v>
      </c>
      <c r="C1116" s="18">
        <f t="shared" si="35"/>
        <v>7</v>
      </c>
      <c r="D1116" s="3" t="s">
        <v>1017</v>
      </c>
      <c r="E1116" s="3" t="s">
        <v>39</v>
      </c>
      <c r="F1116" s="3" t="s">
        <v>19</v>
      </c>
      <c r="G1116" s="3" t="s">
        <v>32</v>
      </c>
      <c r="H1116" s="3" t="s">
        <v>1303</v>
      </c>
      <c r="I1116" s="11">
        <v>1369.7639999999999</v>
      </c>
      <c r="J1116" s="18">
        <v>6</v>
      </c>
      <c r="K1116" s="12">
        <v>-913.17600000000004</v>
      </c>
    </row>
    <row r="1117" spans="1:11" x14ac:dyDescent="0.25">
      <c r="A1117" s="4">
        <v>43674</v>
      </c>
      <c r="B1117" s="19">
        <f t="shared" si="34"/>
        <v>2019</v>
      </c>
      <c r="C1117" s="19">
        <f t="shared" si="35"/>
        <v>7</v>
      </c>
      <c r="D1117" s="5" t="s">
        <v>1017</v>
      </c>
      <c r="E1117" s="5" t="s">
        <v>39</v>
      </c>
      <c r="F1117" s="5" t="s">
        <v>19</v>
      </c>
      <c r="G1117" s="5" t="s">
        <v>121</v>
      </c>
      <c r="H1117" s="5" t="s">
        <v>1304</v>
      </c>
      <c r="I1117" s="13">
        <v>9.48</v>
      </c>
      <c r="J1117" s="19">
        <v>3</v>
      </c>
      <c r="K1117" s="14">
        <v>0.71099999999999997</v>
      </c>
    </row>
    <row r="1118" spans="1:11" x14ac:dyDescent="0.25">
      <c r="A1118" s="2">
        <v>43674</v>
      </c>
      <c r="B1118" s="18">
        <f t="shared" si="34"/>
        <v>2019</v>
      </c>
      <c r="C1118" s="18">
        <f t="shared" si="35"/>
        <v>7</v>
      </c>
      <c r="D1118" s="3" t="s">
        <v>770</v>
      </c>
      <c r="E1118" s="3" t="s">
        <v>23</v>
      </c>
      <c r="F1118" s="3" t="s">
        <v>11</v>
      </c>
      <c r="G1118" s="3" t="s">
        <v>51</v>
      </c>
      <c r="H1118" s="3" t="s">
        <v>474</v>
      </c>
      <c r="I1118" s="11">
        <v>24.7</v>
      </c>
      <c r="J1118" s="18">
        <v>5</v>
      </c>
      <c r="K1118" s="12">
        <v>-9.8800000000000008</v>
      </c>
    </row>
    <row r="1119" spans="1:11" x14ac:dyDescent="0.25">
      <c r="A1119" s="4">
        <v>43674</v>
      </c>
      <c r="B1119" s="19">
        <f t="shared" si="34"/>
        <v>2019</v>
      </c>
      <c r="C1119" s="19">
        <f t="shared" si="35"/>
        <v>7</v>
      </c>
      <c r="D1119" s="5" t="s">
        <v>770</v>
      </c>
      <c r="E1119" s="5" t="s">
        <v>23</v>
      </c>
      <c r="F1119" s="5" t="s">
        <v>11</v>
      </c>
      <c r="G1119" s="5" t="s">
        <v>51</v>
      </c>
      <c r="H1119" s="5" t="s">
        <v>1305</v>
      </c>
      <c r="I1119" s="13">
        <v>302.72000000000003</v>
      </c>
      <c r="J1119" s="19">
        <v>5</v>
      </c>
      <c r="K1119" s="14">
        <v>-378.4</v>
      </c>
    </row>
    <row r="1120" spans="1:11" x14ac:dyDescent="0.25">
      <c r="A1120" s="2">
        <v>43675</v>
      </c>
      <c r="B1120" s="18">
        <f t="shared" si="34"/>
        <v>2019</v>
      </c>
      <c r="C1120" s="18">
        <f t="shared" si="35"/>
        <v>7</v>
      </c>
      <c r="D1120" s="3" t="s">
        <v>55</v>
      </c>
      <c r="E1120" s="3" t="s">
        <v>39</v>
      </c>
      <c r="F1120" s="3" t="s">
        <v>19</v>
      </c>
      <c r="G1120" s="3" t="s">
        <v>20</v>
      </c>
      <c r="H1120" s="3" t="s">
        <v>1115</v>
      </c>
      <c r="I1120" s="11">
        <v>84.784000000000006</v>
      </c>
      <c r="J1120" s="18">
        <v>2</v>
      </c>
      <c r="K1120" s="12">
        <v>-16.956800000000001</v>
      </c>
    </row>
    <row r="1121" spans="1:11" x14ac:dyDescent="0.25">
      <c r="A1121" s="4">
        <v>43675</v>
      </c>
      <c r="B1121" s="19">
        <f t="shared" si="34"/>
        <v>2019</v>
      </c>
      <c r="C1121" s="19">
        <f t="shared" si="35"/>
        <v>7</v>
      </c>
      <c r="D1121" s="5" t="s">
        <v>1306</v>
      </c>
      <c r="E1121" s="5" t="s">
        <v>44</v>
      </c>
      <c r="F1121" s="5" t="s">
        <v>19</v>
      </c>
      <c r="G1121" s="5" t="s">
        <v>32</v>
      </c>
      <c r="H1121" s="5" t="s">
        <v>1307</v>
      </c>
      <c r="I1121" s="13">
        <v>2.214</v>
      </c>
      <c r="J1121" s="19">
        <v>3</v>
      </c>
      <c r="K1121" s="14">
        <v>-1.476</v>
      </c>
    </row>
    <row r="1122" spans="1:11" x14ac:dyDescent="0.25">
      <c r="A1122" s="2">
        <v>43675</v>
      </c>
      <c r="B1122" s="18">
        <f t="shared" si="34"/>
        <v>2019</v>
      </c>
      <c r="C1122" s="18">
        <f t="shared" si="35"/>
        <v>7</v>
      </c>
      <c r="D1122" s="3" t="s">
        <v>1308</v>
      </c>
      <c r="E1122" s="3" t="s">
        <v>35</v>
      </c>
      <c r="F1122" s="3" t="s">
        <v>19</v>
      </c>
      <c r="G1122" s="3" t="s">
        <v>20</v>
      </c>
      <c r="H1122" s="3" t="s">
        <v>1309</v>
      </c>
      <c r="I1122" s="11">
        <v>704.76</v>
      </c>
      <c r="J1122" s="18">
        <v>5</v>
      </c>
      <c r="K1122" s="12">
        <v>26.4285</v>
      </c>
    </row>
    <row r="1123" spans="1:11" x14ac:dyDescent="0.25">
      <c r="A1123" s="4">
        <v>43675</v>
      </c>
      <c r="B1123" s="19">
        <f t="shared" si="34"/>
        <v>2019</v>
      </c>
      <c r="C1123" s="19">
        <f t="shared" si="35"/>
        <v>7</v>
      </c>
      <c r="D1123" s="5" t="s">
        <v>1308</v>
      </c>
      <c r="E1123" s="5" t="s">
        <v>35</v>
      </c>
      <c r="F1123" s="5" t="s">
        <v>19</v>
      </c>
      <c r="G1123" s="5" t="s">
        <v>32</v>
      </c>
      <c r="H1123" s="5" t="s">
        <v>1310</v>
      </c>
      <c r="I1123" s="13">
        <v>27.396000000000001</v>
      </c>
      <c r="J1123" s="19">
        <v>3</v>
      </c>
      <c r="K1123" s="14">
        <v>-20.090399999999999</v>
      </c>
    </row>
    <row r="1124" spans="1:11" x14ac:dyDescent="0.25">
      <c r="A1124" s="2">
        <v>43676</v>
      </c>
      <c r="B1124" s="18">
        <f t="shared" si="34"/>
        <v>2019</v>
      </c>
      <c r="C1124" s="18">
        <f t="shared" si="35"/>
        <v>7</v>
      </c>
      <c r="D1124" s="3" t="s">
        <v>1311</v>
      </c>
      <c r="E1124" s="3" t="s">
        <v>23</v>
      </c>
      <c r="F1124" s="3" t="s">
        <v>19</v>
      </c>
      <c r="G1124" s="3" t="s">
        <v>32</v>
      </c>
      <c r="H1124" s="3" t="s">
        <v>422</v>
      </c>
      <c r="I1124" s="11">
        <v>9.2639999999999993</v>
      </c>
      <c r="J1124" s="18">
        <v>3</v>
      </c>
      <c r="K1124" s="12">
        <v>-13.896000000000001</v>
      </c>
    </row>
    <row r="1125" spans="1:11" x14ac:dyDescent="0.25">
      <c r="A1125" s="4">
        <v>43676</v>
      </c>
      <c r="B1125" s="19">
        <f t="shared" si="34"/>
        <v>2019</v>
      </c>
      <c r="C1125" s="19">
        <f t="shared" si="35"/>
        <v>7</v>
      </c>
      <c r="D1125" s="5" t="s">
        <v>1164</v>
      </c>
      <c r="E1125" s="5" t="s">
        <v>164</v>
      </c>
      <c r="F1125" s="5" t="s">
        <v>19</v>
      </c>
      <c r="G1125" s="5" t="s">
        <v>127</v>
      </c>
      <c r="H1125" s="5" t="s">
        <v>1312</v>
      </c>
      <c r="I1125" s="13">
        <v>9.2479999999999993</v>
      </c>
      <c r="J1125" s="19">
        <v>4</v>
      </c>
      <c r="K1125" s="14">
        <v>3.1212</v>
      </c>
    </row>
    <row r="1126" spans="1:11" x14ac:dyDescent="0.25">
      <c r="A1126" s="2">
        <v>43676</v>
      </c>
      <c r="B1126" s="18">
        <f t="shared" si="34"/>
        <v>2019</v>
      </c>
      <c r="C1126" s="18">
        <f t="shared" si="35"/>
        <v>7</v>
      </c>
      <c r="D1126" s="3" t="s">
        <v>1164</v>
      </c>
      <c r="E1126" s="3" t="s">
        <v>164</v>
      </c>
      <c r="F1126" s="3" t="s">
        <v>19</v>
      </c>
      <c r="G1126" s="3" t="s">
        <v>20</v>
      </c>
      <c r="H1126" s="3" t="s">
        <v>664</v>
      </c>
      <c r="I1126" s="11">
        <v>1036.624</v>
      </c>
      <c r="J1126" s="18">
        <v>2</v>
      </c>
      <c r="K1126" s="12">
        <v>51.831200000000003</v>
      </c>
    </row>
    <row r="1127" spans="1:11" x14ac:dyDescent="0.25">
      <c r="A1127" s="4">
        <v>43676</v>
      </c>
      <c r="B1127" s="19">
        <f t="shared" si="34"/>
        <v>2019</v>
      </c>
      <c r="C1127" s="19">
        <f t="shared" si="35"/>
        <v>7</v>
      </c>
      <c r="D1127" s="5" t="s">
        <v>339</v>
      </c>
      <c r="E1127" s="5" t="s">
        <v>18</v>
      </c>
      <c r="F1127" s="5" t="s">
        <v>19</v>
      </c>
      <c r="G1127" s="5" t="s">
        <v>121</v>
      </c>
      <c r="H1127" s="5" t="s">
        <v>1313</v>
      </c>
      <c r="I1127" s="13">
        <v>715.64</v>
      </c>
      <c r="J1127" s="19">
        <v>2</v>
      </c>
      <c r="K1127" s="14">
        <v>178.91</v>
      </c>
    </row>
    <row r="1128" spans="1:11" x14ac:dyDescent="0.25">
      <c r="A1128" s="2">
        <v>43677</v>
      </c>
      <c r="B1128" s="18">
        <f t="shared" si="34"/>
        <v>2019</v>
      </c>
      <c r="C1128" s="18">
        <f t="shared" si="35"/>
        <v>7</v>
      </c>
      <c r="D1128" s="3" t="s">
        <v>895</v>
      </c>
      <c r="E1128" s="3" t="s">
        <v>365</v>
      </c>
      <c r="F1128" s="3" t="s">
        <v>19</v>
      </c>
      <c r="G1128" s="3" t="s">
        <v>121</v>
      </c>
      <c r="H1128" s="3" t="s">
        <v>1314</v>
      </c>
      <c r="I1128" s="11">
        <v>283.14</v>
      </c>
      <c r="J1128" s="18">
        <v>4</v>
      </c>
      <c r="K1128" s="12">
        <v>72.358000000000004</v>
      </c>
    </row>
    <row r="1129" spans="1:11" x14ac:dyDescent="0.25">
      <c r="A1129" s="4">
        <v>43677</v>
      </c>
      <c r="B1129" s="19">
        <f t="shared" si="34"/>
        <v>2019</v>
      </c>
      <c r="C1129" s="19">
        <f t="shared" si="35"/>
        <v>7</v>
      </c>
      <c r="D1129" s="5" t="s">
        <v>895</v>
      </c>
      <c r="E1129" s="5" t="s">
        <v>365</v>
      </c>
      <c r="F1129" s="5" t="s">
        <v>14</v>
      </c>
      <c r="G1129" s="5" t="s">
        <v>15</v>
      </c>
      <c r="H1129" s="5" t="s">
        <v>1315</v>
      </c>
      <c r="I1129" s="13">
        <v>635.96</v>
      </c>
      <c r="J1129" s="19">
        <v>4</v>
      </c>
      <c r="K1129" s="14">
        <v>165.34960000000001</v>
      </c>
    </row>
    <row r="1130" spans="1:11" x14ac:dyDescent="0.25">
      <c r="A1130" s="2">
        <v>43677</v>
      </c>
      <c r="B1130" s="18">
        <f t="shared" si="34"/>
        <v>2019</v>
      </c>
      <c r="C1130" s="18">
        <f t="shared" si="35"/>
        <v>7</v>
      </c>
      <c r="D1130" s="3" t="s">
        <v>895</v>
      </c>
      <c r="E1130" s="3" t="s">
        <v>365</v>
      </c>
      <c r="F1130" s="3" t="s">
        <v>14</v>
      </c>
      <c r="G1130" s="3" t="s">
        <v>15</v>
      </c>
      <c r="H1130" s="3" t="s">
        <v>1316</v>
      </c>
      <c r="I1130" s="11">
        <v>118.99</v>
      </c>
      <c r="J1130" s="18">
        <v>1</v>
      </c>
      <c r="K1130" s="12">
        <v>33.3172</v>
      </c>
    </row>
    <row r="1131" spans="1:11" x14ac:dyDescent="0.25">
      <c r="A1131" s="4">
        <v>43677</v>
      </c>
      <c r="B1131" s="19">
        <f t="shared" si="34"/>
        <v>2019</v>
      </c>
      <c r="C1131" s="19">
        <f t="shared" si="35"/>
        <v>7</v>
      </c>
      <c r="D1131" s="5" t="s">
        <v>895</v>
      </c>
      <c r="E1131" s="5" t="s">
        <v>365</v>
      </c>
      <c r="F1131" s="5" t="s">
        <v>11</v>
      </c>
      <c r="G1131" s="5" t="s">
        <v>51</v>
      </c>
      <c r="H1131" s="5" t="s">
        <v>1317</v>
      </c>
      <c r="I1131" s="13">
        <v>272.94</v>
      </c>
      <c r="J1131" s="19">
        <v>3</v>
      </c>
      <c r="K1131" s="14">
        <v>30.023399999999999</v>
      </c>
    </row>
    <row r="1132" spans="1:11" x14ac:dyDescent="0.25">
      <c r="A1132" s="2">
        <v>43677</v>
      </c>
      <c r="B1132" s="18">
        <f t="shared" si="34"/>
        <v>2019</v>
      </c>
      <c r="C1132" s="18">
        <f t="shared" si="35"/>
        <v>7</v>
      </c>
      <c r="D1132" s="3" t="s">
        <v>874</v>
      </c>
      <c r="E1132" s="3" t="s">
        <v>18</v>
      </c>
      <c r="F1132" s="3" t="s">
        <v>11</v>
      </c>
      <c r="G1132" s="3" t="s">
        <v>30</v>
      </c>
      <c r="H1132" s="3" t="s">
        <v>1318</v>
      </c>
      <c r="I1132" s="11">
        <v>863.12800000000004</v>
      </c>
      <c r="J1132" s="18">
        <v>7</v>
      </c>
      <c r="K1132" s="12">
        <v>-32.3673</v>
      </c>
    </row>
    <row r="1133" spans="1:11" x14ac:dyDescent="0.25">
      <c r="A1133" s="4">
        <v>43678</v>
      </c>
      <c r="B1133" s="19">
        <f t="shared" si="34"/>
        <v>2019</v>
      </c>
      <c r="C1133" s="19">
        <f t="shared" si="35"/>
        <v>8</v>
      </c>
      <c r="D1133" s="5" t="s">
        <v>1319</v>
      </c>
      <c r="E1133" s="5" t="s">
        <v>23</v>
      </c>
      <c r="F1133" s="5" t="s">
        <v>19</v>
      </c>
      <c r="G1133" s="5" t="s">
        <v>53</v>
      </c>
      <c r="H1133" s="5" t="s">
        <v>172</v>
      </c>
      <c r="I1133" s="13">
        <v>19.648</v>
      </c>
      <c r="J1133" s="19">
        <v>2</v>
      </c>
      <c r="K1133" s="14">
        <v>6.6311999999999998</v>
      </c>
    </row>
    <row r="1134" spans="1:11" x14ac:dyDescent="0.25">
      <c r="A1134" s="2">
        <v>43678</v>
      </c>
      <c r="B1134" s="18">
        <f t="shared" si="34"/>
        <v>2019</v>
      </c>
      <c r="C1134" s="18">
        <f t="shared" si="35"/>
        <v>8</v>
      </c>
      <c r="D1134" s="3" t="s">
        <v>1320</v>
      </c>
      <c r="E1134" s="3" t="s">
        <v>18</v>
      </c>
      <c r="F1134" s="3" t="s">
        <v>14</v>
      </c>
      <c r="G1134" s="3" t="s">
        <v>15</v>
      </c>
      <c r="H1134" s="3" t="s">
        <v>381</v>
      </c>
      <c r="I1134" s="11">
        <v>1039.7280000000001</v>
      </c>
      <c r="J1134" s="18">
        <v>2</v>
      </c>
      <c r="K1134" s="12">
        <v>90.976200000000006</v>
      </c>
    </row>
    <row r="1135" spans="1:11" x14ac:dyDescent="0.25">
      <c r="A1135" s="4">
        <v>43678</v>
      </c>
      <c r="B1135" s="19">
        <f t="shared" si="34"/>
        <v>2019</v>
      </c>
      <c r="C1135" s="19">
        <f t="shared" si="35"/>
        <v>8</v>
      </c>
      <c r="D1135" s="5" t="s">
        <v>1320</v>
      </c>
      <c r="E1135" s="5" t="s">
        <v>18</v>
      </c>
      <c r="F1135" s="5" t="s">
        <v>19</v>
      </c>
      <c r="G1135" s="5" t="s">
        <v>121</v>
      </c>
      <c r="H1135" s="5" t="s">
        <v>1239</v>
      </c>
      <c r="I1135" s="13">
        <v>45.96</v>
      </c>
      <c r="J1135" s="19">
        <v>2</v>
      </c>
      <c r="K1135" s="14">
        <v>13.788</v>
      </c>
    </row>
    <row r="1136" spans="1:11" x14ac:dyDescent="0.25">
      <c r="A1136" s="2">
        <v>43678</v>
      </c>
      <c r="B1136" s="18">
        <f t="shared" si="34"/>
        <v>2019</v>
      </c>
      <c r="C1136" s="18">
        <f t="shared" si="35"/>
        <v>8</v>
      </c>
      <c r="D1136" s="3" t="s">
        <v>1301</v>
      </c>
      <c r="E1136" s="3" t="s">
        <v>39</v>
      </c>
      <c r="F1136" s="3" t="s">
        <v>11</v>
      </c>
      <c r="G1136" s="3" t="s">
        <v>51</v>
      </c>
      <c r="H1136" s="3" t="s">
        <v>1321</v>
      </c>
      <c r="I1136" s="11">
        <v>19.312000000000001</v>
      </c>
      <c r="J1136" s="18">
        <v>2</v>
      </c>
      <c r="K1136" s="12">
        <v>3.1381999999999999</v>
      </c>
    </row>
    <row r="1137" spans="1:11" x14ac:dyDescent="0.25">
      <c r="A1137" s="4">
        <v>43679</v>
      </c>
      <c r="B1137" s="19">
        <f t="shared" si="34"/>
        <v>2019</v>
      </c>
      <c r="C1137" s="19">
        <f t="shared" si="35"/>
        <v>8</v>
      </c>
      <c r="D1137" s="5" t="s">
        <v>1180</v>
      </c>
      <c r="E1137" s="5" t="s">
        <v>18</v>
      </c>
      <c r="F1137" s="5" t="s">
        <v>11</v>
      </c>
      <c r="G1137" s="5" t="s">
        <v>30</v>
      </c>
      <c r="H1137" s="5" t="s">
        <v>1322</v>
      </c>
      <c r="I1137" s="13">
        <v>136.464</v>
      </c>
      <c r="J1137" s="19">
        <v>2</v>
      </c>
      <c r="K1137" s="14">
        <v>15.3522</v>
      </c>
    </row>
    <row r="1138" spans="1:11" x14ac:dyDescent="0.25">
      <c r="A1138" s="2">
        <v>43679</v>
      </c>
      <c r="B1138" s="18">
        <f t="shared" si="34"/>
        <v>2019</v>
      </c>
      <c r="C1138" s="18">
        <f t="shared" si="35"/>
        <v>8</v>
      </c>
      <c r="D1138" s="3" t="s">
        <v>1180</v>
      </c>
      <c r="E1138" s="3" t="s">
        <v>18</v>
      </c>
      <c r="F1138" s="3" t="s">
        <v>14</v>
      </c>
      <c r="G1138" s="3" t="s">
        <v>15</v>
      </c>
      <c r="H1138" s="3" t="s">
        <v>893</v>
      </c>
      <c r="I1138" s="11">
        <v>333.57600000000002</v>
      </c>
      <c r="J1138" s="18">
        <v>3</v>
      </c>
      <c r="K1138" s="12">
        <v>33.357599999999998</v>
      </c>
    </row>
    <row r="1139" spans="1:11" x14ac:dyDescent="0.25">
      <c r="A1139" s="4">
        <v>43679</v>
      </c>
      <c r="B1139" s="19">
        <f t="shared" si="34"/>
        <v>2019</v>
      </c>
      <c r="C1139" s="19">
        <f t="shared" si="35"/>
        <v>8</v>
      </c>
      <c r="D1139" s="5" t="s">
        <v>1180</v>
      </c>
      <c r="E1139" s="5" t="s">
        <v>18</v>
      </c>
      <c r="F1139" s="5" t="s">
        <v>19</v>
      </c>
      <c r="G1139" s="5" t="s">
        <v>32</v>
      </c>
      <c r="H1139" s="5" t="s">
        <v>144</v>
      </c>
      <c r="I1139" s="13">
        <v>12.544</v>
      </c>
      <c r="J1139" s="19">
        <v>2</v>
      </c>
      <c r="K1139" s="14">
        <v>4.7039999999999997</v>
      </c>
    </row>
    <row r="1140" spans="1:11" x14ac:dyDescent="0.25">
      <c r="A1140" s="2">
        <v>43680</v>
      </c>
      <c r="B1140" s="18">
        <f t="shared" si="34"/>
        <v>2019</v>
      </c>
      <c r="C1140" s="18">
        <f t="shared" si="35"/>
        <v>8</v>
      </c>
      <c r="D1140" s="3" t="s">
        <v>1323</v>
      </c>
      <c r="E1140" s="3" t="s">
        <v>29</v>
      </c>
      <c r="F1140" s="3" t="s">
        <v>19</v>
      </c>
      <c r="G1140" s="3" t="s">
        <v>86</v>
      </c>
      <c r="H1140" s="3" t="s">
        <v>1324</v>
      </c>
      <c r="I1140" s="11">
        <v>81.540000000000006</v>
      </c>
      <c r="J1140" s="18">
        <v>3</v>
      </c>
      <c r="K1140" s="12">
        <v>38.323799999999999</v>
      </c>
    </row>
    <row r="1141" spans="1:11" x14ac:dyDescent="0.25">
      <c r="A1141" s="4">
        <v>43680</v>
      </c>
      <c r="B1141" s="19">
        <f t="shared" si="34"/>
        <v>2019</v>
      </c>
      <c r="C1141" s="19">
        <f t="shared" si="35"/>
        <v>8</v>
      </c>
      <c r="D1141" s="5" t="s">
        <v>1323</v>
      </c>
      <c r="E1141" s="5" t="s">
        <v>29</v>
      </c>
      <c r="F1141" s="5" t="s">
        <v>14</v>
      </c>
      <c r="G1141" s="5" t="s">
        <v>24</v>
      </c>
      <c r="H1141" s="5" t="s">
        <v>1325</v>
      </c>
      <c r="I1141" s="13">
        <v>167.28</v>
      </c>
      <c r="J1141" s="19">
        <v>12</v>
      </c>
      <c r="K1141" s="14">
        <v>23.4192</v>
      </c>
    </row>
    <row r="1142" spans="1:11" x14ac:dyDescent="0.25">
      <c r="A1142" s="2">
        <v>43681</v>
      </c>
      <c r="B1142" s="18">
        <f t="shared" si="34"/>
        <v>2019</v>
      </c>
      <c r="C1142" s="18">
        <f t="shared" si="35"/>
        <v>8</v>
      </c>
      <c r="D1142" s="3" t="s">
        <v>1326</v>
      </c>
      <c r="E1142" s="3" t="s">
        <v>181</v>
      </c>
      <c r="F1142" s="3" t="s">
        <v>19</v>
      </c>
      <c r="G1142" s="3" t="s">
        <v>265</v>
      </c>
      <c r="H1142" s="3" t="s">
        <v>1327</v>
      </c>
      <c r="I1142" s="11">
        <v>35.06</v>
      </c>
      <c r="J1142" s="18">
        <v>2</v>
      </c>
      <c r="K1142" s="12">
        <v>10.518000000000001</v>
      </c>
    </row>
    <row r="1143" spans="1:11" x14ac:dyDescent="0.25">
      <c r="A1143" s="4">
        <v>43681</v>
      </c>
      <c r="B1143" s="19">
        <f t="shared" si="34"/>
        <v>2019</v>
      </c>
      <c r="C1143" s="19">
        <f t="shared" si="35"/>
        <v>8</v>
      </c>
      <c r="D1143" s="5" t="s">
        <v>1326</v>
      </c>
      <c r="E1143" s="5" t="s">
        <v>181</v>
      </c>
      <c r="F1143" s="5" t="s">
        <v>19</v>
      </c>
      <c r="G1143" s="5" t="s">
        <v>127</v>
      </c>
      <c r="H1143" s="5" t="s">
        <v>129</v>
      </c>
      <c r="I1143" s="13">
        <v>4.13</v>
      </c>
      <c r="J1143" s="19">
        <v>1</v>
      </c>
      <c r="K1143" s="14">
        <v>1.8997999999999999</v>
      </c>
    </row>
    <row r="1144" spans="1:11" x14ac:dyDescent="0.25">
      <c r="A1144" s="2">
        <v>43681</v>
      </c>
      <c r="B1144" s="18">
        <f t="shared" si="34"/>
        <v>2019</v>
      </c>
      <c r="C1144" s="18">
        <f t="shared" si="35"/>
        <v>8</v>
      </c>
      <c r="D1144" s="3" t="s">
        <v>1326</v>
      </c>
      <c r="E1144" s="3" t="s">
        <v>181</v>
      </c>
      <c r="F1144" s="3" t="s">
        <v>11</v>
      </c>
      <c r="G1144" s="3" t="s">
        <v>51</v>
      </c>
      <c r="H1144" s="3" t="s">
        <v>1328</v>
      </c>
      <c r="I1144" s="11">
        <v>109.8</v>
      </c>
      <c r="J1144" s="18">
        <v>9</v>
      </c>
      <c r="K1144" s="12">
        <v>46.116</v>
      </c>
    </row>
    <row r="1145" spans="1:11" x14ac:dyDescent="0.25">
      <c r="A1145" s="4">
        <v>43681</v>
      </c>
      <c r="B1145" s="19">
        <f t="shared" si="34"/>
        <v>2019</v>
      </c>
      <c r="C1145" s="19">
        <f t="shared" si="35"/>
        <v>8</v>
      </c>
      <c r="D1145" s="5" t="s">
        <v>1326</v>
      </c>
      <c r="E1145" s="5" t="s">
        <v>181</v>
      </c>
      <c r="F1145" s="5" t="s">
        <v>19</v>
      </c>
      <c r="G1145" s="5" t="s">
        <v>127</v>
      </c>
      <c r="H1145" s="5" t="s">
        <v>1329</v>
      </c>
      <c r="I1145" s="13">
        <v>9.82</v>
      </c>
      <c r="J1145" s="19">
        <v>2</v>
      </c>
      <c r="K1145" s="14">
        <v>4.8117999999999999</v>
      </c>
    </row>
    <row r="1146" spans="1:11" x14ac:dyDescent="0.25">
      <c r="A1146" s="2">
        <v>43681</v>
      </c>
      <c r="B1146" s="18">
        <f t="shared" si="34"/>
        <v>2019</v>
      </c>
      <c r="C1146" s="18">
        <f t="shared" si="35"/>
        <v>8</v>
      </c>
      <c r="D1146" s="3" t="s">
        <v>1330</v>
      </c>
      <c r="E1146" s="3" t="s">
        <v>164</v>
      </c>
      <c r="F1146" s="3" t="s">
        <v>19</v>
      </c>
      <c r="G1146" s="3" t="s">
        <v>32</v>
      </c>
      <c r="H1146" s="3" t="s">
        <v>1078</v>
      </c>
      <c r="I1146" s="11">
        <v>3.98</v>
      </c>
      <c r="J1146" s="18">
        <v>5</v>
      </c>
      <c r="K1146" s="12">
        <v>-6.5670000000000002</v>
      </c>
    </row>
    <row r="1147" spans="1:11" x14ac:dyDescent="0.25">
      <c r="A1147" s="4">
        <v>43681</v>
      </c>
      <c r="B1147" s="19">
        <f t="shared" si="34"/>
        <v>2019</v>
      </c>
      <c r="C1147" s="19">
        <f t="shared" si="35"/>
        <v>8</v>
      </c>
      <c r="D1147" s="5" t="s">
        <v>880</v>
      </c>
      <c r="E1147" s="5" t="s">
        <v>18</v>
      </c>
      <c r="F1147" s="5" t="s">
        <v>14</v>
      </c>
      <c r="G1147" s="5" t="s">
        <v>15</v>
      </c>
      <c r="H1147" s="5" t="s">
        <v>1331</v>
      </c>
      <c r="I1147" s="13">
        <v>302.38400000000001</v>
      </c>
      <c r="J1147" s="19">
        <v>2</v>
      </c>
      <c r="K1147" s="14">
        <v>30.238399999999999</v>
      </c>
    </row>
    <row r="1148" spans="1:11" x14ac:dyDescent="0.25">
      <c r="A1148" s="2">
        <v>43681</v>
      </c>
      <c r="B1148" s="18">
        <f t="shared" si="34"/>
        <v>2019</v>
      </c>
      <c r="C1148" s="18">
        <f t="shared" si="35"/>
        <v>8</v>
      </c>
      <c r="D1148" s="3" t="s">
        <v>880</v>
      </c>
      <c r="E1148" s="3" t="s">
        <v>18</v>
      </c>
      <c r="F1148" s="3" t="s">
        <v>19</v>
      </c>
      <c r="G1148" s="3" t="s">
        <v>32</v>
      </c>
      <c r="H1148" s="3" t="s">
        <v>388</v>
      </c>
      <c r="I1148" s="11">
        <v>20.952000000000002</v>
      </c>
      <c r="J1148" s="18">
        <v>3</v>
      </c>
      <c r="K1148" s="12">
        <v>7.0712999999999999</v>
      </c>
    </row>
    <row r="1149" spans="1:11" x14ac:dyDescent="0.25">
      <c r="A1149" s="4">
        <v>43681</v>
      </c>
      <c r="B1149" s="19">
        <f t="shared" si="34"/>
        <v>2019</v>
      </c>
      <c r="C1149" s="19">
        <f t="shared" si="35"/>
        <v>8</v>
      </c>
      <c r="D1149" s="5" t="s">
        <v>880</v>
      </c>
      <c r="E1149" s="5" t="s">
        <v>18</v>
      </c>
      <c r="F1149" s="5" t="s">
        <v>19</v>
      </c>
      <c r="G1149" s="5" t="s">
        <v>32</v>
      </c>
      <c r="H1149" s="5" t="s">
        <v>885</v>
      </c>
      <c r="I1149" s="13">
        <v>11.784000000000001</v>
      </c>
      <c r="J1149" s="19">
        <v>3</v>
      </c>
      <c r="K1149" s="14">
        <v>3.9771000000000001</v>
      </c>
    </row>
    <row r="1150" spans="1:11" x14ac:dyDescent="0.25">
      <c r="A1150" s="2">
        <v>43682</v>
      </c>
      <c r="B1150" s="18">
        <f t="shared" si="34"/>
        <v>2019</v>
      </c>
      <c r="C1150" s="18">
        <f t="shared" si="35"/>
        <v>8</v>
      </c>
      <c r="D1150" s="3" t="s">
        <v>66</v>
      </c>
      <c r="E1150" s="3" t="s">
        <v>898</v>
      </c>
      <c r="F1150" s="3" t="s">
        <v>19</v>
      </c>
      <c r="G1150" s="3" t="s">
        <v>40</v>
      </c>
      <c r="H1150" s="3" t="s">
        <v>1332</v>
      </c>
      <c r="I1150" s="11">
        <v>197.05</v>
      </c>
      <c r="J1150" s="18">
        <v>7</v>
      </c>
      <c r="K1150" s="12">
        <v>59.115000000000002</v>
      </c>
    </row>
    <row r="1151" spans="1:11" x14ac:dyDescent="0.25">
      <c r="A1151" s="4">
        <v>43683</v>
      </c>
      <c r="B1151" s="19">
        <f t="shared" si="34"/>
        <v>2019</v>
      </c>
      <c r="C1151" s="19">
        <f t="shared" si="35"/>
        <v>8</v>
      </c>
      <c r="D1151" s="5" t="s">
        <v>874</v>
      </c>
      <c r="E1151" s="5" t="s">
        <v>94</v>
      </c>
      <c r="F1151" s="5" t="s">
        <v>19</v>
      </c>
      <c r="G1151" s="5" t="s">
        <v>53</v>
      </c>
      <c r="H1151" s="5" t="s">
        <v>172</v>
      </c>
      <c r="I1151" s="13">
        <v>70.88</v>
      </c>
      <c r="J1151" s="19">
        <v>2</v>
      </c>
      <c r="K1151" s="14">
        <v>33.313600000000001</v>
      </c>
    </row>
    <row r="1152" spans="1:11" x14ac:dyDescent="0.25">
      <c r="A1152" s="2">
        <v>43683</v>
      </c>
      <c r="B1152" s="18">
        <f t="shared" si="34"/>
        <v>2019</v>
      </c>
      <c r="C1152" s="18">
        <f t="shared" si="35"/>
        <v>8</v>
      </c>
      <c r="D1152" s="3" t="s">
        <v>1333</v>
      </c>
      <c r="E1152" s="3" t="s">
        <v>18</v>
      </c>
      <c r="F1152" s="3" t="s">
        <v>14</v>
      </c>
      <c r="G1152" s="3" t="s">
        <v>15</v>
      </c>
      <c r="H1152" s="3" t="s">
        <v>1334</v>
      </c>
      <c r="I1152" s="11">
        <v>211.16800000000001</v>
      </c>
      <c r="J1152" s="18">
        <v>4</v>
      </c>
      <c r="K1152" s="12">
        <v>18.4772</v>
      </c>
    </row>
    <row r="1153" spans="1:11" x14ac:dyDescent="0.25">
      <c r="A1153" s="4">
        <v>43683</v>
      </c>
      <c r="B1153" s="19">
        <f t="shared" si="34"/>
        <v>2019</v>
      </c>
      <c r="C1153" s="19">
        <f t="shared" si="35"/>
        <v>8</v>
      </c>
      <c r="D1153" s="5" t="s">
        <v>1335</v>
      </c>
      <c r="E1153" s="5" t="s">
        <v>94</v>
      </c>
      <c r="F1153" s="5" t="s">
        <v>19</v>
      </c>
      <c r="G1153" s="5" t="s">
        <v>40</v>
      </c>
      <c r="H1153" s="5" t="s">
        <v>572</v>
      </c>
      <c r="I1153" s="13">
        <v>38.340000000000003</v>
      </c>
      <c r="J1153" s="19">
        <v>9</v>
      </c>
      <c r="K1153" s="14">
        <v>15.7194</v>
      </c>
    </row>
    <row r="1154" spans="1:11" x14ac:dyDescent="0.25">
      <c r="A1154" s="2">
        <v>43684</v>
      </c>
      <c r="B1154" s="18">
        <f t="shared" ref="B1154:B1217" si="36">YEAR(A1154)</f>
        <v>2019</v>
      </c>
      <c r="C1154" s="18">
        <f t="shared" ref="C1154:C1217" si="37">MONTH(A1154)</f>
        <v>8</v>
      </c>
      <c r="D1154" s="3" t="s">
        <v>1336</v>
      </c>
      <c r="E1154" s="3" t="s">
        <v>70</v>
      </c>
      <c r="F1154" s="3" t="s">
        <v>14</v>
      </c>
      <c r="G1154" s="3" t="s">
        <v>24</v>
      </c>
      <c r="H1154" s="3" t="s">
        <v>1337</v>
      </c>
      <c r="I1154" s="11">
        <v>179.97</v>
      </c>
      <c r="J1154" s="18">
        <v>3</v>
      </c>
      <c r="K1154" s="12">
        <v>86.385599999999997</v>
      </c>
    </row>
    <row r="1155" spans="1:11" x14ac:dyDescent="0.25">
      <c r="A1155" s="4">
        <v>43685</v>
      </c>
      <c r="B1155" s="19">
        <f t="shared" si="36"/>
        <v>2019</v>
      </c>
      <c r="C1155" s="19">
        <f t="shared" si="37"/>
        <v>8</v>
      </c>
      <c r="D1155" s="5" t="s">
        <v>259</v>
      </c>
      <c r="E1155" s="5" t="s">
        <v>23</v>
      </c>
      <c r="F1155" s="5" t="s">
        <v>19</v>
      </c>
      <c r="G1155" s="5" t="s">
        <v>116</v>
      </c>
      <c r="H1155" s="5" t="s">
        <v>1338</v>
      </c>
      <c r="I1155" s="13">
        <v>11.167999999999999</v>
      </c>
      <c r="J1155" s="19">
        <v>4</v>
      </c>
      <c r="K1155" s="14">
        <v>3.6295999999999999</v>
      </c>
    </row>
    <row r="1156" spans="1:11" x14ac:dyDescent="0.25">
      <c r="A1156" s="2">
        <v>43685</v>
      </c>
      <c r="B1156" s="18">
        <f t="shared" si="36"/>
        <v>2019</v>
      </c>
      <c r="C1156" s="18">
        <f t="shared" si="37"/>
        <v>8</v>
      </c>
      <c r="D1156" s="3" t="s">
        <v>259</v>
      </c>
      <c r="E1156" s="3" t="s">
        <v>23</v>
      </c>
      <c r="F1156" s="3" t="s">
        <v>19</v>
      </c>
      <c r="G1156" s="3" t="s">
        <v>53</v>
      </c>
      <c r="H1156" s="3" t="s">
        <v>488</v>
      </c>
      <c r="I1156" s="11">
        <v>53.951999999999998</v>
      </c>
      <c r="J1156" s="18">
        <v>3</v>
      </c>
      <c r="K1156" s="12">
        <v>17.534400000000002</v>
      </c>
    </row>
    <row r="1157" spans="1:11" x14ac:dyDescent="0.25">
      <c r="A1157" s="4">
        <v>43685</v>
      </c>
      <c r="B1157" s="19">
        <f t="shared" si="36"/>
        <v>2019</v>
      </c>
      <c r="C1157" s="19">
        <f t="shared" si="37"/>
        <v>8</v>
      </c>
      <c r="D1157" s="5" t="s">
        <v>1339</v>
      </c>
      <c r="E1157" s="5" t="s">
        <v>143</v>
      </c>
      <c r="F1157" s="5" t="s">
        <v>19</v>
      </c>
      <c r="G1157" s="5" t="s">
        <v>116</v>
      </c>
      <c r="H1157" s="5" t="s">
        <v>1340</v>
      </c>
      <c r="I1157" s="13">
        <v>23.34</v>
      </c>
      <c r="J1157" s="19">
        <v>3</v>
      </c>
      <c r="K1157" s="14">
        <v>0.2334</v>
      </c>
    </row>
    <row r="1158" spans="1:11" x14ac:dyDescent="0.25">
      <c r="A1158" s="2">
        <v>43685</v>
      </c>
      <c r="B1158" s="18">
        <f t="shared" si="36"/>
        <v>2019</v>
      </c>
      <c r="C1158" s="18">
        <f t="shared" si="37"/>
        <v>8</v>
      </c>
      <c r="D1158" s="3" t="s">
        <v>716</v>
      </c>
      <c r="E1158" s="3" t="s">
        <v>18</v>
      </c>
      <c r="F1158" s="3" t="s">
        <v>11</v>
      </c>
      <c r="G1158" s="3" t="s">
        <v>30</v>
      </c>
      <c r="H1158" s="3" t="s">
        <v>1341</v>
      </c>
      <c r="I1158" s="11">
        <v>513.024</v>
      </c>
      <c r="J1158" s="18">
        <v>2</v>
      </c>
      <c r="K1158" s="12">
        <v>12.8256</v>
      </c>
    </row>
    <row r="1159" spans="1:11" x14ac:dyDescent="0.25">
      <c r="A1159" s="4">
        <v>43685</v>
      </c>
      <c r="B1159" s="19">
        <f t="shared" si="36"/>
        <v>2019</v>
      </c>
      <c r="C1159" s="19">
        <f t="shared" si="37"/>
        <v>8</v>
      </c>
      <c r="D1159" s="5" t="s">
        <v>716</v>
      </c>
      <c r="E1159" s="5" t="s">
        <v>18</v>
      </c>
      <c r="F1159" s="5" t="s">
        <v>19</v>
      </c>
      <c r="G1159" s="5" t="s">
        <v>121</v>
      </c>
      <c r="H1159" s="5" t="s">
        <v>685</v>
      </c>
      <c r="I1159" s="13">
        <v>487.92</v>
      </c>
      <c r="J1159" s="19">
        <v>6</v>
      </c>
      <c r="K1159" s="14">
        <v>136.61760000000001</v>
      </c>
    </row>
    <row r="1160" spans="1:11" x14ac:dyDescent="0.25">
      <c r="A1160" s="2">
        <v>43685</v>
      </c>
      <c r="B1160" s="18">
        <f t="shared" si="36"/>
        <v>2019</v>
      </c>
      <c r="C1160" s="18">
        <f t="shared" si="37"/>
        <v>8</v>
      </c>
      <c r="D1160" s="3" t="s">
        <v>716</v>
      </c>
      <c r="E1160" s="3" t="s">
        <v>18</v>
      </c>
      <c r="F1160" s="3" t="s">
        <v>19</v>
      </c>
      <c r="G1160" s="3" t="s">
        <v>32</v>
      </c>
      <c r="H1160" s="3" t="s">
        <v>1206</v>
      </c>
      <c r="I1160" s="11">
        <v>15.24</v>
      </c>
      <c r="J1160" s="18">
        <v>5</v>
      </c>
      <c r="K1160" s="12">
        <v>5.3339999999999996</v>
      </c>
    </row>
    <row r="1161" spans="1:11" x14ac:dyDescent="0.25">
      <c r="A1161" s="4">
        <v>43685</v>
      </c>
      <c r="B1161" s="19">
        <f t="shared" si="36"/>
        <v>2019</v>
      </c>
      <c r="C1161" s="19">
        <f t="shared" si="37"/>
        <v>8</v>
      </c>
      <c r="D1161" s="5" t="s">
        <v>1342</v>
      </c>
      <c r="E1161" s="5" t="s">
        <v>29</v>
      </c>
      <c r="F1161" s="5" t="s">
        <v>19</v>
      </c>
      <c r="G1161" s="5" t="s">
        <v>53</v>
      </c>
      <c r="H1161" s="5" t="s">
        <v>1343</v>
      </c>
      <c r="I1161" s="13">
        <v>10.56</v>
      </c>
      <c r="J1161" s="19">
        <v>2</v>
      </c>
      <c r="K1161" s="14">
        <v>4.7519999999999998</v>
      </c>
    </row>
    <row r="1162" spans="1:11" x14ac:dyDescent="0.25">
      <c r="A1162" s="2">
        <v>43686</v>
      </c>
      <c r="B1162" s="18">
        <f t="shared" si="36"/>
        <v>2019</v>
      </c>
      <c r="C1162" s="18">
        <f t="shared" si="37"/>
        <v>8</v>
      </c>
      <c r="D1162" s="3" t="s">
        <v>1344</v>
      </c>
      <c r="E1162" s="3" t="s">
        <v>35</v>
      </c>
      <c r="F1162" s="3" t="s">
        <v>19</v>
      </c>
      <c r="G1162" s="3" t="s">
        <v>53</v>
      </c>
      <c r="H1162" s="3" t="s">
        <v>1345</v>
      </c>
      <c r="I1162" s="11">
        <v>30.815999999999999</v>
      </c>
      <c r="J1162" s="18">
        <v>9</v>
      </c>
      <c r="K1162" s="12">
        <v>9.6300000000000008</v>
      </c>
    </row>
    <row r="1163" spans="1:11" x14ac:dyDescent="0.25">
      <c r="A1163" s="4">
        <v>43686</v>
      </c>
      <c r="B1163" s="19">
        <f t="shared" si="36"/>
        <v>2019</v>
      </c>
      <c r="C1163" s="19">
        <f t="shared" si="37"/>
        <v>8</v>
      </c>
      <c r="D1163" s="5" t="s">
        <v>1344</v>
      </c>
      <c r="E1163" s="5" t="s">
        <v>35</v>
      </c>
      <c r="F1163" s="5" t="s">
        <v>14</v>
      </c>
      <c r="G1163" s="5" t="s">
        <v>15</v>
      </c>
      <c r="H1163" s="5" t="s">
        <v>1346</v>
      </c>
      <c r="I1163" s="13">
        <v>44.783999999999999</v>
      </c>
      <c r="J1163" s="19">
        <v>2</v>
      </c>
      <c r="K1163" s="14">
        <v>4.4783999999999997</v>
      </c>
    </row>
    <row r="1164" spans="1:11" x14ac:dyDescent="0.25">
      <c r="A1164" s="2">
        <v>43686</v>
      </c>
      <c r="B1164" s="18">
        <f t="shared" si="36"/>
        <v>2019</v>
      </c>
      <c r="C1164" s="18">
        <f t="shared" si="37"/>
        <v>8</v>
      </c>
      <c r="D1164" s="3" t="s">
        <v>1344</v>
      </c>
      <c r="E1164" s="3" t="s">
        <v>35</v>
      </c>
      <c r="F1164" s="3" t="s">
        <v>19</v>
      </c>
      <c r="G1164" s="3" t="s">
        <v>121</v>
      </c>
      <c r="H1164" s="3" t="s">
        <v>1347</v>
      </c>
      <c r="I1164" s="11">
        <v>569.53599999999994</v>
      </c>
      <c r="J1164" s="18">
        <v>4</v>
      </c>
      <c r="K1164" s="12">
        <v>64.072800000000001</v>
      </c>
    </row>
    <row r="1165" spans="1:11" x14ac:dyDescent="0.25">
      <c r="A1165" s="4">
        <v>43686</v>
      </c>
      <c r="B1165" s="19">
        <f t="shared" si="36"/>
        <v>2019</v>
      </c>
      <c r="C1165" s="19">
        <f t="shared" si="37"/>
        <v>8</v>
      </c>
      <c r="D1165" s="5" t="s">
        <v>1348</v>
      </c>
      <c r="E1165" s="5" t="s">
        <v>219</v>
      </c>
      <c r="F1165" s="5" t="s">
        <v>19</v>
      </c>
      <c r="G1165" s="5" t="s">
        <v>32</v>
      </c>
      <c r="H1165" s="5" t="s">
        <v>735</v>
      </c>
      <c r="I1165" s="13">
        <v>4.3380000000000001</v>
      </c>
      <c r="J1165" s="19">
        <v>3</v>
      </c>
      <c r="K1165" s="14">
        <v>-3.0366</v>
      </c>
    </row>
    <row r="1166" spans="1:11" x14ac:dyDescent="0.25">
      <c r="A1166" s="2">
        <v>43686</v>
      </c>
      <c r="B1166" s="18">
        <f t="shared" si="36"/>
        <v>2019</v>
      </c>
      <c r="C1166" s="18">
        <f t="shared" si="37"/>
        <v>8</v>
      </c>
      <c r="D1166" s="3" t="s">
        <v>1348</v>
      </c>
      <c r="E1166" s="3" t="s">
        <v>219</v>
      </c>
      <c r="F1166" s="3" t="s">
        <v>19</v>
      </c>
      <c r="G1166" s="3" t="s">
        <v>32</v>
      </c>
      <c r="H1166" s="3" t="s">
        <v>476</v>
      </c>
      <c r="I1166" s="11">
        <v>11.88</v>
      </c>
      <c r="J1166" s="18">
        <v>5</v>
      </c>
      <c r="K1166" s="12">
        <v>-7.92</v>
      </c>
    </row>
    <row r="1167" spans="1:11" x14ac:dyDescent="0.25">
      <c r="A1167" s="4">
        <v>43688</v>
      </c>
      <c r="B1167" s="19">
        <f t="shared" si="36"/>
        <v>2019</v>
      </c>
      <c r="C1167" s="19">
        <f t="shared" si="37"/>
        <v>8</v>
      </c>
      <c r="D1167" s="5" t="s">
        <v>1349</v>
      </c>
      <c r="E1167" s="5" t="s">
        <v>29</v>
      </c>
      <c r="F1167" s="5" t="s">
        <v>19</v>
      </c>
      <c r="G1167" s="5" t="s">
        <v>53</v>
      </c>
      <c r="H1167" s="5" t="s">
        <v>1090</v>
      </c>
      <c r="I1167" s="13">
        <v>32.4</v>
      </c>
      <c r="J1167" s="19">
        <v>5</v>
      </c>
      <c r="K1167" s="14">
        <v>15.552</v>
      </c>
    </row>
    <row r="1168" spans="1:11" x14ac:dyDescent="0.25">
      <c r="A1168" s="2">
        <v>43688</v>
      </c>
      <c r="B1168" s="18">
        <f t="shared" si="36"/>
        <v>2019</v>
      </c>
      <c r="C1168" s="18">
        <f t="shared" si="37"/>
        <v>8</v>
      </c>
      <c r="D1168" s="3" t="s">
        <v>1349</v>
      </c>
      <c r="E1168" s="3" t="s">
        <v>29</v>
      </c>
      <c r="F1168" s="3" t="s">
        <v>19</v>
      </c>
      <c r="G1168" s="3" t="s">
        <v>32</v>
      </c>
      <c r="H1168" s="3" t="s">
        <v>536</v>
      </c>
      <c r="I1168" s="11">
        <v>41.86</v>
      </c>
      <c r="J1168" s="18">
        <v>7</v>
      </c>
      <c r="K1168" s="12">
        <v>19.255600000000001</v>
      </c>
    </row>
    <row r="1169" spans="1:11" x14ac:dyDescent="0.25">
      <c r="A1169" s="4">
        <v>43688</v>
      </c>
      <c r="B1169" s="19">
        <f t="shared" si="36"/>
        <v>2019</v>
      </c>
      <c r="C1169" s="19">
        <f t="shared" si="37"/>
        <v>8</v>
      </c>
      <c r="D1169" s="5" t="s">
        <v>1349</v>
      </c>
      <c r="E1169" s="5" t="s">
        <v>29</v>
      </c>
      <c r="F1169" s="5" t="s">
        <v>19</v>
      </c>
      <c r="G1169" s="5" t="s">
        <v>32</v>
      </c>
      <c r="H1169" s="5" t="s">
        <v>1098</v>
      </c>
      <c r="I1169" s="13">
        <v>77.56</v>
      </c>
      <c r="J1169" s="19">
        <v>2</v>
      </c>
      <c r="K1169" s="14">
        <v>35.677599999999998</v>
      </c>
    </row>
    <row r="1170" spans="1:11" x14ac:dyDescent="0.25">
      <c r="A1170" s="2">
        <v>43689</v>
      </c>
      <c r="B1170" s="18">
        <f t="shared" si="36"/>
        <v>2019</v>
      </c>
      <c r="C1170" s="18">
        <f t="shared" si="37"/>
        <v>8</v>
      </c>
      <c r="D1170" s="3" t="s">
        <v>298</v>
      </c>
      <c r="E1170" s="3" t="s">
        <v>1350</v>
      </c>
      <c r="F1170" s="3" t="s">
        <v>19</v>
      </c>
      <c r="G1170" s="3" t="s">
        <v>53</v>
      </c>
      <c r="H1170" s="3" t="s">
        <v>903</v>
      </c>
      <c r="I1170" s="11">
        <v>6.48</v>
      </c>
      <c r="J1170" s="18">
        <v>1</v>
      </c>
      <c r="K1170" s="12">
        <v>3.1103999999999998</v>
      </c>
    </row>
    <row r="1171" spans="1:11" x14ac:dyDescent="0.25">
      <c r="A1171" s="4">
        <v>43689</v>
      </c>
      <c r="B1171" s="19">
        <f t="shared" si="36"/>
        <v>2019</v>
      </c>
      <c r="C1171" s="19">
        <f t="shared" si="37"/>
        <v>8</v>
      </c>
      <c r="D1171" s="5" t="s">
        <v>742</v>
      </c>
      <c r="E1171" s="5" t="s">
        <v>23</v>
      </c>
      <c r="F1171" s="5" t="s">
        <v>14</v>
      </c>
      <c r="G1171" s="5" t="s">
        <v>24</v>
      </c>
      <c r="H1171" s="5" t="s">
        <v>1351</v>
      </c>
      <c r="I1171" s="13">
        <v>1399.944</v>
      </c>
      <c r="J1171" s="19">
        <v>7</v>
      </c>
      <c r="K1171" s="14">
        <v>52.497900000000001</v>
      </c>
    </row>
    <row r="1172" spans="1:11" x14ac:dyDescent="0.25">
      <c r="A1172" s="2">
        <v>43689</v>
      </c>
      <c r="B1172" s="18">
        <f t="shared" si="36"/>
        <v>2019</v>
      </c>
      <c r="C1172" s="18">
        <f t="shared" si="37"/>
        <v>8</v>
      </c>
      <c r="D1172" s="3" t="s">
        <v>551</v>
      </c>
      <c r="E1172" s="3" t="s">
        <v>94</v>
      </c>
      <c r="F1172" s="3" t="s">
        <v>11</v>
      </c>
      <c r="G1172" s="3" t="s">
        <v>112</v>
      </c>
      <c r="H1172" s="3" t="s">
        <v>615</v>
      </c>
      <c r="I1172" s="11">
        <v>145.76400000000001</v>
      </c>
      <c r="J1172" s="18">
        <v>2</v>
      </c>
      <c r="K1172" s="12">
        <v>-8.0980000000000008</v>
      </c>
    </row>
    <row r="1173" spans="1:11" x14ac:dyDescent="0.25">
      <c r="A1173" s="4">
        <v>43689</v>
      </c>
      <c r="B1173" s="19">
        <f t="shared" si="36"/>
        <v>2019</v>
      </c>
      <c r="C1173" s="19">
        <f t="shared" si="37"/>
        <v>8</v>
      </c>
      <c r="D1173" s="5" t="s">
        <v>666</v>
      </c>
      <c r="E1173" s="5" t="s">
        <v>44</v>
      </c>
      <c r="F1173" s="5" t="s">
        <v>11</v>
      </c>
      <c r="G1173" s="5" t="s">
        <v>30</v>
      </c>
      <c r="H1173" s="5" t="s">
        <v>1352</v>
      </c>
      <c r="I1173" s="13">
        <v>562.29250000000002</v>
      </c>
      <c r="J1173" s="19">
        <v>7</v>
      </c>
      <c r="K1173" s="14">
        <v>-255.58750000000001</v>
      </c>
    </row>
    <row r="1174" spans="1:11" x14ac:dyDescent="0.25">
      <c r="A1174" s="2">
        <v>43689</v>
      </c>
      <c r="B1174" s="18">
        <f t="shared" si="36"/>
        <v>2019</v>
      </c>
      <c r="C1174" s="18">
        <f t="shared" si="37"/>
        <v>8</v>
      </c>
      <c r="D1174" s="3" t="s">
        <v>1353</v>
      </c>
      <c r="E1174" s="3" t="s">
        <v>94</v>
      </c>
      <c r="F1174" s="3" t="s">
        <v>11</v>
      </c>
      <c r="G1174" s="3" t="s">
        <v>30</v>
      </c>
      <c r="H1174" s="3" t="s">
        <v>150</v>
      </c>
      <c r="I1174" s="11">
        <v>209.148</v>
      </c>
      <c r="J1174" s="18">
        <v>2</v>
      </c>
      <c r="K1174" s="12">
        <v>-66.230199999999996</v>
      </c>
    </row>
    <row r="1175" spans="1:11" x14ac:dyDescent="0.25">
      <c r="A1175" s="4">
        <v>43689</v>
      </c>
      <c r="B1175" s="19">
        <f t="shared" si="36"/>
        <v>2019</v>
      </c>
      <c r="C1175" s="19">
        <f t="shared" si="37"/>
        <v>8</v>
      </c>
      <c r="D1175" s="5" t="s">
        <v>1353</v>
      </c>
      <c r="E1175" s="5" t="s">
        <v>94</v>
      </c>
      <c r="F1175" s="5" t="s">
        <v>19</v>
      </c>
      <c r="G1175" s="5" t="s">
        <v>20</v>
      </c>
      <c r="H1175" s="5" t="s">
        <v>1232</v>
      </c>
      <c r="I1175" s="13">
        <v>1591.02</v>
      </c>
      <c r="J1175" s="19">
        <v>6</v>
      </c>
      <c r="K1175" s="14">
        <v>286.3836</v>
      </c>
    </row>
    <row r="1176" spans="1:11" x14ac:dyDescent="0.25">
      <c r="A1176" s="2">
        <v>43689</v>
      </c>
      <c r="B1176" s="18">
        <f t="shared" si="36"/>
        <v>2019</v>
      </c>
      <c r="C1176" s="18">
        <f t="shared" si="37"/>
        <v>8</v>
      </c>
      <c r="D1176" s="3" t="s">
        <v>1354</v>
      </c>
      <c r="E1176" s="3" t="s">
        <v>39</v>
      </c>
      <c r="F1176" s="3" t="s">
        <v>19</v>
      </c>
      <c r="G1176" s="3" t="s">
        <v>40</v>
      </c>
      <c r="H1176" s="3" t="s">
        <v>1258</v>
      </c>
      <c r="I1176" s="11">
        <v>37.311999999999998</v>
      </c>
      <c r="J1176" s="18">
        <v>4</v>
      </c>
      <c r="K1176" s="12">
        <v>2.7984</v>
      </c>
    </row>
    <row r="1177" spans="1:11" x14ac:dyDescent="0.25">
      <c r="A1177" s="4">
        <v>43690</v>
      </c>
      <c r="B1177" s="19">
        <f t="shared" si="36"/>
        <v>2019</v>
      </c>
      <c r="C1177" s="19">
        <f t="shared" si="37"/>
        <v>8</v>
      </c>
      <c r="D1177" s="5" t="s">
        <v>1355</v>
      </c>
      <c r="E1177" s="5" t="s">
        <v>35</v>
      </c>
      <c r="F1177" s="5" t="s">
        <v>19</v>
      </c>
      <c r="G1177" s="5" t="s">
        <v>32</v>
      </c>
      <c r="H1177" s="5" t="s">
        <v>976</v>
      </c>
      <c r="I1177" s="13">
        <v>11.231999999999999</v>
      </c>
      <c r="J1177" s="19">
        <v>8</v>
      </c>
      <c r="K1177" s="14">
        <v>-8.2368000000000006</v>
      </c>
    </row>
    <row r="1178" spans="1:11" x14ac:dyDescent="0.25">
      <c r="A1178" s="2">
        <v>43690</v>
      </c>
      <c r="B1178" s="18">
        <f t="shared" si="36"/>
        <v>2019</v>
      </c>
      <c r="C1178" s="18">
        <f t="shared" si="37"/>
        <v>8</v>
      </c>
      <c r="D1178" s="3" t="s">
        <v>1355</v>
      </c>
      <c r="E1178" s="3" t="s">
        <v>35</v>
      </c>
      <c r="F1178" s="3" t="s">
        <v>19</v>
      </c>
      <c r="G1178" s="3" t="s">
        <v>53</v>
      </c>
      <c r="H1178" s="3" t="s">
        <v>172</v>
      </c>
      <c r="I1178" s="11">
        <v>10.272</v>
      </c>
      <c r="J1178" s="18">
        <v>3</v>
      </c>
      <c r="K1178" s="12">
        <v>3.21</v>
      </c>
    </row>
    <row r="1179" spans="1:11" x14ac:dyDescent="0.25">
      <c r="A1179" s="4">
        <v>43690</v>
      </c>
      <c r="B1179" s="19">
        <f t="shared" si="36"/>
        <v>2019</v>
      </c>
      <c r="C1179" s="19">
        <f t="shared" si="37"/>
        <v>8</v>
      </c>
      <c r="D1179" s="5" t="s">
        <v>323</v>
      </c>
      <c r="E1179" s="5" t="s">
        <v>56</v>
      </c>
      <c r="F1179" s="5" t="s">
        <v>11</v>
      </c>
      <c r="G1179" s="5" t="s">
        <v>12</v>
      </c>
      <c r="H1179" s="5" t="s">
        <v>1356</v>
      </c>
      <c r="I1179" s="13">
        <v>241.96</v>
      </c>
      <c r="J1179" s="19">
        <v>2</v>
      </c>
      <c r="K1179" s="14">
        <v>24.196000000000002</v>
      </c>
    </row>
    <row r="1180" spans="1:11" x14ac:dyDescent="0.25">
      <c r="A1180" s="2">
        <v>43690</v>
      </c>
      <c r="B1180" s="18">
        <f t="shared" si="36"/>
        <v>2019</v>
      </c>
      <c r="C1180" s="18">
        <f t="shared" si="37"/>
        <v>8</v>
      </c>
      <c r="D1180" s="3" t="s">
        <v>323</v>
      </c>
      <c r="E1180" s="3" t="s">
        <v>56</v>
      </c>
      <c r="F1180" s="3" t="s">
        <v>19</v>
      </c>
      <c r="G1180" s="3" t="s">
        <v>32</v>
      </c>
      <c r="H1180" s="3" t="s">
        <v>438</v>
      </c>
      <c r="I1180" s="11">
        <v>8.52</v>
      </c>
      <c r="J1180" s="18">
        <v>3</v>
      </c>
      <c r="K1180" s="12">
        <v>4.1748000000000003</v>
      </c>
    </row>
    <row r="1181" spans="1:11" x14ac:dyDescent="0.25">
      <c r="A1181" s="4">
        <v>43690</v>
      </c>
      <c r="B1181" s="19">
        <f t="shared" si="36"/>
        <v>2019</v>
      </c>
      <c r="C1181" s="19">
        <f t="shared" si="37"/>
        <v>8</v>
      </c>
      <c r="D1181" s="5" t="s">
        <v>1357</v>
      </c>
      <c r="E1181" s="5" t="s">
        <v>394</v>
      </c>
      <c r="F1181" s="5" t="s">
        <v>19</v>
      </c>
      <c r="G1181" s="5" t="s">
        <v>121</v>
      </c>
      <c r="H1181" s="5" t="s">
        <v>832</v>
      </c>
      <c r="I1181" s="13">
        <v>17.34</v>
      </c>
      <c r="J1181" s="19">
        <v>2</v>
      </c>
      <c r="K1181" s="14">
        <v>4.6818</v>
      </c>
    </row>
    <row r="1182" spans="1:11" x14ac:dyDescent="0.25">
      <c r="A1182" s="2">
        <v>43690</v>
      </c>
      <c r="B1182" s="18">
        <f t="shared" si="36"/>
        <v>2019</v>
      </c>
      <c r="C1182" s="18">
        <f t="shared" si="37"/>
        <v>8</v>
      </c>
      <c r="D1182" s="3" t="s">
        <v>1357</v>
      </c>
      <c r="E1182" s="3" t="s">
        <v>394</v>
      </c>
      <c r="F1182" s="3" t="s">
        <v>14</v>
      </c>
      <c r="G1182" s="3" t="s">
        <v>24</v>
      </c>
      <c r="H1182" s="3" t="s">
        <v>1358</v>
      </c>
      <c r="I1182" s="11">
        <v>71.98</v>
      </c>
      <c r="J1182" s="18">
        <v>2</v>
      </c>
      <c r="K1182" s="12">
        <v>15.1158</v>
      </c>
    </row>
    <row r="1183" spans="1:11" x14ac:dyDescent="0.25">
      <c r="A1183" s="4">
        <v>43690</v>
      </c>
      <c r="B1183" s="19">
        <f t="shared" si="36"/>
        <v>2019</v>
      </c>
      <c r="C1183" s="19">
        <f t="shared" si="37"/>
        <v>8</v>
      </c>
      <c r="D1183" s="5" t="s">
        <v>660</v>
      </c>
      <c r="E1183" s="5" t="s">
        <v>181</v>
      </c>
      <c r="F1183" s="5" t="s">
        <v>19</v>
      </c>
      <c r="G1183" s="5" t="s">
        <v>32</v>
      </c>
      <c r="H1183" s="5" t="s">
        <v>274</v>
      </c>
      <c r="I1183" s="13">
        <v>22.32</v>
      </c>
      <c r="J1183" s="19">
        <v>4</v>
      </c>
      <c r="K1183" s="14">
        <v>10.7136</v>
      </c>
    </row>
    <row r="1184" spans="1:11" x14ac:dyDescent="0.25">
      <c r="A1184" s="2">
        <v>43690</v>
      </c>
      <c r="B1184" s="18">
        <f t="shared" si="36"/>
        <v>2019</v>
      </c>
      <c r="C1184" s="18">
        <f t="shared" si="37"/>
        <v>8</v>
      </c>
      <c r="D1184" s="3" t="s">
        <v>660</v>
      </c>
      <c r="E1184" s="3" t="s">
        <v>181</v>
      </c>
      <c r="F1184" s="3" t="s">
        <v>19</v>
      </c>
      <c r="G1184" s="3" t="s">
        <v>127</v>
      </c>
      <c r="H1184" s="3" t="s">
        <v>793</v>
      </c>
      <c r="I1184" s="11">
        <v>103.6</v>
      </c>
      <c r="J1184" s="18">
        <v>7</v>
      </c>
      <c r="K1184" s="12">
        <v>51.8</v>
      </c>
    </row>
    <row r="1185" spans="1:11" x14ac:dyDescent="0.25">
      <c r="A1185" s="4">
        <v>43690</v>
      </c>
      <c r="B1185" s="19">
        <f t="shared" si="36"/>
        <v>2019</v>
      </c>
      <c r="C1185" s="19">
        <f t="shared" si="37"/>
        <v>8</v>
      </c>
      <c r="D1185" s="5" t="s">
        <v>1359</v>
      </c>
      <c r="E1185" s="5" t="s">
        <v>23</v>
      </c>
      <c r="F1185" s="5" t="s">
        <v>19</v>
      </c>
      <c r="G1185" s="5" t="s">
        <v>265</v>
      </c>
      <c r="H1185" s="5" t="s">
        <v>695</v>
      </c>
      <c r="I1185" s="13">
        <v>185.376</v>
      </c>
      <c r="J1185" s="19">
        <v>2</v>
      </c>
      <c r="K1185" s="14">
        <v>-34.758000000000003</v>
      </c>
    </row>
    <row r="1186" spans="1:11" x14ac:dyDescent="0.25">
      <c r="A1186" s="2">
        <v>43690</v>
      </c>
      <c r="B1186" s="18">
        <f t="shared" si="36"/>
        <v>2019</v>
      </c>
      <c r="C1186" s="18">
        <f t="shared" si="37"/>
        <v>8</v>
      </c>
      <c r="D1186" s="3" t="s">
        <v>1359</v>
      </c>
      <c r="E1186" s="3" t="s">
        <v>23</v>
      </c>
      <c r="F1186" s="3" t="s">
        <v>19</v>
      </c>
      <c r="G1186" s="3" t="s">
        <v>121</v>
      </c>
      <c r="H1186" s="3" t="s">
        <v>1360</v>
      </c>
      <c r="I1186" s="11">
        <v>58.923999999999999</v>
      </c>
      <c r="J1186" s="18">
        <v>1</v>
      </c>
      <c r="K1186" s="12">
        <v>-153.20240000000001</v>
      </c>
    </row>
    <row r="1187" spans="1:11" x14ac:dyDescent="0.25">
      <c r="A1187" s="4">
        <v>43691</v>
      </c>
      <c r="B1187" s="19">
        <f t="shared" si="36"/>
        <v>2019</v>
      </c>
      <c r="C1187" s="19">
        <f t="shared" si="37"/>
        <v>8</v>
      </c>
      <c r="D1187" s="5" t="s">
        <v>626</v>
      </c>
      <c r="E1187" s="5" t="s">
        <v>18</v>
      </c>
      <c r="F1187" s="5" t="s">
        <v>19</v>
      </c>
      <c r="G1187" s="5" t="s">
        <v>53</v>
      </c>
      <c r="H1187" s="5" t="s">
        <v>1361</v>
      </c>
      <c r="I1187" s="13">
        <v>15.54</v>
      </c>
      <c r="J1187" s="19">
        <v>3</v>
      </c>
      <c r="K1187" s="14">
        <v>7.6146000000000003</v>
      </c>
    </row>
    <row r="1188" spans="1:11" x14ac:dyDescent="0.25">
      <c r="A1188" s="2">
        <v>43691</v>
      </c>
      <c r="B1188" s="18">
        <f t="shared" si="36"/>
        <v>2019</v>
      </c>
      <c r="C1188" s="18">
        <f t="shared" si="37"/>
        <v>8</v>
      </c>
      <c r="D1188" s="3" t="s">
        <v>626</v>
      </c>
      <c r="E1188" s="3" t="s">
        <v>18</v>
      </c>
      <c r="F1188" s="3" t="s">
        <v>14</v>
      </c>
      <c r="G1188" s="3" t="s">
        <v>188</v>
      </c>
      <c r="H1188" s="3" t="s">
        <v>1362</v>
      </c>
      <c r="I1188" s="11">
        <v>105.55200000000001</v>
      </c>
      <c r="J1188" s="18">
        <v>6</v>
      </c>
      <c r="K1188" s="12">
        <v>35.623800000000003</v>
      </c>
    </row>
    <row r="1189" spans="1:11" x14ac:dyDescent="0.25">
      <c r="A1189" s="4">
        <v>43691</v>
      </c>
      <c r="B1189" s="19">
        <f t="shared" si="36"/>
        <v>2019</v>
      </c>
      <c r="C1189" s="19">
        <f t="shared" si="37"/>
        <v>8</v>
      </c>
      <c r="D1189" s="5" t="s">
        <v>1363</v>
      </c>
      <c r="E1189" s="5" t="s">
        <v>219</v>
      </c>
      <c r="F1189" s="5" t="s">
        <v>19</v>
      </c>
      <c r="G1189" s="5" t="s">
        <v>53</v>
      </c>
      <c r="H1189" s="5" t="s">
        <v>1168</v>
      </c>
      <c r="I1189" s="13">
        <v>15.552</v>
      </c>
      <c r="J1189" s="19">
        <v>3</v>
      </c>
      <c r="K1189" s="14">
        <v>5.4432</v>
      </c>
    </row>
    <row r="1190" spans="1:11" x14ac:dyDescent="0.25">
      <c r="A1190" s="2">
        <v>43691</v>
      </c>
      <c r="B1190" s="18">
        <f t="shared" si="36"/>
        <v>2019</v>
      </c>
      <c r="C1190" s="18">
        <f t="shared" si="37"/>
        <v>8</v>
      </c>
      <c r="D1190" s="3" t="s">
        <v>364</v>
      </c>
      <c r="E1190" s="3" t="s">
        <v>67</v>
      </c>
      <c r="F1190" s="3" t="s">
        <v>14</v>
      </c>
      <c r="G1190" s="3" t="s">
        <v>15</v>
      </c>
      <c r="H1190" s="3" t="s">
        <v>1364</v>
      </c>
      <c r="I1190" s="11">
        <v>259.89600000000002</v>
      </c>
      <c r="J1190" s="18">
        <v>2</v>
      </c>
      <c r="K1190" s="12">
        <v>-56.3108</v>
      </c>
    </row>
    <row r="1191" spans="1:11" x14ac:dyDescent="0.25">
      <c r="A1191" s="4">
        <v>43691</v>
      </c>
      <c r="B1191" s="19">
        <f t="shared" si="36"/>
        <v>2019</v>
      </c>
      <c r="C1191" s="19">
        <f t="shared" si="37"/>
        <v>8</v>
      </c>
      <c r="D1191" s="5" t="s">
        <v>364</v>
      </c>
      <c r="E1191" s="5" t="s">
        <v>67</v>
      </c>
      <c r="F1191" s="5" t="s">
        <v>14</v>
      </c>
      <c r="G1191" s="5" t="s">
        <v>15</v>
      </c>
      <c r="H1191" s="5" t="s">
        <v>1365</v>
      </c>
      <c r="I1191" s="13">
        <v>247.18799999999999</v>
      </c>
      <c r="J1191" s="19">
        <v>2</v>
      </c>
      <c r="K1191" s="14">
        <v>-49.437600000000003</v>
      </c>
    </row>
    <row r="1192" spans="1:11" x14ac:dyDescent="0.25">
      <c r="A1192" s="2">
        <v>43691</v>
      </c>
      <c r="B1192" s="18">
        <f t="shared" si="36"/>
        <v>2019</v>
      </c>
      <c r="C1192" s="18">
        <f t="shared" si="37"/>
        <v>8</v>
      </c>
      <c r="D1192" s="3" t="s">
        <v>364</v>
      </c>
      <c r="E1192" s="3" t="s">
        <v>67</v>
      </c>
      <c r="F1192" s="3" t="s">
        <v>14</v>
      </c>
      <c r="G1192" s="3" t="s">
        <v>24</v>
      </c>
      <c r="H1192" s="3" t="s">
        <v>64</v>
      </c>
      <c r="I1192" s="11">
        <v>279.95999999999998</v>
      </c>
      <c r="J1192" s="18">
        <v>5</v>
      </c>
      <c r="K1192" s="12">
        <v>48.993000000000002</v>
      </c>
    </row>
    <row r="1193" spans="1:11" x14ac:dyDescent="0.25">
      <c r="A1193" s="4">
        <v>43692</v>
      </c>
      <c r="B1193" s="19">
        <f t="shared" si="36"/>
        <v>2019</v>
      </c>
      <c r="C1193" s="19">
        <f t="shared" si="37"/>
        <v>8</v>
      </c>
      <c r="D1193" s="5" t="s">
        <v>1366</v>
      </c>
      <c r="E1193" s="5" t="s">
        <v>306</v>
      </c>
      <c r="F1193" s="5" t="s">
        <v>19</v>
      </c>
      <c r="G1193" s="5" t="s">
        <v>32</v>
      </c>
      <c r="H1193" s="5" t="s">
        <v>1053</v>
      </c>
      <c r="I1193" s="13">
        <v>18.882000000000001</v>
      </c>
      <c r="J1193" s="19">
        <v>3</v>
      </c>
      <c r="K1193" s="14">
        <v>-13.8468</v>
      </c>
    </row>
    <row r="1194" spans="1:11" x14ac:dyDescent="0.25">
      <c r="A1194" s="2">
        <v>43692</v>
      </c>
      <c r="B1194" s="18">
        <f t="shared" si="36"/>
        <v>2019</v>
      </c>
      <c r="C1194" s="18">
        <f t="shared" si="37"/>
        <v>8</v>
      </c>
      <c r="D1194" s="3" t="s">
        <v>1366</v>
      </c>
      <c r="E1194" s="3" t="s">
        <v>306</v>
      </c>
      <c r="F1194" s="3" t="s">
        <v>19</v>
      </c>
      <c r="G1194" s="3" t="s">
        <v>121</v>
      </c>
      <c r="H1194" s="3" t="s">
        <v>1367</v>
      </c>
      <c r="I1194" s="11">
        <v>122.328</v>
      </c>
      <c r="J1194" s="18">
        <v>3</v>
      </c>
      <c r="K1194" s="12">
        <v>12.232799999999999</v>
      </c>
    </row>
    <row r="1195" spans="1:11" x14ac:dyDescent="0.25">
      <c r="A1195" s="4">
        <v>43692</v>
      </c>
      <c r="B1195" s="19">
        <f t="shared" si="36"/>
        <v>2019</v>
      </c>
      <c r="C1195" s="19">
        <f t="shared" si="37"/>
        <v>8</v>
      </c>
      <c r="D1195" s="5" t="s">
        <v>1368</v>
      </c>
      <c r="E1195" s="5" t="s">
        <v>18</v>
      </c>
      <c r="F1195" s="5" t="s">
        <v>14</v>
      </c>
      <c r="G1195" s="5" t="s">
        <v>15</v>
      </c>
      <c r="H1195" s="5" t="s">
        <v>1369</v>
      </c>
      <c r="I1195" s="13">
        <v>71.975999999999999</v>
      </c>
      <c r="J1195" s="19">
        <v>3</v>
      </c>
      <c r="K1195" s="14">
        <v>7.1976000000000004</v>
      </c>
    </row>
    <row r="1196" spans="1:11" x14ac:dyDescent="0.25">
      <c r="A1196" s="2">
        <v>43692</v>
      </c>
      <c r="B1196" s="18">
        <f t="shared" si="36"/>
        <v>2019</v>
      </c>
      <c r="C1196" s="18">
        <f t="shared" si="37"/>
        <v>8</v>
      </c>
      <c r="D1196" s="3" t="s">
        <v>1368</v>
      </c>
      <c r="E1196" s="3" t="s">
        <v>18</v>
      </c>
      <c r="F1196" s="3" t="s">
        <v>19</v>
      </c>
      <c r="G1196" s="3" t="s">
        <v>127</v>
      </c>
      <c r="H1196" s="3" t="s">
        <v>1001</v>
      </c>
      <c r="I1196" s="11">
        <v>3.15</v>
      </c>
      <c r="J1196" s="18">
        <v>1</v>
      </c>
      <c r="K1196" s="12">
        <v>1.512</v>
      </c>
    </row>
    <row r="1197" spans="1:11" x14ac:dyDescent="0.25">
      <c r="A1197" s="4">
        <v>43692</v>
      </c>
      <c r="B1197" s="19">
        <f t="shared" si="36"/>
        <v>2019</v>
      </c>
      <c r="C1197" s="19">
        <f t="shared" si="37"/>
        <v>8</v>
      </c>
      <c r="D1197" s="5" t="s">
        <v>1370</v>
      </c>
      <c r="E1197" s="5" t="s">
        <v>44</v>
      </c>
      <c r="F1197" s="5" t="s">
        <v>14</v>
      </c>
      <c r="G1197" s="5" t="s">
        <v>15</v>
      </c>
      <c r="H1197" s="5" t="s">
        <v>1371</v>
      </c>
      <c r="I1197" s="13">
        <v>705.54399999999998</v>
      </c>
      <c r="J1197" s="19">
        <v>7</v>
      </c>
      <c r="K1197" s="14">
        <v>70.554400000000001</v>
      </c>
    </row>
    <row r="1198" spans="1:11" x14ac:dyDescent="0.25">
      <c r="A1198" s="2">
        <v>43692</v>
      </c>
      <c r="B1198" s="18">
        <f t="shared" si="36"/>
        <v>2019</v>
      </c>
      <c r="C1198" s="18">
        <f t="shared" si="37"/>
        <v>8</v>
      </c>
      <c r="D1198" s="3" t="s">
        <v>900</v>
      </c>
      <c r="E1198" s="3" t="s">
        <v>35</v>
      </c>
      <c r="F1198" s="3" t="s">
        <v>11</v>
      </c>
      <c r="G1198" s="3" t="s">
        <v>112</v>
      </c>
      <c r="H1198" s="3" t="s">
        <v>1243</v>
      </c>
      <c r="I1198" s="11">
        <v>225.29599999999999</v>
      </c>
      <c r="J1198" s="18">
        <v>2</v>
      </c>
      <c r="K1198" s="12">
        <v>22.529599999999999</v>
      </c>
    </row>
    <row r="1199" spans="1:11" x14ac:dyDescent="0.25">
      <c r="A1199" s="4">
        <v>43692</v>
      </c>
      <c r="B1199" s="19">
        <f t="shared" si="36"/>
        <v>2019</v>
      </c>
      <c r="C1199" s="19">
        <f t="shared" si="37"/>
        <v>8</v>
      </c>
      <c r="D1199" s="5" t="s">
        <v>632</v>
      </c>
      <c r="E1199" s="5" t="s">
        <v>18</v>
      </c>
      <c r="F1199" s="5" t="s">
        <v>11</v>
      </c>
      <c r="G1199" s="5" t="s">
        <v>51</v>
      </c>
      <c r="H1199" s="5" t="s">
        <v>1372</v>
      </c>
      <c r="I1199" s="13">
        <v>312.02999999999997</v>
      </c>
      <c r="J1199" s="19">
        <v>3</v>
      </c>
      <c r="K1199" s="14">
        <v>43.684199999999997</v>
      </c>
    </row>
    <row r="1200" spans="1:11" x14ac:dyDescent="0.25">
      <c r="A1200" s="2">
        <v>43692</v>
      </c>
      <c r="B1200" s="18">
        <f t="shared" si="36"/>
        <v>2019</v>
      </c>
      <c r="C1200" s="18">
        <f t="shared" si="37"/>
        <v>8</v>
      </c>
      <c r="D1200" s="3" t="s">
        <v>632</v>
      </c>
      <c r="E1200" s="3" t="s">
        <v>18</v>
      </c>
      <c r="F1200" s="3" t="s">
        <v>19</v>
      </c>
      <c r="G1200" s="3" t="s">
        <v>20</v>
      </c>
      <c r="H1200" s="3" t="s">
        <v>771</v>
      </c>
      <c r="I1200" s="11">
        <v>17.940000000000001</v>
      </c>
      <c r="J1200" s="18">
        <v>3</v>
      </c>
      <c r="K1200" s="12">
        <v>3.0497999999999998</v>
      </c>
    </row>
    <row r="1201" spans="1:11" x14ac:dyDescent="0.25">
      <c r="A1201" s="4">
        <v>43692</v>
      </c>
      <c r="B1201" s="19">
        <f t="shared" si="36"/>
        <v>2019</v>
      </c>
      <c r="C1201" s="19">
        <f t="shared" si="37"/>
        <v>8</v>
      </c>
      <c r="D1201" s="5" t="s">
        <v>632</v>
      </c>
      <c r="E1201" s="5" t="s">
        <v>18</v>
      </c>
      <c r="F1201" s="5" t="s">
        <v>14</v>
      </c>
      <c r="G1201" s="5" t="s">
        <v>15</v>
      </c>
      <c r="H1201" s="5" t="s">
        <v>724</v>
      </c>
      <c r="I1201" s="13">
        <v>165.6</v>
      </c>
      <c r="J1201" s="19">
        <v>3</v>
      </c>
      <c r="K1201" s="14">
        <v>10.35</v>
      </c>
    </row>
    <row r="1202" spans="1:11" x14ac:dyDescent="0.25">
      <c r="A1202" s="2">
        <v>43692</v>
      </c>
      <c r="B1202" s="18">
        <f t="shared" si="36"/>
        <v>2019</v>
      </c>
      <c r="C1202" s="18">
        <f t="shared" si="37"/>
        <v>8</v>
      </c>
      <c r="D1202" s="3" t="s">
        <v>632</v>
      </c>
      <c r="E1202" s="3" t="s">
        <v>18</v>
      </c>
      <c r="F1202" s="3" t="s">
        <v>19</v>
      </c>
      <c r="G1202" s="3" t="s">
        <v>53</v>
      </c>
      <c r="H1202" s="3" t="s">
        <v>1373</v>
      </c>
      <c r="I1202" s="11">
        <v>37.520000000000003</v>
      </c>
      <c r="J1202" s="18">
        <v>4</v>
      </c>
      <c r="K1202" s="12">
        <v>18.009599999999999</v>
      </c>
    </row>
    <row r="1203" spans="1:11" x14ac:dyDescent="0.25">
      <c r="A1203" s="4">
        <v>43693</v>
      </c>
      <c r="B1203" s="19">
        <f t="shared" si="36"/>
        <v>2019</v>
      </c>
      <c r="C1203" s="19">
        <f t="shared" si="37"/>
        <v>8</v>
      </c>
      <c r="D1203" s="5" t="s">
        <v>646</v>
      </c>
      <c r="E1203" s="5" t="s">
        <v>18</v>
      </c>
      <c r="F1203" s="5" t="s">
        <v>19</v>
      </c>
      <c r="G1203" s="5" t="s">
        <v>86</v>
      </c>
      <c r="H1203" s="5" t="s">
        <v>1374</v>
      </c>
      <c r="I1203" s="13">
        <v>10.86</v>
      </c>
      <c r="J1203" s="19">
        <v>3</v>
      </c>
      <c r="K1203" s="14">
        <v>5.1041999999999996</v>
      </c>
    </row>
    <row r="1204" spans="1:11" x14ac:dyDescent="0.25">
      <c r="A1204" s="2">
        <v>43693</v>
      </c>
      <c r="B1204" s="18">
        <f t="shared" si="36"/>
        <v>2019</v>
      </c>
      <c r="C1204" s="18">
        <f t="shared" si="37"/>
        <v>8</v>
      </c>
      <c r="D1204" s="3" t="s">
        <v>1375</v>
      </c>
      <c r="E1204" s="3" t="s">
        <v>18</v>
      </c>
      <c r="F1204" s="3" t="s">
        <v>11</v>
      </c>
      <c r="G1204" s="3" t="s">
        <v>30</v>
      </c>
      <c r="H1204" s="3" t="s">
        <v>1376</v>
      </c>
      <c r="I1204" s="11">
        <v>161.28</v>
      </c>
      <c r="J1204" s="18">
        <v>2</v>
      </c>
      <c r="K1204" s="12">
        <v>12.096</v>
      </c>
    </row>
    <row r="1205" spans="1:11" x14ac:dyDescent="0.25">
      <c r="A1205" s="4">
        <v>43693</v>
      </c>
      <c r="B1205" s="19">
        <f t="shared" si="36"/>
        <v>2019</v>
      </c>
      <c r="C1205" s="19">
        <f t="shared" si="37"/>
        <v>8</v>
      </c>
      <c r="D1205" s="5" t="s">
        <v>1377</v>
      </c>
      <c r="E1205" s="5" t="s">
        <v>18</v>
      </c>
      <c r="F1205" s="5" t="s">
        <v>19</v>
      </c>
      <c r="G1205" s="5" t="s">
        <v>53</v>
      </c>
      <c r="H1205" s="5" t="s">
        <v>577</v>
      </c>
      <c r="I1205" s="13">
        <v>32.4</v>
      </c>
      <c r="J1205" s="19">
        <v>5</v>
      </c>
      <c r="K1205" s="14">
        <v>15.552</v>
      </c>
    </row>
    <row r="1206" spans="1:11" x14ac:dyDescent="0.25">
      <c r="A1206" s="2">
        <v>43694</v>
      </c>
      <c r="B1206" s="18">
        <f t="shared" si="36"/>
        <v>2019</v>
      </c>
      <c r="C1206" s="18">
        <f t="shared" si="37"/>
        <v>8</v>
      </c>
      <c r="D1206" s="3" t="s">
        <v>50</v>
      </c>
      <c r="E1206" s="3" t="s">
        <v>70</v>
      </c>
      <c r="F1206" s="3" t="s">
        <v>19</v>
      </c>
      <c r="G1206" s="3" t="s">
        <v>32</v>
      </c>
      <c r="H1206" s="3" t="s">
        <v>593</v>
      </c>
      <c r="I1206" s="11">
        <v>15.712</v>
      </c>
      <c r="J1206" s="18">
        <v>4</v>
      </c>
      <c r="K1206" s="12">
        <v>5.6955999999999998</v>
      </c>
    </row>
    <row r="1207" spans="1:11" x14ac:dyDescent="0.25">
      <c r="A1207" s="4">
        <v>43695</v>
      </c>
      <c r="B1207" s="19">
        <f t="shared" si="36"/>
        <v>2019</v>
      </c>
      <c r="C1207" s="19">
        <f t="shared" si="37"/>
        <v>8</v>
      </c>
      <c r="D1207" s="5" t="s">
        <v>1378</v>
      </c>
      <c r="E1207" s="5" t="s">
        <v>94</v>
      </c>
      <c r="F1207" s="5" t="s">
        <v>19</v>
      </c>
      <c r="G1207" s="5" t="s">
        <v>121</v>
      </c>
      <c r="H1207" s="5" t="s">
        <v>1379</v>
      </c>
      <c r="I1207" s="13">
        <v>355.32</v>
      </c>
      <c r="J1207" s="19">
        <v>9</v>
      </c>
      <c r="K1207" s="14">
        <v>99.489599999999996</v>
      </c>
    </row>
    <row r="1208" spans="1:11" x14ac:dyDescent="0.25">
      <c r="A1208" s="2">
        <v>43695</v>
      </c>
      <c r="B1208" s="18">
        <f t="shared" si="36"/>
        <v>2019</v>
      </c>
      <c r="C1208" s="18">
        <f t="shared" si="37"/>
        <v>8</v>
      </c>
      <c r="D1208" s="3" t="s">
        <v>1380</v>
      </c>
      <c r="E1208" s="3" t="s">
        <v>94</v>
      </c>
      <c r="F1208" s="3" t="s">
        <v>14</v>
      </c>
      <c r="G1208" s="3" t="s">
        <v>15</v>
      </c>
      <c r="H1208" s="3" t="s">
        <v>1381</v>
      </c>
      <c r="I1208" s="11">
        <v>39.99</v>
      </c>
      <c r="J1208" s="18">
        <v>1</v>
      </c>
      <c r="K1208" s="12">
        <v>11.597099999999999</v>
      </c>
    </row>
    <row r="1209" spans="1:11" x14ac:dyDescent="0.25">
      <c r="A1209" s="4">
        <v>43695</v>
      </c>
      <c r="B1209" s="19">
        <f t="shared" si="36"/>
        <v>2019</v>
      </c>
      <c r="C1209" s="19">
        <f t="shared" si="37"/>
        <v>8</v>
      </c>
      <c r="D1209" s="5" t="s">
        <v>1382</v>
      </c>
      <c r="E1209" s="5" t="s">
        <v>23</v>
      </c>
      <c r="F1209" s="5" t="s">
        <v>19</v>
      </c>
      <c r="G1209" s="5" t="s">
        <v>32</v>
      </c>
      <c r="H1209" s="5" t="s">
        <v>1020</v>
      </c>
      <c r="I1209" s="13">
        <v>2.0680000000000001</v>
      </c>
      <c r="J1209" s="19">
        <v>1</v>
      </c>
      <c r="K1209" s="14">
        <v>-3.4121999999999999</v>
      </c>
    </row>
    <row r="1210" spans="1:11" x14ac:dyDescent="0.25">
      <c r="A1210" s="2">
        <v>43695</v>
      </c>
      <c r="B1210" s="18">
        <f t="shared" si="36"/>
        <v>2019</v>
      </c>
      <c r="C1210" s="18">
        <f t="shared" si="37"/>
        <v>8</v>
      </c>
      <c r="D1210" s="3" t="s">
        <v>1382</v>
      </c>
      <c r="E1210" s="3" t="s">
        <v>23</v>
      </c>
      <c r="F1210" s="3" t="s">
        <v>19</v>
      </c>
      <c r="G1210" s="3" t="s">
        <v>53</v>
      </c>
      <c r="H1210" s="3" t="s">
        <v>1292</v>
      </c>
      <c r="I1210" s="11">
        <v>83.84</v>
      </c>
      <c r="J1210" s="18">
        <v>8</v>
      </c>
      <c r="K1210" s="12">
        <v>30.391999999999999</v>
      </c>
    </row>
    <row r="1211" spans="1:11" x14ac:dyDescent="0.25">
      <c r="A1211" s="4">
        <v>43695</v>
      </c>
      <c r="B1211" s="19">
        <f t="shared" si="36"/>
        <v>2019</v>
      </c>
      <c r="C1211" s="19">
        <f t="shared" si="37"/>
        <v>8</v>
      </c>
      <c r="D1211" s="5" t="s">
        <v>1383</v>
      </c>
      <c r="E1211" s="5" t="s">
        <v>23</v>
      </c>
      <c r="F1211" s="5" t="s">
        <v>11</v>
      </c>
      <c r="G1211" s="5" t="s">
        <v>51</v>
      </c>
      <c r="H1211" s="5" t="s">
        <v>797</v>
      </c>
      <c r="I1211" s="13">
        <v>9.5519999999999996</v>
      </c>
      <c r="J1211" s="19">
        <v>3</v>
      </c>
      <c r="K1211" s="14">
        <v>-3.8208000000000002</v>
      </c>
    </row>
    <row r="1212" spans="1:11" x14ac:dyDescent="0.25">
      <c r="A1212" s="2">
        <v>43695</v>
      </c>
      <c r="B1212" s="18">
        <f t="shared" si="36"/>
        <v>2019</v>
      </c>
      <c r="C1212" s="18">
        <f t="shared" si="37"/>
        <v>8</v>
      </c>
      <c r="D1212" s="3" t="s">
        <v>1383</v>
      </c>
      <c r="E1212" s="3" t="s">
        <v>23</v>
      </c>
      <c r="F1212" s="3" t="s">
        <v>11</v>
      </c>
      <c r="G1212" s="3" t="s">
        <v>51</v>
      </c>
      <c r="H1212" s="3" t="s">
        <v>829</v>
      </c>
      <c r="I1212" s="11">
        <v>5.3440000000000003</v>
      </c>
      <c r="J1212" s="18">
        <v>4</v>
      </c>
      <c r="K1212" s="12">
        <v>-2.1375999999999999</v>
      </c>
    </row>
    <row r="1213" spans="1:11" x14ac:dyDescent="0.25">
      <c r="A1213" s="4">
        <v>43696</v>
      </c>
      <c r="B1213" s="19">
        <f t="shared" si="36"/>
        <v>2019</v>
      </c>
      <c r="C1213" s="19">
        <f t="shared" si="37"/>
        <v>8</v>
      </c>
      <c r="D1213" s="5" t="s">
        <v>1384</v>
      </c>
      <c r="E1213" s="5" t="s">
        <v>94</v>
      </c>
      <c r="F1213" s="5" t="s">
        <v>19</v>
      </c>
      <c r="G1213" s="5" t="s">
        <v>32</v>
      </c>
      <c r="H1213" s="5" t="s">
        <v>1385</v>
      </c>
      <c r="I1213" s="13">
        <v>146.68799999999999</v>
      </c>
      <c r="J1213" s="19">
        <v>6</v>
      </c>
      <c r="K1213" s="14">
        <v>55.008000000000003</v>
      </c>
    </row>
    <row r="1214" spans="1:11" x14ac:dyDescent="0.25">
      <c r="A1214" s="2">
        <v>43696</v>
      </c>
      <c r="B1214" s="18">
        <f t="shared" si="36"/>
        <v>2019</v>
      </c>
      <c r="C1214" s="18">
        <f t="shared" si="37"/>
        <v>8</v>
      </c>
      <c r="D1214" s="3" t="s">
        <v>1384</v>
      </c>
      <c r="E1214" s="3" t="s">
        <v>94</v>
      </c>
      <c r="F1214" s="3" t="s">
        <v>19</v>
      </c>
      <c r="G1214" s="3" t="s">
        <v>32</v>
      </c>
      <c r="H1214" s="3" t="s">
        <v>420</v>
      </c>
      <c r="I1214" s="11">
        <v>276.78399999999999</v>
      </c>
      <c r="J1214" s="18">
        <v>2</v>
      </c>
      <c r="K1214" s="12">
        <v>89.954800000000006</v>
      </c>
    </row>
    <row r="1215" spans="1:11" x14ac:dyDescent="0.25">
      <c r="A1215" s="4">
        <v>43696</v>
      </c>
      <c r="B1215" s="19">
        <f t="shared" si="36"/>
        <v>2019</v>
      </c>
      <c r="C1215" s="19">
        <f t="shared" si="37"/>
        <v>8</v>
      </c>
      <c r="D1215" s="5" t="s">
        <v>1384</v>
      </c>
      <c r="E1215" s="5" t="s">
        <v>94</v>
      </c>
      <c r="F1215" s="5" t="s">
        <v>19</v>
      </c>
      <c r="G1215" s="5" t="s">
        <v>32</v>
      </c>
      <c r="H1215" s="5" t="s">
        <v>888</v>
      </c>
      <c r="I1215" s="13">
        <v>25.32</v>
      </c>
      <c r="J1215" s="19">
        <v>5</v>
      </c>
      <c r="K1215" s="14">
        <v>9.1784999999999997</v>
      </c>
    </row>
    <row r="1216" spans="1:11" x14ac:dyDescent="0.25">
      <c r="A1216" s="2">
        <v>43697</v>
      </c>
      <c r="B1216" s="18">
        <f t="shared" si="36"/>
        <v>2019</v>
      </c>
      <c r="C1216" s="18">
        <f t="shared" si="37"/>
        <v>8</v>
      </c>
      <c r="D1216" s="3" t="s">
        <v>48</v>
      </c>
      <c r="E1216" s="3" t="s">
        <v>365</v>
      </c>
      <c r="F1216" s="3" t="s">
        <v>14</v>
      </c>
      <c r="G1216" s="3" t="s">
        <v>15</v>
      </c>
      <c r="H1216" s="3" t="s">
        <v>662</v>
      </c>
      <c r="I1216" s="11">
        <v>14.78</v>
      </c>
      <c r="J1216" s="18">
        <v>2</v>
      </c>
      <c r="K1216" s="12">
        <v>3.9906000000000001</v>
      </c>
    </row>
    <row r="1217" spans="1:11" x14ac:dyDescent="0.25">
      <c r="A1217" s="4">
        <v>43698</v>
      </c>
      <c r="B1217" s="19">
        <f t="shared" si="36"/>
        <v>2019</v>
      </c>
      <c r="C1217" s="19">
        <f t="shared" si="37"/>
        <v>8</v>
      </c>
      <c r="D1217" s="5" t="s">
        <v>1157</v>
      </c>
      <c r="E1217" s="5" t="s">
        <v>35</v>
      </c>
      <c r="F1217" s="5" t="s">
        <v>19</v>
      </c>
      <c r="G1217" s="5" t="s">
        <v>127</v>
      </c>
      <c r="H1217" s="5" t="s">
        <v>1386</v>
      </c>
      <c r="I1217" s="13">
        <v>9.2159999999999993</v>
      </c>
      <c r="J1217" s="19">
        <v>4</v>
      </c>
      <c r="K1217" s="14">
        <v>3.3408000000000002</v>
      </c>
    </row>
    <row r="1218" spans="1:11" x14ac:dyDescent="0.25">
      <c r="A1218" s="2">
        <v>43698</v>
      </c>
      <c r="B1218" s="18">
        <f t="shared" ref="B1218:B1281" si="38">YEAR(A1218)</f>
        <v>2019</v>
      </c>
      <c r="C1218" s="18">
        <f t="shared" ref="C1218:C1281" si="39">MONTH(A1218)</f>
        <v>8</v>
      </c>
      <c r="D1218" s="3" t="s">
        <v>1157</v>
      </c>
      <c r="E1218" s="3" t="s">
        <v>35</v>
      </c>
      <c r="F1218" s="3" t="s">
        <v>19</v>
      </c>
      <c r="G1218" s="3" t="s">
        <v>265</v>
      </c>
      <c r="H1218" s="3" t="s">
        <v>1327</v>
      </c>
      <c r="I1218" s="11">
        <v>28.047999999999998</v>
      </c>
      <c r="J1218" s="18">
        <v>2</v>
      </c>
      <c r="K1218" s="12">
        <v>3.5059999999999998</v>
      </c>
    </row>
    <row r="1219" spans="1:11" x14ac:dyDescent="0.25">
      <c r="A1219" s="4">
        <v>43698</v>
      </c>
      <c r="B1219" s="19">
        <f t="shared" si="38"/>
        <v>2019</v>
      </c>
      <c r="C1219" s="19">
        <f t="shared" si="39"/>
        <v>8</v>
      </c>
      <c r="D1219" s="5" t="s">
        <v>367</v>
      </c>
      <c r="E1219" s="5" t="s">
        <v>39</v>
      </c>
      <c r="F1219" s="5" t="s">
        <v>11</v>
      </c>
      <c r="G1219" s="5" t="s">
        <v>30</v>
      </c>
      <c r="H1219" s="5" t="s">
        <v>1387</v>
      </c>
      <c r="I1219" s="13">
        <v>815.29200000000003</v>
      </c>
      <c r="J1219" s="19">
        <v>9</v>
      </c>
      <c r="K1219" s="14">
        <v>-339.70499999999998</v>
      </c>
    </row>
    <row r="1220" spans="1:11" x14ac:dyDescent="0.25">
      <c r="A1220" s="2">
        <v>43698</v>
      </c>
      <c r="B1220" s="18">
        <f t="shared" si="38"/>
        <v>2019</v>
      </c>
      <c r="C1220" s="18">
        <f t="shared" si="39"/>
        <v>8</v>
      </c>
      <c r="D1220" s="3" t="s">
        <v>997</v>
      </c>
      <c r="E1220" s="3" t="s">
        <v>18</v>
      </c>
      <c r="F1220" s="3" t="s">
        <v>19</v>
      </c>
      <c r="G1220" s="3" t="s">
        <v>32</v>
      </c>
      <c r="H1220" s="3" t="s">
        <v>476</v>
      </c>
      <c r="I1220" s="11">
        <v>12.672000000000001</v>
      </c>
      <c r="J1220" s="18">
        <v>2</v>
      </c>
      <c r="K1220" s="12">
        <v>4.7519999999999998</v>
      </c>
    </row>
    <row r="1221" spans="1:11" x14ac:dyDescent="0.25">
      <c r="A1221" s="4">
        <v>43698</v>
      </c>
      <c r="B1221" s="19">
        <f t="shared" si="38"/>
        <v>2019</v>
      </c>
      <c r="C1221" s="19">
        <f t="shared" si="39"/>
        <v>8</v>
      </c>
      <c r="D1221" s="5" t="s">
        <v>997</v>
      </c>
      <c r="E1221" s="5" t="s">
        <v>18</v>
      </c>
      <c r="F1221" s="5" t="s">
        <v>14</v>
      </c>
      <c r="G1221" s="5" t="s">
        <v>15</v>
      </c>
      <c r="H1221" s="5" t="s">
        <v>879</v>
      </c>
      <c r="I1221" s="13">
        <v>91.96</v>
      </c>
      <c r="J1221" s="19">
        <v>5</v>
      </c>
      <c r="K1221" s="14">
        <v>-20.690999999999999</v>
      </c>
    </row>
    <row r="1222" spans="1:11" x14ac:dyDescent="0.25">
      <c r="A1222" s="2">
        <v>43698</v>
      </c>
      <c r="B1222" s="18">
        <f t="shared" si="38"/>
        <v>2019</v>
      </c>
      <c r="C1222" s="18">
        <f t="shared" si="39"/>
        <v>8</v>
      </c>
      <c r="D1222" s="3" t="s">
        <v>997</v>
      </c>
      <c r="E1222" s="3" t="s">
        <v>18</v>
      </c>
      <c r="F1222" s="3" t="s">
        <v>14</v>
      </c>
      <c r="G1222" s="3" t="s">
        <v>24</v>
      </c>
      <c r="H1222" s="3" t="s">
        <v>89</v>
      </c>
      <c r="I1222" s="11">
        <v>254.97</v>
      </c>
      <c r="J1222" s="18">
        <v>3</v>
      </c>
      <c r="K1222" s="12">
        <v>91.789199999999994</v>
      </c>
    </row>
    <row r="1223" spans="1:11" x14ac:dyDescent="0.25">
      <c r="A1223" s="4">
        <v>43698</v>
      </c>
      <c r="B1223" s="19">
        <f t="shared" si="38"/>
        <v>2019</v>
      </c>
      <c r="C1223" s="19">
        <f t="shared" si="39"/>
        <v>8</v>
      </c>
      <c r="D1223" s="5" t="s">
        <v>997</v>
      </c>
      <c r="E1223" s="5" t="s">
        <v>18</v>
      </c>
      <c r="F1223" s="5" t="s">
        <v>14</v>
      </c>
      <c r="G1223" s="5" t="s">
        <v>15</v>
      </c>
      <c r="H1223" s="5" t="s">
        <v>1388</v>
      </c>
      <c r="I1223" s="13">
        <v>31.984000000000002</v>
      </c>
      <c r="J1223" s="19">
        <v>2</v>
      </c>
      <c r="K1223" s="14">
        <v>-7.9960000000000004</v>
      </c>
    </row>
    <row r="1224" spans="1:11" x14ac:dyDescent="0.25">
      <c r="A1224" s="2">
        <v>43698</v>
      </c>
      <c r="B1224" s="18">
        <f t="shared" si="38"/>
        <v>2019</v>
      </c>
      <c r="C1224" s="18">
        <f t="shared" si="39"/>
        <v>8</v>
      </c>
      <c r="D1224" s="3" t="s">
        <v>997</v>
      </c>
      <c r="E1224" s="3" t="s">
        <v>18</v>
      </c>
      <c r="F1224" s="3" t="s">
        <v>11</v>
      </c>
      <c r="G1224" s="3" t="s">
        <v>30</v>
      </c>
      <c r="H1224" s="3" t="s">
        <v>1389</v>
      </c>
      <c r="I1224" s="11">
        <v>2887.056</v>
      </c>
      <c r="J1224" s="18">
        <v>9</v>
      </c>
      <c r="K1224" s="12">
        <v>180.441</v>
      </c>
    </row>
    <row r="1225" spans="1:11" x14ac:dyDescent="0.25">
      <c r="A1225" s="4">
        <v>43698</v>
      </c>
      <c r="B1225" s="19">
        <f t="shared" si="38"/>
        <v>2019</v>
      </c>
      <c r="C1225" s="19">
        <f t="shared" si="39"/>
        <v>8</v>
      </c>
      <c r="D1225" s="5" t="s">
        <v>997</v>
      </c>
      <c r="E1225" s="5" t="s">
        <v>18</v>
      </c>
      <c r="F1225" s="5" t="s">
        <v>19</v>
      </c>
      <c r="G1225" s="5" t="s">
        <v>53</v>
      </c>
      <c r="H1225" s="5" t="s">
        <v>1390</v>
      </c>
      <c r="I1225" s="13">
        <v>12.96</v>
      </c>
      <c r="J1225" s="19">
        <v>2</v>
      </c>
      <c r="K1225" s="14">
        <v>6.2207999999999997</v>
      </c>
    </row>
    <row r="1226" spans="1:11" x14ac:dyDescent="0.25">
      <c r="A1226" s="2">
        <v>43698</v>
      </c>
      <c r="B1226" s="18">
        <f t="shared" si="38"/>
        <v>2019</v>
      </c>
      <c r="C1226" s="18">
        <f t="shared" si="39"/>
        <v>8</v>
      </c>
      <c r="D1226" s="3" t="s">
        <v>997</v>
      </c>
      <c r="E1226" s="3" t="s">
        <v>18</v>
      </c>
      <c r="F1226" s="3" t="s">
        <v>19</v>
      </c>
      <c r="G1226" s="3" t="s">
        <v>53</v>
      </c>
      <c r="H1226" s="3" t="s">
        <v>1391</v>
      </c>
      <c r="I1226" s="11">
        <v>47.52</v>
      </c>
      <c r="J1226" s="18">
        <v>9</v>
      </c>
      <c r="K1226" s="12">
        <v>21.384</v>
      </c>
    </row>
    <row r="1227" spans="1:11" x14ac:dyDescent="0.25">
      <c r="A1227" s="4">
        <v>43698</v>
      </c>
      <c r="B1227" s="19">
        <f t="shared" si="38"/>
        <v>2019</v>
      </c>
      <c r="C1227" s="19">
        <f t="shared" si="39"/>
        <v>8</v>
      </c>
      <c r="D1227" s="5" t="s">
        <v>1392</v>
      </c>
      <c r="E1227" s="5" t="s">
        <v>70</v>
      </c>
      <c r="F1227" s="5" t="s">
        <v>19</v>
      </c>
      <c r="G1227" s="5" t="s">
        <v>32</v>
      </c>
      <c r="H1227" s="5" t="s">
        <v>280</v>
      </c>
      <c r="I1227" s="13">
        <v>33.44</v>
      </c>
      <c r="J1227" s="19">
        <v>10</v>
      </c>
      <c r="K1227" s="14">
        <v>11.704000000000001</v>
      </c>
    </row>
    <row r="1228" spans="1:11" x14ac:dyDescent="0.25">
      <c r="A1228" s="2">
        <v>43698</v>
      </c>
      <c r="B1228" s="18">
        <f t="shared" si="38"/>
        <v>2019</v>
      </c>
      <c r="C1228" s="18">
        <f t="shared" si="39"/>
        <v>8</v>
      </c>
      <c r="D1228" s="3" t="s">
        <v>1393</v>
      </c>
      <c r="E1228" s="3" t="s">
        <v>94</v>
      </c>
      <c r="F1228" s="3" t="s">
        <v>11</v>
      </c>
      <c r="G1228" s="3" t="s">
        <v>112</v>
      </c>
      <c r="H1228" s="3" t="s">
        <v>1262</v>
      </c>
      <c r="I1228" s="11">
        <v>573.17399999999998</v>
      </c>
      <c r="J1228" s="18">
        <v>7</v>
      </c>
      <c r="K1228" s="12">
        <v>63.686</v>
      </c>
    </row>
    <row r="1229" spans="1:11" x14ac:dyDescent="0.25">
      <c r="A1229" s="4">
        <v>43699</v>
      </c>
      <c r="B1229" s="19">
        <f t="shared" si="38"/>
        <v>2019</v>
      </c>
      <c r="C1229" s="19">
        <f t="shared" si="39"/>
        <v>8</v>
      </c>
      <c r="D1229" s="5" t="s">
        <v>1038</v>
      </c>
      <c r="E1229" s="5" t="s">
        <v>67</v>
      </c>
      <c r="F1229" s="5" t="s">
        <v>19</v>
      </c>
      <c r="G1229" s="5" t="s">
        <v>121</v>
      </c>
      <c r="H1229" s="5" t="s">
        <v>1394</v>
      </c>
      <c r="I1229" s="13">
        <v>113.55200000000001</v>
      </c>
      <c r="J1229" s="19">
        <v>2</v>
      </c>
      <c r="K1229" s="14">
        <v>8.5164000000000009</v>
      </c>
    </row>
    <row r="1230" spans="1:11" x14ac:dyDescent="0.25">
      <c r="A1230" s="2">
        <v>43699</v>
      </c>
      <c r="B1230" s="18">
        <f t="shared" si="38"/>
        <v>2019</v>
      </c>
      <c r="C1230" s="18">
        <f t="shared" si="39"/>
        <v>8</v>
      </c>
      <c r="D1230" s="3" t="s">
        <v>1038</v>
      </c>
      <c r="E1230" s="3" t="s">
        <v>67</v>
      </c>
      <c r="F1230" s="3" t="s">
        <v>19</v>
      </c>
      <c r="G1230" s="3" t="s">
        <v>32</v>
      </c>
      <c r="H1230" s="3" t="s">
        <v>1395</v>
      </c>
      <c r="I1230" s="11">
        <v>3.3180000000000001</v>
      </c>
      <c r="J1230" s="18">
        <v>2</v>
      </c>
      <c r="K1230" s="12">
        <v>-2.6543999999999999</v>
      </c>
    </row>
    <row r="1231" spans="1:11" x14ac:dyDescent="0.25">
      <c r="A1231" s="4">
        <v>43699</v>
      </c>
      <c r="B1231" s="19">
        <f t="shared" si="38"/>
        <v>2019</v>
      </c>
      <c r="C1231" s="19">
        <f t="shared" si="39"/>
        <v>8</v>
      </c>
      <c r="D1231" s="5" t="s">
        <v>1038</v>
      </c>
      <c r="E1231" s="5" t="s">
        <v>67</v>
      </c>
      <c r="F1231" s="5" t="s">
        <v>19</v>
      </c>
      <c r="G1231" s="5" t="s">
        <v>86</v>
      </c>
      <c r="H1231" s="5" t="s">
        <v>1396</v>
      </c>
      <c r="I1231" s="13">
        <v>134.28800000000001</v>
      </c>
      <c r="J1231" s="19">
        <v>2</v>
      </c>
      <c r="K1231" s="14">
        <v>45.322200000000002</v>
      </c>
    </row>
    <row r="1232" spans="1:11" x14ac:dyDescent="0.25">
      <c r="A1232" s="2">
        <v>43699</v>
      </c>
      <c r="B1232" s="18">
        <f t="shared" si="38"/>
        <v>2019</v>
      </c>
      <c r="C1232" s="18">
        <f t="shared" si="39"/>
        <v>8</v>
      </c>
      <c r="D1232" s="3" t="s">
        <v>1397</v>
      </c>
      <c r="E1232" s="3" t="s">
        <v>23</v>
      </c>
      <c r="F1232" s="3" t="s">
        <v>19</v>
      </c>
      <c r="G1232" s="3" t="s">
        <v>32</v>
      </c>
      <c r="H1232" s="3" t="s">
        <v>149</v>
      </c>
      <c r="I1232" s="11">
        <v>4.3120000000000003</v>
      </c>
      <c r="J1232" s="18">
        <v>2</v>
      </c>
      <c r="K1232" s="12">
        <v>-6.8992000000000004</v>
      </c>
    </row>
    <row r="1233" spans="1:11" x14ac:dyDescent="0.25">
      <c r="A1233" s="4">
        <v>43699</v>
      </c>
      <c r="B1233" s="19">
        <f t="shared" si="38"/>
        <v>2019</v>
      </c>
      <c r="C1233" s="19">
        <f t="shared" si="39"/>
        <v>8</v>
      </c>
      <c r="D1233" s="5" t="s">
        <v>1398</v>
      </c>
      <c r="E1233" s="5" t="s">
        <v>465</v>
      </c>
      <c r="F1233" s="5" t="s">
        <v>19</v>
      </c>
      <c r="G1233" s="5" t="s">
        <v>32</v>
      </c>
      <c r="H1233" s="5" t="s">
        <v>1399</v>
      </c>
      <c r="I1233" s="13">
        <v>26.352</v>
      </c>
      <c r="J1233" s="19">
        <v>8</v>
      </c>
      <c r="K1233" s="14">
        <v>-18.446400000000001</v>
      </c>
    </row>
    <row r="1234" spans="1:11" x14ac:dyDescent="0.25">
      <c r="A1234" s="2">
        <v>43699</v>
      </c>
      <c r="B1234" s="18">
        <f t="shared" si="38"/>
        <v>2019</v>
      </c>
      <c r="C1234" s="18">
        <f t="shared" si="39"/>
        <v>8</v>
      </c>
      <c r="D1234" s="3" t="s">
        <v>1400</v>
      </c>
      <c r="E1234" s="3" t="s">
        <v>70</v>
      </c>
      <c r="F1234" s="3" t="s">
        <v>19</v>
      </c>
      <c r="G1234" s="3" t="s">
        <v>53</v>
      </c>
      <c r="H1234" s="3" t="s">
        <v>1090</v>
      </c>
      <c r="I1234" s="11">
        <v>19.440000000000001</v>
      </c>
      <c r="J1234" s="18">
        <v>3</v>
      </c>
      <c r="K1234" s="12">
        <v>9.3312000000000008</v>
      </c>
    </row>
    <row r="1235" spans="1:11" x14ac:dyDescent="0.25">
      <c r="A1235" s="4">
        <v>43699</v>
      </c>
      <c r="B1235" s="19">
        <f t="shared" si="38"/>
        <v>2019</v>
      </c>
      <c r="C1235" s="19">
        <f t="shared" si="39"/>
        <v>8</v>
      </c>
      <c r="D1235" s="5" t="s">
        <v>1401</v>
      </c>
      <c r="E1235" s="5" t="s">
        <v>306</v>
      </c>
      <c r="F1235" s="5" t="s">
        <v>11</v>
      </c>
      <c r="G1235" s="5" t="s">
        <v>51</v>
      </c>
      <c r="H1235" s="5" t="s">
        <v>1402</v>
      </c>
      <c r="I1235" s="13">
        <v>98.328000000000003</v>
      </c>
      <c r="J1235" s="19">
        <v>3</v>
      </c>
      <c r="K1235" s="14">
        <v>9.8328000000000007</v>
      </c>
    </row>
    <row r="1236" spans="1:11" x14ac:dyDescent="0.25">
      <c r="A1236" s="2">
        <v>43699</v>
      </c>
      <c r="B1236" s="18">
        <f t="shared" si="38"/>
        <v>2019</v>
      </c>
      <c r="C1236" s="18">
        <f t="shared" si="39"/>
        <v>8</v>
      </c>
      <c r="D1236" s="3" t="s">
        <v>1403</v>
      </c>
      <c r="E1236" s="3" t="s">
        <v>18</v>
      </c>
      <c r="F1236" s="3" t="s">
        <v>19</v>
      </c>
      <c r="G1236" s="3" t="s">
        <v>40</v>
      </c>
      <c r="H1236" s="3" t="s">
        <v>1055</v>
      </c>
      <c r="I1236" s="11">
        <v>5.76</v>
      </c>
      <c r="J1236" s="18">
        <v>2</v>
      </c>
      <c r="K1236" s="12">
        <v>1.6704000000000001</v>
      </c>
    </row>
    <row r="1237" spans="1:11" x14ac:dyDescent="0.25">
      <c r="A1237" s="4">
        <v>43700</v>
      </c>
      <c r="B1237" s="19">
        <f t="shared" si="38"/>
        <v>2019</v>
      </c>
      <c r="C1237" s="19">
        <f t="shared" si="39"/>
        <v>8</v>
      </c>
      <c r="D1237" s="5" t="s">
        <v>1404</v>
      </c>
      <c r="E1237" s="5" t="s">
        <v>23</v>
      </c>
      <c r="F1237" s="5" t="s">
        <v>19</v>
      </c>
      <c r="G1237" s="5" t="s">
        <v>20</v>
      </c>
      <c r="H1237" s="5" t="s">
        <v>1405</v>
      </c>
      <c r="I1237" s="13">
        <v>727.29600000000005</v>
      </c>
      <c r="J1237" s="19">
        <v>8</v>
      </c>
      <c r="K1237" s="14">
        <v>-172.7328</v>
      </c>
    </row>
    <row r="1238" spans="1:11" x14ac:dyDescent="0.25">
      <c r="A1238" s="2">
        <v>43700</v>
      </c>
      <c r="B1238" s="18">
        <f t="shared" si="38"/>
        <v>2019</v>
      </c>
      <c r="C1238" s="18">
        <f t="shared" si="39"/>
        <v>8</v>
      </c>
      <c r="D1238" s="3" t="s">
        <v>1404</v>
      </c>
      <c r="E1238" s="3" t="s">
        <v>23</v>
      </c>
      <c r="F1238" s="3" t="s">
        <v>11</v>
      </c>
      <c r="G1238" s="3" t="s">
        <v>51</v>
      </c>
      <c r="H1238" s="3" t="s">
        <v>736</v>
      </c>
      <c r="I1238" s="11">
        <v>22.608000000000001</v>
      </c>
      <c r="J1238" s="18">
        <v>3</v>
      </c>
      <c r="K1238" s="12">
        <v>-10.1736</v>
      </c>
    </row>
    <row r="1239" spans="1:11" x14ac:dyDescent="0.25">
      <c r="A1239" s="4">
        <v>43700</v>
      </c>
      <c r="B1239" s="19">
        <f t="shared" si="38"/>
        <v>2019</v>
      </c>
      <c r="C1239" s="19">
        <f t="shared" si="39"/>
        <v>8</v>
      </c>
      <c r="D1239" s="5" t="s">
        <v>1404</v>
      </c>
      <c r="E1239" s="5" t="s">
        <v>23</v>
      </c>
      <c r="F1239" s="5" t="s">
        <v>14</v>
      </c>
      <c r="G1239" s="5" t="s">
        <v>24</v>
      </c>
      <c r="H1239" s="5" t="s">
        <v>1406</v>
      </c>
      <c r="I1239" s="13">
        <v>666.4</v>
      </c>
      <c r="J1239" s="19">
        <v>7</v>
      </c>
      <c r="K1239" s="14">
        <v>-33.32</v>
      </c>
    </row>
    <row r="1240" spans="1:11" x14ac:dyDescent="0.25">
      <c r="A1240" s="2">
        <v>43700</v>
      </c>
      <c r="B1240" s="18">
        <f t="shared" si="38"/>
        <v>2019</v>
      </c>
      <c r="C1240" s="18">
        <f t="shared" si="39"/>
        <v>8</v>
      </c>
      <c r="D1240" s="3" t="s">
        <v>1407</v>
      </c>
      <c r="E1240" s="3" t="s">
        <v>70</v>
      </c>
      <c r="F1240" s="3" t="s">
        <v>14</v>
      </c>
      <c r="G1240" s="3" t="s">
        <v>188</v>
      </c>
      <c r="H1240" s="3" t="s">
        <v>940</v>
      </c>
      <c r="I1240" s="11">
        <v>837.6</v>
      </c>
      <c r="J1240" s="18">
        <v>3</v>
      </c>
      <c r="K1240" s="12">
        <v>62.82</v>
      </c>
    </row>
    <row r="1241" spans="1:11" x14ac:dyDescent="0.25">
      <c r="A1241" s="4">
        <v>43700</v>
      </c>
      <c r="B1241" s="19">
        <f t="shared" si="38"/>
        <v>2019</v>
      </c>
      <c r="C1241" s="19">
        <f t="shared" si="39"/>
        <v>8</v>
      </c>
      <c r="D1241" s="5" t="s">
        <v>1407</v>
      </c>
      <c r="E1241" s="5" t="s">
        <v>70</v>
      </c>
      <c r="F1241" s="5" t="s">
        <v>19</v>
      </c>
      <c r="G1241" s="5" t="s">
        <v>86</v>
      </c>
      <c r="H1241" s="5" t="s">
        <v>1324</v>
      </c>
      <c r="I1241" s="13">
        <v>135.9</v>
      </c>
      <c r="J1241" s="19">
        <v>5</v>
      </c>
      <c r="K1241" s="14">
        <v>63.872999999999998</v>
      </c>
    </row>
    <row r="1242" spans="1:11" x14ac:dyDescent="0.25">
      <c r="A1242" s="2">
        <v>43700</v>
      </c>
      <c r="B1242" s="18">
        <f t="shared" si="38"/>
        <v>2019</v>
      </c>
      <c r="C1242" s="18">
        <f t="shared" si="39"/>
        <v>8</v>
      </c>
      <c r="D1242" s="3" t="s">
        <v>1407</v>
      </c>
      <c r="E1242" s="3" t="s">
        <v>70</v>
      </c>
      <c r="F1242" s="3" t="s">
        <v>19</v>
      </c>
      <c r="G1242" s="3" t="s">
        <v>53</v>
      </c>
      <c r="H1242" s="3" t="s">
        <v>1039</v>
      </c>
      <c r="I1242" s="11">
        <v>34.68</v>
      </c>
      <c r="J1242" s="18">
        <v>6</v>
      </c>
      <c r="K1242" s="12">
        <v>16.993200000000002</v>
      </c>
    </row>
    <row r="1243" spans="1:11" x14ac:dyDescent="0.25">
      <c r="A1243" s="4">
        <v>43700</v>
      </c>
      <c r="B1243" s="19">
        <f t="shared" si="38"/>
        <v>2019</v>
      </c>
      <c r="C1243" s="19">
        <f t="shared" si="39"/>
        <v>8</v>
      </c>
      <c r="D1243" s="5" t="s">
        <v>1407</v>
      </c>
      <c r="E1243" s="5" t="s">
        <v>70</v>
      </c>
      <c r="F1243" s="5" t="s">
        <v>11</v>
      </c>
      <c r="G1243" s="5" t="s">
        <v>112</v>
      </c>
      <c r="H1243" s="5" t="s">
        <v>911</v>
      </c>
      <c r="I1243" s="13">
        <v>532.70399999999995</v>
      </c>
      <c r="J1243" s="19">
        <v>6</v>
      </c>
      <c r="K1243" s="14">
        <v>-39.952800000000003</v>
      </c>
    </row>
    <row r="1244" spans="1:11" x14ac:dyDescent="0.25">
      <c r="A1244" s="2">
        <v>43700</v>
      </c>
      <c r="B1244" s="18">
        <f t="shared" si="38"/>
        <v>2019</v>
      </c>
      <c r="C1244" s="18">
        <f t="shared" si="39"/>
        <v>8</v>
      </c>
      <c r="D1244" s="3" t="s">
        <v>1407</v>
      </c>
      <c r="E1244" s="3" t="s">
        <v>70</v>
      </c>
      <c r="F1244" s="3" t="s">
        <v>19</v>
      </c>
      <c r="G1244" s="3" t="s">
        <v>121</v>
      </c>
      <c r="H1244" s="3" t="s">
        <v>1408</v>
      </c>
      <c r="I1244" s="11">
        <v>43.1</v>
      </c>
      <c r="J1244" s="18">
        <v>5</v>
      </c>
      <c r="K1244" s="12">
        <v>11.206</v>
      </c>
    </row>
    <row r="1245" spans="1:11" x14ac:dyDescent="0.25">
      <c r="A1245" s="4">
        <v>43700</v>
      </c>
      <c r="B1245" s="19">
        <f t="shared" si="38"/>
        <v>2019</v>
      </c>
      <c r="C1245" s="19">
        <f t="shared" si="39"/>
        <v>8</v>
      </c>
      <c r="D1245" s="5" t="s">
        <v>1407</v>
      </c>
      <c r="E1245" s="5" t="s">
        <v>70</v>
      </c>
      <c r="F1245" s="5" t="s">
        <v>19</v>
      </c>
      <c r="G1245" s="5" t="s">
        <v>265</v>
      </c>
      <c r="H1245" s="5" t="s">
        <v>1409</v>
      </c>
      <c r="I1245" s="13">
        <v>15.88</v>
      </c>
      <c r="J1245" s="19">
        <v>4</v>
      </c>
      <c r="K1245" s="14">
        <v>0.1588</v>
      </c>
    </row>
    <row r="1246" spans="1:11" x14ac:dyDescent="0.25">
      <c r="A1246" s="2">
        <v>43700</v>
      </c>
      <c r="B1246" s="18">
        <f t="shared" si="38"/>
        <v>2019</v>
      </c>
      <c r="C1246" s="18">
        <f t="shared" si="39"/>
        <v>8</v>
      </c>
      <c r="D1246" s="3" t="s">
        <v>1244</v>
      </c>
      <c r="E1246" s="3" t="s">
        <v>94</v>
      </c>
      <c r="F1246" s="3" t="s">
        <v>19</v>
      </c>
      <c r="G1246" s="3" t="s">
        <v>40</v>
      </c>
      <c r="H1246" s="3" t="s">
        <v>572</v>
      </c>
      <c r="I1246" s="11">
        <v>21.3</v>
      </c>
      <c r="J1246" s="18">
        <v>5</v>
      </c>
      <c r="K1246" s="12">
        <v>8.7330000000000005</v>
      </c>
    </row>
    <row r="1247" spans="1:11" x14ac:dyDescent="0.25">
      <c r="A1247" s="4">
        <v>43700</v>
      </c>
      <c r="B1247" s="19">
        <f t="shared" si="38"/>
        <v>2019</v>
      </c>
      <c r="C1247" s="19">
        <f t="shared" si="39"/>
        <v>8</v>
      </c>
      <c r="D1247" s="5" t="s">
        <v>1244</v>
      </c>
      <c r="E1247" s="5" t="s">
        <v>94</v>
      </c>
      <c r="F1247" s="5" t="s">
        <v>19</v>
      </c>
      <c r="G1247" s="5" t="s">
        <v>121</v>
      </c>
      <c r="H1247" s="5" t="s">
        <v>1030</v>
      </c>
      <c r="I1247" s="13">
        <v>1040.8</v>
      </c>
      <c r="J1247" s="19">
        <v>5</v>
      </c>
      <c r="K1247" s="14">
        <v>281.01600000000002</v>
      </c>
    </row>
    <row r="1248" spans="1:11" x14ac:dyDescent="0.25">
      <c r="A1248" s="2">
        <v>43700</v>
      </c>
      <c r="B1248" s="18">
        <f t="shared" si="38"/>
        <v>2019</v>
      </c>
      <c r="C1248" s="18">
        <f t="shared" si="39"/>
        <v>8</v>
      </c>
      <c r="D1248" s="3" t="s">
        <v>1244</v>
      </c>
      <c r="E1248" s="3" t="s">
        <v>94</v>
      </c>
      <c r="F1248" s="3" t="s">
        <v>19</v>
      </c>
      <c r="G1248" s="3" t="s">
        <v>40</v>
      </c>
      <c r="H1248" s="3" t="s">
        <v>1410</v>
      </c>
      <c r="I1248" s="11">
        <v>29.34</v>
      </c>
      <c r="J1248" s="18">
        <v>6</v>
      </c>
      <c r="K1248" s="12">
        <v>7.9218000000000002</v>
      </c>
    </row>
    <row r="1249" spans="1:11" x14ac:dyDescent="0.25">
      <c r="A1249" s="4">
        <v>43700</v>
      </c>
      <c r="B1249" s="19">
        <f t="shared" si="38"/>
        <v>2019</v>
      </c>
      <c r="C1249" s="19">
        <f t="shared" si="39"/>
        <v>8</v>
      </c>
      <c r="D1249" s="5" t="s">
        <v>1383</v>
      </c>
      <c r="E1249" s="5" t="s">
        <v>56</v>
      </c>
      <c r="F1249" s="5" t="s">
        <v>19</v>
      </c>
      <c r="G1249" s="5" t="s">
        <v>127</v>
      </c>
      <c r="H1249" s="5" t="s">
        <v>1185</v>
      </c>
      <c r="I1249" s="13">
        <v>25.2</v>
      </c>
      <c r="J1249" s="19">
        <v>4</v>
      </c>
      <c r="K1249" s="14">
        <v>11.592000000000001</v>
      </c>
    </row>
    <row r="1250" spans="1:11" x14ac:dyDescent="0.25">
      <c r="A1250" s="2">
        <v>43700</v>
      </c>
      <c r="B1250" s="18">
        <f t="shared" si="38"/>
        <v>2019</v>
      </c>
      <c r="C1250" s="18">
        <f t="shared" si="39"/>
        <v>8</v>
      </c>
      <c r="D1250" s="3" t="s">
        <v>1383</v>
      </c>
      <c r="E1250" s="3" t="s">
        <v>56</v>
      </c>
      <c r="F1250" s="3" t="s">
        <v>19</v>
      </c>
      <c r="G1250" s="3" t="s">
        <v>127</v>
      </c>
      <c r="H1250" s="3" t="s">
        <v>1411</v>
      </c>
      <c r="I1250" s="11">
        <v>37.590000000000003</v>
      </c>
      <c r="J1250" s="18">
        <v>3</v>
      </c>
      <c r="K1250" s="12">
        <v>17.667300000000001</v>
      </c>
    </row>
    <row r="1251" spans="1:11" x14ac:dyDescent="0.25">
      <c r="A1251" s="4">
        <v>43700</v>
      </c>
      <c r="B1251" s="19">
        <f t="shared" si="38"/>
        <v>2019</v>
      </c>
      <c r="C1251" s="19">
        <f t="shared" si="39"/>
        <v>8</v>
      </c>
      <c r="D1251" s="5" t="s">
        <v>1383</v>
      </c>
      <c r="E1251" s="5" t="s">
        <v>56</v>
      </c>
      <c r="F1251" s="5" t="s">
        <v>19</v>
      </c>
      <c r="G1251" s="5" t="s">
        <v>20</v>
      </c>
      <c r="H1251" s="5" t="s">
        <v>700</v>
      </c>
      <c r="I1251" s="13">
        <v>14.97</v>
      </c>
      <c r="J1251" s="19">
        <v>1</v>
      </c>
      <c r="K1251" s="14">
        <v>4.1916000000000002</v>
      </c>
    </row>
    <row r="1252" spans="1:11" x14ac:dyDescent="0.25">
      <c r="A1252" s="2">
        <v>43700</v>
      </c>
      <c r="B1252" s="18">
        <f t="shared" si="38"/>
        <v>2019</v>
      </c>
      <c r="C1252" s="18">
        <f t="shared" si="39"/>
        <v>8</v>
      </c>
      <c r="D1252" s="3" t="s">
        <v>1383</v>
      </c>
      <c r="E1252" s="3" t="s">
        <v>56</v>
      </c>
      <c r="F1252" s="3" t="s">
        <v>14</v>
      </c>
      <c r="G1252" s="3" t="s">
        <v>24</v>
      </c>
      <c r="H1252" s="3" t="s">
        <v>1412</v>
      </c>
      <c r="I1252" s="11">
        <v>1.98</v>
      </c>
      <c r="J1252" s="18">
        <v>2</v>
      </c>
      <c r="K1252" s="12">
        <v>0.89100000000000001</v>
      </c>
    </row>
    <row r="1253" spans="1:11" x14ac:dyDescent="0.25">
      <c r="A1253" s="4">
        <v>43703</v>
      </c>
      <c r="B1253" s="19">
        <f t="shared" si="38"/>
        <v>2019</v>
      </c>
      <c r="C1253" s="19">
        <f t="shared" si="39"/>
        <v>8</v>
      </c>
      <c r="D1253" s="5" t="s">
        <v>1138</v>
      </c>
      <c r="E1253" s="5" t="s">
        <v>18</v>
      </c>
      <c r="F1253" s="5" t="s">
        <v>19</v>
      </c>
      <c r="G1253" s="5" t="s">
        <v>116</v>
      </c>
      <c r="H1253" s="5" t="s">
        <v>1413</v>
      </c>
      <c r="I1253" s="13">
        <v>10.23</v>
      </c>
      <c r="J1253" s="19">
        <v>3</v>
      </c>
      <c r="K1253" s="14">
        <v>4.9104000000000001</v>
      </c>
    </row>
    <row r="1254" spans="1:11" x14ac:dyDescent="0.25">
      <c r="A1254" s="2">
        <v>43703</v>
      </c>
      <c r="B1254" s="18">
        <f t="shared" si="38"/>
        <v>2019</v>
      </c>
      <c r="C1254" s="18">
        <f t="shared" si="39"/>
        <v>8</v>
      </c>
      <c r="D1254" s="3" t="s">
        <v>1138</v>
      </c>
      <c r="E1254" s="3" t="s">
        <v>18</v>
      </c>
      <c r="F1254" s="3" t="s">
        <v>19</v>
      </c>
      <c r="G1254" s="3" t="s">
        <v>53</v>
      </c>
      <c r="H1254" s="3" t="s">
        <v>1414</v>
      </c>
      <c r="I1254" s="11">
        <v>154.9</v>
      </c>
      <c r="J1254" s="18">
        <v>5</v>
      </c>
      <c r="K1254" s="12">
        <v>69.704999999999998</v>
      </c>
    </row>
    <row r="1255" spans="1:11" x14ac:dyDescent="0.25">
      <c r="A1255" s="4">
        <v>43703</v>
      </c>
      <c r="B1255" s="19">
        <f t="shared" si="38"/>
        <v>2019</v>
      </c>
      <c r="C1255" s="19">
        <f t="shared" si="39"/>
        <v>8</v>
      </c>
      <c r="D1255" s="5" t="s">
        <v>880</v>
      </c>
      <c r="E1255" s="5" t="s">
        <v>23</v>
      </c>
      <c r="F1255" s="5" t="s">
        <v>14</v>
      </c>
      <c r="G1255" s="5" t="s">
        <v>24</v>
      </c>
      <c r="H1255" s="5" t="s">
        <v>1415</v>
      </c>
      <c r="I1255" s="13">
        <v>159.98400000000001</v>
      </c>
      <c r="J1255" s="19">
        <v>2</v>
      </c>
      <c r="K1255" s="14">
        <v>43.995600000000003</v>
      </c>
    </row>
    <row r="1256" spans="1:11" x14ac:dyDescent="0.25">
      <c r="A1256" s="2">
        <v>43703</v>
      </c>
      <c r="B1256" s="18">
        <f t="shared" si="38"/>
        <v>2019</v>
      </c>
      <c r="C1256" s="18">
        <f t="shared" si="39"/>
        <v>8</v>
      </c>
      <c r="D1256" s="3" t="s">
        <v>880</v>
      </c>
      <c r="E1256" s="3" t="s">
        <v>23</v>
      </c>
      <c r="F1256" s="3" t="s">
        <v>11</v>
      </c>
      <c r="G1256" s="3" t="s">
        <v>112</v>
      </c>
      <c r="H1256" s="3" t="s">
        <v>1163</v>
      </c>
      <c r="I1256" s="11">
        <v>1024.7159999999999</v>
      </c>
      <c r="J1256" s="18">
        <v>6</v>
      </c>
      <c r="K1256" s="12">
        <v>-29.2776</v>
      </c>
    </row>
    <row r="1257" spans="1:11" x14ac:dyDescent="0.25">
      <c r="A1257" s="4">
        <v>43703</v>
      </c>
      <c r="B1257" s="19">
        <f t="shared" si="38"/>
        <v>2019</v>
      </c>
      <c r="C1257" s="19">
        <f t="shared" si="39"/>
        <v>8</v>
      </c>
      <c r="D1257" s="5" t="s">
        <v>1342</v>
      </c>
      <c r="E1257" s="5" t="s">
        <v>70</v>
      </c>
      <c r="F1257" s="5" t="s">
        <v>19</v>
      </c>
      <c r="G1257" s="5" t="s">
        <v>53</v>
      </c>
      <c r="H1257" s="5" t="s">
        <v>577</v>
      </c>
      <c r="I1257" s="13">
        <v>6.48</v>
      </c>
      <c r="J1257" s="19">
        <v>1</v>
      </c>
      <c r="K1257" s="14">
        <v>3.1103999999999998</v>
      </c>
    </row>
    <row r="1258" spans="1:11" x14ac:dyDescent="0.25">
      <c r="A1258" s="2">
        <v>43703</v>
      </c>
      <c r="B1258" s="18">
        <f t="shared" si="38"/>
        <v>2019</v>
      </c>
      <c r="C1258" s="18">
        <f t="shared" si="39"/>
        <v>8</v>
      </c>
      <c r="D1258" s="3" t="s">
        <v>1416</v>
      </c>
      <c r="E1258" s="3" t="s">
        <v>18</v>
      </c>
      <c r="F1258" s="3" t="s">
        <v>11</v>
      </c>
      <c r="G1258" s="3" t="s">
        <v>112</v>
      </c>
      <c r="H1258" s="3" t="s">
        <v>948</v>
      </c>
      <c r="I1258" s="11">
        <v>1603.136</v>
      </c>
      <c r="J1258" s="18">
        <v>4</v>
      </c>
      <c r="K1258" s="12">
        <v>100.196</v>
      </c>
    </row>
    <row r="1259" spans="1:11" x14ac:dyDescent="0.25">
      <c r="A1259" s="4">
        <v>43703</v>
      </c>
      <c r="B1259" s="19">
        <f t="shared" si="38"/>
        <v>2019</v>
      </c>
      <c r="C1259" s="19">
        <f t="shared" si="39"/>
        <v>8</v>
      </c>
      <c r="D1259" s="5" t="s">
        <v>487</v>
      </c>
      <c r="E1259" s="5" t="s">
        <v>39</v>
      </c>
      <c r="F1259" s="5" t="s">
        <v>19</v>
      </c>
      <c r="G1259" s="5" t="s">
        <v>40</v>
      </c>
      <c r="H1259" s="5" t="s">
        <v>1417</v>
      </c>
      <c r="I1259" s="13">
        <v>5.4720000000000004</v>
      </c>
      <c r="J1259" s="19">
        <v>3</v>
      </c>
      <c r="K1259" s="14">
        <v>1.6415999999999999</v>
      </c>
    </row>
    <row r="1260" spans="1:11" x14ac:dyDescent="0.25">
      <c r="A1260" s="2">
        <v>43703</v>
      </c>
      <c r="B1260" s="18">
        <f t="shared" si="38"/>
        <v>2019</v>
      </c>
      <c r="C1260" s="18">
        <f t="shared" si="39"/>
        <v>8</v>
      </c>
      <c r="D1260" s="3" t="s">
        <v>487</v>
      </c>
      <c r="E1260" s="3" t="s">
        <v>39</v>
      </c>
      <c r="F1260" s="3" t="s">
        <v>14</v>
      </c>
      <c r="G1260" s="3" t="s">
        <v>24</v>
      </c>
      <c r="H1260" s="3" t="s">
        <v>553</v>
      </c>
      <c r="I1260" s="11">
        <v>47.984000000000002</v>
      </c>
      <c r="J1260" s="18">
        <v>2</v>
      </c>
      <c r="K1260" s="12">
        <v>13.195600000000001</v>
      </c>
    </row>
    <row r="1261" spans="1:11" x14ac:dyDescent="0.25">
      <c r="A1261" s="4">
        <v>43703</v>
      </c>
      <c r="B1261" s="19">
        <f t="shared" si="38"/>
        <v>2019</v>
      </c>
      <c r="C1261" s="19">
        <f t="shared" si="39"/>
        <v>8</v>
      </c>
      <c r="D1261" s="5" t="s">
        <v>1418</v>
      </c>
      <c r="E1261" s="5" t="s">
        <v>18</v>
      </c>
      <c r="F1261" s="5" t="s">
        <v>19</v>
      </c>
      <c r="G1261" s="5" t="s">
        <v>40</v>
      </c>
      <c r="H1261" s="5" t="s">
        <v>1419</v>
      </c>
      <c r="I1261" s="13">
        <v>8.26</v>
      </c>
      <c r="J1261" s="19">
        <v>2</v>
      </c>
      <c r="K1261" s="14">
        <v>3.7995999999999999</v>
      </c>
    </row>
    <row r="1262" spans="1:11" x14ac:dyDescent="0.25">
      <c r="A1262" s="2">
        <v>43703</v>
      </c>
      <c r="B1262" s="18">
        <f t="shared" si="38"/>
        <v>2019</v>
      </c>
      <c r="C1262" s="18">
        <f t="shared" si="39"/>
        <v>8</v>
      </c>
      <c r="D1262" s="3" t="s">
        <v>485</v>
      </c>
      <c r="E1262" s="3" t="s">
        <v>94</v>
      </c>
      <c r="F1262" s="3" t="s">
        <v>14</v>
      </c>
      <c r="G1262" s="3" t="s">
        <v>15</v>
      </c>
      <c r="H1262" s="3" t="s">
        <v>1420</v>
      </c>
      <c r="I1262" s="11">
        <v>33</v>
      </c>
      <c r="J1262" s="18">
        <v>6</v>
      </c>
      <c r="K1262" s="12">
        <v>8.25</v>
      </c>
    </row>
    <row r="1263" spans="1:11" x14ac:dyDescent="0.25">
      <c r="A1263" s="4">
        <v>43703</v>
      </c>
      <c r="B1263" s="19">
        <f t="shared" si="38"/>
        <v>2019</v>
      </c>
      <c r="C1263" s="19">
        <f t="shared" si="39"/>
        <v>8</v>
      </c>
      <c r="D1263" s="5" t="s">
        <v>485</v>
      </c>
      <c r="E1263" s="5" t="s">
        <v>94</v>
      </c>
      <c r="F1263" s="5" t="s">
        <v>14</v>
      </c>
      <c r="G1263" s="5" t="s">
        <v>24</v>
      </c>
      <c r="H1263" s="5" t="s">
        <v>378</v>
      </c>
      <c r="I1263" s="13">
        <v>249.95</v>
      </c>
      <c r="J1263" s="19">
        <v>5</v>
      </c>
      <c r="K1263" s="14">
        <v>87.482500000000002</v>
      </c>
    </row>
    <row r="1264" spans="1:11" x14ac:dyDescent="0.25">
      <c r="A1264" s="2">
        <v>43703</v>
      </c>
      <c r="B1264" s="18">
        <f t="shared" si="38"/>
        <v>2019</v>
      </c>
      <c r="C1264" s="18">
        <f t="shared" si="39"/>
        <v>8</v>
      </c>
      <c r="D1264" s="3" t="s">
        <v>1421</v>
      </c>
      <c r="E1264" s="3" t="s">
        <v>56</v>
      </c>
      <c r="F1264" s="3" t="s">
        <v>14</v>
      </c>
      <c r="G1264" s="3" t="s">
        <v>24</v>
      </c>
      <c r="H1264" s="3" t="s">
        <v>1422</v>
      </c>
      <c r="I1264" s="11">
        <v>47.97</v>
      </c>
      <c r="J1264" s="18">
        <v>3</v>
      </c>
      <c r="K1264" s="12">
        <v>14.870699999999999</v>
      </c>
    </row>
    <row r="1265" spans="1:11" x14ac:dyDescent="0.25">
      <c r="A1265" s="4">
        <v>43703</v>
      </c>
      <c r="B1265" s="19">
        <f t="shared" si="38"/>
        <v>2019</v>
      </c>
      <c r="C1265" s="19">
        <f t="shared" si="39"/>
        <v>8</v>
      </c>
      <c r="D1265" s="5" t="s">
        <v>1230</v>
      </c>
      <c r="E1265" s="5" t="s">
        <v>365</v>
      </c>
      <c r="F1265" s="5" t="s">
        <v>19</v>
      </c>
      <c r="G1265" s="5" t="s">
        <v>53</v>
      </c>
      <c r="H1265" s="5" t="s">
        <v>1423</v>
      </c>
      <c r="I1265" s="13">
        <v>11.56</v>
      </c>
      <c r="J1265" s="19">
        <v>2</v>
      </c>
      <c r="K1265" s="14">
        <v>5.6643999999999997</v>
      </c>
    </row>
    <row r="1266" spans="1:11" x14ac:dyDescent="0.25">
      <c r="A1266" s="2">
        <v>43703</v>
      </c>
      <c r="B1266" s="18">
        <f t="shared" si="38"/>
        <v>2019</v>
      </c>
      <c r="C1266" s="18">
        <f t="shared" si="39"/>
        <v>8</v>
      </c>
      <c r="D1266" s="3" t="s">
        <v>1230</v>
      </c>
      <c r="E1266" s="3" t="s">
        <v>365</v>
      </c>
      <c r="F1266" s="3" t="s">
        <v>14</v>
      </c>
      <c r="G1266" s="3" t="s">
        <v>15</v>
      </c>
      <c r="H1266" s="3" t="s">
        <v>1424</v>
      </c>
      <c r="I1266" s="11">
        <v>209.97</v>
      </c>
      <c r="J1266" s="18">
        <v>3</v>
      </c>
      <c r="K1266" s="12">
        <v>58.791600000000003</v>
      </c>
    </row>
    <row r="1267" spans="1:11" x14ac:dyDescent="0.25">
      <c r="A1267" s="4">
        <v>43703</v>
      </c>
      <c r="B1267" s="19">
        <f t="shared" si="38"/>
        <v>2019</v>
      </c>
      <c r="C1267" s="19">
        <f t="shared" si="39"/>
        <v>8</v>
      </c>
      <c r="D1267" s="5" t="s">
        <v>1230</v>
      </c>
      <c r="E1267" s="5" t="s">
        <v>365</v>
      </c>
      <c r="F1267" s="5" t="s">
        <v>11</v>
      </c>
      <c r="G1267" s="5" t="s">
        <v>30</v>
      </c>
      <c r="H1267" s="5" t="s">
        <v>1425</v>
      </c>
      <c r="I1267" s="13">
        <v>447.84</v>
      </c>
      <c r="J1267" s="19">
        <v>4</v>
      </c>
      <c r="K1267" s="14">
        <v>98.524799999999999</v>
      </c>
    </row>
    <row r="1268" spans="1:11" x14ac:dyDescent="0.25">
      <c r="A1268" s="2">
        <v>43703</v>
      </c>
      <c r="B1268" s="18">
        <f t="shared" si="38"/>
        <v>2019</v>
      </c>
      <c r="C1268" s="18">
        <f t="shared" si="39"/>
        <v>8</v>
      </c>
      <c r="D1268" s="3" t="s">
        <v>1230</v>
      </c>
      <c r="E1268" s="3" t="s">
        <v>365</v>
      </c>
      <c r="F1268" s="3" t="s">
        <v>14</v>
      </c>
      <c r="G1268" s="3" t="s">
        <v>24</v>
      </c>
      <c r="H1268" s="3" t="s">
        <v>1426</v>
      </c>
      <c r="I1268" s="11">
        <v>479.97</v>
      </c>
      <c r="J1268" s="18">
        <v>3</v>
      </c>
      <c r="K1268" s="12">
        <v>163.18979999999999</v>
      </c>
    </row>
    <row r="1269" spans="1:11" x14ac:dyDescent="0.25">
      <c r="A1269" s="4">
        <v>43703</v>
      </c>
      <c r="B1269" s="19">
        <f t="shared" si="38"/>
        <v>2019</v>
      </c>
      <c r="C1269" s="19">
        <f t="shared" si="39"/>
        <v>8</v>
      </c>
      <c r="D1269" s="5" t="s">
        <v>1230</v>
      </c>
      <c r="E1269" s="5" t="s">
        <v>365</v>
      </c>
      <c r="F1269" s="5" t="s">
        <v>19</v>
      </c>
      <c r="G1269" s="5" t="s">
        <v>40</v>
      </c>
      <c r="H1269" s="5" t="s">
        <v>1427</v>
      </c>
      <c r="I1269" s="13">
        <v>8.64</v>
      </c>
      <c r="J1269" s="19">
        <v>3</v>
      </c>
      <c r="K1269" s="14">
        <v>2.5055999999999998</v>
      </c>
    </row>
    <row r="1270" spans="1:11" x14ac:dyDescent="0.25">
      <c r="A1270" s="2">
        <v>43703</v>
      </c>
      <c r="B1270" s="18">
        <f t="shared" si="38"/>
        <v>2019</v>
      </c>
      <c r="C1270" s="18">
        <f t="shared" si="39"/>
        <v>8</v>
      </c>
      <c r="D1270" s="3" t="s">
        <v>1428</v>
      </c>
      <c r="E1270" s="3" t="s">
        <v>109</v>
      </c>
      <c r="F1270" s="3" t="s">
        <v>11</v>
      </c>
      <c r="G1270" s="3" t="s">
        <v>51</v>
      </c>
      <c r="H1270" s="3" t="s">
        <v>1429</v>
      </c>
      <c r="I1270" s="11">
        <v>186.54</v>
      </c>
      <c r="J1270" s="18">
        <v>3</v>
      </c>
      <c r="K1270" s="12">
        <v>41.038800000000002</v>
      </c>
    </row>
    <row r="1271" spans="1:11" x14ac:dyDescent="0.25">
      <c r="A1271" s="4">
        <v>43703</v>
      </c>
      <c r="B1271" s="19">
        <f t="shared" si="38"/>
        <v>2019</v>
      </c>
      <c r="C1271" s="19">
        <f t="shared" si="39"/>
        <v>8</v>
      </c>
      <c r="D1271" s="5" t="s">
        <v>737</v>
      </c>
      <c r="E1271" s="5" t="s">
        <v>94</v>
      </c>
      <c r="F1271" s="5" t="s">
        <v>19</v>
      </c>
      <c r="G1271" s="5" t="s">
        <v>32</v>
      </c>
      <c r="H1271" s="5" t="s">
        <v>1430</v>
      </c>
      <c r="I1271" s="13">
        <v>146.68799999999999</v>
      </c>
      <c r="J1271" s="19">
        <v>8</v>
      </c>
      <c r="K1271" s="14">
        <v>45.84</v>
      </c>
    </row>
    <row r="1272" spans="1:11" x14ac:dyDescent="0.25">
      <c r="A1272" s="2">
        <v>43703</v>
      </c>
      <c r="B1272" s="18">
        <f t="shared" si="38"/>
        <v>2019</v>
      </c>
      <c r="C1272" s="18">
        <f t="shared" si="39"/>
        <v>8</v>
      </c>
      <c r="D1272" s="3" t="s">
        <v>1431</v>
      </c>
      <c r="E1272" s="3" t="s">
        <v>44</v>
      </c>
      <c r="F1272" s="3" t="s">
        <v>19</v>
      </c>
      <c r="G1272" s="3" t="s">
        <v>53</v>
      </c>
      <c r="H1272" s="3" t="s">
        <v>1432</v>
      </c>
      <c r="I1272" s="11">
        <v>31.007999999999999</v>
      </c>
      <c r="J1272" s="18">
        <v>1</v>
      </c>
      <c r="K1272" s="12">
        <v>11.240399999999999</v>
      </c>
    </row>
    <row r="1273" spans="1:11" x14ac:dyDescent="0.25">
      <c r="A1273" s="4">
        <v>43704</v>
      </c>
      <c r="B1273" s="19">
        <f t="shared" si="38"/>
        <v>2019</v>
      </c>
      <c r="C1273" s="19">
        <f t="shared" si="39"/>
        <v>8</v>
      </c>
      <c r="D1273" s="5" t="s">
        <v>1433</v>
      </c>
      <c r="E1273" s="5" t="s">
        <v>23</v>
      </c>
      <c r="F1273" s="5" t="s">
        <v>19</v>
      </c>
      <c r="G1273" s="5" t="s">
        <v>265</v>
      </c>
      <c r="H1273" s="5" t="s">
        <v>1434</v>
      </c>
      <c r="I1273" s="13">
        <v>51.52</v>
      </c>
      <c r="J1273" s="19">
        <v>5</v>
      </c>
      <c r="K1273" s="14">
        <v>-10.948</v>
      </c>
    </row>
    <row r="1274" spans="1:11" x14ac:dyDescent="0.25">
      <c r="A1274" s="2">
        <v>43704</v>
      </c>
      <c r="B1274" s="18">
        <f t="shared" si="38"/>
        <v>2019</v>
      </c>
      <c r="C1274" s="18">
        <f t="shared" si="39"/>
        <v>8</v>
      </c>
      <c r="D1274" s="3" t="s">
        <v>1433</v>
      </c>
      <c r="E1274" s="3" t="s">
        <v>23</v>
      </c>
      <c r="F1274" s="3" t="s">
        <v>19</v>
      </c>
      <c r="G1274" s="3" t="s">
        <v>53</v>
      </c>
      <c r="H1274" s="3" t="s">
        <v>1435</v>
      </c>
      <c r="I1274" s="11">
        <v>3.528</v>
      </c>
      <c r="J1274" s="18">
        <v>1</v>
      </c>
      <c r="K1274" s="12">
        <v>1.1466000000000001</v>
      </c>
    </row>
    <row r="1275" spans="1:11" x14ac:dyDescent="0.25">
      <c r="A1275" s="4">
        <v>43704</v>
      </c>
      <c r="B1275" s="19">
        <f t="shared" si="38"/>
        <v>2019</v>
      </c>
      <c r="C1275" s="19">
        <f t="shared" si="39"/>
        <v>8</v>
      </c>
      <c r="D1275" s="5" t="s">
        <v>1433</v>
      </c>
      <c r="E1275" s="5" t="s">
        <v>23</v>
      </c>
      <c r="F1275" s="5" t="s">
        <v>19</v>
      </c>
      <c r="G1275" s="5" t="s">
        <v>53</v>
      </c>
      <c r="H1275" s="5" t="s">
        <v>854</v>
      </c>
      <c r="I1275" s="13">
        <v>4.6239999999999997</v>
      </c>
      <c r="J1275" s="19">
        <v>1</v>
      </c>
      <c r="K1275" s="14">
        <v>1.6761999999999999</v>
      </c>
    </row>
    <row r="1276" spans="1:11" x14ac:dyDescent="0.25">
      <c r="A1276" s="2">
        <v>43704</v>
      </c>
      <c r="B1276" s="18">
        <f t="shared" si="38"/>
        <v>2019</v>
      </c>
      <c r="C1276" s="18">
        <f t="shared" si="39"/>
        <v>8</v>
      </c>
      <c r="D1276" s="3" t="s">
        <v>1433</v>
      </c>
      <c r="E1276" s="3" t="s">
        <v>23</v>
      </c>
      <c r="F1276" s="3" t="s">
        <v>19</v>
      </c>
      <c r="G1276" s="3" t="s">
        <v>265</v>
      </c>
      <c r="H1276" s="3" t="s">
        <v>1270</v>
      </c>
      <c r="I1276" s="11">
        <v>55.167999999999999</v>
      </c>
      <c r="J1276" s="18">
        <v>4</v>
      </c>
      <c r="K1276" s="12">
        <v>6.2064000000000004</v>
      </c>
    </row>
    <row r="1277" spans="1:11" x14ac:dyDescent="0.25">
      <c r="A1277" s="4">
        <v>43704</v>
      </c>
      <c r="B1277" s="19">
        <f t="shared" si="38"/>
        <v>2019</v>
      </c>
      <c r="C1277" s="19">
        <f t="shared" si="39"/>
        <v>8</v>
      </c>
      <c r="D1277" s="5" t="s">
        <v>1066</v>
      </c>
      <c r="E1277" s="5" t="s">
        <v>370</v>
      </c>
      <c r="F1277" s="5" t="s">
        <v>19</v>
      </c>
      <c r="G1277" s="5" t="s">
        <v>53</v>
      </c>
      <c r="H1277" s="5" t="s">
        <v>1436</v>
      </c>
      <c r="I1277" s="13">
        <v>122.97</v>
      </c>
      <c r="J1277" s="19">
        <v>3</v>
      </c>
      <c r="K1277" s="14">
        <v>60.255299999999998</v>
      </c>
    </row>
    <row r="1278" spans="1:11" x14ac:dyDescent="0.25">
      <c r="A1278" s="2">
        <v>43704</v>
      </c>
      <c r="B1278" s="18">
        <f t="shared" si="38"/>
        <v>2019</v>
      </c>
      <c r="C1278" s="18">
        <f t="shared" si="39"/>
        <v>8</v>
      </c>
      <c r="D1278" s="3" t="s">
        <v>1066</v>
      </c>
      <c r="E1278" s="3" t="s">
        <v>370</v>
      </c>
      <c r="F1278" s="3" t="s">
        <v>11</v>
      </c>
      <c r="G1278" s="3" t="s">
        <v>30</v>
      </c>
      <c r="H1278" s="3" t="s">
        <v>1437</v>
      </c>
      <c r="I1278" s="11">
        <v>244.61500000000001</v>
      </c>
      <c r="J1278" s="18">
        <v>1</v>
      </c>
      <c r="K1278" s="12">
        <v>20.966999999999999</v>
      </c>
    </row>
    <row r="1279" spans="1:11" x14ac:dyDescent="0.25">
      <c r="A1279" s="4">
        <v>43704</v>
      </c>
      <c r="B1279" s="19">
        <f t="shared" si="38"/>
        <v>2019</v>
      </c>
      <c r="C1279" s="19">
        <f t="shared" si="39"/>
        <v>8</v>
      </c>
      <c r="D1279" s="5" t="s">
        <v>1066</v>
      </c>
      <c r="E1279" s="5" t="s">
        <v>370</v>
      </c>
      <c r="F1279" s="5" t="s">
        <v>14</v>
      </c>
      <c r="G1279" s="5" t="s">
        <v>15</v>
      </c>
      <c r="H1279" s="5" t="s">
        <v>979</v>
      </c>
      <c r="I1279" s="13">
        <v>59.97</v>
      </c>
      <c r="J1279" s="19">
        <v>3</v>
      </c>
      <c r="K1279" s="14">
        <v>28.785599999999999</v>
      </c>
    </row>
    <row r="1280" spans="1:11" x14ac:dyDescent="0.25">
      <c r="A1280" s="2">
        <v>43704</v>
      </c>
      <c r="B1280" s="18">
        <f t="shared" si="38"/>
        <v>2019</v>
      </c>
      <c r="C1280" s="18">
        <f t="shared" si="39"/>
        <v>8</v>
      </c>
      <c r="D1280" s="3" t="s">
        <v>1066</v>
      </c>
      <c r="E1280" s="3" t="s">
        <v>370</v>
      </c>
      <c r="F1280" s="3" t="s">
        <v>19</v>
      </c>
      <c r="G1280" s="3" t="s">
        <v>53</v>
      </c>
      <c r="H1280" s="3" t="s">
        <v>709</v>
      </c>
      <c r="I1280" s="11">
        <v>81.540000000000006</v>
      </c>
      <c r="J1280" s="18">
        <v>9</v>
      </c>
      <c r="K1280" s="12">
        <v>36.692999999999998</v>
      </c>
    </row>
    <row r="1281" spans="1:11" x14ac:dyDescent="0.25">
      <c r="A1281" s="4">
        <v>43704</v>
      </c>
      <c r="B1281" s="19">
        <f t="shared" si="38"/>
        <v>2019</v>
      </c>
      <c r="C1281" s="19">
        <f t="shared" si="39"/>
        <v>8</v>
      </c>
      <c r="D1281" s="5" t="s">
        <v>1066</v>
      </c>
      <c r="E1281" s="5" t="s">
        <v>370</v>
      </c>
      <c r="F1281" s="5" t="s">
        <v>19</v>
      </c>
      <c r="G1281" s="5" t="s">
        <v>116</v>
      </c>
      <c r="H1281" s="5" t="s">
        <v>301</v>
      </c>
      <c r="I1281" s="13">
        <v>11.68</v>
      </c>
      <c r="J1281" s="19">
        <v>4</v>
      </c>
      <c r="K1281" s="14">
        <v>5.2560000000000002</v>
      </c>
    </row>
    <row r="1282" spans="1:11" x14ac:dyDescent="0.25">
      <c r="A1282" s="2">
        <v>43704</v>
      </c>
      <c r="B1282" s="18">
        <f t="shared" ref="B1282:B1345" si="40">YEAR(A1282)</f>
        <v>2019</v>
      </c>
      <c r="C1282" s="18">
        <f t="shared" ref="C1282:C1345" si="41">MONTH(A1282)</f>
        <v>8</v>
      </c>
      <c r="D1282" s="3" t="s">
        <v>1066</v>
      </c>
      <c r="E1282" s="3" t="s">
        <v>370</v>
      </c>
      <c r="F1282" s="3" t="s">
        <v>19</v>
      </c>
      <c r="G1282" s="3" t="s">
        <v>32</v>
      </c>
      <c r="H1282" s="3" t="s">
        <v>272</v>
      </c>
      <c r="I1282" s="11">
        <v>29</v>
      </c>
      <c r="J1282" s="18">
        <v>5</v>
      </c>
      <c r="K1282" s="12">
        <v>13.92</v>
      </c>
    </row>
    <row r="1283" spans="1:11" x14ac:dyDescent="0.25">
      <c r="A1283" s="4">
        <v>43704</v>
      </c>
      <c r="B1283" s="19">
        <f t="shared" si="40"/>
        <v>2019</v>
      </c>
      <c r="C1283" s="19">
        <f t="shared" si="41"/>
        <v>8</v>
      </c>
      <c r="D1283" s="5" t="s">
        <v>145</v>
      </c>
      <c r="E1283" s="5" t="s">
        <v>23</v>
      </c>
      <c r="F1283" s="5" t="s">
        <v>19</v>
      </c>
      <c r="G1283" s="5" t="s">
        <v>20</v>
      </c>
      <c r="H1283" s="5" t="s">
        <v>1438</v>
      </c>
      <c r="I1283" s="13">
        <v>14.16</v>
      </c>
      <c r="J1283" s="19">
        <v>1</v>
      </c>
      <c r="K1283" s="14">
        <v>1.0620000000000001</v>
      </c>
    </row>
    <row r="1284" spans="1:11" x14ac:dyDescent="0.25">
      <c r="A1284" s="2">
        <v>43704</v>
      </c>
      <c r="B1284" s="18">
        <f t="shared" si="40"/>
        <v>2019</v>
      </c>
      <c r="C1284" s="18">
        <f t="shared" si="41"/>
        <v>8</v>
      </c>
      <c r="D1284" s="3" t="s">
        <v>145</v>
      </c>
      <c r="E1284" s="3" t="s">
        <v>23</v>
      </c>
      <c r="F1284" s="3" t="s">
        <v>19</v>
      </c>
      <c r="G1284" s="3" t="s">
        <v>53</v>
      </c>
      <c r="H1284" s="3" t="s">
        <v>1439</v>
      </c>
      <c r="I1284" s="11">
        <v>79.92</v>
      </c>
      <c r="J1284" s="18">
        <v>5</v>
      </c>
      <c r="K1284" s="12">
        <v>27.972000000000001</v>
      </c>
    </row>
    <row r="1285" spans="1:11" x14ac:dyDescent="0.25">
      <c r="A1285" s="4">
        <v>43704</v>
      </c>
      <c r="B1285" s="19">
        <f t="shared" si="40"/>
        <v>2019</v>
      </c>
      <c r="C1285" s="19">
        <f t="shared" si="41"/>
        <v>8</v>
      </c>
      <c r="D1285" s="5" t="s">
        <v>1440</v>
      </c>
      <c r="E1285" s="5" t="s">
        <v>44</v>
      </c>
      <c r="F1285" s="5" t="s">
        <v>19</v>
      </c>
      <c r="G1285" s="5" t="s">
        <v>127</v>
      </c>
      <c r="H1285" s="5" t="s">
        <v>1441</v>
      </c>
      <c r="I1285" s="13">
        <v>9.2159999999999993</v>
      </c>
      <c r="J1285" s="19">
        <v>4</v>
      </c>
      <c r="K1285" s="14">
        <v>3.3408000000000002</v>
      </c>
    </row>
    <row r="1286" spans="1:11" x14ac:dyDescent="0.25">
      <c r="A1286" s="2">
        <v>43705</v>
      </c>
      <c r="B1286" s="18">
        <f t="shared" si="40"/>
        <v>2019</v>
      </c>
      <c r="C1286" s="18">
        <f t="shared" si="41"/>
        <v>8</v>
      </c>
      <c r="D1286" s="3" t="s">
        <v>1442</v>
      </c>
      <c r="E1286" s="3" t="s">
        <v>306</v>
      </c>
      <c r="F1286" s="3" t="s">
        <v>19</v>
      </c>
      <c r="G1286" s="3" t="s">
        <v>53</v>
      </c>
      <c r="H1286" s="3" t="s">
        <v>1443</v>
      </c>
      <c r="I1286" s="11">
        <v>15.48</v>
      </c>
      <c r="J1286" s="18">
        <v>3</v>
      </c>
      <c r="K1286" s="12">
        <v>5.6115000000000004</v>
      </c>
    </row>
    <row r="1287" spans="1:11" x14ac:dyDescent="0.25">
      <c r="A1287" s="4">
        <v>43705</v>
      </c>
      <c r="B1287" s="19">
        <f t="shared" si="40"/>
        <v>2019</v>
      </c>
      <c r="C1287" s="19">
        <f t="shared" si="41"/>
        <v>8</v>
      </c>
      <c r="D1287" s="5" t="s">
        <v>1442</v>
      </c>
      <c r="E1287" s="5" t="s">
        <v>306</v>
      </c>
      <c r="F1287" s="5" t="s">
        <v>14</v>
      </c>
      <c r="G1287" s="5" t="s">
        <v>15</v>
      </c>
      <c r="H1287" s="5" t="s">
        <v>27</v>
      </c>
      <c r="I1287" s="13">
        <v>108.57599999999999</v>
      </c>
      <c r="J1287" s="19">
        <v>3</v>
      </c>
      <c r="K1287" s="14">
        <v>8.1432000000000002</v>
      </c>
    </row>
    <row r="1288" spans="1:11" x14ac:dyDescent="0.25">
      <c r="A1288" s="2">
        <v>43705</v>
      </c>
      <c r="B1288" s="18">
        <f t="shared" si="40"/>
        <v>2019</v>
      </c>
      <c r="C1288" s="18">
        <f t="shared" si="41"/>
        <v>8</v>
      </c>
      <c r="D1288" s="3" t="s">
        <v>1444</v>
      </c>
      <c r="E1288" s="3" t="s">
        <v>23</v>
      </c>
      <c r="F1288" s="3" t="s">
        <v>19</v>
      </c>
      <c r="G1288" s="3" t="s">
        <v>32</v>
      </c>
      <c r="H1288" s="3" t="s">
        <v>674</v>
      </c>
      <c r="I1288" s="11">
        <v>13.14</v>
      </c>
      <c r="J1288" s="18">
        <v>9</v>
      </c>
      <c r="K1288" s="12">
        <v>-21.681000000000001</v>
      </c>
    </row>
    <row r="1289" spans="1:11" x14ac:dyDescent="0.25">
      <c r="A1289" s="4">
        <v>43705</v>
      </c>
      <c r="B1289" s="19">
        <f t="shared" si="40"/>
        <v>2019</v>
      </c>
      <c r="C1289" s="19">
        <f t="shared" si="41"/>
        <v>8</v>
      </c>
      <c r="D1289" s="5" t="s">
        <v>1444</v>
      </c>
      <c r="E1289" s="5" t="s">
        <v>23</v>
      </c>
      <c r="F1289" s="5" t="s">
        <v>19</v>
      </c>
      <c r="G1289" s="5" t="s">
        <v>32</v>
      </c>
      <c r="H1289" s="5" t="s">
        <v>627</v>
      </c>
      <c r="I1289" s="13">
        <v>10.023999999999999</v>
      </c>
      <c r="J1289" s="19">
        <v>4</v>
      </c>
      <c r="K1289" s="14">
        <v>-16.5396</v>
      </c>
    </row>
    <row r="1290" spans="1:11" x14ac:dyDescent="0.25">
      <c r="A1290" s="2">
        <v>43705</v>
      </c>
      <c r="B1290" s="18">
        <f t="shared" si="40"/>
        <v>2019</v>
      </c>
      <c r="C1290" s="18">
        <f t="shared" si="41"/>
        <v>8</v>
      </c>
      <c r="D1290" s="3" t="s">
        <v>1444</v>
      </c>
      <c r="E1290" s="3" t="s">
        <v>23</v>
      </c>
      <c r="F1290" s="3" t="s">
        <v>11</v>
      </c>
      <c r="G1290" s="3" t="s">
        <v>12</v>
      </c>
      <c r="H1290" s="3" t="s">
        <v>1445</v>
      </c>
      <c r="I1290" s="11">
        <v>156.37280000000001</v>
      </c>
      <c r="J1290" s="18">
        <v>2</v>
      </c>
      <c r="K1290" s="12">
        <v>-52.890799999999999</v>
      </c>
    </row>
    <row r="1291" spans="1:11" x14ac:dyDescent="0.25">
      <c r="A1291" s="4">
        <v>43705</v>
      </c>
      <c r="B1291" s="19">
        <f t="shared" si="40"/>
        <v>2019</v>
      </c>
      <c r="C1291" s="19">
        <f t="shared" si="41"/>
        <v>8</v>
      </c>
      <c r="D1291" s="5" t="s">
        <v>592</v>
      </c>
      <c r="E1291" s="5" t="s">
        <v>67</v>
      </c>
      <c r="F1291" s="5" t="s">
        <v>19</v>
      </c>
      <c r="G1291" s="5" t="s">
        <v>32</v>
      </c>
      <c r="H1291" s="5" t="s">
        <v>1446</v>
      </c>
      <c r="I1291" s="13">
        <v>18.431999999999999</v>
      </c>
      <c r="J1291" s="19">
        <v>8</v>
      </c>
      <c r="K1291" s="14">
        <v>-12.288</v>
      </c>
    </row>
    <row r="1292" spans="1:11" x14ac:dyDescent="0.25">
      <c r="A1292" s="2">
        <v>43706</v>
      </c>
      <c r="B1292" s="18">
        <f t="shared" si="40"/>
        <v>2019</v>
      </c>
      <c r="C1292" s="18">
        <f t="shared" si="41"/>
        <v>8</v>
      </c>
      <c r="D1292" s="3" t="s">
        <v>367</v>
      </c>
      <c r="E1292" s="3" t="s">
        <v>164</v>
      </c>
      <c r="F1292" s="3" t="s">
        <v>19</v>
      </c>
      <c r="G1292" s="3" t="s">
        <v>53</v>
      </c>
      <c r="H1292" s="3" t="s">
        <v>1447</v>
      </c>
      <c r="I1292" s="11">
        <v>64.623999999999995</v>
      </c>
      <c r="J1292" s="18">
        <v>7</v>
      </c>
      <c r="K1292" s="12">
        <v>22.618400000000001</v>
      </c>
    </row>
    <row r="1293" spans="1:11" x14ac:dyDescent="0.25">
      <c r="A1293" s="4">
        <v>43706</v>
      </c>
      <c r="B1293" s="19">
        <f t="shared" si="40"/>
        <v>2019</v>
      </c>
      <c r="C1293" s="19">
        <f t="shared" si="41"/>
        <v>8</v>
      </c>
      <c r="D1293" s="5" t="s">
        <v>367</v>
      </c>
      <c r="E1293" s="5" t="s">
        <v>164</v>
      </c>
      <c r="F1293" s="5" t="s">
        <v>14</v>
      </c>
      <c r="G1293" s="5" t="s">
        <v>24</v>
      </c>
      <c r="H1293" s="5" t="s">
        <v>796</v>
      </c>
      <c r="I1293" s="13">
        <v>95.975999999999999</v>
      </c>
      <c r="J1293" s="19">
        <v>3</v>
      </c>
      <c r="K1293" s="14">
        <v>-10.7973</v>
      </c>
    </row>
    <row r="1294" spans="1:11" x14ac:dyDescent="0.25">
      <c r="A1294" s="2">
        <v>43706</v>
      </c>
      <c r="B1294" s="18">
        <f t="shared" si="40"/>
        <v>2019</v>
      </c>
      <c r="C1294" s="18">
        <f t="shared" si="41"/>
        <v>8</v>
      </c>
      <c r="D1294" s="3" t="s">
        <v>367</v>
      </c>
      <c r="E1294" s="3" t="s">
        <v>164</v>
      </c>
      <c r="F1294" s="3" t="s">
        <v>19</v>
      </c>
      <c r="G1294" s="3" t="s">
        <v>32</v>
      </c>
      <c r="H1294" s="3" t="s">
        <v>971</v>
      </c>
      <c r="I1294" s="11">
        <v>1.788</v>
      </c>
      <c r="J1294" s="18">
        <v>3</v>
      </c>
      <c r="K1294" s="12">
        <v>-3.0396000000000001</v>
      </c>
    </row>
    <row r="1295" spans="1:11" x14ac:dyDescent="0.25">
      <c r="A1295" s="4">
        <v>43706</v>
      </c>
      <c r="B1295" s="19">
        <f t="shared" si="40"/>
        <v>2019</v>
      </c>
      <c r="C1295" s="19">
        <f t="shared" si="41"/>
        <v>8</v>
      </c>
      <c r="D1295" s="5" t="s">
        <v>410</v>
      </c>
      <c r="E1295" s="5" t="s">
        <v>104</v>
      </c>
      <c r="F1295" s="5" t="s">
        <v>19</v>
      </c>
      <c r="G1295" s="5" t="s">
        <v>265</v>
      </c>
      <c r="H1295" s="5" t="s">
        <v>860</v>
      </c>
      <c r="I1295" s="13">
        <v>27.93</v>
      </c>
      <c r="J1295" s="19">
        <v>3</v>
      </c>
      <c r="K1295" s="14">
        <v>8.0997000000000003</v>
      </c>
    </row>
    <row r="1296" spans="1:11" x14ac:dyDescent="0.25">
      <c r="A1296" s="2">
        <v>43706</v>
      </c>
      <c r="B1296" s="18">
        <f t="shared" si="40"/>
        <v>2019</v>
      </c>
      <c r="C1296" s="18">
        <f t="shared" si="41"/>
        <v>8</v>
      </c>
      <c r="D1296" s="3" t="s">
        <v>1448</v>
      </c>
      <c r="E1296" s="3" t="s">
        <v>94</v>
      </c>
      <c r="F1296" s="3" t="s">
        <v>14</v>
      </c>
      <c r="G1296" s="3" t="s">
        <v>15</v>
      </c>
      <c r="H1296" s="3" t="s">
        <v>1420</v>
      </c>
      <c r="I1296" s="11">
        <v>22</v>
      </c>
      <c r="J1296" s="18">
        <v>4</v>
      </c>
      <c r="K1296" s="12">
        <v>5.5</v>
      </c>
    </row>
    <row r="1297" spans="1:11" x14ac:dyDescent="0.25">
      <c r="A1297" s="4">
        <v>43706</v>
      </c>
      <c r="B1297" s="19">
        <f t="shared" si="40"/>
        <v>2019</v>
      </c>
      <c r="C1297" s="19">
        <f t="shared" si="41"/>
        <v>8</v>
      </c>
      <c r="D1297" s="5" t="s">
        <v>798</v>
      </c>
      <c r="E1297" s="5" t="s">
        <v>39</v>
      </c>
      <c r="F1297" s="5" t="s">
        <v>11</v>
      </c>
      <c r="G1297" s="5" t="s">
        <v>30</v>
      </c>
      <c r="H1297" s="5" t="s">
        <v>1376</v>
      </c>
      <c r="I1297" s="13">
        <v>241.92</v>
      </c>
      <c r="J1297" s="19">
        <v>4</v>
      </c>
      <c r="K1297" s="14">
        <v>-56.448</v>
      </c>
    </row>
    <row r="1298" spans="1:11" x14ac:dyDescent="0.25">
      <c r="A1298" s="2">
        <v>43706</v>
      </c>
      <c r="B1298" s="18">
        <f t="shared" si="40"/>
        <v>2019</v>
      </c>
      <c r="C1298" s="18">
        <f t="shared" si="41"/>
        <v>8</v>
      </c>
      <c r="D1298" s="3" t="s">
        <v>798</v>
      </c>
      <c r="E1298" s="3" t="s">
        <v>39</v>
      </c>
      <c r="F1298" s="3" t="s">
        <v>11</v>
      </c>
      <c r="G1298" s="3" t="s">
        <v>12</v>
      </c>
      <c r="H1298" s="3" t="s">
        <v>1449</v>
      </c>
      <c r="I1298" s="11">
        <v>163.88</v>
      </c>
      <c r="J1298" s="18">
        <v>4</v>
      </c>
      <c r="K1298" s="12">
        <v>-81.94</v>
      </c>
    </row>
    <row r="1299" spans="1:11" x14ac:dyDescent="0.25">
      <c r="A1299" s="4">
        <v>43706</v>
      </c>
      <c r="B1299" s="19">
        <f t="shared" si="40"/>
        <v>2019</v>
      </c>
      <c r="C1299" s="19">
        <f t="shared" si="41"/>
        <v>8</v>
      </c>
      <c r="D1299" s="5" t="s">
        <v>798</v>
      </c>
      <c r="E1299" s="5" t="s">
        <v>39</v>
      </c>
      <c r="F1299" s="5" t="s">
        <v>19</v>
      </c>
      <c r="G1299" s="5" t="s">
        <v>32</v>
      </c>
      <c r="H1299" s="5" t="s">
        <v>1450</v>
      </c>
      <c r="I1299" s="13">
        <v>3.4860000000000002</v>
      </c>
      <c r="J1299" s="19">
        <v>2</v>
      </c>
      <c r="K1299" s="14">
        <v>-2.7888000000000002</v>
      </c>
    </row>
    <row r="1300" spans="1:11" x14ac:dyDescent="0.25">
      <c r="A1300" s="2">
        <v>43706</v>
      </c>
      <c r="B1300" s="18">
        <f t="shared" si="40"/>
        <v>2019</v>
      </c>
      <c r="C1300" s="18">
        <f t="shared" si="41"/>
        <v>8</v>
      </c>
      <c r="D1300" s="3" t="s">
        <v>798</v>
      </c>
      <c r="E1300" s="3" t="s">
        <v>39</v>
      </c>
      <c r="F1300" s="3" t="s">
        <v>19</v>
      </c>
      <c r="G1300" s="3" t="s">
        <v>116</v>
      </c>
      <c r="H1300" s="3" t="s">
        <v>206</v>
      </c>
      <c r="I1300" s="11">
        <v>10.584</v>
      </c>
      <c r="J1300" s="18">
        <v>7</v>
      </c>
      <c r="K1300" s="12">
        <v>-2.3814000000000002</v>
      </c>
    </row>
    <row r="1301" spans="1:11" x14ac:dyDescent="0.25">
      <c r="A1301" s="4">
        <v>43707</v>
      </c>
      <c r="B1301" s="19">
        <f t="shared" si="40"/>
        <v>2019</v>
      </c>
      <c r="C1301" s="19">
        <f t="shared" si="41"/>
        <v>8</v>
      </c>
      <c r="D1301" s="5" t="s">
        <v>1451</v>
      </c>
      <c r="E1301" s="5" t="s">
        <v>39</v>
      </c>
      <c r="F1301" s="5" t="s">
        <v>14</v>
      </c>
      <c r="G1301" s="5" t="s">
        <v>15</v>
      </c>
      <c r="H1301" s="5" t="s">
        <v>211</v>
      </c>
      <c r="I1301" s="13">
        <v>290.89800000000002</v>
      </c>
      <c r="J1301" s="19">
        <v>3</v>
      </c>
      <c r="K1301" s="14">
        <v>-67.876199999999997</v>
      </c>
    </row>
    <row r="1302" spans="1:11" x14ac:dyDescent="0.25">
      <c r="A1302" s="2">
        <v>43707</v>
      </c>
      <c r="B1302" s="18">
        <f t="shared" si="40"/>
        <v>2019</v>
      </c>
      <c r="C1302" s="18">
        <f t="shared" si="41"/>
        <v>8</v>
      </c>
      <c r="D1302" s="3" t="s">
        <v>1451</v>
      </c>
      <c r="E1302" s="3" t="s">
        <v>39</v>
      </c>
      <c r="F1302" s="3" t="s">
        <v>19</v>
      </c>
      <c r="G1302" s="3" t="s">
        <v>20</v>
      </c>
      <c r="H1302" s="3" t="s">
        <v>157</v>
      </c>
      <c r="I1302" s="11">
        <v>54.223999999999997</v>
      </c>
      <c r="J1302" s="18">
        <v>2</v>
      </c>
      <c r="K1302" s="12">
        <v>3.3889999999999998</v>
      </c>
    </row>
    <row r="1303" spans="1:11" x14ac:dyDescent="0.25">
      <c r="A1303" s="4">
        <v>43707</v>
      </c>
      <c r="B1303" s="19">
        <f t="shared" si="40"/>
        <v>2019</v>
      </c>
      <c r="C1303" s="19">
        <f t="shared" si="41"/>
        <v>8</v>
      </c>
      <c r="D1303" s="5" t="s">
        <v>1451</v>
      </c>
      <c r="E1303" s="5" t="s">
        <v>39</v>
      </c>
      <c r="F1303" s="5" t="s">
        <v>11</v>
      </c>
      <c r="G1303" s="5" t="s">
        <v>112</v>
      </c>
      <c r="H1303" s="5" t="s">
        <v>1452</v>
      </c>
      <c r="I1303" s="13">
        <v>786.74400000000003</v>
      </c>
      <c r="J1303" s="19">
        <v>4</v>
      </c>
      <c r="K1303" s="14">
        <v>-258.5016</v>
      </c>
    </row>
    <row r="1304" spans="1:11" x14ac:dyDescent="0.25">
      <c r="A1304" s="2">
        <v>43707</v>
      </c>
      <c r="B1304" s="18">
        <f t="shared" si="40"/>
        <v>2019</v>
      </c>
      <c r="C1304" s="18">
        <f t="shared" si="41"/>
        <v>8</v>
      </c>
      <c r="D1304" s="3" t="s">
        <v>1451</v>
      </c>
      <c r="E1304" s="3" t="s">
        <v>39</v>
      </c>
      <c r="F1304" s="3" t="s">
        <v>19</v>
      </c>
      <c r="G1304" s="3" t="s">
        <v>127</v>
      </c>
      <c r="H1304" s="3" t="s">
        <v>1237</v>
      </c>
      <c r="I1304" s="11">
        <v>100.24</v>
      </c>
      <c r="J1304" s="18">
        <v>10</v>
      </c>
      <c r="K1304" s="12">
        <v>33.831000000000003</v>
      </c>
    </row>
    <row r="1305" spans="1:11" x14ac:dyDescent="0.25">
      <c r="A1305" s="4">
        <v>43707</v>
      </c>
      <c r="B1305" s="19">
        <f t="shared" si="40"/>
        <v>2019</v>
      </c>
      <c r="C1305" s="19">
        <f t="shared" si="41"/>
        <v>8</v>
      </c>
      <c r="D1305" s="5" t="s">
        <v>1451</v>
      </c>
      <c r="E1305" s="5" t="s">
        <v>39</v>
      </c>
      <c r="F1305" s="5" t="s">
        <v>19</v>
      </c>
      <c r="G1305" s="5" t="s">
        <v>32</v>
      </c>
      <c r="H1305" s="5" t="s">
        <v>1141</v>
      </c>
      <c r="I1305" s="13">
        <v>37.764000000000003</v>
      </c>
      <c r="J1305" s="19">
        <v>6</v>
      </c>
      <c r="K1305" s="14">
        <v>-27.6936</v>
      </c>
    </row>
    <row r="1306" spans="1:11" x14ac:dyDescent="0.25">
      <c r="A1306" s="2">
        <v>43707</v>
      </c>
      <c r="B1306" s="18">
        <f t="shared" si="40"/>
        <v>2019</v>
      </c>
      <c r="C1306" s="18">
        <f t="shared" si="41"/>
        <v>8</v>
      </c>
      <c r="D1306" s="3" t="s">
        <v>1453</v>
      </c>
      <c r="E1306" s="3" t="s">
        <v>18</v>
      </c>
      <c r="F1306" s="3" t="s">
        <v>11</v>
      </c>
      <c r="G1306" s="3" t="s">
        <v>51</v>
      </c>
      <c r="H1306" s="3" t="s">
        <v>325</v>
      </c>
      <c r="I1306" s="11">
        <v>47.04</v>
      </c>
      <c r="J1306" s="18">
        <v>4</v>
      </c>
      <c r="K1306" s="12">
        <v>15.993600000000001</v>
      </c>
    </row>
    <row r="1307" spans="1:11" x14ac:dyDescent="0.25">
      <c r="A1307" s="4">
        <v>43707</v>
      </c>
      <c r="B1307" s="19">
        <f t="shared" si="40"/>
        <v>2019</v>
      </c>
      <c r="C1307" s="19">
        <f t="shared" si="41"/>
        <v>8</v>
      </c>
      <c r="D1307" s="5" t="s">
        <v>1453</v>
      </c>
      <c r="E1307" s="5" t="s">
        <v>18</v>
      </c>
      <c r="F1307" s="5" t="s">
        <v>14</v>
      </c>
      <c r="G1307" s="5" t="s">
        <v>15</v>
      </c>
      <c r="H1307" s="5" t="s">
        <v>1454</v>
      </c>
      <c r="I1307" s="13">
        <v>339.96</v>
      </c>
      <c r="J1307" s="19">
        <v>5</v>
      </c>
      <c r="K1307" s="14">
        <v>42.494999999999997</v>
      </c>
    </row>
    <row r="1308" spans="1:11" x14ac:dyDescent="0.25">
      <c r="A1308" s="2">
        <v>43708</v>
      </c>
      <c r="B1308" s="18">
        <f t="shared" si="40"/>
        <v>2019</v>
      </c>
      <c r="C1308" s="18">
        <f t="shared" si="41"/>
        <v>8</v>
      </c>
      <c r="D1308" s="3" t="s">
        <v>1203</v>
      </c>
      <c r="E1308" s="3" t="s">
        <v>23</v>
      </c>
      <c r="F1308" s="3" t="s">
        <v>19</v>
      </c>
      <c r="G1308" s="3" t="s">
        <v>20</v>
      </c>
      <c r="H1308" s="3" t="s">
        <v>746</v>
      </c>
      <c r="I1308" s="11">
        <v>23.968</v>
      </c>
      <c r="J1308" s="18">
        <v>2</v>
      </c>
      <c r="K1308" s="12">
        <v>2.3967999999999998</v>
      </c>
    </row>
    <row r="1309" spans="1:11" x14ac:dyDescent="0.25">
      <c r="A1309" s="4">
        <v>43709</v>
      </c>
      <c r="B1309" s="19">
        <f t="shared" si="40"/>
        <v>2019</v>
      </c>
      <c r="C1309" s="19">
        <f t="shared" si="41"/>
        <v>9</v>
      </c>
      <c r="D1309" s="5" t="s">
        <v>410</v>
      </c>
      <c r="E1309" s="5" t="s">
        <v>94</v>
      </c>
      <c r="F1309" s="5" t="s">
        <v>14</v>
      </c>
      <c r="G1309" s="5" t="s">
        <v>24</v>
      </c>
      <c r="H1309" s="5" t="s">
        <v>1455</v>
      </c>
      <c r="I1309" s="13">
        <v>6.79</v>
      </c>
      <c r="J1309" s="19">
        <v>1</v>
      </c>
      <c r="K1309" s="14">
        <v>2.3086000000000002</v>
      </c>
    </row>
    <row r="1310" spans="1:11" x14ac:dyDescent="0.25">
      <c r="A1310" s="2">
        <v>43709</v>
      </c>
      <c r="B1310" s="18">
        <f t="shared" si="40"/>
        <v>2019</v>
      </c>
      <c r="C1310" s="18">
        <f t="shared" si="41"/>
        <v>9</v>
      </c>
      <c r="D1310" s="3" t="s">
        <v>410</v>
      </c>
      <c r="E1310" s="3" t="s">
        <v>94</v>
      </c>
      <c r="F1310" s="3" t="s">
        <v>19</v>
      </c>
      <c r="G1310" s="3" t="s">
        <v>53</v>
      </c>
      <c r="H1310" s="3" t="s">
        <v>730</v>
      </c>
      <c r="I1310" s="11">
        <v>24.56</v>
      </c>
      <c r="J1310" s="18">
        <v>2</v>
      </c>
      <c r="K1310" s="12">
        <v>11.543200000000001</v>
      </c>
    </row>
    <row r="1311" spans="1:11" x14ac:dyDescent="0.25">
      <c r="A1311" s="4">
        <v>43709</v>
      </c>
      <c r="B1311" s="19">
        <f t="shared" si="40"/>
        <v>2019</v>
      </c>
      <c r="C1311" s="19">
        <f t="shared" si="41"/>
        <v>9</v>
      </c>
      <c r="D1311" s="5" t="s">
        <v>410</v>
      </c>
      <c r="E1311" s="5" t="s">
        <v>94</v>
      </c>
      <c r="F1311" s="5" t="s">
        <v>19</v>
      </c>
      <c r="G1311" s="5" t="s">
        <v>32</v>
      </c>
      <c r="H1311" s="5" t="s">
        <v>1206</v>
      </c>
      <c r="I1311" s="13">
        <v>3.048</v>
      </c>
      <c r="J1311" s="19">
        <v>1</v>
      </c>
      <c r="K1311" s="14">
        <v>1.0668</v>
      </c>
    </row>
    <row r="1312" spans="1:11" x14ac:dyDescent="0.25">
      <c r="A1312" s="2">
        <v>43709</v>
      </c>
      <c r="B1312" s="18">
        <f t="shared" si="40"/>
        <v>2019</v>
      </c>
      <c r="C1312" s="18">
        <f t="shared" si="41"/>
        <v>9</v>
      </c>
      <c r="D1312" s="3" t="s">
        <v>410</v>
      </c>
      <c r="E1312" s="3" t="s">
        <v>94</v>
      </c>
      <c r="F1312" s="3" t="s">
        <v>19</v>
      </c>
      <c r="G1312" s="3" t="s">
        <v>53</v>
      </c>
      <c r="H1312" s="3" t="s">
        <v>730</v>
      </c>
      <c r="I1312" s="11">
        <v>49.12</v>
      </c>
      <c r="J1312" s="18">
        <v>4</v>
      </c>
      <c r="K1312" s="12">
        <v>23.086400000000001</v>
      </c>
    </row>
    <row r="1313" spans="1:11" x14ac:dyDescent="0.25">
      <c r="A1313" s="4">
        <v>43709</v>
      </c>
      <c r="B1313" s="19">
        <f t="shared" si="40"/>
        <v>2019</v>
      </c>
      <c r="C1313" s="19">
        <f t="shared" si="41"/>
        <v>9</v>
      </c>
      <c r="D1313" s="5" t="s">
        <v>410</v>
      </c>
      <c r="E1313" s="5" t="s">
        <v>94</v>
      </c>
      <c r="F1313" s="5" t="s">
        <v>19</v>
      </c>
      <c r="G1313" s="5" t="s">
        <v>32</v>
      </c>
      <c r="H1313" s="5" t="s">
        <v>580</v>
      </c>
      <c r="I1313" s="13">
        <v>4355.1679999999997</v>
      </c>
      <c r="J1313" s="19">
        <v>4</v>
      </c>
      <c r="K1313" s="14">
        <v>1415.4295999999999</v>
      </c>
    </row>
    <row r="1314" spans="1:11" x14ac:dyDescent="0.25">
      <c r="A1314" s="2">
        <v>43709</v>
      </c>
      <c r="B1314" s="18">
        <f t="shared" si="40"/>
        <v>2019</v>
      </c>
      <c r="C1314" s="18">
        <f t="shared" si="41"/>
        <v>9</v>
      </c>
      <c r="D1314" s="3" t="s">
        <v>817</v>
      </c>
      <c r="E1314" s="3" t="s">
        <v>18</v>
      </c>
      <c r="F1314" s="3" t="s">
        <v>19</v>
      </c>
      <c r="G1314" s="3" t="s">
        <v>86</v>
      </c>
      <c r="H1314" s="3" t="s">
        <v>1456</v>
      </c>
      <c r="I1314" s="11">
        <v>21.88</v>
      </c>
      <c r="J1314" s="18">
        <v>2</v>
      </c>
      <c r="K1314" s="12">
        <v>10.94</v>
      </c>
    </row>
    <row r="1315" spans="1:11" x14ac:dyDescent="0.25">
      <c r="A1315" s="4">
        <v>43709</v>
      </c>
      <c r="B1315" s="19">
        <f t="shared" si="40"/>
        <v>2019</v>
      </c>
      <c r="C1315" s="19">
        <f t="shared" si="41"/>
        <v>9</v>
      </c>
      <c r="D1315" s="5" t="s">
        <v>396</v>
      </c>
      <c r="E1315" s="5" t="s">
        <v>39</v>
      </c>
      <c r="F1315" s="5" t="s">
        <v>19</v>
      </c>
      <c r="G1315" s="5" t="s">
        <v>53</v>
      </c>
      <c r="H1315" s="5" t="s">
        <v>915</v>
      </c>
      <c r="I1315" s="13">
        <v>30.48</v>
      </c>
      <c r="J1315" s="19">
        <v>6</v>
      </c>
      <c r="K1315" s="14">
        <v>9.9060000000000006</v>
      </c>
    </row>
    <row r="1316" spans="1:11" x14ac:dyDescent="0.25">
      <c r="A1316" s="2">
        <v>43709</v>
      </c>
      <c r="B1316" s="18">
        <f t="shared" si="40"/>
        <v>2019</v>
      </c>
      <c r="C1316" s="18">
        <f t="shared" si="41"/>
        <v>9</v>
      </c>
      <c r="D1316" s="3" t="s">
        <v>396</v>
      </c>
      <c r="E1316" s="3" t="s">
        <v>39</v>
      </c>
      <c r="F1316" s="3" t="s">
        <v>14</v>
      </c>
      <c r="G1316" s="3" t="s">
        <v>15</v>
      </c>
      <c r="H1316" s="3" t="s">
        <v>967</v>
      </c>
      <c r="I1316" s="11">
        <v>23.988</v>
      </c>
      <c r="J1316" s="18">
        <v>2</v>
      </c>
      <c r="K1316" s="12">
        <v>-4.7976000000000001</v>
      </c>
    </row>
    <row r="1317" spans="1:11" x14ac:dyDescent="0.25">
      <c r="A1317" s="4">
        <v>43709</v>
      </c>
      <c r="B1317" s="19">
        <f t="shared" si="40"/>
        <v>2019</v>
      </c>
      <c r="C1317" s="19">
        <f t="shared" si="41"/>
        <v>9</v>
      </c>
      <c r="D1317" s="5" t="s">
        <v>396</v>
      </c>
      <c r="E1317" s="5" t="s">
        <v>39</v>
      </c>
      <c r="F1317" s="5" t="s">
        <v>19</v>
      </c>
      <c r="G1317" s="5" t="s">
        <v>116</v>
      </c>
      <c r="H1317" s="5" t="s">
        <v>301</v>
      </c>
      <c r="I1317" s="13">
        <v>16.687999999999999</v>
      </c>
      <c r="J1317" s="19">
        <v>7</v>
      </c>
      <c r="K1317" s="14">
        <v>5.4236000000000004</v>
      </c>
    </row>
    <row r="1318" spans="1:11" x14ac:dyDescent="0.25">
      <c r="A1318" s="2">
        <v>43709</v>
      </c>
      <c r="B1318" s="18">
        <f t="shared" si="40"/>
        <v>2019</v>
      </c>
      <c r="C1318" s="18">
        <f t="shared" si="41"/>
        <v>9</v>
      </c>
      <c r="D1318" s="3" t="s">
        <v>247</v>
      </c>
      <c r="E1318" s="3" t="s">
        <v>94</v>
      </c>
      <c r="F1318" s="3" t="s">
        <v>14</v>
      </c>
      <c r="G1318" s="3" t="s">
        <v>24</v>
      </c>
      <c r="H1318" s="3" t="s">
        <v>1457</v>
      </c>
      <c r="I1318" s="11">
        <v>468.9</v>
      </c>
      <c r="J1318" s="18">
        <v>6</v>
      </c>
      <c r="K1318" s="12">
        <v>206.316</v>
      </c>
    </row>
    <row r="1319" spans="1:11" x14ac:dyDescent="0.25">
      <c r="A1319" s="4">
        <v>43709</v>
      </c>
      <c r="B1319" s="19">
        <f t="shared" si="40"/>
        <v>2019</v>
      </c>
      <c r="C1319" s="19">
        <f t="shared" si="41"/>
        <v>9</v>
      </c>
      <c r="D1319" s="5" t="s">
        <v>247</v>
      </c>
      <c r="E1319" s="5" t="s">
        <v>94</v>
      </c>
      <c r="F1319" s="5" t="s">
        <v>14</v>
      </c>
      <c r="G1319" s="5" t="s">
        <v>24</v>
      </c>
      <c r="H1319" s="5" t="s">
        <v>287</v>
      </c>
      <c r="I1319" s="13">
        <v>72.48</v>
      </c>
      <c r="J1319" s="19">
        <v>2</v>
      </c>
      <c r="K1319" s="14">
        <v>30.441600000000001</v>
      </c>
    </row>
    <row r="1320" spans="1:11" x14ac:dyDescent="0.25">
      <c r="A1320" s="2">
        <v>43709</v>
      </c>
      <c r="B1320" s="18">
        <f t="shared" si="40"/>
        <v>2019</v>
      </c>
      <c r="C1320" s="18">
        <f t="shared" si="41"/>
        <v>9</v>
      </c>
      <c r="D1320" s="3" t="s">
        <v>247</v>
      </c>
      <c r="E1320" s="3" t="s">
        <v>94</v>
      </c>
      <c r="F1320" s="3" t="s">
        <v>19</v>
      </c>
      <c r="G1320" s="3" t="s">
        <v>265</v>
      </c>
      <c r="H1320" s="3" t="s">
        <v>535</v>
      </c>
      <c r="I1320" s="11">
        <v>10.95</v>
      </c>
      <c r="J1320" s="18">
        <v>3</v>
      </c>
      <c r="K1320" s="12">
        <v>3.2850000000000001</v>
      </c>
    </row>
    <row r="1321" spans="1:11" x14ac:dyDescent="0.25">
      <c r="A1321" s="4">
        <v>43709</v>
      </c>
      <c r="B1321" s="19">
        <f t="shared" si="40"/>
        <v>2019</v>
      </c>
      <c r="C1321" s="19">
        <f t="shared" si="41"/>
        <v>9</v>
      </c>
      <c r="D1321" s="5" t="s">
        <v>247</v>
      </c>
      <c r="E1321" s="5" t="s">
        <v>94</v>
      </c>
      <c r="F1321" s="5" t="s">
        <v>11</v>
      </c>
      <c r="G1321" s="5" t="s">
        <v>51</v>
      </c>
      <c r="H1321" s="5" t="s">
        <v>411</v>
      </c>
      <c r="I1321" s="13">
        <v>191.82</v>
      </c>
      <c r="J1321" s="19">
        <v>3</v>
      </c>
      <c r="K1321" s="14">
        <v>61.382399999999997</v>
      </c>
    </row>
    <row r="1322" spans="1:11" x14ac:dyDescent="0.25">
      <c r="A1322" s="2">
        <v>43709</v>
      </c>
      <c r="B1322" s="18">
        <f t="shared" si="40"/>
        <v>2019</v>
      </c>
      <c r="C1322" s="18">
        <f t="shared" si="41"/>
        <v>9</v>
      </c>
      <c r="D1322" s="3" t="s">
        <v>1458</v>
      </c>
      <c r="E1322" s="3" t="s">
        <v>365</v>
      </c>
      <c r="F1322" s="3" t="s">
        <v>19</v>
      </c>
      <c r="G1322" s="3" t="s">
        <v>32</v>
      </c>
      <c r="H1322" s="3" t="s">
        <v>876</v>
      </c>
      <c r="I1322" s="11">
        <v>24.1</v>
      </c>
      <c r="J1322" s="18">
        <v>5</v>
      </c>
      <c r="K1322" s="12">
        <v>11.086</v>
      </c>
    </row>
    <row r="1323" spans="1:11" x14ac:dyDescent="0.25">
      <c r="A1323" s="4">
        <v>43709</v>
      </c>
      <c r="B1323" s="19">
        <f t="shared" si="40"/>
        <v>2019</v>
      </c>
      <c r="C1323" s="19">
        <f t="shared" si="41"/>
        <v>9</v>
      </c>
      <c r="D1323" s="5" t="s">
        <v>1458</v>
      </c>
      <c r="E1323" s="5" t="s">
        <v>365</v>
      </c>
      <c r="F1323" s="5" t="s">
        <v>14</v>
      </c>
      <c r="G1323" s="5" t="s">
        <v>15</v>
      </c>
      <c r="H1323" s="5" t="s">
        <v>350</v>
      </c>
      <c r="I1323" s="13">
        <v>8.7799999999999994</v>
      </c>
      <c r="J1323" s="19">
        <v>1</v>
      </c>
      <c r="K1323" s="14">
        <v>2.2827999999999999</v>
      </c>
    </row>
    <row r="1324" spans="1:11" x14ac:dyDescent="0.25">
      <c r="A1324" s="2">
        <v>43709</v>
      </c>
      <c r="B1324" s="18">
        <f t="shared" si="40"/>
        <v>2019</v>
      </c>
      <c r="C1324" s="18">
        <f t="shared" si="41"/>
        <v>9</v>
      </c>
      <c r="D1324" s="3" t="s">
        <v>1458</v>
      </c>
      <c r="E1324" s="3" t="s">
        <v>365</v>
      </c>
      <c r="F1324" s="3" t="s">
        <v>19</v>
      </c>
      <c r="G1324" s="3" t="s">
        <v>121</v>
      </c>
      <c r="H1324" s="3" t="s">
        <v>1459</v>
      </c>
      <c r="I1324" s="11">
        <v>376.74</v>
      </c>
      <c r="J1324" s="18">
        <v>4</v>
      </c>
      <c r="K1324" s="12">
        <v>71.162000000000006</v>
      </c>
    </row>
    <row r="1325" spans="1:11" x14ac:dyDescent="0.25">
      <c r="A1325" s="4">
        <v>43709</v>
      </c>
      <c r="B1325" s="19">
        <f t="shared" si="40"/>
        <v>2019</v>
      </c>
      <c r="C1325" s="19">
        <f t="shared" si="41"/>
        <v>9</v>
      </c>
      <c r="D1325" s="5" t="s">
        <v>1458</v>
      </c>
      <c r="E1325" s="5" t="s">
        <v>365</v>
      </c>
      <c r="F1325" s="5" t="s">
        <v>19</v>
      </c>
      <c r="G1325" s="5" t="s">
        <v>32</v>
      </c>
      <c r="H1325" s="5" t="s">
        <v>515</v>
      </c>
      <c r="I1325" s="13">
        <v>29.52</v>
      </c>
      <c r="J1325" s="19">
        <v>4</v>
      </c>
      <c r="K1325" s="14">
        <v>14.4648</v>
      </c>
    </row>
    <row r="1326" spans="1:11" x14ac:dyDescent="0.25">
      <c r="A1326" s="2">
        <v>43709</v>
      </c>
      <c r="B1326" s="18">
        <f t="shared" si="40"/>
        <v>2019</v>
      </c>
      <c r="C1326" s="18">
        <f t="shared" si="41"/>
        <v>9</v>
      </c>
      <c r="D1326" s="3" t="s">
        <v>1458</v>
      </c>
      <c r="E1326" s="3" t="s">
        <v>365</v>
      </c>
      <c r="F1326" s="3" t="s">
        <v>19</v>
      </c>
      <c r="G1326" s="3" t="s">
        <v>40</v>
      </c>
      <c r="H1326" s="3" t="s">
        <v>1207</v>
      </c>
      <c r="I1326" s="11">
        <v>11.96</v>
      </c>
      <c r="J1326" s="18">
        <v>2</v>
      </c>
      <c r="K1326" s="12">
        <v>2.99</v>
      </c>
    </row>
    <row r="1327" spans="1:11" x14ac:dyDescent="0.25">
      <c r="A1327" s="4">
        <v>43709</v>
      </c>
      <c r="B1327" s="19">
        <f t="shared" si="40"/>
        <v>2019</v>
      </c>
      <c r="C1327" s="19">
        <f t="shared" si="41"/>
        <v>9</v>
      </c>
      <c r="D1327" s="5" t="s">
        <v>1458</v>
      </c>
      <c r="E1327" s="5" t="s">
        <v>365</v>
      </c>
      <c r="F1327" s="5" t="s">
        <v>19</v>
      </c>
      <c r="G1327" s="5" t="s">
        <v>32</v>
      </c>
      <c r="H1327" s="5" t="s">
        <v>1259</v>
      </c>
      <c r="I1327" s="13">
        <v>26.4</v>
      </c>
      <c r="J1327" s="19">
        <v>5</v>
      </c>
      <c r="K1327" s="14">
        <v>12.672000000000001</v>
      </c>
    </row>
    <row r="1328" spans="1:11" x14ac:dyDescent="0.25">
      <c r="A1328" s="2">
        <v>43709</v>
      </c>
      <c r="B1328" s="18">
        <f t="shared" si="40"/>
        <v>2019</v>
      </c>
      <c r="C1328" s="18">
        <f t="shared" si="41"/>
        <v>9</v>
      </c>
      <c r="D1328" s="3" t="s">
        <v>1460</v>
      </c>
      <c r="E1328" s="3" t="s">
        <v>18</v>
      </c>
      <c r="F1328" s="3" t="s">
        <v>19</v>
      </c>
      <c r="G1328" s="3" t="s">
        <v>86</v>
      </c>
      <c r="H1328" s="3" t="s">
        <v>611</v>
      </c>
      <c r="I1328" s="11">
        <v>12.78</v>
      </c>
      <c r="J1328" s="18">
        <v>1</v>
      </c>
      <c r="K1328" s="12">
        <v>5.7510000000000003</v>
      </c>
    </row>
    <row r="1329" spans="1:11" x14ac:dyDescent="0.25">
      <c r="A1329" s="4">
        <v>43710</v>
      </c>
      <c r="B1329" s="19">
        <f t="shared" si="40"/>
        <v>2019</v>
      </c>
      <c r="C1329" s="19">
        <f t="shared" si="41"/>
        <v>9</v>
      </c>
      <c r="D1329" s="5" t="s">
        <v>302</v>
      </c>
      <c r="E1329" s="5" t="s">
        <v>94</v>
      </c>
      <c r="F1329" s="5" t="s">
        <v>19</v>
      </c>
      <c r="G1329" s="5" t="s">
        <v>40</v>
      </c>
      <c r="H1329" s="5" t="s">
        <v>246</v>
      </c>
      <c r="I1329" s="13">
        <v>75.48</v>
      </c>
      <c r="J1329" s="19">
        <v>2</v>
      </c>
      <c r="K1329" s="14">
        <v>19.6248</v>
      </c>
    </row>
    <row r="1330" spans="1:11" x14ac:dyDescent="0.25">
      <c r="A1330" s="2">
        <v>43710</v>
      </c>
      <c r="B1330" s="18">
        <f t="shared" si="40"/>
        <v>2019</v>
      </c>
      <c r="C1330" s="18">
        <f t="shared" si="41"/>
        <v>9</v>
      </c>
      <c r="D1330" s="3" t="s">
        <v>302</v>
      </c>
      <c r="E1330" s="3" t="s">
        <v>94</v>
      </c>
      <c r="F1330" s="3" t="s">
        <v>11</v>
      </c>
      <c r="G1330" s="3" t="s">
        <v>51</v>
      </c>
      <c r="H1330" s="3" t="s">
        <v>1461</v>
      </c>
      <c r="I1330" s="11">
        <v>39.979999999999997</v>
      </c>
      <c r="J1330" s="18">
        <v>2</v>
      </c>
      <c r="K1330" s="12">
        <v>9.9949999999999992</v>
      </c>
    </row>
    <row r="1331" spans="1:11" x14ac:dyDescent="0.25">
      <c r="A1331" s="4">
        <v>43710</v>
      </c>
      <c r="B1331" s="19">
        <f t="shared" si="40"/>
        <v>2019</v>
      </c>
      <c r="C1331" s="19">
        <f t="shared" si="41"/>
        <v>9</v>
      </c>
      <c r="D1331" s="5" t="s">
        <v>807</v>
      </c>
      <c r="E1331" s="5" t="s">
        <v>56</v>
      </c>
      <c r="F1331" s="5" t="s">
        <v>19</v>
      </c>
      <c r="G1331" s="5" t="s">
        <v>116</v>
      </c>
      <c r="H1331" s="5" t="s">
        <v>1462</v>
      </c>
      <c r="I1331" s="13">
        <v>1.81</v>
      </c>
      <c r="J1331" s="19">
        <v>1</v>
      </c>
      <c r="K1331" s="14">
        <v>0.65159999999999996</v>
      </c>
    </row>
    <row r="1332" spans="1:11" x14ac:dyDescent="0.25">
      <c r="A1332" s="2">
        <v>43710</v>
      </c>
      <c r="B1332" s="18">
        <f t="shared" si="40"/>
        <v>2019</v>
      </c>
      <c r="C1332" s="18">
        <f t="shared" si="41"/>
        <v>9</v>
      </c>
      <c r="D1332" s="3" t="s">
        <v>807</v>
      </c>
      <c r="E1332" s="3" t="s">
        <v>56</v>
      </c>
      <c r="F1332" s="3" t="s">
        <v>19</v>
      </c>
      <c r="G1332" s="3" t="s">
        <v>32</v>
      </c>
      <c r="H1332" s="3" t="s">
        <v>1463</v>
      </c>
      <c r="I1332" s="11">
        <v>8.26</v>
      </c>
      <c r="J1332" s="18">
        <v>2</v>
      </c>
      <c r="K1332" s="12">
        <v>3.8822000000000001</v>
      </c>
    </row>
    <row r="1333" spans="1:11" x14ac:dyDescent="0.25">
      <c r="A1333" s="4">
        <v>43710</v>
      </c>
      <c r="B1333" s="19">
        <f t="shared" si="40"/>
        <v>2019</v>
      </c>
      <c r="C1333" s="19">
        <f t="shared" si="41"/>
        <v>9</v>
      </c>
      <c r="D1333" s="5" t="s">
        <v>1464</v>
      </c>
      <c r="E1333" s="5" t="s">
        <v>18</v>
      </c>
      <c r="F1333" s="5" t="s">
        <v>19</v>
      </c>
      <c r="G1333" s="5" t="s">
        <v>20</v>
      </c>
      <c r="H1333" s="5" t="s">
        <v>552</v>
      </c>
      <c r="I1333" s="13">
        <v>46.53</v>
      </c>
      <c r="J1333" s="19">
        <v>3</v>
      </c>
      <c r="K1333" s="14">
        <v>12.097799999999999</v>
      </c>
    </row>
    <row r="1334" spans="1:11" x14ac:dyDescent="0.25">
      <c r="A1334" s="2">
        <v>43710</v>
      </c>
      <c r="B1334" s="18">
        <f t="shared" si="40"/>
        <v>2019</v>
      </c>
      <c r="C1334" s="18">
        <f t="shared" si="41"/>
        <v>9</v>
      </c>
      <c r="D1334" s="3" t="s">
        <v>942</v>
      </c>
      <c r="E1334" s="3" t="s">
        <v>164</v>
      </c>
      <c r="F1334" s="3" t="s">
        <v>19</v>
      </c>
      <c r="G1334" s="3" t="s">
        <v>127</v>
      </c>
      <c r="H1334" s="3" t="s">
        <v>1029</v>
      </c>
      <c r="I1334" s="11">
        <v>29.24</v>
      </c>
      <c r="J1334" s="18">
        <v>5</v>
      </c>
      <c r="K1334" s="12">
        <v>9.8684999999999992</v>
      </c>
    </row>
    <row r="1335" spans="1:11" x14ac:dyDescent="0.25">
      <c r="A1335" s="4">
        <v>43710</v>
      </c>
      <c r="B1335" s="19">
        <f t="shared" si="40"/>
        <v>2019</v>
      </c>
      <c r="C1335" s="19">
        <f t="shared" si="41"/>
        <v>9</v>
      </c>
      <c r="D1335" s="5" t="s">
        <v>942</v>
      </c>
      <c r="E1335" s="5" t="s">
        <v>164</v>
      </c>
      <c r="F1335" s="5" t="s">
        <v>19</v>
      </c>
      <c r="G1335" s="5" t="s">
        <v>20</v>
      </c>
      <c r="H1335" s="5" t="s">
        <v>506</v>
      </c>
      <c r="I1335" s="13">
        <v>35.167999999999999</v>
      </c>
      <c r="J1335" s="19">
        <v>2</v>
      </c>
      <c r="K1335" s="14">
        <v>-8.3523999999999994</v>
      </c>
    </row>
    <row r="1336" spans="1:11" x14ac:dyDescent="0.25">
      <c r="A1336" s="2">
        <v>43710</v>
      </c>
      <c r="B1336" s="18">
        <f t="shared" si="40"/>
        <v>2019</v>
      </c>
      <c r="C1336" s="18">
        <f t="shared" si="41"/>
        <v>9</v>
      </c>
      <c r="D1336" s="3" t="s">
        <v>942</v>
      </c>
      <c r="E1336" s="3" t="s">
        <v>164</v>
      </c>
      <c r="F1336" s="3" t="s">
        <v>14</v>
      </c>
      <c r="G1336" s="3" t="s">
        <v>188</v>
      </c>
      <c r="H1336" s="3" t="s">
        <v>1465</v>
      </c>
      <c r="I1336" s="11">
        <v>1362.9</v>
      </c>
      <c r="J1336" s="18">
        <v>3</v>
      </c>
      <c r="K1336" s="12">
        <v>-19.47</v>
      </c>
    </row>
    <row r="1337" spans="1:11" x14ac:dyDescent="0.25">
      <c r="A1337" s="4">
        <v>43710</v>
      </c>
      <c r="B1337" s="19">
        <f t="shared" si="40"/>
        <v>2019</v>
      </c>
      <c r="C1337" s="19">
        <f t="shared" si="41"/>
        <v>9</v>
      </c>
      <c r="D1337" s="5" t="s">
        <v>1466</v>
      </c>
      <c r="E1337" s="5" t="s">
        <v>164</v>
      </c>
      <c r="F1337" s="5" t="s">
        <v>11</v>
      </c>
      <c r="G1337" s="5" t="s">
        <v>51</v>
      </c>
      <c r="H1337" s="5" t="s">
        <v>1467</v>
      </c>
      <c r="I1337" s="13">
        <v>84.272000000000006</v>
      </c>
      <c r="J1337" s="19">
        <v>2</v>
      </c>
      <c r="K1337" s="14">
        <v>-75.844800000000006</v>
      </c>
    </row>
    <row r="1338" spans="1:11" x14ac:dyDescent="0.25">
      <c r="A1338" s="2">
        <v>43710</v>
      </c>
      <c r="B1338" s="18">
        <f t="shared" si="40"/>
        <v>2019</v>
      </c>
      <c r="C1338" s="18">
        <f t="shared" si="41"/>
        <v>9</v>
      </c>
      <c r="D1338" s="3" t="s">
        <v>1189</v>
      </c>
      <c r="E1338" s="3" t="s">
        <v>35</v>
      </c>
      <c r="F1338" s="3" t="s">
        <v>19</v>
      </c>
      <c r="G1338" s="3" t="s">
        <v>32</v>
      </c>
      <c r="H1338" s="3" t="s">
        <v>155</v>
      </c>
      <c r="I1338" s="11">
        <v>22.911000000000001</v>
      </c>
      <c r="J1338" s="18">
        <v>7</v>
      </c>
      <c r="K1338" s="12">
        <v>-17.565100000000001</v>
      </c>
    </row>
    <row r="1339" spans="1:11" x14ac:dyDescent="0.25">
      <c r="A1339" s="4">
        <v>43710</v>
      </c>
      <c r="B1339" s="19">
        <f t="shared" si="40"/>
        <v>2019</v>
      </c>
      <c r="C1339" s="19">
        <f t="shared" si="41"/>
        <v>9</v>
      </c>
      <c r="D1339" s="5" t="s">
        <v>1189</v>
      </c>
      <c r="E1339" s="5" t="s">
        <v>35</v>
      </c>
      <c r="F1339" s="5" t="s">
        <v>19</v>
      </c>
      <c r="G1339" s="5" t="s">
        <v>121</v>
      </c>
      <c r="H1339" s="5" t="s">
        <v>1468</v>
      </c>
      <c r="I1339" s="13">
        <v>309.45600000000002</v>
      </c>
      <c r="J1339" s="19">
        <v>9</v>
      </c>
      <c r="K1339" s="14">
        <v>34.813800000000001</v>
      </c>
    </row>
    <row r="1340" spans="1:11" x14ac:dyDescent="0.25">
      <c r="A1340" s="2">
        <v>43710</v>
      </c>
      <c r="B1340" s="18">
        <f t="shared" si="40"/>
        <v>2019</v>
      </c>
      <c r="C1340" s="18">
        <f t="shared" si="41"/>
        <v>9</v>
      </c>
      <c r="D1340" s="3" t="s">
        <v>1189</v>
      </c>
      <c r="E1340" s="3" t="s">
        <v>35</v>
      </c>
      <c r="F1340" s="3" t="s">
        <v>19</v>
      </c>
      <c r="G1340" s="3" t="s">
        <v>40</v>
      </c>
      <c r="H1340" s="3" t="s">
        <v>1469</v>
      </c>
      <c r="I1340" s="11">
        <v>19.456</v>
      </c>
      <c r="J1340" s="18">
        <v>4</v>
      </c>
      <c r="K1340" s="12">
        <v>3.4047999999999998</v>
      </c>
    </row>
    <row r="1341" spans="1:11" x14ac:dyDescent="0.25">
      <c r="A1341" s="4">
        <v>43710</v>
      </c>
      <c r="B1341" s="19">
        <f t="shared" si="40"/>
        <v>2019</v>
      </c>
      <c r="C1341" s="19">
        <f t="shared" si="41"/>
        <v>9</v>
      </c>
      <c r="D1341" s="5" t="s">
        <v>1189</v>
      </c>
      <c r="E1341" s="5" t="s">
        <v>35</v>
      </c>
      <c r="F1341" s="5" t="s">
        <v>11</v>
      </c>
      <c r="G1341" s="5" t="s">
        <v>30</v>
      </c>
      <c r="H1341" s="5" t="s">
        <v>1470</v>
      </c>
      <c r="I1341" s="13">
        <v>472.51799999999997</v>
      </c>
      <c r="J1341" s="19">
        <v>3</v>
      </c>
      <c r="K1341" s="14">
        <v>-149.63069999999999</v>
      </c>
    </row>
    <row r="1342" spans="1:11" x14ac:dyDescent="0.25">
      <c r="A1342" s="2">
        <v>43710</v>
      </c>
      <c r="B1342" s="18">
        <f t="shared" si="40"/>
        <v>2019</v>
      </c>
      <c r="C1342" s="18">
        <f t="shared" si="41"/>
        <v>9</v>
      </c>
      <c r="D1342" s="3" t="s">
        <v>1189</v>
      </c>
      <c r="E1342" s="3" t="s">
        <v>35</v>
      </c>
      <c r="F1342" s="3" t="s">
        <v>14</v>
      </c>
      <c r="G1342" s="3" t="s">
        <v>24</v>
      </c>
      <c r="H1342" s="3" t="s">
        <v>1471</v>
      </c>
      <c r="I1342" s="11">
        <v>1012.68</v>
      </c>
      <c r="J1342" s="18">
        <v>3</v>
      </c>
      <c r="K1342" s="12">
        <v>303.80399999999997</v>
      </c>
    </row>
    <row r="1343" spans="1:11" x14ac:dyDescent="0.25">
      <c r="A1343" s="4">
        <v>43710</v>
      </c>
      <c r="B1343" s="19">
        <f t="shared" si="40"/>
        <v>2019</v>
      </c>
      <c r="C1343" s="19">
        <f t="shared" si="41"/>
        <v>9</v>
      </c>
      <c r="D1343" s="5" t="s">
        <v>1189</v>
      </c>
      <c r="E1343" s="5" t="s">
        <v>35</v>
      </c>
      <c r="F1343" s="5" t="s">
        <v>19</v>
      </c>
      <c r="G1343" s="5" t="s">
        <v>32</v>
      </c>
      <c r="H1343" s="5" t="s">
        <v>1472</v>
      </c>
      <c r="I1343" s="13">
        <v>17.22</v>
      </c>
      <c r="J1343" s="19">
        <v>5</v>
      </c>
      <c r="K1343" s="14">
        <v>-12.628</v>
      </c>
    </row>
    <row r="1344" spans="1:11" x14ac:dyDescent="0.25">
      <c r="A1344" s="2">
        <v>43710</v>
      </c>
      <c r="B1344" s="18">
        <f t="shared" si="40"/>
        <v>2019</v>
      </c>
      <c r="C1344" s="18">
        <f t="shared" si="41"/>
        <v>9</v>
      </c>
      <c r="D1344" s="3" t="s">
        <v>1473</v>
      </c>
      <c r="E1344" s="3" t="s">
        <v>70</v>
      </c>
      <c r="F1344" s="3" t="s">
        <v>14</v>
      </c>
      <c r="G1344" s="3" t="s">
        <v>36</v>
      </c>
      <c r="H1344" s="3" t="s">
        <v>561</v>
      </c>
      <c r="I1344" s="11">
        <v>999.98</v>
      </c>
      <c r="J1344" s="18">
        <v>2</v>
      </c>
      <c r="K1344" s="12">
        <v>449.99099999999999</v>
      </c>
    </row>
    <row r="1345" spans="1:11" x14ac:dyDescent="0.25">
      <c r="A1345" s="4">
        <v>43710</v>
      </c>
      <c r="B1345" s="19">
        <f t="shared" si="40"/>
        <v>2019</v>
      </c>
      <c r="C1345" s="19">
        <f t="shared" si="41"/>
        <v>9</v>
      </c>
      <c r="D1345" s="5" t="s">
        <v>238</v>
      </c>
      <c r="E1345" s="5" t="s">
        <v>23</v>
      </c>
      <c r="F1345" s="5" t="s">
        <v>19</v>
      </c>
      <c r="G1345" s="5" t="s">
        <v>32</v>
      </c>
      <c r="H1345" s="5" t="s">
        <v>1474</v>
      </c>
      <c r="I1345" s="13">
        <v>8.6080000000000005</v>
      </c>
      <c r="J1345" s="19">
        <v>8</v>
      </c>
      <c r="K1345" s="14">
        <v>-13.3424</v>
      </c>
    </row>
    <row r="1346" spans="1:11" x14ac:dyDescent="0.25">
      <c r="A1346" s="2">
        <v>43710</v>
      </c>
      <c r="B1346" s="18">
        <f t="shared" ref="B1346:B1409" si="42">YEAR(A1346)</f>
        <v>2019</v>
      </c>
      <c r="C1346" s="18">
        <f t="shared" ref="C1346:C1409" si="43">MONTH(A1346)</f>
        <v>9</v>
      </c>
      <c r="D1346" s="3" t="s">
        <v>238</v>
      </c>
      <c r="E1346" s="3" t="s">
        <v>23</v>
      </c>
      <c r="F1346" s="3" t="s">
        <v>14</v>
      </c>
      <c r="G1346" s="3" t="s">
        <v>24</v>
      </c>
      <c r="H1346" s="3" t="s">
        <v>45</v>
      </c>
      <c r="I1346" s="11">
        <v>159.56</v>
      </c>
      <c r="J1346" s="18">
        <v>5</v>
      </c>
      <c r="K1346" s="12">
        <v>33.906500000000001</v>
      </c>
    </row>
    <row r="1347" spans="1:11" x14ac:dyDescent="0.25">
      <c r="A1347" s="4">
        <v>43710</v>
      </c>
      <c r="B1347" s="19">
        <f t="shared" si="42"/>
        <v>2019</v>
      </c>
      <c r="C1347" s="19">
        <f t="shared" si="43"/>
        <v>9</v>
      </c>
      <c r="D1347" s="5" t="s">
        <v>1475</v>
      </c>
      <c r="E1347" s="5" t="s">
        <v>70</v>
      </c>
      <c r="F1347" s="5" t="s">
        <v>11</v>
      </c>
      <c r="G1347" s="5" t="s">
        <v>112</v>
      </c>
      <c r="H1347" s="5" t="s">
        <v>1182</v>
      </c>
      <c r="I1347" s="13">
        <v>215.976</v>
      </c>
      <c r="J1347" s="19">
        <v>3</v>
      </c>
      <c r="K1347" s="14">
        <v>-2.6997</v>
      </c>
    </row>
    <row r="1348" spans="1:11" x14ac:dyDescent="0.25">
      <c r="A1348" s="2">
        <v>43710</v>
      </c>
      <c r="B1348" s="18">
        <f t="shared" si="42"/>
        <v>2019</v>
      </c>
      <c r="C1348" s="18">
        <f t="shared" si="43"/>
        <v>9</v>
      </c>
      <c r="D1348" s="3" t="s">
        <v>1475</v>
      </c>
      <c r="E1348" s="3" t="s">
        <v>70</v>
      </c>
      <c r="F1348" s="3" t="s">
        <v>19</v>
      </c>
      <c r="G1348" s="3" t="s">
        <v>86</v>
      </c>
      <c r="H1348" s="3" t="s">
        <v>1173</v>
      </c>
      <c r="I1348" s="11">
        <v>65.94</v>
      </c>
      <c r="J1348" s="18">
        <v>3</v>
      </c>
      <c r="K1348" s="12">
        <v>30.991800000000001</v>
      </c>
    </row>
    <row r="1349" spans="1:11" x14ac:dyDescent="0.25">
      <c r="A1349" s="4">
        <v>43710</v>
      </c>
      <c r="B1349" s="19">
        <f t="shared" si="42"/>
        <v>2019</v>
      </c>
      <c r="C1349" s="19">
        <f t="shared" si="43"/>
        <v>9</v>
      </c>
      <c r="D1349" s="5" t="s">
        <v>17</v>
      </c>
      <c r="E1349" s="5" t="s">
        <v>18</v>
      </c>
      <c r="F1349" s="5" t="s">
        <v>11</v>
      </c>
      <c r="G1349" s="5" t="s">
        <v>51</v>
      </c>
      <c r="H1349" s="5" t="s">
        <v>701</v>
      </c>
      <c r="I1349" s="13">
        <v>94.68</v>
      </c>
      <c r="J1349" s="19">
        <v>9</v>
      </c>
      <c r="K1349" s="14">
        <v>31.244399999999999</v>
      </c>
    </row>
    <row r="1350" spans="1:11" x14ac:dyDescent="0.25">
      <c r="A1350" s="2">
        <v>43710</v>
      </c>
      <c r="B1350" s="18">
        <f t="shared" si="42"/>
        <v>2019</v>
      </c>
      <c r="C1350" s="18">
        <f t="shared" si="43"/>
        <v>9</v>
      </c>
      <c r="D1350" s="3" t="s">
        <v>17</v>
      </c>
      <c r="E1350" s="3" t="s">
        <v>18</v>
      </c>
      <c r="F1350" s="3" t="s">
        <v>19</v>
      </c>
      <c r="G1350" s="3" t="s">
        <v>20</v>
      </c>
      <c r="H1350" s="3" t="s">
        <v>748</v>
      </c>
      <c r="I1350" s="11">
        <v>23.67</v>
      </c>
      <c r="J1350" s="18">
        <v>3</v>
      </c>
      <c r="K1350" s="12">
        <v>0.94679999999999997</v>
      </c>
    </row>
    <row r="1351" spans="1:11" x14ac:dyDescent="0.25">
      <c r="A1351" s="4">
        <v>43710</v>
      </c>
      <c r="B1351" s="19">
        <f t="shared" si="42"/>
        <v>2019</v>
      </c>
      <c r="C1351" s="19">
        <f t="shared" si="43"/>
        <v>9</v>
      </c>
      <c r="D1351" s="5" t="s">
        <v>17</v>
      </c>
      <c r="E1351" s="5" t="s">
        <v>18</v>
      </c>
      <c r="F1351" s="5" t="s">
        <v>14</v>
      </c>
      <c r="G1351" s="5" t="s">
        <v>15</v>
      </c>
      <c r="H1351" s="5" t="s">
        <v>352</v>
      </c>
      <c r="I1351" s="13">
        <v>1091.1679999999999</v>
      </c>
      <c r="J1351" s="19">
        <v>4</v>
      </c>
      <c r="K1351" s="14">
        <v>68.197999999999993</v>
      </c>
    </row>
    <row r="1352" spans="1:11" x14ac:dyDescent="0.25">
      <c r="A1352" s="2">
        <v>43710</v>
      </c>
      <c r="B1352" s="18">
        <f t="shared" si="42"/>
        <v>2019</v>
      </c>
      <c r="C1352" s="18">
        <f t="shared" si="43"/>
        <v>9</v>
      </c>
      <c r="D1352" s="3" t="s">
        <v>17</v>
      </c>
      <c r="E1352" s="3" t="s">
        <v>18</v>
      </c>
      <c r="F1352" s="3" t="s">
        <v>19</v>
      </c>
      <c r="G1352" s="3" t="s">
        <v>40</v>
      </c>
      <c r="H1352" s="3" t="s">
        <v>1476</v>
      </c>
      <c r="I1352" s="11">
        <v>18.690000000000001</v>
      </c>
      <c r="J1352" s="18">
        <v>7</v>
      </c>
      <c r="K1352" s="12">
        <v>5.2332000000000001</v>
      </c>
    </row>
    <row r="1353" spans="1:11" x14ac:dyDescent="0.25">
      <c r="A1353" s="4">
        <v>43710</v>
      </c>
      <c r="B1353" s="19">
        <f t="shared" si="42"/>
        <v>2019</v>
      </c>
      <c r="C1353" s="19">
        <f t="shared" si="43"/>
        <v>9</v>
      </c>
      <c r="D1353" s="5" t="s">
        <v>17</v>
      </c>
      <c r="E1353" s="5" t="s">
        <v>18</v>
      </c>
      <c r="F1353" s="5" t="s">
        <v>11</v>
      </c>
      <c r="G1353" s="5" t="s">
        <v>30</v>
      </c>
      <c r="H1353" s="5" t="s">
        <v>1477</v>
      </c>
      <c r="I1353" s="13">
        <v>568.72799999999995</v>
      </c>
      <c r="J1353" s="19">
        <v>3</v>
      </c>
      <c r="K1353" s="14">
        <v>28.436399999999999</v>
      </c>
    </row>
    <row r="1354" spans="1:11" x14ac:dyDescent="0.25">
      <c r="A1354" s="2">
        <v>43710</v>
      </c>
      <c r="B1354" s="18">
        <f t="shared" si="42"/>
        <v>2019</v>
      </c>
      <c r="C1354" s="18">
        <f t="shared" si="43"/>
        <v>9</v>
      </c>
      <c r="D1354" s="3" t="s">
        <v>17</v>
      </c>
      <c r="E1354" s="3" t="s">
        <v>18</v>
      </c>
      <c r="F1354" s="3" t="s">
        <v>19</v>
      </c>
      <c r="G1354" s="3" t="s">
        <v>32</v>
      </c>
      <c r="H1354" s="3" t="s">
        <v>1097</v>
      </c>
      <c r="I1354" s="11">
        <v>7.3120000000000003</v>
      </c>
      <c r="J1354" s="18">
        <v>1</v>
      </c>
      <c r="K1354" s="12">
        <v>2.5592000000000001</v>
      </c>
    </row>
    <row r="1355" spans="1:11" x14ac:dyDescent="0.25">
      <c r="A1355" s="4">
        <v>43711</v>
      </c>
      <c r="B1355" s="19">
        <f t="shared" si="42"/>
        <v>2019</v>
      </c>
      <c r="C1355" s="19">
        <f t="shared" si="43"/>
        <v>9</v>
      </c>
      <c r="D1355" s="5" t="s">
        <v>1478</v>
      </c>
      <c r="E1355" s="5" t="s">
        <v>39</v>
      </c>
      <c r="F1355" s="5" t="s">
        <v>19</v>
      </c>
      <c r="G1355" s="5" t="s">
        <v>32</v>
      </c>
      <c r="H1355" s="5" t="s">
        <v>1303</v>
      </c>
      <c r="I1355" s="13">
        <v>1141.47</v>
      </c>
      <c r="J1355" s="19">
        <v>5</v>
      </c>
      <c r="K1355" s="14">
        <v>-760.98</v>
      </c>
    </row>
    <row r="1356" spans="1:11" x14ac:dyDescent="0.25">
      <c r="A1356" s="2">
        <v>43711</v>
      </c>
      <c r="B1356" s="18">
        <f t="shared" si="42"/>
        <v>2019</v>
      </c>
      <c r="C1356" s="18">
        <f t="shared" si="43"/>
        <v>9</v>
      </c>
      <c r="D1356" s="3" t="s">
        <v>1478</v>
      </c>
      <c r="E1356" s="3" t="s">
        <v>39</v>
      </c>
      <c r="F1356" s="3" t="s">
        <v>14</v>
      </c>
      <c r="G1356" s="3" t="s">
        <v>15</v>
      </c>
      <c r="H1356" s="3" t="s">
        <v>1479</v>
      </c>
      <c r="I1356" s="11">
        <v>280.78199999999998</v>
      </c>
      <c r="J1356" s="18">
        <v>3</v>
      </c>
      <c r="K1356" s="12">
        <v>-46.796999999999997</v>
      </c>
    </row>
    <row r="1357" spans="1:11" x14ac:dyDescent="0.25">
      <c r="A1357" s="4">
        <v>43711</v>
      </c>
      <c r="B1357" s="19">
        <f t="shared" si="42"/>
        <v>2019</v>
      </c>
      <c r="C1357" s="19">
        <f t="shared" si="43"/>
        <v>9</v>
      </c>
      <c r="D1357" s="5" t="s">
        <v>636</v>
      </c>
      <c r="E1357" s="5" t="s">
        <v>164</v>
      </c>
      <c r="F1357" s="5" t="s">
        <v>11</v>
      </c>
      <c r="G1357" s="5" t="s">
        <v>51</v>
      </c>
      <c r="H1357" s="5" t="s">
        <v>1480</v>
      </c>
      <c r="I1357" s="13">
        <v>83.951999999999998</v>
      </c>
      <c r="J1357" s="19">
        <v>3</v>
      </c>
      <c r="K1357" s="14">
        <v>-90.248400000000004</v>
      </c>
    </row>
    <row r="1358" spans="1:11" x14ac:dyDescent="0.25">
      <c r="A1358" s="2">
        <v>43711</v>
      </c>
      <c r="B1358" s="18">
        <f t="shared" si="42"/>
        <v>2019</v>
      </c>
      <c r="C1358" s="18">
        <f t="shared" si="43"/>
        <v>9</v>
      </c>
      <c r="D1358" s="3" t="s">
        <v>520</v>
      </c>
      <c r="E1358" s="3" t="s">
        <v>164</v>
      </c>
      <c r="F1358" s="3" t="s">
        <v>19</v>
      </c>
      <c r="G1358" s="3" t="s">
        <v>32</v>
      </c>
      <c r="H1358" s="3" t="s">
        <v>60</v>
      </c>
      <c r="I1358" s="11">
        <v>8.8079999999999998</v>
      </c>
      <c r="J1358" s="18">
        <v>3</v>
      </c>
      <c r="K1358" s="12">
        <v>-14.973599999999999</v>
      </c>
    </row>
    <row r="1359" spans="1:11" x14ac:dyDescent="0.25">
      <c r="A1359" s="4">
        <v>43711</v>
      </c>
      <c r="B1359" s="19">
        <f t="shared" si="42"/>
        <v>2019</v>
      </c>
      <c r="C1359" s="19">
        <f t="shared" si="43"/>
        <v>9</v>
      </c>
      <c r="D1359" s="5" t="s">
        <v>599</v>
      </c>
      <c r="E1359" s="5" t="s">
        <v>91</v>
      </c>
      <c r="F1359" s="5" t="s">
        <v>19</v>
      </c>
      <c r="G1359" s="5" t="s">
        <v>53</v>
      </c>
      <c r="H1359" s="5" t="s">
        <v>573</v>
      </c>
      <c r="I1359" s="13">
        <v>48.16</v>
      </c>
      <c r="J1359" s="19">
        <v>7</v>
      </c>
      <c r="K1359" s="14">
        <v>22.153600000000001</v>
      </c>
    </row>
    <row r="1360" spans="1:11" x14ac:dyDescent="0.25">
      <c r="A1360" s="2">
        <v>43711</v>
      </c>
      <c r="B1360" s="18">
        <f t="shared" si="42"/>
        <v>2019</v>
      </c>
      <c r="C1360" s="18">
        <f t="shared" si="43"/>
        <v>9</v>
      </c>
      <c r="D1360" s="3" t="s">
        <v>1065</v>
      </c>
      <c r="E1360" s="3" t="s">
        <v>56</v>
      </c>
      <c r="F1360" s="3" t="s">
        <v>19</v>
      </c>
      <c r="G1360" s="3" t="s">
        <v>20</v>
      </c>
      <c r="H1360" s="3" t="s">
        <v>1481</v>
      </c>
      <c r="I1360" s="11">
        <v>54.5</v>
      </c>
      <c r="J1360" s="18">
        <v>5</v>
      </c>
      <c r="K1360" s="12">
        <v>14.17</v>
      </c>
    </row>
    <row r="1361" spans="1:11" x14ac:dyDescent="0.25">
      <c r="A1361" s="4">
        <v>43711</v>
      </c>
      <c r="B1361" s="19">
        <f t="shared" si="42"/>
        <v>2019</v>
      </c>
      <c r="C1361" s="19">
        <f t="shared" si="43"/>
        <v>9</v>
      </c>
      <c r="D1361" s="5" t="s">
        <v>1368</v>
      </c>
      <c r="E1361" s="5" t="s">
        <v>394</v>
      </c>
      <c r="F1361" s="5" t="s">
        <v>19</v>
      </c>
      <c r="G1361" s="5" t="s">
        <v>32</v>
      </c>
      <c r="H1361" s="5" t="s">
        <v>155</v>
      </c>
      <c r="I1361" s="13">
        <v>87.28</v>
      </c>
      <c r="J1361" s="19">
        <v>8</v>
      </c>
      <c r="K1361" s="14">
        <v>41.021599999999999</v>
      </c>
    </row>
    <row r="1362" spans="1:11" x14ac:dyDescent="0.25">
      <c r="A1362" s="2">
        <v>43711</v>
      </c>
      <c r="B1362" s="18">
        <f t="shared" si="42"/>
        <v>2019</v>
      </c>
      <c r="C1362" s="18">
        <f t="shared" si="43"/>
        <v>9</v>
      </c>
      <c r="D1362" s="3" t="s">
        <v>596</v>
      </c>
      <c r="E1362" s="3" t="s">
        <v>10</v>
      </c>
      <c r="F1362" s="3" t="s">
        <v>11</v>
      </c>
      <c r="G1362" s="3" t="s">
        <v>12</v>
      </c>
      <c r="H1362" s="3" t="s">
        <v>1445</v>
      </c>
      <c r="I1362" s="11">
        <v>344.94</v>
      </c>
      <c r="J1362" s="18">
        <v>3</v>
      </c>
      <c r="K1362" s="12">
        <v>31.044599999999999</v>
      </c>
    </row>
    <row r="1363" spans="1:11" x14ac:dyDescent="0.25">
      <c r="A1363" s="4">
        <v>43711</v>
      </c>
      <c r="B1363" s="19">
        <f t="shared" si="42"/>
        <v>2019</v>
      </c>
      <c r="C1363" s="19">
        <f t="shared" si="43"/>
        <v>9</v>
      </c>
      <c r="D1363" s="5" t="s">
        <v>596</v>
      </c>
      <c r="E1363" s="5" t="s">
        <v>10</v>
      </c>
      <c r="F1363" s="5" t="s">
        <v>11</v>
      </c>
      <c r="G1363" s="5" t="s">
        <v>51</v>
      </c>
      <c r="H1363" s="5" t="s">
        <v>1122</v>
      </c>
      <c r="I1363" s="13">
        <v>14.76</v>
      </c>
      <c r="J1363" s="19">
        <v>2</v>
      </c>
      <c r="K1363" s="14">
        <v>4.2804000000000002</v>
      </c>
    </row>
    <row r="1364" spans="1:11" x14ac:dyDescent="0.25">
      <c r="A1364" s="2">
        <v>43711</v>
      </c>
      <c r="B1364" s="18">
        <f t="shared" si="42"/>
        <v>2019</v>
      </c>
      <c r="C1364" s="18">
        <f t="shared" si="43"/>
        <v>9</v>
      </c>
      <c r="D1364" s="3" t="s">
        <v>596</v>
      </c>
      <c r="E1364" s="3" t="s">
        <v>10</v>
      </c>
      <c r="F1364" s="3" t="s">
        <v>19</v>
      </c>
      <c r="G1364" s="3" t="s">
        <v>32</v>
      </c>
      <c r="H1364" s="3" t="s">
        <v>1482</v>
      </c>
      <c r="I1364" s="11">
        <v>12.76</v>
      </c>
      <c r="J1364" s="18">
        <v>2</v>
      </c>
      <c r="K1364" s="12">
        <v>5.8696000000000002</v>
      </c>
    </row>
    <row r="1365" spans="1:11" x14ac:dyDescent="0.25">
      <c r="A1365" s="4">
        <v>43711</v>
      </c>
      <c r="B1365" s="19">
        <f t="shared" si="42"/>
        <v>2019</v>
      </c>
      <c r="C1365" s="19">
        <f t="shared" si="43"/>
        <v>9</v>
      </c>
      <c r="D1365" s="5" t="s">
        <v>596</v>
      </c>
      <c r="E1365" s="5" t="s">
        <v>10</v>
      </c>
      <c r="F1365" s="5" t="s">
        <v>19</v>
      </c>
      <c r="G1365" s="5" t="s">
        <v>127</v>
      </c>
      <c r="H1365" s="5" t="s">
        <v>1024</v>
      </c>
      <c r="I1365" s="13">
        <v>58.48</v>
      </c>
      <c r="J1365" s="19">
        <v>8</v>
      </c>
      <c r="K1365" s="14">
        <v>27.485600000000002</v>
      </c>
    </row>
    <row r="1366" spans="1:11" x14ac:dyDescent="0.25">
      <c r="A1366" s="2">
        <v>43711</v>
      </c>
      <c r="B1366" s="18">
        <f t="shared" si="42"/>
        <v>2019</v>
      </c>
      <c r="C1366" s="18">
        <f t="shared" si="43"/>
        <v>9</v>
      </c>
      <c r="D1366" s="3" t="s">
        <v>732</v>
      </c>
      <c r="E1366" s="3" t="s">
        <v>164</v>
      </c>
      <c r="F1366" s="3" t="s">
        <v>11</v>
      </c>
      <c r="G1366" s="3" t="s">
        <v>12</v>
      </c>
      <c r="H1366" s="3" t="s">
        <v>1483</v>
      </c>
      <c r="I1366" s="11">
        <v>198.744</v>
      </c>
      <c r="J1366" s="18">
        <v>4</v>
      </c>
      <c r="K1366" s="12">
        <v>0</v>
      </c>
    </row>
    <row r="1367" spans="1:11" x14ac:dyDescent="0.25">
      <c r="A1367" s="4">
        <v>43711</v>
      </c>
      <c r="B1367" s="19">
        <f t="shared" si="42"/>
        <v>2019</v>
      </c>
      <c r="C1367" s="19">
        <f t="shared" si="43"/>
        <v>9</v>
      </c>
      <c r="D1367" s="5" t="s">
        <v>1484</v>
      </c>
      <c r="E1367" s="5" t="s">
        <v>67</v>
      </c>
      <c r="F1367" s="5" t="s">
        <v>19</v>
      </c>
      <c r="G1367" s="5" t="s">
        <v>53</v>
      </c>
      <c r="H1367" s="5" t="s">
        <v>1443</v>
      </c>
      <c r="I1367" s="13">
        <v>30.96</v>
      </c>
      <c r="J1367" s="19">
        <v>6</v>
      </c>
      <c r="K1367" s="14">
        <v>11.223000000000001</v>
      </c>
    </row>
    <row r="1368" spans="1:11" x14ac:dyDescent="0.25">
      <c r="A1368" s="2">
        <v>43712</v>
      </c>
      <c r="B1368" s="18">
        <f t="shared" si="42"/>
        <v>2019</v>
      </c>
      <c r="C1368" s="18">
        <f t="shared" si="43"/>
        <v>9</v>
      </c>
      <c r="D1368" s="3" t="s">
        <v>1281</v>
      </c>
      <c r="E1368" s="3" t="s">
        <v>23</v>
      </c>
      <c r="F1368" s="3" t="s">
        <v>19</v>
      </c>
      <c r="G1368" s="3" t="s">
        <v>40</v>
      </c>
      <c r="H1368" s="3" t="s">
        <v>1485</v>
      </c>
      <c r="I1368" s="11">
        <v>3.9119999999999999</v>
      </c>
      <c r="J1368" s="18">
        <v>1</v>
      </c>
      <c r="K1368" s="12">
        <v>1.0268999999999999</v>
      </c>
    </row>
    <row r="1369" spans="1:11" x14ac:dyDescent="0.25">
      <c r="A1369" s="4">
        <v>43712</v>
      </c>
      <c r="B1369" s="19">
        <f t="shared" si="42"/>
        <v>2019</v>
      </c>
      <c r="C1369" s="19">
        <f t="shared" si="43"/>
        <v>9</v>
      </c>
      <c r="D1369" s="5" t="s">
        <v>1281</v>
      </c>
      <c r="E1369" s="5" t="s">
        <v>23</v>
      </c>
      <c r="F1369" s="5" t="s">
        <v>19</v>
      </c>
      <c r="G1369" s="5" t="s">
        <v>40</v>
      </c>
      <c r="H1369" s="5" t="s">
        <v>430</v>
      </c>
      <c r="I1369" s="13">
        <v>62.375999999999998</v>
      </c>
      <c r="J1369" s="19">
        <v>3</v>
      </c>
      <c r="K1369" s="14">
        <v>7.0172999999999996</v>
      </c>
    </row>
    <row r="1370" spans="1:11" x14ac:dyDescent="0.25">
      <c r="A1370" s="2">
        <v>43712</v>
      </c>
      <c r="B1370" s="18">
        <f t="shared" si="42"/>
        <v>2019</v>
      </c>
      <c r="C1370" s="18">
        <f t="shared" si="43"/>
        <v>9</v>
      </c>
      <c r="D1370" s="3" t="s">
        <v>1486</v>
      </c>
      <c r="E1370" s="3" t="s">
        <v>94</v>
      </c>
      <c r="F1370" s="3" t="s">
        <v>11</v>
      </c>
      <c r="G1370" s="3" t="s">
        <v>51</v>
      </c>
      <c r="H1370" s="3" t="s">
        <v>665</v>
      </c>
      <c r="I1370" s="11">
        <v>63.94</v>
      </c>
      <c r="J1370" s="18">
        <v>1</v>
      </c>
      <c r="K1370" s="12">
        <v>24.936599999999999</v>
      </c>
    </row>
    <row r="1371" spans="1:11" x14ac:dyDescent="0.25">
      <c r="A1371" s="4">
        <v>43712</v>
      </c>
      <c r="B1371" s="19">
        <f t="shared" si="42"/>
        <v>2019</v>
      </c>
      <c r="C1371" s="19">
        <f t="shared" si="43"/>
        <v>9</v>
      </c>
      <c r="D1371" s="5" t="s">
        <v>1486</v>
      </c>
      <c r="E1371" s="5" t="s">
        <v>94</v>
      </c>
      <c r="F1371" s="5" t="s">
        <v>19</v>
      </c>
      <c r="G1371" s="5" t="s">
        <v>32</v>
      </c>
      <c r="H1371" s="5" t="s">
        <v>58</v>
      </c>
      <c r="I1371" s="13">
        <v>60.6</v>
      </c>
      <c r="J1371" s="19">
        <v>5</v>
      </c>
      <c r="K1371" s="14">
        <v>20.452500000000001</v>
      </c>
    </row>
    <row r="1372" spans="1:11" x14ac:dyDescent="0.25">
      <c r="A1372" s="2">
        <v>43712</v>
      </c>
      <c r="B1372" s="18">
        <f t="shared" si="42"/>
        <v>2019</v>
      </c>
      <c r="C1372" s="18">
        <f t="shared" si="43"/>
        <v>9</v>
      </c>
      <c r="D1372" s="3" t="s">
        <v>1486</v>
      </c>
      <c r="E1372" s="3" t="s">
        <v>94</v>
      </c>
      <c r="F1372" s="3" t="s">
        <v>19</v>
      </c>
      <c r="G1372" s="3" t="s">
        <v>265</v>
      </c>
      <c r="H1372" s="3" t="s">
        <v>1487</v>
      </c>
      <c r="I1372" s="11">
        <v>22.72</v>
      </c>
      <c r="J1372" s="18">
        <v>4</v>
      </c>
      <c r="K1372" s="12">
        <v>6.5888</v>
      </c>
    </row>
    <row r="1373" spans="1:11" x14ac:dyDescent="0.25">
      <c r="A1373" s="4">
        <v>43712</v>
      </c>
      <c r="B1373" s="19">
        <f t="shared" si="42"/>
        <v>2019</v>
      </c>
      <c r="C1373" s="19">
        <f t="shared" si="43"/>
        <v>9</v>
      </c>
      <c r="D1373" s="5" t="s">
        <v>1488</v>
      </c>
      <c r="E1373" s="5" t="s">
        <v>219</v>
      </c>
      <c r="F1373" s="5" t="s">
        <v>19</v>
      </c>
      <c r="G1373" s="5" t="s">
        <v>53</v>
      </c>
      <c r="H1373" s="5" t="s">
        <v>1489</v>
      </c>
      <c r="I1373" s="13">
        <v>12.192</v>
      </c>
      <c r="J1373" s="19">
        <v>3</v>
      </c>
      <c r="K1373" s="14">
        <v>4.1147999999999998</v>
      </c>
    </row>
    <row r="1374" spans="1:11" x14ac:dyDescent="0.25">
      <c r="A1374" s="2">
        <v>43712</v>
      </c>
      <c r="B1374" s="18">
        <f t="shared" si="42"/>
        <v>2019</v>
      </c>
      <c r="C1374" s="18">
        <f t="shared" si="43"/>
        <v>9</v>
      </c>
      <c r="D1374" s="3" t="s">
        <v>1488</v>
      </c>
      <c r="E1374" s="3" t="s">
        <v>219</v>
      </c>
      <c r="F1374" s="3" t="s">
        <v>19</v>
      </c>
      <c r="G1374" s="3" t="s">
        <v>121</v>
      </c>
      <c r="H1374" s="3" t="s">
        <v>284</v>
      </c>
      <c r="I1374" s="11">
        <v>87.168000000000006</v>
      </c>
      <c r="J1374" s="18">
        <v>2</v>
      </c>
      <c r="K1374" s="12">
        <v>8.7167999999999992</v>
      </c>
    </row>
    <row r="1375" spans="1:11" x14ac:dyDescent="0.25">
      <c r="A1375" s="4">
        <v>43712</v>
      </c>
      <c r="B1375" s="19">
        <f t="shared" si="42"/>
        <v>2019</v>
      </c>
      <c r="C1375" s="19">
        <f t="shared" si="43"/>
        <v>9</v>
      </c>
      <c r="D1375" s="5" t="s">
        <v>1488</v>
      </c>
      <c r="E1375" s="5" t="s">
        <v>219</v>
      </c>
      <c r="F1375" s="5" t="s">
        <v>19</v>
      </c>
      <c r="G1375" s="5" t="s">
        <v>40</v>
      </c>
      <c r="H1375" s="5" t="s">
        <v>1490</v>
      </c>
      <c r="I1375" s="13">
        <v>31.744</v>
      </c>
      <c r="J1375" s="19">
        <v>2</v>
      </c>
      <c r="K1375" s="14">
        <v>8.3328000000000007</v>
      </c>
    </row>
    <row r="1376" spans="1:11" x14ac:dyDescent="0.25">
      <c r="A1376" s="2">
        <v>43712</v>
      </c>
      <c r="B1376" s="18">
        <f t="shared" si="42"/>
        <v>2019</v>
      </c>
      <c r="C1376" s="18">
        <f t="shared" si="43"/>
        <v>9</v>
      </c>
      <c r="D1376" s="3" t="s">
        <v>1172</v>
      </c>
      <c r="E1376" s="3" t="s">
        <v>195</v>
      </c>
      <c r="F1376" s="3" t="s">
        <v>11</v>
      </c>
      <c r="G1376" s="3" t="s">
        <v>51</v>
      </c>
      <c r="H1376" s="3" t="s">
        <v>357</v>
      </c>
      <c r="I1376" s="11">
        <v>42.6</v>
      </c>
      <c r="J1376" s="18">
        <v>3</v>
      </c>
      <c r="K1376" s="12">
        <v>16.614000000000001</v>
      </c>
    </row>
    <row r="1377" spans="1:11" x14ac:dyDescent="0.25">
      <c r="A1377" s="4">
        <v>43712</v>
      </c>
      <c r="B1377" s="19">
        <f t="shared" si="42"/>
        <v>2019</v>
      </c>
      <c r="C1377" s="19">
        <f t="shared" si="43"/>
        <v>9</v>
      </c>
      <c r="D1377" s="5" t="s">
        <v>1172</v>
      </c>
      <c r="E1377" s="5" t="s">
        <v>195</v>
      </c>
      <c r="F1377" s="5" t="s">
        <v>19</v>
      </c>
      <c r="G1377" s="5" t="s">
        <v>32</v>
      </c>
      <c r="H1377" s="5" t="s">
        <v>694</v>
      </c>
      <c r="I1377" s="13">
        <v>113.94</v>
      </c>
      <c r="J1377" s="19">
        <v>6</v>
      </c>
      <c r="K1377" s="14">
        <v>54.691200000000002</v>
      </c>
    </row>
    <row r="1378" spans="1:11" x14ac:dyDescent="0.25">
      <c r="A1378" s="2">
        <v>43712</v>
      </c>
      <c r="B1378" s="18">
        <f t="shared" si="42"/>
        <v>2019</v>
      </c>
      <c r="C1378" s="18">
        <f t="shared" si="43"/>
        <v>9</v>
      </c>
      <c r="D1378" s="3" t="s">
        <v>1172</v>
      </c>
      <c r="E1378" s="3" t="s">
        <v>195</v>
      </c>
      <c r="F1378" s="3" t="s">
        <v>19</v>
      </c>
      <c r="G1378" s="3" t="s">
        <v>20</v>
      </c>
      <c r="H1378" s="3" t="s">
        <v>576</v>
      </c>
      <c r="I1378" s="11">
        <v>129.91999999999999</v>
      </c>
      <c r="J1378" s="18">
        <v>4</v>
      </c>
      <c r="K1378" s="12">
        <v>5.1967999999999996</v>
      </c>
    </row>
    <row r="1379" spans="1:11" x14ac:dyDescent="0.25">
      <c r="A1379" s="4">
        <v>43712</v>
      </c>
      <c r="B1379" s="19">
        <f t="shared" si="42"/>
        <v>2019</v>
      </c>
      <c r="C1379" s="19">
        <f t="shared" si="43"/>
        <v>9</v>
      </c>
      <c r="D1379" s="5" t="s">
        <v>1172</v>
      </c>
      <c r="E1379" s="5" t="s">
        <v>195</v>
      </c>
      <c r="F1379" s="5" t="s">
        <v>19</v>
      </c>
      <c r="G1379" s="5" t="s">
        <v>40</v>
      </c>
      <c r="H1379" s="5" t="s">
        <v>1045</v>
      </c>
      <c r="I1379" s="13">
        <v>5.28</v>
      </c>
      <c r="J1379" s="19">
        <v>3</v>
      </c>
      <c r="K1379" s="14">
        <v>2.5344000000000002</v>
      </c>
    </row>
    <row r="1380" spans="1:11" x14ac:dyDescent="0.25">
      <c r="A1380" s="2">
        <v>43712</v>
      </c>
      <c r="B1380" s="18">
        <f t="shared" si="42"/>
        <v>2019</v>
      </c>
      <c r="C1380" s="18">
        <f t="shared" si="43"/>
        <v>9</v>
      </c>
      <c r="D1380" s="3" t="s">
        <v>858</v>
      </c>
      <c r="E1380" s="3" t="s">
        <v>387</v>
      </c>
      <c r="F1380" s="3" t="s">
        <v>19</v>
      </c>
      <c r="G1380" s="3" t="s">
        <v>20</v>
      </c>
      <c r="H1380" s="3" t="s">
        <v>818</v>
      </c>
      <c r="I1380" s="11">
        <v>535.41</v>
      </c>
      <c r="J1380" s="18">
        <v>3</v>
      </c>
      <c r="K1380" s="12">
        <v>160.62299999999999</v>
      </c>
    </row>
    <row r="1381" spans="1:11" x14ac:dyDescent="0.25">
      <c r="A1381" s="4">
        <v>43712</v>
      </c>
      <c r="B1381" s="19">
        <f t="shared" si="42"/>
        <v>2019</v>
      </c>
      <c r="C1381" s="19">
        <f t="shared" si="43"/>
        <v>9</v>
      </c>
      <c r="D1381" s="5" t="s">
        <v>389</v>
      </c>
      <c r="E1381" s="5" t="s">
        <v>472</v>
      </c>
      <c r="F1381" s="5" t="s">
        <v>19</v>
      </c>
      <c r="G1381" s="5" t="s">
        <v>86</v>
      </c>
      <c r="H1381" s="5" t="s">
        <v>176</v>
      </c>
      <c r="I1381" s="13">
        <v>16.559999999999999</v>
      </c>
      <c r="J1381" s="19">
        <v>2</v>
      </c>
      <c r="K1381" s="14">
        <v>7.7831999999999999</v>
      </c>
    </row>
    <row r="1382" spans="1:11" x14ac:dyDescent="0.25">
      <c r="A1382" s="2">
        <v>43712</v>
      </c>
      <c r="B1382" s="18">
        <f t="shared" si="42"/>
        <v>2019</v>
      </c>
      <c r="C1382" s="18">
        <f t="shared" si="43"/>
        <v>9</v>
      </c>
      <c r="D1382" s="3" t="s">
        <v>389</v>
      </c>
      <c r="E1382" s="3" t="s">
        <v>472</v>
      </c>
      <c r="F1382" s="3" t="s">
        <v>14</v>
      </c>
      <c r="G1382" s="3" t="s">
        <v>24</v>
      </c>
      <c r="H1382" s="3" t="s">
        <v>965</v>
      </c>
      <c r="I1382" s="11">
        <v>279.95</v>
      </c>
      <c r="J1382" s="18">
        <v>5</v>
      </c>
      <c r="K1382" s="12">
        <v>67.188000000000002</v>
      </c>
    </row>
    <row r="1383" spans="1:11" x14ac:dyDescent="0.25">
      <c r="A1383" s="4">
        <v>43712</v>
      </c>
      <c r="B1383" s="19">
        <f t="shared" si="42"/>
        <v>2019</v>
      </c>
      <c r="C1383" s="19">
        <f t="shared" si="43"/>
        <v>9</v>
      </c>
      <c r="D1383" s="5" t="s">
        <v>1377</v>
      </c>
      <c r="E1383" s="5" t="s">
        <v>589</v>
      </c>
      <c r="F1383" s="5" t="s">
        <v>19</v>
      </c>
      <c r="G1383" s="5" t="s">
        <v>53</v>
      </c>
      <c r="H1383" s="5" t="s">
        <v>1491</v>
      </c>
      <c r="I1383" s="13">
        <v>239.5</v>
      </c>
      <c r="J1383" s="19">
        <v>5</v>
      </c>
      <c r="K1383" s="14">
        <v>114.96</v>
      </c>
    </row>
    <row r="1384" spans="1:11" x14ac:dyDescent="0.25">
      <c r="A1384" s="2">
        <v>43712</v>
      </c>
      <c r="B1384" s="18">
        <f t="shared" si="42"/>
        <v>2019</v>
      </c>
      <c r="C1384" s="18">
        <f t="shared" si="43"/>
        <v>9</v>
      </c>
      <c r="D1384" s="3" t="s">
        <v>1492</v>
      </c>
      <c r="E1384" s="3" t="s">
        <v>18</v>
      </c>
      <c r="F1384" s="3" t="s">
        <v>11</v>
      </c>
      <c r="G1384" s="3" t="s">
        <v>51</v>
      </c>
      <c r="H1384" s="3" t="s">
        <v>1493</v>
      </c>
      <c r="I1384" s="11">
        <v>24.27</v>
      </c>
      <c r="J1384" s="18">
        <v>3</v>
      </c>
      <c r="K1384" s="12">
        <v>8.7371999999999996</v>
      </c>
    </row>
    <row r="1385" spans="1:11" x14ac:dyDescent="0.25">
      <c r="A1385" s="4">
        <v>43712</v>
      </c>
      <c r="B1385" s="19">
        <f t="shared" si="42"/>
        <v>2019</v>
      </c>
      <c r="C1385" s="19">
        <f t="shared" si="43"/>
        <v>9</v>
      </c>
      <c r="D1385" s="5" t="s">
        <v>1492</v>
      </c>
      <c r="E1385" s="5" t="s">
        <v>18</v>
      </c>
      <c r="F1385" s="5" t="s">
        <v>14</v>
      </c>
      <c r="G1385" s="5" t="s">
        <v>36</v>
      </c>
      <c r="H1385" s="5" t="s">
        <v>1183</v>
      </c>
      <c r="I1385" s="13">
        <v>2799.96</v>
      </c>
      <c r="J1385" s="19">
        <v>5</v>
      </c>
      <c r="K1385" s="14">
        <v>944.98649999999998</v>
      </c>
    </row>
    <row r="1386" spans="1:11" x14ac:dyDescent="0.25">
      <c r="A1386" s="2">
        <v>43713</v>
      </c>
      <c r="B1386" s="18">
        <f t="shared" si="42"/>
        <v>2019</v>
      </c>
      <c r="C1386" s="18">
        <f t="shared" si="43"/>
        <v>9</v>
      </c>
      <c r="D1386" s="3" t="s">
        <v>148</v>
      </c>
      <c r="E1386" s="3" t="s">
        <v>39</v>
      </c>
      <c r="F1386" s="3" t="s">
        <v>11</v>
      </c>
      <c r="G1386" s="3" t="s">
        <v>51</v>
      </c>
      <c r="H1386" s="3" t="s">
        <v>514</v>
      </c>
      <c r="I1386" s="11">
        <v>82.8</v>
      </c>
      <c r="J1386" s="18">
        <v>2</v>
      </c>
      <c r="K1386" s="12">
        <v>10.35</v>
      </c>
    </row>
    <row r="1387" spans="1:11" x14ac:dyDescent="0.25">
      <c r="A1387" s="4">
        <v>43713</v>
      </c>
      <c r="B1387" s="19">
        <f t="shared" si="42"/>
        <v>2019</v>
      </c>
      <c r="C1387" s="19">
        <f t="shared" si="43"/>
        <v>9</v>
      </c>
      <c r="D1387" s="5" t="s">
        <v>646</v>
      </c>
      <c r="E1387" s="5" t="s">
        <v>365</v>
      </c>
      <c r="F1387" s="5" t="s">
        <v>11</v>
      </c>
      <c r="G1387" s="5" t="s">
        <v>51</v>
      </c>
      <c r="H1387" s="5" t="s">
        <v>1494</v>
      </c>
      <c r="I1387" s="13">
        <v>12.22</v>
      </c>
      <c r="J1387" s="19">
        <v>1</v>
      </c>
      <c r="K1387" s="14">
        <v>3.6659999999999999</v>
      </c>
    </row>
    <row r="1388" spans="1:11" x14ac:dyDescent="0.25">
      <c r="A1388" s="2">
        <v>43713</v>
      </c>
      <c r="B1388" s="18">
        <f t="shared" si="42"/>
        <v>2019</v>
      </c>
      <c r="C1388" s="18">
        <f t="shared" si="43"/>
        <v>9</v>
      </c>
      <c r="D1388" s="3" t="s">
        <v>646</v>
      </c>
      <c r="E1388" s="3" t="s">
        <v>365</v>
      </c>
      <c r="F1388" s="3" t="s">
        <v>19</v>
      </c>
      <c r="G1388" s="3" t="s">
        <v>20</v>
      </c>
      <c r="H1388" s="3" t="s">
        <v>617</v>
      </c>
      <c r="I1388" s="11">
        <v>194.94</v>
      </c>
      <c r="J1388" s="18">
        <v>3</v>
      </c>
      <c r="K1388" s="12">
        <v>23.392800000000001</v>
      </c>
    </row>
    <row r="1389" spans="1:11" x14ac:dyDescent="0.25">
      <c r="A1389" s="4">
        <v>43713</v>
      </c>
      <c r="B1389" s="19">
        <f t="shared" si="42"/>
        <v>2019</v>
      </c>
      <c r="C1389" s="19">
        <f t="shared" si="43"/>
        <v>9</v>
      </c>
      <c r="D1389" s="5" t="s">
        <v>646</v>
      </c>
      <c r="E1389" s="5" t="s">
        <v>365</v>
      </c>
      <c r="F1389" s="5" t="s">
        <v>19</v>
      </c>
      <c r="G1389" s="5" t="s">
        <v>20</v>
      </c>
      <c r="H1389" s="5" t="s">
        <v>1495</v>
      </c>
      <c r="I1389" s="13">
        <v>70.95</v>
      </c>
      <c r="J1389" s="19">
        <v>3</v>
      </c>
      <c r="K1389" s="14">
        <v>20.575500000000002</v>
      </c>
    </row>
    <row r="1390" spans="1:11" x14ac:dyDescent="0.25">
      <c r="A1390" s="2">
        <v>43713</v>
      </c>
      <c r="B1390" s="18">
        <f t="shared" si="42"/>
        <v>2019</v>
      </c>
      <c r="C1390" s="18">
        <f t="shared" si="43"/>
        <v>9</v>
      </c>
      <c r="D1390" s="3" t="s">
        <v>646</v>
      </c>
      <c r="E1390" s="3" t="s">
        <v>365</v>
      </c>
      <c r="F1390" s="3" t="s">
        <v>19</v>
      </c>
      <c r="G1390" s="3" t="s">
        <v>53</v>
      </c>
      <c r="H1390" s="3" t="s">
        <v>1496</v>
      </c>
      <c r="I1390" s="11">
        <v>91.36</v>
      </c>
      <c r="J1390" s="18">
        <v>4</v>
      </c>
      <c r="K1390" s="12">
        <v>42.025599999999997</v>
      </c>
    </row>
    <row r="1391" spans="1:11" x14ac:dyDescent="0.25">
      <c r="A1391" s="4">
        <v>43713</v>
      </c>
      <c r="B1391" s="19">
        <f t="shared" si="42"/>
        <v>2019</v>
      </c>
      <c r="C1391" s="19">
        <f t="shared" si="43"/>
        <v>9</v>
      </c>
      <c r="D1391" s="5" t="s">
        <v>646</v>
      </c>
      <c r="E1391" s="5" t="s">
        <v>365</v>
      </c>
      <c r="F1391" s="5" t="s">
        <v>11</v>
      </c>
      <c r="G1391" s="5" t="s">
        <v>112</v>
      </c>
      <c r="H1391" s="5" t="s">
        <v>1497</v>
      </c>
      <c r="I1391" s="13">
        <v>242.94</v>
      </c>
      <c r="J1391" s="19">
        <v>3</v>
      </c>
      <c r="K1391" s="14">
        <v>29.152799999999999</v>
      </c>
    </row>
    <row r="1392" spans="1:11" x14ac:dyDescent="0.25">
      <c r="A1392" s="2">
        <v>43713</v>
      </c>
      <c r="B1392" s="18">
        <f t="shared" si="42"/>
        <v>2019</v>
      </c>
      <c r="C1392" s="18">
        <f t="shared" si="43"/>
        <v>9</v>
      </c>
      <c r="D1392" s="3" t="s">
        <v>646</v>
      </c>
      <c r="E1392" s="3" t="s">
        <v>365</v>
      </c>
      <c r="F1392" s="3" t="s">
        <v>19</v>
      </c>
      <c r="G1392" s="3" t="s">
        <v>127</v>
      </c>
      <c r="H1392" s="3" t="s">
        <v>1498</v>
      </c>
      <c r="I1392" s="11">
        <v>22.05</v>
      </c>
      <c r="J1392" s="18">
        <v>7</v>
      </c>
      <c r="K1392" s="12">
        <v>10.584</v>
      </c>
    </row>
    <row r="1393" spans="1:11" x14ac:dyDescent="0.25">
      <c r="A1393" s="4">
        <v>43713</v>
      </c>
      <c r="B1393" s="19">
        <f t="shared" si="42"/>
        <v>2019</v>
      </c>
      <c r="C1393" s="19">
        <f t="shared" si="43"/>
        <v>9</v>
      </c>
      <c r="D1393" s="5" t="s">
        <v>1363</v>
      </c>
      <c r="E1393" s="5" t="s">
        <v>1350</v>
      </c>
      <c r="F1393" s="5" t="s">
        <v>14</v>
      </c>
      <c r="G1393" s="5" t="s">
        <v>15</v>
      </c>
      <c r="H1393" s="5" t="s">
        <v>1499</v>
      </c>
      <c r="I1393" s="13">
        <v>278.39999999999998</v>
      </c>
      <c r="J1393" s="19">
        <v>3</v>
      </c>
      <c r="K1393" s="14">
        <v>80.736000000000004</v>
      </c>
    </row>
    <row r="1394" spans="1:11" x14ac:dyDescent="0.25">
      <c r="A1394" s="2">
        <v>43713</v>
      </c>
      <c r="B1394" s="18">
        <f t="shared" si="42"/>
        <v>2019</v>
      </c>
      <c r="C1394" s="18">
        <f t="shared" si="43"/>
        <v>9</v>
      </c>
      <c r="D1394" s="3" t="s">
        <v>784</v>
      </c>
      <c r="E1394" s="3" t="s">
        <v>1051</v>
      </c>
      <c r="F1394" s="3" t="s">
        <v>19</v>
      </c>
      <c r="G1394" s="3" t="s">
        <v>40</v>
      </c>
      <c r="H1394" s="3" t="s">
        <v>682</v>
      </c>
      <c r="I1394" s="11">
        <v>107.94</v>
      </c>
      <c r="J1394" s="18">
        <v>3</v>
      </c>
      <c r="K1394" s="12">
        <v>26.984999999999999</v>
      </c>
    </row>
    <row r="1395" spans="1:11" x14ac:dyDescent="0.25">
      <c r="A1395" s="4">
        <v>43713</v>
      </c>
      <c r="B1395" s="19">
        <f t="shared" si="42"/>
        <v>2019</v>
      </c>
      <c r="C1395" s="19">
        <f t="shared" si="43"/>
        <v>9</v>
      </c>
      <c r="D1395" s="5" t="s">
        <v>1061</v>
      </c>
      <c r="E1395" s="5" t="s">
        <v>23</v>
      </c>
      <c r="F1395" s="5" t="s">
        <v>11</v>
      </c>
      <c r="G1395" s="5" t="s">
        <v>112</v>
      </c>
      <c r="H1395" s="5" t="s">
        <v>372</v>
      </c>
      <c r="I1395" s="13">
        <v>347.80200000000002</v>
      </c>
      <c r="J1395" s="19">
        <v>7</v>
      </c>
      <c r="K1395" s="14">
        <v>-24.843</v>
      </c>
    </row>
    <row r="1396" spans="1:11" x14ac:dyDescent="0.25">
      <c r="A1396" s="2">
        <v>43713</v>
      </c>
      <c r="B1396" s="18">
        <f t="shared" si="42"/>
        <v>2019</v>
      </c>
      <c r="C1396" s="18">
        <f t="shared" si="43"/>
        <v>9</v>
      </c>
      <c r="D1396" s="3" t="s">
        <v>1500</v>
      </c>
      <c r="E1396" s="3" t="s">
        <v>18</v>
      </c>
      <c r="F1396" s="3" t="s">
        <v>14</v>
      </c>
      <c r="G1396" s="3" t="s">
        <v>24</v>
      </c>
      <c r="H1396" s="3" t="s">
        <v>1212</v>
      </c>
      <c r="I1396" s="11">
        <v>116</v>
      </c>
      <c r="J1396" s="18">
        <v>8</v>
      </c>
      <c r="K1396" s="12">
        <v>29</v>
      </c>
    </row>
    <row r="1397" spans="1:11" x14ac:dyDescent="0.25">
      <c r="A1397" s="4">
        <v>43713</v>
      </c>
      <c r="B1397" s="19">
        <f t="shared" si="42"/>
        <v>2019</v>
      </c>
      <c r="C1397" s="19">
        <f t="shared" si="43"/>
        <v>9</v>
      </c>
      <c r="D1397" s="5" t="s">
        <v>1501</v>
      </c>
      <c r="E1397" s="5" t="s">
        <v>39</v>
      </c>
      <c r="F1397" s="5" t="s">
        <v>19</v>
      </c>
      <c r="G1397" s="5" t="s">
        <v>32</v>
      </c>
      <c r="H1397" s="5" t="s">
        <v>1502</v>
      </c>
      <c r="I1397" s="13">
        <v>9.5549999999999997</v>
      </c>
      <c r="J1397" s="19">
        <v>5</v>
      </c>
      <c r="K1397" s="14">
        <v>-7.3254999999999999</v>
      </c>
    </row>
    <row r="1398" spans="1:11" x14ac:dyDescent="0.25">
      <c r="A1398" s="2">
        <v>43713</v>
      </c>
      <c r="B1398" s="18">
        <f t="shared" si="42"/>
        <v>2019</v>
      </c>
      <c r="C1398" s="18">
        <f t="shared" si="43"/>
        <v>9</v>
      </c>
      <c r="D1398" s="3" t="s">
        <v>773</v>
      </c>
      <c r="E1398" s="3" t="s">
        <v>219</v>
      </c>
      <c r="F1398" s="3" t="s">
        <v>19</v>
      </c>
      <c r="G1398" s="3" t="s">
        <v>86</v>
      </c>
      <c r="H1398" s="3" t="s">
        <v>176</v>
      </c>
      <c r="I1398" s="11">
        <v>23.472000000000001</v>
      </c>
      <c r="J1398" s="18">
        <v>3</v>
      </c>
      <c r="K1398" s="12">
        <v>7.6284000000000001</v>
      </c>
    </row>
    <row r="1399" spans="1:11" x14ac:dyDescent="0.25">
      <c r="A1399" s="4">
        <v>43713</v>
      </c>
      <c r="B1399" s="19">
        <f t="shared" si="42"/>
        <v>2019</v>
      </c>
      <c r="C1399" s="19">
        <f t="shared" si="43"/>
        <v>9</v>
      </c>
      <c r="D1399" s="5" t="s">
        <v>773</v>
      </c>
      <c r="E1399" s="5" t="s">
        <v>219</v>
      </c>
      <c r="F1399" s="5" t="s">
        <v>19</v>
      </c>
      <c r="G1399" s="5" t="s">
        <v>32</v>
      </c>
      <c r="H1399" s="5" t="s">
        <v>1503</v>
      </c>
      <c r="I1399" s="13">
        <v>86.058000000000007</v>
      </c>
      <c r="J1399" s="19">
        <v>7</v>
      </c>
      <c r="K1399" s="14">
        <v>-63.109200000000001</v>
      </c>
    </row>
    <row r="1400" spans="1:11" x14ac:dyDescent="0.25">
      <c r="A1400" s="2">
        <v>43713</v>
      </c>
      <c r="B1400" s="18">
        <f t="shared" si="42"/>
        <v>2019</v>
      </c>
      <c r="C1400" s="18">
        <f t="shared" si="43"/>
        <v>9</v>
      </c>
      <c r="D1400" s="3" t="s">
        <v>773</v>
      </c>
      <c r="E1400" s="3" t="s">
        <v>219</v>
      </c>
      <c r="F1400" s="3" t="s">
        <v>14</v>
      </c>
      <c r="G1400" s="3" t="s">
        <v>15</v>
      </c>
      <c r="H1400" s="3" t="s">
        <v>1504</v>
      </c>
      <c r="I1400" s="11">
        <v>108.78400000000001</v>
      </c>
      <c r="J1400" s="18">
        <v>2</v>
      </c>
      <c r="K1400" s="12">
        <v>6.7990000000000004</v>
      </c>
    </row>
    <row r="1401" spans="1:11" x14ac:dyDescent="0.25">
      <c r="A1401" s="4">
        <v>43713</v>
      </c>
      <c r="B1401" s="19">
        <f t="shared" si="42"/>
        <v>2019</v>
      </c>
      <c r="C1401" s="19">
        <f t="shared" si="43"/>
        <v>9</v>
      </c>
      <c r="D1401" s="5" t="s">
        <v>773</v>
      </c>
      <c r="E1401" s="5" t="s">
        <v>219</v>
      </c>
      <c r="F1401" s="5" t="s">
        <v>19</v>
      </c>
      <c r="G1401" s="5" t="s">
        <v>53</v>
      </c>
      <c r="H1401" s="5" t="s">
        <v>1505</v>
      </c>
      <c r="I1401" s="13">
        <v>10.272</v>
      </c>
      <c r="J1401" s="19">
        <v>3</v>
      </c>
      <c r="K1401" s="14">
        <v>3.21</v>
      </c>
    </row>
    <row r="1402" spans="1:11" x14ac:dyDescent="0.25">
      <c r="A1402" s="2">
        <v>43713</v>
      </c>
      <c r="B1402" s="18">
        <f t="shared" si="42"/>
        <v>2019</v>
      </c>
      <c r="C1402" s="18">
        <f t="shared" si="43"/>
        <v>9</v>
      </c>
      <c r="D1402" s="3" t="s">
        <v>1348</v>
      </c>
      <c r="E1402" s="3" t="s">
        <v>23</v>
      </c>
      <c r="F1402" s="3" t="s">
        <v>19</v>
      </c>
      <c r="G1402" s="3" t="s">
        <v>121</v>
      </c>
      <c r="H1402" s="3" t="s">
        <v>1459</v>
      </c>
      <c r="I1402" s="11">
        <v>62.79</v>
      </c>
      <c r="J1402" s="18">
        <v>3</v>
      </c>
      <c r="K1402" s="12">
        <v>-166.39349999999999</v>
      </c>
    </row>
    <row r="1403" spans="1:11" x14ac:dyDescent="0.25">
      <c r="A1403" s="4">
        <v>43713</v>
      </c>
      <c r="B1403" s="19">
        <f t="shared" si="42"/>
        <v>2019</v>
      </c>
      <c r="C1403" s="19">
        <f t="shared" si="43"/>
        <v>9</v>
      </c>
      <c r="D1403" s="5" t="s">
        <v>1348</v>
      </c>
      <c r="E1403" s="5" t="s">
        <v>23</v>
      </c>
      <c r="F1403" s="5" t="s">
        <v>19</v>
      </c>
      <c r="G1403" s="5" t="s">
        <v>116</v>
      </c>
      <c r="H1403" s="5" t="s">
        <v>1506</v>
      </c>
      <c r="I1403" s="13">
        <v>28.44</v>
      </c>
      <c r="J1403" s="19">
        <v>9</v>
      </c>
      <c r="K1403" s="14">
        <v>4.266</v>
      </c>
    </row>
    <row r="1404" spans="1:11" x14ac:dyDescent="0.25">
      <c r="A1404" s="2">
        <v>43713</v>
      </c>
      <c r="B1404" s="18">
        <f t="shared" si="42"/>
        <v>2019</v>
      </c>
      <c r="C1404" s="18">
        <f t="shared" si="43"/>
        <v>9</v>
      </c>
      <c r="D1404" s="3" t="s">
        <v>1507</v>
      </c>
      <c r="E1404" s="3" t="s">
        <v>18</v>
      </c>
      <c r="F1404" s="3" t="s">
        <v>19</v>
      </c>
      <c r="G1404" s="3" t="s">
        <v>53</v>
      </c>
      <c r="H1404" s="3" t="s">
        <v>1508</v>
      </c>
      <c r="I1404" s="11">
        <v>96.08</v>
      </c>
      <c r="J1404" s="18">
        <v>2</v>
      </c>
      <c r="K1404" s="12">
        <v>46.118400000000001</v>
      </c>
    </row>
    <row r="1405" spans="1:11" x14ac:dyDescent="0.25">
      <c r="A1405" s="4">
        <v>43713</v>
      </c>
      <c r="B1405" s="19">
        <f t="shared" si="42"/>
        <v>2019</v>
      </c>
      <c r="C1405" s="19">
        <f t="shared" si="43"/>
        <v>9</v>
      </c>
      <c r="D1405" s="5" t="s">
        <v>1507</v>
      </c>
      <c r="E1405" s="5" t="s">
        <v>18</v>
      </c>
      <c r="F1405" s="5" t="s">
        <v>19</v>
      </c>
      <c r="G1405" s="5" t="s">
        <v>32</v>
      </c>
      <c r="H1405" s="5" t="s">
        <v>674</v>
      </c>
      <c r="I1405" s="13">
        <v>11.68</v>
      </c>
      <c r="J1405" s="19">
        <v>2</v>
      </c>
      <c r="K1405" s="14">
        <v>3.9420000000000002</v>
      </c>
    </row>
    <row r="1406" spans="1:11" x14ac:dyDescent="0.25">
      <c r="A1406" s="2">
        <v>43713</v>
      </c>
      <c r="B1406" s="18">
        <f t="shared" si="42"/>
        <v>2019</v>
      </c>
      <c r="C1406" s="18">
        <f t="shared" si="43"/>
        <v>9</v>
      </c>
      <c r="D1406" s="3" t="s">
        <v>1507</v>
      </c>
      <c r="E1406" s="3" t="s">
        <v>18</v>
      </c>
      <c r="F1406" s="3" t="s">
        <v>19</v>
      </c>
      <c r="G1406" s="3" t="s">
        <v>116</v>
      </c>
      <c r="H1406" s="3" t="s">
        <v>249</v>
      </c>
      <c r="I1406" s="11">
        <v>4.3600000000000003</v>
      </c>
      <c r="J1406" s="18">
        <v>2</v>
      </c>
      <c r="K1406" s="12">
        <v>1.7876000000000001</v>
      </c>
    </row>
    <row r="1407" spans="1:11" x14ac:dyDescent="0.25">
      <c r="A1407" s="4">
        <v>43713</v>
      </c>
      <c r="B1407" s="19">
        <f t="shared" si="42"/>
        <v>2019</v>
      </c>
      <c r="C1407" s="19">
        <f t="shared" si="43"/>
        <v>9</v>
      </c>
      <c r="D1407" s="5" t="s">
        <v>1509</v>
      </c>
      <c r="E1407" s="5" t="s">
        <v>23</v>
      </c>
      <c r="F1407" s="5" t="s">
        <v>19</v>
      </c>
      <c r="G1407" s="5" t="s">
        <v>53</v>
      </c>
      <c r="H1407" s="5" t="s">
        <v>1090</v>
      </c>
      <c r="I1407" s="13">
        <v>25.92</v>
      </c>
      <c r="J1407" s="19">
        <v>5</v>
      </c>
      <c r="K1407" s="14">
        <v>9.0719999999999992</v>
      </c>
    </row>
    <row r="1408" spans="1:11" x14ac:dyDescent="0.25">
      <c r="A1408" s="2">
        <v>43713</v>
      </c>
      <c r="B1408" s="18">
        <f t="shared" si="42"/>
        <v>2019</v>
      </c>
      <c r="C1408" s="18">
        <f t="shared" si="43"/>
        <v>9</v>
      </c>
      <c r="D1408" s="3" t="s">
        <v>1509</v>
      </c>
      <c r="E1408" s="3" t="s">
        <v>23</v>
      </c>
      <c r="F1408" s="3" t="s">
        <v>19</v>
      </c>
      <c r="G1408" s="3" t="s">
        <v>116</v>
      </c>
      <c r="H1408" s="3" t="s">
        <v>301</v>
      </c>
      <c r="I1408" s="11">
        <v>15.808</v>
      </c>
      <c r="J1408" s="18">
        <v>8</v>
      </c>
      <c r="K1408" s="12">
        <v>5.3352000000000004</v>
      </c>
    </row>
    <row r="1409" spans="1:11" x14ac:dyDescent="0.25">
      <c r="A1409" s="4">
        <v>43713</v>
      </c>
      <c r="B1409" s="19">
        <f t="shared" si="42"/>
        <v>2019</v>
      </c>
      <c r="C1409" s="19">
        <f t="shared" si="43"/>
        <v>9</v>
      </c>
      <c r="D1409" s="5" t="s">
        <v>1509</v>
      </c>
      <c r="E1409" s="5" t="s">
        <v>23</v>
      </c>
      <c r="F1409" s="5" t="s">
        <v>19</v>
      </c>
      <c r="G1409" s="5" t="s">
        <v>53</v>
      </c>
      <c r="H1409" s="5" t="s">
        <v>1510</v>
      </c>
      <c r="I1409" s="13">
        <v>10.368</v>
      </c>
      <c r="J1409" s="19">
        <v>2</v>
      </c>
      <c r="K1409" s="14">
        <v>3.7584</v>
      </c>
    </row>
    <row r="1410" spans="1:11" x14ac:dyDescent="0.25">
      <c r="A1410" s="2">
        <v>43713</v>
      </c>
      <c r="B1410" s="18">
        <f t="shared" ref="B1410:B1473" si="44">YEAR(A1410)</f>
        <v>2019</v>
      </c>
      <c r="C1410" s="18">
        <f t="shared" ref="C1410:C1473" si="45">MONTH(A1410)</f>
        <v>9</v>
      </c>
      <c r="D1410" s="3" t="s">
        <v>498</v>
      </c>
      <c r="E1410" s="3" t="s">
        <v>94</v>
      </c>
      <c r="F1410" s="3" t="s">
        <v>19</v>
      </c>
      <c r="G1410" s="3" t="s">
        <v>53</v>
      </c>
      <c r="H1410" s="3" t="s">
        <v>1511</v>
      </c>
      <c r="I1410" s="11">
        <v>192.16</v>
      </c>
      <c r="J1410" s="18">
        <v>4</v>
      </c>
      <c r="K1410" s="12">
        <v>92.236800000000002</v>
      </c>
    </row>
    <row r="1411" spans="1:11" x14ac:dyDescent="0.25">
      <c r="A1411" s="4">
        <v>43713</v>
      </c>
      <c r="B1411" s="19">
        <f t="shared" si="44"/>
        <v>2019</v>
      </c>
      <c r="C1411" s="19">
        <f t="shared" si="45"/>
        <v>9</v>
      </c>
      <c r="D1411" s="5" t="s">
        <v>1512</v>
      </c>
      <c r="E1411" s="5" t="s">
        <v>23</v>
      </c>
      <c r="F1411" s="5" t="s">
        <v>19</v>
      </c>
      <c r="G1411" s="5" t="s">
        <v>20</v>
      </c>
      <c r="H1411" s="5" t="s">
        <v>988</v>
      </c>
      <c r="I1411" s="13">
        <v>93.456000000000003</v>
      </c>
      <c r="J1411" s="19">
        <v>3</v>
      </c>
      <c r="K1411" s="14">
        <v>-17.523</v>
      </c>
    </row>
    <row r="1412" spans="1:11" x14ac:dyDescent="0.25">
      <c r="A1412" s="2">
        <v>43713</v>
      </c>
      <c r="B1412" s="18">
        <f t="shared" si="44"/>
        <v>2019</v>
      </c>
      <c r="C1412" s="18">
        <f t="shared" si="45"/>
        <v>9</v>
      </c>
      <c r="D1412" s="3" t="s">
        <v>702</v>
      </c>
      <c r="E1412" s="3" t="s">
        <v>181</v>
      </c>
      <c r="F1412" s="3" t="s">
        <v>19</v>
      </c>
      <c r="G1412" s="3" t="s">
        <v>127</v>
      </c>
      <c r="H1412" s="3" t="s">
        <v>1513</v>
      </c>
      <c r="I1412" s="11">
        <v>25.06</v>
      </c>
      <c r="J1412" s="18">
        <v>2</v>
      </c>
      <c r="K1412" s="12">
        <v>11.7782</v>
      </c>
    </row>
    <row r="1413" spans="1:11" x14ac:dyDescent="0.25">
      <c r="A1413" s="4">
        <v>43713</v>
      </c>
      <c r="B1413" s="19">
        <f t="shared" si="44"/>
        <v>2019</v>
      </c>
      <c r="C1413" s="19">
        <f t="shared" si="45"/>
        <v>9</v>
      </c>
      <c r="D1413" s="5" t="s">
        <v>702</v>
      </c>
      <c r="E1413" s="5" t="s">
        <v>181</v>
      </c>
      <c r="F1413" s="5" t="s">
        <v>11</v>
      </c>
      <c r="G1413" s="5" t="s">
        <v>30</v>
      </c>
      <c r="H1413" s="5" t="s">
        <v>1514</v>
      </c>
      <c r="I1413" s="13">
        <v>1652.94</v>
      </c>
      <c r="J1413" s="19">
        <v>3</v>
      </c>
      <c r="K1413" s="14">
        <v>314.05860000000001</v>
      </c>
    </row>
    <row r="1414" spans="1:11" x14ac:dyDescent="0.25">
      <c r="A1414" s="2">
        <v>43713</v>
      </c>
      <c r="B1414" s="18">
        <f t="shared" si="44"/>
        <v>2019</v>
      </c>
      <c r="C1414" s="18">
        <f t="shared" si="45"/>
        <v>9</v>
      </c>
      <c r="D1414" s="3" t="s">
        <v>1157</v>
      </c>
      <c r="E1414" s="3" t="s">
        <v>164</v>
      </c>
      <c r="F1414" s="3" t="s">
        <v>19</v>
      </c>
      <c r="G1414" s="3" t="s">
        <v>53</v>
      </c>
      <c r="H1414" s="3" t="s">
        <v>854</v>
      </c>
      <c r="I1414" s="11">
        <v>9.2479999999999993</v>
      </c>
      <c r="J1414" s="18">
        <v>2</v>
      </c>
      <c r="K1414" s="12">
        <v>3.3523999999999998</v>
      </c>
    </row>
    <row r="1415" spans="1:11" x14ac:dyDescent="0.25">
      <c r="A1415" s="4">
        <v>43713</v>
      </c>
      <c r="B1415" s="19">
        <f t="shared" si="44"/>
        <v>2019</v>
      </c>
      <c r="C1415" s="19">
        <f t="shared" si="45"/>
        <v>9</v>
      </c>
      <c r="D1415" s="5" t="s">
        <v>1515</v>
      </c>
      <c r="E1415" s="5" t="s">
        <v>67</v>
      </c>
      <c r="F1415" s="5" t="s">
        <v>19</v>
      </c>
      <c r="G1415" s="5" t="s">
        <v>32</v>
      </c>
      <c r="H1415" s="5" t="s">
        <v>871</v>
      </c>
      <c r="I1415" s="13">
        <v>8.952</v>
      </c>
      <c r="J1415" s="19">
        <v>2</v>
      </c>
      <c r="K1415" s="14">
        <v>-7.46</v>
      </c>
    </row>
    <row r="1416" spans="1:11" x14ac:dyDescent="0.25">
      <c r="A1416" s="2">
        <v>43713</v>
      </c>
      <c r="B1416" s="18">
        <f t="shared" si="44"/>
        <v>2019</v>
      </c>
      <c r="C1416" s="18">
        <f t="shared" si="45"/>
        <v>9</v>
      </c>
      <c r="D1416" s="3" t="s">
        <v>1515</v>
      </c>
      <c r="E1416" s="3" t="s">
        <v>67</v>
      </c>
      <c r="F1416" s="3" t="s">
        <v>19</v>
      </c>
      <c r="G1416" s="3" t="s">
        <v>32</v>
      </c>
      <c r="H1416" s="3" t="s">
        <v>361</v>
      </c>
      <c r="I1416" s="11">
        <v>8.8559999999999999</v>
      </c>
      <c r="J1416" s="18">
        <v>6</v>
      </c>
      <c r="K1416" s="12">
        <v>-6.4943999999999997</v>
      </c>
    </row>
    <row r="1417" spans="1:11" x14ac:dyDescent="0.25">
      <c r="A1417" s="4">
        <v>43713</v>
      </c>
      <c r="B1417" s="19">
        <f t="shared" si="44"/>
        <v>2019</v>
      </c>
      <c r="C1417" s="19">
        <f t="shared" si="45"/>
        <v>9</v>
      </c>
      <c r="D1417" s="5" t="s">
        <v>1515</v>
      </c>
      <c r="E1417" s="5" t="s">
        <v>67</v>
      </c>
      <c r="F1417" s="5" t="s">
        <v>11</v>
      </c>
      <c r="G1417" s="5" t="s">
        <v>112</v>
      </c>
      <c r="H1417" s="5" t="s">
        <v>1516</v>
      </c>
      <c r="I1417" s="13">
        <v>85.245999999999995</v>
      </c>
      <c r="J1417" s="19">
        <v>2</v>
      </c>
      <c r="K1417" s="14">
        <v>-1.2178</v>
      </c>
    </row>
    <row r="1418" spans="1:11" x14ac:dyDescent="0.25">
      <c r="A1418" s="2">
        <v>43713</v>
      </c>
      <c r="B1418" s="18">
        <f t="shared" si="44"/>
        <v>2019</v>
      </c>
      <c r="C1418" s="18">
        <f t="shared" si="45"/>
        <v>9</v>
      </c>
      <c r="D1418" s="3" t="s">
        <v>1440</v>
      </c>
      <c r="E1418" s="3" t="s">
        <v>23</v>
      </c>
      <c r="F1418" s="3" t="s">
        <v>11</v>
      </c>
      <c r="G1418" s="3" t="s">
        <v>51</v>
      </c>
      <c r="H1418" s="3" t="s">
        <v>1517</v>
      </c>
      <c r="I1418" s="11">
        <v>21.204000000000001</v>
      </c>
      <c r="J1418" s="18">
        <v>3</v>
      </c>
      <c r="K1418" s="12">
        <v>-11.6622</v>
      </c>
    </row>
    <row r="1419" spans="1:11" x14ac:dyDescent="0.25">
      <c r="A1419" s="4">
        <v>43713</v>
      </c>
      <c r="B1419" s="19">
        <f t="shared" si="44"/>
        <v>2019</v>
      </c>
      <c r="C1419" s="19">
        <f t="shared" si="45"/>
        <v>9</v>
      </c>
      <c r="D1419" s="5" t="s">
        <v>495</v>
      </c>
      <c r="E1419" s="5" t="s">
        <v>39</v>
      </c>
      <c r="F1419" s="5" t="s">
        <v>11</v>
      </c>
      <c r="G1419" s="5" t="s">
        <v>51</v>
      </c>
      <c r="H1419" s="5" t="s">
        <v>1493</v>
      </c>
      <c r="I1419" s="13">
        <v>58.247999999999998</v>
      </c>
      <c r="J1419" s="19">
        <v>9</v>
      </c>
      <c r="K1419" s="14">
        <v>11.6496</v>
      </c>
    </row>
    <row r="1420" spans="1:11" x14ac:dyDescent="0.25">
      <c r="A1420" s="2">
        <v>43713</v>
      </c>
      <c r="B1420" s="18">
        <f t="shared" si="44"/>
        <v>2019</v>
      </c>
      <c r="C1420" s="18">
        <f t="shared" si="45"/>
        <v>9</v>
      </c>
      <c r="D1420" s="3" t="s">
        <v>495</v>
      </c>
      <c r="E1420" s="3" t="s">
        <v>39</v>
      </c>
      <c r="F1420" s="3" t="s">
        <v>11</v>
      </c>
      <c r="G1420" s="3" t="s">
        <v>112</v>
      </c>
      <c r="H1420" s="3" t="s">
        <v>1518</v>
      </c>
      <c r="I1420" s="11">
        <v>71.245999999999995</v>
      </c>
      <c r="J1420" s="18">
        <v>2</v>
      </c>
      <c r="K1420" s="12">
        <v>-19.338200000000001</v>
      </c>
    </row>
    <row r="1421" spans="1:11" x14ac:dyDescent="0.25">
      <c r="A1421" s="4">
        <v>43713</v>
      </c>
      <c r="B1421" s="19">
        <f t="shared" si="44"/>
        <v>2019</v>
      </c>
      <c r="C1421" s="19">
        <f t="shared" si="45"/>
        <v>9</v>
      </c>
      <c r="D1421" s="5" t="s">
        <v>495</v>
      </c>
      <c r="E1421" s="5" t="s">
        <v>39</v>
      </c>
      <c r="F1421" s="5" t="s">
        <v>19</v>
      </c>
      <c r="G1421" s="5" t="s">
        <v>40</v>
      </c>
      <c r="H1421" s="5" t="s">
        <v>1519</v>
      </c>
      <c r="I1421" s="13">
        <v>7.8719999999999999</v>
      </c>
      <c r="J1421" s="19">
        <v>3</v>
      </c>
      <c r="K1421" s="14">
        <v>0.59040000000000004</v>
      </c>
    </row>
    <row r="1422" spans="1:11" x14ac:dyDescent="0.25">
      <c r="A1422" s="2">
        <v>43713</v>
      </c>
      <c r="B1422" s="18">
        <f t="shared" si="44"/>
        <v>2019</v>
      </c>
      <c r="C1422" s="18">
        <f t="shared" si="45"/>
        <v>9</v>
      </c>
      <c r="D1422" s="3" t="s">
        <v>495</v>
      </c>
      <c r="E1422" s="3" t="s">
        <v>39</v>
      </c>
      <c r="F1422" s="3" t="s">
        <v>11</v>
      </c>
      <c r="G1422" s="3" t="s">
        <v>112</v>
      </c>
      <c r="H1422" s="3" t="s">
        <v>439</v>
      </c>
      <c r="I1422" s="11">
        <v>887.27099999999996</v>
      </c>
      <c r="J1422" s="18">
        <v>3</v>
      </c>
      <c r="K1422" s="12">
        <v>-63.3765</v>
      </c>
    </row>
    <row r="1423" spans="1:11" x14ac:dyDescent="0.25">
      <c r="A1423" s="4">
        <v>43713</v>
      </c>
      <c r="B1423" s="19">
        <f t="shared" si="44"/>
        <v>2019</v>
      </c>
      <c r="C1423" s="19">
        <f t="shared" si="45"/>
        <v>9</v>
      </c>
      <c r="D1423" s="5" t="s">
        <v>1520</v>
      </c>
      <c r="E1423" s="5" t="s">
        <v>94</v>
      </c>
      <c r="F1423" s="5" t="s">
        <v>14</v>
      </c>
      <c r="G1423" s="5" t="s">
        <v>15</v>
      </c>
      <c r="H1423" s="5" t="s">
        <v>839</v>
      </c>
      <c r="I1423" s="13">
        <v>43.6</v>
      </c>
      <c r="J1423" s="19">
        <v>4</v>
      </c>
      <c r="K1423" s="14">
        <v>12.208</v>
      </c>
    </row>
    <row r="1424" spans="1:11" x14ac:dyDescent="0.25">
      <c r="A1424" s="2">
        <v>43714</v>
      </c>
      <c r="B1424" s="18">
        <f t="shared" si="44"/>
        <v>2019</v>
      </c>
      <c r="C1424" s="18">
        <f t="shared" si="45"/>
        <v>9</v>
      </c>
      <c r="D1424" s="3" t="s">
        <v>1521</v>
      </c>
      <c r="E1424" s="3" t="s">
        <v>387</v>
      </c>
      <c r="F1424" s="3" t="s">
        <v>19</v>
      </c>
      <c r="G1424" s="3" t="s">
        <v>121</v>
      </c>
      <c r="H1424" s="3" t="s">
        <v>1522</v>
      </c>
      <c r="I1424" s="11">
        <v>77.88</v>
      </c>
      <c r="J1424" s="18">
        <v>6</v>
      </c>
      <c r="K1424" s="12">
        <v>22.5852</v>
      </c>
    </row>
    <row r="1425" spans="1:11" x14ac:dyDescent="0.25">
      <c r="A1425" s="4">
        <v>43714</v>
      </c>
      <c r="B1425" s="19">
        <f t="shared" si="44"/>
        <v>2019</v>
      </c>
      <c r="C1425" s="19">
        <f t="shared" si="45"/>
        <v>9</v>
      </c>
      <c r="D1425" s="5" t="s">
        <v>1523</v>
      </c>
      <c r="E1425" s="5" t="s">
        <v>94</v>
      </c>
      <c r="F1425" s="5" t="s">
        <v>14</v>
      </c>
      <c r="G1425" s="5" t="s">
        <v>24</v>
      </c>
      <c r="H1425" s="5" t="s">
        <v>232</v>
      </c>
      <c r="I1425" s="13">
        <v>31.86</v>
      </c>
      <c r="J1425" s="19">
        <v>2</v>
      </c>
      <c r="K1425" s="14">
        <v>11.151</v>
      </c>
    </row>
    <row r="1426" spans="1:11" x14ac:dyDescent="0.25">
      <c r="A1426" s="2">
        <v>43714</v>
      </c>
      <c r="B1426" s="18">
        <f t="shared" si="44"/>
        <v>2019</v>
      </c>
      <c r="C1426" s="18">
        <f t="shared" si="45"/>
        <v>9</v>
      </c>
      <c r="D1426" s="3" t="s">
        <v>1523</v>
      </c>
      <c r="E1426" s="3" t="s">
        <v>94</v>
      </c>
      <c r="F1426" s="3" t="s">
        <v>11</v>
      </c>
      <c r="G1426" s="3" t="s">
        <v>12</v>
      </c>
      <c r="H1426" s="3" t="s">
        <v>1174</v>
      </c>
      <c r="I1426" s="11">
        <v>722.35199999999998</v>
      </c>
      <c r="J1426" s="18">
        <v>3</v>
      </c>
      <c r="K1426" s="12">
        <v>90.293999999999997</v>
      </c>
    </row>
    <row r="1427" spans="1:11" x14ac:dyDescent="0.25">
      <c r="A1427" s="4">
        <v>43714</v>
      </c>
      <c r="B1427" s="19">
        <f t="shared" si="44"/>
        <v>2019</v>
      </c>
      <c r="C1427" s="19">
        <f t="shared" si="45"/>
        <v>9</v>
      </c>
      <c r="D1427" s="5" t="s">
        <v>1524</v>
      </c>
      <c r="E1427" s="5" t="s">
        <v>35</v>
      </c>
      <c r="F1427" s="5" t="s">
        <v>19</v>
      </c>
      <c r="G1427" s="5" t="s">
        <v>86</v>
      </c>
      <c r="H1427" s="5" t="s">
        <v>449</v>
      </c>
      <c r="I1427" s="13">
        <v>95.951999999999998</v>
      </c>
      <c r="J1427" s="19">
        <v>3</v>
      </c>
      <c r="K1427" s="14">
        <v>29.984999999999999</v>
      </c>
    </row>
    <row r="1428" spans="1:11" x14ac:dyDescent="0.25">
      <c r="A1428" s="2">
        <v>43714</v>
      </c>
      <c r="B1428" s="18">
        <f t="shared" si="44"/>
        <v>2019</v>
      </c>
      <c r="C1428" s="18">
        <f t="shared" si="45"/>
        <v>9</v>
      </c>
      <c r="D1428" s="3" t="s">
        <v>1524</v>
      </c>
      <c r="E1428" s="3" t="s">
        <v>35</v>
      </c>
      <c r="F1428" s="3" t="s">
        <v>19</v>
      </c>
      <c r="G1428" s="3" t="s">
        <v>32</v>
      </c>
      <c r="H1428" s="3" t="s">
        <v>1208</v>
      </c>
      <c r="I1428" s="11">
        <v>3.2040000000000002</v>
      </c>
      <c r="J1428" s="18">
        <v>2</v>
      </c>
      <c r="K1428" s="12">
        <v>-2.4563999999999999</v>
      </c>
    </row>
    <row r="1429" spans="1:11" x14ac:dyDescent="0.25">
      <c r="A1429" s="4">
        <v>43714</v>
      </c>
      <c r="B1429" s="19">
        <f t="shared" si="44"/>
        <v>2019</v>
      </c>
      <c r="C1429" s="19">
        <f t="shared" si="45"/>
        <v>9</v>
      </c>
      <c r="D1429" s="5" t="s">
        <v>1453</v>
      </c>
      <c r="E1429" s="5" t="s">
        <v>23</v>
      </c>
      <c r="F1429" s="5" t="s">
        <v>19</v>
      </c>
      <c r="G1429" s="5" t="s">
        <v>20</v>
      </c>
      <c r="H1429" s="5" t="s">
        <v>1525</v>
      </c>
      <c r="I1429" s="13">
        <v>10.784000000000001</v>
      </c>
      <c r="J1429" s="19">
        <v>1</v>
      </c>
      <c r="K1429" s="14">
        <v>0.80879999999999996</v>
      </c>
    </row>
    <row r="1430" spans="1:11" x14ac:dyDescent="0.25">
      <c r="A1430" s="2">
        <v>43714</v>
      </c>
      <c r="B1430" s="18">
        <f t="shared" si="44"/>
        <v>2019</v>
      </c>
      <c r="C1430" s="18">
        <f t="shared" si="45"/>
        <v>9</v>
      </c>
      <c r="D1430" s="3" t="s">
        <v>560</v>
      </c>
      <c r="E1430" s="3" t="s">
        <v>23</v>
      </c>
      <c r="F1430" s="3" t="s">
        <v>19</v>
      </c>
      <c r="G1430" s="3" t="s">
        <v>53</v>
      </c>
      <c r="H1430" s="3" t="s">
        <v>1292</v>
      </c>
      <c r="I1430" s="11">
        <v>41.92</v>
      </c>
      <c r="J1430" s="18">
        <v>4</v>
      </c>
      <c r="K1430" s="12">
        <v>15.196</v>
      </c>
    </row>
    <row r="1431" spans="1:11" x14ac:dyDescent="0.25">
      <c r="A1431" s="4">
        <v>43714</v>
      </c>
      <c r="B1431" s="19">
        <f t="shared" si="44"/>
        <v>2019</v>
      </c>
      <c r="C1431" s="19">
        <f t="shared" si="45"/>
        <v>9</v>
      </c>
      <c r="D1431" s="5" t="s">
        <v>560</v>
      </c>
      <c r="E1431" s="5" t="s">
        <v>23</v>
      </c>
      <c r="F1431" s="5" t="s">
        <v>14</v>
      </c>
      <c r="G1431" s="5" t="s">
        <v>15</v>
      </c>
      <c r="H1431" s="5" t="s">
        <v>1526</v>
      </c>
      <c r="I1431" s="13">
        <v>329.584</v>
      </c>
      <c r="J1431" s="19">
        <v>2</v>
      </c>
      <c r="K1431" s="14">
        <v>37.078200000000002</v>
      </c>
    </row>
    <row r="1432" spans="1:11" x14ac:dyDescent="0.25">
      <c r="A1432" s="2">
        <v>43716</v>
      </c>
      <c r="B1432" s="18">
        <f t="shared" si="44"/>
        <v>2019</v>
      </c>
      <c r="C1432" s="18">
        <f t="shared" si="45"/>
        <v>9</v>
      </c>
      <c r="D1432" s="3" t="s">
        <v>81</v>
      </c>
      <c r="E1432" s="3" t="s">
        <v>23</v>
      </c>
      <c r="F1432" s="3" t="s">
        <v>19</v>
      </c>
      <c r="G1432" s="3" t="s">
        <v>20</v>
      </c>
      <c r="H1432" s="3" t="s">
        <v>746</v>
      </c>
      <c r="I1432" s="11">
        <v>35.951999999999998</v>
      </c>
      <c r="J1432" s="18">
        <v>3</v>
      </c>
      <c r="K1432" s="12">
        <v>3.5952000000000002</v>
      </c>
    </row>
    <row r="1433" spans="1:11" x14ac:dyDescent="0.25">
      <c r="A1433" s="4">
        <v>43716</v>
      </c>
      <c r="B1433" s="19">
        <f t="shared" si="44"/>
        <v>2019</v>
      </c>
      <c r="C1433" s="19">
        <f t="shared" si="45"/>
        <v>9</v>
      </c>
      <c r="D1433" s="5" t="s">
        <v>81</v>
      </c>
      <c r="E1433" s="5" t="s">
        <v>23</v>
      </c>
      <c r="F1433" s="5" t="s">
        <v>11</v>
      </c>
      <c r="G1433" s="5" t="s">
        <v>12</v>
      </c>
      <c r="H1433" s="5" t="s">
        <v>1527</v>
      </c>
      <c r="I1433" s="13">
        <v>2396.2656000000002</v>
      </c>
      <c r="J1433" s="19">
        <v>4</v>
      </c>
      <c r="K1433" s="14">
        <v>-317.15280000000001</v>
      </c>
    </row>
    <row r="1434" spans="1:11" x14ac:dyDescent="0.25">
      <c r="A1434" s="2">
        <v>43716</v>
      </c>
      <c r="B1434" s="18">
        <f t="shared" si="44"/>
        <v>2019</v>
      </c>
      <c r="C1434" s="18">
        <f t="shared" si="45"/>
        <v>9</v>
      </c>
      <c r="D1434" s="3" t="s">
        <v>81</v>
      </c>
      <c r="E1434" s="3" t="s">
        <v>23</v>
      </c>
      <c r="F1434" s="3" t="s">
        <v>19</v>
      </c>
      <c r="G1434" s="3" t="s">
        <v>20</v>
      </c>
      <c r="H1434" s="3" t="s">
        <v>1528</v>
      </c>
      <c r="I1434" s="11">
        <v>131.136</v>
      </c>
      <c r="J1434" s="18">
        <v>4</v>
      </c>
      <c r="K1434" s="12">
        <v>-32.783999999999999</v>
      </c>
    </row>
    <row r="1435" spans="1:11" x14ac:dyDescent="0.25">
      <c r="A1435" s="4">
        <v>43716</v>
      </c>
      <c r="B1435" s="19">
        <f t="shared" si="44"/>
        <v>2019</v>
      </c>
      <c r="C1435" s="19">
        <f t="shared" si="45"/>
        <v>9</v>
      </c>
      <c r="D1435" s="5" t="s">
        <v>81</v>
      </c>
      <c r="E1435" s="5" t="s">
        <v>23</v>
      </c>
      <c r="F1435" s="5" t="s">
        <v>14</v>
      </c>
      <c r="G1435" s="5" t="s">
        <v>24</v>
      </c>
      <c r="H1435" s="5" t="s">
        <v>1358</v>
      </c>
      <c r="I1435" s="13">
        <v>57.584000000000003</v>
      </c>
      <c r="J1435" s="19">
        <v>2</v>
      </c>
      <c r="K1435" s="14">
        <v>0.7198</v>
      </c>
    </row>
    <row r="1436" spans="1:11" x14ac:dyDescent="0.25">
      <c r="A1436" s="2">
        <v>43716</v>
      </c>
      <c r="B1436" s="18">
        <f t="shared" si="44"/>
        <v>2019</v>
      </c>
      <c r="C1436" s="18">
        <f t="shared" si="45"/>
        <v>9</v>
      </c>
      <c r="D1436" s="3" t="s">
        <v>558</v>
      </c>
      <c r="E1436" s="3" t="s">
        <v>18</v>
      </c>
      <c r="F1436" s="3" t="s">
        <v>19</v>
      </c>
      <c r="G1436" s="3" t="s">
        <v>32</v>
      </c>
      <c r="H1436" s="3" t="s">
        <v>97</v>
      </c>
      <c r="I1436" s="11">
        <v>33.024000000000001</v>
      </c>
      <c r="J1436" s="18">
        <v>2</v>
      </c>
      <c r="K1436" s="12">
        <v>11.558400000000001</v>
      </c>
    </row>
    <row r="1437" spans="1:11" x14ac:dyDescent="0.25">
      <c r="A1437" s="4">
        <v>43716</v>
      </c>
      <c r="B1437" s="19">
        <f t="shared" si="44"/>
        <v>2019</v>
      </c>
      <c r="C1437" s="19">
        <f t="shared" si="45"/>
        <v>9</v>
      </c>
      <c r="D1437" s="5" t="s">
        <v>558</v>
      </c>
      <c r="E1437" s="5" t="s">
        <v>18</v>
      </c>
      <c r="F1437" s="5" t="s">
        <v>19</v>
      </c>
      <c r="G1437" s="5" t="s">
        <v>32</v>
      </c>
      <c r="H1437" s="5" t="s">
        <v>1053</v>
      </c>
      <c r="I1437" s="13">
        <v>67.135999999999996</v>
      </c>
      <c r="J1437" s="19">
        <v>4</v>
      </c>
      <c r="K1437" s="14">
        <v>23.497599999999998</v>
      </c>
    </row>
    <row r="1438" spans="1:11" x14ac:dyDescent="0.25">
      <c r="A1438" s="2">
        <v>43716</v>
      </c>
      <c r="B1438" s="18">
        <f t="shared" si="44"/>
        <v>2019</v>
      </c>
      <c r="C1438" s="18">
        <f t="shared" si="45"/>
        <v>9</v>
      </c>
      <c r="D1438" s="3" t="s">
        <v>897</v>
      </c>
      <c r="E1438" s="3" t="s">
        <v>370</v>
      </c>
      <c r="F1438" s="3" t="s">
        <v>11</v>
      </c>
      <c r="G1438" s="3" t="s">
        <v>12</v>
      </c>
      <c r="H1438" s="3" t="s">
        <v>1529</v>
      </c>
      <c r="I1438" s="11">
        <v>173.94</v>
      </c>
      <c r="J1438" s="18">
        <v>3</v>
      </c>
      <c r="K1438" s="12">
        <v>13.9152</v>
      </c>
    </row>
    <row r="1439" spans="1:11" x14ac:dyDescent="0.25">
      <c r="A1439" s="4">
        <v>43716</v>
      </c>
      <c r="B1439" s="19">
        <f t="shared" si="44"/>
        <v>2019</v>
      </c>
      <c r="C1439" s="19">
        <f t="shared" si="45"/>
        <v>9</v>
      </c>
      <c r="D1439" s="5" t="s">
        <v>897</v>
      </c>
      <c r="E1439" s="5" t="s">
        <v>370</v>
      </c>
      <c r="F1439" s="5" t="s">
        <v>19</v>
      </c>
      <c r="G1439" s="5" t="s">
        <v>127</v>
      </c>
      <c r="H1439" s="5" t="s">
        <v>1101</v>
      </c>
      <c r="I1439" s="13">
        <v>14.76</v>
      </c>
      <c r="J1439" s="19">
        <v>4</v>
      </c>
      <c r="K1439" s="14">
        <v>6.9371999999999998</v>
      </c>
    </row>
    <row r="1440" spans="1:11" x14ac:dyDescent="0.25">
      <c r="A1440" s="2">
        <v>43716</v>
      </c>
      <c r="B1440" s="18">
        <f t="shared" si="44"/>
        <v>2019</v>
      </c>
      <c r="C1440" s="18">
        <f t="shared" si="45"/>
        <v>9</v>
      </c>
      <c r="D1440" s="3" t="s">
        <v>187</v>
      </c>
      <c r="E1440" s="3" t="s">
        <v>164</v>
      </c>
      <c r="F1440" s="3" t="s">
        <v>11</v>
      </c>
      <c r="G1440" s="3" t="s">
        <v>51</v>
      </c>
      <c r="H1440" s="3" t="s">
        <v>1517</v>
      </c>
      <c r="I1440" s="11">
        <v>14.135999999999999</v>
      </c>
      <c r="J1440" s="18">
        <v>2</v>
      </c>
      <c r="K1440" s="12">
        <v>-7.7747999999999999</v>
      </c>
    </row>
    <row r="1441" spans="1:11" x14ac:dyDescent="0.25">
      <c r="A1441" s="4">
        <v>43716</v>
      </c>
      <c r="B1441" s="19">
        <f t="shared" si="44"/>
        <v>2019</v>
      </c>
      <c r="C1441" s="19">
        <f t="shared" si="45"/>
        <v>9</v>
      </c>
      <c r="D1441" s="5" t="s">
        <v>187</v>
      </c>
      <c r="E1441" s="5" t="s">
        <v>164</v>
      </c>
      <c r="F1441" s="5" t="s">
        <v>11</v>
      </c>
      <c r="G1441" s="5" t="s">
        <v>30</v>
      </c>
      <c r="H1441" s="5" t="s">
        <v>1389</v>
      </c>
      <c r="I1441" s="13">
        <v>601.47</v>
      </c>
      <c r="J1441" s="19">
        <v>3</v>
      </c>
      <c r="K1441" s="14">
        <v>-300.73500000000001</v>
      </c>
    </row>
    <row r="1442" spans="1:11" x14ac:dyDescent="0.25">
      <c r="A1442" s="2">
        <v>43716</v>
      </c>
      <c r="B1442" s="18">
        <f t="shared" si="44"/>
        <v>2019</v>
      </c>
      <c r="C1442" s="18">
        <f t="shared" si="45"/>
        <v>9</v>
      </c>
      <c r="D1442" s="3" t="s">
        <v>1530</v>
      </c>
      <c r="E1442" s="3" t="s">
        <v>94</v>
      </c>
      <c r="F1442" s="3" t="s">
        <v>19</v>
      </c>
      <c r="G1442" s="3" t="s">
        <v>121</v>
      </c>
      <c r="H1442" s="3" t="s">
        <v>1531</v>
      </c>
      <c r="I1442" s="11">
        <v>207.48</v>
      </c>
      <c r="J1442" s="18">
        <v>1</v>
      </c>
      <c r="K1442" s="12">
        <v>62.244</v>
      </c>
    </row>
    <row r="1443" spans="1:11" x14ac:dyDescent="0.25">
      <c r="A1443" s="4">
        <v>43716</v>
      </c>
      <c r="B1443" s="19">
        <f t="shared" si="44"/>
        <v>2019</v>
      </c>
      <c r="C1443" s="19">
        <f t="shared" si="45"/>
        <v>9</v>
      </c>
      <c r="D1443" s="5" t="s">
        <v>69</v>
      </c>
      <c r="E1443" s="5" t="s">
        <v>23</v>
      </c>
      <c r="F1443" s="5" t="s">
        <v>19</v>
      </c>
      <c r="G1443" s="5" t="s">
        <v>40</v>
      </c>
      <c r="H1443" s="5" t="s">
        <v>527</v>
      </c>
      <c r="I1443" s="13">
        <v>70.367999999999995</v>
      </c>
      <c r="J1443" s="19">
        <v>2</v>
      </c>
      <c r="K1443" s="14">
        <v>6.1571999999999996</v>
      </c>
    </row>
    <row r="1444" spans="1:11" x14ac:dyDescent="0.25">
      <c r="A1444" s="2">
        <v>43716</v>
      </c>
      <c r="B1444" s="18">
        <f t="shared" si="44"/>
        <v>2019</v>
      </c>
      <c r="C1444" s="18">
        <f t="shared" si="45"/>
        <v>9</v>
      </c>
      <c r="D1444" s="3" t="s">
        <v>69</v>
      </c>
      <c r="E1444" s="3" t="s">
        <v>23</v>
      </c>
      <c r="F1444" s="3" t="s">
        <v>14</v>
      </c>
      <c r="G1444" s="3" t="s">
        <v>15</v>
      </c>
      <c r="H1444" s="3" t="s">
        <v>1532</v>
      </c>
      <c r="I1444" s="11">
        <v>59.96</v>
      </c>
      <c r="J1444" s="18">
        <v>5</v>
      </c>
      <c r="K1444" s="12">
        <v>21.735499999999998</v>
      </c>
    </row>
    <row r="1445" spans="1:11" x14ac:dyDescent="0.25">
      <c r="A1445" s="4">
        <v>43716</v>
      </c>
      <c r="B1445" s="19">
        <f t="shared" si="44"/>
        <v>2019</v>
      </c>
      <c r="C1445" s="19">
        <f t="shared" si="45"/>
        <v>9</v>
      </c>
      <c r="D1445" s="5" t="s">
        <v>626</v>
      </c>
      <c r="E1445" s="5" t="s">
        <v>35</v>
      </c>
      <c r="F1445" s="5" t="s">
        <v>14</v>
      </c>
      <c r="G1445" s="5" t="s">
        <v>24</v>
      </c>
      <c r="H1445" s="5" t="s">
        <v>647</v>
      </c>
      <c r="I1445" s="13">
        <v>35.167999999999999</v>
      </c>
      <c r="J1445" s="19">
        <v>4</v>
      </c>
      <c r="K1445" s="14">
        <v>8.3523999999999994</v>
      </c>
    </row>
    <row r="1446" spans="1:11" x14ac:dyDescent="0.25">
      <c r="A1446" s="2">
        <v>43716</v>
      </c>
      <c r="B1446" s="18">
        <f t="shared" si="44"/>
        <v>2019</v>
      </c>
      <c r="C1446" s="18">
        <f t="shared" si="45"/>
        <v>9</v>
      </c>
      <c r="D1446" s="3" t="s">
        <v>626</v>
      </c>
      <c r="E1446" s="3" t="s">
        <v>35</v>
      </c>
      <c r="F1446" s="3" t="s">
        <v>19</v>
      </c>
      <c r="G1446" s="3" t="s">
        <v>53</v>
      </c>
      <c r="H1446" s="3" t="s">
        <v>1533</v>
      </c>
      <c r="I1446" s="11">
        <v>64.703999999999994</v>
      </c>
      <c r="J1446" s="18">
        <v>3</v>
      </c>
      <c r="K1446" s="12">
        <v>23.455200000000001</v>
      </c>
    </row>
    <row r="1447" spans="1:11" x14ac:dyDescent="0.25">
      <c r="A1447" s="4">
        <v>43716</v>
      </c>
      <c r="B1447" s="19">
        <f t="shared" si="44"/>
        <v>2019</v>
      </c>
      <c r="C1447" s="19">
        <f t="shared" si="45"/>
        <v>9</v>
      </c>
      <c r="D1447" s="5" t="s">
        <v>1256</v>
      </c>
      <c r="E1447" s="5" t="s">
        <v>18</v>
      </c>
      <c r="F1447" s="5" t="s">
        <v>11</v>
      </c>
      <c r="G1447" s="5" t="s">
        <v>30</v>
      </c>
      <c r="H1447" s="5" t="s">
        <v>1534</v>
      </c>
      <c r="I1447" s="13">
        <v>146.04</v>
      </c>
      <c r="J1447" s="19">
        <v>1</v>
      </c>
      <c r="K1447" s="14">
        <v>-12.778499999999999</v>
      </c>
    </row>
    <row r="1448" spans="1:11" x14ac:dyDescent="0.25">
      <c r="A1448" s="2">
        <v>43716</v>
      </c>
      <c r="B1448" s="18">
        <f t="shared" si="44"/>
        <v>2019</v>
      </c>
      <c r="C1448" s="18">
        <f t="shared" si="45"/>
        <v>9</v>
      </c>
      <c r="D1448" s="3" t="s">
        <v>1363</v>
      </c>
      <c r="E1448" s="3" t="s">
        <v>70</v>
      </c>
      <c r="F1448" s="3" t="s">
        <v>11</v>
      </c>
      <c r="G1448" s="3" t="s">
        <v>51</v>
      </c>
      <c r="H1448" s="3" t="s">
        <v>1179</v>
      </c>
      <c r="I1448" s="11">
        <v>43.13</v>
      </c>
      <c r="J1448" s="18">
        <v>1</v>
      </c>
      <c r="K1448" s="12">
        <v>14.664199999999999</v>
      </c>
    </row>
    <row r="1449" spans="1:11" x14ac:dyDescent="0.25">
      <c r="A1449" s="4">
        <v>43716</v>
      </c>
      <c r="B1449" s="19">
        <f t="shared" si="44"/>
        <v>2019</v>
      </c>
      <c r="C1449" s="19">
        <f t="shared" si="45"/>
        <v>9</v>
      </c>
      <c r="D1449" s="5" t="s">
        <v>1363</v>
      </c>
      <c r="E1449" s="5" t="s">
        <v>70</v>
      </c>
      <c r="F1449" s="5" t="s">
        <v>19</v>
      </c>
      <c r="G1449" s="5" t="s">
        <v>53</v>
      </c>
      <c r="H1449" s="5" t="s">
        <v>1435</v>
      </c>
      <c r="I1449" s="13">
        <v>30.87</v>
      </c>
      <c r="J1449" s="19">
        <v>7</v>
      </c>
      <c r="K1449" s="14">
        <v>14.200200000000001</v>
      </c>
    </row>
    <row r="1450" spans="1:11" x14ac:dyDescent="0.25">
      <c r="A1450" s="2">
        <v>43716</v>
      </c>
      <c r="B1450" s="18">
        <f t="shared" si="44"/>
        <v>2019</v>
      </c>
      <c r="C1450" s="18">
        <f t="shared" si="45"/>
        <v>9</v>
      </c>
      <c r="D1450" s="3" t="s">
        <v>1006</v>
      </c>
      <c r="E1450" s="3" t="s">
        <v>18</v>
      </c>
      <c r="F1450" s="3" t="s">
        <v>19</v>
      </c>
      <c r="G1450" s="3" t="s">
        <v>40</v>
      </c>
      <c r="H1450" s="3" t="s">
        <v>1224</v>
      </c>
      <c r="I1450" s="11">
        <v>14.88</v>
      </c>
      <c r="J1450" s="18">
        <v>2</v>
      </c>
      <c r="K1450" s="12">
        <v>3.72</v>
      </c>
    </row>
    <row r="1451" spans="1:11" x14ac:dyDescent="0.25">
      <c r="A1451" s="4">
        <v>43716</v>
      </c>
      <c r="B1451" s="19">
        <f t="shared" si="44"/>
        <v>2019</v>
      </c>
      <c r="C1451" s="19">
        <f t="shared" si="45"/>
        <v>9</v>
      </c>
      <c r="D1451" s="5" t="s">
        <v>1006</v>
      </c>
      <c r="E1451" s="5" t="s">
        <v>18</v>
      </c>
      <c r="F1451" s="5" t="s">
        <v>19</v>
      </c>
      <c r="G1451" s="5" t="s">
        <v>53</v>
      </c>
      <c r="H1451" s="5" t="s">
        <v>1084</v>
      </c>
      <c r="I1451" s="13">
        <v>34.24</v>
      </c>
      <c r="J1451" s="19">
        <v>8</v>
      </c>
      <c r="K1451" s="14">
        <v>15.407999999999999</v>
      </c>
    </row>
    <row r="1452" spans="1:11" x14ac:dyDescent="0.25">
      <c r="A1452" s="2">
        <v>43716</v>
      </c>
      <c r="B1452" s="18">
        <f t="shared" si="44"/>
        <v>2019</v>
      </c>
      <c r="C1452" s="18">
        <f t="shared" si="45"/>
        <v>9</v>
      </c>
      <c r="D1452" s="3" t="s">
        <v>1006</v>
      </c>
      <c r="E1452" s="3" t="s">
        <v>18</v>
      </c>
      <c r="F1452" s="3" t="s">
        <v>19</v>
      </c>
      <c r="G1452" s="3" t="s">
        <v>20</v>
      </c>
      <c r="H1452" s="3" t="s">
        <v>386</v>
      </c>
      <c r="I1452" s="11">
        <v>261.74</v>
      </c>
      <c r="J1452" s="18">
        <v>2</v>
      </c>
      <c r="K1452" s="12">
        <v>65.435000000000002</v>
      </c>
    </row>
    <row r="1453" spans="1:11" x14ac:dyDescent="0.25">
      <c r="A1453" s="4">
        <v>43717</v>
      </c>
      <c r="B1453" s="19">
        <f t="shared" si="44"/>
        <v>2019</v>
      </c>
      <c r="C1453" s="19">
        <f t="shared" si="45"/>
        <v>9</v>
      </c>
      <c r="D1453" s="5" t="s">
        <v>1535</v>
      </c>
      <c r="E1453" s="5" t="s">
        <v>94</v>
      </c>
      <c r="F1453" s="5" t="s">
        <v>19</v>
      </c>
      <c r="G1453" s="5" t="s">
        <v>32</v>
      </c>
      <c r="H1453" s="5" t="s">
        <v>426</v>
      </c>
      <c r="I1453" s="13">
        <v>14.624000000000001</v>
      </c>
      <c r="J1453" s="19">
        <v>2</v>
      </c>
      <c r="K1453" s="14">
        <v>5.484</v>
      </c>
    </row>
    <row r="1454" spans="1:11" x14ac:dyDescent="0.25">
      <c r="A1454" s="2">
        <v>43717</v>
      </c>
      <c r="B1454" s="18">
        <f t="shared" si="44"/>
        <v>2019</v>
      </c>
      <c r="C1454" s="18">
        <f t="shared" si="45"/>
        <v>9</v>
      </c>
      <c r="D1454" s="3" t="s">
        <v>966</v>
      </c>
      <c r="E1454" s="3" t="s">
        <v>18</v>
      </c>
      <c r="F1454" s="3" t="s">
        <v>19</v>
      </c>
      <c r="G1454" s="3" t="s">
        <v>32</v>
      </c>
      <c r="H1454" s="3" t="s">
        <v>1536</v>
      </c>
      <c r="I1454" s="11">
        <v>55.36</v>
      </c>
      <c r="J1454" s="18">
        <v>4</v>
      </c>
      <c r="K1454" s="12">
        <v>18.684000000000001</v>
      </c>
    </row>
    <row r="1455" spans="1:11" x14ac:dyDescent="0.25">
      <c r="A1455" s="4">
        <v>43717</v>
      </c>
      <c r="B1455" s="19">
        <f t="shared" si="44"/>
        <v>2019</v>
      </c>
      <c r="C1455" s="19">
        <f t="shared" si="45"/>
        <v>9</v>
      </c>
      <c r="D1455" s="5" t="s">
        <v>540</v>
      </c>
      <c r="E1455" s="5" t="s">
        <v>23</v>
      </c>
      <c r="F1455" s="5" t="s">
        <v>11</v>
      </c>
      <c r="G1455" s="5" t="s">
        <v>51</v>
      </c>
      <c r="H1455" s="5" t="s">
        <v>1537</v>
      </c>
      <c r="I1455" s="13">
        <v>15.007999999999999</v>
      </c>
      <c r="J1455" s="19">
        <v>4</v>
      </c>
      <c r="K1455" s="14">
        <v>-12.006399999999999</v>
      </c>
    </row>
    <row r="1456" spans="1:11" x14ac:dyDescent="0.25">
      <c r="A1456" s="2">
        <v>43718</v>
      </c>
      <c r="B1456" s="18">
        <f t="shared" si="44"/>
        <v>2019</v>
      </c>
      <c r="C1456" s="18">
        <f t="shared" si="45"/>
        <v>9</v>
      </c>
      <c r="D1456" s="3" t="s">
        <v>1538</v>
      </c>
      <c r="E1456" s="3" t="s">
        <v>94</v>
      </c>
      <c r="F1456" s="3" t="s">
        <v>19</v>
      </c>
      <c r="G1456" s="3" t="s">
        <v>20</v>
      </c>
      <c r="H1456" s="3" t="s">
        <v>1539</v>
      </c>
      <c r="I1456" s="11">
        <v>59.48</v>
      </c>
      <c r="J1456" s="18">
        <v>2</v>
      </c>
      <c r="K1456" s="12">
        <v>8.9220000000000006</v>
      </c>
    </row>
    <row r="1457" spans="1:11" x14ac:dyDescent="0.25">
      <c r="A1457" s="4">
        <v>43718</v>
      </c>
      <c r="B1457" s="19">
        <f t="shared" si="44"/>
        <v>2019</v>
      </c>
      <c r="C1457" s="19">
        <f t="shared" si="45"/>
        <v>9</v>
      </c>
      <c r="D1457" s="5" t="s">
        <v>1538</v>
      </c>
      <c r="E1457" s="5" t="s">
        <v>94</v>
      </c>
      <c r="F1457" s="5" t="s">
        <v>19</v>
      </c>
      <c r="G1457" s="5" t="s">
        <v>53</v>
      </c>
      <c r="H1457" s="5" t="s">
        <v>932</v>
      </c>
      <c r="I1457" s="13">
        <v>6.69</v>
      </c>
      <c r="J1457" s="19">
        <v>1</v>
      </c>
      <c r="K1457" s="14">
        <v>3.0773999999999999</v>
      </c>
    </row>
    <row r="1458" spans="1:11" x14ac:dyDescent="0.25">
      <c r="A1458" s="2">
        <v>43718</v>
      </c>
      <c r="B1458" s="18">
        <f t="shared" si="44"/>
        <v>2019</v>
      </c>
      <c r="C1458" s="18">
        <f t="shared" si="45"/>
        <v>9</v>
      </c>
      <c r="D1458" s="3" t="s">
        <v>1091</v>
      </c>
      <c r="E1458" s="3" t="s">
        <v>219</v>
      </c>
      <c r="F1458" s="3" t="s">
        <v>19</v>
      </c>
      <c r="G1458" s="3" t="s">
        <v>40</v>
      </c>
      <c r="H1458" s="3" t="s">
        <v>1332</v>
      </c>
      <c r="I1458" s="11">
        <v>67.56</v>
      </c>
      <c r="J1458" s="18">
        <v>3</v>
      </c>
      <c r="K1458" s="12">
        <v>8.4450000000000003</v>
      </c>
    </row>
    <row r="1459" spans="1:11" x14ac:dyDescent="0.25">
      <c r="A1459" s="4">
        <v>43718</v>
      </c>
      <c r="B1459" s="19">
        <f t="shared" si="44"/>
        <v>2019</v>
      </c>
      <c r="C1459" s="19">
        <f t="shared" si="45"/>
        <v>9</v>
      </c>
      <c r="D1459" s="5" t="s">
        <v>1540</v>
      </c>
      <c r="E1459" s="5" t="s">
        <v>23</v>
      </c>
      <c r="F1459" s="5" t="s">
        <v>11</v>
      </c>
      <c r="G1459" s="5" t="s">
        <v>30</v>
      </c>
      <c r="H1459" s="5" t="s">
        <v>609</v>
      </c>
      <c r="I1459" s="13">
        <v>300.93</v>
      </c>
      <c r="J1459" s="19">
        <v>5</v>
      </c>
      <c r="K1459" s="14">
        <v>-34.392000000000003</v>
      </c>
    </row>
    <row r="1460" spans="1:11" x14ac:dyDescent="0.25">
      <c r="A1460" s="2">
        <v>43718</v>
      </c>
      <c r="B1460" s="18">
        <f t="shared" si="44"/>
        <v>2019</v>
      </c>
      <c r="C1460" s="18">
        <f t="shared" si="45"/>
        <v>9</v>
      </c>
      <c r="D1460" s="3" t="s">
        <v>1540</v>
      </c>
      <c r="E1460" s="3" t="s">
        <v>23</v>
      </c>
      <c r="F1460" s="3" t="s">
        <v>14</v>
      </c>
      <c r="G1460" s="3" t="s">
        <v>15</v>
      </c>
      <c r="H1460" s="3" t="s">
        <v>329</v>
      </c>
      <c r="I1460" s="11">
        <v>719.96</v>
      </c>
      <c r="J1460" s="18">
        <v>5</v>
      </c>
      <c r="K1460" s="12">
        <v>53.997</v>
      </c>
    </row>
    <row r="1461" spans="1:11" x14ac:dyDescent="0.25">
      <c r="A1461" s="4">
        <v>43718</v>
      </c>
      <c r="B1461" s="19">
        <f t="shared" si="44"/>
        <v>2019</v>
      </c>
      <c r="C1461" s="19">
        <f t="shared" si="45"/>
        <v>9</v>
      </c>
      <c r="D1461" s="5" t="s">
        <v>1177</v>
      </c>
      <c r="E1461" s="5" t="s">
        <v>44</v>
      </c>
      <c r="F1461" s="5" t="s">
        <v>14</v>
      </c>
      <c r="G1461" s="5" t="s">
        <v>15</v>
      </c>
      <c r="H1461" s="5" t="s">
        <v>1499</v>
      </c>
      <c r="I1461" s="13">
        <v>519.67999999999995</v>
      </c>
      <c r="J1461" s="19">
        <v>7</v>
      </c>
      <c r="K1461" s="14">
        <v>58.463999999999999</v>
      </c>
    </row>
    <row r="1462" spans="1:11" x14ac:dyDescent="0.25">
      <c r="A1462" s="2">
        <v>43718</v>
      </c>
      <c r="B1462" s="18">
        <f t="shared" si="44"/>
        <v>2019</v>
      </c>
      <c r="C1462" s="18">
        <f t="shared" si="45"/>
        <v>9</v>
      </c>
      <c r="D1462" s="3" t="s">
        <v>377</v>
      </c>
      <c r="E1462" s="3" t="s">
        <v>70</v>
      </c>
      <c r="F1462" s="3" t="s">
        <v>19</v>
      </c>
      <c r="G1462" s="3" t="s">
        <v>127</v>
      </c>
      <c r="H1462" s="3" t="s">
        <v>1018</v>
      </c>
      <c r="I1462" s="11">
        <v>7.38</v>
      </c>
      <c r="J1462" s="18">
        <v>2</v>
      </c>
      <c r="K1462" s="12">
        <v>3.4685999999999999</v>
      </c>
    </row>
    <row r="1463" spans="1:11" x14ac:dyDescent="0.25">
      <c r="A1463" s="4">
        <v>43718</v>
      </c>
      <c r="B1463" s="19">
        <f t="shared" si="44"/>
        <v>2019</v>
      </c>
      <c r="C1463" s="19">
        <f t="shared" si="45"/>
        <v>9</v>
      </c>
      <c r="D1463" s="5" t="s">
        <v>377</v>
      </c>
      <c r="E1463" s="5" t="s">
        <v>70</v>
      </c>
      <c r="F1463" s="5" t="s">
        <v>19</v>
      </c>
      <c r="G1463" s="5" t="s">
        <v>32</v>
      </c>
      <c r="H1463" s="5" t="s">
        <v>33</v>
      </c>
      <c r="I1463" s="13">
        <v>14.256</v>
      </c>
      <c r="J1463" s="19">
        <v>3</v>
      </c>
      <c r="K1463" s="14">
        <v>4.4550000000000001</v>
      </c>
    </row>
    <row r="1464" spans="1:11" x14ac:dyDescent="0.25">
      <c r="A1464" s="2">
        <v>43718</v>
      </c>
      <c r="B1464" s="18">
        <f t="shared" si="44"/>
        <v>2019</v>
      </c>
      <c r="C1464" s="18">
        <f t="shared" si="45"/>
        <v>9</v>
      </c>
      <c r="D1464" s="3" t="s">
        <v>377</v>
      </c>
      <c r="E1464" s="3" t="s">
        <v>70</v>
      </c>
      <c r="F1464" s="3" t="s">
        <v>19</v>
      </c>
      <c r="G1464" s="3" t="s">
        <v>53</v>
      </c>
      <c r="H1464" s="3" t="s">
        <v>610</v>
      </c>
      <c r="I1464" s="11">
        <v>81.98</v>
      </c>
      <c r="J1464" s="18">
        <v>2</v>
      </c>
      <c r="K1464" s="12">
        <v>40.170200000000001</v>
      </c>
    </row>
    <row r="1465" spans="1:11" x14ac:dyDescent="0.25">
      <c r="A1465" s="4">
        <v>43718</v>
      </c>
      <c r="B1465" s="19">
        <f t="shared" si="44"/>
        <v>2019</v>
      </c>
      <c r="C1465" s="19">
        <f t="shared" si="45"/>
        <v>9</v>
      </c>
      <c r="D1465" s="5" t="s">
        <v>377</v>
      </c>
      <c r="E1465" s="5" t="s">
        <v>70</v>
      </c>
      <c r="F1465" s="5" t="s">
        <v>19</v>
      </c>
      <c r="G1465" s="5" t="s">
        <v>32</v>
      </c>
      <c r="H1465" s="5" t="s">
        <v>613</v>
      </c>
      <c r="I1465" s="13">
        <v>39.624000000000002</v>
      </c>
      <c r="J1465" s="19">
        <v>3</v>
      </c>
      <c r="K1465" s="14">
        <v>13.868399999999999</v>
      </c>
    </row>
    <row r="1466" spans="1:11" x14ac:dyDescent="0.25">
      <c r="A1466" s="2">
        <v>43718</v>
      </c>
      <c r="B1466" s="18">
        <f t="shared" si="44"/>
        <v>2019</v>
      </c>
      <c r="C1466" s="18">
        <f t="shared" si="45"/>
        <v>9</v>
      </c>
      <c r="D1466" s="3" t="s">
        <v>1541</v>
      </c>
      <c r="E1466" s="3" t="s">
        <v>18</v>
      </c>
      <c r="F1466" s="3" t="s">
        <v>19</v>
      </c>
      <c r="G1466" s="3" t="s">
        <v>32</v>
      </c>
      <c r="H1466" s="3" t="s">
        <v>420</v>
      </c>
      <c r="I1466" s="11">
        <v>276.78399999999999</v>
      </c>
      <c r="J1466" s="18">
        <v>2</v>
      </c>
      <c r="K1466" s="12">
        <v>89.954800000000006</v>
      </c>
    </row>
    <row r="1467" spans="1:11" x14ac:dyDescent="0.25">
      <c r="A1467" s="4">
        <v>43719</v>
      </c>
      <c r="B1467" s="19">
        <f t="shared" si="44"/>
        <v>2019</v>
      </c>
      <c r="C1467" s="19">
        <f t="shared" si="45"/>
        <v>9</v>
      </c>
      <c r="D1467" s="5" t="s">
        <v>1542</v>
      </c>
      <c r="E1467" s="5" t="s">
        <v>18</v>
      </c>
      <c r="F1467" s="5" t="s">
        <v>19</v>
      </c>
      <c r="G1467" s="5" t="s">
        <v>53</v>
      </c>
      <c r="H1467" s="5" t="s">
        <v>1543</v>
      </c>
      <c r="I1467" s="13">
        <v>7.61</v>
      </c>
      <c r="J1467" s="19">
        <v>1</v>
      </c>
      <c r="K1467" s="14">
        <v>3.5767000000000002</v>
      </c>
    </row>
    <row r="1468" spans="1:11" x14ac:dyDescent="0.25">
      <c r="A1468" s="2">
        <v>43719</v>
      </c>
      <c r="B1468" s="18">
        <f t="shared" si="44"/>
        <v>2019</v>
      </c>
      <c r="C1468" s="18">
        <f t="shared" si="45"/>
        <v>9</v>
      </c>
      <c r="D1468" s="3" t="s">
        <v>1542</v>
      </c>
      <c r="E1468" s="3" t="s">
        <v>18</v>
      </c>
      <c r="F1468" s="3" t="s">
        <v>14</v>
      </c>
      <c r="G1468" s="3" t="s">
        <v>24</v>
      </c>
      <c r="H1468" s="3" t="s">
        <v>492</v>
      </c>
      <c r="I1468" s="11">
        <v>3347.37</v>
      </c>
      <c r="J1468" s="18">
        <v>13</v>
      </c>
      <c r="K1468" s="12">
        <v>636.00030000000004</v>
      </c>
    </row>
    <row r="1469" spans="1:11" x14ac:dyDescent="0.25">
      <c r="A1469" s="4">
        <v>43719</v>
      </c>
      <c r="B1469" s="19">
        <f t="shared" si="44"/>
        <v>2019</v>
      </c>
      <c r="C1469" s="19">
        <f t="shared" si="45"/>
        <v>9</v>
      </c>
      <c r="D1469" s="5" t="s">
        <v>1544</v>
      </c>
      <c r="E1469" s="5" t="s">
        <v>39</v>
      </c>
      <c r="F1469" s="5" t="s">
        <v>19</v>
      </c>
      <c r="G1469" s="5" t="s">
        <v>53</v>
      </c>
      <c r="H1469" s="5" t="s">
        <v>1545</v>
      </c>
      <c r="I1469" s="13">
        <v>8.4480000000000004</v>
      </c>
      <c r="J1469" s="19">
        <v>2</v>
      </c>
      <c r="K1469" s="14">
        <v>2.64</v>
      </c>
    </row>
    <row r="1470" spans="1:11" x14ac:dyDescent="0.25">
      <c r="A1470" s="2">
        <v>43719</v>
      </c>
      <c r="B1470" s="18">
        <f t="shared" si="44"/>
        <v>2019</v>
      </c>
      <c r="C1470" s="18">
        <f t="shared" si="45"/>
        <v>9</v>
      </c>
      <c r="D1470" s="3" t="s">
        <v>1544</v>
      </c>
      <c r="E1470" s="3" t="s">
        <v>39</v>
      </c>
      <c r="F1470" s="3" t="s">
        <v>14</v>
      </c>
      <c r="G1470" s="3" t="s">
        <v>15</v>
      </c>
      <c r="H1470" s="3" t="s">
        <v>1546</v>
      </c>
      <c r="I1470" s="11">
        <v>728.94600000000003</v>
      </c>
      <c r="J1470" s="18">
        <v>9</v>
      </c>
      <c r="K1470" s="12">
        <v>-157.9383</v>
      </c>
    </row>
    <row r="1471" spans="1:11" x14ac:dyDescent="0.25">
      <c r="A1471" s="4">
        <v>43719</v>
      </c>
      <c r="B1471" s="19">
        <f t="shared" si="44"/>
        <v>2019</v>
      </c>
      <c r="C1471" s="19">
        <f t="shared" si="45"/>
        <v>9</v>
      </c>
      <c r="D1471" s="5" t="s">
        <v>1161</v>
      </c>
      <c r="E1471" s="5" t="s">
        <v>67</v>
      </c>
      <c r="F1471" s="5" t="s">
        <v>19</v>
      </c>
      <c r="G1471" s="5" t="s">
        <v>32</v>
      </c>
      <c r="H1471" s="5" t="s">
        <v>947</v>
      </c>
      <c r="I1471" s="13">
        <v>22.428000000000001</v>
      </c>
      <c r="J1471" s="19">
        <v>3</v>
      </c>
      <c r="K1471" s="14">
        <v>-17.942399999999999</v>
      </c>
    </row>
    <row r="1472" spans="1:11" x14ac:dyDescent="0.25">
      <c r="A1472" s="2">
        <v>43719</v>
      </c>
      <c r="B1472" s="18">
        <f t="shared" si="44"/>
        <v>2019</v>
      </c>
      <c r="C1472" s="18">
        <f t="shared" si="45"/>
        <v>9</v>
      </c>
      <c r="D1472" s="3" t="s">
        <v>1161</v>
      </c>
      <c r="E1472" s="3" t="s">
        <v>67</v>
      </c>
      <c r="F1472" s="3" t="s">
        <v>19</v>
      </c>
      <c r="G1472" s="3" t="s">
        <v>20</v>
      </c>
      <c r="H1472" s="3" t="s">
        <v>1048</v>
      </c>
      <c r="I1472" s="11">
        <v>37.520000000000003</v>
      </c>
      <c r="J1472" s="18">
        <v>5</v>
      </c>
      <c r="K1472" s="12">
        <v>3.7519999999999998</v>
      </c>
    </row>
    <row r="1473" spans="1:11" x14ac:dyDescent="0.25">
      <c r="A1473" s="4">
        <v>43719</v>
      </c>
      <c r="B1473" s="19">
        <f t="shared" si="44"/>
        <v>2019</v>
      </c>
      <c r="C1473" s="19">
        <f t="shared" si="45"/>
        <v>9</v>
      </c>
      <c r="D1473" s="5" t="s">
        <v>259</v>
      </c>
      <c r="E1473" s="5" t="s">
        <v>181</v>
      </c>
      <c r="F1473" s="5" t="s">
        <v>14</v>
      </c>
      <c r="G1473" s="5" t="s">
        <v>36</v>
      </c>
      <c r="H1473" s="5" t="s">
        <v>1547</v>
      </c>
      <c r="I1473" s="13">
        <v>1599.92</v>
      </c>
      <c r="J1473" s="19">
        <v>8</v>
      </c>
      <c r="K1473" s="14">
        <v>751.9624</v>
      </c>
    </row>
    <row r="1474" spans="1:11" x14ac:dyDescent="0.25">
      <c r="A1474" s="2">
        <v>43719</v>
      </c>
      <c r="B1474" s="18">
        <f t="shared" ref="B1474:B1537" si="46">YEAR(A1474)</f>
        <v>2019</v>
      </c>
      <c r="C1474" s="18">
        <f t="shared" ref="C1474:C1537" si="47">MONTH(A1474)</f>
        <v>9</v>
      </c>
      <c r="D1474" s="3" t="s">
        <v>259</v>
      </c>
      <c r="E1474" s="3" t="s">
        <v>181</v>
      </c>
      <c r="F1474" s="3" t="s">
        <v>19</v>
      </c>
      <c r="G1474" s="3" t="s">
        <v>86</v>
      </c>
      <c r="H1474" s="3" t="s">
        <v>582</v>
      </c>
      <c r="I1474" s="11">
        <v>11.09</v>
      </c>
      <c r="J1474" s="18">
        <v>1</v>
      </c>
      <c r="K1474" s="12">
        <v>5.4340999999999999</v>
      </c>
    </row>
    <row r="1475" spans="1:11" x14ac:dyDescent="0.25">
      <c r="A1475" s="4">
        <v>43719</v>
      </c>
      <c r="B1475" s="19">
        <f t="shared" si="46"/>
        <v>2019</v>
      </c>
      <c r="C1475" s="19">
        <f t="shared" si="47"/>
        <v>9</v>
      </c>
      <c r="D1475" s="5" t="s">
        <v>1548</v>
      </c>
      <c r="E1475" s="5" t="s">
        <v>18</v>
      </c>
      <c r="F1475" s="5" t="s">
        <v>19</v>
      </c>
      <c r="G1475" s="5" t="s">
        <v>20</v>
      </c>
      <c r="H1475" s="5" t="s">
        <v>1549</v>
      </c>
      <c r="I1475" s="13">
        <v>332.94</v>
      </c>
      <c r="J1475" s="19">
        <v>3</v>
      </c>
      <c r="K1475" s="14">
        <v>6.6588000000000003</v>
      </c>
    </row>
    <row r="1476" spans="1:11" x14ac:dyDescent="0.25">
      <c r="A1476" s="2">
        <v>43719</v>
      </c>
      <c r="B1476" s="18">
        <f t="shared" si="46"/>
        <v>2019</v>
      </c>
      <c r="C1476" s="18">
        <f t="shared" si="47"/>
        <v>9</v>
      </c>
      <c r="D1476" s="3" t="s">
        <v>1548</v>
      </c>
      <c r="E1476" s="3" t="s">
        <v>18</v>
      </c>
      <c r="F1476" s="3" t="s">
        <v>19</v>
      </c>
      <c r="G1476" s="3" t="s">
        <v>32</v>
      </c>
      <c r="H1476" s="3" t="s">
        <v>947</v>
      </c>
      <c r="I1476" s="11">
        <v>39.872</v>
      </c>
      <c r="J1476" s="18">
        <v>2</v>
      </c>
      <c r="K1476" s="12">
        <v>12.958399999999999</v>
      </c>
    </row>
    <row r="1477" spans="1:11" x14ac:dyDescent="0.25">
      <c r="A1477" s="4">
        <v>43719</v>
      </c>
      <c r="B1477" s="19">
        <f t="shared" si="46"/>
        <v>2019</v>
      </c>
      <c r="C1477" s="19">
        <f t="shared" si="47"/>
        <v>9</v>
      </c>
      <c r="D1477" s="5" t="s">
        <v>805</v>
      </c>
      <c r="E1477" s="5" t="s">
        <v>1051</v>
      </c>
      <c r="F1477" s="5" t="s">
        <v>14</v>
      </c>
      <c r="G1477" s="5" t="s">
        <v>15</v>
      </c>
      <c r="H1477" s="5" t="s">
        <v>318</v>
      </c>
      <c r="I1477" s="13">
        <v>224.75</v>
      </c>
      <c r="J1477" s="19">
        <v>5</v>
      </c>
      <c r="K1477" s="14">
        <v>62.93</v>
      </c>
    </row>
    <row r="1478" spans="1:11" x14ac:dyDescent="0.25">
      <c r="A1478" s="2">
        <v>43719</v>
      </c>
      <c r="B1478" s="18">
        <f t="shared" si="46"/>
        <v>2019</v>
      </c>
      <c r="C1478" s="18">
        <f t="shared" si="47"/>
        <v>9</v>
      </c>
      <c r="D1478" s="3" t="s">
        <v>747</v>
      </c>
      <c r="E1478" s="3" t="s">
        <v>164</v>
      </c>
      <c r="F1478" s="3" t="s">
        <v>19</v>
      </c>
      <c r="G1478" s="3" t="s">
        <v>127</v>
      </c>
      <c r="H1478" s="3" t="s">
        <v>1550</v>
      </c>
      <c r="I1478" s="11">
        <v>6</v>
      </c>
      <c r="J1478" s="18">
        <v>2</v>
      </c>
      <c r="K1478" s="12">
        <v>2.1</v>
      </c>
    </row>
    <row r="1479" spans="1:11" x14ac:dyDescent="0.25">
      <c r="A1479" s="4">
        <v>43719</v>
      </c>
      <c r="B1479" s="19">
        <f t="shared" si="46"/>
        <v>2019</v>
      </c>
      <c r="C1479" s="19">
        <f t="shared" si="47"/>
        <v>9</v>
      </c>
      <c r="D1479" s="5" t="s">
        <v>747</v>
      </c>
      <c r="E1479" s="5" t="s">
        <v>164</v>
      </c>
      <c r="F1479" s="5" t="s">
        <v>19</v>
      </c>
      <c r="G1479" s="5" t="s">
        <v>32</v>
      </c>
      <c r="H1479" s="5" t="s">
        <v>408</v>
      </c>
      <c r="I1479" s="13">
        <v>1.9079999999999999</v>
      </c>
      <c r="J1479" s="19">
        <v>3</v>
      </c>
      <c r="K1479" s="14">
        <v>-3.2435999999999998</v>
      </c>
    </row>
    <row r="1480" spans="1:11" x14ac:dyDescent="0.25">
      <c r="A1480" s="2">
        <v>43719</v>
      </c>
      <c r="B1480" s="18">
        <f t="shared" si="46"/>
        <v>2019</v>
      </c>
      <c r="C1480" s="18">
        <f t="shared" si="47"/>
        <v>9</v>
      </c>
      <c r="D1480" s="3" t="s">
        <v>880</v>
      </c>
      <c r="E1480" s="3" t="s">
        <v>198</v>
      </c>
      <c r="F1480" s="3" t="s">
        <v>19</v>
      </c>
      <c r="G1480" s="3" t="s">
        <v>40</v>
      </c>
      <c r="H1480" s="3" t="s">
        <v>1551</v>
      </c>
      <c r="I1480" s="11">
        <v>2.9119999999999999</v>
      </c>
      <c r="J1480" s="18">
        <v>2</v>
      </c>
      <c r="K1480" s="12">
        <v>0.91</v>
      </c>
    </row>
    <row r="1481" spans="1:11" x14ac:dyDescent="0.25">
      <c r="A1481" s="4">
        <v>43719</v>
      </c>
      <c r="B1481" s="19">
        <f t="shared" si="46"/>
        <v>2019</v>
      </c>
      <c r="C1481" s="19">
        <f t="shared" si="47"/>
        <v>9</v>
      </c>
      <c r="D1481" s="5" t="s">
        <v>880</v>
      </c>
      <c r="E1481" s="5" t="s">
        <v>198</v>
      </c>
      <c r="F1481" s="5" t="s">
        <v>19</v>
      </c>
      <c r="G1481" s="5" t="s">
        <v>53</v>
      </c>
      <c r="H1481" s="5" t="s">
        <v>1552</v>
      </c>
      <c r="I1481" s="13">
        <v>20.736000000000001</v>
      </c>
      <c r="J1481" s="19">
        <v>4</v>
      </c>
      <c r="K1481" s="14">
        <v>7.2576000000000001</v>
      </c>
    </row>
    <row r="1482" spans="1:11" x14ac:dyDescent="0.25">
      <c r="A1482" s="2">
        <v>43719</v>
      </c>
      <c r="B1482" s="18">
        <f t="shared" si="46"/>
        <v>2019</v>
      </c>
      <c r="C1482" s="18">
        <f t="shared" si="47"/>
        <v>9</v>
      </c>
      <c r="D1482" s="3" t="s">
        <v>880</v>
      </c>
      <c r="E1482" s="3" t="s">
        <v>198</v>
      </c>
      <c r="F1482" s="3" t="s">
        <v>19</v>
      </c>
      <c r="G1482" s="3" t="s">
        <v>53</v>
      </c>
      <c r="H1482" s="3" t="s">
        <v>937</v>
      </c>
      <c r="I1482" s="11">
        <v>9.5679999999999996</v>
      </c>
      <c r="J1482" s="18">
        <v>2</v>
      </c>
      <c r="K1482" s="12">
        <v>2.99</v>
      </c>
    </row>
    <row r="1483" spans="1:11" x14ac:dyDescent="0.25">
      <c r="A1483" s="4">
        <v>43719</v>
      </c>
      <c r="B1483" s="19">
        <f t="shared" si="46"/>
        <v>2019</v>
      </c>
      <c r="C1483" s="19">
        <f t="shared" si="47"/>
        <v>9</v>
      </c>
      <c r="D1483" s="5" t="s">
        <v>1553</v>
      </c>
      <c r="E1483" s="5" t="s">
        <v>23</v>
      </c>
      <c r="F1483" s="5" t="s">
        <v>19</v>
      </c>
      <c r="G1483" s="5" t="s">
        <v>86</v>
      </c>
      <c r="H1483" s="5" t="s">
        <v>340</v>
      </c>
      <c r="I1483" s="13">
        <v>99.567999999999998</v>
      </c>
      <c r="J1483" s="19">
        <v>2</v>
      </c>
      <c r="K1483" s="14">
        <v>33.604199999999999</v>
      </c>
    </row>
    <row r="1484" spans="1:11" x14ac:dyDescent="0.25">
      <c r="A1484" s="2">
        <v>43720</v>
      </c>
      <c r="B1484" s="18">
        <f t="shared" si="46"/>
        <v>2019</v>
      </c>
      <c r="C1484" s="18">
        <f t="shared" si="47"/>
        <v>9</v>
      </c>
      <c r="D1484" s="3" t="s">
        <v>38</v>
      </c>
      <c r="E1484" s="3" t="s">
        <v>306</v>
      </c>
      <c r="F1484" s="3" t="s">
        <v>11</v>
      </c>
      <c r="G1484" s="3" t="s">
        <v>51</v>
      </c>
      <c r="H1484" s="3" t="s">
        <v>1554</v>
      </c>
      <c r="I1484" s="11">
        <v>15.135999999999999</v>
      </c>
      <c r="J1484" s="18">
        <v>4</v>
      </c>
      <c r="K1484" s="12">
        <v>3.5948000000000002</v>
      </c>
    </row>
    <row r="1485" spans="1:11" x14ac:dyDescent="0.25">
      <c r="A1485" s="4">
        <v>43720</v>
      </c>
      <c r="B1485" s="19">
        <f t="shared" si="46"/>
        <v>2019</v>
      </c>
      <c r="C1485" s="19">
        <f t="shared" si="47"/>
        <v>9</v>
      </c>
      <c r="D1485" s="5" t="s">
        <v>38</v>
      </c>
      <c r="E1485" s="5" t="s">
        <v>306</v>
      </c>
      <c r="F1485" s="5" t="s">
        <v>11</v>
      </c>
      <c r="G1485" s="5" t="s">
        <v>112</v>
      </c>
      <c r="H1485" s="5" t="s">
        <v>623</v>
      </c>
      <c r="I1485" s="13">
        <v>466.76799999999997</v>
      </c>
      <c r="J1485" s="19">
        <v>2</v>
      </c>
      <c r="K1485" s="14">
        <v>52.511400000000002</v>
      </c>
    </row>
    <row r="1486" spans="1:11" x14ac:dyDescent="0.25">
      <c r="A1486" s="2">
        <v>43720</v>
      </c>
      <c r="B1486" s="18">
        <f t="shared" si="46"/>
        <v>2019</v>
      </c>
      <c r="C1486" s="18">
        <f t="shared" si="47"/>
        <v>9</v>
      </c>
      <c r="D1486" s="3" t="s">
        <v>38</v>
      </c>
      <c r="E1486" s="3" t="s">
        <v>306</v>
      </c>
      <c r="F1486" s="3" t="s">
        <v>11</v>
      </c>
      <c r="G1486" s="3" t="s">
        <v>51</v>
      </c>
      <c r="H1486" s="3" t="s">
        <v>1298</v>
      </c>
      <c r="I1486" s="11">
        <v>15.231999999999999</v>
      </c>
      <c r="J1486" s="18">
        <v>1</v>
      </c>
      <c r="K1486" s="12">
        <v>1.7136</v>
      </c>
    </row>
    <row r="1487" spans="1:11" x14ac:dyDescent="0.25">
      <c r="A1487" s="4">
        <v>43720</v>
      </c>
      <c r="B1487" s="19">
        <f t="shared" si="46"/>
        <v>2019</v>
      </c>
      <c r="C1487" s="19">
        <f t="shared" si="47"/>
        <v>9</v>
      </c>
      <c r="D1487" s="5" t="s">
        <v>38</v>
      </c>
      <c r="E1487" s="5" t="s">
        <v>306</v>
      </c>
      <c r="F1487" s="5" t="s">
        <v>19</v>
      </c>
      <c r="G1487" s="5" t="s">
        <v>127</v>
      </c>
      <c r="H1487" s="5" t="s">
        <v>1555</v>
      </c>
      <c r="I1487" s="13">
        <v>6.2640000000000002</v>
      </c>
      <c r="J1487" s="19">
        <v>3</v>
      </c>
      <c r="K1487" s="14">
        <v>2.0358000000000001</v>
      </c>
    </row>
    <row r="1488" spans="1:11" x14ac:dyDescent="0.25">
      <c r="A1488" s="2">
        <v>43720</v>
      </c>
      <c r="B1488" s="18">
        <f t="shared" si="46"/>
        <v>2019</v>
      </c>
      <c r="C1488" s="18">
        <f t="shared" si="47"/>
        <v>9</v>
      </c>
      <c r="D1488" s="3" t="s">
        <v>563</v>
      </c>
      <c r="E1488" s="3" t="s">
        <v>70</v>
      </c>
      <c r="F1488" s="3" t="s">
        <v>19</v>
      </c>
      <c r="G1488" s="3" t="s">
        <v>116</v>
      </c>
      <c r="H1488" s="3" t="s">
        <v>1338</v>
      </c>
      <c r="I1488" s="11">
        <v>10.47</v>
      </c>
      <c r="J1488" s="18">
        <v>3</v>
      </c>
      <c r="K1488" s="12">
        <v>4.8162000000000003</v>
      </c>
    </row>
    <row r="1489" spans="1:11" x14ac:dyDescent="0.25">
      <c r="A1489" s="4">
        <v>43720</v>
      </c>
      <c r="B1489" s="19">
        <f t="shared" si="46"/>
        <v>2019</v>
      </c>
      <c r="C1489" s="19">
        <f t="shared" si="47"/>
        <v>9</v>
      </c>
      <c r="D1489" s="5" t="s">
        <v>563</v>
      </c>
      <c r="E1489" s="5" t="s">
        <v>70</v>
      </c>
      <c r="F1489" s="5" t="s">
        <v>19</v>
      </c>
      <c r="G1489" s="5" t="s">
        <v>127</v>
      </c>
      <c r="H1489" s="5" t="s">
        <v>1018</v>
      </c>
      <c r="I1489" s="13">
        <v>11.07</v>
      </c>
      <c r="J1489" s="19">
        <v>3</v>
      </c>
      <c r="K1489" s="14">
        <v>5.2028999999999996</v>
      </c>
    </row>
    <row r="1490" spans="1:11" x14ac:dyDescent="0.25">
      <c r="A1490" s="2">
        <v>43720</v>
      </c>
      <c r="B1490" s="18">
        <f t="shared" si="46"/>
        <v>2019</v>
      </c>
      <c r="C1490" s="18">
        <f t="shared" si="47"/>
        <v>9</v>
      </c>
      <c r="D1490" s="3" t="s">
        <v>563</v>
      </c>
      <c r="E1490" s="3" t="s">
        <v>70</v>
      </c>
      <c r="F1490" s="3" t="s">
        <v>19</v>
      </c>
      <c r="G1490" s="3" t="s">
        <v>32</v>
      </c>
      <c r="H1490" s="3" t="s">
        <v>849</v>
      </c>
      <c r="I1490" s="11">
        <v>20.704000000000001</v>
      </c>
      <c r="J1490" s="18">
        <v>4</v>
      </c>
      <c r="K1490" s="12">
        <v>7.7640000000000002</v>
      </c>
    </row>
    <row r="1491" spans="1:11" x14ac:dyDescent="0.25">
      <c r="A1491" s="4">
        <v>43720</v>
      </c>
      <c r="B1491" s="19">
        <f t="shared" si="46"/>
        <v>2019</v>
      </c>
      <c r="C1491" s="19">
        <f t="shared" si="47"/>
        <v>9</v>
      </c>
      <c r="D1491" s="5" t="s">
        <v>43</v>
      </c>
      <c r="E1491" s="5" t="s">
        <v>181</v>
      </c>
      <c r="F1491" s="5" t="s">
        <v>14</v>
      </c>
      <c r="G1491" s="5" t="s">
        <v>24</v>
      </c>
      <c r="H1491" s="5" t="s">
        <v>1096</v>
      </c>
      <c r="I1491" s="13">
        <v>20.7</v>
      </c>
      <c r="J1491" s="19">
        <v>3</v>
      </c>
      <c r="K1491" s="14">
        <v>1.6559999999999999</v>
      </c>
    </row>
    <row r="1492" spans="1:11" x14ac:dyDescent="0.25">
      <c r="A1492" s="2">
        <v>43720</v>
      </c>
      <c r="B1492" s="18">
        <f t="shared" si="46"/>
        <v>2019</v>
      </c>
      <c r="C1492" s="18">
        <f t="shared" si="47"/>
        <v>9</v>
      </c>
      <c r="D1492" s="3" t="s">
        <v>43</v>
      </c>
      <c r="E1492" s="3" t="s">
        <v>181</v>
      </c>
      <c r="F1492" s="3" t="s">
        <v>19</v>
      </c>
      <c r="G1492" s="3" t="s">
        <v>116</v>
      </c>
      <c r="H1492" s="3" t="s">
        <v>301</v>
      </c>
      <c r="I1492" s="11">
        <v>11.34</v>
      </c>
      <c r="J1492" s="18">
        <v>3</v>
      </c>
      <c r="K1492" s="12">
        <v>5.2164000000000001</v>
      </c>
    </row>
    <row r="1493" spans="1:11" x14ac:dyDescent="0.25">
      <c r="A1493" s="4">
        <v>43720</v>
      </c>
      <c r="B1493" s="19">
        <f t="shared" si="46"/>
        <v>2019</v>
      </c>
      <c r="C1493" s="19">
        <f t="shared" si="47"/>
        <v>9</v>
      </c>
      <c r="D1493" s="5" t="s">
        <v>43</v>
      </c>
      <c r="E1493" s="5" t="s">
        <v>181</v>
      </c>
      <c r="F1493" s="5" t="s">
        <v>19</v>
      </c>
      <c r="G1493" s="5" t="s">
        <v>20</v>
      </c>
      <c r="H1493" s="5" t="s">
        <v>1073</v>
      </c>
      <c r="I1493" s="13">
        <v>67.900000000000006</v>
      </c>
      <c r="J1493" s="19">
        <v>5</v>
      </c>
      <c r="K1493" s="14">
        <v>0.67900000000000005</v>
      </c>
    </row>
    <row r="1494" spans="1:11" x14ac:dyDescent="0.25">
      <c r="A1494" s="2">
        <v>43720</v>
      </c>
      <c r="B1494" s="18">
        <f t="shared" si="46"/>
        <v>2019</v>
      </c>
      <c r="C1494" s="18">
        <f t="shared" si="47"/>
        <v>9</v>
      </c>
      <c r="D1494" s="3" t="s">
        <v>43</v>
      </c>
      <c r="E1494" s="3" t="s">
        <v>181</v>
      </c>
      <c r="F1494" s="3" t="s">
        <v>11</v>
      </c>
      <c r="G1494" s="3" t="s">
        <v>112</v>
      </c>
      <c r="H1494" s="3" t="s">
        <v>1556</v>
      </c>
      <c r="I1494" s="11">
        <v>1059.1199999999999</v>
      </c>
      <c r="J1494" s="18">
        <v>4</v>
      </c>
      <c r="K1494" s="12">
        <v>307.14479999999998</v>
      </c>
    </row>
    <row r="1495" spans="1:11" x14ac:dyDescent="0.25">
      <c r="A1495" s="4">
        <v>43720</v>
      </c>
      <c r="B1495" s="19">
        <f t="shared" si="46"/>
        <v>2019</v>
      </c>
      <c r="C1495" s="19">
        <f t="shared" si="47"/>
        <v>9</v>
      </c>
      <c r="D1495" s="5" t="s">
        <v>1177</v>
      </c>
      <c r="E1495" s="5" t="s">
        <v>365</v>
      </c>
      <c r="F1495" s="5" t="s">
        <v>19</v>
      </c>
      <c r="G1495" s="5" t="s">
        <v>53</v>
      </c>
      <c r="H1495" s="5" t="s">
        <v>939</v>
      </c>
      <c r="I1495" s="13">
        <v>68.52</v>
      </c>
      <c r="J1495" s="19">
        <v>3</v>
      </c>
      <c r="K1495" s="14">
        <v>31.519200000000001</v>
      </c>
    </row>
    <row r="1496" spans="1:11" x14ac:dyDescent="0.25">
      <c r="A1496" s="2">
        <v>43720</v>
      </c>
      <c r="B1496" s="18">
        <f t="shared" si="46"/>
        <v>2019</v>
      </c>
      <c r="C1496" s="18">
        <f t="shared" si="47"/>
        <v>9</v>
      </c>
      <c r="D1496" s="3" t="s">
        <v>1035</v>
      </c>
      <c r="E1496" s="3" t="s">
        <v>306</v>
      </c>
      <c r="F1496" s="3" t="s">
        <v>14</v>
      </c>
      <c r="G1496" s="3" t="s">
        <v>15</v>
      </c>
      <c r="H1496" s="3" t="s">
        <v>1557</v>
      </c>
      <c r="I1496" s="11">
        <v>146.952</v>
      </c>
      <c r="J1496" s="18">
        <v>3</v>
      </c>
      <c r="K1496" s="12">
        <v>9.1844999999999999</v>
      </c>
    </row>
    <row r="1497" spans="1:11" x14ac:dyDescent="0.25">
      <c r="A1497" s="4">
        <v>43720</v>
      </c>
      <c r="B1497" s="19">
        <f t="shared" si="46"/>
        <v>2019</v>
      </c>
      <c r="C1497" s="19">
        <f t="shared" si="47"/>
        <v>9</v>
      </c>
      <c r="D1497" s="5" t="s">
        <v>1035</v>
      </c>
      <c r="E1497" s="5" t="s">
        <v>306</v>
      </c>
      <c r="F1497" s="5" t="s">
        <v>11</v>
      </c>
      <c r="G1497" s="5" t="s">
        <v>112</v>
      </c>
      <c r="H1497" s="5" t="s">
        <v>731</v>
      </c>
      <c r="I1497" s="13">
        <v>83.135999999999996</v>
      </c>
      <c r="J1497" s="19">
        <v>4</v>
      </c>
      <c r="K1497" s="14">
        <v>5.1959999999999997</v>
      </c>
    </row>
    <row r="1498" spans="1:11" x14ac:dyDescent="0.25">
      <c r="A1498" s="2">
        <v>43720</v>
      </c>
      <c r="B1498" s="18">
        <f t="shared" si="46"/>
        <v>2019</v>
      </c>
      <c r="C1498" s="18">
        <f t="shared" si="47"/>
        <v>9</v>
      </c>
      <c r="D1498" s="3" t="s">
        <v>1228</v>
      </c>
      <c r="E1498" s="3" t="s">
        <v>94</v>
      </c>
      <c r="F1498" s="3" t="s">
        <v>11</v>
      </c>
      <c r="G1498" s="3" t="s">
        <v>51</v>
      </c>
      <c r="H1498" s="3" t="s">
        <v>1558</v>
      </c>
      <c r="I1498" s="11">
        <v>40.479999999999997</v>
      </c>
      <c r="J1498" s="18">
        <v>2</v>
      </c>
      <c r="K1498" s="12">
        <v>14.572800000000001</v>
      </c>
    </row>
    <row r="1499" spans="1:11" x14ac:dyDescent="0.25">
      <c r="A1499" s="4">
        <v>43721</v>
      </c>
      <c r="B1499" s="19">
        <f t="shared" si="46"/>
        <v>2019</v>
      </c>
      <c r="C1499" s="19">
        <f t="shared" si="47"/>
        <v>9</v>
      </c>
      <c r="D1499" s="5" t="s">
        <v>1559</v>
      </c>
      <c r="E1499" s="5" t="s">
        <v>651</v>
      </c>
      <c r="F1499" s="5" t="s">
        <v>19</v>
      </c>
      <c r="G1499" s="5" t="s">
        <v>20</v>
      </c>
      <c r="H1499" s="5" t="s">
        <v>1073</v>
      </c>
      <c r="I1499" s="13">
        <v>40.74</v>
      </c>
      <c r="J1499" s="19">
        <v>3</v>
      </c>
      <c r="K1499" s="14">
        <v>0.40739999999999998</v>
      </c>
    </row>
    <row r="1500" spans="1:11" x14ac:dyDescent="0.25">
      <c r="A1500" s="2">
        <v>43721</v>
      </c>
      <c r="B1500" s="18">
        <f t="shared" si="46"/>
        <v>2019</v>
      </c>
      <c r="C1500" s="18">
        <f t="shared" si="47"/>
        <v>9</v>
      </c>
      <c r="D1500" s="3" t="s">
        <v>1559</v>
      </c>
      <c r="E1500" s="3" t="s">
        <v>651</v>
      </c>
      <c r="F1500" s="3" t="s">
        <v>19</v>
      </c>
      <c r="G1500" s="3" t="s">
        <v>127</v>
      </c>
      <c r="H1500" s="3" t="s">
        <v>1386</v>
      </c>
      <c r="I1500" s="11">
        <v>14.4</v>
      </c>
      <c r="J1500" s="18">
        <v>5</v>
      </c>
      <c r="K1500" s="12">
        <v>7.056</v>
      </c>
    </row>
    <row r="1501" spans="1:11" x14ac:dyDescent="0.25">
      <c r="A1501" s="4">
        <v>43721</v>
      </c>
      <c r="B1501" s="19">
        <f t="shared" si="46"/>
        <v>2019</v>
      </c>
      <c r="C1501" s="19">
        <f t="shared" si="47"/>
        <v>9</v>
      </c>
      <c r="D1501" s="5" t="s">
        <v>1559</v>
      </c>
      <c r="E1501" s="5" t="s">
        <v>651</v>
      </c>
      <c r="F1501" s="5" t="s">
        <v>14</v>
      </c>
      <c r="G1501" s="5" t="s">
        <v>15</v>
      </c>
      <c r="H1501" s="5" t="s">
        <v>1560</v>
      </c>
      <c r="I1501" s="13">
        <v>149.94999999999999</v>
      </c>
      <c r="J1501" s="19">
        <v>5</v>
      </c>
      <c r="K1501" s="14">
        <v>41.985999999999997</v>
      </c>
    </row>
    <row r="1502" spans="1:11" x14ac:dyDescent="0.25">
      <c r="A1502" s="2">
        <v>43721</v>
      </c>
      <c r="B1502" s="18">
        <f t="shared" si="46"/>
        <v>2019</v>
      </c>
      <c r="C1502" s="18">
        <f t="shared" si="47"/>
        <v>9</v>
      </c>
      <c r="D1502" s="3" t="s">
        <v>1559</v>
      </c>
      <c r="E1502" s="3" t="s">
        <v>651</v>
      </c>
      <c r="F1502" s="3" t="s">
        <v>19</v>
      </c>
      <c r="G1502" s="3" t="s">
        <v>265</v>
      </c>
      <c r="H1502" s="3" t="s">
        <v>324</v>
      </c>
      <c r="I1502" s="11">
        <v>16.899999999999999</v>
      </c>
      <c r="J1502" s="18">
        <v>2</v>
      </c>
      <c r="K1502" s="12">
        <v>5.07</v>
      </c>
    </row>
    <row r="1503" spans="1:11" x14ac:dyDescent="0.25">
      <c r="A1503" s="4">
        <v>43721</v>
      </c>
      <c r="B1503" s="19">
        <f t="shared" si="46"/>
        <v>2019</v>
      </c>
      <c r="C1503" s="19">
        <f t="shared" si="47"/>
        <v>9</v>
      </c>
      <c r="D1503" s="5" t="s">
        <v>1559</v>
      </c>
      <c r="E1503" s="5" t="s">
        <v>651</v>
      </c>
      <c r="F1503" s="5" t="s">
        <v>19</v>
      </c>
      <c r="G1503" s="5" t="s">
        <v>53</v>
      </c>
      <c r="H1503" s="5" t="s">
        <v>1561</v>
      </c>
      <c r="I1503" s="13">
        <v>17.61</v>
      </c>
      <c r="J1503" s="19">
        <v>3</v>
      </c>
      <c r="K1503" s="14">
        <v>8.4527999999999999</v>
      </c>
    </row>
    <row r="1504" spans="1:11" x14ac:dyDescent="0.25">
      <c r="A1504" s="2">
        <v>43721</v>
      </c>
      <c r="B1504" s="18">
        <f t="shared" si="46"/>
        <v>2019</v>
      </c>
      <c r="C1504" s="18">
        <f t="shared" si="47"/>
        <v>9</v>
      </c>
      <c r="D1504" s="3" t="s">
        <v>1559</v>
      </c>
      <c r="E1504" s="3" t="s">
        <v>651</v>
      </c>
      <c r="F1504" s="3" t="s">
        <v>19</v>
      </c>
      <c r="G1504" s="3" t="s">
        <v>121</v>
      </c>
      <c r="H1504" s="3" t="s">
        <v>1085</v>
      </c>
      <c r="I1504" s="11">
        <v>378</v>
      </c>
      <c r="J1504" s="18">
        <v>2</v>
      </c>
      <c r="K1504" s="12">
        <v>136.08000000000001</v>
      </c>
    </row>
    <row r="1505" spans="1:11" x14ac:dyDescent="0.25">
      <c r="A1505" s="4">
        <v>43721</v>
      </c>
      <c r="B1505" s="19">
        <f t="shared" si="46"/>
        <v>2019</v>
      </c>
      <c r="C1505" s="19">
        <f t="shared" si="47"/>
        <v>9</v>
      </c>
      <c r="D1505" s="5" t="s">
        <v>1559</v>
      </c>
      <c r="E1505" s="5" t="s">
        <v>651</v>
      </c>
      <c r="F1505" s="5" t="s">
        <v>19</v>
      </c>
      <c r="G1505" s="5" t="s">
        <v>53</v>
      </c>
      <c r="H1505" s="5" t="s">
        <v>500</v>
      </c>
      <c r="I1505" s="13">
        <v>17.64</v>
      </c>
      <c r="J1505" s="19">
        <v>3</v>
      </c>
      <c r="K1505" s="14">
        <v>8.6435999999999993</v>
      </c>
    </row>
    <row r="1506" spans="1:11" x14ac:dyDescent="0.25">
      <c r="A1506" s="2">
        <v>43721</v>
      </c>
      <c r="B1506" s="18">
        <f t="shared" si="46"/>
        <v>2019</v>
      </c>
      <c r="C1506" s="18">
        <f t="shared" si="47"/>
        <v>9</v>
      </c>
      <c r="D1506" s="3" t="s">
        <v>1559</v>
      </c>
      <c r="E1506" s="3" t="s">
        <v>651</v>
      </c>
      <c r="F1506" s="3" t="s">
        <v>19</v>
      </c>
      <c r="G1506" s="3" t="s">
        <v>20</v>
      </c>
      <c r="H1506" s="3" t="s">
        <v>216</v>
      </c>
      <c r="I1506" s="11">
        <v>373.08</v>
      </c>
      <c r="J1506" s="18">
        <v>6</v>
      </c>
      <c r="K1506" s="12">
        <v>100.7316</v>
      </c>
    </row>
    <row r="1507" spans="1:11" x14ac:dyDescent="0.25">
      <c r="A1507" s="4">
        <v>43721</v>
      </c>
      <c r="B1507" s="19">
        <f t="shared" si="46"/>
        <v>2019</v>
      </c>
      <c r="C1507" s="19">
        <f t="shared" si="47"/>
        <v>9</v>
      </c>
      <c r="D1507" s="5" t="s">
        <v>1559</v>
      </c>
      <c r="E1507" s="5" t="s">
        <v>651</v>
      </c>
      <c r="F1507" s="5" t="s">
        <v>11</v>
      </c>
      <c r="G1507" s="5" t="s">
        <v>51</v>
      </c>
      <c r="H1507" s="5" t="s">
        <v>1562</v>
      </c>
      <c r="I1507" s="13">
        <v>1336.44</v>
      </c>
      <c r="J1507" s="19">
        <v>14</v>
      </c>
      <c r="K1507" s="14">
        <v>387.56760000000003</v>
      </c>
    </row>
    <row r="1508" spans="1:11" x14ac:dyDescent="0.25">
      <c r="A1508" s="2">
        <v>43721</v>
      </c>
      <c r="B1508" s="18">
        <f t="shared" si="46"/>
        <v>2019</v>
      </c>
      <c r="C1508" s="18">
        <f t="shared" si="47"/>
        <v>9</v>
      </c>
      <c r="D1508" s="3" t="s">
        <v>1559</v>
      </c>
      <c r="E1508" s="3" t="s">
        <v>651</v>
      </c>
      <c r="F1508" s="3" t="s">
        <v>14</v>
      </c>
      <c r="G1508" s="3" t="s">
        <v>15</v>
      </c>
      <c r="H1508" s="3" t="s">
        <v>234</v>
      </c>
      <c r="I1508" s="11">
        <v>29.97</v>
      </c>
      <c r="J1508" s="18">
        <v>3</v>
      </c>
      <c r="K1508" s="12">
        <v>0.29970000000000002</v>
      </c>
    </row>
    <row r="1509" spans="1:11" x14ac:dyDescent="0.25">
      <c r="A1509" s="4">
        <v>43722</v>
      </c>
      <c r="B1509" s="19">
        <f t="shared" si="46"/>
        <v>2019</v>
      </c>
      <c r="C1509" s="19">
        <f t="shared" si="47"/>
        <v>9</v>
      </c>
      <c r="D1509" s="5" t="s">
        <v>1538</v>
      </c>
      <c r="E1509" s="5" t="s">
        <v>1148</v>
      </c>
      <c r="F1509" s="5" t="s">
        <v>19</v>
      </c>
      <c r="G1509" s="5" t="s">
        <v>53</v>
      </c>
      <c r="H1509" s="5" t="s">
        <v>903</v>
      </c>
      <c r="I1509" s="13">
        <v>25.92</v>
      </c>
      <c r="J1509" s="19">
        <v>4</v>
      </c>
      <c r="K1509" s="14">
        <v>12.441599999999999</v>
      </c>
    </row>
    <row r="1510" spans="1:11" x14ac:dyDescent="0.25">
      <c r="A1510" s="2">
        <v>43722</v>
      </c>
      <c r="B1510" s="18">
        <f t="shared" si="46"/>
        <v>2019</v>
      </c>
      <c r="C1510" s="18">
        <f t="shared" si="47"/>
        <v>9</v>
      </c>
      <c r="D1510" s="3" t="s">
        <v>800</v>
      </c>
      <c r="E1510" s="3" t="s">
        <v>94</v>
      </c>
      <c r="F1510" s="3" t="s">
        <v>14</v>
      </c>
      <c r="G1510" s="3" t="s">
        <v>15</v>
      </c>
      <c r="H1510" s="3" t="s">
        <v>1563</v>
      </c>
      <c r="I1510" s="11">
        <v>437.85</v>
      </c>
      <c r="J1510" s="18">
        <v>3</v>
      </c>
      <c r="K1510" s="12">
        <v>131.35499999999999</v>
      </c>
    </row>
    <row r="1511" spans="1:11" x14ac:dyDescent="0.25">
      <c r="A1511" s="4">
        <v>43722</v>
      </c>
      <c r="B1511" s="19">
        <f t="shared" si="46"/>
        <v>2019</v>
      </c>
      <c r="C1511" s="19">
        <f t="shared" si="47"/>
        <v>9</v>
      </c>
      <c r="D1511" s="5" t="s">
        <v>800</v>
      </c>
      <c r="E1511" s="5" t="s">
        <v>94</v>
      </c>
      <c r="F1511" s="5" t="s">
        <v>19</v>
      </c>
      <c r="G1511" s="5" t="s">
        <v>32</v>
      </c>
      <c r="H1511" s="5" t="s">
        <v>1564</v>
      </c>
      <c r="I1511" s="13">
        <v>673.56799999999998</v>
      </c>
      <c r="J1511" s="19">
        <v>2</v>
      </c>
      <c r="K1511" s="14">
        <v>252.58799999999999</v>
      </c>
    </row>
    <row r="1512" spans="1:11" x14ac:dyDescent="0.25">
      <c r="A1512" s="2">
        <v>43723</v>
      </c>
      <c r="B1512" s="18">
        <f t="shared" si="46"/>
        <v>2019</v>
      </c>
      <c r="C1512" s="18">
        <f t="shared" si="47"/>
        <v>9</v>
      </c>
      <c r="D1512" s="3" t="s">
        <v>495</v>
      </c>
      <c r="E1512" s="3" t="s">
        <v>39</v>
      </c>
      <c r="F1512" s="3" t="s">
        <v>19</v>
      </c>
      <c r="G1512" s="3" t="s">
        <v>53</v>
      </c>
      <c r="H1512" s="3" t="s">
        <v>1565</v>
      </c>
      <c r="I1512" s="11">
        <v>5.3440000000000003</v>
      </c>
      <c r="J1512" s="18">
        <v>1</v>
      </c>
      <c r="K1512" s="12">
        <v>1.8704000000000001</v>
      </c>
    </row>
    <row r="1513" spans="1:11" x14ac:dyDescent="0.25">
      <c r="A1513" s="4">
        <v>43723</v>
      </c>
      <c r="B1513" s="19">
        <f t="shared" si="46"/>
        <v>2019</v>
      </c>
      <c r="C1513" s="19">
        <f t="shared" si="47"/>
        <v>9</v>
      </c>
      <c r="D1513" s="5" t="s">
        <v>1127</v>
      </c>
      <c r="E1513" s="5" t="s">
        <v>94</v>
      </c>
      <c r="F1513" s="5" t="s">
        <v>19</v>
      </c>
      <c r="G1513" s="5" t="s">
        <v>32</v>
      </c>
      <c r="H1513" s="5" t="s">
        <v>1566</v>
      </c>
      <c r="I1513" s="13">
        <v>841.56799999999998</v>
      </c>
      <c r="J1513" s="19">
        <v>2</v>
      </c>
      <c r="K1513" s="14">
        <v>294.54880000000003</v>
      </c>
    </row>
    <row r="1514" spans="1:11" x14ac:dyDescent="0.25">
      <c r="A1514" s="2">
        <v>43723</v>
      </c>
      <c r="B1514" s="18">
        <f t="shared" si="46"/>
        <v>2019</v>
      </c>
      <c r="C1514" s="18">
        <f t="shared" si="47"/>
        <v>9</v>
      </c>
      <c r="D1514" s="3" t="s">
        <v>732</v>
      </c>
      <c r="E1514" s="3" t="s">
        <v>70</v>
      </c>
      <c r="F1514" s="3" t="s">
        <v>19</v>
      </c>
      <c r="G1514" s="3" t="s">
        <v>53</v>
      </c>
      <c r="H1514" s="3" t="s">
        <v>618</v>
      </c>
      <c r="I1514" s="11">
        <v>21.4</v>
      </c>
      <c r="J1514" s="18">
        <v>5</v>
      </c>
      <c r="K1514" s="12">
        <v>10.058</v>
      </c>
    </row>
    <row r="1515" spans="1:11" x14ac:dyDescent="0.25">
      <c r="A1515" s="4">
        <v>43723</v>
      </c>
      <c r="B1515" s="19">
        <f t="shared" si="46"/>
        <v>2019</v>
      </c>
      <c r="C1515" s="19">
        <f t="shared" si="47"/>
        <v>9</v>
      </c>
      <c r="D1515" s="5" t="s">
        <v>732</v>
      </c>
      <c r="E1515" s="5" t="s">
        <v>70</v>
      </c>
      <c r="F1515" s="5" t="s">
        <v>19</v>
      </c>
      <c r="G1515" s="5" t="s">
        <v>32</v>
      </c>
      <c r="H1515" s="5" t="s">
        <v>1567</v>
      </c>
      <c r="I1515" s="13">
        <v>48.664000000000001</v>
      </c>
      <c r="J1515" s="19">
        <v>7</v>
      </c>
      <c r="K1515" s="14">
        <v>15.815799999999999</v>
      </c>
    </row>
    <row r="1516" spans="1:11" x14ac:dyDescent="0.25">
      <c r="A1516" s="2">
        <v>43723</v>
      </c>
      <c r="B1516" s="18">
        <f t="shared" si="46"/>
        <v>2019</v>
      </c>
      <c r="C1516" s="18">
        <f t="shared" si="47"/>
        <v>9</v>
      </c>
      <c r="D1516" s="3" t="s">
        <v>1568</v>
      </c>
      <c r="E1516" s="3" t="s">
        <v>499</v>
      </c>
      <c r="F1516" s="3" t="s">
        <v>19</v>
      </c>
      <c r="G1516" s="3" t="s">
        <v>32</v>
      </c>
      <c r="H1516" s="3" t="s">
        <v>1569</v>
      </c>
      <c r="I1516" s="11">
        <v>20.416</v>
      </c>
      <c r="J1516" s="18">
        <v>4</v>
      </c>
      <c r="K1516" s="12">
        <v>6.6352000000000002</v>
      </c>
    </row>
    <row r="1517" spans="1:11" x14ac:dyDescent="0.25">
      <c r="A1517" s="4">
        <v>43723</v>
      </c>
      <c r="B1517" s="19">
        <f t="shared" si="46"/>
        <v>2019</v>
      </c>
      <c r="C1517" s="19">
        <f t="shared" si="47"/>
        <v>9</v>
      </c>
      <c r="D1517" s="5" t="s">
        <v>1568</v>
      </c>
      <c r="E1517" s="5" t="s">
        <v>499</v>
      </c>
      <c r="F1517" s="5" t="s">
        <v>11</v>
      </c>
      <c r="G1517" s="5" t="s">
        <v>30</v>
      </c>
      <c r="H1517" s="5" t="s">
        <v>1027</v>
      </c>
      <c r="I1517" s="13">
        <v>1128.3900000000001</v>
      </c>
      <c r="J1517" s="19">
        <v>3</v>
      </c>
      <c r="K1517" s="14">
        <v>259.52969999999999</v>
      </c>
    </row>
    <row r="1518" spans="1:11" x14ac:dyDescent="0.25">
      <c r="A1518" s="2">
        <v>43723</v>
      </c>
      <c r="B1518" s="18">
        <f t="shared" si="46"/>
        <v>2019</v>
      </c>
      <c r="C1518" s="18">
        <f t="shared" si="47"/>
        <v>9</v>
      </c>
      <c r="D1518" s="3" t="s">
        <v>1570</v>
      </c>
      <c r="E1518" s="3" t="s">
        <v>70</v>
      </c>
      <c r="F1518" s="3" t="s">
        <v>19</v>
      </c>
      <c r="G1518" s="3" t="s">
        <v>40</v>
      </c>
      <c r="H1518" s="3" t="s">
        <v>1571</v>
      </c>
      <c r="I1518" s="11">
        <v>35.4</v>
      </c>
      <c r="J1518" s="18">
        <v>5</v>
      </c>
      <c r="K1518" s="12">
        <v>13.452</v>
      </c>
    </row>
    <row r="1519" spans="1:11" x14ac:dyDescent="0.25">
      <c r="A1519" s="4">
        <v>43724</v>
      </c>
      <c r="B1519" s="19">
        <f t="shared" si="46"/>
        <v>2019</v>
      </c>
      <c r="C1519" s="19">
        <f t="shared" si="47"/>
        <v>9</v>
      </c>
      <c r="D1519" s="5" t="s">
        <v>551</v>
      </c>
      <c r="E1519" s="5" t="s">
        <v>18</v>
      </c>
      <c r="F1519" s="5" t="s">
        <v>19</v>
      </c>
      <c r="G1519" s="5" t="s">
        <v>53</v>
      </c>
      <c r="H1519" s="5" t="s">
        <v>1572</v>
      </c>
      <c r="I1519" s="13">
        <v>12.96</v>
      </c>
      <c r="J1519" s="19">
        <v>2</v>
      </c>
      <c r="K1519" s="14">
        <v>6.3503999999999996</v>
      </c>
    </row>
    <row r="1520" spans="1:11" x14ac:dyDescent="0.25">
      <c r="A1520" s="2">
        <v>43724</v>
      </c>
      <c r="B1520" s="18">
        <f t="shared" si="46"/>
        <v>2019</v>
      </c>
      <c r="C1520" s="18">
        <f t="shared" si="47"/>
        <v>9</v>
      </c>
      <c r="D1520" s="3" t="s">
        <v>1573</v>
      </c>
      <c r="E1520" s="3" t="s">
        <v>18</v>
      </c>
      <c r="F1520" s="3" t="s">
        <v>11</v>
      </c>
      <c r="G1520" s="3" t="s">
        <v>12</v>
      </c>
      <c r="H1520" s="3" t="s">
        <v>1574</v>
      </c>
      <c r="I1520" s="11">
        <v>273.666</v>
      </c>
      <c r="J1520" s="18">
        <v>2</v>
      </c>
      <c r="K1520" s="12">
        <v>-12.878399999999999</v>
      </c>
    </row>
    <row r="1521" spans="1:11" x14ac:dyDescent="0.25">
      <c r="A1521" s="4">
        <v>43724</v>
      </c>
      <c r="B1521" s="19">
        <f t="shared" si="46"/>
        <v>2019</v>
      </c>
      <c r="C1521" s="19">
        <f t="shared" si="47"/>
        <v>9</v>
      </c>
      <c r="D1521" s="5" t="s">
        <v>1573</v>
      </c>
      <c r="E1521" s="5" t="s">
        <v>18</v>
      </c>
      <c r="F1521" s="5" t="s">
        <v>19</v>
      </c>
      <c r="G1521" s="5" t="s">
        <v>121</v>
      </c>
      <c r="H1521" s="5" t="s">
        <v>1575</v>
      </c>
      <c r="I1521" s="13">
        <v>17.48</v>
      </c>
      <c r="J1521" s="19">
        <v>4</v>
      </c>
      <c r="K1521" s="14">
        <v>4.5448000000000004</v>
      </c>
    </row>
    <row r="1522" spans="1:11" x14ac:dyDescent="0.25">
      <c r="A1522" s="2">
        <v>43724</v>
      </c>
      <c r="B1522" s="18">
        <f t="shared" si="46"/>
        <v>2019</v>
      </c>
      <c r="C1522" s="18">
        <f t="shared" si="47"/>
        <v>9</v>
      </c>
      <c r="D1522" s="3" t="s">
        <v>1576</v>
      </c>
      <c r="E1522" s="3" t="s">
        <v>109</v>
      </c>
      <c r="F1522" s="3" t="s">
        <v>11</v>
      </c>
      <c r="G1522" s="3" t="s">
        <v>112</v>
      </c>
      <c r="H1522" s="3" t="s">
        <v>1116</v>
      </c>
      <c r="I1522" s="11">
        <v>121.78</v>
      </c>
      <c r="J1522" s="18">
        <v>2</v>
      </c>
      <c r="K1522" s="12">
        <v>30.445</v>
      </c>
    </row>
    <row r="1523" spans="1:11" x14ac:dyDescent="0.25">
      <c r="A1523" s="4">
        <v>43725</v>
      </c>
      <c r="B1523" s="19">
        <f t="shared" si="46"/>
        <v>2019</v>
      </c>
      <c r="C1523" s="19">
        <f t="shared" si="47"/>
        <v>9</v>
      </c>
      <c r="D1523" s="5" t="s">
        <v>1058</v>
      </c>
      <c r="E1523" s="5" t="s">
        <v>18</v>
      </c>
      <c r="F1523" s="5" t="s">
        <v>19</v>
      </c>
      <c r="G1523" s="5" t="s">
        <v>40</v>
      </c>
      <c r="H1523" s="5" t="s">
        <v>1577</v>
      </c>
      <c r="I1523" s="13">
        <v>20.100000000000001</v>
      </c>
      <c r="J1523" s="19">
        <v>3</v>
      </c>
      <c r="K1523" s="14">
        <v>6.633</v>
      </c>
    </row>
    <row r="1524" spans="1:11" x14ac:dyDescent="0.25">
      <c r="A1524" s="2">
        <v>43725</v>
      </c>
      <c r="B1524" s="18">
        <f t="shared" si="46"/>
        <v>2019</v>
      </c>
      <c r="C1524" s="18">
        <f t="shared" si="47"/>
        <v>9</v>
      </c>
      <c r="D1524" s="3" t="s">
        <v>1058</v>
      </c>
      <c r="E1524" s="3" t="s">
        <v>18</v>
      </c>
      <c r="F1524" s="3" t="s">
        <v>14</v>
      </c>
      <c r="G1524" s="3" t="s">
        <v>15</v>
      </c>
      <c r="H1524" s="3" t="s">
        <v>131</v>
      </c>
      <c r="I1524" s="11">
        <v>73.584000000000003</v>
      </c>
      <c r="J1524" s="18">
        <v>2</v>
      </c>
      <c r="K1524" s="12">
        <v>8.2782</v>
      </c>
    </row>
    <row r="1525" spans="1:11" x14ac:dyDescent="0.25">
      <c r="A1525" s="4">
        <v>43725</v>
      </c>
      <c r="B1525" s="19">
        <f t="shared" si="46"/>
        <v>2019</v>
      </c>
      <c r="C1525" s="19">
        <f t="shared" si="47"/>
        <v>9</v>
      </c>
      <c r="D1525" s="5" t="s">
        <v>1058</v>
      </c>
      <c r="E1525" s="5" t="s">
        <v>18</v>
      </c>
      <c r="F1525" s="5" t="s">
        <v>19</v>
      </c>
      <c r="G1525" s="5" t="s">
        <v>53</v>
      </c>
      <c r="H1525" s="5" t="s">
        <v>1578</v>
      </c>
      <c r="I1525" s="13">
        <v>6.48</v>
      </c>
      <c r="J1525" s="19">
        <v>1</v>
      </c>
      <c r="K1525" s="14">
        <v>3.1103999999999998</v>
      </c>
    </row>
    <row r="1526" spans="1:11" x14ac:dyDescent="0.25">
      <c r="A1526" s="2">
        <v>43725</v>
      </c>
      <c r="B1526" s="18">
        <f t="shared" si="46"/>
        <v>2019</v>
      </c>
      <c r="C1526" s="18">
        <f t="shared" si="47"/>
        <v>9</v>
      </c>
      <c r="D1526" s="3" t="s">
        <v>1579</v>
      </c>
      <c r="E1526" s="3" t="s">
        <v>109</v>
      </c>
      <c r="F1526" s="3" t="s">
        <v>14</v>
      </c>
      <c r="G1526" s="3" t="s">
        <v>188</v>
      </c>
      <c r="H1526" s="3" t="s">
        <v>1580</v>
      </c>
      <c r="I1526" s="11">
        <v>396</v>
      </c>
      <c r="J1526" s="18">
        <v>4</v>
      </c>
      <c r="K1526" s="12">
        <v>190.08</v>
      </c>
    </row>
    <row r="1527" spans="1:11" x14ac:dyDescent="0.25">
      <c r="A1527" s="4">
        <v>43725</v>
      </c>
      <c r="B1527" s="19">
        <f t="shared" si="46"/>
        <v>2019</v>
      </c>
      <c r="C1527" s="19">
        <f t="shared" si="47"/>
        <v>9</v>
      </c>
      <c r="D1527" s="5" t="s">
        <v>63</v>
      </c>
      <c r="E1527" s="5" t="s">
        <v>1581</v>
      </c>
      <c r="F1527" s="5" t="s">
        <v>14</v>
      </c>
      <c r="G1527" s="5" t="s">
        <v>15</v>
      </c>
      <c r="H1527" s="5" t="s">
        <v>1563</v>
      </c>
      <c r="I1527" s="13">
        <v>437.85</v>
      </c>
      <c r="J1527" s="19">
        <v>3</v>
      </c>
      <c r="K1527" s="14">
        <v>131.35499999999999</v>
      </c>
    </row>
    <row r="1528" spans="1:11" x14ac:dyDescent="0.25">
      <c r="A1528" s="2">
        <v>43725</v>
      </c>
      <c r="B1528" s="18">
        <f t="shared" si="46"/>
        <v>2019</v>
      </c>
      <c r="C1528" s="18">
        <f t="shared" si="47"/>
        <v>9</v>
      </c>
      <c r="D1528" s="3" t="s">
        <v>63</v>
      </c>
      <c r="E1528" s="3" t="s">
        <v>1581</v>
      </c>
      <c r="F1528" s="3" t="s">
        <v>11</v>
      </c>
      <c r="G1528" s="3" t="s">
        <v>51</v>
      </c>
      <c r="H1528" s="3" t="s">
        <v>1582</v>
      </c>
      <c r="I1528" s="11">
        <v>109.48</v>
      </c>
      <c r="J1528" s="18">
        <v>2</v>
      </c>
      <c r="K1528" s="12">
        <v>33.938800000000001</v>
      </c>
    </row>
    <row r="1529" spans="1:11" x14ac:dyDescent="0.25">
      <c r="A1529" s="4">
        <v>43725</v>
      </c>
      <c r="B1529" s="19">
        <f t="shared" si="46"/>
        <v>2019</v>
      </c>
      <c r="C1529" s="19">
        <f t="shared" si="47"/>
        <v>9</v>
      </c>
      <c r="D1529" s="5" t="s">
        <v>360</v>
      </c>
      <c r="E1529" s="5" t="s">
        <v>70</v>
      </c>
      <c r="F1529" s="5" t="s">
        <v>11</v>
      </c>
      <c r="G1529" s="5" t="s">
        <v>112</v>
      </c>
      <c r="H1529" s="5" t="s">
        <v>1583</v>
      </c>
      <c r="I1529" s="13">
        <v>113.88800000000001</v>
      </c>
      <c r="J1529" s="19">
        <v>2</v>
      </c>
      <c r="K1529" s="14">
        <v>9.9651999999999994</v>
      </c>
    </row>
    <row r="1530" spans="1:11" x14ac:dyDescent="0.25">
      <c r="A1530" s="2">
        <v>43725</v>
      </c>
      <c r="B1530" s="18">
        <f t="shared" si="46"/>
        <v>2019</v>
      </c>
      <c r="C1530" s="18">
        <f t="shared" si="47"/>
        <v>9</v>
      </c>
      <c r="D1530" s="3" t="s">
        <v>360</v>
      </c>
      <c r="E1530" s="3" t="s">
        <v>70</v>
      </c>
      <c r="F1530" s="3" t="s">
        <v>14</v>
      </c>
      <c r="G1530" s="3" t="s">
        <v>15</v>
      </c>
      <c r="H1530" s="3" t="s">
        <v>1584</v>
      </c>
      <c r="I1530" s="11">
        <v>105.584</v>
      </c>
      <c r="J1530" s="18">
        <v>2</v>
      </c>
      <c r="K1530" s="12">
        <v>7.9188000000000001</v>
      </c>
    </row>
    <row r="1531" spans="1:11" x14ac:dyDescent="0.25">
      <c r="A1531" s="4">
        <v>43725</v>
      </c>
      <c r="B1531" s="19">
        <f t="shared" si="46"/>
        <v>2019</v>
      </c>
      <c r="C1531" s="19">
        <f t="shared" si="47"/>
        <v>9</v>
      </c>
      <c r="D1531" s="5" t="s">
        <v>862</v>
      </c>
      <c r="E1531" s="5" t="s">
        <v>94</v>
      </c>
      <c r="F1531" s="5" t="s">
        <v>19</v>
      </c>
      <c r="G1531" s="5" t="s">
        <v>32</v>
      </c>
      <c r="H1531" s="5" t="s">
        <v>42</v>
      </c>
      <c r="I1531" s="13">
        <v>232.4</v>
      </c>
      <c r="J1531" s="19">
        <v>5</v>
      </c>
      <c r="K1531" s="14">
        <v>78.435000000000002</v>
      </c>
    </row>
    <row r="1532" spans="1:11" x14ac:dyDescent="0.25">
      <c r="A1532" s="2">
        <v>43725</v>
      </c>
      <c r="B1532" s="18">
        <f t="shared" si="46"/>
        <v>2019</v>
      </c>
      <c r="C1532" s="18">
        <f t="shared" si="47"/>
        <v>9</v>
      </c>
      <c r="D1532" s="3" t="s">
        <v>1585</v>
      </c>
      <c r="E1532" s="3" t="s">
        <v>317</v>
      </c>
      <c r="F1532" s="3" t="s">
        <v>19</v>
      </c>
      <c r="G1532" s="3" t="s">
        <v>40</v>
      </c>
      <c r="H1532" s="3" t="s">
        <v>1586</v>
      </c>
      <c r="I1532" s="11">
        <v>33.4</v>
      </c>
      <c r="J1532" s="18">
        <v>5</v>
      </c>
      <c r="K1532" s="12">
        <v>12.358000000000001</v>
      </c>
    </row>
    <row r="1533" spans="1:11" x14ac:dyDescent="0.25">
      <c r="A1533" s="4">
        <v>43725</v>
      </c>
      <c r="B1533" s="19">
        <f t="shared" si="46"/>
        <v>2019</v>
      </c>
      <c r="C1533" s="19">
        <f t="shared" si="47"/>
        <v>9</v>
      </c>
      <c r="D1533" s="5" t="s">
        <v>1587</v>
      </c>
      <c r="E1533" s="5" t="s">
        <v>370</v>
      </c>
      <c r="F1533" s="5" t="s">
        <v>11</v>
      </c>
      <c r="G1533" s="5" t="s">
        <v>51</v>
      </c>
      <c r="H1533" s="5" t="s">
        <v>584</v>
      </c>
      <c r="I1533" s="13">
        <v>14.82</v>
      </c>
      <c r="J1533" s="19">
        <v>3</v>
      </c>
      <c r="K1533" s="14">
        <v>6.2244000000000002</v>
      </c>
    </row>
    <row r="1534" spans="1:11" x14ac:dyDescent="0.25">
      <c r="A1534" s="2">
        <v>43725</v>
      </c>
      <c r="B1534" s="18">
        <f t="shared" si="46"/>
        <v>2019</v>
      </c>
      <c r="C1534" s="18">
        <f t="shared" si="47"/>
        <v>9</v>
      </c>
      <c r="D1534" s="3" t="s">
        <v>1587</v>
      </c>
      <c r="E1534" s="3" t="s">
        <v>370</v>
      </c>
      <c r="F1534" s="3" t="s">
        <v>11</v>
      </c>
      <c r="G1534" s="3" t="s">
        <v>51</v>
      </c>
      <c r="H1534" s="3" t="s">
        <v>411</v>
      </c>
      <c r="I1534" s="11">
        <v>191.82</v>
      </c>
      <c r="J1534" s="18">
        <v>3</v>
      </c>
      <c r="K1534" s="12">
        <v>61.382399999999997</v>
      </c>
    </row>
    <row r="1535" spans="1:11" x14ac:dyDescent="0.25">
      <c r="A1535" s="4">
        <v>43725</v>
      </c>
      <c r="B1535" s="19">
        <f t="shared" si="46"/>
        <v>2019</v>
      </c>
      <c r="C1535" s="19">
        <f t="shared" si="47"/>
        <v>9</v>
      </c>
      <c r="D1535" s="5" t="s">
        <v>1535</v>
      </c>
      <c r="E1535" s="5" t="s">
        <v>67</v>
      </c>
      <c r="F1535" s="5" t="s">
        <v>19</v>
      </c>
      <c r="G1535" s="5" t="s">
        <v>20</v>
      </c>
      <c r="H1535" s="5" t="s">
        <v>1588</v>
      </c>
      <c r="I1535" s="13">
        <v>295.39999999999998</v>
      </c>
      <c r="J1535" s="19">
        <v>5</v>
      </c>
      <c r="K1535" s="14">
        <v>-62.772500000000001</v>
      </c>
    </row>
    <row r="1536" spans="1:11" x14ac:dyDescent="0.25">
      <c r="A1536" s="2">
        <v>43725</v>
      </c>
      <c r="B1536" s="18">
        <f t="shared" si="46"/>
        <v>2019</v>
      </c>
      <c r="C1536" s="18">
        <f t="shared" si="47"/>
        <v>9</v>
      </c>
      <c r="D1536" s="3" t="s">
        <v>103</v>
      </c>
      <c r="E1536" s="3" t="s">
        <v>70</v>
      </c>
      <c r="F1536" s="3" t="s">
        <v>19</v>
      </c>
      <c r="G1536" s="3" t="s">
        <v>127</v>
      </c>
      <c r="H1536" s="3" t="s">
        <v>857</v>
      </c>
      <c r="I1536" s="11">
        <v>12.32</v>
      </c>
      <c r="J1536" s="18">
        <v>4</v>
      </c>
      <c r="K1536" s="12">
        <v>5.9135999999999997</v>
      </c>
    </row>
    <row r="1537" spans="1:11" x14ac:dyDescent="0.25">
      <c r="A1537" s="4">
        <v>43726</v>
      </c>
      <c r="B1537" s="19">
        <f t="shared" si="46"/>
        <v>2019</v>
      </c>
      <c r="C1537" s="19">
        <f t="shared" si="47"/>
        <v>9</v>
      </c>
      <c r="D1537" s="5" t="s">
        <v>1589</v>
      </c>
      <c r="E1537" s="5" t="s">
        <v>94</v>
      </c>
      <c r="F1537" s="5" t="s">
        <v>19</v>
      </c>
      <c r="G1537" s="5" t="s">
        <v>32</v>
      </c>
      <c r="H1537" s="5" t="s">
        <v>1590</v>
      </c>
      <c r="I1537" s="13">
        <v>4.6159999999999997</v>
      </c>
      <c r="J1537" s="19">
        <v>1</v>
      </c>
      <c r="K1537" s="14">
        <v>1.7310000000000001</v>
      </c>
    </row>
    <row r="1538" spans="1:11" x14ac:dyDescent="0.25">
      <c r="A1538" s="2">
        <v>43726</v>
      </c>
      <c r="B1538" s="18">
        <f t="shared" ref="B1538:B1601" si="48">YEAR(A1538)</f>
        <v>2019</v>
      </c>
      <c r="C1538" s="18">
        <f t="shared" ref="C1538:C1601" si="49">MONTH(A1538)</f>
        <v>9</v>
      </c>
      <c r="D1538" s="3" t="s">
        <v>726</v>
      </c>
      <c r="E1538" s="3" t="s">
        <v>44</v>
      </c>
      <c r="F1538" s="3" t="s">
        <v>11</v>
      </c>
      <c r="G1538" s="3" t="s">
        <v>30</v>
      </c>
      <c r="H1538" s="3" t="s">
        <v>150</v>
      </c>
      <c r="I1538" s="11">
        <v>383.43799999999999</v>
      </c>
      <c r="J1538" s="18">
        <v>4</v>
      </c>
      <c r="K1538" s="12">
        <v>-167.3184</v>
      </c>
    </row>
    <row r="1539" spans="1:11" x14ac:dyDescent="0.25">
      <c r="A1539" s="4">
        <v>43726</v>
      </c>
      <c r="B1539" s="19">
        <f t="shared" si="48"/>
        <v>2019</v>
      </c>
      <c r="C1539" s="19">
        <f t="shared" si="49"/>
        <v>9</v>
      </c>
      <c r="D1539" s="5" t="s">
        <v>1591</v>
      </c>
      <c r="E1539" s="5" t="s">
        <v>898</v>
      </c>
      <c r="F1539" s="5" t="s">
        <v>11</v>
      </c>
      <c r="G1539" s="5" t="s">
        <v>112</v>
      </c>
      <c r="H1539" s="5" t="s">
        <v>1592</v>
      </c>
      <c r="I1539" s="13">
        <v>350.98</v>
      </c>
      <c r="J1539" s="19">
        <v>1</v>
      </c>
      <c r="K1539" s="14">
        <v>84.235200000000006</v>
      </c>
    </row>
    <row r="1540" spans="1:11" x14ac:dyDescent="0.25">
      <c r="A1540" s="2">
        <v>43726</v>
      </c>
      <c r="B1540" s="18">
        <f t="shared" si="48"/>
        <v>2019</v>
      </c>
      <c r="C1540" s="18">
        <f t="shared" si="49"/>
        <v>9</v>
      </c>
      <c r="D1540" s="3" t="s">
        <v>1591</v>
      </c>
      <c r="E1540" s="3" t="s">
        <v>898</v>
      </c>
      <c r="F1540" s="3" t="s">
        <v>19</v>
      </c>
      <c r="G1540" s="3" t="s">
        <v>53</v>
      </c>
      <c r="H1540" s="3" t="s">
        <v>755</v>
      </c>
      <c r="I1540" s="11">
        <v>13.08</v>
      </c>
      <c r="J1540" s="18">
        <v>2</v>
      </c>
      <c r="K1540" s="12">
        <v>6.0167999999999999</v>
      </c>
    </row>
    <row r="1541" spans="1:11" x14ac:dyDescent="0.25">
      <c r="A1541" s="4">
        <v>43726</v>
      </c>
      <c r="B1541" s="19">
        <f t="shared" si="48"/>
        <v>2019</v>
      </c>
      <c r="C1541" s="19">
        <f t="shared" si="49"/>
        <v>9</v>
      </c>
      <c r="D1541" s="5" t="s">
        <v>1591</v>
      </c>
      <c r="E1541" s="5" t="s">
        <v>898</v>
      </c>
      <c r="F1541" s="5" t="s">
        <v>19</v>
      </c>
      <c r="G1541" s="5" t="s">
        <v>20</v>
      </c>
      <c r="H1541" s="5" t="s">
        <v>236</v>
      </c>
      <c r="I1541" s="13">
        <v>900.08</v>
      </c>
      <c r="J1541" s="19">
        <v>4</v>
      </c>
      <c r="K1541" s="14">
        <v>117.0104</v>
      </c>
    </row>
    <row r="1542" spans="1:11" x14ac:dyDescent="0.25">
      <c r="A1542" s="2">
        <v>43726</v>
      </c>
      <c r="B1542" s="18">
        <f t="shared" si="48"/>
        <v>2019</v>
      </c>
      <c r="C1542" s="18">
        <f t="shared" si="49"/>
        <v>9</v>
      </c>
      <c r="D1542" s="3" t="s">
        <v>1026</v>
      </c>
      <c r="E1542" s="3" t="s">
        <v>67</v>
      </c>
      <c r="F1542" s="3" t="s">
        <v>11</v>
      </c>
      <c r="G1542" s="3" t="s">
        <v>51</v>
      </c>
      <c r="H1542" s="3" t="s">
        <v>119</v>
      </c>
      <c r="I1542" s="11">
        <v>5.3520000000000003</v>
      </c>
      <c r="J1542" s="18">
        <v>3</v>
      </c>
      <c r="K1542" s="12">
        <v>1.6055999999999999</v>
      </c>
    </row>
    <row r="1543" spans="1:11" x14ac:dyDescent="0.25">
      <c r="A1543" s="4">
        <v>43726</v>
      </c>
      <c r="B1543" s="19">
        <f t="shared" si="48"/>
        <v>2019</v>
      </c>
      <c r="C1543" s="19">
        <f t="shared" si="49"/>
        <v>9</v>
      </c>
      <c r="D1543" s="5" t="s">
        <v>1026</v>
      </c>
      <c r="E1543" s="5" t="s">
        <v>67</v>
      </c>
      <c r="F1543" s="5" t="s">
        <v>11</v>
      </c>
      <c r="G1543" s="5" t="s">
        <v>112</v>
      </c>
      <c r="H1543" s="5" t="s">
        <v>372</v>
      </c>
      <c r="I1543" s="13">
        <v>99.372</v>
      </c>
      <c r="J1543" s="19">
        <v>2</v>
      </c>
      <c r="K1543" s="14">
        <v>-7.0979999999999999</v>
      </c>
    </row>
    <row r="1544" spans="1:11" x14ac:dyDescent="0.25">
      <c r="A1544" s="2">
        <v>43726</v>
      </c>
      <c r="B1544" s="18">
        <f t="shared" si="48"/>
        <v>2019</v>
      </c>
      <c r="C1544" s="18">
        <f t="shared" si="49"/>
        <v>9</v>
      </c>
      <c r="D1544" s="3" t="s">
        <v>1026</v>
      </c>
      <c r="E1544" s="3" t="s">
        <v>67</v>
      </c>
      <c r="F1544" s="3" t="s">
        <v>19</v>
      </c>
      <c r="G1544" s="3" t="s">
        <v>40</v>
      </c>
      <c r="H1544" s="3" t="s">
        <v>1593</v>
      </c>
      <c r="I1544" s="11">
        <v>2.6720000000000002</v>
      </c>
      <c r="J1544" s="18">
        <v>1</v>
      </c>
      <c r="K1544" s="12">
        <v>0.3674</v>
      </c>
    </row>
    <row r="1545" spans="1:11" x14ac:dyDescent="0.25">
      <c r="A1545" s="4">
        <v>43726</v>
      </c>
      <c r="B1545" s="19">
        <f t="shared" si="48"/>
        <v>2019</v>
      </c>
      <c r="C1545" s="19">
        <f t="shared" si="49"/>
        <v>9</v>
      </c>
      <c r="D1545" s="5" t="s">
        <v>1594</v>
      </c>
      <c r="E1545" s="5" t="s">
        <v>94</v>
      </c>
      <c r="F1545" s="5" t="s">
        <v>11</v>
      </c>
      <c r="G1545" s="5" t="s">
        <v>112</v>
      </c>
      <c r="H1545" s="5" t="s">
        <v>1595</v>
      </c>
      <c r="I1545" s="13">
        <v>631.78200000000004</v>
      </c>
      <c r="J1545" s="19">
        <v>2</v>
      </c>
      <c r="K1545" s="14">
        <v>140.39599999999999</v>
      </c>
    </row>
    <row r="1546" spans="1:11" x14ac:dyDescent="0.25">
      <c r="A1546" s="2">
        <v>43726</v>
      </c>
      <c r="B1546" s="18">
        <f t="shared" si="48"/>
        <v>2019</v>
      </c>
      <c r="C1546" s="18">
        <f t="shared" si="49"/>
        <v>9</v>
      </c>
      <c r="D1546" s="3" t="s">
        <v>1594</v>
      </c>
      <c r="E1546" s="3" t="s">
        <v>94</v>
      </c>
      <c r="F1546" s="3" t="s">
        <v>11</v>
      </c>
      <c r="G1546" s="3" t="s">
        <v>51</v>
      </c>
      <c r="H1546" s="3" t="s">
        <v>297</v>
      </c>
      <c r="I1546" s="11">
        <v>60.72</v>
      </c>
      <c r="J1546" s="18">
        <v>3</v>
      </c>
      <c r="K1546" s="12">
        <v>26.1096</v>
      </c>
    </row>
    <row r="1547" spans="1:11" x14ac:dyDescent="0.25">
      <c r="A1547" s="4">
        <v>43726</v>
      </c>
      <c r="B1547" s="19">
        <f t="shared" si="48"/>
        <v>2019</v>
      </c>
      <c r="C1547" s="19">
        <f t="shared" si="49"/>
        <v>9</v>
      </c>
      <c r="D1547" s="5" t="s">
        <v>1451</v>
      </c>
      <c r="E1547" s="5" t="s">
        <v>44</v>
      </c>
      <c r="F1547" s="5" t="s">
        <v>19</v>
      </c>
      <c r="G1547" s="5" t="s">
        <v>127</v>
      </c>
      <c r="H1547" s="5" t="s">
        <v>1596</v>
      </c>
      <c r="I1547" s="13">
        <v>3</v>
      </c>
      <c r="J1547" s="19">
        <v>1</v>
      </c>
      <c r="K1547" s="14">
        <v>1.05</v>
      </c>
    </row>
    <row r="1548" spans="1:11" x14ac:dyDescent="0.25">
      <c r="A1548" s="2">
        <v>43726</v>
      </c>
      <c r="B1548" s="18">
        <f t="shared" si="48"/>
        <v>2019</v>
      </c>
      <c r="C1548" s="18">
        <f t="shared" si="49"/>
        <v>9</v>
      </c>
      <c r="D1548" s="3" t="s">
        <v>1597</v>
      </c>
      <c r="E1548" s="3" t="s">
        <v>18</v>
      </c>
      <c r="F1548" s="3" t="s">
        <v>11</v>
      </c>
      <c r="G1548" s="3" t="s">
        <v>112</v>
      </c>
      <c r="H1548" s="3" t="s">
        <v>948</v>
      </c>
      <c r="I1548" s="11">
        <v>801.56799999999998</v>
      </c>
      <c r="J1548" s="18">
        <v>2</v>
      </c>
      <c r="K1548" s="12">
        <v>50.097999999999999</v>
      </c>
    </row>
    <row r="1549" spans="1:11" x14ac:dyDescent="0.25">
      <c r="A1549" s="4">
        <v>43726</v>
      </c>
      <c r="B1549" s="19">
        <f t="shared" si="48"/>
        <v>2019</v>
      </c>
      <c r="C1549" s="19">
        <f t="shared" si="49"/>
        <v>9</v>
      </c>
      <c r="D1549" s="5" t="s">
        <v>1597</v>
      </c>
      <c r="E1549" s="5" t="s">
        <v>18</v>
      </c>
      <c r="F1549" s="5" t="s">
        <v>19</v>
      </c>
      <c r="G1549" s="5" t="s">
        <v>53</v>
      </c>
      <c r="H1549" s="5" t="s">
        <v>610</v>
      </c>
      <c r="I1549" s="13">
        <v>368.91</v>
      </c>
      <c r="J1549" s="19">
        <v>9</v>
      </c>
      <c r="K1549" s="14">
        <v>180.76589999999999</v>
      </c>
    </row>
    <row r="1550" spans="1:11" x14ac:dyDescent="0.25">
      <c r="A1550" s="2">
        <v>43726</v>
      </c>
      <c r="B1550" s="18">
        <f t="shared" si="48"/>
        <v>2019</v>
      </c>
      <c r="C1550" s="18">
        <f t="shared" si="49"/>
        <v>9</v>
      </c>
      <c r="D1550" s="3" t="s">
        <v>1597</v>
      </c>
      <c r="E1550" s="3" t="s">
        <v>18</v>
      </c>
      <c r="F1550" s="3" t="s">
        <v>11</v>
      </c>
      <c r="G1550" s="3" t="s">
        <v>112</v>
      </c>
      <c r="H1550" s="3" t="s">
        <v>432</v>
      </c>
      <c r="I1550" s="11">
        <v>885.52800000000002</v>
      </c>
      <c r="J1550" s="18">
        <v>9</v>
      </c>
      <c r="K1550" s="12">
        <v>-99.621899999999997</v>
      </c>
    </row>
    <row r="1551" spans="1:11" x14ac:dyDescent="0.25">
      <c r="A1551" s="4">
        <v>43726</v>
      </c>
      <c r="B1551" s="19">
        <f t="shared" si="48"/>
        <v>2019</v>
      </c>
      <c r="C1551" s="19">
        <f t="shared" si="49"/>
        <v>9</v>
      </c>
      <c r="D1551" s="5" t="s">
        <v>632</v>
      </c>
      <c r="E1551" s="5" t="s">
        <v>18</v>
      </c>
      <c r="F1551" s="5" t="s">
        <v>14</v>
      </c>
      <c r="G1551" s="5" t="s">
        <v>15</v>
      </c>
      <c r="H1551" s="5" t="s">
        <v>1139</v>
      </c>
      <c r="I1551" s="13">
        <v>239.98400000000001</v>
      </c>
      <c r="J1551" s="19">
        <v>2</v>
      </c>
      <c r="K1551" s="14">
        <v>23.9984</v>
      </c>
    </row>
    <row r="1552" spans="1:11" x14ac:dyDescent="0.25">
      <c r="A1552" s="2">
        <v>43727</v>
      </c>
      <c r="B1552" s="18">
        <f t="shared" si="48"/>
        <v>2019</v>
      </c>
      <c r="C1552" s="18">
        <f t="shared" si="49"/>
        <v>9</v>
      </c>
      <c r="D1552" s="3" t="s">
        <v>581</v>
      </c>
      <c r="E1552" s="3" t="s">
        <v>164</v>
      </c>
      <c r="F1552" s="3" t="s">
        <v>11</v>
      </c>
      <c r="G1552" s="3" t="s">
        <v>112</v>
      </c>
      <c r="H1552" s="3" t="s">
        <v>948</v>
      </c>
      <c r="I1552" s="11">
        <v>701.37199999999996</v>
      </c>
      <c r="J1552" s="18">
        <v>2</v>
      </c>
      <c r="K1552" s="12">
        <v>-50.097999999999999</v>
      </c>
    </row>
    <row r="1553" spans="1:11" x14ac:dyDescent="0.25">
      <c r="A1553" s="4">
        <v>43727</v>
      </c>
      <c r="B1553" s="19">
        <f t="shared" si="48"/>
        <v>2019</v>
      </c>
      <c r="C1553" s="19">
        <f t="shared" si="49"/>
        <v>9</v>
      </c>
      <c r="D1553" s="5" t="s">
        <v>581</v>
      </c>
      <c r="E1553" s="5" t="s">
        <v>164</v>
      </c>
      <c r="F1553" s="5" t="s">
        <v>19</v>
      </c>
      <c r="G1553" s="5" t="s">
        <v>32</v>
      </c>
      <c r="H1553" s="5" t="s">
        <v>1590</v>
      </c>
      <c r="I1553" s="13">
        <v>2.3079999999999998</v>
      </c>
      <c r="J1553" s="19">
        <v>2</v>
      </c>
      <c r="K1553" s="14">
        <v>-3.4620000000000002</v>
      </c>
    </row>
    <row r="1554" spans="1:11" x14ac:dyDescent="0.25">
      <c r="A1554" s="2">
        <v>43727</v>
      </c>
      <c r="B1554" s="18">
        <f t="shared" si="48"/>
        <v>2019</v>
      </c>
      <c r="C1554" s="18">
        <f t="shared" si="49"/>
        <v>9</v>
      </c>
      <c r="D1554" s="3" t="s">
        <v>382</v>
      </c>
      <c r="E1554" s="3" t="s">
        <v>883</v>
      </c>
      <c r="F1554" s="3" t="s">
        <v>19</v>
      </c>
      <c r="G1554" s="3" t="s">
        <v>20</v>
      </c>
      <c r="H1554" s="3" t="s">
        <v>818</v>
      </c>
      <c r="I1554" s="11">
        <v>1606.23</v>
      </c>
      <c r="J1554" s="18">
        <v>9</v>
      </c>
      <c r="K1554" s="12">
        <v>481.86900000000003</v>
      </c>
    </row>
    <row r="1555" spans="1:11" x14ac:dyDescent="0.25">
      <c r="A1555" s="4">
        <v>43727</v>
      </c>
      <c r="B1555" s="19">
        <f t="shared" si="48"/>
        <v>2019</v>
      </c>
      <c r="C1555" s="19">
        <f t="shared" si="49"/>
        <v>9</v>
      </c>
      <c r="D1555" s="5" t="s">
        <v>382</v>
      </c>
      <c r="E1555" s="5" t="s">
        <v>883</v>
      </c>
      <c r="F1555" s="5" t="s">
        <v>19</v>
      </c>
      <c r="G1555" s="5" t="s">
        <v>53</v>
      </c>
      <c r="H1555" s="5" t="s">
        <v>675</v>
      </c>
      <c r="I1555" s="13">
        <v>17.04</v>
      </c>
      <c r="J1555" s="19">
        <v>3</v>
      </c>
      <c r="K1555" s="14">
        <v>7.6680000000000001</v>
      </c>
    </row>
    <row r="1556" spans="1:11" x14ac:dyDescent="0.25">
      <c r="A1556" s="2">
        <v>43727</v>
      </c>
      <c r="B1556" s="18">
        <f t="shared" si="48"/>
        <v>2019</v>
      </c>
      <c r="C1556" s="18">
        <f t="shared" si="49"/>
        <v>9</v>
      </c>
      <c r="D1556" s="3" t="s">
        <v>382</v>
      </c>
      <c r="E1556" s="3" t="s">
        <v>883</v>
      </c>
      <c r="F1556" s="3" t="s">
        <v>19</v>
      </c>
      <c r="G1556" s="3" t="s">
        <v>32</v>
      </c>
      <c r="H1556" s="3" t="s">
        <v>613</v>
      </c>
      <c r="I1556" s="11">
        <v>49.53</v>
      </c>
      <c r="J1556" s="18">
        <v>3</v>
      </c>
      <c r="K1556" s="12">
        <v>23.7744</v>
      </c>
    </row>
    <row r="1557" spans="1:11" x14ac:dyDescent="0.25">
      <c r="A1557" s="4">
        <v>43727</v>
      </c>
      <c r="B1557" s="19">
        <f t="shared" si="48"/>
        <v>2019</v>
      </c>
      <c r="C1557" s="19">
        <f t="shared" si="49"/>
        <v>9</v>
      </c>
      <c r="D1557" s="5" t="s">
        <v>382</v>
      </c>
      <c r="E1557" s="5" t="s">
        <v>883</v>
      </c>
      <c r="F1557" s="5" t="s">
        <v>11</v>
      </c>
      <c r="G1557" s="5" t="s">
        <v>112</v>
      </c>
      <c r="H1557" s="5" t="s">
        <v>1598</v>
      </c>
      <c r="I1557" s="13">
        <v>872.32</v>
      </c>
      <c r="J1557" s="19">
        <v>4</v>
      </c>
      <c r="K1557" s="14">
        <v>244.24959999999999</v>
      </c>
    </row>
    <row r="1558" spans="1:11" x14ac:dyDescent="0.25">
      <c r="A1558" s="2">
        <v>43727</v>
      </c>
      <c r="B1558" s="18">
        <f t="shared" si="48"/>
        <v>2019</v>
      </c>
      <c r="C1558" s="18">
        <f t="shared" si="49"/>
        <v>9</v>
      </c>
      <c r="D1558" s="3" t="s">
        <v>401</v>
      </c>
      <c r="E1558" s="3" t="s">
        <v>18</v>
      </c>
      <c r="F1558" s="3" t="s">
        <v>19</v>
      </c>
      <c r="G1558" s="3" t="s">
        <v>53</v>
      </c>
      <c r="H1558" s="3" t="s">
        <v>1496</v>
      </c>
      <c r="I1558" s="11">
        <v>159.88</v>
      </c>
      <c r="J1558" s="18">
        <v>7</v>
      </c>
      <c r="K1558" s="12">
        <v>73.544799999999995</v>
      </c>
    </row>
    <row r="1559" spans="1:11" x14ac:dyDescent="0.25">
      <c r="A1559" s="4">
        <v>43727</v>
      </c>
      <c r="B1559" s="19">
        <f t="shared" si="48"/>
        <v>2019</v>
      </c>
      <c r="C1559" s="19">
        <f t="shared" si="49"/>
        <v>9</v>
      </c>
      <c r="D1559" s="5" t="s">
        <v>1599</v>
      </c>
      <c r="E1559" s="5" t="s">
        <v>85</v>
      </c>
      <c r="F1559" s="5" t="s">
        <v>19</v>
      </c>
      <c r="G1559" s="5" t="s">
        <v>32</v>
      </c>
      <c r="H1559" s="5" t="s">
        <v>1600</v>
      </c>
      <c r="I1559" s="13">
        <v>25.44</v>
      </c>
      <c r="J1559" s="19">
        <v>6</v>
      </c>
      <c r="K1559" s="14">
        <v>12.72</v>
      </c>
    </row>
    <row r="1560" spans="1:11" x14ac:dyDescent="0.25">
      <c r="A1560" s="2">
        <v>43727</v>
      </c>
      <c r="B1560" s="18">
        <f t="shared" si="48"/>
        <v>2019</v>
      </c>
      <c r="C1560" s="18">
        <f t="shared" si="49"/>
        <v>9</v>
      </c>
      <c r="D1560" s="3" t="s">
        <v>1599</v>
      </c>
      <c r="E1560" s="3" t="s">
        <v>85</v>
      </c>
      <c r="F1560" s="3" t="s">
        <v>19</v>
      </c>
      <c r="G1560" s="3" t="s">
        <v>265</v>
      </c>
      <c r="H1560" s="3" t="s">
        <v>860</v>
      </c>
      <c r="I1560" s="11">
        <v>27.93</v>
      </c>
      <c r="J1560" s="18">
        <v>3</v>
      </c>
      <c r="K1560" s="12">
        <v>8.0997000000000003</v>
      </c>
    </row>
    <row r="1561" spans="1:11" x14ac:dyDescent="0.25">
      <c r="A1561" s="4">
        <v>43727</v>
      </c>
      <c r="B1561" s="19">
        <f t="shared" si="48"/>
        <v>2019</v>
      </c>
      <c r="C1561" s="19">
        <f t="shared" si="49"/>
        <v>9</v>
      </c>
      <c r="D1561" s="5" t="s">
        <v>1203</v>
      </c>
      <c r="E1561" s="5" t="s">
        <v>109</v>
      </c>
      <c r="F1561" s="5" t="s">
        <v>19</v>
      </c>
      <c r="G1561" s="5" t="s">
        <v>265</v>
      </c>
      <c r="H1561" s="5" t="s">
        <v>1601</v>
      </c>
      <c r="I1561" s="13">
        <v>5.04</v>
      </c>
      <c r="J1561" s="19">
        <v>2</v>
      </c>
      <c r="K1561" s="14">
        <v>0.1512</v>
      </c>
    </row>
    <row r="1562" spans="1:11" x14ac:dyDescent="0.25">
      <c r="A1562" s="2">
        <v>43727</v>
      </c>
      <c r="B1562" s="18">
        <f t="shared" si="48"/>
        <v>2019</v>
      </c>
      <c r="C1562" s="18">
        <f t="shared" si="49"/>
        <v>9</v>
      </c>
      <c r="D1562" s="3" t="s">
        <v>1203</v>
      </c>
      <c r="E1562" s="3" t="s">
        <v>109</v>
      </c>
      <c r="F1562" s="3" t="s">
        <v>14</v>
      </c>
      <c r="G1562" s="3" t="s">
        <v>24</v>
      </c>
      <c r="H1562" s="3" t="s">
        <v>139</v>
      </c>
      <c r="I1562" s="11">
        <v>249.95</v>
      </c>
      <c r="J1562" s="18">
        <v>5</v>
      </c>
      <c r="K1562" s="12">
        <v>107.4785</v>
      </c>
    </row>
    <row r="1563" spans="1:11" x14ac:dyDescent="0.25">
      <c r="A1563" s="4">
        <v>43727</v>
      </c>
      <c r="B1563" s="19">
        <f t="shared" si="48"/>
        <v>2019</v>
      </c>
      <c r="C1563" s="19">
        <f t="shared" si="49"/>
        <v>9</v>
      </c>
      <c r="D1563" s="5" t="s">
        <v>897</v>
      </c>
      <c r="E1563" s="5" t="s">
        <v>39</v>
      </c>
      <c r="F1563" s="5" t="s">
        <v>11</v>
      </c>
      <c r="G1563" s="5" t="s">
        <v>51</v>
      </c>
      <c r="H1563" s="5" t="s">
        <v>1602</v>
      </c>
      <c r="I1563" s="13">
        <v>25.632000000000001</v>
      </c>
      <c r="J1563" s="19">
        <v>3</v>
      </c>
      <c r="K1563" s="14">
        <v>3.8448000000000002</v>
      </c>
    </row>
    <row r="1564" spans="1:11" x14ac:dyDescent="0.25">
      <c r="A1564" s="2">
        <v>43727</v>
      </c>
      <c r="B1564" s="18">
        <f t="shared" si="48"/>
        <v>2019</v>
      </c>
      <c r="C1564" s="18">
        <f t="shared" si="49"/>
        <v>9</v>
      </c>
      <c r="D1564" s="3" t="s">
        <v>103</v>
      </c>
      <c r="E1564" s="3" t="s">
        <v>18</v>
      </c>
      <c r="F1564" s="3" t="s">
        <v>19</v>
      </c>
      <c r="G1564" s="3" t="s">
        <v>32</v>
      </c>
      <c r="H1564" s="3" t="s">
        <v>719</v>
      </c>
      <c r="I1564" s="11">
        <v>11.952</v>
      </c>
      <c r="J1564" s="18">
        <v>3</v>
      </c>
      <c r="K1564" s="12">
        <v>4.1832000000000003</v>
      </c>
    </row>
    <row r="1565" spans="1:11" x14ac:dyDescent="0.25">
      <c r="A1565" s="4">
        <v>43727</v>
      </c>
      <c r="B1565" s="19">
        <f t="shared" si="48"/>
        <v>2019</v>
      </c>
      <c r="C1565" s="19">
        <f t="shared" si="49"/>
        <v>9</v>
      </c>
      <c r="D1565" s="5" t="s">
        <v>103</v>
      </c>
      <c r="E1565" s="5" t="s">
        <v>18</v>
      </c>
      <c r="F1565" s="5" t="s">
        <v>19</v>
      </c>
      <c r="G1565" s="5" t="s">
        <v>265</v>
      </c>
      <c r="H1565" s="5" t="s">
        <v>1603</v>
      </c>
      <c r="I1565" s="13">
        <v>6.24</v>
      </c>
      <c r="J1565" s="19">
        <v>3</v>
      </c>
      <c r="K1565" s="14">
        <v>1.8720000000000001</v>
      </c>
    </row>
    <row r="1566" spans="1:11" x14ac:dyDescent="0.25">
      <c r="A1566" s="2">
        <v>43727</v>
      </c>
      <c r="B1566" s="18">
        <f t="shared" si="48"/>
        <v>2019</v>
      </c>
      <c r="C1566" s="18">
        <f t="shared" si="49"/>
        <v>9</v>
      </c>
      <c r="D1566" s="3" t="s">
        <v>395</v>
      </c>
      <c r="E1566" s="3" t="s">
        <v>883</v>
      </c>
      <c r="F1566" s="3" t="s">
        <v>19</v>
      </c>
      <c r="G1566" s="3" t="s">
        <v>20</v>
      </c>
      <c r="H1566" s="3" t="s">
        <v>865</v>
      </c>
      <c r="I1566" s="11">
        <v>69.52</v>
      </c>
      <c r="J1566" s="18">
        <v>2</v>
      </c>
      <c r="K1566" s="12">
        <v>17.38</v>
      </c>
    </row>
    <row r="1567" spans="1:11" x14ac:dyDescent="0.25">
      <c r="A1567" s="4">
        <v>43727</v>
      </c>
      <c r="B1567" s="19">
        <f t="shared" si="48"/>
        <v>2019</v>
      </c>
      <c r="C1567" s="19">
        <f t="shared" si="49"/>
        <v>9</v>
      </c>
      <c r="D1567" s="5" t="s">
        <v>1604</v>
      </c>
      <c r="E1567" s="5" t="s">
        <v>18</v>
      </c>
      <c r="F1567" s="5" t="s">
        <v>19</v>
      </c>
      <c r="G1567" s="5" t="s">
        <v>32</v>
      </c>
      <c r="H1567" s="5" t="s">
        <v>274</v>
      </c>
      <c r="I1567" s="13">
        <v>8.9280000000000008</v>
      </c>
      <c r="J1567" s="19">
        <v>2</v>
      </c>
      <c r="K1567" s="14">
        <v>3.1248</v>
      </c>
    </row>
    <row r="1568" spans="1:11" x14ac:dyDescent="0.25">
      <c r="A1568" s="2">
        <v>43728</v>
      </c>
      <c r="B1568" s="18">
        <f t="shared" si="48"/>
        <v>2019</v>
      </c>
      <c r="C1568" s="18">
        <f t="shared" si="49"/>
        <v>9</v>
      </c>
      <c r="D1568" s="3" t="s">
        <v>1605</v>
      </c>
      <c r="E1568" s="3" t="s">
        <v>18</v>
      </c>
      <c r="F1568" s="3" t="s">
        <v>19</v>
      </c>
      <c r="G1568" s="3" t="s">
        <v>53</v>
      </c>
      <c r="H1568" s="3" t="s">
        <v>1231</v>
      </c>
      <c r="I1568" s="11">
        <v>65.790000000000006</v>
      </c>
      <c r="J1568" s="18">
        <v>9</v>
      </c>
      <c r="K1568" s="12">
        <v>30.263400000000001</v>
      </c>
    </row>
    <row r="1569" spans="1:11" x14ac:dyDescent="0.25">
      <c r="A1569" s="4">
        <v>43728</v>
      </c>
      <c r="B1569" s="19">
        <f t="shared" si="48"/>
        <v>2019</v>
      </c>
      <c r="C1569" s="19">
        <f t="shared" si="49"/>
        <v>9</v>
      </c>
      <c r="D1569" s="5" t="s">
        <v>1605</v>
      </c>
      <c r="E1569" s="5" t="s">
        <v>18</v>
      </c>
      <c r="F1569" s="5" t="s">
        <v>19</v>
      </c>
      <c r="G1569" s="5" t="s">
        <v>32</v>
      </c>
      <c r="H1569" s="5" t="s">
        <v>1606</v>
      </c>
      <c r="I1569" s="13">
        <v>271.98399999999998</v>
      </c>
      <c r="J1569" s="19">
        <v>2</v>
      </c>
      <c r="K1569" s="14">
        <v>88.394800000000004</v>
      </c>
    </row>
    <row r="1570" spans="1:11" x14ac:dyDescent="0.25">
      <c r="A1570" s="2">
        <v>43728</v>
      </c>
      <c r="B1570" s="18">
        <f t="shared" si="48"/>
        <v>2019</v>
      </c>
      <c r="C1570" s="18">
        <f t="shared" si="49"/>
        <v>9</v>
      </c>
      <c r="D1570" s="3" t="s">
        <v>1605</v>
      </c>
      <c r="E1570" s="3" t="s">
        <v>18</v>
      </c>
      <c r="F1570" s="3" t="s">
        <v>19</v>
      </c>
      <c r="G1570" s="3" t="s">
        <v>40</v>
      </c>
      <c r="H1570" s="3" t="s">
        <v>961</v>
      </c>
      <c r="I1570" s="11">
        <v>11.76</v>
      </c>
      <c r="J1570" s="18">
        <v>4</v>
      </c>
      <c r="K1570" s="12">
        <v>3.1751999999999998</v>
      </c>
    </row>
    <row r="1571" spans="1:11" x14ac:dyDescent="0.25">
      <c r="A1571" s="4">
        <v>43728</v>
      </c>
      <c r="B1571" s="19">
        <f t="shared" si="48"/>
        <v>2019</v>
      </c>
      <c r="C1571" s="19">
        <f t="shared" si="49"/>
        <v>9</v>
      </c>
      <c r="D1571" s="5" t="s">
        <v>1605</v>
      </c>
      <c r="E1571" s="5" t="s">
        <v>18</v>
      </c>
      <c r="F1571" s="5" t="s">
        <v>19</v>
      </c>
      <c r="G1571" s="5" t="s">
        <v>53</v>
      </c>
      <c r="H1571" s="5" t="s">
        <v>1432</v>
      </c>
      <c r="I1571" s="13">
        <v>77.52</v>
      </c>
      <c r="J1571" s="19">
        <v>2</v>
      </c>
      <c r="K1571" s="14">
        <v>37.9848</v>
      </c>
    </row>
    <row r="1572" spans="1:11" x14ac:dyDescent="0.25">
      <c r="A1572" s="2">
        <v>43728</v>
      </c>
      <c r="B1572" s="18">
        <f t="shared" si="48"/>
        <v>2019</v>
      </c>
      <c r="C1572" s="18">
        <f t="shared" si="49"/>
        <v>9</v>
      </c>
      <c r="D1572" s="3" t="s">
        <v>1605</v>
      </c>
      <c r="E1572" s="3" t="s">
        <v>18</v>
      </c>
      <c r="F1572" s="3" t="s">
        <v>19</v>
      </c>
      <c r="G1572" s="3" t="s">
        <v>32</v>
      </c>
      <c r="H1572" s="3" t="s">
        <v>1607</v>
      </c>
      <c r="I1572" s="11">
        <v>48.64</v>
      </c>
      <c r="J1572" s="18">
        <v>2</v>
      </c>
      <c r="K1572" s="12">
        <v>15.808</v>
      </c>
    </row>
    <row r="1573" spans="1:11" x14ac:dyDescent="0.25">
      <c r="A1573" s="4">
        <v>43728</v>
      </c>
      <c r="B1573" s="19">
        <f t="shared" si="48"/>
        <v>2019</v>
      </c>
      <c r="C1573" s="19">
        <f t="shared" si="49"/>
        <v>9</v>
      </c>
      <c r="D1573" s="5" t="s">
        <v>599</v>
      </c>
      <c r="E1573" s="5" t="s">
        <v>35</v>
      </c>
      <c r="F1573" s="5" t="s">
        <v>11</v>
      </c>
      <c r="G1573" s="5" t="s">
        <v>51</v>
      </c>
      <c r="H1573" s="5" t="s">
        <v>1608</v>
      </c>
      <c r="I1573" s="13">
        <v>17.088000000000001</v>
      </c>
      <c r="J1573" s="19">
        <v>2</v>
      </c>
      <c r="K1573" s="14">
        <v>1.0680000000000001</v>
      </c>
    </row>
    <row r="1574" spans="1:11" x14ac:dyDescent="0.25">
      <c r="A1574" s="2">
        <v>43728</v>
      </c>
      <c r="B1574" s="18">
        <f t="shared" si="48"/>
        <v>2019</v>
      </c>
      <c r="C1574" s="18">
        <f t="shared" si="49"/>
        <v>9</v>
      </c>
      <c r="D1574" s="3" t="s">
        <v>599</v>
      </c>
      <c r="E1574" s="3" t="s">
        <v>35</v>
      </c>
      <c r="F1574" s="3" t="s">
        <v>11</v>
      </c>
      <c r="G1574" s="3" t="s">
        <v>112</v>
      </c>
      <c r="H1574" s="3" t="s">
        <v>432</v>
      </c>
      <c r="I1574" s="11">
        <v>98.391999999999996</v>
      </c>
      <c r="J1574" s="18">
        <v>1</v>
      </c>
      <c r="K1574" s="12">
        <v>-11.069100000000001</v>
      </c>
    </row>
    <row r="1575" spans="1:11" x14ac:dyDescent="0.25">
      <c r="A1575" s="4">
        <v>43728</v>
      </c>
      <c r="B1575" s="19">
        <f t="shared" si="48"/>
        <v>2019</v>
      </c>
      <c r="C1575" s="19">
        <f t="shared" si="49"/>
        <v>9</v>
      </c>
      <c r="D1575" s="5" t="s">
        <v>1609</v>
      </c>
      <c r="E1575" s="5" t="s">
        <v>94</v>
      </c>
      <c r="F1575" s="5" t="s">
        <v>19</v>
      </c>
      <c r="G1575" s="5" t="s">
        <v>121</v>
      </c>
      <c r="H1575" s="5" t="s">
        <v>1314</v>
      </c>
      <c r="I1575" s="13">
        <v>393.25</v>
      </c>
      <c r="J1575" s="19">
        <v>5</v>
      </c>
      <c r="K1575" s="14">
        <v>129.77250000000001</v>
      </c>
    </row>
    <row r="1576" spans="1:11" x14ac:dyDescent="0.25">
      <c r="A1576" s="2">
        <v>43728</v>
      </c>
      <c r="B1576" s="18">
        <f t="shared" si="48"/>
        <v>2019</v>
      </c>
      <c r="C1576" s="18">
        <f t="shared" si="49"/>
        <v>9</v>
      </c>
      <c r="D1576" s="3" t="s">
        <v>983</v>
      </c>
      <c r="E1576" s="3" t="s">
        <v>365</v>
      </c>
      <c r="F1576" s="3" t="s">
        <v>19</v>
      </c>
      <c r="G1576" s="3" t="s">
        <v>32</v>
      </c>
      <c r="H1576" s="3" t="s">
        <v>1610</v>
      </c>
      <c r="I1576" s="11">
        <v>83.7</v>
      </c>
      <c r="J1576" s="18">
        <v>5</v>
      </c>
      <c r="K1576" s="12">
        <v>41.012999999999998</v>
      </c>
    </row>
    <row r="1577" spans="1:11" x14ac:dyDescent="0.25">
      <c r="A1577" s="4">
        <v>43728</v>
      </c>
      <c r="B1577" s="19">
        <f t="shared" si="48"/>
        <v>2019</v>
      </c>
      <c r="C1577" s="19">
        <f t="shared" si="49"/>
        <v>9</v>
      </c>
      <c r="D1577" s="5" t="s">
        <v>1611</v>
      </c>
      <c r="E1577" s="5" t="s">
        <v>70</v>
      </c>
      <c r="F1577" s="5" t="s">
        <v>11</v>
      </c>
      <c r="G1577" s="5" t="s">
        <v>12</v>
      </c>
      <c r="H1577" s="5" t="s">
        <v>1449</v>
      </c>
      <c r="I1577" s="13">
        <v>163.88</v>
      </c>
      <c r="J1577" s="19">
        <v>2</v>
      </c>
      <c r="K1577" s="14">
        <v>40.97</v>
      </c>
    </row>
    <row r="1578" spans="1:11" x14ac:dyDescent="0.25">
      <c r="A1578" s="2">
        <v>43730</v>
      </c>
      <c r="B1578" s="18">
        <f t="shared" si="48"/>
        <v>2019</v>
      </c>
      <c r="C1578" s="18">
        <f t="shared" si="49"/>
        <v>9</v>
      </c>
      <c r="D1578" s="3" t="s">
        <v>887</v>
      </c>
      <c r="E1578" s="3" t="s">
        <v>219</v>
      </c>
      <c r="F1578" s="3" t="s">
        <v>19</v>
      </c>
      <c r="G1578" s="3" t="s">
        <v>40</v>
      </c>
      <c r="H1578" s="3" t="s">
        <v>332</v>
      </c>
      <c r="I1578" s="11">
        <v>40.776000000000003</v>
      </c>
      <c r="J1578" s="18">
        <v>3</v>
      </c>
      <c r="K1578" s="12">
        <v>4.5872999999999999</v>
      </c>
    </row>
    <row r="1579" spans="1:11" x14ac:dyDescent="0.25">
      <c r="A1579" s="4">
        <v>43730</v>
      </c>
      <c r="B1579" s="19">
        <f t="shared" si="48"/>
        <v>2019</v>
      </c>
      <c r="C1579" s="19">
        <f t="shared" si="49"/>
        <v>9</v>
      </c>
      <c r="D1579" s="5" t="s">
        <v>887</v>
      </c>
      <c r="E1579" s="5" t="s">
        <v>219</v>
      </c>
      <c r="F1579" s="5" t="s">
        <v>14</v>
      </c>
      <c r="G1579" s="5" t="s">
        <v>15</v>
      </c>
      <c r="H1579" s="5" t="s">
        <v>1612</v>
      </c>
      <c r="I1579" s="13">
        <v>63.936</v>
      </c>
      <c r="J1579" s="19">
        <v>8</v>
      </c>
      <c r="K1579" s="14">
        <v>5.5944000000000003</v>
      </c>
    </row>
    <row r="1580" spans="1:11" x14ac:dyDescent="0.25">
      <c r="A1580" s="2">
        <v>43730</v>
      </c>
      <c r="B1580" s="18">
        <f t="shared" si="48"/>
        <v>2019</v>
      </c>
      <c r="C1580" s="18">
        <f t="shared" si="49"/>
        <v>9</v>
      </c>
      <c r="D1580" s="3" t="s">
        <v>1306</v>
      </c>
      <c r="E1580" s="3" t="s">
        <v>39</v>
      </c>
      <c r="F1580" s="3" t="s">
        <v>19</v>
      </c>
      <c r="G1580" s="3" t="s">
        <v>40</v>
      </c>
      <c r="H1580" s="3" t="s">
        <v>1613</v>
      </c>
      <c r="I1580" s="11">
        <v>7.8719999999999999</v>
      </c>
      <c r="J1580" s="18">
        <v>3</v>
      </c>
      <c r="K1580" s="12">
        <v>0.88560000000000005</v>
      </c>
    </row>
    <row r="1581" spans="1:11" x14ac:dyDescent="0.25">
      <c r="A1581" s="4">
        <v>43730</v>
      </c>
      <c r="B1581" s="19">
        <f t="shared" si="48"/>
        <v>2019</v>
      </c>
      <c r="C1581" s="19">
        <f t="shared" si="49"/>
        <v>9</v>
      </c>
      <c r="D1581" s="5" t="s">
        <v>1614</v>
      </c>
      <c r="E1581" s="5" t="s">
        <v>44</v>
      </c>
      <c r="F1581" s="5" t="s">
        <v>19</v>
      </c>
      <c r="G1581" s="5" t="s">
        <v>32</v>
      </c>
      <c r="H1581" s="5" t="s">
        <v>1615</v>
      </c>
      <c r="I1581" s="13">
        <v>7.5060000000000002</v>
      </c>
      <c r="J1581" s="19">
        <v>9</v>
      </c>
      <c r="K1581" s="14">
        <v>-6.0048000000000004</v>
      </c>
    </row>
    <row r="1582" spans="1:11" x14ac:dyDescent="0.25">
      <c r="A1582" s="2">
        <v>43730</v>
      </c>
      <c r="B1582" s="18">
        <f t="shared" si="48"/>
        <v>2019</v>
      </c>
      <c r="C1582" s="18">
        <f t="shared" si="49"/>
        <v>9</v>
      </c>
      <c r="D1582" s="3" t="s">
        <v>1614</v>
      </c>
      <c r="E1582" s="3" t="s">
        <v>44</v>
      </c>
      <c r="F1582" s="3" t="s">
        <v>19</v>
      </c>
      <c r="G1582" s="3" t="s">
        <v>127</v>
      </c>
      <c r="H1582" s="3" t="s">
        <v>1616</v>
      </c>
      <c r="I1582" s="11">
        <v>16.559999999999999</v>
      </c>
      <c r="J1582" s="18">
        <v>2</v>
      </c>
      <c r="K1582" s="12">
        <v>5.7960000000000003</v>
      </c>
    </row>
    <row r="1583" spans="1:11" x14ac:dyDescent="0.25">
      <c r="A1583" s="4">
        <v>43730</v>
      </c>
      <c r="B1583" s="19">
        <f t="shared" si="48"/>
        <v>2019</v>
      </c>
      <c r="C1583" s="19">
        <f t="shared" si="49"/>
        <v>9</v>
      </c>
      <c r="D1583" s="5" t="s">
        <v>1617</v>
      </c>
      <c r="E1583" s="5" t="s">
        <v>195</v>
      </c>
      <c r="F1583" s="5" t="s">
        <v>11</v>
      </c>
      <c r="G1583" s="5" t="s">
        <v>51</v>
      </c>
      <c r="H1583" s="5" t="s">
        <v>1618</v>
      </c>
      <c r="I1583" s="13">
        <v>13.28</v>
      </c>
      <c r="J1583" s="19">
        <v>2</v>
      </c>
      <c r="K1583" s="14">
        <v>6.3743999999999996</v>
      </c>
    </row>
    <row r="1584" spans="1:11" x14ac:dyDescent="0.25">
      <c r="A1584" s="2">
        <v>43730</v>
      </c>
      <c r="B1584" s="18">
        <f t="shared" si="48"/>
        <v>2019</v>
      </c>
      <c r="C1584" s="18">
        <f t="shared" si="49"/>
        <v>9</v>
      </c>
      <c r="D1584" s="3" t="s">
        <v>471</v>
      </c>
      <c r="E1584" s="3" t="s">
        <v>39</v>
      </c>
      <c r="F1584" s="3" t="s">
        <v>19</v>
      </c>
      <c r="G1584" s="3" t="s">
        <v>127</v>
      </c>
      <c r="H1584" s="3" t="s">
        <v>129</v>
      </c>
      <c r="I1584" s="11">
        <v>16.52</v>
      </c>
      <c r="J1584" s="18">
        <v>5</v>
      </c>
      <c r="K1584" s="12">
        <v>5.3689999999999998</v>
      </c>
    </row>
    <row r="1585" spans="1:11" x14ac:dyDescent="0.25">
      <c r="A1585" s="4">
        <v>43730</v>
      </c>
      <c r="B1585" s="19">
        <f t="shared" si="48"/>
        <v>2019</v>
      </c>
      <c r="C1585" s="19">
        <f t="shared" si="49"/>
        <v>9</v>
      </c>
      <c r="D1585" s="5" t="s">
        <v>1464</v>
      </c>
      <c r="E1585" s="5" t="s">
        <v>94</v>
      </c>
      <c r="F1585" s="5" t="s">
        <v>19</v>
      </c>
      <c r="G1585" s="5" t="s">
        <v>20</v>
      </c>
      <c r="H1585" s="5" t="s">
        <v>1619</v>
      </c>
      <c r="I1585" s="13">
        <v>128.34</v>
      </c>
      <c r="J1585" s="19">
        <v>6</v>
      </c>
      <c r="K1585" s="14">
        <v>37.218600000000002</v>
      </c>
    </row>
    <row r="1586" spans="1:11" x14ac:dyDescent="0.25">
      <c r="A1586" s="2">
        <v>43730</v>
      </c>
      <c r="B1586" s="18">
        <f t="shared" si="48"/>
        <v>2019</v>
      </c>
      <c r="C1586" s="18">
        <f t="shared" si="49"/>
        <v>9</v>
      </c>
      <c r="D1586" s="3" t="s">
        <v>452</v>
      </c>
      <c r="E1586" s="3" t="s">
        <v>317</v>
      </c>
      <c r="F1586" s="3" t="s">
        <v>19</v>
      </c>
      <c r="G1586" s="3" t="s">
        <v>53</v>
      </c>
      <c r="H1586" s="3" t="s">
        <v>1620</v>
      </c>
      <c r="I1586" s="11">
        <v>35.880000000000003</v>
      </c>
      <c r="J1586" s="18">
        <v>6</v>
      </c>
      <c r="K1586" s="12">
        <v>16.146000000000001</v>
      </c>
    </row>
    <row r="1587" spans="1:11" x14ac:dyDescent="0.25">
      <c r="A1587" s="4">
        <v>43730</v>
      </c>
      <c r="B1587" s="19">
        <f t="shared" si="48"/>
        <v>2019</v>
      </c>
      <c r="C1587" s="19">
        <f t="shared" si="49"/>
        <v>9</v>
      </c>
      <c r="D1587" s="5" t="s">
        <v>183</v>
      </c>
      <c r="E1587" s="5" t="s">
        <v>306</v>
      </c>
      <c r="F1587" s="5" t="s">
        <v>11</v>
      </c>
      <c r="G1587" s="5" t="s">
        <v>51</v>
      </c>
      <c r="H1587" s="5" t="s">
        <v>1494</v>
      </c>
      <c r="I1587" s="13">
        <v>68.432000000000002</v>
      </c>
      <c r="J1587" s="19">
        <v>7</v>
      </c>
      <c r="K1587" s="14">
        <v>8.5540000000000003</v>
      </c>
    </row>
    <row r="1588" spans="1:11" x14ac:dyDescent="0.25">
      <c r="A1588" s="2">
        <v>43730</v>
      </c>
      <c r="B1588" s="18">
        <f t="shared" si="48"/>
        <v>2019</v>
      </c>
      <c r="C1588" s="18">
        <f t="shared" si="49"/>
        <v>9</v>
      </c>
      <c r="D1588" s="3" t="s">
        <v>1140</v>
      </c>
      <c r="E1588" s="3" t="s">
        <v>56</v>
      </c>
      <c r="F1588" s="3" t="s">
        <v>11</v>
      </c>
      <c r="G1588" s="3" t="s">
        <v>51</v>
      </c>
      <c r="H1588" s="3" t="s">
        <v>68</v>
      </c>
      <c r="I1588" s="11">
        <v>18.96</v>
      </c>
      <c r="J1588" s="18">
        <v>2</v>
      </c>
      <c r="K1588" s="12">
        <v>7.5839999999999996</v>
      </c>
    </row>
    <row r="1589" spans="1:11" x14ac:dyDescent="0.25">
      <c r="A1589" s="4">
        <v>43730</v>
      </c>
      <c r="B1589" s="19">
        <f t="shared" si="48"/>
        <v>2019</v>
      </c>
      <c r="C1589" s="19">
        <f t="shared" si="49"/>
        <v>9</v>
      </c>
      <c r="D1589" s="5" t="s">
        <v>1621</v>
      </c>
      <c r="E1589" s="5" t="s">
        <v>67</v>
      </c>
      <c r="F1589" s="5" t="s">
        <v>19</v>
      </c>
      <c r="G1589" s="5" t="s">
        <v>86</v>
      </c>
      <c r="H1589" s="5" t="s">
        <v>449</v>
      </c>
      <c r="I1589" s="13">
        <v>63.968000000000004</v>
      </c>
      <c r="J1589" s="19">
        <v>2</v>
      </c>
      <c r="K1589" s="14">
        <v>19.989999999999998</v>
      </c>
    </row>
    <row r="1590" spans="1:11" x14ac:dyDescent="0.25">
      <c r="A1590" s="2">
        <v>43730</v>
      </c>
      <c r="B1590" s="18">
        <f t="shared" si="48"/>
        <v>2019</v>
      </c>
      <c r="C1590" s="18">
        <f t="shared" si="49"/>
        <v>9</v>
      </c>
      <c r="D1590" s="3" t="s">
        <v>1553</v>
      </c>
      <c r="E1590" s="3" t="s">
        <v>365</v>
      </c>
      <c r="F1590" s="3" t="s">
        <v>19</v>
      </c>
      <c r="G1590" s="3" t="s">
        <v>53</v>
      </c>
      <c r="H1590" s="3" t="s">
        <v>1489</v>
      </c>
      <c r="I1590" s="11">
        <v>35.56</v>
      </c>
      <c r="J1590" s="18">
        <v>7</v>
      </c>
      <c r="K1590" s="12">
        <v>16.713200000000001</v>
      </c>
    </row>
    <row r="1591" spans="1:11" x14ac:dyDescent="0.25">
      <c r="A1591" s="4">
        <v>43730</v>
      </c>
      <c r="B1591" s="19">
        <f t="shared" si="48"/>
        <v>2019</v>
      </c>
      <c r="C1591" s="19">
        <f t="shared" si="49"/>
        <v>9</v>
      </c>
      <c r="D1591" s="5" t="s">
        <v>1553</v>
      </c>
      <c r="E1591" s="5" t="s">
        <v>365</v>
      </c>
      <c r="F1591" s="5" t="s">
        <v>14</v>
      </c>
      <c r="G1591" s="5" t="s">
        <v>15</v>
      </c>
      <c r="H1591" s="5" t="s">
        <v>1113</v>
      </c>
      <c r="I1591" s="13">
        <v>97.98</v>
      </c>
      <c r="J1591" s="19">
        <v>2</v>
      </c>
      <c r="K1591" s="14">
        <v>27.4344</v>
      </c>
    </row>
    <row r="1592" spans="1:11" x14ac:dyDescent="0.25">
      <c r="A1592" s="2">
        <v>43731</v>
      </c>
      <c r="B1592" s="18">
        <f t="shared" si="48"/>
        <v>2019</v>
      </c>
      <c r="C1592" s="18">
        <f t="shared" si="49"/>
        <v>9</v>
      </c>
      <c r="D1592" s="3" t="s">
        <v>1622</v>
      </c>
      <c r="E1592" s="3" t="s">
        <v>67</v>
      </c>
      <c r="F1592" s="3" t="s">
        <v>11</v>
      </c>
      <c r="G1592" s="3" t="s">
        <v>51</v>
      </c>
      <c r="H1592" s="3" t="s">
        <v>1076</v>
      </c>
      <c r="I1592" s="11">
        <v>532.70399999999995</v>
      </c>
      <c r="J1592" s="18">
        <v>6</v>
      </c>
      <c r="K1592" s="12">
        <v>-26.635200000000001</v>
      </c>
    </row>
    <row r="1593" spans="1:11" x14ac:dyDescent="0.25">
      <c r="A1593" s="4">
        <v>43731</v>
      </c>
      <c r="B1593" s="19">
        <f t="shared" si="48"/>
        <v>2019</v>
      </c>
      <c r="C1593" s="19">
        <f t="shared" si="49"/>
        <v>9</v>
      </c>
      <c r="D1593" s="5" t="s">
        <v>1622</v>
      </c>
      <c r="E1593" s="5" t="s">
        <v>67</v>
      </c>
      <c r="F1593" s="5" t="s">
        <v>19</v>
      </c>
      <c r="G1593" s="5" t="s">
        <v>40</v>
      </c>
      <c r="H1593" s="5" t="s">
        <v>146</v>
      </c>
      <c r="I1593" s="13">
        <v>4.9119999999999999</v>
      </c>
      <c r="J1593" s="19">
        <v>2</v>
      </c>
      <c r="K1593" s="14">
        <v>0.307</v>
      </c>
    </row>
    <row r="1594" spans="1:11" x14ac:dyDescent="0.25">
      <c r="A1594" s="2">
        <v>43731</v>
      </c>
      <c r="B1594" s="18">
        <f t="shared" si="48"/>
        <v>2019</v>
      </c>
      <c r="C1594" s="18">
        <f t="shared" si="49"/>
        <v>9</v>
      </c>
      <c r="D1594" s="3" t="s">
        <v>1623</v>
      </c>
      <c r="E1594" s="3" t="s">
        <v>109</v>
      </c>
      <c r="F1594" s="3" t="s">
        <v>19</v>
      </c>
      <c r="G1594" s="3" t="s">
        <v>20</v>
      </c>
      <c r="H1594" s="3" t="s">
        <v>1495</v>
      </c>
      <c r="I1594" s="11">
        <v>118.25</v>
      </c>
      <c r="J1594" s="18">
        <v>5</v>
      </c>
      <c r="K1594" s="12">
        <v>34.292499999999997</v>
      </c>
    </row>
    <row r="1595" spans="1:11" x14ac:dyDescent="0.25">
      <c r="A1595" s="4">
        <v>43731</v>
      </c>
      <c r="B1595" s="19">
        <f t="shared" si="48"/>
        <v>2019</v>
      </c>
      <c r="C1595" s="19">
        <f t="shared" si="49"/>
        <v>9</v>
      </c>
      <c r="D1595" s="5" t="s">
        <v>1623</v>
      </c>
      <c r="E1595" s="5" t="s">
        <v>109</v>
      </c>
      <c r="F1595" s="5" t="s">
        <v>11</v>
      </c>
      <c r="G1595" s="5" t="s">
        <v>112</v>
      </c>
      <c r="H1595" s="5" t="s">
        <v>794</v>
      </c>
      <c r="I1595" s="13">
        <v>368.97</v>
      </c>
      <c r="J1595" s="19">
        <v>3</v>
      </c>
      <c r="K1595" s="14">
        <v>81.173400000000001</v>
      </c>
    </row>
    <row r="1596" spans="1:11" x14ac:dyDescent="0.25">
      <c r="A1596" s="2">
        <v>43731</v>
      </c>
      <c r="B1596" s="18">
        <f t="shared" si="48"/>
        <v>2019</v>
      </c>
      <c r="C1596" s="18">
        <f t="shared" si="49"/>
        <v>9</v>
      </c>
      <c r="D1596" s="3" t="s">
        <v>1624</v>
      </c>
      <c r="E1596" s="3" t="s">
        <v>70</v>
      </c>
      <c r="F1596" s="3" t="s">
        <v>19</v>
      </c>
      <c r="G1596" s="3" t="s">
        <v>265</v>
      </c>
      <c r="H1596" s="3" t="s">
        <v>1625</v>
      </c>
      <c r="I1596" s="11">
        <v>13.68</v>
      </c>
      <c r="J1596" s="18">
        <v>2</v>
      </c>
      <c r="K1596" s="12">
        <v>3.6936</v>
      </c>
    </row>
    <row r="1597" spans="1:11" x14ac:dyDescent="0.25">
      <c r="A1597" s="4">
        <v>43731</v>
      </c>
      <c r="B1597" s="19">
        <f t="shared" si="48"/>
        <v>2019</v>
      </c>
      <c r="C1597" s="19">
        <f t="shared" si="49"/>
        <v>9</v>
      </c>
      <c r="D1597" s="5" t="s">
        <v>1028</v>
      </c>
      <c r="E1597" s="5" t="s">
        <v>18</v>
      </c>
      <c r="F1597" s="5" t="s">
        <v>19</v>
      </c>
      <c r="G1597" s="5" t="s">
        <v>86</v>
      </c>
      <c r="H1597" s="5" t="s">
        <v>620</v>
      </c>
      <c r="I1597" s="13">
        <v>4.08</v>
      </c>
      <c r="J1597" s="19">
        <v>2</v>
      </c>
      <c r="K1597" s="14">
        <v>1.9176</v>
      </c>
    </row>
    <row r="1598" spans="1:11" x14ac:dyDescent="0.25">
      <c r="A1598" s="2">
        <v>43731</v>
      </c>
      <c r="B1598" s="18">
        <f t="shared" si="48"/>
        <v>2019</v>
      </c>
      <c r="C1598" s="18">
        <f t="shared" si="49"/>
        <v>9</v>
      </c>
      <c r="D1598" s="3" t="s">
        <v>1028</v>
      </c>
      <c r="E1598" s="3" t="s">
        <v>18</v>
      </c>
      <c r="F1598" s="3" t="s">
        <v>19</v>
      </c>
      <c r="G1598" s="3" t="s">
        <v>127</v>
      </c>
      <c r="H1598" s="3" t="s">
        <v>1052</v>
      </c>
      <c r="I1598" s="11">
        <v>18.899999999999999</v>
      </c>
      <c r="J1598" s="18">
        <v>3</v>
      </c>
      <c r="K1598" s="12">
        <v>8.6940000000000008</v>
      </c>
    </row>
    <row r="1599" spans="1:11" x14ac:dyDescent="0.25">
      <c r="A1599" s="4">
        <v>43731</v>
      </c>
      <c r="B1599" s="19">
        <f t="shared" si="48"/>
        <v>2019</v>
      </c>
      <c r="C1599" s="19">
        <f t="shared" si="49"/>
        <v>9</v>
      </c>
      <c r="D1599" s="5" t="s">
        <v>657</v>
      </c>
      <c r="E1599" s="5" t="s">
        <v>94</v>
      </c>
      <c r="F1599" s="5" t="s">
        <v>19</v>
      </c>
      <c r="G1599" s="5" t="s">
        <v>32</v>
      </c>
      <c r="H1599" s="5" t="s">
        <v>1626</v>
      </c>
      <c r="I1599" s="13">
        <v>10.528</v>
      </c>
      <c r="J1599" s="19">
        <v>7</v>
      </c>
      <c r="K1599" s="14">
        <v>3.6848000000000001</v>
      </c>
    </row>
    <row r="1600" spans="1:11" x14ac:dyDescent="0.25">
      <c r="A1600" s="2">
        <v>43731</v>
      </c>
      <c r="B1600" s="18">
        <f t="shared" si="48"/>
        <v>2019</v>
      </c>
      <c r="C1600" s="18">
        <f t="shared" si="49"/>
        <v>9</v>
      </c>
      <c r="D1600" s="3" t="s">
        <v>987</v>
      </c>
      <c r="E1600" s="3" t="s">
        <v>67</v>
      </c>
      <c r="F1600" s="3" t="s">
        <v>19</v>
      </c>
      <c r="G1600" s="3" t="s">
        <v>53</v>
      </c>
      <c r="H1600" s="3" t="s">
        <v>1627</v>
      </c>
      <c r="I1600" s="11">
        <v>11.952</v>
      </c>
      <c r="J1600" s="18">
        <v>3</v>
      </c>
      <c r="K1600" s="12">
        <v>4.0338000000000003</v>
      </c>
    </row>
    <row r="1601" spans="1:11" x14ac:dyDescent="0.25">
      <c r="A1601" s="4">
        <v>43731</v>
      </c>
      <c r="B1601" s="19">
        <f t="shared" si="48"/>
        <v>2019</v>
      </c>
      <c r="C1601" s="19">
        <f t="shared" si="49"/>
        <v>9</v>
      </c>
      <c r="D1601" s="5" t="s">
        <v>987</v>
      </c>
      <c r="E1601" s="5" t="s">
        <v>67</v>
      </c>
      <c r="F1601" s="5" t="s">
        <v>11</v>
      </c>
      <c r="G1601" s="5" t="s">
        <v>51</v>
      </c>
      <c r="H1601" s="5" t="s">
        <v>1628</v>
      </c>
      <c r="I1601" s="13">
        <v>28</v>
      </c>
      <c r="J1601" s="19">
        <v>4</v>
      </c>
      <c r="K1601" s="14">
        <v>7.7</v>
      </c>
    </row>
    <row r="1602" spans="1:11" x14ac:dyDescent="0.25">
      <c r="A1602" s="2">
        <v>43731</v>
      </c>
      <c r="B1602" s="18">
        <f t="shared" ref="B1602:B1665" si="50">YEAR(A1602)</f>
        <v>2019</v>
      </c>
      <c r="C1602" s="18">
        <f t="shared" ref="C1602:C1665" si="51">MONTH(A1602)</f>
        <v>9</v>
      </c>
      <c r="D1602" s="3" t="s">
        <v>987</v>
      </c>
      <c r="E1602" s="3" t="s">
        <v>67</v>
      </c>
      <c r="F1602" s="3" t="s">
        <v>19</v>
      </c>
      <c r="G1602" s="3" t="s">
        <v>32</v>
      </c>
      <c r="H1602" s="3" t="s">
        <v>1450</v>
      </c>
      <c r="I1602" s="11">
        <v>12.201000000000001</v>
      </c>
      <c r="J1602" s="18">
        <v>7</v>
      </c>
      <c r="K1602" s="12">
        <v>-9.7607999999999997</v>
      </c>
    </row>
    <row r="1603" spans="1:11" x14ac:dyDescent="0.25">
      <c r="A1603" s="4">
        <v>43731</v>
      </c>
      <c r="B1603" s="19">
        <f t="shared" si="50"/>
        <v>2019</v>
      </c>
      <c r="C1603" s="19">
        <f t="shared" si="51"/>
        <v>9</v>
      </c>
      <c r="D1603" s="5" t="s">
        <v>1088</v>
      </c>
      <c r="E1603" s="5" t="s">
        <v>70</v>
      </c>
      <c r="F1603" s="5" t="s">
        <v>19</v>
      </c>
      <c r="G1603" s="5" t="s">
        <v>32</v>
      </c>
      <c r="H1603" s="5" t="s">
        <v>1463</v>
      </c>
      <c r="I1603" s="13">
        <v>13.215999999999999</v>
      </c>
      <c r="J1603" s="19">
        <v>4</v>
      </c>
      <c r="K1603" s="14">
        <v>4.4603999999999999</v>
      </c>
    </row>
    <row r="1604" spans="1:11" x14ac:dyDescent="0.25">
      <c r="A1604" s="2">
        <v>43731</v>
      </c>
      <c r="B1604" s="18">
        <f t="shared" si="50"/>
        <v>2019</v>
      </c>
      <c r="C1604" s="18">
        <f t="shared" si="51"/>
        <v>9</v>
      </c>
      <c r="D1604" s="3" t="s">
        <v>1088</v>
      </c>
      <c r="E1604" s="3" t="s">
        <v>70</v>
      </c>
      <c r="F1604" s="3" t="s">
        <v>11</v>
      </c>
      <c r="G1604" s="3" t="s">
        <v>112</v>
      </c>
      <c r="H1604" s="3" t="s">
        <v>1629</v>
      </c>
      <c r="I1604" s="11">
        <v>184.75200000000001</v>
      </c>
      <c r="J1604" s="18">
        <v>3</v>
      </c>
      <c r="K1604" s="12">
        <v>-20.784600000000001</v>
      </c>
    </row>
    <row r="1605" spans="1:11" x14ac:dyDescent="0.25">
      <c r="A1605" s="4">
        <v>43732</v>
      </c>
      <c r="B1605" s="19">
        <f t="shared" si="50"/>
        <v>2019</v>
      </c>
      <c r="C1605" s="19">
        <f t="shared" si="51"/>
        <v>9</v>
      </c>
      <c r="D1605" s="5" t="s">
        <v>646</v>
      </c>
      <c r="E1605" s="5" t="s">
        <v>67</v>
      </c>
      <c r="F1605" s="5" t="s">
        <v>11</v>
      </c>
      <c r="G1605" s="5" t="s">
        <v>112</v>
      </c>
      <c r="H1605" s="5" t="s">
        <v>1630</v>
      </c>
      <c r="I1605" s="13">
        <v>155.37200000000001</v>
      </c>
      <c r="J1605" s="19">
        <v>2</v>
      </c>
      <c r="K1605" s="14">
        <v>-13.317600000000001</v>
      </c>
    </row>
    <row r="1606" spans="1:11" x14ac:dyDescent="0.25">
      <c r="A1606" s="2">
        <v>43732</v>
      </c>
      <c r="B1606" s="18">
        <f t="shared" si="50"/>
        <v>2019</v>
      </c>
      <c r="C1606" s="18">
        <f t="shared" si="51"/>
        <v>9</v>
      </c>
      <c r="D1606" s="3" t="s">
        <v>63</v>
      </c>
      <c r="E1606" s="3" t="s">
        <v>18</v>
      </c>
      <c r="F1606" s="3" t="s">
        <v>19</v>
      </c>
      <c r="G1606" s="3" t="s">
        <v>20</v>
      </c>
      <c r="H1606" s="3" t="s">
        <v>1631</v>
      </c>
      <c r="I1606" s="11">
        <v>41.96</v>
      </c>
      <c r="J1606" s="18">
        <v>2</v>
      </c>
      <c r="K1606" s="12">
        <v>2.9371999999999998</v>
      </c>
    </row>
    <row r="1607" spans="1:11" x14ac:dyDescent="0.25">
      <c r="A1607" s="4">
        <v>43732</v>
      </c>
      <c r="B1607" s="19">
        <f t="shared" si="50"/>
        <v>2019</v>
      </c>
      <c r="C1607" s="19">
        <f t="shared" si="51"/>
        <v>9</v>
      </c>
      <c r="D1607" s="5" t="s">
        <v>63</v>
      </c>
      <c r="E1607" s="5" t="s">
        <v>18</v>
      </c>
      <c r="F1607" s="5" t="s">
        <v>19</v>
      </c>
      <c r="G1607" s="5" t="s">
        <v>53</v>
      </c>
      <c r="H1607" s="5" t="s">
        <v>1632</v>
      </c>
      <c r="I1607" s="13">
        <v>41.7</v>
      </c>
      <c r="J1607" s="19">
        <v>5</v>
      </c>
      <c r="K1607" s="14">
        <v>20.85</v>
      </c>
    </row>
    <row r="1608" spans="1:11" x14ac:dyDescent="0.25">
      <c r="A1608" s="2">
        <v>43732</v>
      </c>
      <c r="B1608" s="18">
        <f t="shared" si="50"/>
        <v>2019</v>
      </c>
      <c r="C1608" s="18">
        <f t="shared" si="51"/>
        <v>9</v>
      </c>
      <c r="D1608" s="3" t="s">
        <v>592</v>
      </c>
      <c r="E1608" s="3" t="s">
        <v>18</v>
      </c>
      <c r="F1608" s="3" t="s">
        <v>11</v>
      </c>
      <c r="G1608" s="3" t="s">
        <v>51</v>
      </c>
      <c r="H1608" s="3" t="s">
        <v>1633</v>
      </c>
      <c r="I1608" s="11">
        <v>63.2</v>
      </c>
      <c r="J1608" s="18">
        <v>5</v>
      </c>
      <c r="K1608" s="12">
        <v>23.384</v>
      </c>
    </row>
    <row r="1609" spans="1:11" x14ac:dyDescent="0.25">
      <c r="A1609" s="4">
        <v>43732</v>
      </c>
      <c r="B1609" s="19">
        <f t="shared" si="50"/>
        <v>2019</v>
      </c>
      <c r="C1609" s="19">
        <f t="shared" si="51"/>
        <v>9</v>
      </c>
      <c r="D1609" s="5" t="s">
        <v>720</v>
      </c>
      <c r="E1609" s="5" t="s">
        <v>306</v>
      </c>
      <c r="F1609" s="5" t="s">
        <v>11</v>
      </c>
      <c r="G1609" s="5" t="s">
        <v>51</v>
      </c>
      <c r="H1609" s="5" t="s">
        <v>1634</v>
      </c>
      <c r="I1609" s="13">
        <v>21.44</v>
      </c>
      <c r="J1609" s="19">
        <v>2</v>
      </c>
      <c r="K1609" s="14">
        <v>7.5039999999999996</v>
      </c>
    </row>
    <row r="1610" spans="1:11" x14ac:dyDescent="0.25">
      <c r="A1610" s="2">
        <v>43732</v>
      </c>
      <c r="B1610" s="18">
        <f t="shared" si="50"/>
        <v>2019</v>
      </c>
      <c r="C1610" s="18">
        <f t="shared" si="51"/>
        <v>9</v>
      </c>
      <c r="D1610" s="3" t="s">
        <v>720</v>
      </c>
      <c r="E1610" s="3" t="s">
        <v>306</v>
      </c>
      <c r="F1610" s="3" t="s">
        <v>19</v>
      </c>
      <c r="G1610" s="3" t="s">
        <v>20</v>
      </c>
      <c r="H1610" s="3" t="s">
        <v>1635</v>
      </c>
      <c r="I1610" s="11">
        <v>511.05599999999998</v>
      </c>
      <c r="J1610" s="18">
        <v>9</v>
      </c>
      <c r="K1610" s="12">
        <v>-95.822999999999993</v>
      </c>
    </row>
    <row r="1611" spans="1:11" x14ac:dyDescent="0.25">
      <c r="A1611" s="4">
        <v>43732</v>
      </c>
      <c r="B1611" s="19">
        <f t="shared" si="50"/>
        <v>2019</v>
      </c>
      <c r="C1611" s="19">
        <f t="shared" si="51"/>
        <v>9</v>
      </c>
      <c r="D1611" s="5" t="s">
        <v>1636</v>
      </c>
      <c r="E1611" s="5" t="s">
        <v>29</v>
      </c>
      <c r="F1611" s="5" t="s">
        <v>19</v>
      </c>
      <c r="G1611" s="5" t="s">
        <v>32</v>
      </c>
      <c r="H1611" s="5" t="s">
        <v>1569</v>
      </c>
      <c r="I1611" s="13">
        <v>6.38</v>
      </c>
      <c r="J1611" s="19">
        <v>1</v>
      </c>
      <c r="K1611" s="14">
        <v>2.9348000000000001</v>
      </c>
    </row>
    <row r="1612" spans="1:11" x14ac:dyDescent="0.25">
      <c r="A1612" s="2">
        <v>43732</v>
      </c>
      <c r="B1612" s="18">
        <f t="shared" si="50"/>
        <v>2019</v>
      </c>
      <c r="C1612" s="18">
        <f t="shared" si="51"/>
        <v>9</v>
      </c>
      <c r="D1612" s="3" t="s">
        <v>1636</v>
      </c>
      <c r="E1612" s="3" t="s">
        <v>29</v>
      </c>
      <c r="F1612" s="3" t="s">
        <v>19</v>
      </c>
      <c r="G1612" s="3" t="s">
        <v>53</v>
      </c>
      <c r="H1612" s="3" t="s">
        <v>1067</v>
      </c>
      <c r="I1612" s="11">
        <v>6.48</v>
      </c>
      <c r="J1612" s="18">
        <v>1</v>
      </c>
      <c r="K1612" s="12">
        <v>3.1103999999999998</v>
      </c>
    </row>
    <row r="1613" spans="1:11" x14ac:dyDescent="0.25">
      <c r="A1613" s="4">
        <v>43732</v>
      </c>
      <c r="B1613" s="19">
        <f t="shared" si="50"/>
        <v>2019</v>
      </c>
      <c r="C1613" s="19">
        <f t="shared" si="51"/>
        <v>9</v>
      </c>
      <c r="D1613" s="5" t="s">
        <v>1106</v>
      </c>
      <c r="E1613" s="5" t="s">
        <v>317</v>
      </c>
      <c r="F1613" s="5" t="s">
        <v>11</v>
      </c>
      <c r="G1613" s="5" t="s">
        <v>51</v>
      </c>
      <c r="H1613" s="5" t="s">
        <v>353</v>
      </c>
      <c r="I1613" s="13">
        <v>127.95</v>
      </c>
      <c r="J1613" s="19">
        <v>3</v>
      </c>
      <c r="K1613" s="14">
        <v>21.7515</v>
      </c>
    </row>
    <row r="1614" spans="1:11" x14ac:dyDescent="0.25">
      <c r="A1614" s="2">
        <v>43732</v>
      </c>
      <c r="B1614" s="18">
        <f t="shared" si="50"/>
        <v>2019</v>
      </c>
      <c r="C1614" s="18">
        <f t="shared" si="51"/>
        <v>9</v>
      </c>
      <c r="D1614" s="3" t="s">
        <v>835</v>
      </c>
      <c r="E1614" s="3" t="s">
        <v>164</v>
      </c>
      <c r="F1614" s="3" t="s">
        <v>19</v>
      </c>
      <c r="G1614" s="3" t="s">
        <v>32</v>
      </c>
      <c r="H1614" s="3" t="s">
        <v>629</v>
      </c>
      <c r="I1614" s="11">
        <v>442.37200000000001</v>
      </c>
      <c r="J1614" s="18">
        <v>7</v>
      </c>
      <c r="K1614" s="12">
        <v>-729.91380000000004</v>
      </c>
    </row>
    <row r="1615" spans="1:11" x14ac:dyDescent="0.25">
      <c r="A1615" s="4">
        <v>43732</v>
      </c>
      <c r="B1615" s="19">
        <f t="shared" si="50"/>
        <v>2019</v>
      </c>
      <c r="C1615" s="19">
        <f t="shared" si="51"/>
        <v>9</v>
      </c>
      <c r="D1615" s="5" t="s">
        <v>414</v>
      </c>
      <c r="E1615" s="5" t="s">
        <v>18</v>
      </c>
      <c r="F1615" s="5" t="s">
        <v>19</v>
      </c>
      <c r="G1615" s="5" t="s">
        <v>86</v>
      </c>
      <c r="H1615" s="5" t="s">
        <v>363</v>
      </c>
      <c r="I1615" s="13">
        <v>304.89999999999998</v>
      </c>
      <c r="J1615" s="19">
        <v>5</v>
      </c>
      <c r="K1615" s="14">
        <v>143.303</v>
      </c>
    </row>
    <row r="1616" spans="1:11" x14ac:dyDescent="0.25">
      <c r="A1616" s="2">
        <v>43732</v>
      </c>
      <c r="B1616" s="18">
        <f t="shared" si="50"/>
        <v>2019</v>
      </c>
      <c r="C1616" s="18">
        <f t="shared" si="51"/>
        <v>9</v>
      </c>
      <c r="D1616" s="3" t="s">
        <v>414</v>
      </c>
      <c r="E1616" s="3" t="s">
        <v>18</v>
      </c>
      <c r="F1616" s="3" t="s">
        <v>11</v>
      </c>
      <c r="G1616" s="3" t="s">
        <v>112</v>
      </c>
      <c r="H1616" s="3" t="s">
        <v>1243</v>
      </c>
      <c r="I1616" s="11">
        <v>563.24</v>
      </c>
      <c r="J1616" s="18">
        <v>5</v>
      </c>
      <c r="K1616" s="12">
        <v>56.323999999999998</v>
      </c>
    </row>
    <row r="1617" spans="1:11" x14ac:dyDescent="0.25">
      <c r="A1617" s="4">
        <v>43733</v>
      </c>
      <c r="B1617" s="19">
        <f t="shared" si="50"/>
        <v>2019</v>
      </c>
      <c r="C1617" s="19">
        <f t="shared" si="51"/>
        <v>9</v>
      </c>
      <c r="D1617" s="5" t="s">
        <v>185</v>
      </c>
      <c r="E1617" s="5" t="s">
        <v>198</v>
      </c>
      <c r="F1617" s="5" t="s">
        <v>11</v>
      </c>
      <c r="G1617" s="5" t="s">
        <v>30</v>
      </c>
      <c r="H1617" s="5" t="s">
        <v>243</v>
      </c>
      <c r="I1617" s="13">
        <v>393.16500000000002</v>
      </c>
      <c r="J1617" s="19">
        <v>3</v>
      </c>
      <c r="K1617" s="14">
        <v>-204.44579999999999</v>
      </c>
    </row>
    <row r="1618" spans="1:11" x14ac:dyDescent="0.25">
      <c r="A1618" s="2">
        <v>43733</v>
      </c>
      <c r="B1618" s="18">
        <f t="shared" si="50"/>
        <v>2019</v>
      </c>
      <c r="C1618" s="18">
        <f t="shared" si="51"/>
        <v>9</v>
      </c>
      <c r="D1618" s="3" t="s">
        <v>1637</v>
      </c>
      <c r="E1618" s="3" t="s">
        <v>23</v>
      </c>
      <c r="F1618" s="3" t="s">
        <v>19</v>
      </c>
      <c r="G1618" s="3" t="s">
        <v>127</v>
      </c>
      <c r="H1618" s="3" t="s">
        <v>739</v>
      </c>
      <c r="I1618" s="11">
        <v>15.936</v>
      </c>
      <c r="J1618" s="18">
        <v>4</v>
      </c>
      <c r="K1618" s="12">
        <v>5.1791999999999998</v>
      </c>
    </row>
    <row r="1619" spans="1:11" x14ac:dyDescent="0.25">
      <c r="A1619" s="4">
        <v>43733</v>
      </c>
      <c r="B1619" s="19">
        <f t="shared" si="50"/>
        <v>2019</v>
      </c>
      <c r="C1619" s="19">
        <f t="shared" si="51"/>
        <v>9</v>
      </c>
      <c r="D1619" s="5" t="s">
        <v>1638</v>
      </c>
      <c r="E1619" s="5" t="s">
        <v>465</v>
      </c>
      <c r="F1619" s="5" t="s">
        <v>19</v>
      </c>
      <c r="G1619" s="5" t="s">
        <v>53</v>
      </c>
      <c r="H1619" s="5" t="s">
        <v>1632</v>
      </c>
      <c r="I1619" s="13">
        <v>60.048000000000002</v>
      </c>
      <c r="J1619" s="19">
        <v>9</v>
      </c>
      <c r="K1619" s="14">
        <v>22.518000000000001</v>
      </c>
    </row>
    <row r="1620" spans="1:11" x14ac:dyDescent="0.25">
      <c r="A1620" s="2">
        <v>43733</v>
      </c>
      <c r="B1620" s="18">
        <f t="shared" si="50"/>
        <v>2019</v>
      </c>
      <c r="C1620" s="18">
        <f t="shared" si="51"/>
        <v>9</v>
      </c>
      <c r="D1620" s="3" t="s">
        <v>1638</v>
      </c>
      <c r="E1620" s="3" t="s">
        <v>465</v>
      </c>
      <c r="F1620" s="3" t="s">
        <v>19</v>
      </c>
      <c r="G1620" s="3" t="s">
        <v>32</v>
      </c>
      <c r="H1620" s="3" t="s">
        <v>1610</v>
      </c>
      <c r="I1620" s="11">
        <v>5.0220000000000002</v>
      </c>
      <c r="J1620" s="18">
        <v>1</v>
      </c>
      <c r="K1620" s="12">
        <v>-3.5154000000000001</v>
      </c>
    </row>
    <row r="1621" spans="1:11" x14ac:dyDescent="0.25">
      <c r="A1621" s="4">
        <v>43733</v>
      </c>
      <c r="B1621" s="19">
        <f t="shared" si="50"/>
        <v>2019</v>
      </c>
      <c r="C1621" s="19">
        <f t="shared" si="51"/>
        <v>9</v>
      </c>
      <c r="D1621" s="5" t="s">
        <v>809</v>
      </c>
      <c r="E1621" s="5" t="s">
        <v>18</v>
      </c>
      <c r="F1621" s="5" t="s">
        <v>19</v>
      </c>
      <c r="G1621" s="5" t="s">
        <v>40</v>
      </c>
      <c r="H1621" s="5" t="s">
        <v>1639</v>
      </c>
      <c r="I1621" s="13">
        <v>16.559999999999999</v>
      </c>
      <c r="J1621" s="19">
        <v>4</v>
      </c>
      <c r="K1621" s="14">
        <v>6.9551999999999996</v>
      </c>
    </row>
    <row r="1622" spans="1:11" x14ac:dyDescent="0.25">
      <c r="A1622" s="2">
        <v>43733</v>
      </c>
      <c r="B1622" s="18">
        <f t="shared" si="50"/>
        <v>2019</v>
      </c>
      <c r="C1622" s="18">
        <f t="shared" si="51"/>
        <v>9</v>
      </c>
      <c r="D1622" s="3" t="s">
        <v>1177</v>
      </c>
      <c r="E1622" s="3" t="s">
        <v>56</v>
      </c>
      <c r="F1622" s="3" t="s">
        <v>14</v>
      </c>
      <c r="G1622" s="3" t="s">
        <v>24</v>
      </c>
      <c r="H1622" s="3" t="s">
        <v>707</v>
      </c>
      <c r="I1622" s="11">
        <v>499.95</v>
      </c>
      <c r="J1622" s="18">
        <v>5</v>
      </c>
      <c r="K1622" s="12">
        <v>174.98249999999999</v>
      </c>
    </row>
    <row r="1623" spans="1:11" x14ac:dyDescent="0.25">
      <c r="A1623" s="4">
        <v>43733</v>
      </c>
      <c r="B1623" s="19">
        <f t="shared" si="50"/>
        <v>2019</v>
      </c>
      <c r="C1623" s="19">
        <f t="shared" si="51"/>
        <v>9</v>
      </c>
      <c r="D1623" s="5" t="s">
        <v>1177</v>
      </c>
      <c r="E1623" s="5" t="s">
        <v>56</v>
      </c>
      <c r="F1623" s="5" t="s">
        <v>19</v>
      </c>
      <c r="G1623" s="5" t="s">
        <v>40</v>
      </c>
      <c r="H1623" s="5" t="s">
        <v>1640</v>
      </c>
      <c r="I1623" s="13">
        <v>3.04</v>
      </c>
      <c r="J1623" s="19">
        <v>1</v>
      </c>
      <c r="K1623" s="14">
        <v>1.0336000000000001</v>
      </c>
    </row>
    <row r="1624" spans="1:11" x14ac:dyDescent="0.25">
      <c r="A1624" s="2">
        <v>43733</v>
      </c>
      <c r="B1624" s="18">
        <f t="shared" si="50"/>
        <v>2019</v>
      </c>
      <c r="C1624" s="18">
        <f t="shared" si="51"/>
        <v>9</v>
      </c>
      <c r="D1624" s="3" t="s">
        <v>1177</v>
      </c>
      <c r="E1624" s="3" t="s">
        <v>56</v>
      </c>
      <c r="F1624" s="3" t="s">
        <v>11</v>
      </c>
      <c r="G1624" s="3" t="s">
        <v>112</v>
      </c>
      <c r="H1624" s="3" t="s">
        <v>1641</v>
      </c>
      <c r="I1624" s="11">
        <v>201.96</v>
      </c>
      <c r="J1624" s="18">
        <v>2</v>
      </c>
      <c r="K1624" s="12">
        <v>50.49</v>
      </c>
    </row>
    <row r="1625" spans="1:11" x14ac:dyDescent="0.25">
      <c r="A1625" s="4">
        <v>43733</v>
      </c>
      <c r="B1625" s="19">
        <f t="shared" si="50"/>
        <v>2019</v>
      </c>
      <c r="C1625" s="19">
        <f t="shared" si="51"/>
        <v>9</v>
      </c>
      <c r="D1625" s="5" t="s">
        <v>1177</v>
      </c>
      <c r="E1625" s="5" t="s">
        <v>56</v>
      </c>
      <c r="F1625" s="5" t="s">
        <v>11</v>
      </c>
      <c r="G1625" s="5" t="s">
        <v>51</v>
      </c>
      <c r="H1625" s="5" t="s">
        <v>907</v>
      </c>
      <c r="I1625" s="13">
        <v>68.64</v>
      </c>
      <c r="J1625" s="19">
        <v>11</v>
      </c>
      <c r="K1625" s="14">
        <v>17.16</v>
      </c>
    </row>
    <row r="1626" spans="1:11" x14ac:dyDescent="0.25">
      <c r="A1626" s="2">
        <v>43733</v>
      </c>
      <c r="B1626" s="18">
        <f t="shared" si="50"/>
        <v>2019</v>
      </c>
      <c r="C1626" s="18">
        <f t="shared" si="51"/>
        <v>9</v>
      </c>
      <c r="D1626" s="3" t="s">
        <v>1642</v>
      </c>
      <c r="E1626" s="3" t="s">
        <v>67</v>
      </c>
      <c r="F1626" s="3" t="s">
        <v>19</v>
      </c>
      <c r="G1626" s="3" t="s">
        <v>121</v>
      </c>
      <c r="H1626" s="3" t="s">
        <v>1313</v>
      </c>
      <c r="I1626" s="11">
        <v>286.25599999999997</v>
      </c>
      <c r="J1626" s="18">
        <v>1</v>
      </c>
      <c r="K1626" s="12">
        <v>17.890999999999998</v>
      </c>
    </row>
    <row r="1627" spans="1:11" x14ac:dyDescent="0.25">
      <c r="A1627" s="4">
        <v>43733</v>
      </c>
      <c r="B1627" s="19">
        <f t="shared" si="50"/>
        <v>2019</v>
      </c>
      <c r="C1627" s="19">
        <f t="shared" si="51"/>
        <v>9</v>
      </c>
      <c r="D1627" s="5" t="s">
        <v>1642</v>
      </c>
      <c r="E1627" s="5" t="s">
        <v>67</v>
      </c>
      <c r="F1627" s="5" t="s">
        <v>19</v>
      </c>
      <c r="G1627" s="5" t="s">
        <v>20</v>
      </c>
      <c r="H1627" s="5" t="s">
        <v>1643</v>
      </c>
      <c r="I1627" s="13">
        <v>24.224</v>
      </c>
      <c r="J1627" s="19">
        <v>2</v>
      </c>
      <c r="K1627" s="14">
        <v>-4.8448000000000002</v>
      </c>
    </row>
    <row r="1628" spans="1:11" x14ac:dyDescent="0.25">
      <c r="A1628" s="2">
        <v>43733</v>
      </c>
      <c r="B1628" s="18">
        <f t="shared" si="50"/>
        <v>2019</v>
      </c>
      <c r="C1628" s="18">
        <f t="shared" si="51"/>
        <v>9</v>
      </c>
      <c r="D1628" s="3" t="s">
        <v>1642</v>
      </c>
      <c r="E1628" s="3" t="s">
        <v>67</v>
      </c>
      <c r="F1628" s="3" t="s">
        <v>19</v>
      </c>
      <c r="G1628" s="3" t="s">
        <v>20</v>
      </c>
      <c r="H1628" s="3" t="s">
        <v>421</v>
      </c>
      <c r="I1628" s="11">
        <v>331.536</v>
      </c>
      <c r="J1628" s="18">
        <v>3</v>
      </c>
      <c r="K1628" s="12">
        <v>-82.884</v>
      </c>
    </row>
    <row r="1629" spans="1:11" x14ac:dyDescent="0.25">
      <c r="A1629" s="4">
        <v>43733</v>
      </c>
      <c r="B1629" s="19">
        <f t="shared" si="50"/>
        <v>2019</v>
      </c>
      <c r="C1629" s="19">
        <f t="shared" si="51"/>
        <v>9</v>
      </c>
      <c r="D1629" s="5" t="s">
        <v>504</v>
      </c>
      <c r="E1629" s="5" t="s">
        <v>18</v>
      </c>
      <c r="F1629" s="5" t="s">
        <v>11</v>
      </c>
      <c r="G1629" s="5" t="s">
        <v>12</v>
      </c>
      <c r="H1629" s="5" t="s">
        <v>1644</v>
      </c>
      <c r="I1629" s="13">
        <v>477.666</v>
      </c>
      <c r="J1629" s="19">
        <v>2</v>
      </c>
      <c r="K1629" s="14">
        <v>84.293999999999997</v>
      </c>
    </row>
    <row r="1630" spans="1:11" x14ac:dyDescent="0.25">
      <c r="A1630" s="2">
        <v>43733</v>
      </c>
      <c r="B1630" s="18">
        <f t="shared" si="50"/>
        <v>2019</v>
      </c>
      <c r="C1630" s="18">
        <f t="shared" si="51"/>
        <v>9</v>
      </c>
      <c r="D1630" s="3" t="s">
        <v>292</v>
      </c>
      <c r="E1630" s="3" t="s">
        <v>18</v>
      </c>
      <c r="F1630" s="3" t="s">
        <v>19</v>
      </c>
      <c r="G1630" s="3" t="s">
        <v>53</v>
      </c>
      <c r="H1630" s="3" t="s">
        <v>1645</v>
      </c>
      <c r="I1630" s="11">
        <v>10.9</v>
      </c>
      <c r="J1630" s="18">
        <v>5</v>
      </c>
      <c r="K1630" s="12">
        <v>5.1230000000000002</v>
      </c>
    </row>
    <row r="1631" spans="1:11" x14ac:dyDescent="0.25">
      <c r="A1631" s="4">
        <v>43733</v>
      </c>
      <c r="B1631" s="19">
        <f t="shared" si="50"/>
        <v>2019</v>
      </c>
      <c r="C1631" s="19">
        <f t="shared" si="51"/>
        <v>9</v>
      </c>
      <c r="D1631" s="5" t="s">
        <v>292</v>
      </c>
      <c r="E1631" s="5" t="s">
        <v>18</v>
      </c>
      <c r="F1631" s="5" t="s">
        <v>19</v>
      </c>
      <c r="G1631" s="5" t="s">
        <v>127</v>
      </c>
      <c r="H1631" s="5" t="s">
        <v>793</v>
      </c>
      <c r="I1631" s="13">
        <v>29.6</v>
      </c>
      <c r="J1631" s="19">
        <v>2</v>
      </c>
      <c r="K1631" s="14">
        <v>14.8</v>
      </c>
    </row>
    <row r="1632" spans="1:11" x14ac:dyDescent="0.25">
      <c r="A1632" s="2">
        <v>43733</v>
      </c>
      <c r="B1632" s="18">
        <f t="shared" si="50"/>
        <v>2019</v>
      </c>
      <c r="C1632" s="18">
        <f t="shared" si="51"/>
        <v>9</v>
      </c>
      <c r="D1632" s="3" t="s">
        <v>292</v>
      </c>
      <c r="E1632" s="3" t="s">
        <v>18</v>
      </c>
      <c r="F1632" s="3" t="s">
        <v>19</v>
      </c>
      <c r="G1632" s="3" t="s">
        <v>127</v>
      </c>
      <c r="H1632" s="3" t="s">
        <v>1646</v>
      </c>
      <c r="I1632" s="11">
        <v>4.9800000000000004</v>
      </c>
      <c r="J1632" s="18">
        <v>1</v>
      </c>
      <c r="K1632" s="12">
        <v>2.2907999999999999</v>
      </c>
    </row>
    <row r="1633" spans="1:11" x14ac:dyDescent="0.25">
      <c r="A1633" s="4">
        <v>43733</v>
      </c>
      <c r="B1633" s="19">
        <f t="shared" si="50"/>
        <v>2019</v>
      </c>
      <c r="C1633" s="19">
        <f t="shared" si="51"/>
        <v>9</v>
      </c>
      <c r="D1633" s="5" t="s">
        <v>292</v>
      </c>
      <c r="E1633" s="5" t="s">
        <v>18</v>
      </c>
      <c r="F1633" s="5" t="s">
        <v>14</v>
      </c>
      <c r="G1633" s="5" t="s">
        <v>36</v>
      </c>
      <c r="H1633" s="5" t="s">
        <v>1547</v>
      </c>
      <c r="I1633" s="13">
        <v>479.976</v>
      </c>
      <c r="J1633" s="19">
        <v>3</v>
      </c>
      <c r="K1633" s="14">
        <v>161.99189999999999</v>
      </c>
    </row>
    <row r="1634" spans="1:11" x14ac:dyDescent="0.25">
      <c r="A1634" s="2">
        <v>43733</v>
      </c>
      <c r="B1634" s="18">
        <f t="shared" si="50"/>
        <v>2019</v>
      </c>
      <c r="C1634" s="18">
        <f t="shared" si="51"/>
        <v>9</v>
      </c>
      <c r="D1634" s="3" t="s">
        <v>292</v>
      </c>
      <c r="E1634" s="3" t="s">
        <v>18</v>
      </c>
      <c r="F1634" s="3" t="s">
        <v>14</v>
      </c>
      <c r="G1634" s="3" t="s">
        <v>15</v>
      </c>
      <c r="H1634" s="3" t="s">
        <v>1647</v>
      </c>
      <c r="I1634" s="11">
        <v>44.735999999999997</v>
      </c>
      <c r="J1634" s="18">
        <v>8</v>
      </c>
      <c r="K1634" s="12">
        <v>4.4736000000000002</v>
      </c>
    </row>
    <row r="1635" spans="1:11" x14ac:dyDescent="0.25">
      <c r="A1635" s="4">
        <v>43733</v>
      </c>
      <c r="B1635" s="19">
        <f t="shared" si="50"/>
        <v>2019</v>
      </c>
      <c r="C1635" s="19">
        <f t="shared" si="51"/>
        <v>9</v>
      </c>
      <c r="D1635" s="5" t="s">
        <v>292</v>
      </c>
      <c r="E1635" s="5" t="s">
        <v>18</v>
      </c>
      <c r="F1635" s="5" t="s">
        <v>19</v>
      </c>
      <c r="G1635" s="5" t="s">
        <v>40</v>
      </c>
      <c r="H1635" s="5" t="s">
        <v>1055</v>
      </c>
      <c r="I1635" s="13">
        <v>5.76</v>
      </c>
      <c r="J1635" s="19">
        <v>2</v>
      </c>
      <c r="K1635" s="14">
        <v>1.6704000000000001</v>
      </c>
    </row>
    <row r="1636" spans="1:11" x14ac:dyDescent="0.25">
      <c r="A1636" s="2">
        <v>43733</v>
      </c>
      <c r="B1636" s="18">
        <f t="shared" si="50"/>
        <v>2019</v>
      </c>
      <c r="C1636" s="18">
        <f t="shared" si="51"/>
        <v>9</v>
      </c>
      <c r="D1636" s="3" t="s">
        <v>292</v>
      </c>
      <c r="E1636" s="3" t="s">
        <v>18</v>
      </c>
      <c r="F1636" s="3" t="s">
        <v>11</v>
      </c>
      <c r="G1636" s="3" t="s">
        <v>112</v>
      </c>
      <c r="H1636" s="3" t="s">
        <v>477</v>
      </c>
      <c r="I1636" s="11">
        <v>483.13600000000002</v>
      </c>
      <c r="J1636" s="18">
        <v>4</v>
      </c>
      <c r="K1636" s="12">
        <v>60.392000000000003</v>
      </c>
    </row>
    <row r="1637" spans="1:11" x14ac:dyDescent="0.25">
      <c r="A1637" s="4">
        <v>43734</v>
      </c>
      <c r="B1637" s="19">
        <f t="shared" si="50"/>
        <v>2019</v>
      </c>
      <c r="C1637" s="19">
        <f t="shared" si="51"/>
        <v>9</v>
      </c>
      <c r="D1637" s="5" t="s">
        <v>1382</v>
      </c>
      <c r="E1637" s="5" t="s">
        <v>164</v>
      </c>
      <c r="F1637" s="5" t="s">
        <v>11</v>
      </c>
      <c r="G1637" s="5" t="s">
        <v>112</v>
      </c>
      <c r="H1637" s="5" t="s">
        <v>1241</v>
      </c>
      <c r="I1637" s="13">
        <v>747.55799999999999</v>
      </c>
      <c r="J1637" s="19">
        <v>3</v>
      </c>
      <c r="K1637" s="14">
        <v>-96.114599999999996</v>
      </c>
    </row>
    <row r="1638" spans="1:11" x14ac:dyDescent="0.25">
      <c r="A1638" s="2">
        <v>43734</v>
      </c>
      <c r="B1638" s="18">
        <f t="shared" si="50"/>
        <v>2019</v>
      </c>
      <c r="C1638" s="18">
        <f t="shared" si="51"/>
        <v>9</v>
      </c>
      <c r="D1638" s="3" t="s">
        <v>1382</v>
      </c>
      <c r="E1638" s="3" t="s">
        <v>164</v>
      </c>
      <c r="F1638" s="3" t="s">
        <v>19</v>
      </c>
      <c r="G1638" s="3" t="s">
        <v>86</v>
      </c>
      <c r="H1638" s="3" t="s">
        <v>176</v>
      </c>
      <c r="I1638" s="11">
        <v>8.9280000000000008</v>
      </c>
      <c r="J1638" s="18">
        <v>2</v>
      </c>
      <c r="K1638" s="12">
        <v>3.3479999999999999</v>
      </c>
    </row>
    <row r="1639" spans="1:11" x14ac:dyDescent="0.25">
      <c r="A1639" s="4">
        <v>43734</v>
      </c>
      <c r="B1639" s="19">
        <f t="shared" si="50"/>
        <v>2019</v>
      </c>
      <c r="C1639" s="19">
        <f t="shared" si="51"/>
        <v>9</v>
      </c>
      <c r="D1639" s="5" t="s">
        <v>887</v>
      </c>
      <c r="E1639" s="5" t="s">
        <v>18</v>
      </c>
      <c r="F1639" s="5" t="s">
        <v>11</v>
      </c>
      <c r="G1639" s="5" t="s">
        <v>12</v>
      </c>
      <c r="H1639" s="5" t="s">
        <v>1648</v>
      </c>
      <c r="I1639" s="13">
        <v>424.95749999999998</v>
      </c>
      <c r="J1639" s="19">
        <v>5</v>
      </c>
      <c r="K1639" s="14">
        <v>19.998000000000001</v>
      </c>
    </row>
    <row r="1640" spans="1:11" x14ac:dyDescent="0.25">
      <c r="A1640" s="2">
        <v>43734</v>
      </c>
      <c r="B1640" s="18">
        <f t="shared" si="50"/>
        <v>2019</v>
      </c>
      <c r="C1640" s="18">
        <f t="shared" si="51"/>
        <v>9</v>
      </c>
      <c r="D1640" s="3" t="s">
        <v>843</v>
      </c>
      <c r="E1640" s="3" t="s">
        <v>70</v>
      </c>
      <c r="F1640" s="3" t="s">
        <v>19</v>
      </c>
      <c r="G1640" s="3" t="s">
        <v>121</v>
      </c>
      <c r="H1640" s="3" t="s">
        <v>1379</v>
      </c>
      <c r="I1640" s="11">
        <v>236.88</v>
      </c>
      <c r="J1640" s="18">
        <v>6</v>
      </c>
      <c r="K1640" s="12">
        <v>66.326400000000007</v>
      </c>
    </row>
    <row r="1641" spans="1:11" x14ac:dyDescent="0.25">
      <c r="A1641" s="4">
        <v>43734</v>
      </c>
      <c r="B1641" s="19">
        <f t="shared" si="50"/>
        <v>2019</v>
      </c>
      <c r="C1641" s="19">
        <f t="shared" si="51"/>
        <v>9</v>
      </c>
      <c r="D1641" s="5" t="s">
        <v>843</v>
      </c>
      <c r="E1641" s="5" t="s">
        <v>70</v>
      </c>
      <c r="F1641" s="5" t="s">
        <v>19</v>
      </c>
      <c r="G1641" s="5" t="s">
        <v>53</v>
      </c>
      <c r="H1641" s="5" t="s">
        <v>866</v>
      </c>
      <c r="I1641" s="13">
        <v>29.9</v>
      </c>
      <c r="J1641" s="19">
        <v>5</v>
      </c>
      <c r="K1641" s="14">
        <v>14.651</v>
      </c>
    </row>
    <row r="1642" spans="1:11" x14ac:dyDescent="0.25">
      <c r="A1642" s="2">
        <v>43734</v>
      </c>
      <c r="B1642" s="18">
        <f t="shared" si="50"/>
        <v>2019</v>
      </c>
      <c r="C1642" s="18">
        <f t="shared" si="51"/>
        <v>9</v>
      </c>
      <c r="D1642" s="3" t="s">
        <v>843</v>
      </c>
      <c r="E1642" s="3" t="s">
        <v>70</v>
      </c>
      <c r="F1642" s="3" t="s">
        <v>14</v>
      </c>
      <c r="G1642" s="3" t="s">
        <v>24</v>
      </c>
      <c r="H1642" s="3" t="s">
        <v>222</v>
      </c>
      <c r="I1642" s="11">
        <v>100</v>
      </c>
      <c r="J1642" s="18">
        <v>4</v>
      </c>
      <c r="K1642" s="12">
        <v>21</v>
      </c>
    </row>
    <row r="1643" spans="1:11" x14ac:dyDescent="0.25">
      <c r="A1643" s="4">
        <v>43734</v>
      </c>
      <c r="B1643" s="19">
        <f t="shared" si="50"/>
        <v>2019</v>
      </c>
      <c r="C1643" s="19">
        <f t="shared" si="51"/>
        <v>9</v>
      </c>
      <c r="D1643" s="5" t="s">
        <v>655</v>
      </c>
      <c r="E1643" s="5" t="s">
        <v>1350</v>
      </c>
      <c r="F1643" s="5" t="s">
        <v>19</v>
      </c>
      <c r="G1643" s="5" t="s">
        <v>53</v>
      </c>
      <c r="H1643" s="5" t="s">
        <v>402</v>
      </c>
      <c r="I1643" s="13">
        <v>9.99</v>
      </c>
      <c r="J1643" s="19">
        <v>1</v>
      </c>
      <c r="K1643" s="14">
        <v>4.4954999999999998</v>
      </c>
    </row>
    <row r="1644" spans="1:11" x14ac:dyDescent="0.25">
      <c r="A1644" s="2">
        <v>43734</v>
      </c>
      <c r="B1644" s="18">
        <f t="shared" si="50"/>
        <v>2019</v>
      </c>
      <c r="C1644" s="18">
        <f t="shared" si="51"/>
        <v>9</v>
      </c>
      <c r="D1644" s="3" t="s">
        <v>1649</v>
      </c>
      <c r="E1644" s="3" t="s">
        <v>18</v>
      </c>
      <c r="F1644" s="3" t="s">
        <v>19</v>
      </c>
      <c r="G1644" s="3" t="s">
        <v>20</v>
      </c>
      <c r="H1644" s="3" t="s">
        <v>1650</v>
      </c>
      <c r="I1644" s="11">
        <v>51.45</v>
      </c>
      <c r="J1644" s="18">
        <v>3</v>
      </c>
      <c r="K1644" s="12">
        <v>13.891500000000001</v>
      </c>
    </row>
    <row r="1645" spans="1:11" x14ac:dyDescent="0.25">
      <c r="A1645" s="4">
        <v>43734</v>
      </c>
      <c r="B1645" s="19">
        <f t="shared" si="50"/>
        <v>2019</v>
      </c>
      <c r="C1645" s="19">
        <f t="shared" si="51"/>
        <v>9</v>
      </c>
      <c r="D1645" s="5" t="s">
        <v>1649</v>
      </c>
      <c r="E1645" s="5" t="s">
        <v>18</v>
      </c>
      <c r="F1645" s="5" t="s">
        <v>19</v>
      </c>
      <c r="G1645" s="5" t="s">
        <v>127</v>
      </c>
      <c r="H1645" s="5" t="s">
        <v>1261</v>
      </c>
      <c r="I1645" s="13">
        <v>7.83</v>
      </c>
      <c r="J1645" s="19">
        <v>3</v>
      </c>
      <c r="K1645" s="14">
        <v>3.6017999999999999</v>
      </c>
    </row>
    <row r="1646" spans="1:11" x14ac:dyDescent="0.25">
      <c r="A1646" s="2">
        <v>43734</v>
      </c>
      <c r="B1646" s="18">
        <f t="shared" si="50"/>
        <v>2019</v>
      </c>
      <c r="C1646" s="18">
        <f t="shared" si="51"/>
        <v>9</v>
      </c>
      <c r="D1646" s="3" t="s">
        <v>1649</v>
      </c>
      <c r="E1646" s="3" t="s">
        <v>18</v>
      </c>
      <c r="F1646" s="3" t="s">
        <v>19</v>
      </c>
      <c r="G1646" s="3" t="s">
        <v>40</v>
      </c>
      <c r="H1646" s="3" t="s">
        <v>1571</v>
      </c>
      <c r="I1646" s="11">
        <v>35.4</v>
      </c>
      <c r="J1646" s="18">
        <v>5</v>
      </c>
      <c r="K1646" s="12">
        <v>13.452</v>
      </c>
    </row>
    <row r="1647" spans="1:11" x14ac:dyDescent="0.25">
      <c r="A1647" s="4">
        <v>43734</v>
      </c>
      <c r="B1647" s="19">
        <f t="shared" si="50"/>
        <v>2019</v>
      </c>
      <c r="C1647" s="19">
        <f t="shared" si="51"/>
        <v>9</v>
      </c>
      <c r="D1647" s="5" t="s">
        <v>1649</v>
      </c>
      <c r="E1647" s="5" t="s">
        <v>18</v>
      </c>
      <c r="F1647" s="5" t="s">
        <v>19</v>
      </c>
      <c r="G1647" s="5" t="s">
        <v>53</v>
      </c>
      <c r="H1647" s="5" t="s">
        <v>937</v>
      </c>
      <c r="I1647" s="13">
        <v>29.9</v>
      </c>
      <c r="J1647" s="19">
        <v>5</v>
      </c>
      <c r="K1647" s="14">
        <v>13.455</v>
      </c>
    </row>
    <row r="1648" spans="1:11" x14ac:dyDescent="0.25">
      <c r="A1648" s="2">
        <v>43734</v>
      </c>
      <c r="B1648" s="18">
        <f t="shared" si="50"/>
        <v>2019</v>
      </c>
      <c r="C1648" s="18">
        <f t="shared" si="51"/>
        <v>9</v>
      </c>
      <c r="D1648" s="3" t="s">
        <v>1336</v>
      </c>
      <c r="E1648" s="3" t="s">
        <v>18</v>
      </c>
      <c r="F1648" s="3" t="s">
        <v>19</v>
      </c>
      <c r="G1648" s="3" t="s">
        <v>53</v>
      </c>
      <c r="H1648" s="3" t="s">
        <v>1651</v>
      </c>
      <c r="I1648" s="11">
        <v>12.96</v>
      </c>
      <c r="J1648" s="18">
        <v>2</v>
      </c>
      <c r="K1648" s="12">
        <v>6.2207999999999997</v>
      </c>
    </row>
    <row r="1649" spans="1:11" x14ac:dyDescent="0.25">
      <c r="A1649" s="4">
        <v>43734</v>
      </c>
      <c r="B1649" s="19">
        <f t="shared" si="50"/>
        <v>2019</v>
      </c>
      <c r="C1649" s="19">
        <f t="shared" si="51"/>
        <v>9</v>
      </c>
      <c r="D1649" s="5" t="s">
        <v>691</v>
      </c>
      <c r="E1649" s="5" t="s">
        <v>44</v>
      </c>
      <c r="F1649" s="5" t="s">
        <v>14</v>
      </c>
      <c r="G1649" s="5" t="s">
        <v>24</v>
      </c>
      <c r="H1649" s="5" t="s">
        <v>763</v>
      </c>
      <c r="I1649" s="13">
        <v>431.976</v>
      </c>
      <c r="J1649" s="19">
        <v>3</v>
      </c>
      <c r="K1649" s="14">
        <v>-75.595799999999997</v>
      </c>
    </row>
    <row r="1650" spans="1:11" x14ac:dyDescent="0.25">
      <c r="A1650" s="2">
        <v>43734</v>
      </c>
      <c r="B1650" s="18">
        <f t="shared" si="50"/>
        <v>2019</v>
      </c>
      <c r="C1650" s="18">
        <f t="shared" si="51"/>
        <v>9</v>
      </c>
      <c r="D1650" s="3" t="s">
        <v>1652</v>
      </c>
      <c r="E1650" s="3" t="s">
        <v>23</v>
      </c>
      <c r="F1650" s="3" t="s">
        <v>19</v>
      </c>
      <c r="G1650" s="3" t="s">
        <v>32</v>
      </c>
      <c r="H1650" s="3" t="s">
        <v>1653</v>
      </c>
      <c r="I1650" s="11">
        <v>15.624000000000001</v>
      </c>
      <c r="J1650" s="18">
        <v>2</v>
      </c>
      <c r="K1650" s="12">
        <v>-24.9984</v>
      </c>
    </row>
    <row r="1651" spans="1:11" x14ac:dyDescent="0.25">
      <c r="A1651" s="4">
        <v>43734</v>
      </c>
      <c r="B1651" s="19">
        <f t="shared" si="50"/>
        <v>2019</v>
      </c>
      <c r="C1651" s="19">
        <f t="shared" si="51"/>
        <v>9</v>
      </c>
      <c r="D1651" s="5" t="s">
        <v>1654</v>
      </c>
      <c r="E1651" s="5" t="s">
        <v>23</v>
      </c>
      <c r="F1651" s="5" t="s">
        <v>19</v>
      </c>
      <c r="G1651" s="5" t="s">
        <v>121</v>
      </c>
      <c r="H1651" s="5" t="s">
        <v>1655</v>
      </c>
      <c r="I1651" s="13">
        <v>93.031999999999996</v>
      </c>
      <c r="J1651" s="19">
        <v>2</v>
      </c>
      <c r="K1651" s="14">
        <v>-251.18639999999999</v>
      </c>
    </row>
    <row r="1652" spans="1:11" x14ac:dyDescent="0.25">
      <c r="A1652" s="2">
        <v>43734</v>
      </c>
      <c r="B1652" s="18">
        <f t="shared" si="50"/>
        <v>2019</v>
      </c>
      <c r="C1652" s="18">
        <f t="shared" si="51"/>
        <v>9</v>
      </c>
      <c r="D1652" s="3" t="s">
        <v>1654</v>
      </c>
      <c r="E1652" s="3" t="s">
        <v>23</v>
      </c>
      <c r="F1652" s="3" t="s">
        <v>11</v>
      </c>
      <c r="G1652" s="3" t="s">
        <v>112</v>
      </c>
      <c r="H1652" s="3" t="s">
        <v>1656</v>
      </c>
      <c r="I1652" s="11">
        <v>454.96499999999997</v>
      </c>
      <c r="J1652" s="18">
        <v>5</v>
      </c>
      <c r="K1652" s="12">
        <v>-136.48949999999999</v>
      </c>
    </row>
    <row r="1653" spans="1:11" x14ac:dyDescent="0.25">
      <c r="A1653" s="4">
        <v>43734</v>
      </c>
      <c r="B1653" s="19">
        <f t="shared" si="50"/>
        <v>2019</v>
      </c>
      <c r="C1653" s="19">
        <f t="shared" si="51"/>
        <v>9</v>
      </c>
      <c r="D1653" s="5" t="s">
        <v>1484</v>
      </c>
      <c r="E1653" s="5" t="s">
        <v>23</v>
      </c>
      <c r="F1653" s="5" t="s">
        <v>19</v>
      </c>
      <c r="G1653" s="5" t="s">
        <v>32</v>
      </c>
      <c r="H1653" s="5" t="s">
        <v>1657</v>
      </c>
      <c r="I1653" s="13">
        <v>6.8159999999999998</v>
      </c>
      <c r="J1653" s="19">
        <v>2</v>
      </c>
      <c r="K1653" s="14">
        <v>-11.587199999999999</v>
      </c>
    </row>
    <row r="1654" spans="1:11" x14ac:dyDescent="0.25">
      <c r="A1654" s="2">
        <v>43735</v>
      </c>
      <c r="B1654" s="18">
        <f t="shared" si="50"/>
        <v>2019</v>
      </c>
      <c r="C1654" s="18">
        <f t="shared" si="51"/>
        <v>9</v>
      </c>
      <c r="D1654" s="3" t="s">
        <v>828</v>
      </c>
      <c r="E1654" s="3" t="s">
        <v>23</v>
      </c>
      <c r="F1654" s="3" t="s">
        <v>11</v>
      </c>
      <c r="G1654" s="3" t="s">
        <v>12</v>
      </c>
      <c r="H1654" s="3" t="s">
        <v>1658</v>
      </c>
      <c r="I1654" s="11">
        <v>956.66480000000001</v>
      </c>
      <c r="J1654" s="18">
        <v>7</v>
      </c>
      <c r="K1654" s="12">
        <v>-225.0976</v>
      </c>
    </row>
    <row r="1655" spans="1:11" x14ac:dyDescent="0.25">
      <c r="A1655" s="4">
        <v>43735</v>
      </c>
      <c r="B1655" s="19">
        <f t="shared" si="50"/>
        <v>2019</v>
      </c>
      <c r="C1655" s="19">
        <f t="shared" si="51"/>
        <v>9</v>
      </c>
      <c r="D1655" s="5" t="s">
        <v>1659</v>
      </c>
      <c r="E1655" s="5" t="s">
        <v>67</v>
      </c>
      <c r="F1655" s="5" t="s">
        <v>19</v>
      </c>
      <c r="G1655" s="5" t="s">
        <v>32</v>
      </c>
      <c r="H1655" s="5" t="s">
        <v>715</v>
      </c>
      <c r="I1655" s="13">
        <v>2.907</v>
      </c>
      <c r="J1655" s="19">
        <v>3</v>
      </c>
      <c r="K1655" s="14">
        <v>-2.0348999999999999</v>
      </c>
    </row>
    <row r="1656" spans="1:11" x14ac:dyDescent="0.25">
      <c r="A1656" s="2">
        <v>43735</v>
      </c>
      <c r="B1656" s="18">
        <f t="shared" si="50"/>
        <v>2019</v>
      </c>
      <c r="C1656" s="18">
        <f t="shared" si="51"/>
        <v>9</v>
      </c>
      <c r="D1656" s="3" t="s">
        <v>1660</v>
      </c>
      <c r="E1656" s="3" t="s">
        <v>70</v>
      </c>
      <c r="F1656" s="3" t="s">
        <v>14</v>
      </c>
      <c r="G1656" s="3" t="s">
        <v>15</v>
      </c>
      <c r="H1656" s="3" t="s">
        <v>1661</v>
      </c>
      <c r="I1656" s="11">
        <v>1001.5839999999999</v>
      </c>
      <c r="J1656" s="18">
        <v>2</v>
      </c>
      <c r="K1656" s="12">
        <v>125.19799999999999</v>
      </c>
    </row>
    <row r="1657" spans="1:11" x14ac:dyDescent="0.25">
      <c r="A1657" s="4">
        <v>43735</v>
      </c>
      <c r="B1657" s="19">
        <f t="shared" si="50"/>
        <v>2019</v>
      </c>
      <c r="C1657" s="19">
        <f t="shared" si="51"/>
        <v>9</v>
      </c>
      <c r="D1657" s="5" t="s">
        <v>1285</v>
      </c>
      <c r="E1657" s="5" t="s">
        <v>109</v>
      </c>
      <c r="F1657" s="5" t="s">
        <v>19</v>
      </c>
      <c r="G1657" s="5" t="s">
        <v>53</v>
      </c>
      <c r="H1657" s="5" t="s">
        <v>769</v>
      </c>
      <c r="I1657" s="13">
        <v>17.940000000000001</v>
      </c>
      <c r="J1657" s="19">
        <v>3</v>
      </c>
      <c r="K1657" s="14">
        <v>8.7905999999999995</v>
      </c>
    </row>
    <row r="1658" spans="1:11" x14ac:dyDescent="0.25">
      <c r="A1658" s="2">
        <v>43735</v>
      </c>
      <c r="B1658" s="18">
        <f t="shared" si="50"/>
        <v>2019</v>
      </c>
      <c r="C1658" s="18">
        <f t="shared" si="51"/>
        <v>9</v>
      </c>
      <c r="D1658" s="3" t="s">
        <v>1285</v>
      </c>
      <c r="E1658" s="3" t="s">
        <v>109</v>
      </c>
      <c r="F1658" s="3" t="s">
        <v>19</v>
      </c>
      <c r="G1658" s="3" t="s">
        <v>40</v>
      </c>
      <c r="H1658" s="3" t="s">
        <v>982</v>
      </c>
      <c r="I1658" s="11">
        <v>13.89</v>
      </c>
      <c r="J1658" s="18">
        <v>3</v>
      </c>
      <c r="K1658" s="12">
        <v>4.5837000000000003</v>
      </c>
    </row>
    <row r="1659" spans="1:11" x14ac:dyDescent="0.25">
      <c r="A1659" s="4">
        <v>43736</v>
      </c>
      <c r="B1659" s="19">
        <f t="shared" si="50"/>
        <v>2019</v>
      </c>
      <c r="C1659" s="19">
        <f t="shared" si="51"/>
        <v>9</v>
      </c>
      <c r="D1659" s="5" t="s">
        <v>431</v>
      </c>
      <c r="E1659" s="5" t="s">
        <v>164</v>
      </c>
      <c r="F1659" s="5" t="s">
        <v>19</v>
      </c>
      <c r="G1659" s="5" t="s">
        <v>53</v>
      </c>
      <c r="H1659" s="5" t="s">
        <v>1145</v>
      </c>
      <c r="I1659" s="13">
        <v>99.135999999999996</v>
      </c>
      <c r="J1659" s="19">
        <v>4</v>
      </c>
      <c r="K1659" s="14">
        <v>30.98</v>
      </c>
    </row>
    <row r="1660" spans="1:11" x14ac:dyDescent="0.25">
      <c r="A1660" s="2">
        <v>43737</v>
      </c>
      <c r="B1660" s="18">
        <f t="shared" si="50"/>
        <v>2019</v>
      </c>
      <c r="C1660" s="18">
        <f t="shared" si="51"/>
        <v>9</v>
      </c>
      <c r="D1660" s="3" t="s">
        <v>1240</v>
      </c>
      <c r="E1660" s="3" t="s">
        <v>39</v>
      </c>
      <c r="F1660" s="3" t="s">
        <v>19</v>
      </c>
      <c r="G1660" s="3" t="s">
        <v>127</v>
      </c>
      <c r="H1660" s="3" t="s">
        <v>1662</v>
      </c>
      <c r="I1660" s="11">
        <v>15.936</v>
      </c>
      <c r="J1660" s="18">
        <v>4</v>
      </c>
      <c r="K1660" s="12">
        <v>5.1791999999999998</v>
      </c>
    </row>
    <row r="1661" spans="1:11" x14ac:dyDescent="0.25">
      <c r="A1661" s="4">
        <v>43737</v>
      </c>
      <c r="B1661" s="19">
        <f t="shared" si="50"/>
        <v>2019</v>
      </c>
      <c r="C1661" s="19">
        <f t="shared" si="51"/>
        <v>9</v>
      </c>
      <c r="D1661" s="5" t="s">
        <v>1184</v>
      </c>
      <c r="E1661" s="5" t="s">
        <v>317</v>
      </c>
      <c r="F1661" s="5" t="s">
        <v>19</v>
      </c>
      <c r="G1661" s="5" t="s">
        <v>40</v>
      </c>
      <c r="H1661" s="5" t="s">
        <v>1663</v>
      </c>
      <c r="I1661" s="13">
        <v>40.880000000000003</v>
      </c>
      <c r="J1661" s="19">
        <v>7</v>
      </c>
      <c r="K1661" s="14">
        <v>10.6288</v>
      </c>
    </row>
    <row r="1662" spans="1:11" x14ac:dyDescent="0.25">
      <c r="A1662" s="2">
        <v>43737</v>
      </c>
      <c r="B1662" s="18">
        <f t="shared" si="50"/>
        <v>2019</v>
      </c>
      <c r="C1662" s="18">
        <f t="shared" si="51"/>
        <v>9</v>
      </c>
      <c r="D1662" s="3" t="s">
        <v>369</v>
      </c>
      <c r="E1662" s="3" t="s">
        <v>18</v>
      </c>
      <c r="F1662" s="3" t="s">
        <v>19</v>
      </c>
      <c r="G1662" s="3" t="s">
        <v>53</v>
      </c>
      <c r="H1662" s="3" t="s">
        <v>1664</v>
      </c>
      <c r="I1662" s="11">
        <v>18.97</v>
      </c>
      <c r="J1662" s="18">
        <v>1</v>
      </c>
      <c r="K1662" s="12">
        <v>9.1056000000000008</v>
      </c>
    </row>
    <row r="1663" spans="1:11" x14ac:dyDescent="0.25">
      <c r="A1663" s="4">
        <v>43737</v>
      </c>
      <c r="B1663" s="19">
        <f t="shared" si="50"/>
        <v>2019</v>
      </c>
      <c r="C1663" s="19">
        <f t="shared" si="51"/>
        <v>9</v>
      </c>
      <c r="D1663" s="5" t="s">
        <v>877</v>
      </c>
      <c r="E1663" s="5" t="s">
        <v>898</v>
      </c>
      <c r="F1663" s="5" t="s">
        <v>14</v>
      </c>
      <c r="G1663" s="5" t="s">
        <v>24</v>
      </c>
      <c r="H1663" s="5" t="s">
        <v>64</v>
      </c>
      <c r="I1663" s="13">
        <v>209.97</v>
      </c>
      <c r="J1663" s="19">
        <v>3</v>
      </c>
      <c r="K1663" s="14">
        <v>71.389799999999994</v>
      </c>
    </row>
    <row r="1664" spans="1:11" x14ac:dyDescent="0.25">
      <c r="A1664" s="2">
        <v>43737</v>
      </c>
      <c r="B1664" s="18">
        <f t="shared" si="50"/>
        <v>2019</v>
      </c>
      <c r="C1664" s="18">
        <f t="shared" si="51"/>
        <v>9</v>
      </c>
      <c r="D1664" s="3" t="s">
        <v>877</v>
      </c>
      <c r="E1664" s="3" t="s">
        <v>898</v>
      </c>
      <c r="F1664" s="3" t="s">
        <v>19</v>
      </c>
      <c r="G1664" s="3" t="s">
        <v>32</v>
      </c>
      <c r="H1664" s="3" t="s">
        <v>1053</v>
      </c>
      <c r="I1664" s="11">
        <v>62.94</v>
      </c>
      <c r="J1664" s="18">
        <v>3</v>
      </c>
      <c r="K1664" s="12">
        <v>30.211200000000002</v>
      </c>
    </row>
    <row r="1665" spans="1:11" x14ac:dyDescent="0.25">
      <c r="A1665" s="4">
        <v>43737</v>
      </c>
      <c r="B1665" s="19">
        <f t="shared" si="50"/>
        <v>2019</v>
      </c>
      <c r="C1665" s="19">
        <f t="shared" si="51"/>
        <v>9</v>
      </c>
      <c r="D1665" s="5" t="s">
        <v>877</v>
      </c>
      <c r="E1665" s="5" t="s">
        <v>898</v>
      </c>
      <c r="F1665" s="5" t="s">
        <v>19</v>
      </c>
      <c r="G1665" s="5" t="s">
        <v>40</v>
      </c>
      <c r="H1665" s="5" t="s">
        <v>1665</v>
      </c>
      <c r="I1665" s="13">
        <v>25.92</v>
      </c>
      <c r="J1665" s="19">
        <v>9</v>
      </c>
      <c r="K1665" s="14">
        <v>7.7759999999999998</v>
      </c>
    </row>
    <row r="1666" spans="1:11" x14ac:dyDescent="0.25">
      <c r="A1666" s="2">
        <v>43737</v>
      </c>
      <c r="B1666" s="18">
        <f t="shared" ref="B1666:B1729" si="52">YEAR(A1666)</f>
        <v>2019</v>
      </c>
      <c r="C1666" s="18">
        <f t="shared" ref="C1666:C1729" si="53">MONTH(A1666)</f>
        <v>9</v>
      </c>
      <c r="D1666" s="3" t="s">
        <v>1666</v>
      </c>
      <c r="E1666" s="3" t="s">
        <v>18</v>
      </c>
      <c r="F1666" s="3" t="s">
        <v>19</v>
      </c>
      <c r="G1666" s="3" t="s">
        <v>32</v>
      </c>
      <c r="H1666" s="3" t="s">
        <v>344</v>
      </c>
      <c r="I1666" s="11">
        <v>27.24</v>
      </c>
      <c r="J1666" s="18">
        <v>5</v>
      </c>
      <c r="K1666" s="12">
        <v>9.5340000000000007</v>
      </c>
    </row>
    <row r="1667" spans="1:11" x14ac:dyDescent="0.25">
      <c r="A1667" s="4">
        <v>43737</v>
      </c>
      <c r="B1667" s="19">
        <f t="shared" si="52"/>
        <v>2019</v>
      </c>
      <c r="C1667" s="19">
        <f t="shared" si="53"/>
        <v>9</v>
      </c>
      <c r="D1667" s="5" t="s">
        <v>479</v>
      </c>
      <c r="E1667" s="5" t="s">
        <v>198</v>
      </c>
      <c r="F1667" s="5" t="s">
        <v>19</v>
      </c>
      <c r="G1667" s="5" t="s">
        <v>40</v>
      </c>
      <c r="H1667" s="5" t="s">
        <v>1667</v>
      </c>
      <c r="I1667" s="13">
        <v>10.496</v>
      </c>
      <c r="J1667" s="19">
        <v>4</v>
      </c>
      <c r="K1667" s="14">
        <v>1.1808000000000001</v>
      </c>
    </row>
    <row r="1668" spans="1:11" x14ac:dyDescent="0.25">
      <c r="A1668" s="2">
        <v>43737</v>
      </c>
      <c r="B1668" s="18">
        <f t="shared" si="52"/>
        <v>2019</v>
      </c>
      <c r="C1668" s="18">
        <f t="shared" si="53"/>
        <v>9</v>
      </c>
      <c r="D1668" s="3" t="s">
        <v>565</v>
      </c>
      <c r="E1668" s="3" t="s">
        <v>465</v>
      </c>
      <c r="F1668" s="3" t="s">
        <v>14</v>
      </c>
      <c r="G1668" s="3" t="s">
        <v>15</v>
      </c>
      <c r="H1668" s="3" t="s">
        <v>941</v>
      </c>
      <c r="I1668" s="11">
        <v>859.2</v>
      </c>
      <c r="J1668" s="18">
        <v>3</v>
      </c>
      <c r="K1668" s="12">
        <v>75.180000000000007</v>
      </c>
    </row>
    <row r="1669" spans="1:11" x14ac:dyDescent="0.25">
      <c r="A1669" s="4">
        <v>43737</v>
      </c>
      <c r="B1669" s="19">
        <f t="shared" si="52"/>
        <v>2019</v>
      </c>
      <c r="C1669" s="19">
        <f t="shared" si="53"/>
        <v>9</v>
      </c>
      <c r="D1669" s="5" t="s">
        <v>1668</v>
      </c>
      <c r="E1669" s="5" t="s">
        <v>18</v>
      </c>
      <c r="F1669" s="5" t="s">
        <v>14</v>
      </c>
      <c r="G1669" s="5" t="s">
        <v>24</v>
      </c>
      <c r="H1669" s="5" t="s">
        <v>287</v>
      </c>
      <c r="I1669" s="13">
        <v>36.24</v>
      </c>
      <c r="J1669" s="19">
        <v>1</v>
      </c>
      <c r="K1669" s="14">
        <v>15.220800000000001</v>
      </c>
    </row>
    <row r="1670" spans="1:11" x14ac:dyDescent="0.25">
      <c r="A1670" s="2">
        <v>43738</v>
      </c>
      <c r="B1670" s="18">
        <f t="shared" si="52"/>
        <v>2019</v>
      </c>
      <c r="C1670" s="18">
        <f t="shared" si="53"/>
        <v>9</v>
      </c>
      <c r="D1670" s="3" t="s">
        <v>1669</v>
      </c>
      <c r="E1670" s="3" t="s">
        <v>164</v>
      </c>
      <c r="F1670" s="3" t="s">
        <v>19</v>
      </c>
      <c r="G1670" s="3" t="s">
        <v>32</v>
      </c>
      <c r="H1670" s="3" t="s">
        <v>885</v>
      </c>
      <c r="I1670" s="11">
        <v>1.964</v>
      </c>
      <c r="J1670" s="18">
        <v>2</v>
      </c>
      <c r="K1670" s="12">
        <v>-3.2406000000000001</v>
      </c>
    </row>
    <row r="1671" spans="1:11" x14ac:dyDescent="0.25">
      <c r="A1671" s="4">
        <v>43738</v>
      </c>
      <c r="B1671" s="19">
        <f t="shared" si="52"/>
        <v>2019</v>
      </c>
      <c r="C1671" s="19">
        <f t="shared" si="53"/>
        <v>9</v>
      </c>
      <c r="D1671" s="5" t="s">
        <v>1011</v>
      </c>
      <c r="E1671" s="5" t="s">
        <v>94</v>
      </c>
      <c r="F1671" s="5" t="s">
        <v>11</v>
      </c>
      <c r="G1671" s="5" t="s">
        <v>12</v>
      </c>
      <c r="H1671" s="5" t="s">
        <v>1670</v>
      </c>
      <c r="I1671" s="13">
        <v>523.91999999999996</v>
      </c>
      <c r="J1671" s="19">
        <v>5</v>
      </c>
      <c r="K1671" s="14">
        <v>-26.196000000000002</v>
      </c>
    </row>
    <row r="1672" spans="1:11" x14ac:dyDescent="0.25">
      <c r="A1672" s="2">
        <v>43739</v>
      </c>
      <c r="B1672" s="18">
        <f t="shared" si="52"/>
        <v>2019</v>
      </c>
      <c r="C1672" s="18">
        <f t="shared" si="53"/>
        <v>10</v>
      </c>
      <c r="D1672" s="3" t="s">
        <v>354</v>
      </c>
      <c r="E1672" s="3" t="s">
        <v>18</v>
      </c>
      <c r="F1672" s="3" t="s">
        <v>11</v>
      </c>
      <c r="G1672" s="3" t="s">
        <v>112</v>
      </c>
      <c r="H1672" s="3" t="s">
        <v>1116</v>
      </c>
      <c r="I1672" s="11">
        <v>194.84800000000001</v>
      </c>
      <c r="J1672" s="18">
        <v>4</v>
      </c>
      <c r="K1672" s="12">
        <v>12.178000000000001</v>
      </c>
    </row>
    <row r="1673" spans="1:11" x14ac:dyDescent="0.25">
      <c r="A1673" s="4">
        <v>43739</v>
      </c>
      <c r="B1673" s="19">
        <f t="shared" si="52"/>
        <v>2019</v>
      </c>
      <c r="C1673" s="19">
        <f t="shared" si="53"/>
        <v>10</v>
      </c>
      <c r="D1673" s="5" t="s">
        <v>319</v>
      </c>
      <c r="E1673" s="5" t="s">
        <v>317</v>
      </c>
      <c r="F1673" s="5" t="s">
        <v>14</v>
      </c>
      <c r="G1673" s="5" t="s">
        <v>15</v>
      </c>
      <c r="H1673" s="5" t="s">
        <v>210</v>
      </c>
      <c r="I1673" s="13">
        <v>69.900000000000006</v>
      </c>
      <c r="J1673" s="19">
        <v>2</v>
      </c>
      <c r="K1673" s="14">
        <v>18.873000000000001</v>
      </c>
    </row>
    <row r="1674" spans="1:11" x14ac:dyDescent="0.25">
      <c r="A1674" s="2">
        <v>43739</v>
      </c>
      <c r="B1674" s="18">
        <f t="shared" si="52"/>
        <v>2019</v>
      </c>
      <c r="C1674" s="18">
        <f t="shared" si="53"/>
        <v>10</v>
      </c>
      <c r="D1674" s="3" t="s">
        <v>319</v>
      </c>
      <c r="E1674" s="3" t="s">
        <v>317</v>
      </c>
      <c r="F1674" s="3" t="s">
        <v>11</v>
      </c>
      <c r="G1674" s="3" t="s">
        <v>51</v>
      </c>
      <c r="H1674" s="3" t="s">
        <v>434</v>
      </c>
      <c r="I1674" s="11">
        <v>41.85</v>
      </c>
      <c r="J1674" s="18">
        <v>5</v>
      </c>
      <c r="K1674" s="12">
        <v>10.881</v>
      </c>
    </row>
    <row r="1675" spans="1:11" x14ac:dyDescent="0.25">
      <c r="A1675" s="4">
        <v>43739</v>
      </c>
      <c r="B1675" s="19">
        <f t="shared" si="52"/>
        <v>2019</v>
      </c>
      <c r="C1675" s="19">
        <f t="shared" si="53"/>
        <v>10</v>
      </c>
      <c r="D1675" s="5" t="s">
        <v>1011</v>
      </c>
      <c r="E1675" s="5" t="s">
        <v>94</v>
      </c>
      <c r="F1675" s="5" t="s">
        <v>11</v>
      </c>
      <c r="G1675" s="5" t="s">
        <v>30</v>
      </c>
      <c r="H1675" s="5" t="s">
        <v>1514</v>
      </c>
      <c r="I1675" s="13">
        <v>330.58800000000002</v>
      </c>
      <c r="J1675" s="19">
        <v>1</v>
      </c>
      <c r="K1675" s="14">
        <v>-115.7058</v>
      </c>
    </row>
    <row r="1676" spans="1:11" x14ac:dyDescent="0.25">
      <c r="A1676" s="2">
        <v>43739</v>
      </c>
      <c r="B1676" s="18">
        <f t="shared" si="52"/>
        <v>2019</v>
      </c>
      <c r="C1676" s="18">
        <f t="shared" si="53"/>
        <v>10</v>
      </c>
      <c r="D1676" s="3" t="s">
        <v>1357</v>
      </c>
      <c r="E1676" s="3" t="s">
        <v>23</v>
      </c>
      <c r="F1676" s="3" t="s">
        <v>14</v>
      </c>
      <c r="G1676" s="3" t="s">
        <v>24</v>
      </c>
      <c r="H1676" s="3" t="s">
        <v>760</v>
      </c>
      <c r="I1676" s="11">
        <v>79.512</v>
      </c>
      <c r="J1676" s="18">
        <v>3</v>
      </c>
      <c r="K1676" s="12">
        <v>20.8719</v>
      </c>
    </row>
    <row r="1677" spans="1:11" x14ac:dyDescent="0.25">
      <c r="A1677" s="4">
        <v>43739</v>
      </c>
      <c r="B1677" s="19">
        <f t="shared" si="52"/>
        <v>2019</v>
      </c>
      <c r="C1677" s="19">
        <f t="shared" si="53"/>
        <v>10</v>
      </c>
      <c r="D1677" s="5" t="s">
        <v>1357</v>
      </c>
      <c r="E1677" s="5" t="s">
        <v>23</v>
      </c>
      <c r="F1677" s="5" t="s">
        <v>19</v>
      </c>
      <c r="G1677" s="5" t="s">
        <v>53</v>
      </c>
      <c r="H1677" s="5" t="s">
        <v>172</v>
      </c>
      <c r="I1677" s="13">
        <v>28.352</v>
      </c>
      <c r="J1677" s="19">
        <v>1</v>
      </c>
      <c r="K1677" s="14">
        <v>9.5687999999999995</v>
      </c>
    </row>
    <row r="1678" spans="1:11" x14ac:dyDescent="0.25">
      <c r="A1678" s="2">
        <v>43739</v>
      </c>
      <c r="B1678" s="18">
        <f t="shared" si="52"/>
        <v>2019</v>
      </c>
      <c r="C1678" s="18">
        <f t="shared" si="53"/>
        <v>10</v>
      </c>
      <c r="D1678" s="3" t="s">
        <v>1671</v>
      </c>
      <c r="E1678" s="3" t="s">
        <v>44</v>
      </c>
      <c r="F1678" s="3" t="s">
        <v>19</v>
      </c>
      <c r="G1678" s="3" t="s">
        <v>32</v>
      </c>
      <c r="H1678" s="3" t="s">
        <v>539</v>
      </c>
      <c r="I1678" s="11">
        <v>5.3879999999999999</v>
      </c>
      <c r="J1678" s="18">
        <v>4</v>
      </c>
      <c r="K1678" s="12">
        <v>-4.49</v>
      </c>
    </row>
    <row r="1679" spans="1:11" x14ac:dyDescent="0.25">
      <c r="A1679" s="4">
        <v>43739</v>
      </c>
      <c r="B1679" s="19">
        <f t="shared" si="52"/>
        <v>2019</v>
      </c>
      <c r="C1679" s="19">
        <f t="shared" si="53"/>
        <v>10</v>
      </c>
      <c r="D1679" s="5" t="s">
        <v>1671</v>
      </c>
      <c r="E1679" s="5" t="s">
        <v>44</v>
      </c>
      <c r="F1679" s="5" t="s">
        <v>19</v>
      </c>
      <c r="G1679" s="5" t="s">
        <v>40</v>
      </c>
      <c r="H1679" s="5" t="s">
        <v>1672</v>
      </c>
      <c r="I1679" s="13">
        <v>30.975999999999999</v>
      </c>
      <c r="J1679" s="19">
        <v>8</v>
      </c>
      <c r="K1679" s="14">
        <v>5.0335999999999999</v>
      </c>
    </row>
    <row r="1680" spans="1:11" x14ac:dyDescent="0.25">
      <c r="A1680" s="2">
        <v>43740</v>
      </c>
      <c r="B1680" s="18">
        <f t="shared" si="52"/>
        <v>2019</v>
      </c>
      <c r="C1680" s="18">
        <f t="shared" si="53"/>
        <v>10</v>
      </c>
      <c r="D1680" s="3" t="s">
        <v>1673</v>
      </c>
      <c r="E1680" s="3" t="s">
        <v>94</v>
      </c>
      <c r="F1680" s="3" t="s">
        <v>19</v>
      </c>
      <c r="G1680" s="3" t="s">
        <v>121</v>
      </c>
      <c r="H1680" s="3" t="s">
        <v>1674</v>
      </c>
      <c r="I1680" s="11">
        <v>61.44</v>
      </c>
      <c r="J1680" s="18">
        <v>3</v>
      </c>
      <c r="K1680" s="12">
        <v>16.588799999999999</v>
      </c>
    </row>
    <row r="1681" spans="1:11" x14ac:dyDescent="0.25">
      <c r="A1681" s="4">
        <v>43740</v>
      </c>
      <c r="B1681" s="19">
        <f t="shared" si="52"/>
        <v>2019</v>
      </c>
      <c r="C1681" s="19">
        <f t="shared" si="53"/>
        <v>10</v>
      </c>
      <c r="D1681" s="5" t="s">
        <v>1006</v>
      </c>
      <c r="E1681" s="5" t="s">
        <v>198</v>
      </c>
      <c r="F1681" s="5" t="s">
        <v>19</v>
      </c>
      <c r="G1681" s="5" t="s">
        <v>32</v>
      </c>
      <c r="H1681" s="5" t="s">
        <v>1310</v>
      </c>
      <c r="I1681" s="13">
        <v>54.792000000000002</v>
      </c>
      <c r="J1681" s="19">
        <v>6</v>
      </c>
      <c r="K1681" s="14">
        <v>-40.180799999999998</v>
      </c>
    </row>
    <row r="1682" spans="1:11" x14ac:dyDescent="0.25">
      <c r="A1682" s="2">
        <v>43740</v>
      </c>
      <c r="B1682" s="18">
        <f t="shared" si="52"/>
        <v>2019</v>
      </c>
      <c r="C1682" s="18">
        <f t="shared" si="53"/>
        <v>10</v>
      </c>
      <c r="D1682" s="3" t="s">
        <v>1675</v>
      </c>
      <c r="E1682" s="3" t="s">
        <v>317</v>
      </c>
      <c r="F1682" s="3" t="s">
        <v>19</v>
      </c>
      <c r="G1682" s="3" t="s">
        <v>20</v>
      </c>
      <c r="H1682" s="3" t="s">
        <v>341</v>
      </c>
      <c r="I1682" s="11">
        <v>32.479999999999997</v>
      </c>
      <c r="J1682" s="18">
        <v>2</v>
      </c>
      <c r="K1682" s="12">
        <v>4.8719999999999999</v>
      </c>
    </row>
    <row r="1683" spans="1:11" x14ac:dyDescent="0.25">
      <c r="A1683" s="4">
        <v>43740</v>
      </c>
      <c r="B1683" s="19">
        <f t="shared" si="52"/>
        <v>2019</v>
      </c>
      <c r="C1683" s="19">
        <f t="shared" si="53"/>
        <v>10</v>
      </c>
      <c r="D1683" s="5" t="s">
        <v>1675</v>
      </c>
      <c r="E1683" s="5" t="s">
        <v>317</v>
      </c>
      <c r="F1683" s="5" t="s">
        <v>14</v>
      </c>
      <c r="G1683" s="5" t="s">
        <v>36</v>
      </c>
      <c r="H1683" s="5" t="s">
        <v>901</v>
      </c>
      <c r="I1683" s="13">
        <v>499.95</v>
      </c>
      <c r="J1683" s="19">
        <v>5</v>
      </c>
      <c r="K1683" s="14">
        <v>8399.9760000000006</v>
      </c>
    </row>
    <row r="1684" spans="1:11" x14ac:dyDescent="0.25">
      <c r="A1684" s="2">
        <v>43740</v>
      </c>
      <c r="B1684" s="18">
        <f t="shared" si="52"/>
        <v>2019</v>
      </c>
      <c r="C1684" s="18">
        <f t="shared" si="53"/>
        <v>10</v>
      </c>
      <c r="D1684" s="3" t="s">
        <v>1675</v>
      </c>
      <c r="E1684" s="3" t="s">
        <v>317</v>
      </c>
      <c r="F1684" s="3" t="s">
        <v>19</v>
      </c>
      <c r="G1684" s="3" t="s">
        <v>32</v>
      </c>
      <c r="H1684" s="3" t="s">
        <v>550</v>
      </c>
      <c r="I1684" s="11">
        <v>735.98</v>
      </c>
      <c r="J1684" s="18">
        <v>2</v>
      </c>
      <c r="K1684" s="12">
        <v>331.19099999999997</v>
      </c>
    </row>
    <row r="1685" spans="1:11" x14ac:dyDescent="0.25">
      <c r="A1685" s="4">
        <v>43740</v>
      </c>
      <c r="B1685" s="19">
        <f t="shared" si="52"/>
        <v>2019</v>
      </c>
      <c r="C1685" s="19">
        <f t="shared" si="53"/>
        <v>10</v>
      </c>
      <c r="D1685" s="5" t="s">
        <v>1675</v>
      </c>
      <c r="E1685" s="5" t="s">
        <v>317</v>
      </c>
      <c r="F1685" s="5" t="s">
        <v>19</v>
      </c>
      <c r="G1685" s="5" t="s">
        <v>32</v>
      </c>
      <c r="H1685" s="5" t="s">
        <v>593</v>
      </c>
      <c r="I1685" s="13">
        <v>34.369999999999997</v>
      </c>
      <c r="J1685" s="19">
        <v>7</v>
      </c>
      <c r="K1685" s="14">
        <v>16.8413</v>
      </c>
    </row>
    <row r="1686" spans="1:11" x14ac:dyDescent="0.25">
      <c r="A1686" s="2">
        <v>43740</v>
      </c>
      <c r="B1686" s="18">
        <f t="shared" si="52"/>
        <v>2019</v>
      </c>
      <c r="C1686" s="18">
        <f t="shared" si="53"/>
        <v>10</v>
      </c>
      <c r="D1686" s="3" t="s">
        <v>1675</v>
      </c>
      <c r="E1686" s="3" t="s">
        <v>317</v>
      </c>
      <c r="F1686" s="3" t="s">
        <v>19</v>
      </c>
      <c r="G1686" s="3" t="s">
        <v>40</v>
      </c>
      <c r="H1686" s="3" t="s">
        <v>1676</v>
      </c>
      <c r="I1686" s="11">
        <v>33.96</v>
      </c>
      <c r="J1686" s="18">
        <v>2</v>
      </c>
      <c r="K1686" s="12">
        <v>9.5088000000000008</v>
      </c>
    </row>
    <row r="1687" spans="1:11" x14ac:dyDescent="0.25">
      <c r="A1687" s="4">
        <v>43741</v>
      </c>
      <c r="B1687" s="19">
        <f t="shared" si="52"/>
        <v>2019</v>
      </c>
      <c r="C1687" s="19">
        <f t="shared" si="53"/>
        <v>10</v>
      </c>
      <c r="D1687" s="5" t="s">
        <v>1112</v>
      </c>
      <c r="E1687" s="5" t="s">
        <v>23</v>
      </c>
      <c r="F1687" s="5" t="s">
        <v>19</v>
      </c>
      <c r="G1687" s="5" t="s">
        <v>86</v>
      </c>
      <c r="H1687" s="5" t="s">
        <v>176</v>
      </c>
      <c r="I1687" s="13">
        <v>15.648</v>
      </c>
      <c r="J1687" s="19">
        <v>2</v>
      </c>
      <c r="K1687" s="14">
        <v>5.0856000000000003</v>
      </c>
    </row>
    <row r="1688" spans="1:11" x14ac:dyDescent="0.25">
      <c r="A1688" s="2">
        <v>43741</v>
      </c>
      <c r="B1688" s="18">
        <f t="shared" si="52"/>
        <v>2019</v>
      </c>
      <c r="C1688" s="18">
        <f t="shared" si="53"/>
        <v>10</v>
      </c>
      <c r="D1688" s="3" t="s">
        <v>1677</v>
      </c>
      <c r="E1688" s="3" t="s">
        <v>94</v>
      </c>
      <c r="F1688" s="3" t="s">
        <v>11</v>
      </c>
      <c r="G1688" s="3" t="s">
        <v>112</v>
      </c>
      <c r="H1688" s="3" t="s">
        <v>1630</v>
      </c>
      <c r="I1688" s="11">
        <v>599.29200000000003</v>
      </c>
      <c r="J1688" s="18">
        <v>6</v>
      </c>
      <c r="K1688" s="12">
        <v>93.223200000000006</v>
      </c>
    </row>
    <row r="1689" spans="1:11" x14ac:dyDescent="0.25">
      <c r="A1689" s="4">
        <v>43741</v>
      </c>
      <c r="B1689" s="19">
        <f t="shared" si="52"/>
        <v>2019</v>
      </c>
      <c r="C1689" s="19">
        <f t="shared" si="53"/>
        <v>10</v>
      </c>
      <c r="D1689" s="5" t="s">
        <v>1678</v>
      </c>
      <c r="E1689" s="5" t="s">
        <v>23</v>
      </c>
      <c r="F1689" s="5" t="s">
        <v>11</v>
      </c>
      <c r="G1689" s="5" t="s">
        <v>51</v>
      </c>
      <c r="H1689" s="5" t="s">
        <v>1298</v>
      </c>
      <c r="I1689" s="13">
        <v>38.08</v>
      </c>
      <c r="J1689" s="19">
        <v>5</v>
      </c>
      <c r="K1689" s="14">
        <v>-29.512</v>
      </c>
    </row>
    <row r="1690" spans="1:11" x14ac:dyDescent="0.25">
      <c r="A1690" s="2">
        <v>43741</v>
      </c>
      <c r="B1690" s="18">
        <f t="shared" si="52"/>
        <v>2019</v>
      </c>
      <c r="C1690" s="18">
        <f t="shared" si="53"/>
        <v>10</v>
      </c>
      <c r="D1690" s="3" t="s">
        <v>540</v>
      </c>
      <c r="E1690" s="3" t="s">
        <v>18</v>
      </c>
      <c r="F1690" s="3" t="s">
        <v>19</v>
      </c>
      <c r="G1690" s="3" t="s">
        <v>127</v>
      </c>
      <c r="H1690" s="3" t="s">
        <v>1679</v>
      </c>
      <c r="I1690" s="11">
        <v>6.16</v>
      </c>
      <c r="J1690" s="18">
        <v>2</v>
      </c>
      <c r="K1690" s="12">
        <v>2.9567999999999999</v>
      </c>
    </row>
    <row r="1691" spans="1:11" x14ac:dyDescent="0.25">
      <c r="A1691" s="4">
        <v>43741</v>
      </c>
      <c r="B1691" s="19">
        <f t="shared" si="52"/>
        <v>2019</v>
      </c>
      <c r="C1691" s="19">
        <f t="shared" si="53"/>
        <v>10</v>
      </c>
      <c r="D1691" s="5" t="s">
        <v>540</v>
      </c>
      <c r="E1691" s="5" t="s">
        <v>18</v>
      </c>
      <c r="F1691" s="5" t="s">
        <v>11</v>
      </c>
      <c r="G1691" s="5" t="s">
        <v>112</v>
      </c>
      <c r="H1691" s="5" t="s">
        <v>1680</v>
      </c>
      <c r="I1691" s="13">
        <v>915.13599999999997</v>
      </c>
      <c r="J1691" s="19">
        <v>4</v>
      </c>
      <c r="K1691" s="14">
        <v>102.9528</v>
      </c>
    </row>
    <row r="1692" spans="1:11" x14ac:dyDescent="0.25">
      <c r="A1692" s="2">
        <v>43741</v>
      </c>
      <c r="B1692" s="18">
        <f t="shared" si="52"/>
        <v>2019</v>
      </c>
      <c r="C1692" s="18">
        <f t="shared" si="53"/>
        <v>10</v>
      </c>
      <c r="D1692" s="3" t="s">
        <v>540</v>
      </c>
      <c r="E1692" s="3" t="s">
        <v>18</v>
      </c>
      <c r="F1692" s="3" t="s">
        <v>19</v>
      </c>
      <c r="G1692" s="3" t="s">
        <v>53</v>
      </c>
      <c r="H1692" s="3" t="s">
        <v>1084</v>
      </c>
      <c r="I1692" s="11">
        <v>8.56</v>
      </c>
      <c r="J1692" s="18">
        <v>2</v>
      </c>
      <c r="K1692" s="12">
        <v>3.8519999999999999</v>
      </c>
    </row>
    <row r="1693" spans="1:11" x14ac:dyDescent="0.25">
      <c r="A1693" s="4">
        <v>43741</v>
      </c>
      <c r="B1693" s="19">
        <f t="shared" si="52"/>
        <v>2019</v>
      </c>
      <c r="C1693" s="19">
        <f t="shared" si="53"/>
        <v>10</v>
      </c>
      <c r="D1693" s="5" t="s">
        <v>540</v>
      </c>
      <c r="E1693" s="5" t="s">
        <v>18</v>
      </c>
      <c r="F1693" s="5" t="s">
        <v>19</v>
      </c>
      <c r="G1693" s="5" t="s">
        <v>53</v>
      </c>
      <c r="H1693" s="5" t="s">
        <v>1681</v>
      </c>
      <c r="I1693" s="13">
        <v>97.82</v>
      </c>
      <c r="J1693" s="19">
        <v>2</v>
      </c>
      <c r="K1693" s="14">
        <v>45.9754</v>
      </c>
    </row>
    <row r="1694" spans="1:11" x14ac:dyDescent="0.25">
      <c r="A1694" s="2">
        <v>43742</v>
      </c>
      <c r="B1694" s="18">
        <f t="shared" si="52"/>
        <v>2019</v>
      </c>
      <c r="C1694" s="18">
        <f t="shared" si="53"/>
        <v>10</v>
      </c>
      <c r="D1694" s="3" t="s">
        <v>1523</v>
      </c>
      <c r="E1694" s="3" t="s">
        <v>23</v>
      </c>
      <c r="F1694" s="3" t="s">
        <v>19</v>
      </c>
      <c r="G1694" s="3" t="s">
        <v>86</v>
      </c>
      <c r="H1694" s="3" t="s">
        <v>1682</v>
      </c>
      <c r="I1694" s="11">
        <v>59.752000000000002</v>
      </c>
      <c r="J1694" s="18">
        <v>7</v>
      </c>
      <c r="K1694" s="12">
        <v>19.4194</v>
      </c>
    </row>
    <row r="1695" spans="1:11" x14ac:dyDescent="0.25">
      <c r="A1695" s="4">
        <v>43742</v>
      </c>
      <c r="B1695" s="19">
        <f t="shared" si="52"/>
        <v>2019</v>
      </c>
      <c r="C1695" s="19">
        <f t="shared" si="53"/>
        <v>10</v>
      </c>
      <c r="D1695" s="5" t="s">
        <v>1683</v>
      </c>
      <c r="E1695" s="5" t="s">
        <v>883</v>
      </c>
      <c r="F1695" s="5" t="s">
        <v>19</v>
      </c>
      <c r="G1695" s="5" t="s">
        <v>32</v>
      </c>
      <c r="H1695" s="5" t="s">
        <v>1607</v>
      </c>
      <c r="I1695" s="13">
        <v>30.4</v>
      </c>
      <c r="J1695" s="19">
        <v>1</v>
      </c>
      <c r="K1695" s="14">
        <v>13.984</v>
      </c>
    </row>
    <row r="1696" spans="1:11" x14ac:dyDescent="0.25">
      <c r="A1696" s="2">
        <v>43742</v>
      </c>
      <c r="B1696" s="18">
        <f t="shared" si="52"/>
        <v>2019</v>
      </c>
      <c r="C1696" s="18">
        <f t="shared" si="53"/>
        <v>10</v>
      </c>
      <c r="D1696" s="3" t="s">
        <v>1683</v>
      </c>
      <c r="E1696" s="3" t="s">
        <v>883</v>
      </c>
      <c r="F1696" s="3" t="s">
        <v>14</v>
      </c>
      <c r="G1696" s="3" t="s">
        <v>36</v>
      </c>
      <c r="H1696" s="3" t="s">
        <v>1287</v>
      </c>
      <c r="I1696" s="11">
        <v>5399.91</v>
      </c>
      <c r="J1696" s="18">
        <v>9</v>
      </c>
      <c r="K1696" s="12">
        <v>2591.9567999999999</v>
      </c>
    </row>
    <row r="1697" spans="1:11" x14ac:dyDescent="0.25">
      <c r="A1697" s="4">
        <v>43742</v>
      </c>
      <c r="B1697" s="19">
        <f t="shared" si="52"/>
        <v>2019</v>
      </c>
      <c r="C1697" s="19">
        <f t="shared" si="53"/>
        <v>10</v>
      </c>
      <c r="D1697" s="5" t="s">
        <v>1683</v>
      </c>
      <c r="E1697" s="5" t="s">
        <v>883</v>
      </c>
      <c r="F1697" s="5" t="s">
        <v>19</v>
      </c>
      <c r="G1697" s="5" t="s">
        <v>20</v>
      </c>
      <c r="H1697" s="5" t="s">
        <v>1684</v>
      </c>
      <c r="I1697" s="13">
        <v>119.1</v>
      </c>
      <c r="J1697" s="19">
        <v>3</v>
      </c>
      <c r="K1697" s="14">
        <v>34.539000000000001</v>
      </c>
    </row>
    <row r="1698" spans="1:11" x14ac:dyDescent="0.25">
      <c r="A1698" s="2">
        <v>43742</v>
      </c>
      <c r="B1698" s="18">
        <f t="shared" si="52"/>
        <v>2019</v>
      </c>
      <c r="C1698" s="18">
        <f t="shared" si="53"/>
        <v>10</v>
      </c>
      <c r="D1698" s="3" t="s">
        <v>1685</v>
      </c>
      <c r="E1698" s="3" t="s">
        <v>10</v>
      </c>
      <c r="F1698" s="3" t="s">
        <v>11</v>
      </c>
      <c r="G1698" s="3" t="s">
        <v>30</v>
      </c>
      <c r="H1698" s="3" t="s">
        <v>668</v>
      </c>
      <c r="I1698" s="11">
        <v>239.37200000000001</v>
      </c>
      <c r="J1698" s="18">
        <v>2</v>
      </c>
      <c r="K1698" s="12">
        <v>-23.937200000000001</v>
      </c>
    </row>
    <row r="1699" spans="1:11" x14ac:dyDescent="0.25">
      <c r="A1699" s="4">
        <v>43742</v>
      </c>
      <c r="B1699" s="19">
        <f t="shared" si="52"/>
        <v>2019</v>
      </c>
      <c r="C1699" s="19">
        <f t="shared" si="53"/>
        <v>10</v>
      </c>
      <c r="D1699" s="5" t="s">
        <v>874</v>
      </c>
      <c r="E1699" s="5" t="s">
        <v>44</v>
      </c>
      <c r="F1699" s="5" t="s">
        <v>14</v>
      </c>
      <c r="G1699" s="5" t="s">
        <v>15</v>
      </c>
      <c r="H1699" s="5" t="s">
        <v>1686</v>
      </c>
      <c r="I1699" s="13">
        <v>52.68</v>
      </c>
      <c r="J1699" s="19">
        <v>3</v>
      </c>
      <c r="K1699" s="14">
        <v>19.754999999999999</v>
      </c>
    </row>
    <row r="1700" spans="1:11" x14ac:dyDescent="0.25">
      <c r="A1700" s="2">
        <v>43742</v>
      </c>
      <c r="B1700" s="18">
        <f t="shared" si="52"/>
        <v>2019</v>
      </c>
      <c r="C1700" s="18">
        <f t="shared" si="53"/>
        <v>10</v>
      </c>
      <c r="D1700" s="3" t="s">
        <v>874</v>
      </c>
      <c r="E1700" s="3" t="s">
        <v>44</v>
      </c>
      <c r="F1700" s="3" t="s">
        <v>11</v>
      </c>
      <c r="G1700" s="3" t="s">
        <v>51</v>
      </c>
      <c r="H1700" s="3" t="s">
        <v>1687</v>
      </c>
      <c r="I1700" s="11">
        <v>11.568</v>
      </c>
      <c r="J1700" s="18">
        <v>3</v>
      </c>
      <c r="K1700" s="12">
        <v>2.6027999999999998</v>
      </c>
    </row>
    <row r="1701" spans="1:11" x14ac:dyDescent="0.25">
      <c r="A1701" s="4">
        <v>43744</v>
      </c>
      <c r="B1701" s="19">
        <f t="shared" si="52"/>
        <v>2019</v>
      </c>
      <c r="C1701" s="19">
        <f t="shared" si="53"/>
        <v>10</v>
      </c>
      <c r="D1701" s="5" t="s">
        <v>1688</v>
      </c>
      <c r="E1701" s="5" t="s">
        <v>29</v>
      </c>
      <c r="F1701" s="5" t="s">
        <v>19</v>
      </c>
      <c r="G1701" s="5" t="s">
        <v>32</v>
      </c>
      <c r="H1701" s="5" t="s">
        <v>1590</v>
      </c>
      <c r="I1701" s="13">
        <v>28.85</v>
      </c>
      <c r="J1701" s="19">
        <v>5</v>
      </c>
      <c r="K1701" s="14">
        <v>14.425000000000001</v>
      </c>
    </row>
    <row r="1702" spans="1:11" x14ac:dyDescent="0.25">
      <c r="A1702" s="2">
        <v>43744</v>
      </c>
      <c r="B1702" s="18">
        <f t="shared" si="52"/>
        <v>2019</v>
      </c>
      <c r="C1702" s="18">
        <f t="shared" si="53"/>
        <v>10</v>
      </c>
      <c r="D1702" s="3" t="s">
        <v>1460</v>
      </c>
      <c r="E1702" s="3" t="s">
        <v>306</v>
      </c>
      <c r="F1702" s="3" t="s">
        <v>14</v>
      </c>
      <c r="G1702" s="3" t="s">
        <v>188</v>
      </c>
      <c r="H1702" s="3" t="s">
        <v>1689</v>
      </c>
      <c r="I1702" s="11">
        <v>703.71</v>
      </c>
      <c r="J1702" s="18">
        <v>6</v>
      </c>
      <c r="K1702" s="12">
        <v>-938.28</v>
      </c>
    </row>
    <row r="1703" spans="1:11" x14ac:dyDescent="0.25">
      <c r="A1703" s="4">
        <v>43744</v>
      </c>
      <c r="B1703" s="19">
        <f t="shared" si="52"/>
        <v>2019</v>
      </c>
      <c r="C1703" s="19">
        <f t="shared" si="53"/>
        <v>10</v>
      </c>
      <c r="D1703" s="5" t="s">
        <v>1460</v>
      </c>
      <c r="E1703" s="5" t="s">
        <v>306</v>
      </c>
      <c r="F1703" s="5" t="s">
        <v>19</v>
      </c>
      <c r="G1703" s="5" t="s">
        <v>32</v>
      </c>
      <c r="H1703" s="5" t="s">
        <v>871</v>
      </c>
      <c r="I1703" s="13">
        <v>17.904</v>
      </c>
      <c r="J1703" s="19">
        <v>4</v>
      </c>
      <c r="K1703" s="14">
        <v>-14.92</v>
      </c>
    </row>
    <row r="1704" spans="1:11" x14ac:dyDescent="0.25">
      <c r="A1704" s="2">
        <v>43744</v>
      </c>
      <c r="B1704" s="18">
        <f t="shared" si="52"/>
        <v>2019</v>
      </c>
      <c r="C1704" s="18">
        <f t="shared" si="53"/>
        <v>10</v>
      </c>
      <c r="D1704" s="3" t="s">
        <v>1460</v>
      </c>
      <c r="E1704" s="3" t="s">
        <v>306</v>
      </c>
      <c r="F1704" s="3" t="s">
        <v>19</v>
      </c>
      <c r="G1704" s="3" t="s">
        <v>32</v>
      </c>
      <c r="H1704" s="3" t="s">
        <v>1690</v>
      </c>
      <c r="I1704" s="11">
        <v>11.976000000000001</v>
      </c>
      <c r="J1704" s="18">
        <v>4</v>
      </c>
      <c r="K1704" s="12">
        <v>-9.1815999999999995</v>
      </c>
    </row>
    <row r="1705" spans="1:11" x14ac:dyDescent="0.25">
      <c r="A1705" s="4">
        <v>43744</v>
      </c>
      <c r="B1705" s="19">
        <f t="shared" si="52"/>
        <v>2019</v>
      </c>
      <c r="C1705" s="19">
        <f t="shared" si="53"/>
        <v>10</v>
      </c>
      <c r="D1705" s="5" t="s">
        <v>1460</v>
      </c>
      <c r="E1705" s="5" t="s">
        <v>306</v>
      </c>
      <c r="F1705" s="5" t="s">
        <v>14</v>
      </c>
      <c r="G1705" s="5" t="s">
        <v>24</v>
      </c>
      <c r="H1705" s="5" t="s">
        <v>1691</v>
      </c>
      <c r="I1705" s="13">
        <v>67.959999999999994</v>
      </c>
      <c r="J1705" s="19">
        <v>5</v>
      </c>
      <c r="K1705" s="14">
        <v>0.84950000000000003</v>
      </c>
    </row>
    <row r="1706" spans="1:11" x14ac:dyDescent="0.25">
      <c r="A1706" s="2">
        <v>43745</v>
      </c>
      <c r="B1706" s="18">
        <f t="shared" si="52"/>
        <v>2019</v>
      </c>
      <c r="C1706" s="18">
        <f t="shared" si="53"/>
        <v>10</v>
      </c>
      <c r="D1706" s="3" t="s">
        <v>160</v>
      </c>
      <c r="E1706" s="3" t="s">
        <v>18</v>
      </c>
      <c r="F1706" s="3" t="s">
        <v>19</v>
      </c>
      <c r="G1706" s="3" t="s">
        <v>32</v>
      </c>
      <c r="H1706" s="3" t="s">
        <v>1657</v>
      </c>
      <c r="I1706" s="11">
        <v>27.263999999999999</v>
      </c>
      <c r="J1706" s="18">
        <v>2</v>
      </c>
      <c r="K1706" s="12">
        <v>8.8607999999999993</v>
      </c>
    </row>
    <row r="1707" spans="1:11" x14ac:dyDescent="0.25">
      <c r="A1707" s="4">
        <v>43745</v>
      </c>
      <c r="B1707" s="19">
        <f t="shared" si="52"/>
        <v>2019</v>
      </c>
      <c r="C1707" s="19">
        <f t="shared" si="53"/>
        <v>10</v>
      </c>
      <c r="D1707" s="5" t="s">
        <v>108</v>
      </c>
      <c r="E1707" s="5" t="s">
        <v>70</v>
      </c>
      <c r="F1707" s="5" t="s">
        <v>14</v>
      </c>
      <c r="G1707" s="5" t="s">
        <v>188</v>
      </c>
      <c r="H1707" s="5" t="s">
        <v>940</v>
      </c>
      <c r="I1707" s="13">
        <v>837.6</v>
      </c>
      <c r="J1707" s="19">
        <v>3</v>
      </c>
      <c r="K1707" s="14">
        <v>62.82</v>
      </c>
    </row>
    <row r="1708" spans="1:11" x14ac:dyDescent="0.25">
      <c r="A1708" s="2">
        <v>43745</v>
      </c>
      <c r="B1708" s="18">
        <f t="shared" si="52"/>
        <v>2019</v>
      </c>
      <c r="C1708" s="18">
        <f t="shared" si="53"/>
        <v>10</v>
      </c>
      <c r="D1708" s="3" t="s">
        <v>745</v>
      </c>
      <c r="E1708" s="3" t="s">
        <v>18</v>
      </c>
      <c r="F1708" s="3" t="s">
        <v>19</v>
      </c>
      <c r="G1708" s="3" t="s">
        <v>53</v>
      </c>
      <c r="H1708" s="3" t="s">
        <v>1692</v>
      </c>
      <c r="I1708" s="11">
        <v>10.56</v>
      </c>
      <c r="J1708" s="18">
        <v>2</v>
      </c>
      <c r="K1708" s="12">
        <v>5.0688000000000004</v>
      </c>
    </row>
    <row r="1709" spans="1:11" x14ac:dyDescent="0.25">
      <c r="A1709" s="4">
        <v>43745</v>
      </c>
      <c r="B1709" s="19">
        <f t="shared" si="52"/>
        <v>2019</v>
      </c>
      <c r="C1709" s="19">
        <f t="shared" si="53"/>
        <v>10</v>
      </c>
      <c r="D1709" s="5" t="s">
        <v>1042</v>
      </c>
      <c r="E1709" s="5" t="s">
        <v>39</v>
      </c>
      <c r="F1709" s="5" t="s">
        <v>19</v>
      </c>
      <c r="G1709" s="5" t="s">
        <v>127</v>
      </c>
      <c r="H1709" s="5" t="s">
        <v>1693</v>
      </c>
      <c r="I1709" s="13">
        <v>4.9279999999999999</v>
      </c>
      <c r="J1709" s="19">
        <v>2</v>
      </c>
      <c r="K1709" s="14">
        <v>1.7248000000000001</v>
      </c>
    </row>
    <row r="1710" spans="1:11" x14ac:dyDescent="0.25">
      <c r="A1710" s="2">
        <v>43745</v>
      </c>
      <c r="B1710" s="18">
        <f t="shared" si="52"/>
        <v>2019</v>
      </c>
      <c r="C1710" s="18">
        <f t="shared" si="53"/>
        <v>10</v>
      </c>
      <c r="D1710" s="3" t="s">
        <v>1694</v>
      </c>
      <c r="E1710" s="3" t="s">
        <v>70</v>
      </c>
      <c r="F1710" s="3" t="s">
        <v>19</v>
      </c>
      <c r="G1710" s="3" t="s">
        <v>116</v>
      </c>
      <c r="H1710" s="3" t="s">
        <v>1340</v>
      </c>
      <c r="I1710" s="11">
        <v>93.36</v>
      </c>
      <c r="J1710" s="18">
        <v>12</v>
      </c>
      <c r="K1710" s="12">
        <v>0.93359999999999999</v>
      </c>
    </row>
    <row r="1711" spans="1:11" x14ac:dyDescent="0.25">
      <c r="A1711" s="4">
        <v>43746</v>
      </c>
      <c r="B1711" s="19">
        <f t="shared" si="52"/>
        <v>2019</v>
      </c>
      <c r="C1711" s="19">
        <f t="shared" si="53"/>
        <v>10</v>
      </c>
      <c r="D1711" s="5" t="s">
        <v>1695</v>
      </c>
      <c r="E1711" s="5" t="s">
        <v>23</v>
      </c>
      <c r="F1711" s="5" t="s">
        <v>11</v>
      </c>
      <c r="G1711" s="5" t="s">
        <v>51</v>
      </c>
      <c r="H1711" s="5" t="s">
        <v>1696</v>
      </c>
      <c r="I1711" s="13">
        <v>51.712000000000003</v>
      </c>
      <c r="J1711" s="19">
        <v>8</v>
      </c>
      <c r="K1711" s="14">
        <v>-32.32</v>
      </c>
    </row>
    <row r="1712" spans="1:11" x14ac:dyDescent="0.25">
      <c r="A1712" s="2">
        <v>43746</v>
      </c>
      <c r="B1712" s="18">
        <f t="shared" si="52"/>
        <v>2019</v>
      </c>
      <c r="C1712" s="18">
        <f t="shared" si="53"/>
        <v>10</v>
      </c>
      <c r="D1712" s="3" t="s">
        <v>1697</v>
      </c>
      <c r="E1712" s="3" t="s">
        <v>18</v>
      </c>
      <c r="F1712" s="3" t="s">
        <v>19</v>
      </c>
      <c r="G1712" s="3" t="s">
        <v>53</v>
      </c>
      <c r="H1712" s="3" t="s">
        <v>1171</v>
      </c>
      <c r="I1712" s="11">
        <v>61.96</v>
      </c>
      <c r="J1712" s="18">
        <v>2</v>
      </c>
      <c r="K1712" s="12">
        <v>27.882000000000001</v>
      </c>
    </row>
    <row r="1713" spans="1:11" x14ac:dyDescent="0.25">
      <c r="A1713" s="4">
        <v>43746</v>
      </c>
      <c r="B1713" s="19">
        <f t="shared" si="52"/>
        <v>2019</v>
      </c>
      <c r="C1713" s="19">
        <f t="shared" si="53"/>
        <v>10</v>
      </c>
      <c r="D1713" s="5" t="s">
        <v>1698</v>
      </c>
      <c r="E1713" s="5" t="s">
        <v>23</v>
      </c>
      <c r="F1713" s="5" t="s">
        <v>19</v>
      </c>
      <c r="G1713" s="5" t="s">
        <v>127</v>
      </c>
      <c r="H1713" s="5" t="s">
        <v>1513</v>
      </c>
      <c r="I1713" s="13">
        <v>60.143999999999998</v>
      </c>
      <c r="J1713" s="19">
        <v>6</v>
      </c>
      <c r="K1713" s="14">
        <v>20.2986</v>
      </c>
    </row>
    <row r="1714" spans="1:11" x14ac:dyDescent="0.25">
      <c r="A1714" s="2">
        <v>43746</v>
      </c>
      <c r="B1714" s="18">
        <f t="shared" si="52"/>
        <v>2019</v>
      </c>
      <c r="C1714" s="18">
        <f t="shared" si="53"/>
        <v>10</v>
      </c>
      <c r="D1714" s="3" t="s">
        <v>1699</v>
      </c>
      <c r="E1714" s="3" t="s">
        <v>35</v>
      </c>
      <c r="F1714" s="3" t="s">
        <v>19</v>
      </c>
      <c r="G1714" s="3" t="s">
        <v>20</v>
      </c>
      <c r="H1714" s="3" t="s">
        <v>1700</v>
      </c>
      <c r="I1714" s="11">
        <v>387.72</v>
      </c>
      <c r="J1714" s="18">
        <v>5</v>
      </c>
      <c r="K1714" s="12">
        <v>-67.850999999999999</v>
      </c>
    </row>
    <row r="1715" spans="1:11" x14ac:dyDescent="0.25">
      <c r="A1715" s="4">
        <v>43747</v>
      </c>
      <c r="B1715" s="19">
        <f t="shared" si="52"/>
        <v>2019</v>
      </c>
      <c r="C1715" s="19">
        <f t="shared" si="53"/>
        <v>10</v>
      </c>
      <c r="D1715" s="5" t="s">
        <v>1701</v>
      </c>
      <c r="E1715" s="5" t="s">
        <v>67</v>
      </c>
      <c r="F1715" s="5" t="s">
        <v>14</v>
      </c>
      <c r="G1715" s="5" t="s">
        <v>15</v>
      </c>
      <c r="H1715" s="5" t="s">
        <v>234</v>
      </c>
      <c r="I1715" s="13">
        <v>23.975999999999999</v>
      </c>
      <c r="J1715" s="19">
        <v>4</v>
      </c>
      <c r="K1715" s="14">
        <v>-15.5844</v>
      </c>
    </row>
    <row r="1716" spans="1:11" x14ac:dyDescent="0.25">
      <c r="A1716" s="2">
        <v>43747</v>
      </c>
      <c r="B1716" s="18">
        <f t="shared" si="52"/>
        <v>2019</v>
      </c>
      <c r="C1716" s="18">
        <f t="shared" si="53"/>
        <v>10</v>
      </c>
      <c r="D1716" s="3" t="s">
        <v>433</v>
      </c>
      <c r="E1716" s="3" t="s">
        <v>39</v>
      </c>
      <c r="F1716" s="3" t="s">
        <v>19</v>
      </c>
      <c r="G1716" s="3" t="s">
        <v>53</v>
      </c>
      <c r="H1716" s="3" t="s">
        <v>1702</v>
      </c>
      <c r="I1716" s="11">
        <v>19.135999999999999</v>
      </c>
      <c r="J1716" s="18">
        <v>4</v>
      </c>
      <c r="K1716" s="12">
        <v>5.98</v>
      </c>
    </row>
    <row r="1717" spans="1:11" x14ac:dyDescent="0.25">
      <c r="A1717" s="4">
        <v>43747</v>
      </c>
      <c r="B1717" s="19">
        <f t="shared" si="52"/>
        <v>2019</v>
      </c>
      <c r="C1717" s="19">
        <f t="shared" si="53"/>
        <v>10</v>
      </c>
      <c r="D1717" s="5" t="s">
        <v>433</v>
      </c>
      <c r="E1717" s="5" t="s">
        <v>39</v>
      </c>
      <c r="F1717" s="5" t="s">
        <v>11</v>
      </c>
      <c r="G1717" s="5" t="s">
        <v>51</v>
      </c>
      <c r="H1717" s="5" t="s">
        <v>1372</v>
      </c>
      <c r="I1717" s="13">
        <v>332.83199999999999</v>
      </c>
      <c r="J1717" s="19">
        <v>4</v>
      </c>
      <c r="K1717" s="14">
        <v>-24.962399999999999</v>
      </c>
    </row>
    <row r="1718" spans="1:11" x14ac:dyDescent="0.25">
      <c r="A1718" s="2">
        <v>43747</v>
      </c>
      <c r="B1718" s="18">
        <f t="shared" si="52"/>
        <v>2019</v>
      </c>
      <c r="C1718" s="18">
        <f t="shared" si="53"/>
        <v>10</v>
      </c>
      <c r="D1718" s="3" t="s">
        <v>1703</v>
      </c>
      <c r="E1718" s="3" t="s">
        <v>198</v>
      </c>
      <c r="F1718" s="3" t="s">
        <v>19</v>
      </c>
      <c r="G1718" s="3" t="s">
        <v>40</v>
      </c>
      <c r="H1718" s="3" t="s">
        <v>1704</v>
      </c>
      <c r="I1718" s="11">
        <v>1.4079999999999999</v>
      </c>
      <c r="J1718" s="18">
        <v>1</v>
      </c>
      <c r="K1718" s="12">
        <v>0.15840000000000001</v>
      </c>
    </row>
    <row r="1719" spans="1:11" x14ac:dyDescent="0.25">
      <c r="A1719" s="4">
        <v>43747</v>
      </c>
      <c r="B1719" s="19">
        <f t="shared" si="52"/>
        <v>2019</v>
      </c>
      <c r="C1719" s="19">
        <f t="shared" si="53"/>
        <v>10</v>
      </c>
      <c r="D1719" s="5" t="s">
        <v>1703</v>
      </c>
      <c r="E1719" s="5" t="s">
        <v>198</v>
      </c>
      <c r="F1719" s="5" t="s">
        <v>11</v>
      </c>
      <c r="G1719" s="5" t="s">
        <v>51</v>
      </c>
      <c r="H1719" s="5" t="s">
        <v>799</v>
      </c>
      <c r="I1719" s="13">
        <v>169.56800000000001</v>
      </c>
      <c r="J1719" s="19">
        <v>2</v>
      </c>
      <c r="K1719" s="14">
        <v>0</v>
      </c>
    </row>
    <row r="1720" spans="1:11" x14ac:dyDescent="0.25">
      <c r="A1720" s="2">
        <v>43748</v>
      </c>
      <c r="B1720" s="18">
        <f t="shared" si="52"/>
        <v>2019</v>
      </c>
      <c r="C1720" s="18">
        <f t="shared" si="53"/>
        <v>10</v>
      </c>
      <c r="D1720" s="3" t="s">
        <v>34</v>
      </c>
      <c r="E1720" s="3" t="s">
        <v>35</v>
      </c>
      <c r="F1720" s="3" t="s">
        <v>19</v>
      </c>
      <c r="G1720" s="3" t="s">
        <v>265</v>
      </c>
      <c r="H1720" s="3" t="s">
        <v>1434</v>
      </c>
      <c r="I1720" s="11">
        <v>20.608000000000001</v>
      </c>
      <c r="J1720" s="18">
        <v>2</v>
      </c>
      <c r="K1720" s="12">
        <v>-4.3792</v>
      </c>
    </row>
    <row r="1721" spans="1:11" x14ac:dyDescent="0.25">
      <c r="A1721" s="4">
        <v>43748</v>
      </c>
      <c r="B1721" s="19">
        <f t="shared" si="52"/>
        <v>2019</v>
      </c>
      <c r="C1721" s="19">
        <f t="shared" si="53"/>
        <v>10</v>
      </c>
      <c r="D1721" s="5" t="s">
        <v>34</v>
      </c>
      <c r="E1721" s="5" t="s">
        <v>35</v>
      </c>
      <c r="F1721" s="5" t="s">
        <v>19</v>
      </c>
      <c r="G1721" s="5" t="s">
        <v>32</v>
      </c>
      <c r="H1721" s="5" t="s">
        <v>190</v>
      </c>
      <c r="I1721" s="13">
        <v>4.0949999999999998</v>
      </c>
      <c r="J1721" s="19">
        <v>3</v>
      </c>
      <c r="K1721" s="14">
        <v>-2.73</v>
      </c>
    </row>
    <row r="1722" spans="1:11" x14ac:dyDescent="0.25">
      <c r="A1722" s="2">
        <v>43748</v>
      </c>
      <c r="B1722" s="18">
        <f t="shared" si="52"/>
        <v>2019</v>
      </c>
      <c r="C1722" s="18">
        <f t="shared" si="53"/>
        <v>10</v>
      </c>
      <c r="D1722" s="3" t="s">
        <v>463</v>
      </c>
      <c r="E1722" s="3" t="s">
        <v>306</v>
      </c>
      <c r="F1722" s="3" t="s">
        <v>11</v>
      </c>
      <c r="G1722" s="3" t="s">
        <v>12</v>
      </c>
      <c r="H1722" s="3" t="s">
        <v>1705</v>
      </c>
      <c r="I1722" s="11">
        <v>90.882000000000005</v>
      </c>
      <c r="J1722" s="18">
        <v>3</v>
      </c>
      <c r="K1722" s="12">
        <v>-190.85220000000001</v>
      </c>
    </row>
    <row r="1723" spans="1:11" x14ac:dyDescent="0.25">
      <c r="A1723" s="4">
        <v>43748</v>
      </c>
      <c r="B1723" s="19">
        <f t="shared" si="52"/>
        <v>2019</v>
      </c>
      <c r="C1723" s="19">
        <f t="shared" si="53"/>
        <v>10</v>
      </c>
      <c r="D1723" s="5" t="s">
        <v>463</v>
      </c>
      <c r="E1723" s="5" t="s">
        <v>306</v>
      </c>
      <c r="F1723" s="5" t="s">
        <v>14</v>
      </c>
      <c r="G1723" s="5" t="s">
        <v>15</v>
      </c>
      <c r="H1723" s="5" t="s">
        <v>278</v>
      </c>
      <c r="I1723" s="13">
        <v>15.992000000000001</v>
      </c>
      <c r="J1723" s="19">
        <v>1</v>
      </c>
      <c r="K1723" s="14">
        <v>-2.9984999999999999</v>
      </c>
    </row>
    <row r="1724" spans="1:11" x14ac:dyDescent="0.25">
      <c r="A1724" s="2">
        <v>43748</v>
      </c>
      <c r="B1724" s="18">
        <f t="shared" si="52"/>
        <v>2019</v>
      </c>
      <c r="C1724" s="18">
        <f t="shared" si="53"/>
        <v>10</v>
      </c>
      <c r="D1724" s="3" t="s">
        <v>463</v>
      </c>
      <c r="E1724" s="3" t="s">
        <v>306</v>
      </c>
      <c r="F1724" s="3" t="s">
        <v>11</v>
      </c>
      <c r="G1724" s="3" t="s">
        <v>112</v>
      </c>
      <c r="H1724" s="3" t="s">
        <v>1077</v>
      </c>
      <c r="I1724" s="11">
        <v>120.78400000000001</v>
      </c>
      <c r="J1724" s="18">
        <v>1</v>
      </c>
      <c r="K1724" s="12">
        <v>13.588200000000001</v>
      </c>
    </row>
    <row r="1725" spans="1:11" x14ac:dyDescent="0.25">
      <c r="A1725" s="4">
        <v>43748</v>
      </c>
      <c r="B1725" s="19">
        <f t="shared" si="52"/>
        <v>2019</v>
      </c>
      <c r="C1725" s="19">
        <f t="shared" si="53"/>
        <v>10</v>
      </c>
      <c r="D1725" s="5" t="s">
        <v>93</v>
      </c>
      <c r="E1725" s="5" t="s">
        <v>23</v>
      </c>
      <c r="F1725" s="5" t="s">
        <v>11</v>
      </c>
      <c r="G1725" s="5" t="s">
        <v>51</v>
      </c>
      <c r="H1725" s="5" t="s">
        <v>1628</v>
      </c>
      <c r="I1725" s="13">
        <v>14</v>
      </c>
      <c r="J1725" s="19">
        <v>4</v>
      </c>
      <c r="K1725" s="14">
        <v>-6.3</v>
      </c>
    </row>
    <row r="1726" spans="1:11" x14ac:dyDescent="0.25">
      <c r="A1726" s="2">
        <v>43748</v>
      </c>
      <c r="B1726" s="18">
        <f t="shared" si="52"/>
        <v>2019</v>
      </c>
      <c r="C1726" s="18">
        <f t="shared" si="53"/>
        <v>10</v>
      </c>
      <c r="D1726" s="3" t="s">
        <v>93</v>
      </c>
      <c r="E1726" s="3" t="s">
        <v>23</v>
      </c>
      <c r="F1726" s="3" t="s">
        <v>19</v>
      </c>
      <c r="G1726" s="3" t="s">
        <v>32</v>
      </c>
      <c r="H1726" s="3" t="s">
        <v>1503</v>
      </c>
      <c r="I1726" s="11">
        <v>16.391999999999999</v>
      </c>
      <c r="J1726" s="18">
        <v>2</v>
      </c>
      <c r="K1726" s="12">
        <v>-26.2272</v>
      </c>
    </row>
    <row r="1727" spans="1:11" x14ac:dyDescent="0.25">
      <c r="A1727" s="4">
        <v>43749</v>
      </c>
      <c r="B1727" s="19">
        <f t="shared" si="52"/>
        <v>2019</v>
      </c>
      <c r="C1727" s="19">
        <f t="shared" si="53"/>
        <v>10</v>
      </c>
      <c r="D1727" s="5" t="s">
        <v>1706</v>
      </c>
      <c r="E1727" s="5" t="s">
        <v>164</v>
      </c>
      <c r="F1727" s="5" t="s">
        <v>19</v>
      </c>
      <c r="G1727" s="5" t="s">
        <v>40</v>
      </c>
      <c r="H1727" s="5" t="s">
        <v>1707</v>
      </c>
      <c r="I1727" s="13">
        <v>5.3440000000000003</v>
      </c>
      <c r="J1727" s="19">
        <v>2</v>
      </c>
      <c r="K1727" s="14">
        <v>0.66800000000000004</v>
      </c>
    </row>
    <row r="1728" spans="1:11" x14ac:dyDescent="0.25">
      <c r="A1728" s="2">
        <v>43749</v>
      </c>
      <c r="B1728" s="18">
        <f t="shared" si="52"/>
        <v>2019</v>
      </c>
      <c r="C1728" s="18">
        <f t="shared" si="53"/>
        <v>10</v>
      </c>
      <c r="D1728" s="3" t="s">
        <v>1706</v>
      </c>
      <c r="E1728" s="3" t="s">
        <v>164</v>
      </c>
      <c r="F1728" s="3" t="s">
        <v>19</v>
      </c>
      <c r="G1728" s="3" t="s">
        <v>40</v>
      </c>
      <c r="H1728" s="3" t="s">
        <v>1708</v>
      </c>
      <c r="I1728" s="11">
        <v>27.72</v>
      </c>
      <c r="J1728" s="18">
        <v>3</v>
      </c>
      <c r="K1728" s="12">
        <v>3.4649999999999999</v>
      </c>
    </row>
    <row r="1729" spans="1:11" x14ac:dyDescent="0.25">
      <c r="A1729" s="4">
        <v>43751</v>
      </c>
      <c r="B1729" s="19">
        <f t="shared" si="52"/>
        <v>2019</v>
      </c>
      <c r="C1729" s="19">
        <f t="shared" si="53"/>
        <v>10</v>
      </c>
      <c r="D1729" s="5" t="s">
        <v>1075</v>
      </c>
      <c r="E1729" s="5" t="s">
        <v>18</v>
      </c>
      <c r="F1729" s="5" t="s">
        <v>19</v>
      </c>
      <c r="G1729" s="5" t="s">
        <v>53</v>
      </c>
      <c r="H1729" s="5" t="s">
        <v>1709</v>
      </c>
      <c r="I1729" s="13">
        <v>20.04</v>
      </c>
      <c r="J1729" s="19">
        <v>3</v>
      </c>
      <c r="K1729" s="14">
        <v>9.6191999999999993</v>
      </c>
    </row>
    <row r="1730" spans="1:11" x14ac:dyDescent="0.25">
      <c r="A1730" s="2">
        <v>43751</v>
      </c>
      <c r="B1730" s="18">
        <f t="shared" ref="B1730:B1793" si="54">YEAR(A1730)</f>
        <v>2019</v>
      </c>
      <c r="C1730" s="18">
        <f t="shared" ref="C1730:C1793" si="55">MONTH(A1730)</f>
        <v>10</v>
      </c>
      <c r="D1730" s="3" t="s">
        <v>1075</v>
      </c>
      <c r="E1730" s="3" t="s">
        <v>18</v>
      </c>
      <c r="F1730" s="3" t="s">
        <v>19</v>
      </c>
      <c r="G1730" s="3" t="s">
        <v>53</v>
      </c>
      <c r="H1730" s="3" t="s">
        <v>267</v>
      </c>
      <c r="I1730" s="11">
        <v>35.44</v>
      </c>
      <c r="J1730" s="18">
        <v>1</v>
      </c>
      <c r="K1730" s="12">
        <v>16.6568</v>
      </c>
    </row>
    <row r="1731" spans="1:11" x14ac:dyDescent="0.25">
      <c r="A1731" s="4">
        <v>43751</v>
      </c>
      <c r="B1731" s="19">
        <f t="shared" si="54"/>
        <v>2019</v>
      </c>
      <c r="C1731" s="19">
        <f t="shared" si="55"/>
        <v>10</v>
      </c>
      <c r="D1731" s="5" t="s">
        <v>1075</v>
      </c>
      <c r="E1731" s="5" t="s">
        <v>18</v>
      </c>
      <c r="F1731" s="5" t="s">
        <v>19</v>
      </c>
      <c r="G1731" s="5" t="s">
        <v>40</v>
      </c>
      <c r="H1731" s="5" t="s">
        <v>1665</v>
      </c>
      <c r="I1731" s="13">
        <v>11.52</v>
      </c>
      <c r="J1731" s="19">
        <v>4</v>
      </c>
      <c r="K1731" s="14">
        <v>3.456</v>
      </c>
    </row>
    <row r="1732" spans="1:11" x14ac:dyDescent="0.25">
      <c r="A1732" s="2">
        <v>43751</v>
      </c>
      <c r="B1732" s="18">
        <f t="shared" si="54"/>
        <v>2019</v>
      </c>
      <c r="C1732" s="18">
        <f t="shared" si="55"/>
        <v>10</v>
      </c>
      <c r="D1732" s="3" t="s">
        <v>1075</v>
      </c>
      <c r="E1732" s="3" t="s">
        <v>18</v>
      </c>
      <c r="F1732" s="3" t="s">
        <v>19</v>
      </c>
      <c r="G1732" s="3" t="s">
        <v>116</v>
      </c>
      <c r="H1732" s="3" t="s">
        <v>635</v>
      </c>
      <c r="I1732" s="11">
        <v>4.0199999999999996</v>
      </c>
      <c r="J1732" s="18">
        <v>2</v>
      </c>
      <c r="K1732" s="12">
        <v>1.9698</v>
      </c>
    </row>
    <row r="1733" spans="1:11" x14ac:dyDescent="0.25">
      <c r="A1733" s="4">
        <v>43751</v>
      </c>
      <c r="B1733" s="19">
        <f t="shared" si="54"/>
        <v>2019</v>
      </c>
      <c r="C1733" s="19">
        <f t="shared" si="55"/>
        <v>10</v>
      </c>
      <c r="D1733" s="5" t="s">
        <v>1075</v>
      </c>
      <c r="E1733" s="5" t="s">
        <v>18</v>
      </c>
      <c r="F1733" s="5" t="s">
        <v>19</v>
      </c>
      <c r="G1733" s="5" t="s">
        <v>32</v>
      </c>
      <c r="H1733" s="5" t="s">
        <v>158</v>
      </c>
      <c r="I1733" s="13">
        <v>76.176000000000002</v>
      </c>
      <c r="J1733" s="19">
        <v>3</v>
      </c>
      <c r="K1733" s="14">
        <v>26.6616</v>
      </c>
    </row>
    <row r="1734" spans="1:11" x14ac:dyDescent="0.25">
      <c r="A1734" s="2">
        <v>43751</v>
      </c>
      <c r="B1734" s="18">
        <f t="shared" si="54"/>
        <v>2019</v>
      </c>
      <c r="C1734" s="18">
        <f t="shared" si="55"/>
        <v>10</v>
      </c>
      <c r="D1734" s="3" t="s">
        <v>1075</v>
      </c>
      <c r="E1734" s="3" t="s">
        <v>18</v>
      </c>
      <c r="F1734" s="3" t="s">
        <v>19</v>
      </c>
      <c r="G1734" s="3" t="s">
        <v>265</v>
      </c>
      <c r="H1734" s="3" t="s">
        <v>683</v>
      </c>
      <c r="I1734" s="11">
        <v>65.88</v>
      </c>
      <c r="J1734" s="18">
        <v>6</v>
      </c>
      <c r="K1734" s="12">
        <v>18.446400000000001</v>
      </c>
    </row>
    <row r="1735" spans="1:11" x14ac:dyDescent="0.25">
      <c r="A1735" s="4">
        <v>43751</v>
      </c>
      <c r="B1735" s="19">
        <f t="shared" si="54"/>
        <v>2019</v>
      </c>
      <c r="C1735" s="19">
        <f t="shared" si="55"/>
        <v>10</v>
      </c>
      <c r="D1735" s="5" t="s">
        <v>1075</v>
      </c>
      <c r="E1735" s="5" t="s">
        <v>18</v>
      </c>
      <c r="F1735" s="5" t="s">
        <v>11</v>
      </c>
      <c r="G1735" s="5" t="s">
        <v>51</v>
      </c>
      <c r="H1735" s="5" t="s">
        <v>1710</v>
      </c>
      <c r="I1735" s="13">
        <v>43.12</v>
      </c>
      <c r="J1735" s="19">
        <v>14</v>
      </c>
      <c r="K1735" s="14">
        <v>20.697600000000001</v>
      </c>
    </row>
    <row r="1736" spans="1:11" x14ac:dyDescent="0.25">
      <c r="A1736" s="2">
        <v>43751</v>
      </c>
      <c r="B1736" s="18">
        <f t="shared" si="54"/>
        <v>2019</v>
      </c>
      <c r="C1736" s="18">
        <f t="shared" si="55"/>
        <v>10</v>
      </c>
      <c r="D1736" s="3" t="s">
        <v>1711</v>
      </c>
      <c r="E1736" s="3" t="s">
        <v>306</v>
      </c>
      <c r="F1736" s="3" t="s">
        <v>11</v>
      </c>
      <c r="G1736" s="3" t="s">
        <v>30</v>
      </c>
      <c r="H1736" s="3" t="s">
        <v>1712</v>
      </c>
      <c r="I1736" s="11">
        <v>727.45</v>
      </c>
      <c r="J1736" s="18">
        <v>5</v>
      </c>
      <c r="K1736" s="12">
        <v>-465.56799999999998</v>
      </c>
    </row>
    <row r="1737" spans="1:11" x14ac:dyDescent="0.25">
      <c r="A1737" s="4">
        <v>43751</v>
      </c>
      <c r="B1737" s="19">
        <f t="shared" si="54"/>
        <v>2019</v>
      </c>
      <c r="C1737" s="19">
        <f t="shared" si="55"/>
        <v>10</v>
      </c>
      <c r="D1737" s="5" t="s">
        <v>1711</v>
      </c>
      <c r="E1737" s="5" t="s">
        <v>306</v>
      </c>
      <c r="F1737" s="5" t="s">
        <v>11</v>
      </c>
      <c r="G1737" s="5" t="s">
        <v>51</v>
      </c>
      <c r="H1737" s="5" t="s">
        <v>791</v>
      </c>
      <c r="I1737" s="13">
        <v>24.96</v>
      </c>
      <c r="J1737" s="19">
        <v>3</v>
      </c>
      <c r="K1737" s="14">
        <v>4.3680000000000003</v>
      </c>
    </row>
    <row r="1738" spans="1:11" x14ac:dyDescent="0.25">
      <c r="A1738" s="2">
        <v>43751</v>
      </c>
      <c r="B1738" s="18">
        <f t="shared" si="54"/>
        <v>2019</v>
      </c>
      <c r="C1738" s="18">
        <f t="shared" si="55"/>
        <v>10</v>
      </c>
      <c r="D1738" s="3" t="s">
        <v>1344</v>
      </c>
      <c r="E1738" s="3" t="s">
        <v>23</v>
      </c>
      <c r="F1738" s="3" t="s">
        <v>14</v>
      </c>
      <c r="G1738" s="3" t="s">
        <v>24</v>
      </c>
      <c r="H1738" s="3" t="s">
        <v>1023</v>
      </c>
      <c r="I1738" s="11">
        <v>191.976</v>
      </c>
      <c r="J1738" s="18">
        <v>3</v>
      </c>
      <c r="K1738" s="12">
        <v>23.997</v>
      </c>
    </row>
    <row r="1739" spans="1:11" x14ac:dyDescent="0.25">
      <c r="A1739" s="4">
        <v>43751</v>
      </c>
      <c r="B1739" s="19">
        <f t="shared" si="54"/>
        <v>2019</v>
      </c>
      <c r="C1739" s="19">
        <f t="shared" si="55"/>
        <v>10</v>
      </c>
      <c r="D1739" s="5" t="s">
        <v>1344</v>
      </c>
      <c r="E1739" s="5" t="s">
        <v>23</v>
      </c>
      <c r="F1739" s="5" t="s">
        <v>19</v>
      </c>
      <c r="G1739" s="5" t="s">
        <v>53</v>
      </c>
      <c r="H1739" s="5" t="s">
        <v>1361</v>
      </c>
      <c r="I1739" s="13">
        <v>8.2880000000000003</v>
      </c>
      <c r="J1739" s="19">
        <v>2</v>
      </c>
      <c r="K1739" s="14">
        <v>3.0044</v>
      </c>
    </row>
    <row r="1740" spans="1:11" x14ac:dyDescent="0.25">
      <c r="A1740" s="2">
        <v>43751</v>
      </c>
      <c r="B1740" s="18">
        <f t="shared" si="54"/>
        <v>2019</v>
      </c>
      <c r="C1740" s="18">
        <f t="shared" si="55"/>
        <v>10</v>
      </c>
      <c r="D1740" s="3" t="s">
        <v>1344</v>
      </c>
      <c r="E1740" s="3" t="s">
        <v>23</v>
      </c>
      <c r="F1740" s="3" t="s">
        <v>11</v>
      </c>
      <c r="G1740" s="3" t="s">
        <v>51</v>
      </c>
      <c r="H1740" s="3" t="s">
        <v>1480</v>
      </c>
      <c r="I1740" s="11">
        <v>139.91999999999999</v>
      </c>
      <c r="J1740" s="18">
        <v>5</v>
      </c>
      <c r="K1740" s="12">
        <v>-150.41399999999999</v>
      </c>
    </row>
    <row r="1741" spans="1:11" x14ac:dyDescent="0.25">
      <c r="A1741" s="4">
        <v>43751</v>
      </c>
      <c r="B1741" s="19">
        <f t="shared" si="54"/>
        <v>2019</v>
      </c>
      <c r="C1741" s="19">
        <f t="shared" si="55"/>
        <v>10</v>
      </c>
      <c r="D1741" s="5" t="s">
        <v>1344</v>
      </c>
      <c r="E1741" s="5" t="s">
        <v>23</v>
      </c>
      <c r="F1741" s="5" t="s">
        <v>19</v>
      </c>
      <c r="G1741" s="5" t="s">
        <v>40</v>
      </c>
      <c r="H1741" s="5" t="s">
        <v>1713</v>
      </c>
      <c r="I1741" s="13">
        <v>15.872</v>
      </c>
      <c r="J1741" s="19">
        <v>1</v>
      </c>
      <c r="K1741" s="14">
        <v>1.1903999999999999</v>
      </c>
    </row>
    <row r="1742" spans="1:11" x14ac:dyDescent="0.25">
      <c r="A1742" s="2">
        <v>43751</v>
      </c>
      <c r="B1742" s="18">
        <f t="shared" si="54"/>
        <v>2019</v>
      </c>
      <c r="C1742" s="18">
        <f t="shared" si="55"/>
        <v>10</v>
      </c>
      <c r="D1742" s="3" t="s">
        <v>1344</v>
      </c>
      <c r="E1742" s="3" t="s">
        <v>23</v>
      </c>
      <c r="F1742" s="3" t="s">
        <v>19</v>
      </c>
      <c r="G1742" s="3" t="s">
        <v>32</v>
      </c>
      <c r="H1742" s="3" t="s">
        <v>539</v>
      </c>
      <c r="I1742" s="11">
        <v>6.2859999999999996</v>
      </c>
      <c r="J1742" s="18">
        <v>7</v>
      </c>
      <c r="K1742" s="12">
        <v>-11.000500000000001</v>
      </c>
    </row>
    <row r="1743" spans="1:11" x14ac:dyDescent="0.25">
      <c r="A1743" s="4">
        <v>43751</v>
      </c>
      <c r="B1743" s="19">
        <f t="shared" si="54"/>
        <v>2019</v>
      </c>
      <c r="C1743" s="19">
        <f t="shared" si="55"/>
        <v>10</v>
      </c>
      <c r="D1743" s="5" t="s">
        <v>1695</v>
      </c>
      <c r="E1743" s="5" t="s">
        <v>94</v>
      </c>
      <c r="F1743" s="5" t="s">
        <v>19</v>
      </c>
      <c r="G1743" s="5" t="s">
        <v>40</v>
      </c>
      <c r="H1743" s="5" t="s">
        <v>906</v>
      </c>
      <c r="I1743" s="13">
        <v>34.700000000000003</v>
      </c>
      <c r="J1743" s="19">
        <v>5</v>
      </c>
      <c r="K1743" s="14">
        <v>12.492000000000001</v>
      </c>
    </row>
    <row r="1744" spans="1:11" x14ac:dyDescent="0.25">
      <c r="A1744" s="2">
        <v>43751</v>
      </c>
      <c r="B1744" s="18">
        <f t="shared" si="54"/>
        <v>2019</v>
      </c>
      <c r="C1744" s="18">
        <f t="shared" si="55"/>
        <v>10</v>
      </c>
      <c r="D1744" s="3" t="s">
        <v>1695</v>
      </c>
      <c r="E1744" s="3" t="s">
        <v>94</v>
      </c>
      <c r="F1744" s="3" t="s">
        <v>19</v>
      </c>
      <c r="G1744" s="3" t="s">
        <v>20</v>
      </c>
      <c r="H1744" s="3" t="s">
        <v>1714</v>
      </c>
      <c r="I1744" s="11">
        <v>99.87</v>
      </c>
      <c r="J1744" s="18">
        <v>3</v>
      </c>
      <c r="K1744" s="12">
        <v>23.968800000000002</v>
      </c>
    </row>
    <row r="1745" spans="1:11" x14ac:dyDescent="0.25">
      <c r="A1745" s="4">
        <v>43751</v>
      </c>
      <c r="B1745" s="19">
        <f t="shared" si="54"/>
        <v>2019</v>
      </c>
      <c r="C1745" s="19">
        <f t="shared" si="55"/>
        <v>10</v>
      </c>
      <c r="D1745" s="5" t="s">
        <v>1695</v>
      </c>
      <c r="E1745" s="5" t="s">
        <v>94</v>
      </c>
      <c r="F1745" s="5" t="s">
        <v>19</v>
      </c>
      <c r="G1745" s="5" t="s">
        <v>53</v>
      </c>
      <c r="H1745" s="5" t="s">
        <v>509</v>
      </c>
      <c r="I1745" s="13">
        <v>37.94</v>
      </c>
      <c r="J1745" s="19">
        <v>2</v>
      </c>
      <c r="K1745" s="14">
        <v>18.211200000000002</v>
      </c>
    </row>
    <row r="1746" spans="1:11" x14ac:dyDescent="0.25">
      <c r="A1746" s="2">
        <v>43751</v>
      </c>
      <c r="B1746" s="18">
        <f t="shared" si="54"/>
        <v>2019</v>
      </c>
      <c r="C1746" s="18">
        <f t="shared" si="55"/>
        <v>10</v>
      </c>
      <c r="D1746" s="3" t="s">
        <v>1695</v>
      </c>
      <c r="E1746" s="3" t="s">
        <v>94</v>
      </c>
      <c r="F1746" s="3" t="s">
        <v>19</v>
      </c>
      <c r="G1746" s="3" t="s">
        <v>127</v>
      </c>
      <c r="H1746" s="3" t="s">
        <v>991</v>
      </c>
      <c r="I1746" s="11">
        <v>24.9</v>
      </c>
      <c r="J1746" s="18">
        <v>5</v>
      </c>
      <c r="K1746" s="12">
        <v>11.454000000000001</v>
      </c>
    </row>
    <row r="1747" spans="1:11" x14ac:dyDescent="0.25">
      <c r="A1747" s="4">
        <v>43751</v>
      </c>
      <c r="B1747" s="19">
        <f t="shared" si="54"/>
        <v>2019</v>
      </c>
      <c r="C1747" s="19">
        <f t="shared" si="55"/>
        <v>10</v>
      </c>
      <c r="D1747" s="5" t="s">
        <v>1695</v>
      </c>
      <c r="E1747" s="5" t="s">
        <v>94</v>
      </c>
      <c r="F1747" s="5" t="s">
        <v>11</v>
      </c>
      <c r="G1747" s="5" t="s">
        <v>51</v>
      </c>
      <c r="H1747" s="5" t="s">
        <v>1715</v>
      </c>
      <c r="I1747" s="13">
        <v>82.26</v>
      </c>
      <c r="J1747" s="19">
        <v>3</v>
      </c>
      <c r="K1747" s="14">
        <v>33.726599999999998</v>
      </c>
    </row>
    <row r="1748" spans="1:11" x14ac:dyDescent="0.25">
      <c r="A1748" s="2">
        <v>43752</v>
      </c>
      <c r="B1748" s="18">
        <f t="shared" si="54"/>
        <v>2019</v>
      </c>
      <c r="C1748" s="18">
        <f t="shared" si="55"/>
        <v>10</v>
      </c>
      <c r="D1748" s="3" t="s">
        <v>882</v>
      </c>
      <c r="E1748" s="3" t="s">
        <v>70</v>
      </c>
      <c r="F1748" s="3" t="s">
        <v>14</v>
      </c>
      <c r="G1748" s="3" t="s">
        <v>24</v>
      </c>
      <c r="H1748" s="3" t="s">
        <v>1716</v>
      </c>
      <c r="I1748" s="11">
        <v>177</v>
      </c>
      <c r="J1748" s="18">
        <v>3</v>
      </c>
      <c r="K1748" s="12">
        <v>30.09</v>
      </c>
    </row>
    <row r="1749" spans="1:11" x14ac:dyDescent="0.25">
      <c r="A1749" s="4">
        <v>43752</v>
      </c>
      <c r="B1749" s="19">
        <f t="shared" si="54"/>
        <v>2019</v>
      </c>
      <c r="C1749" s="19">
        <f t="shared" si="55"/>
        <v>10</v>
      </c>
      <c r="D1749" s="5" t="s">
        <v>1717</v>
      </c>
      <c r="E1749" s="5" t="s">
        <v>35</v>
      </c>
      <c r="F1749" s="5" t="s">
        <v>11</v>
      </c>
      <c r="G1749" s="5" t="s">
        <v>112</v>
      </c>
      <c r="H1749" s="5" t="s">
        <v>1718</v>
      </c>
      <c r="I1749" s="13">
        <v>102.592</v>
      </c>
      <c r="J1749" s="19">
        <v>1</v>
      </c>
      <c r="K1749" s="14">
        <v>10.2592</v>
      </c>
    </row>
    <row r="1750" spans="1:11" x14ac:dyDescent="0.25">
      <c r="A1750" s="2">
        <v>43752</v>
      </c>
      <c r="B1750" s="18">
        <f t="shared" si="54"/>
        <v>2019</v>
      </c>
      <c r="C1750" s="18">
        <f t="shared" si="55"/>
        <v>10</v>
      </c>
      <c r="D1750" s="3" t="s">
        <v>1717</v>
      </c>
      <c r="E1750" s="3" t="s">
        <v>35</v>
      </c>
      <c r="F1750" s="3" t="s">
        <v>14</v>
      </c>
      <c r="G1750" s="3" t="s">
        <v>24</v>
      </c>
      <c r="H1750" s="3" t="s">
        <v>1719</v>
      </c>
      <c r="I1750" s="11">
        <v>22.704000000000001</v>
      </c>
      <c r="J1750" s="18">
        <v>1</v>
      </c>
      <c r="K1750" s="12">
        <v>5.9598000000000004</v>
      </c>
    </row>
    <row r="1751" spans="1:11" x14ac:dyDescent="0.25">
      <c r="A1751" s="4">
        <v>43752</v>
      </c>
      <c r="B1751" s="19">
        <f t="shared" si="54"/>
        <v>2019</v>
      </c>
      <c r="C1751" s="19">
        <f t="shared" si="55"/>
        <v>10</v>
      </c>
      <c r="D1751" s="5" t="s">
        <v>1717</v>
      </c>
      <c r="E1751" s="5" t="s">
        <v>35</v>
      </c>
      <c r="F1751" s="5" t="s">
        <v>19</v>
      </c>
      <c r="G1751" s="5" t="s">
        <v>53</v>
      </c>
      <c r="H1751" s="5" t="s">
        <v>1432</v>
      </c>
      <c r="I1751" s="13">
        <v>93.024000000000001</v>
      </c>
      <c r="J1751" s="19">
        <v>3</v>
      </c>
      <c r="K1751" s="14">
        <v>33.721200000000003</v>
      </c>
    </row>
    <row r="1752" spans="1:11" x14ac:dyDescent="0.25">
      <c r="A1752" s="2">
        <v>43752</v>
      </c>
      <c r="B1752" s="18">
        <f t="shared" si="54"/>
        <v>2019</v>
      </c>
      <c r="C1752" s="18">
        <f t="shared" si="55"/>
        <v>10</v>
      </c>
      <c r="D1752" s="3" t="s">
        <v>1717</v>
      </c>
      <c r="E1752" s="3" t="s">
        <v>35</v>
      </c>
      <c r="F1752" s="3" t="s">
        <v>19</v>
      </c>
      <c r="G1752" s="3" t="s">
        <v>265</v>
      </c>
      <c r="H1752" s="3" t="s">
        <v>538</v>
      </c>
      <c r="I1752" s="11">
        <v>12.768000000000001</v>
      </c>
      <c r="J1752" s="18">
        <v>2</v>
      </c>
      <c r="K1752" s="12">
        <v>1.4363999999999999</v>
      </c>
    </row>
    <row r="1753" spans="1:11" x14ac:dyDescent="0.25">
      <c r="A1753" s="4">
        <v>43752</v>
      </c>
      <c r="B1753" s="19">
        <f t="shared" si="54"/>
        <v>2019</v>
      </c>
      <c r="C1753" s="19">
        <f t="shared" si="55"/>
        <v>10</v>
      </c>
      <c r="D1753" s="5" t="s">
        <v>1717</v>
      </c>
      <c r="E1753" s="5" t="s">
        <v>35</v>
      </c>
      <c r="F1753" s="5" t="s">
        <v>19</v>
      </c>
      <c r="G1753" s="5" t="s">
        <v>86</v>
      </c>
      <c r="H1753" s="5" t="s">
        <v>1456</v>
      </c>
      <c r="I1753" s="13">
        <v>35.008000000000003</v>
      </c>
      <c r="J1753" s="19">
        <v>4</v>
      </c>
      <c r="K1753" s="14">
        <v>13.128</v>
      </c>
    </row>
    <row r="1754" spans="1:11" x14ac:dyDescent="0.25">
      <c r="A1754" s="2">
        <v>43752</v>
      </c>
      <c r="B1754" s="18">
        <f t="shared" si="54"/>
        <v>2019</v>
      </c>
      <c r="C1754" s="18">
        <f t="shared" si="55"/>
        <v>10</v>
      </c>
      <c r="D1754" s="3" t="s">
        <v>1717</v>
      </c>
      <c r="E1754" s="3" t="s">
        <v>35</v>
      </c>
      <c r="F1754" s="3" t="s">
        <v>19</v>
      </c>
      <c r="G1754" s="3" t="s">
        <v>53</v>
      </c>
      <c r="H1754" s="3" t="s">
        <v>1720</v>
      </c>
      <c r="I1754" s="11">
        <v>39.152000000000001</v>
      </c>
      <c r="J1754" s="18">
        <v>1</v>
      </c>
      <c r="K1754" s="12">
        <v>14.682</v>
      </c>
    </row>
    <row r="1755" spans="1:11" x14ac:dyDescent="0.25">
      <c r="A1755" s="4">
        <v>43752</v>
      </c>
      <c r="B1755" s="19">
        <f t="shared" si="54"/>
        <v>2019</v>
      </c>
      <c r="C1755" s="19">
        <f t="shared" si="55"/>
        <v>10</v>
      </c>
      <c r="D1755" s="5" t="s">
        <v>1403</v>
      </c>
      <c r="E1755" s="5" t="s">
        <v>94</v>
      </c>
      <c r="F1755" s="5" t="s">
        <v>14</v>
      </c>
      <c r="G1755" s="5" t="s">
        <v>15</v>
      </c>
      <c r="H1755" s="5" t="s">
        <v>226</v>
      </c>
      <c r="I1755" s="13">
        <v>1091.93</v>
      </c>
      <c r="J1755" s="19">
        <v>7</v>
      </c>
      <c r="K1755" s="14">
        <v>272.98250000000002</v>
      </c>
    </row>
    <row r="1756" spans="1:11" x14ac:dyDescent="0.25">
      <c r="A1756" s="2">
        <v>43752</v>
      </c>
      <c r="B1756" s="18">
        <f t="shared" si="54"/>
        <v>2019</v>
      </c>
      <c r="C1756" s="18">
        <f t="shared" si="55"/>
        <v>10</v>
      </c>
      <c r="D1756" s="3" t="s">
        <v>1403</v>
      </c>
      <c r="E1756" s="3" t="s">
        <v>94</v>
      </c>
      <c r="F1756" s="3" t="s">
        <v>19</v>
      </c>
      <c r="G1756" s="3" t="s">
        <v>53</v>
      </c>
      <c r="H1756" s="3" t="s">
        <v>1037</v>
      </c>
      <c r="I1756" s="11">
        <v>111.96</v>
      </c>
      <c r="J1756" s="18">
        <v>2</v>
      </c>
      <c r="K1756" s="12">
        <v>54.860399999999998</v>
      </c>
    </row>
    <row r="1757" spans="1:11" x14ac:dyDescent="0.25">
      <c r="A1757" s="4">
        <v>43752</v>
      </c>
      <c r="B1757" s="19">
        <f t="shared" si="54"/>
        <v>2019</v>
      </c>
      <c r="C1757" s="19">
        <f t="shared" si="55"/>
        <v>10</v>
      </c>
      <c r="D1757" s="5" t="s">
        <v>224</v>
      </c>
      <c r="E1757" s="5" t="s">
        <v>56</v>
      </c>
      <c r="F1757" s="5" t="s">
        <v>14</v>
      </c>
      <c r="G1757" s="5" t="s">
        <v>24</v>
      </c>
      <c r="H1757" s="5" t="s">
        <v>954</v>
      </c>
      <c r="I1757" s="13">
        <v>1649.75</v>
      </c>
      <c r="J1757" s="19">
        <v>5</v>
      </c>
      <c r="K1757" s="14">
        <v>544.41750000000002</v>
      </c>
    </row>
    <row r="1758" spans="1:11" x14ac:dyDescent="0.25">
      <c r="A1758" s="2">
        <v>43753</v>
      </c>
      <c r="B1758" s="18">
        <f t="shared" si="54"/>
        <v>2019</v>
      </c>
      <c r="C1758" s="18">
        <f t="shared" si="55"/>
        <v>10</v>
      </c>
      <c r="D1758" s="3" t="s">
        <v>1721</v>
      </c>
      <c r="E1758" s="3" t="s">
        <v>1156</v>
      </c>
      <c r="F1758" s="3" t="s">
        <v>19</v>
      </c>
      <c r="G1758" s="3" t="s">
        <v>53</v>
      </c>
      <c r="H1758" s="3" t="s">
        <v>1722</v>
      </c>
      <c r="I1758" s="11">
        <v>45.68</v>
      </c>
      <c r="J1758" s="18">
        <v>2</v>
      </c>
      <c r="K1758" s="12">
        <v>21.012799999999999</v>
      </c>
    </row>
    <row r="1759" spans="1:11" x14ac:dyDescent="0.25">
      <c r="A1759" s="4">
        <v>43753</v>
      </c>
      <c r="B1759" s="19">
        <f t="shared" si="54"/>
        <v>2019</v>
      </c>
      <c r="C1759" s="19">
        <f t="shared" si="55"/>
        <v>10</v>
      </c>
      <c r="D1759" s="5" t="s">
        <v>1721</v>
      </c>
      <c r="E1759" s="5" t="s">
        <v>1156</v>
      </c>
      <c r="F1759" s="5" t="s">
        <v>19</v>
      </c>
      <c r="G1759" s="5" t="s">
        <v>53</v>
      </c>
      <c r="H1759" s="5" t="s">
        <v>1723</v>
      </c>
      <c r="I1759" s="13">
        <v>60.12</v>
      </c>
      <c r="J1759" s="19">
        <v>9</v>
      </c>
      <c r="K1759" s="14">
        <v>28.857600000000001</v>
      </c>
    </row>
    <row r="1760" spans="1:11" x14ac:dyDescent="0.25">
      <c r="A1760" s="2">
        <v>43753</v>
      </c>
      <c r="B1760" s="18">
        <f t="shared" si="54"/>
        <v>2019</v>
      </c>
      <c r="C1760" s="18">
        <f t="shared" si="55"/>
        <v>10</v>
      </c>
      <c r="D1760" s="3" t="s">
        <v>1721</v>
      </c>
      <c r="E1760" s="3" t="s">
        <v>1156</v>
      </c>
      <c r="F1760" s="3" t="s">
        <v>19</v>
      </c>
      <c r="G1760" s="3" t="s">
        <v>32</v>
      </c>
      <c r="H1760" s="3" t="s">
        <v>1724</v>
      </c>
      <c r="I1760" s="11">
        <v>41.72</v>
      </c>
      <c r="J1760" s="18">
        <v>5</v>
      </c>
      <c r="K1760" s="12">
        <v>13.0375</v>
      </c>
    </row>
    <row r="1761" spans="1:11" x14ac:dyDescent="0.25">
      <c r="A1761" s="4">
        <v>43753</v>
      </c>
      <c r="B1761" s="19">
        <f t="shared" si="54"/>
        <v>2019</v>
      </c>
      <c r="C1761" s="19">
        <f t="shared" si="55"/>
        <v>10</v>
      </c>
      <c r="D1761" s="5" t="s">
        <v>1721</v>
      </c>
      <c r="E1761" s="5" t="s">
        <v>1156</v>
      </c>
      <c r="F1761" s="5" t="s">
        <v>19</v>
      </c>
      <c r="G1761" s="5" t="s">
        <v>53</v>
      </c>
      <c r="H1761" s="5" t="s">
        <v>1725</v>
      </c>
      <c r="I1761" s="13">
        <v>71.599999999999994</v>
      </c>
      <c r="J1761" s="19">
        <v>8</v>
      </c>
      <c r="K1761" s="14">
        <v>32.936</v>
      </c>
    </row>
    <row r="1762" spans="1:11" x14ac:dyDescent="0.25">
      <c r="A1762" s="2">
        <v>43753</v>
      </c>
      <c r="B1762" s="18">
        <f t="shared" si="54"/>
        <v>2019</v>
      </c>
      <c r="C1762" s="18">
        <f t="shared" si="55"/>
        <v>10</v>
      </c>
      <c r="D1762" s="3" t="s">
        <v>1726</v>
      </c>
      <c r="E1762" s="3" t="s">
        <v>29</v>
      </c>
      <c r="F1762" s="3" t="s">
        <v>19</v>
      </c>
      <c r="G1762" s="3" t="s">
        <v>127</v>
      </c>
      <c r="H1762" s="3" t="s">
        <v>1386</v>
      </c>
      <c r="I1762" s="11">
        <v>20.16</v>
      </c>
      <c r="J1762" s="18">
        <v>7</v>
      </c>
      <c r="K1762" s="12">
        <v>9.8783999999999992</v>
      </c>
    </row>
    <row r="1763" spans="1:11" x14ac:dyDescent="0.25">
      <c r="A1763" s="4">
        <v>43753</v>
      </c>
      <c r="B1763" s="19">
        <f t="shared" si="54"/>
        <v>2019</v>
      </c>
      <c r="C1763" s="19">
        <f t="shared" si="55"/>
        <v>10</v>
      </c>
      <c r="D1763" s="5" t="s">
        <v>1726</v>
      </c>
      <c r="E1763" s="5" t="s">
        <v>29</v>
      </c>
      <c r="F1763" s="5" t="s">
        <v>19</v>
      </c>
      <c r="G1763" s="5" t="s">
        <v>127</v>
      </c>
      <c r="H1763" s="5" t="s">
        <v>215</v>
      </c>
      <c r="I1763" s="13">
        <v>29.46</v>
      </c>
      <c r="J1763" s="19">
        <v>6</v>
      </c>
      <c r="K1763" s="14">
        <v>14.4354</v>
      </c>
    </row>
    <row r="1764" spans="1:11" x14ac:dyDescent="0.25">
      <c r="A1764" s="2">
        <v>43753</v>
      </c>
      <c r="B1764" s="18">
        <f t="shared" si="54"/>
        <v>2019</v>
      </c>
      <c r="C1764" s="18">
        <f t="shared" si="55"/>
        <v>10</v>
      </c>
      <c r="D1764" s="3" t="s">
        <v>1726</v>
      </c>
      <c r="E1764" s="3" t="s">
        <v>29</v>
      </c>
      <c r="F1764" s="3" t="s">
        <v>19</v>
      </c>
      <c r="G1764" s="3" t="s">
        <v>121</v>
      </c>
      <c r="H1764" s="3" t="s">
        <v>1727</v>
      </c>
      <c r="I1764" s="11">
        <v>868.59</v>
      </c>
      <c r="J1764" s="18">
        <v>3</v>
      </c>
      <c r="K1764" s="12">
        <v>251.89109999999999</v>
      </c>
    </row>
    <row r="1765" spans="1:11" x14ac:dyDescent="0.25">
      <c r="A1765" s="4">
        <v>43753</v>
      </c>
      <c r="B1765" s="19">
        <f t="shared" si="54"/>
        <v>2019</v>
      </c>
      <c r="C1765" s="19">
        <f t="shared" si="55"/>
        <v>10</v>
      </c>
      <c r="D1765" s="5" t="s">
        <v>1726</v>
      </c>
      <c r="E1765" s="5" t="s">
        <v>29</v>
      </c>
      <c r="F1765" s="5" t="s">
        <v>19</v>
      </c>
      <c r="G1765" s="5" t="s">
        <v>53</v>
      </c>
      <c r="H1765" s="5" t="s">
        <v>1728</v>
      </c>
      <c r="I1765" s="13">
        <v>12.96</v>
      </c>
      <c r="J1765" s="19">
        <v>2</v>
      </c>
      <c r="K1765" s="14">
        <v>6.2207999999999997</v>
      </c>
    </row>
    <row r="1766" spans="1:11" x14ac:dyDescent="0.25">
      <c r="A1766" s="2">
        <v>43753</v>
      </c>
      <c r="B1766" s="18">
        <f t="shared" si="54"/>
        <v>2019</v>
      </c>
      <c r="C1766" s="18">
        <f t="shared" si="55"/>
        <v>10</v>
      </c>
      <c r="D1766" s="3" t="s">
        <v>1726</v>
      </c>
      <c r="E1766" s="3" t="s">
        <v>29</v>
      </c>
      <c r="F1766" s="3" t="s">
        <v>14</v>
      </c>
      <c r="G1766" s="3" t="s">
        <v>15</v>
      </c>
      <c r="H1766" s="3" t="s">
        <v>1420</v>
      </c>
      <c r="I1766" s="11">
        <v>5.5</v>
      </c>
      <c r="J1766" s="18">
        <v>1</v>
      </c>
      <c r="K1766" s="12">
        <v>1.375</v>
      </c>
    </row>
    <row r="1767" spans="1:11" x14ac:dyDescent="0.25">
      <c r="A1767" s="4">
        <v>43753</v>
      </c>
      <c r="B1767" s="19">
        <f t="shared" si="54"/>
        <v>2019</v>
      </c>
      <c r="C1767" s="19">
        <f t="shared" si="55"/>
        <v>10</v>
      </c>
      <c r="D1767" s="5" t="s">
        <v>1726</v>
      </c>
      <c r="E1767" s="5" t="s">
        <v>29</v>
      </c>
      <c r="F1767" s="5" t="s">
        <v>19</v>
      </c>
      <c r="G1767" s="5" t="s">
        <v>32</v>
      </c>
      <c r="H1767" s="5" t="s">
        <v>1607</v>
      </c>
      <c r="I1767" s="13">
        <v>121.6</v>
      </c>
      <c r="J1767" s="19">
        <v>4</v>
      </c>
      <c r="K1767" s="14">
        <v>55.936</v>
      </c>
    </row>
    <row r="1768" spans="1:11" x14ac:dyDescent="0.25">
      <c r="A1768" s="2">
        <v>43753</v>
      </c>
      <c r="B1768" s="18">
        <f t="shared" si="54"/>
        <v>2019</v>
      </c>
      <c r="C1768" s="18">
        <f t="shared" si="55"/>
        <v>10</v>
      </c>
      <c r="D1768" s="3" t="s">
        <v>606</v>
      </c>
      <c r="E1768" s="3" t="s">
        <v>181</v>
      </c>
      <c r="F1768" s="3" t="s">
        <v>19</v>
      </c>
      <c r="G1768" s="3" t="s">
        <v>32</v>
      </c>
      <c r="H1768" s="3" t="s">
        <v>1059</v>
      </c>
      <c r="I1768" s="11">
        <v>232.96</v>
      </c>
      <c r="J1768" s="18">
        <v>7</v>
      </c>
      <c r="K1768" s="12">
        <v>116.48</v>
      </c>
    </row>
    <row r="1769" spans="1:11" x14ac:dyDescent="0.25">
      <c r="A1769" s="4">
        <v>43753</v>
      </c>
      <c r="B1769" s="19">
        <f t="shared" si="54"/>
        <v>2019</v>
      </c>
      <c r="C1769" s="19">
        <f t="shared" si="55"/>
        <v>10</v>
      </c>
      <c r="D1769" s="5" t="s">
        <v>606</v>
      </c>
      <c r="E1769" s="5" t="s">
        <v>181</v>
      </c>
      <c r="F1769" s="5" t="s">
        <v>19</v>
      </c>
      <c r="G1769" s="5" t="s">
        <v>86</v>
      </c>
      <c r="H1769" s="5" t="s">
        <v>582</v>
      </c>
      <c r="I1769" s="13">
        <v>66.540000000000006</v>
      </c>
      <c r="J1769" s="19">
        <v>6</v>
      </c>
      <c r="K1769" s="14">
        <v>32.604599999999998</v>
      </c>
    </row>
    <row r="1770" spans="1:11" x14ac:dyDescent="0.25">
      <c r="A1770" s="2">
        <v>43753</v>
      </c>
      <c r="B1770" s="18">
        <f t="shared" si="54"/>
        <v>2019</v>
      </c>
      <c r="C1770" s="18">
        <f t="shared" si="55"/>
        <v>10</v>
      </c>
      <c r="D1770" s="3" t="s">
        <v>606</v>
      </c>
      <c r="E1770" s="3" t="s">
        <v>181</v>
      </c>
      <c r="F1770" s="3" t="s">
        <v>19</v>
      </c>
      <c r="G1770" s="3" t="s">
        <v>121</v>
      </c>
      <c r="H1770" s="3" t="s">
        <v>1729</v>
      </c>
      <c r="I1770" s="11">
        <v>43.26</v>
      </c>
      <c r="J1770" s="18">
        <v>3</v>
      </c>
      <c r="K1770" s="12">
        <v>14.2758</v>
      </c>
    </row>
    <row r="1771" spans="1:11" x14ac:dyDescent="0.25">
      <c r="A1771" s="4">
        <v>43754</v>
      </c>
      <c r="B1771" s="19">
        <f t="shared" si="54"/>
        <v>2019</v>
      </c>
      <c r="C1771" s="19">
        <f t="shared" si="55"/>
        <v>10</v>
      </c>
      <c r="D1771" s="5" t="s">
        <v>726</v>
      </c>
      <c r="E1771" s="5" t="s">
        <v>94</v>
      </c>
      <c r="F1771" s="5" t="s">
        <v>11</v>
      </c>
      <c r="G1771" s="5" t="s">
        <v>30</v>
      </c>
      <c r="H1771" s="5" t="s">
        <v>1477</v>
      </c>
      <c r="I1771" s="13">
        <v>142.18199999999999</v>
      </c>
      <c r="J1771" s="19">
        <v>1</v>
      </c>
      <c r="K1771" s="14">
        <v>-37.915199999999999</v>
      </c>
    </row>
    <row r="1772" spans="1:11" x14ac:dyDescent="0.25">
      <c r="A1772" s="2">
        <v>43755</v>
      </c>
      <c r="B1772" s="18">
        <f t="shared" si="54"/>
        <v>2019</v>
      </c>
      <c r="C1772" s="18">
        <f t="shared" si="55"/>
        <v>10</v>
      </c>
      <c r="D1772" s="3" t="s">
        <v>1248</v>
      </c>
      <c r="E1772" s="3" t="s">
        <v>18</v>
      </c>
      <c r="F1772" s="3" t="s">
        <v>19</v>
      </c>
      <c r="G1772" s="3" t="s">
        <v>32</v>
      </c>
      <c r="H1772" s="3" t="s">
        <v>1730</v>
      </c>
      <c r="I1772" s="11">
        <v>18.16</v>
      </c>
      <c r="J1772" s="18">
        <v>5</v>
      </c>
      <c r="K1772" s="12">
        <v>6.5830000000000002</v>
      </c>
    </row>
    <row r="1773" spans="1:11" x14ac:dyDescent="0.25">
      <c r="A1773" s="4">
        <v>43755</v>
      </c>
      <c r="B1773" s="19">
        <f t="shared" si="54"/>
        <v>2019</v>
      </c>
      <c r="C1773" s="19">
        <f t="shared" si="55"/>
        <v>10</v>
      </c>
      <c r="D1773" s="5" t="s">
        <v>331</v>
      </c>
      <c r="E1773" s="5" t="s">
        <v>18</v>
      </c>
      <c r="F1773" s="5" t="s">
        <v>11</v>
      </c>
      <c r="G1773" s="5" t="s">
        <v>12</v>
      </c>
      <c r="H1773" s="5" t="s">
        <v>1483</v>
      </c>
      <c r="I1773" s="13">
        <v>120.666</v>
      </c>
      <c r="J1773" s="19">
        <v>2</v>
      </c>
      <c r="K1773" s="14">
        <v>21.294</v>
      </c>
    </row>
    <row r="1774" spans="1:11" x14ac:dyDescent="0.25">
      <c r="A1774" s="2">
        <v>43755</v>
      </c>
      <c r="B1774" s="18">
        <f t="shared" si="54"/>
        <v>2019</v>
      </c>
      <c r="C1774" s="18">
        <f t="shared" si="55"/>
        <v>10</v>
      </c>
      <c r="D1774" s="3" t="s">
        <v>1731</v>
      </c>
      <c r="E1774" s="3" t="s">
        <v>472</v>
      </c>
      <c r="F1774" s="3" t="s">
        <v>14</v>
      </c>
      <c r="G1774" s="3" t="s">
        <v>15</v>
      </c>
      <c r="H1774" s="3" t="s">
        <v>1732</v>
      </c>
      <c r="I1774" s="11">
        <v>449.97</v>
      </c>
      <c r="J1774" s="18">
        <v>3</v>
      </c>
      <c r="K1774" s="12">
        <v>220.4853</v>
      </c>
    </row>
    <row r="1775" spans="1:11" x14ac:dyDescent="0.25">
      <c r="A1775" s="4">
        <v>43755</v>
      </c>
      <c r="B1775" s="19">
        <f t="shared" si="54"/>
        <v>2019</v>
      </c>
      <c r="C1775" s="19">
        <f t="shared" si="55"/>
        <v>10</v>
      </c>
      <c r="D1775" s="5" t="s">
        <v>1731</v>
      </c>
      <c r="E1775" s="5" t="s">
        <v>472</v>
      </c>
      <c r="F1775" s="5" t="s">
        <v>19</v>
      </c>
      <c r="G1775" s="5" t="s">
        <v>121</v>
      </c>
      <c r="H1775" s="5" t="s">
        <v>1733</v>
      </c>
      <c r="I1775" s="13">
        <v>1927.59</v>
      </c>
      <c r="J1775" s="19">
        <v>7</v>
      </c>
      <c r="K1775" s="14">
        <v>751.76009999999997</v>
      </c>
    </row>
    <row r="1776" spans="1:11" x14ac:dyDescent="0.25">
      <c r="A1776" s="2">
        <v>43755</v>
      </c>
      <c r="B1776" s="18">
        <f t="shared" si="54"/>
        <v>2019</v>
      </c>
      <c r="C1776" s="18">
        <f t="shared" si="55"/>
        <v>10</v>
      </c>
      <c r="D1776" s="3" t="s">
        <v>751</v>
      </c>
      <c r="E1776" s="3" t="s">
        <v>85</v>
      </c>
      <c r="F1776" s="3" t="s">
        <v>11</v>
      </c>
      <c r="G1776" s="3" t="s">
        <v>12</v>
      </c>
      <c r="H1776" s="3" t="s">
        <v>1356</v>
      </c>
      <c r="I1776" s="11">
        <v>120.98</v>
      </c>
      <c r="J1776" s="18">
        <v>1</v>
      </c>
      <c r="K1776" s="12">
        <v>12.098000000000001</v>
      </c>
    </row>
    <row r="1777" spans="1:11" x14ac:dyDescent="0.25">
      <c r="A1777" s="4">
        <v>43755</v>
      </c>
      <c r="B1777" s="19">
        <f t="shared" si="54"/>
        <v>2019</v>
      </c>
      <c r="C1777" s="19">
        <f t="shared" si="55"/>
        <v>10</v>
      </c>
      <c r="D1777" s="5" t="s">
        <v>751</v>
      </c>
      <c r="E1777" s="5" t="s">
        <v>85</v>
      </c>
      <c r="F1777" s="5" t="s">
        <v>19</v>
      </c>
      <c r="G1777" s="5" t="s">
        <v>32</v>
      </c>
      <c r="H1777" s="5" t="s">
        <v>629</v>
      </c>
      <c r="I1777" s="13">
        <v>315.98</v>
      </c>
      <c r="J1777" s="19">
        <v>1</v>
      </c>
      <c r="K1777" s="14">
        <v>148.51060000000001</v>
      </c>
    </row>
    <row r="1778" spans="1:11" x14ac:dyDescent="0.25">
      <c r="A1778" s="2">
        <v>43756</v>
      </c>
      <c r="B1778" s="18">
        <f t="shared" si="54"/>
        <v>2019</v>
      </c>
      <c r="C1778" s="18">
        <f t="shared" si="55"/>
        <v>10</v>
      </c>
      <c r="D1778" s="3" t="s">
        <v>1706</v>
      </c>
      <c r="E1778" s="3" t="s">
        <v>198</v>
      </c>
      <c r="F1778" s="3" t="s">
        <v>11</v>
      </c>
      <c r="G1778" s="3" t="s">
        <v>112</v>
      </c>
      <c r="H1778" s="3" t="s">
        <v>1629</v>
      </c>
      <c r="I1778" s="11">
        <v>307.92</v>
      </c>
      <c r="J1778" s="18">
        <v>5</v>
      </c>
      <c r="K1778" s="12">
        <v>-34.640999999999998</v>
      </c>
    </row>
    <row r="1779" spans="1:11" x14ac:dyDescent="0.25">
      <c r="A1779" s="4">
        <v>43758</v>
      </c>
      <c r="B1779" s="19">
        <f t="shared" si="54"/>
        <v>2019</v>
      </c>
      <c r="C1779" s="19">
        <f t="shared" si="55"/>
        <v>10</v>
      </c>
      <c r="D1779" s="5" t="s">
        <v>1734</v>
      </c>
      <c r="E1779" s="5" t="s">
        <v>67</v>
      </c>
      <c r="F1779" s="5" t="s">
        <v>19</v>
      </c>
      <c r="G1779" s="5" t="s">
        <v>40</v>
      </c>
      <c r="H1779" s="5" t="s">
        <v>1735</v>
      </c>
      <c r="I1779" s="13">
        <v>7.1520000000000001</v>
      </c>
      <c r="J1779" s="19">
        <v>3</v>
      </c>
      <c r="K1779" s="14">
        <v>0.71519999999999995</v>
      </c>
    </row>
    <row r="1780" spans="1:11" x14ac:dyDescent="0.25">
      <c r="A1780" s="2">
        <v>43758</v>
      </c>
      <c r="B1780" s="18">
        <f t="shared" si="54"/>
        <v>2019</v>
      </c>
      <c r="C1780" s="18">
        <f t="shared" si="55"/>
        <v>10</v>
      </c>
      <c r="D1780" s="3" t="s">
        <v>1649</v>
      </c>
      <c r="E1780" s="3" t="s">
        <v>23</v>
      </c>
      <c r="F1780" s="3" t="s">
        <v>19</v>
      </c>
      <c r="G1780" s="3" t="s">
        <v>53</v>
      </c>
      <c r="H1780" s="3" t="s">
        <v>1736</v>
      </c>
      <c r="I1780" s="11">
        <v>51.015999999999998</v>
      </c>
      <c r="J1780" s="18">
        <v>7</v>
      </c>
      <c r="K1780" s="12">
        <v>15.942500000000001</v>
      </c>
    </row>
    <row r="1781" spans="1:11" x14ac:dyDescent="0.25">
      <c r="A1781" s="4">
        <v>43758</v>
      </c>
      <c r="B1781" s="19">
        <f t="shared" si="54"/>
        <v>2019</v>
      </c>
      <c r="C1781" s="19">
        <f t="shared" si="55"/>
        <v>10</v>
      </c>
      <c r="D1781" s="5" t="s">
        <v>1649</v>
      </c>
      <c r="E1781" s="5" t="s">
        <v>23</v>
      </c>
      <c r="F1781" s="5" t="s">
        <v>19</v>
      </c>
      <c r="G1781" s="5" t="s">
        <v>116</v>
      </c>
      <c r="H1781" s="5" t="s">
        <v>301</v>
      </c>
      <c r="I1781" s="13">
        <v>25.248000000000001</v>
      </c>
      <c r="J1781" s="19">
        <v>4</v>
      </c>
      <c r="K1781" s="14">
        <v>7.89</v>
      </c>
    </row>
    <row r="1782" spans="1:11" x14ac:dyDescent="0.25">
      <c r="A1782" s="2">
        <v>43758</v>
      </c>
      <c r="B1782" s="18">
        <f t="shared" si="54"/>
        <v>2019</v>
      </c>
      <c r="C1782" s="18">
        <f t="shared" si="55"/>
        <v>10</v>
      </c>
      <c r="D1782" s="3" t="s">
        <v>1649</v>
      </c>
      <c r="E1782" s="3" t="s">
        <v>23</v>
      </c>
      <c r="F1782" s="3" t="s">
        <v>11</v>
      </c>
      <c r="G1782" s="3" t="s">
        <v>112</v>
      </c>
      <c r="H1782" s="3" t="s">
        <v>1497</v>
      </c>
      <c r="I1782" s="11">
        <v>56.686</v>
      </c>
      <c r="J1782" s="18">
        <v>1</v>
      </c>
      <c r="K1782" s="12">
        <v>-14.5764</v>
      </c>
    </row>
    <row r="1783" spans="1:11" x14ac:dyDescent="0.25">
      <c r="A1783" s="4">
        <v>43758</v>
      </c>
      <c r="B1783" s="19">
        <f t="shared" si="54"/>
        <v>2019</v>
      </c>
      <c r="C1783" s="19">
        <f t="shared" si="55"/>
        <v>10</v>
      </c>
      <c r="D1783" s="5" t="s">
        <v>1250</v>
      </c>
      <c r="E1783" s="5" t="s">
        <v>365</v>
      </c>
      <c r="F1783" s="5" t="s">
        <v>14</v>
      </c>
      <c r="G1783" s="5" t="s">
        <v>15</v>
      </c>
      <c r="H1783" s="5" t="s">
        <v>1737</v>
      </c>
      <c r="I1783" s="13">
        <v>125.7</v>
      </c>
      <c r="J1783" s="19">
        <v>6</v>
      </c>
      <c r="K1783" s="14">
        <v>35.195999999999998</v>
      </c>
    </row>
    <row r="1784" spans="1:11" x14ac:dyDescent="0.25">
      <c r="A1784" s="2">
        <v>43758</v>
      </c>
      <c r="B1784" s="18">
        <f t="shared" si="54"/>
        <v>2019</v>
      </c>
      <c r="C1784" s="18">
        <f t="shared" si="55"/>
        <v>10</v>
      </c>
      <c r="D1784" s="3" t="s">
        <v>1250</v>
      </c>
      <c r="E1784" s="3" t="s">
        <v>365</v>
      </c>
      <c r="F1784" s="3" t="s">
        <v>14</v>
      </c>
      <c r="G1784" s="3" t="s">
        <v>15</v>
      </c>
      <c r="H1784" s="3" t="s">
        <v>311</v>
      </c>
      <c r="I1784" s="11">
        <v>191.98</v>
      </c>
      <c r="J1784" s="18">
        <v>2</v>
      </c>
      <c r="K1784" s="12">
        <v>51.834600000000002</v>
      </c>
    </row>
    <row r="1785" spans="1:11" x14ac:dyDescent="0.25">
      <c r="A1785" s="4">
        <v>43758</v>
      </c>
      <c r="B1785" s="19">
        <f t="shared" si="54"/>
        <v>2019</v>
      </c>
      <c r="C1785" s="19">
        <f t="shared" si="55"/>
        <v>10</v>
      </c>
      <c r="D1785" s="5" t="s">
        <v>1250</v>
      </c>
      <c r="E1785" s="5" t="s">
        <v>365</v>
      </c>
      <c r="F1785" s="5" t="s">
        <v>19</v>
      </c>
      <c r="G1785" s="5" t="s">
        <v>20</v>
      </c>
      <c r="H1785" s="5" t="s">
        <v>631</v>
      </c>
      <c r="I1785" s="13">
        <v>20.86</v>
      </c>
      <c r="J1785" s="19">
        <v>7</v>
      </c>
      <c r="K1785" s="14">
        <v>1.4601999999999999</v>
      </c>
    </row>
    <row r="1786" spans="1:11" x14ac:dyDescent="0.25">
      <c r="A1786" s="2">
        <v>43758</v>
      </c>
      <c r="B1786" s="18">
        <f t="shared" si="54"/>
        <v>2019</v>
      </c>
      <c r="C1786" s="18">
        <f t="shared" si="55"/>
        <v>10</v>
      </c>
      <c r="D1786" s="3" t="s">
        <v>1738</v>
      </c>
      <c r="E1786" s="3" t="s">
        <v>18</v>
      </c>
      <c r="F1786" s="3" t="s">
        <v>19</v>
      </c>
      <c r="G1786" s="3" t="s">
        <v>32</v>
      </c>
      <c r="H1786" s="3" t="s">
        <v>1191</v>
      </c>
      <c r="I1786" s="11">
        <v>19.295999999999999</v>
      </c>
      <c r="J1786" s="18">
        <v>3</v>
      </c>
      <c r="K1786" s="12">
        <v>6.03</v>
      </c>
    </row>
    <row r="1787" spans="1:11" x14ac:dyDescent="0.25">
      <c r="A1787" s="4">
        <v>43758</v>
      </c>
      <c r="B1787" s="19">
        <f t="shared" si="54"/>
        <v>2019</v>
      </c>
      <c r="C1787" s="19">
        <f t="shared" si="55"/>
        <v>10</v>
      </c>
      <c r="D1787" s="5" t="s">
        <v>279</v>
      </c>
      <c r="E1787" s="5" t="s">
        <v>181</v>
      </c>
      <c r="F1787" s="5" t="s">
        <v>11</v>
      </c>
      <c r="G1787" s="5" t="s">
        <v>51</v>
      </c>
      <c r="H1787" s="5" t="s">
        <v>1494</v>
      </c>
      <c r="I1787" s="13">
        <v>61.1</v>
      </c>
      <c r="J1787" s="19">
        <v>5</v>
      </c>
      <c r="K1787" s="14">
        <v>18.329999999999998</v>
      </c>
    </row>
    <row r="1788" spans="1:11" x14ac:dyDescent="0.25">
      <c r="A1788" s="2">
        <v>43758</v>
      </c>
      <c r="B1788" s="18">
        <f t="shared" si="54"/>
        <v>2019</v>
      </c>
      <c r="C1788" s="18">
        <f t="shared" si="55"/>
        <v>10</v>
      </c>
      <c r="D1788" s="3" t="s">
        <v>441</v>
      </c>
      <c r="E1788" s="3" t="s">
        <v>18</v>
      </c>
      <c r="F1788" s="3" t="s">
        <v>11</v>
      </c>
      <c r="G1788" s="3" t="s">
        <v>112</v>
      </c>
      <c r="H1788" s="3" t="s">
        <v>260</v>
      </c>
      <c r="I1788" s="11">
        <v>387.13600000000002</v>
      </c>
      <c r="J1788" s="18">
        <v>4</v>
      </c>
      <c r="K1788" s="12">
        <v>4.8391999999999999</v>
      </c>
    </row>
    <row r="1789" spans="1:11" x14ac:dyDescent="0.25">
      <c r="A1789" s="4">
        <v>43759</v>
      </c>
      <c r="B1789" s="19">
        <f t="shared" si="54"/>
        <v>2019</v>
      </c>
      <c r="C1789" s="19">
        <f t="shared" si="55"/>
        <v>10</v>
      </c>
      <c r="D1789" s="5" t="s">
        <v>835</v>
      </c>
      <c r="E1789" s="5" t="s">
        <v>91</v>
      </c>
      <c r="F1789" s="5" t="s">
        <v>19</v>
      </c>
      <c r="G1789" s="5" t="s">
        <v>32</v>
      </c>
      <c r="H1789" s="5" t="s">
        <v>258</v>
      </c>
      <c r="I1789" s="13">
        <v>23.2</v>
      </c>
      <c r="J1789" s="19">
        <v>4</v>
      </c>
      <c r="K1789" s="14">
        <v>10.44</v>
      </c>
    </row>
    <row r="1790" spans="1:11" x14ac:dyDescent="0.25">
      <c r="A1790" s="2">
        <v>43759</v>
      </c>
      <c r="B1790" s="18">
        <f t="shared" si="54"/>
        <v>2019</v>
      </c>
      <c r="C1790" s="18">
        <f t="shared" si="55"/>
        <v>10</v>
      </c>
      <c r="D1790" s="3" t="s">
        <v>835</v>
      </c>
      <c r="E1790" s="3" t="s">
        <v>91</v>
      </c>
      <c r="F1790" s="3" t="s">
        <v>19</v>
      </c>
      <c r="G1790" s="3" t="s">
        <v>265</v>
      </c>
      <c r="H1790" s="3" t="s">
        <v>538</v>
      </c>
      <c r="I1790" s="11">
        <v>7.36</v>
      </c>
      <c r="J1790" s="18">
        <v>2</v>
      </c>
      <c r="K1790" s="12">
        <v>0.1472</v>
      </c>
    </row>
    <row r="1791" spans="1:11" x14ac:dyDescent="0.25">
      <c r="A1791" s="4">
        <v>43759</v>
      </c>
      <c r="B1791" s="19">
        <f t="shared" si="54"/>
        <v>2019</v>
      </c>
      <c r="C1791" s="19">
        <f t="shared" si="55"/>
        <v>10</v>
      </c>
      <c r="D1791" s="5" t="s">
        <v>835</v>
      </c>
      <c r="E1791" s="5" t="s">
        <v>91</v>
      </c>
      <c r="F1791" s="5" t="s">
        <v>19</v>
      </c>
      <c r="G1791" s="5" t="s">
        <v>20</v>
      </c>
      <c r="H1791" s="5" t="s">
        <v>700</v>
      </c>
      <c r="I1791" s="13">
        <v>104.79</v>
      </c>
      <c r="J1791" s="19">
        <v>7</v>
      </c>
      <c r="K1791" s="14">
        <v>29.341200000000001</v>
      </c>
    </row>
    <row r="1792" spans="1:11" x14ac:dyDescent="0.25">
      <c r="A1792" s="2">
        <v>43759</v>
      </c>
      <c r="B1792" s="18">
        <f t="shared" si="54"/>
        <v>2019</v>
      </c>
      <c r="C1792" s="18">
        <f t="shared" si="55"/>
        <v>10</v>
      </c>
      <c r="D1792" s="3" t="s">
        <v>835</v>
      </c>
      <c r="E1792" s="3" t="s">
        <v>91</v>
      </c>
      <c r="F1792" s="3" t="s">
        <v>11</v>
      </c>
      <c r="G1792" s="3" t="s">
        <v>12</v>
      </c>
      <c r="H1792" s="3" t="s">
        <v>57</v>
      </c>
      <c r="I1792" s="11">
        <v>1043.92</v>
      </c>
      <c r="J1792" s="18">
        <v>4</v>
      </c>
      <c r="K1792" s="12">
        <v>271.41919999999999</v>
      </c>
    </row>
    <row r="1793" spans="1:11" x14ac:dyDescent="0.25">
      <c r="A1793" s="4">
        <v>43759</v>
      </c>
      <c r="B1793" s="19">
        <f t="shared" si="54"/>
        <v>2019</v>
      </c>
      <c r="C1793" s="19">
        <f t="shared" si="55"/>
        <v>10</v>
      </c>
      <c r="D1793" s="5" t="s">
        <v>50</v>
      </c>
      <c r="E1793" s="5" t="s">
        <v>18</v>
      </c>
      <c r="F1793" s="5" t="s">
        <v>19</v>
      </c>
      <c r="G1793" s="5" t="s">
        <v>53</v>
      </c>
      <c r="H1793" s="5" t="s">
        <v>314</v>
      </c>
      <c r="I1793" s="13">
        <v>22.92</v>
      </c>
      <c r="J1793" s="19">
        <v>3</v>
      </c>
      <c r="K1793" s="14">
        <v>11.2308</v>
      </c>
    </row>
    <row r="1794" spans="1:11" x14ac:dyDescent="0.25">
      <c r="A1794" s="2">
        <v>43759</v>
      </c>
      <c r="B1794" s="18">
        <f t="shared" ref="B1794:B1857" si="56">YEAR(A1794)</f>
        <v>2019</v>
      </c>
      <c r="C1794" s="18">
        <f t="shared" ref="C1794:C1857" si="57">MONTH(A1794)</f>
        <v>10</v>
      </c>
      <c r="D1794" s="3" t="s">
        <v>1697</v>
      </c>
      <c r="E1794" s="3" t="s">
        <v>18</v>
      </c>
      <c r="F1794" s="3" t="s">
        <v>19</v>
      </c>
      <c r="G1794" s="3" t="s">
        <v>20</v>
      </c>
      <c r="H1794" s="3" t="s">
        <v>213</v>
      </c>
      <c r="I1794" s="11">
        <v>154.44</v>
      </c>
      <c r="J1794" s="18">
        <v>3</v>
      </c>
      <c r="K1794" s="12">
        <v>1.5444</v>
      </c>
    </row>
    <row r="1795" spans="1:11" x14ac:dyDescent="0.25">
      <c r="A1795" s="4">
        <v>43759</v>
      </c>
      <c r="B1795" s="19">
        <f t="shared" si="56"/>
        <v>2019</v>
      </c>
      <c r="C1795" s="19">
        <f t="shared" si="57"/>
        <v>10</v>
      </c>
      <c r="D1795" s="5" t="s">
        <v>441</v>
      </c>
      <c r="E1795" s="5" t="s">
        <v>309</v>
      </c>
      <c r="F1795" s="5" t="s">
        <v>19</v>
      </c>
      <c r="G1795" s="5" t="s">
        <v>32</v>
      </c>
      <c r="H1795" s="5" t="s">
        <v>1739</v>
      </c>
      <c r="I1795" s="13">
        <v>7.92</v>
      </c>
      <c r="J1795" s="19">
        <v>4</v>
      </c>
      <c r="K1795" s="14">
        <v>3.5640000000000001</v>
      </c>
    </row>
    <row r="1796" spans="1:11" x14ac:dyDescent="0.25">
      <c r="A1796" s="2">
        <v>43759</v>
      </c>
      <c r="B1796" s="18">
        <f t="shared" si="56"/>
        <v>2019</v>
      </c>
      <c r="C1796" s="18">
        <f t="shared" si="57"/>
        <v>10</v>
      </c>
      <c r="D1796" s="3" t="s">
        <v>1740</v>
      </c>
      <c r="E1796" s="3" t="s">
        <v>10</v>
      </c>
      <c r="F1796" s="3" t="s">
        <v>14</v>
      </c>
      <c r="G1796" s="3" t="s">
        <v>24</v>
      </c>
      <c r="H1796" s="3" t="s">
        <v>789</v>
      </c>
      <c r="I1796" s="11">
        <v>98.16</v>
      </c>
      <c r="J1796" s="18">
        <v>6</v>
      </c>
      <c r="K1796" s="12">
        <v>9.8160000000000007</v>
      </c>
    </row>
    <row r="1797" spans="1:11" x14ac:dyDescent="0.25">
      <c r="A1797" s="4">
        <v>43759</v>
      </c>
      <c r="B1797" s="19">
        <f t="shared" si="56"/>
        <v>2019</v>
      </c>
      <c r="C1797" s="19">
        <f t="shared" si="57"/>
        <v>10</v>
      </c>
      <c r="D1797" s="5" t="s">
        <v>460</v>
      </c>
      <c r="E1797" s="5" t="s">
        <v>67</v>
      </c>
      <c r="F1797" s="5" t="s">
        <v>14</v>
      </c>
      <c r="G1797" s="5" t="s">
        <v>15</v>
      </c>
      <c r="H1797" s="5" t="s">
        <v>1113</v>
      </c>
      <c r="I1797" s="13">
        <v>235.15199999999999</v>
      </c>
      <c r="J1797" s="19">
        <v>8</v>
      </c>
      <c r="K1797" s="14">
        <v>-47.0304</v>
      </c>
    </row>
    <row r="1798" spans="1:11" x14ac:dyDescent="0.25">
      <c r="A1798" s="2">
        <v>43759</v>
      </c>
      <c r="B1798" s="18">
        <f t="shared" si="56"/>
        <v>2019</v>
      </c>
      <c r="C1798" s="18">
        <f t="shared" si="57"/>
        <v>10</v>
      </c>
      <c r="D1798" s="3" t="s">
        <v>1741</v>
      </c>
      <c r="E1798" s="3" t="s">
        <v>67</v>
      </c>
      <c r="F1798" s="3" t="s">
        <v>11</v>
      </c>
      <c r="G1798" s="3" t="s">
        <v>30</v>
      </c>
      <c r="H1798" s="3" t="s">
        <v>1514</v>
      </c>
      <c r="I1798" s="11">
        <v>661.17600000000004</v>
      </c>
      <c r="J1798" s="18">
        <v>2</v>
      </c>
      <c r="K1798" s="12">
        <v>-231.41159999999999</v>
      </c>
    </row>
    <row r="1799" spans="1:11" x14ac:dyDescent="0.25">
      <c r="A1799" s="4">
        <v>43759</v>
      </c>
      <c r="B1799" s="19">
        <f t="shared" si="56"/>
        <v>2019</v>
      </c>
      <c r="C1799" s="19">
        <f t="shared" si="57"/>
        <v>10</v>
      </c>
      <c r="D1799" s="5" t="s">
        <v>905</v>
      </c>
      <c r="E1799" s="5" t="s">
        <v>483</v>
      </c>
      <c r="F1799" s="5" t="s">
        <v>19</v>
      </c>
      <c r="G1799" s="5" t="s">
        <v>40</v>
      </c>
      <c r="H1799" s="5" t="s">
        <v>246</v>
      </c>
      <c r="I1799" s="13">
        <v>113.22</v>
      </c>
      <c r="J1799" s="19">
        <v>3</v>
      </c>
      <c r="K1799" s="14">
        <v>29.437200000000001</v>
      </c>
    </row>
    <row r="1800" spans="1:11" x14ac:dyDescent="0.25">
      <c r="A1800" s="2">
        <v>43759</v>
      </c>
      <c r="B1800" s="18">
        <f t="shared" si="56"/>
        <v>2019</v>
      </c>
      <c r="C1800" s="18">
        <f t="shared" si="57"/>
        <v>10</v>
      </c>
      <c r="D1800" s="3" t="s">
        <v>905</v>
      </c>
      <c r="E1800" s="3" t="s">
        <v>483</v>
      </c>
      <c r="F1800" s="3" t="s">
        <v>19</v>
      </c>
      <c r="G1800" s="3" t="s">
        <v>53</v>
      </c>
      <c r="H1800" s="3" t="s">
        <v>373</v>
      </c>
      <c r="I1800" s="11">
        <v>35.880000000000003</v>
      </c>
      <c r="J1800" s="18">
        <v>6</v>
      </c>
      <c r="K1800" s="12">
        <v>17.581199999999999</v>
      </c>
    </row>
    <row r="1801" spans="1:11" x14ac:dyDescent="0.25">
      <c r="A1801" s="4">
        <v>43759</v>
      </c>
      <c r="B1801" s="19">
        <f t="shared" si="56"/>
        <v>2019</v>
      </c>
      <c r="C1801" s="19">
        <f t="shared" si="57"/>
        <v>10</v>
      </c>
      <c r="D1801" s="5" t="s">
        <v>905</v>
      </c>
      <c r="E1801" s="5" t="s">
        <v>483</v>
      </c>
      <c r="F1801" s="5" t="s">
        <v>19</v>
      </c>
      <c r="G1801" s="5" t="s">
        <v>32</v>
      </c>
      <c r="H1801" s="5" t="s">
        <v>1742</v>
      </c>
      <c r="I1801" s="13">
        <v>4535.9759999999997</v>
      </c>
      <c r="J1801" s="19">
        <v>3</v>
      </c>
      <c r="K1801" s="14">
        <v>1644.2913000000001</v>
      </c>
    </row>
    <row r="1802" spans="1:11" x14ac:dyDescent="0.25">
      <c r="A1802" s="2">
        <v>43759</v>
      </c>
      <c r="B1802" s="18">
        <f t="shared" si="56"/>
        <v>2019</v>
      </c>
      <c r="C1802" s="18">
        <f t="shared" si="57"/>
        <v>10</v>
      </c>
      <c r="D1802" s="3" t="s">
        <v>256</v>
      </c>
      <c r="E1802" s="3" t="s">
        <v>219</v>
      </c>
      <c r="F1802" s="3" t="s">
        <v>19</v>
      </c>
      <c r="G1802" s="3" t="s">
        <v>20</v>
      </c>
      <c r="H1802" s="3" t="s">
        <v>1743</v>
      </c>
      <c r="I1802" s="11">
        <v>111.672</v>
      </c>
      <c r="J1802" s="18">
        <v>9</v>
      </c>
      <c r="K1802" s="12">
        <v>6.9794999999999998</v>
      </c>
    </row>
    <row r="1803" spans="1:11" x14ac:dyDescent="0.25">
      <c r="A1803" s="4">
        <v>43759</v>
      </c>
      <c r="B1803" s="19">
        <f t="shared" si="56"/>
        <v>2019</v>
      </c>
      <c r="C1803" s="19">
        <f t="shared" si="57"/>
        <v>10</v>
      </c>
      <c r="D1803" s="5" t="s">
        <v>259</v>
      </c>
      <c r="E1803" s="5" t="s">
        <v>23</v>
      </c>
      <c r="F1803" s="5" t="s">
        <v>14</v>
      </c>
      <c r="G1803" s="5" t="s">
        <v>24</v>
      </c>
      <c r="H1803" s="5" t="s">
        <v>1744</v>
      </c>
      <c r="I1803" s="13">
        <v>106.08</v>
      </c>
      <c r="J1803" s="19">
        <v>6</v>
      </c>
      <c r="K1803" s="14">
        <v>-9.282</v>
      </c>
    </row>
    <row r="1804" spans="1:11" x14ac:dyDescent="0.25">
      <c r="A1804" s="2">
        <v>43759</v>
      </c>
      <c r="B1804" s="18">
        <f t="shared" si="56"/>
        <v>2019</v>
      </c>
      <c r="C1804" s="18">
        <f t="shared" si="57"/>
        <v>10</v>
      </c>
      <c r="D1804" s="3" t="s">
        <v>520</v>
      </c>
      <c r="E1804" s="3" t="s">
        <v>18</v>
      </c>
      <c r="F1804" s="3" t="s">
        <v>11</v>
      </c>
      <c r="G1804" s="3" t="s">
        <v>112</v>
      </c>
      <c r="H1804" s="3" t="s">
        <v>1297</v>
      </c>
      <c r="I1804" s="11">
        <v>242.136</v>
      </c>
      <c r="J1804" s="18">
        <v>3</v>
      </c>
      <c r="K1804" s="12">
        <v>12.1068</v>
      </c>
    </row>
    <row r="1805" spans="1:11" x14ac:dyDescent="0.25">
      <c r="A1805" s="4">
        <v>43759</v>
      </c>
      <c r="B1805" s="19">
        <f t="shared" si="56"/>
        <v>2019</v>
      </c>
      <c r="C1805" s="19">
        <f t="shared" si="57"/>
        <v>10</v>
      </c>
      <c r="D1805" s="5" t="s">
        <v>520</v>
      </c>
      <c r="E1805" s="5" t="s">
        <v>18</v>
      </c>
      <c r="F1805" s="5" t="s">
        <v>19</v>
      </c>
      <c r="G1805" s="5" t="s">
        <v>40</v>
      </c>
      <c r="H1805" s="5" t="s">
        <v>1419</v>
      </c>
      <c r="I1805" s="13">
        <v>12.39</v>
      </c>
      <c r="J1805" s="19">
        <v>3</v>
      </c>
      <c r="K1805" s="14">
        <v>5.6993999999999998</v>
      </c>
    </row>
    <row r="1806" spans="1:11" x14ac:dyDescent="0.25">
      <c r="A1806" s="2">
        <v>43759</v>
      </c>
      <c r="B1806" s="18">
        <f t="shared" si="56"/>
        <v>2019</v>
      </c>
      <c r="C1806" s="18">
        <f t="shared" si="57"/>
        <v>10</v>
      </c>
      <c r="D1806" s="3" t="s">
        <v>520</v>
      </c>
      <c r="E1806" s="3" t="s">
        <v>18</v>
      </c>
      <c r="F1806" s="3" t="s">
        <v>11</v>
      </c>
      <c r="G1806" s="3" t="s">
        <v>51</v>
      </c>
      <c r="H1806" s="3" t="s">
        <v>503</v>
      </c>
      <c r="I1806" s="11">
        <v>19.96</v>
      </c>
      <c r="J1806" s="18">
        <v>2</v>
      </c>
      <c r="K1806" s="12">
        <v>5.5888</v>
      </c>
    </row>
    <row r="1807" spans="1:11" x14ac:dyDescent="0.25">
      <c r="A1807" s="4">
        <v>43759</v>
      </c>
      <c r="B1807" s="19">
        <f t="shared" si="56"/>
        <v>2019</v>
      </c>
      <c r="C1807" s="19">
        <f t="shared" si="57"/>
        <v>10</v>
      </c>
      <c r="D1807" s="5" t="s">
        <v>520</v>
      </c>
      <c r="E1807" s="5" t="s">
        <v>18</v>
      </c>
      <c r="F1807" s="5" t="s">
        <v>19</v>
      </c>
      <c r="G1807" s="5" t="s">
        <v>20</v>
      </c>
      <c r="H1807" s="5" t="s">
        <v>1405</v>
      </c>
      <c r="I1807" s="13">
        <v>340.92</v>
      </c>
      <c r="J1807" s="19">
        <v>3</v>
      </c>
      <c r="K1807" s="14">
        <v>3.4091999999999998</v>
      </c>
    </row>
    <row r="1808" spans="1:11" x14ac:dyDescent="0.25">
      <c r="A1808" s="2">
        <v>43759</v>
      </c>
      <c r="B1808" s="18">
        <f t="shared" si="56"/>
        <v>2019</v>
      </c>
      <c r="C1808" s="18">
        <f t="shared" si="57"/>
        <v>10</v>
      </c>
      <c r="D1808" s="3" t="s">
        <v>897</v>
      </c>
      <c r="E1808" s="3" t="s">
        <v>44</v>
      </c>
      <c r="F1808" s="3" t="s">
        <v>11</v>
      </c>
      <c r="G1808" s="3" t="s">
        <v>51</v>
      </c>
      <c r="H1808" s="3" t="s">
        <v>1745</v>
      </c>
      <c r="I1808" s="11">
        <v>45.567999999999998</v>
      </c>
      <c r="J1808" s="18">
        <v>2</v>
      </c>
      <c r="K1808" s="12">
        <v>9.6831999999999994</v>
      </c>
    </row>
    <row r="1809" spans="1:11" x14ac:dyDescent="0.25">
      <c r="A1809" s="4">
        <v>43759</v>
      </c>
      <c r="B1809" s="19">
        <f t="shared" si="56"/>
        <v>2019</v>
      </c>
      <c r="C1809" s="19">
        <f t="shared" si="57"/>
        <v>10</v>
      </c>
      <c r="D1809" s="5" t="s">
        <v>897</v>
      </c>
      <c r="E1809" s="5" t="s">
        <v>44</v>
      </c>
      <c r="F1809" s="5" t="s">
        <v>19</v>
      </c>
      <c r="G1809" s="5" t="s">
        <v>32</v>
      </c>
      <c r="H1809" s="5" t="s">
        <v>873</v>
      </c>
      <c r="I1809" s="13">
        <v>28.751999999999999</v>
      </c>
      <c r="J1809" s="19">
        <v>8</v>
      </c>
      <c r="K1809" s="14">
        <v>-21.084800000000001</v>
      </c>
    </row>
    <row r="1810" spans="1:11" x14ac:dyDescent="0.25">
      <c r="A1810" s="2">
        <v>43760</v>
      </c>
      <c r="B1810" s="18">
        <f t="shared" si="56"/>
        <v>2019</v>
      </c>
      <c r="C1810" s="18">
        <f t="shared" si="57"/>
        <v>10</v>
      </c>
      <c r="D1810" s="3" t="s">
        <v>1698</v>
      </c>
      <c r="E1810" s="3" t="s">
        <v>365</v>
      </c>
      <c r="F1810" s="3" t="s">
        <v>11</v>
      </c>
      <c r="G1810" s="3" t="s">
        <v>51</v>
      </c>
      <c r="H1810" s="3" t="s">
        <v>753</v>
      </c>
      <c r="I1810" s="11">
        <v>31.4</v>
      </c>
      <c r="J1810" s="18">
        <v>5</v>
      </c>
      <c r="K1810" s="12">
        <v>10.048</v>
      </c>
    </row>
    <row r="1811" spans="1:11" x14ac:dyDescent="0.25">
      <c r="A1811" s="4">
        <v>43760</v>
      </c>
      <c r="B1811" s="19">
        <f t="shared" si="56"/>
        <v>2019</v>
      </c>
      <c r="C1811" s="19">
        <f t="shared" si="57"/>
        <v>10</v>
      </c>
      <c r="D1811" s="5" t="s">
        <v>294</v>
      </c>
      <c r="E1811" s="5" t="s">
        <v>181</v>
      </c>
      <c r="F1811" s="5" t="s">
        <v>11</v>
      </c>
      <c r="G1811" s="5" t="s">
        <v>51</v>
      </c>
      <c r="H1811" s="5" t="s">
        <v>503</v>
      </c>
      <c r="I1811" s="13">
        <v>39.92</v>
      </c>
      <c r="J1811" s="19">
        <v>4</v>
      </c>
      <c r="K1811" s="14">
        <v>11.1776</v>
      </c>
    </row>
    <row r="1812" spans="1:11" x14ac:dyDescent="0.25">
      <c r="A1812" s="2">
        <v>43760</v>
      </c>
      <c r="B1812" s="18">
        <f t="shared" si="56"/>
        <v>2019</v>
      </c>
      <c r="C1812" s="18">
        <f t="shared" si="57"/>
        <v>10</v>
      </c>
      <c r="D1812" s="3" t="s">
        <v>1746</v>
      </c>
      <c r="E1812" s="3" t="s">
        <v>70</v>
      </c>
      <c r="F1812" s="3" t="s">
        <v>19</v>
      </c>
      <c r="G1812" s="3" t="s">
        <v>53</v>
      </c>
      <c r="H1812" s="3" t="s">
        <v>1723</v>
      </c>
      <c r="I1812" s="11">
        <v>6.68</v>
      </c>
      <c r="J1812" s="18">
        <v>1</v>
      </c>
      <c r="K1812" s="12">
        <v>3.2063999999999999</v>
      </c>
    </row>
    <row r="1813" spans="1:11" x14ac:dyDescent="0.25">
      <c r="A1813" s="4">
        <v>43760</v>
      </c>
      <c r="B1813" s="19">
        <f t="shared" si="56"/>
        <v>2019</v>
      </c>
      <c r="C1813" s="19">
        <f t="shared" si="57"/>
        <v>10</v>
      </c>
      <c r="D1813" s="5" t="s">
        <v>1746</v>
      </c>
      <c r="E1813" s="5" t="s">
        <v>70</v>
      </c>
      <c r="F1813" s="5" t="s">
        <v>19</v>
      </c>
      <c r="G1813" s="5" t="s">
        <v>40</v>
      </c>
      <c r="H1813" s="5" t="s">
        <v>366</v>
      </c>
      <c r="I1813" s="13">
        <v>8.34</v>
      </c>
      <c r="J1813" s="19">
        <v>3</v>
      </c>
      <c r="K1813" s="14">
        <v>2.2517999999999998</v>
      </c>
    </row>
    <row r="1814" spans="1:11" x14ac:dyDescent="0.25">
      <c r="A1814" s="2">
        <v>43760</v>
      </c>
      <c r="B1814" s="18">
        <f t="shared" si="56"/>
        <v>2019</v>
      </c>
      <c r="C1814" s="18">
        <f t="shared" si="57"/>
        <v>10</v>
      </c>
      <c r="D1814" s="3" t="s">
        <v>1746</v>
      </c>
      <c r="E1814" s="3" t="s">
        <v>70</v>
      </c>
      <c r="F1814" s="3" t="s">
        <v>11</v>
      </c>
      <c r="G1814" s="3" t="s">
        <v>51</v>
      </c>
      <c r="H1814" s="3" t="s">
        <v>1747</v>
      </c>
      <c r="I1814" s="11">
        <v>101.94</v>
      </c>
      <c r="J1814" s="18">
        <v>3</v>
      </c>
      <c r="K1814" s="12">
        <v>30.582000000000001</v>
      </c>
    </row>
    <row r="1815" spans="1:11" x14ac:dyDescent="0.25">
      <c r="A1815" s="4">
        <v>43761</v>
      </c>
      <c r="B1815" s="19">
        <f t="shared" si="56"/>
        <v>2019</v>
      </c>
      <c r="C1815" s="19">
        <f t="shared" si="57"/>
        <v>10</v>
      </c>
      <c r="D1815" s="5" t="s">
        <v>546</v>
      </c>
      <c r="E1815" s="5" t="s">
        <v>94</v>
      </c>
      <c r="F1815" s="5" t="s">
        <v>19</v>
      </c>
      <c r="G1815" s="5" t="s">
        <v>53</v>
      </c>
      <c r="H1815" s="5" t="s">
        <v>977</v>
      </c>
      <c r="I1815" s="13">
        <v>379.4</v>
      </c>
      <c r="J1815" s="19">
        <v>10</v>
      </c>
      <c r="K1815" s="14">
        <v>178.31800000000001</v>
      </c>
    </row>
    <row r="1816" spans="1:11" x14ac:dyDescent="0.25">
      <c r="A1816" s="2">
        <v>43761</v>
      </c>
      <c r="B1816" s="18">
        <f t="shared" si="56"/>
        <v>2019</v>
      </c>
      <c r="C1816" s="18">
        <f t="shared" si="57"/>
        <v>10</v>
      </c>
      <c r="D1816" s="3" t="s">
        <v>708</v>
      </c>
      <c r="E1816" s="3" t="s">
        <v>164</v>
      </c>
      <c r="F1816" s="3" t="s">
        <v>11</v>
      </c>
      <c r="G1816" s="3" t="s">
        <v>51</v>
      </c>
      <c r="H1816" s="3" t="s">
        <v>1748</v>
      </c>
      <c r="I1816" s="11">
        <v>16.155999999999999</v>
      </c>
      <c r="J1816" s="18">
        <v>7</v>
      </c>
      <c r="K1816" s="12">
        <v>-12.117000000000001</v>
      </c>
    </row>
    <row r="1817" spans="1:11" x14ac:dyDescent="0.25">
      <c r="A1817" s="4">
        <v>43761</v>
      </c>
      <c r="B1817" s="19">
        <f t="shared" si="56"/>
        <v>2019</v>
      </c>
      <c r="C1817" s="19">
        <f t="shared" si="57"/>
        <v>10</v>
      </c>
      <c r="D1817" s="5" t="s">
        <v>708</v>
      </c>
      <c r="E1817" s="5" t="s">
        <v>164</v>
      </c>
      <c r="F1817" s="5" t="s">
        <v>19</v>
      </c>
      <c r="G1817" s="5" t="s">
        <v>53</v>
      </c>
      <c r="H1817" s="5" t="s">
        <v>1749</v>
      </c>
      <c r="I1817" s="13">
        <v>54.816000000000003</v>
      </c>
      <c r="J1817" s="19">
        <v>3</v>
      </c>
      <c r="K1817" s="14">
        <v>17.815200000000001</v>
      </c>
    </row>
    <row r="1818" spans="1:11" x14ac:dyDescent="0.25">
      <c r="A1818" s="2">
        <v>43761</v>
      </c>
      <c r="B1818" s="18">
        <f t="shared" si="56"/>
        <v>2019</v>
      </c>
      <c r="C1818" s="18">
        <f t="shared" si="57"/>
        <v>10</v>
      </c>
      <c r="D1818" s="3" t="s">
        <v>1120</v>
      </c>
      <c r="E1818" s="3" t="s">
        <v>70</v>
      </c>
      <c r="F1818" s="3" t="s">
        <v>19</v>
      </c>
      <c r="G1818" s="3" t="s">
        <v>116</v>
      </c>
      <c r="H1818" s="3" t="s">
        <v>1413</v>
      </c>
      <c r="I1818" s="11">
        <v>17.05</v>
      </c>
      <c r="J1818" s="18">
        <v>5</v>
      </c>
      <c r="K1818" s="12">
        <v>8.1839999999999993</v>
      </c>
    </row>
    <row r="1819" spans="1:11" x14ac:dyDescent="0.25">
      <c r="A1819" s="4">
        <v>43762</v>
      </c>
      <c r="B1819" s="19">
        <f t="shared" si="56"/>
        <v>2019</v>
      </c>
      <c r="C1819" s="19">
        <f t="shared" si="57"/>
        <v>10</v>
      </c>
      <c r="D1819" s="5" t="s">
        <v>1741</v>
      </c>
      <c r="E1819" s="5" t="s">
        <v>18</v>
      </c>
      <c r="F1819" s="5" t="s">
        <v>14</v>
      </c>
      <c r="G1819" s="5" t="s">
        <v>24</v>
      </c>
      <c r="H1819" s="5" t="s">
        <v>222</v>
      </c>
      <c r="I1819" s="13">
        <v>100</v>
      </c>
      <c r="J1819" s="19">
        <v>4</v>
      </c>
      <c r="K1819" s="14">
        <v>21</v>
      </c>
    </row>
    <row r="1820" spans="1:11" x14ac:dyDescent="0.25">
      <c r="A1820" s="2">
        <v>43762</v>
      </c>
      <c r="B1820" s="18">
        <f t="shared" si="56"/>
        <v>2019</v>
      </c>
      <c r="C1820" s="18">
        <f t="shared" si="57"/>
        <v>10</v>
      </c>
      <c r="D1820" s="3" t="s">
        <v>1741</v>
      </c>
      <c r="E1820" s="3" t="s">
        <v>18</v>
      </c>
      <c r="F1820" s="3" t="s">
        <v>14</v>
      </c>
      <c r="G1820" s="3" t="s">
        <v>24</v>
      </c>
      <c r="H1820" s="3" t="s">
        <v>763</v>
      </c>
      <c r="I1820" s="11">
        <v>359.98</v>
      </c>
      <c r="J1820" s="18">
        <v>2</v>
      </c>
      <c r="K1820" s="12">
        <v>21.598800000000001</v>
      </c>
    </row>
    <row r="1821" spans="1:11" x14ac:dyDescent="0.25">
      <c r="A1821" s="4">
        <v>43762</v>
      </c>
      <c r="B1821" s="19">
        <f t="shared" si="56"/>
        <v>2019</v>
      </c>
      <c r="C1821" s="19">
        <f t="shared" si="57"/>
        <v>10</v>
      </c>
      <c r="D1821" s="5" t="s">
        <v>1091</v>
      </c>
      <c r="E1821" s="5" t="s">
        <v>219</v>
      </c>
      <c r="F1821" s="5" t="s">
        <v>14</v>
      </c>
      <c r="G1821" s="5" t="s">
        <v>15</v>
      </c>
      <c r="H1821" s="5" t="s">
        <v>1750</v>
      </c>
      <c r="I1821" s="13">
        <v>239.976</v>
      </c>
      <c r="J1821" s="19">
        <v>3</v>
      </c>
      <c r="K1821" s="14">
        <v>17.998200000000001</v>
      </c>
    </row>
    <row r="1822" spans="1:11" x14ac:dyDescent="0.25">
      <c r="A1822" s="2">
        <v>43762</v>
      </c>
      <c r="B1822" s="18">
        <f t="shared" si="56"/>
        <v>2019</v>
      </c>
      <c r="C1822" s="18">
        <f t="shared" si="57"/>
        <v>10</v>
      </c>
      <c r="D1822" s="3" t="s">
        <v>807</v>
      </c>
      <c r="E1822" s="3" t="s">
        <v>18</v>
      </c>
      <c r="F1822" s="3" t="s">
        <v>14</v>
      </c>
      <c r="G1822" s="3" t="s">
        <v>24</v>
      </c>
      <c r="H1822" s="3" t="s">
        <v>1751</v>
      </c>
      <c r="I1822" s="11">
        <v>199.99</v>
      </c>
      <c r="J1822" s="18">
        <v>1</v>
      </c>
      <c r="K1822" s="12">
        <v>85.995699999999999</v>
      </c>
    </row>
    <row r="1823" spans="1:11" x14ac:dyDescent="0.25">
      <c r="A1823" s="4">
        <v>43762</v>
      </c>
      <c r="B1823" s="19">
        <f t="shared" si="56"/>
        <v>2019</v>
      </c>
      <c r="C1823" s="19">
        <f t="shared" si="57"/>
        <v>10</v>
      </c>
      <c r="D1823" s="5" t="s">
        <v>1244</v>
      </c>
      <c r="E1823" s="5" t="s">
        <v>23</v>
      </c>
      <c r="F1823" s="5" t="s">
        <v>19</v>
      </c>
      <c r="G1823" s="5" t="s">
        <v>53</v>
      </c>
      <c r="H1823" s="5" t="s">
        <v>1752</v>
      </c>
      <c r="I1823" s="13">
        <v>15.552</v>
      </c>
      <c r="J1823" s="19">
        <v>3</v>
      </c>
      <c r="K1823" s="14">
        <v>5.4432</v>
      </c>
    </row>
    <row r="1824" spans="1:11" x14ac:dyDescent="0.25">
      <c r="A1824" s="2">
        <v>43762</v>
      </c>
      <c r="B1824" s="18">
        <f t="shared" si="56"/>
        <v>2019</v>
      </c>
      <c r="C1824" s="18">
        <f t="shared" si="57"/>
        <v>10</v>
      </c>
      <c r="D1824" s="3" t="s">
        <v>1753</v>
      </c>
      <c r="E1824" s="3" t="s">
        <v>18</v>
      </c>
      <c r="F1824" s="3" t="s">
        <v>14</v>
      </c>
      <c r="G1824" s="3" t="s">
        <v>24</v>
      </c>
      <c r="H1824" s="3" t="s">
        <v>1754</v>
      </c>
      <c r="I1824" s="11">
        <v>450</v>
      </c>
      <c r="J1824" s="18">
        <v>5</v>
      </c>
      <c r="K1824" s="12">
        <v>162</v>
      </c>
    </row>
    <row r="1825" spans="1:11" x14ac:dyDescent="0.25">
      <c r="A1825" s="4">
        <v>43763</v>
      </c>
      <c r="B1825" s="19">
        <f t="shared" si="56"/>
        <v>2019</v>
      </c>
      <c r="C1825" s="19">
        <f t="shared" si="57"/>
        <v>10</v>
      </c>
      <c r="D1825" s="5" t="s">
        <v>1755</v>
      </c>
      <c r="E1825" s="5" t="s">
        <v>44</v>
      </c>
      <c r="F1825" s="5" t="s">
        <v>14</v>
      </c>
      <c r="G1825" s="5" t="s">
        <v>15</v>
      </c>
      <c r="H1825" s="5" t="s">
        <v>943</v>
      </c>
      <c r="I1825" s="13">
        <v>783.96</v>
      </c>
      <c r="J1825" s="19">
        <v>5</v>
      </c>
      <c r="K1825" s="14">
        <v>78.396000000000001</v>
      </c>
    </row>
    <row r="1826" spans="1:11" x14ac:dyDescent="0.25">
      <c r="A1826" s="2">
        <v>43765</v>
      </c>
      <c r="B1826" s="18">
        <f t="shared" si="56"/>
        <v>2019</v>
      </c>
      <c r="C1826" s="18">
        <f t="shared" si="57"/>
        <v>10</v>
      </c>
      <c r="D1826" s="3" t="s">
        <v>1756</v>
      </c>
      <c r="E1826" s="3" t="s">
        <v>94</v>
      </c>
      <c r="F1826" s="3" t="s">
        <v>11</v>
      </c>
      <c r="G1826" s="3" t="s">
        <v>51</v>
      </c>
      <c r="H1826" s="3" t="s">
        <v>1634</v>
      </c>
      <c r="I1826" s="11">
        <v>40.200000000000003</v>
      </c>
      <c r="J1826" s="18">
        <v>3</v>
      </c>
      <c r="K1826" s="12">
        <v>19.295999999999999</v>
      </c>
    </row>
    <row r="1827" spans="1:11" x14ac:dyDescent="0.25">
      <c r="A1827" s="4">
        <v>43765</v>
      </c>
      <c r="B1827" s="19">
        <f t="shared" si="56"/>
        <v>2019</v>
      </c>
      <c r="C1827" s="19">
        <f t="shared" si="57"/>
        <v>10</v>
      </c>
      <c r="D1827" s="5" t="s">
        <v>1757</v>
      </c>
      <c r="E1827" s="5" t="s">
        <v>18</v>
      </c>
      <c r="F1827" s="5" t="s">
        <v>19</v>
      </c>
      <c r="G1827" s="5" t="s">
        <v>121</v>
      </c>
      <c r="H1827" s="5" t="s">
        <v>832</v>
      </c>
      <c r="I1827" s="13">
        <v>43.92</v>
      </c>
      <c r="J1827" s="19">
        <v>4</v>
      </c>
      <c r="K1827" s="14">
        <v>11.8584</v>
      </c>
    </row>
    <row r="1828" spans="1:11" x14ac:dyDescent="0.25">
      <c r="A1828" s="2">
        <v>43765</v>
      </c>
      <c r="B1828" s="18">
        <f t="shared" si="56"/>
        <v>2019</v>
      </c>
      <c r="C1828" s="18">
        <f t="shared" si="57"/>
        <v>10</v>
      </c>
      <c r="D1828" s="3" t="s">
        <v>1757</v>
      </c>
      <c r="E1828" s="3" t="s">
        <v>18</v>
      </c>
      <c r="F1828" s="3" t="s">
        <v>19</v>
      </c>
      <c r="G1828" s="3" t="s">
        <v>32</v>
      </c>
      <c r="H1828" s="3" t="s">
        <v>1724</v>
      </c>
      <c r="I1828" s="11">
        <v>25.032</v>
      </c>
      <c r="J1828" s="18">
        <v>3</v>
      </c>
      <c r="K1828" s="12">
        <v>7.8224999999999998</v>
      </c>
    </row>
    <row r="1829" spans="1:11" x14ac:dyDescent="0.25">
      <c r="A1829" s="4">
        <v>43765</v>
      </c>
      <c r="B1829" s="19">
        <f t="shared" si="56"/>
        <v>2019</v>
      </c>
      <c r="C1829" s="19">
        <f t="shared" si="57"/>
        <v>10</v>
      </c>
      <c r="D1829" s="5" t="s">
        <v>1758</v>
      </c>
      <c r="E1829" s="5" t="s">
        <v>181</v>
      </c>
      <c r="F1829" s="5" t="s">
        <v>11</v>
      </c>
      <c r="G1829" s="5" t="s">
        <v>112</v>
      </c>
      <c r="H1829" s="5" t="s">
        <v>542</v>
      </c>
      <c r="I1829" s="13">
        <v>290.98</v>
      </c>
      <c r="J1829" s="19">
        <v>1</v>
      </c>
      <c r="K1829" s="14">
        <v>75.654799999999994</v>
      </c>
    </row>
    <row r="1830" spans="1:11" x14ac:dyDescent="0.25">
      <c r="A1830" s="2">
        <v>43765</v>
      </c>
      <c r="B1830" s="18">
        <f t="shared" si="56"/>
        <v>2019</v>
      </c>
      <c r="C1830" s="18">
        <f t="shared" si="57"/>
        <v>10</v>
      </c>
      <c r="D1830" s="3" t="s">
        <v>1759</v>
      </c>
      <c r="E1830" s="3" t="s">
        <v>18</v>
      </c>
      <c r="F1830" s="3" t="s">
        <v>19</v>
      </c>
      <c r="G1830" s="3" t="s">
        <v>32</v>
      </c>
      <c r="H1830" s="3" t="s">
        <v>902</v>
      </c>
      <c r="I1830" s="11">
        <v>67.135999999999996</v>
      </c>
      <c r="J1830" s="18">
        <v>4</v>
      </c>
      <c r="K1830" s="12">
        <v>25.175999999999998</v>
      </c>
    </row>
    <row r="1831" spans="1:11" x14ac:dyDescent="0.25">
      <c r="A1831" s="4">
        <v>43765</v>
      </c>
      <c r="B1831" s="19">
        <f t="shared" si="56"/>
        <v>2019</v>
      </c>
      <c r="C1831" s="19">
        <f t="shared" si="57"/>
        <v>10</v>
      </c>
      <c r="D1831" s="5" t="s">
        <v>1758</v>
      </c>
      <c r="E1831" s="5" t="s">
        <v>94</v>
      </c>
      <c r="F1831" s="5" t="s">
        <v>11</v>
      </c>
      <c r="G1831" s="5" t="s">
        <v>112</v>
      </c>
      <c r="H1831" s="5" t="s">
        <v>1760</v>
      </c>
      <c r="I1831" s="13">
        <v>427.64400000000001</v>
      </c>
      <c r="J1831" s="19">
        <v>14</v>
      </c>
      <c r="K1831" s="14">
        <v>80.777199999999993</v>
      </c>
    </row>
    <row r="1832" spans="1:11" x14ac:dyDescent="0.25">
      <c r="A1832" s="2">
        <v>43765</v>
      </c>
      <c r="B1832" s="18">
        <f t="shared" si="56"/>
        <v>2019</v>
      </c>
      <c r="C1832" s="18">
        <f t="shared" si="57"/>
        <v>10</v>
      </c>
      <c r="D1832" s="3" t="s">
        <v>1758</v>
      </c>
      <c r="E1832" s="3" t="s">
        <v>94</v>
      </c>
      <c r="F1832" s="3" t="s">
        <v>19</v>
      </c>
      <c r="G1832" s="3" t="s">
        <v>116</v>
      </c>
      <c r="H1832" s="3" t="s">
        <v>652</v>
      </c>
      <c r="I1832" s="11">
        <v>40.67</v>
      </c>
      <c r="J1832" s="18">
        <v>7</v>
      </c>
      <c r="K1832" s="12">
        <v>12.607699999999999</v>
      </c>
    </row>
    <row r="1833" spans="1:11" x14ac:dyDescent="0.25">
      <c r="A1833" s="4">
        <v>43765</v>
      </c>
      <c r="B1833" s="19">
        <f t="shared" si="56"/>
        <v>2019</v>
      </c>
      <c r="C1833" s="19">
        <f t="shared" si="57"/>
        <v>10</v>
      </c>
      <c r="D1833" s="5" t="s">
        <v>1758</v>
      </c>
      <c r="E1833" s="5" t="s">
        <v>94</v>
      </c>
      <c r="F1833" s="5" t="s">
        <v>19</v>
      </c>
      <c r="G1833" s="5" t="s">
        <v>20</v>
      </c>
      <c r="H1833" s="5" t="s">
        <v>604</v>
      </c>
      <c r="I1833" s="13">
        <v>33.479999999999997</v>
      </c>
      <c r="J1833" s="19">
        <v>2</v>
      </c>
      <c r="K1833" s="14">
        <v>1.3391999999999999</v>
      </c>
    </row>
    <row r="1834" spans="1:11" x14ac:dyDescent="0.25">
      <c r="A1834" s="2">
        <v>43765</v>
      </c>
      <c r="B1834" s="18">
        <f t="shared" si="56"/>
        <v>2019</v>
      </c>
      <c r="C1834" s="18">
        <f t="shared" si="57"/>
        <v>10</v>
      </c>
      <c r="D1834" s="3" t="s">
        <v>1758</v>
      </c>
      <c r="E1834" s="3" t="s">
        <v>94</v>
      </c>
      <c r="F1834" s="3" t="s">
        <v>19</v>
      </c>
      <c r="G1834" s="3" t="s">
        <v>32</v>
      </c>
      <c r="H1834" s="3" t="s">
        <v>1761</v>
      </c>
      <c r="I1834" s="11">
        <v>9.7279999999999998</v>
      </c>
      <c r="J1834" s="18">
        <v>2</v>
      </c>
      <c r="K1834" s="12">
        <v>3.2831999999999999</v>
      </c>
    </row>
    <row r="1835" spans="1:11" x14ac:dyDescent="0.25">
      <c r="A1835" s="4">
        <v>43766</v>
      </c>
      <c r="B1835" s="19">
        <f t="shared" si="56"/>
        <v>2019</v>
      </c>
      <c r="C1835" s="19">
        <f t="shared" si="57"/>
        <v>10</v>
      </c>
      <c r="D1835" s="5" t="s">
        <v>1688</v>
      </c>
      <c r="E1835" s="5" t="s">
        <v>18</v>
      </c>
      <c r="F1835" s="5" t="s">
        <v>19</v>
      </c>
      <c r="G1835" s="5" t="s">
        <v>20</v>
      </c>
      <c r="H1835" s="5" t="s">
        <v>1221</v>
      </c>
      <c r="I1835" s="13">
        <v>93.06</v>
      </c>
      <c r="J1835" s="19">
        <v>6</v>
      </c>
      <c r="K1835" s="14">
        <v>26.056799999999999</v>
      </c>
    </row>
    <row r="1836" spans="1:11" x14ac:dyDescent="0.25">
      <c r="A1836" s="2">
        <v>43766</v>
      </c>
      <c r="B1836" s="18">
        <f t="shared" si="56"/>
        <v>2019</v>
      </c>
      <c r="C1836" s="18">
        <f t="shared" si="57"/>
        <v>10</v>
      </c>
      <c r="D1836" s="3" t="s">
        <v>1688</v>
      </c>
      <c r="E1836" s="3" t="s">
        <v>18</v>
      </c>
      <c r="F1836" s="3" t="s">
        <v>14</v>
      </c>
      <c r="G1836" s="3" t="s">
        <v>15</v>
      </c>
      <c r="H1836" s="3" t="s">
        <v>1762</v>
      </c>
      <c r="I1836" s="11">
        <v>302.37599999999998</v>
      </c>
      <c r="J1836" s="18">
        <v>3</v>
      </c>
      <c r="K1836" s="12">
        <v>22.6782</v>
      </c>
    </row>
    <row r="1837" spans="1:11" x14ac:dyDescent="0.25">
      <c r="A1837" s="4">
        <v>43766</v>
      </c>
      <c r="B1837" s="19">
        <f t="shared" si="56"/>
        <v>2019</v>
      </c>
      <c r="C1837" s="19">
        <f t="shared" si="57"/>
        <v>10</v>
      </c>
      <c r="D1837" s="5" t="s">
        <v>148</v>
      </c>
      <c r="E1837" s="5" t="s">
        <v>85</v>
      </c>
      <c r="F1837" s="5" t="s">
        <v>19</v>
      </c>
      <c r="G1837" s="5" t="s">
        <v>53</v>
      </c>
      <c r="H1837" s="5" t="s">
        <v>1763</v>
      </c>
      <c r="I1837" s="13">
        <v>32.4</v>
      </c>
      <c r="J1837" s="19">
        <v>5</v>
      </c>
      <c r="K1837" s="14">
        <v>15.552</v>
      </c>
    </row>
    <row r="1838" spans="1:11" x14ac:dyDescent="0.25">
      <c r="A1838" s="2">
        <v>43766</v>
      </c>
      <c r="B1838" s="18">
        <f t="shared" si="56"/>
        <v>2019</v>
      </c>
      <c r="C1838" s="18">
        <f t="shared" si="57"/>
        <v>10</v>
      </c>
      <c r="D1838" s="3" t="s">
        <v>148</v>
      </c>
      <c r="E1838" s="3" t="s">
        <v>85</v>
      </c>
      <c r="F1838" s="3" t="s">
        <v>19</v>
      </c>
      <c r="G1838" s="3" t="s">
        <v>20</v>
      </c>
      <c r="H1838" s="3" t="s">
        <v>397</v>
      </c>
      <c r="I1838" s="11">
        <v>1082.48</v>
      </c>
      <c r="J1838" s="18">
        <v>8</v>
      </c>
      <c r="K1838" s="12">
        <v>10.8248</v>
      </c>
    </row>
    <row r="1839" spans="1:11" x14ac:dyDescent="0.25">
      <c r="A1839" s="4">
        <v>43766</v>
      </c>
      <c r="B1839" s="19">
        <f t="shared" si="56"/>
        <v>2019</v>
      </c>
      <c r="C1839" s="19">
        <f t="shared" si="57"/>
        <v>10</v>
      </c>
      <c r="D1839" s="5" t="s">
        <v>148</v>
      </c>
      <c r="E1839" s="5" t="s">
        <v>85</v>
      </c>
      <c r="F1839" s="5" t="s">
        <v>19</v>
      </c>
      <c r="G1839" s="5" t="s">
        <v>53</v>
      </c>
      <c r="H1839" s="5" t="s">
        <v>566</v>
      </c>
      <c r="I1839" s="13">
        <v>56.91</v>
      </c>
      <c r="J1839" s="19">
        <v>3</v>
      </c>
      <c r="K1839" s="14">
        <v>27.316800000000001</v>
      </c>
    </row>
    <row r="1840" spans="1:11" x14ac:dyDescent="0.25">
      <c r="A1840" s="2">
        <v>43766</v>
      </c>
      <c r="B1840" s="18">
        <f t="shared" si="56"/>
        <v>2019</v>
      </c>
      <c r="C1840" s="18">
        <f t="shared" si="57"/>
        <v>10</v>
      </c>
      <c r="D1840" s="3" t="s">
        <v>148</v>
      </c>
      <c r="E1840" s="3" t="s">
        <v>85</v>
      </c>
      <c r="F1840" s="3" t="s">
        <v>11</v>
      </c>
      <c r="G1840" s="3" t="s">
        <v>51</v>
      </c>
      <c r="H1840" s="3" t="s">
        <v>282</v>
      </c>
      <c r="I1840" s="11">
        <v>77.599999999999994</v>
      </c>
      <c r="J1840" s="18">
        <v>4</v>
      </c>
      <c r="K1840" s="12">
        <v>38.024000000000001</v>
      </c>
    </row>
    <row r="1841" spans="1:11" x14ac:dyDescent="0.25">
      <c r="A1841" s="4">
        <v>43766</v>
      </c>
      <c r="B1841" s="19">
        <f t="shared" si="56"/>
        <v>2019</v>
      </c>
      <c r="C1841" s="19">
        <f t="shared" si="57"/>
        <v>10</v>
      </c>
      <c r="D1841" s="5" t="s">
        <v>148</v>
      </c>
      <c r="E1841" s="5" t="s">
        <v>85</v>
      </c>
      <c r="F1841" s="5" t="s">
        <v>19</v>
      </c>
      <c r="G1841" s="5" t="s">
        <v>32</v>
      </c>
      <c r="H1841" s="5" t="s">
        <v>1764</v>
      </c>
      <c r="I1841" s="13">
        <v>14.28</v>
      </c>
      <c r="J1841" s="19">
        <v>1</v>
      </c>
      <c r="K1841" s="14">
        <v>6.5688000000000004</v>
      </c>
    </row>
    <row r="1842" spans="1:11" x14ac:dyDescent="0.25">
      <c r="A1842" s="2">
        <v>43766</v>
      </c>
      <c r="B1842" s="18">
        <f t="shared" si="56"/>
        <v>2019</v>
      </c>
      <c r="C1842" s="18">
        <f t="shared" si="57"/>
        <v>10</v>
      </c>
      <c r="D1842" s="3" t="s">
        <v>884</v>
      </c>
      <c r="E1842" s="3" t="s">
        <v>18</v>
      </c>
      <c r="F1842" s="3" t="s">
        <v>19</v>
      </c>
      <c r="G1842" s="3" t="s">
        <v>53</v>
      </c>
      <c r="H1842" s="3" t="s">
        <v>1765</v>
      </c>
      <c r="I1842" s="11">
        <v>50.96</v>
      </c>
      <c r="J1842" s="18">
        <v>7</v>
      </c>
      <c r="K1842" s="12">
        <v>25.48</v>
      </c>
    </row>
    <row r="1843" spans="1:11" x14ac:dyDescent="0.25">
      <c r="A1843" s="4">
        <v>43766</v>
      </c>
      <c r="B1843" s="19">
        <f t="shared" si="56"/>
        <v>2019</v>
      </c>
      <c r="C1843" s="19">
        <f t="shared" si="57"/>
        <v>10</v>
      </c>
      <c r="D1843" s="5" t="s">
        <v>884</v>
      </c>
      <c r="E1843" s="5" t="s">
        <v>18</v>
      </c>
      <c r="F1843" s="5" t="s">
        <v>19</v>
      </c>
      <c r="G1843" s="5" t="s">
        <v>32</v>
      </c>
      <c r="H1843" s="5" t="s">
        <v>97</v>
      </c>
      <c r="I1843" s="13">
        <v>49.536000000000001</v>
      </c>
      <c r="J1843" s="19">
        <v>3</v>
      </c>
      <c r="K1843" s="14">
        <v>17.337599999999998</v>
      </c>
    </row>
    <row r="1844" spans="1:11" x14ac:dyDescent="0.25">
      <c r="A1844" s="2">
        <v>43766</v>
      </c>
      <c r="B1844" s="18">
        <f t="shared" si="56"/>
        <v>2019</v>
      </c>
      <c r="C1844" s="18">
        <f t="shared" si="57"/>
        <v>10</v>
      </c>
      <c r="D1844" s="3" t="s">
        <v>247</v>
      </c>
      <c r="E1844" s="3" t="s">
        <v>44</v>
      </c>
      <c r="F1844" s="3" t="s">
        <v>11</v>
      </c>
      <c r="G1844" s="3" t="s">
        <v>51</v>
      </c>
      <c r="H1844" s="3" t="s">
        <v>71</v>
      </c>
      <c r="I1844" s="11">
        <v>47.951999999999998</v>
      </c>
      <c r="J1844" s="18">
        <v>3</v>
      </c>
      <c r="K1844" s="12">
        <v>13.786199999999999</v>
      </c>
    </row>
    <row r="1845" spans="1:11" x14ac:dyDescent="0.25">
      <c r="A1845" s="4">
        <v>43766</v>
      </c>
      <c r="B1845" s="19">
        <f t="shared" si="56"/>
        <v>2019</v>
      </c>
      <c r="C1845" s="19">
        <f t="shared" si="57"/>
        <v>10</v>
      </c>
      <c r="D1845" s="5" t="s">
        <v>247</v>
      </c>
      <c r="E1845" s="5" t="s">
        <v>44</v>
      </c>
      <c r="F1845" s="5" t="s">
        <v>19</v>
      </c>
      <c r="G1845" s="5" t="s">
        <v>32</v>
      </c>
      <c r="H1845" s="5" t="s">
        <v>1766</v>
      </c>
      <c r="I1845" s="13">
        <v>37.424999999999997</v>
      </c>
      <c r="J1845" s="19">
        <v>5</v>
      </c>
      <c r="K1845" s="14">
        <v>-29.94</v>
      </c>
    </row>
    <row r="1846" spans="1:11" x14ac:dyDescent="0.25">
      <c r="A1846" s="2">
        <v>43766</v>
      </c>
      <c r="B1846" s="18">
        <f t="shared" si="56"/>
        <v>2019</v>
      </c>
      <c r="C1846" s="18">
        <f t="shared" si="57"/>
        <v>10</v>
      </c>
      <c r="D1846" s="3" t="s">
        <v>247</v>
      </c>
      <c r="E1846" s="3" t="s">
        <v>44</v>
      </c>
      <c r="F1846" s="3" t="s">
        <v>11</v>
      </c>
      <c r="G1846" s="3" t="s">
        <v>51</v>
      </c>
      <c r="H1846" s="3" t="s">
        <v>591</v>
      </c>
      <c r="I1846" s="11">
        <v>63.968000000000004</v>
      </c>
      <c r="J1846" s="18">
        <v>2</v>
      </c>
      <c r="K1846" s="12">
        <v>0</v>
      </c>
    </row>
    <row r="1847" spans="1:11" x14ac:dyDescent="0.25">
      <c r="A1847" s="4">
        <v>43766</v>
      </c>
      <c r="B1847" s="19">
        <f t="shared" si="56"/>
        <v>2019</v>
      </c>
      <c r="C1847" s="19">
        <f t="shared" si="57"/>
        <v>10</v>
      </c>
      <c r="D1847" s="5" t="s">
        <v>247</v>
      </c>
      <c r="E1847" s="5" t="s">
        <v>44</v>
      </c>
      <c r="F1847" s="5" t="s">
        <v>11</v>
      </c>
      <c r="G1847" s="5" t="s">
        <v>51</v>
      </c>
      <c r="H1847" s="5" t="s">
        <v>1767</v>
      </c>
      <c r="I1847" s="13">
        <v>165.048</v>
      </c>
      <c r="J1847" s="19">
        <v>3</v>
      </c>
      <c r="K1847" s="14">
        <v>41.262</v>
      </c>
    </row>
    <row r="1848" spans="1:11" x14ac:dyDescent="0.25">
      <c r="A1848" s="2">
        <v>43766</v>
      </c>
      <c r="B1848" s="18">
        <f t="shared" si="56"/>
        <v>2019</v>
      </c>
      <c r="C1848" s="18">
        <f t="shared" si="57"/>
        <v>10</v>
      </c>
      <c r="D1848" s="3" t="s">
        <v>183</v>
      </c>
      <c r="E1848" s="3" t="s">
        <v>35</v>
      </c>
      <c r="F1848" s="3" t="s">
        <v>19</v>
      </c>
      <c r="G1848" s="3" t="s">
        <v>32</v>
      </c>
      <c r="H1848" s="3" t="s">
        <v>60</v>
      </c>
      <c r="I1848" s="11">
        <v>17.616</v>
      </c>
      <c r="J1848" s="18">
        <v>4</v>
      </c>
      <c r="K1848" s="12">
        <v>-14.0928</v>
      </c>
    </row>
    <row r="1849" spans="1:11" x14ac:dyDescent="0.25">
      <c r="A1849" s="4">
        <v>43766</v>
      </c>
      <c r="B1849" s="19">
        <f t="shared" si="56"/>
        <v>2019</v>
      </c>
      <c r="C1849" s="19">
        <f t="shared" si="57"/>
        <v>10</v>
      </c>
      <c r="D1849" s="5" t="s">
        <v>1706</v>
      </c>
      <c r="E1849" s="5" t="s">
        <v>44</v>
      </c>
      <c r="F1849" s="5" t="s">
        <v>19</v>
      </c>
      <c r="G1849" s="5" t="s">
        <v>32</v>
      </c>
      <c r="H1849" s="5" t="s">
        <v>1768</v>
      </c>
      <c r="I1849" s="13">
        <v>38.19</v>
      </c>
      <c r="J1849" s="19">
        <v>5</v>
      </c>
      <c r="K1849" s="14">
        <v>-26.733000000000001</v>
      </c>
    </row>
    <row r="1850" spans="1:11" x14ac:dyDescent="0.25">
      <c r="A1850" s="2">
        <v>43766</v>
      </c>
      <c r="B1850" s="18">
        <f t="shared" si="56"/>
        <v>2019</v>
      </c>
      <c r="C1850" s="18">
        <f t="shared" si="57"/>
        <v>10</v>
      </c>
      <c r="D1850" s="3" t="s">
        <v>1769</v>
      </c>
      <c r="E1850" s="3" t="s">
        <v>94</v>
      </c>
      <c r="F1850" s="3" t="s">
        <v>19</v>
      </c>
      <c r="G1850" s="3" t="s">
        <v>40</v>
      </c>
      <c r="H1850" s="3" t="s">
        <v>1639</v>
      </c>
      <c r="I1850" s="11">
        <v>12.42</v>
      </c>
      <c r="J1850" s="18">
        <v>3</v>
      </c>
      <c r="K1850" s="12">
        <v>5.2164000000000001</v>
      </c>
    </row>
    <row r="1851" spans="1:11" x14ac:dyDescent="0.25">
      <c r="A1851" s="4">
        <v>43766</v>
      </c>
      <c r="B1851" s="19">
        <f t="shared" si="56"/>
        <v>2019</v>
      </c>
      <c r="C1851" s="19">
        <f t="shared" si="57"/>
        <v>10</v>
      </c>
      <c r="D1851" s="5" t="s">
        <v>1770</v>
      </c>
      <c r="E1851" s="5" t="s">
        <v>94</v>
      </c>
      <c r="F1851" s="5" t="s">
        <v>11</v>
      </c>
      <c r="G1851" s="5" t="s">
        <v>51</v>
      </c>
      <c r="H1851" s="5" t="s">
        <v>1305</v>
      </c>
      <c r="I1851" s="13">
        <v>756.8</v>
      </c>
      <c r="J1851" s="19">
        <v>5</v>
      </c>
      <c r="K1851" s="14">
        <v>75.680000000000007</v>
      </c>
    </row>
    <row r="1852" spans="1:11" x14ac:dyDescent="0.25">
      <c r="A1852" s="2">
        <v>43767</v>
      </c>
      <c r="B1852" s="18">
        <f t="shared" si="56"/>
        <v>2019</v>
      </c>
      <c r="C1852" s="18">
        <f t="shared" si="57"/>
        <v>10</v>
      </c>
      <c r="D1852" s="3" t="s">
        <v>1771</v>
      </c>
      <c r="E1852" s="3" t="s">
        <v>85</v>
      </c>
      <c r="F1852" s="3" t="s">
        <v>19</v>
      </c>
      <c r="G1852" s="3" t="s">
        <v>20</v>
      </c>
      <c r="H1852" s="3" t="s">
        <v>1073</v>
      </c>
      <c r="I1852" s="11">
        <v>40.74</v>
      </c>
      <c r="J1852" s="18">
        <v>3</v>
      </c>
      <c r="K1852" s="12">
        <v>0.40739999999999998</v>
      </c>
    </row>
    <row r="1853" spans="1:11" x14ac:dyDescent="0.25">
      <c r="A1853" s="4">
        <v>43767</v>
      </c>
      <c r="B1853" s="19">
        <f t="shared" si="56"/>
        <v>2019</v>
      </c>
      <c r="C1853" s="19">
        <f t="shared" si="57"/>
        <v>10</v>
      </c>
      <c r="D1853" s="5" t="s">
        <v>1771</v>
      </c>
      <c r="E1853" s="5" t="s">
        <v>85</v>
      </c>
      <c r="F1853" s="5" t="s">
        <v>19</v>
      </c>
      <c r="G1853" s="5" t="s">
        <v>121</v>
      </c>
      <c r="H1853" s="5" t="s">
        <v>346</v>
      </c>
      <c r="I1853" s="13">
        <v>11.67</v>
      </c>
      <c r="J1853" s="19">
        <v>3</v>
      </c>
      <c r="K1853" s="14">
        <v>3.0341999999999998</v>
      </c>
    </row>
    <row r="1854" spans="1:11" x14ac:dyDescent="0.25">
      <c r="A1854" s="2">
        <v>43767</v>
      </c>
      <c r="B1854" s="18">
        <f t="shared" si="56"/>
        <v>2019</v>
      </c>
      <c r="C1854" s="18">
        <f t="shared" si="57"/>
        <v>10</v>
      </c>
      <c r="D1854" s="3" t="s">
        <v>1772</v>
      </c>
      <c r="E1854" s="3" t="s">
        <v>365</v>
      </c>
      <c r="F1854" s="3" t="s">
        <v>11</v>
      </c>
      <c r="G1854" s="3" t="s">
        <v>51</v>
      </c>
      <c r="H1854" s="3" t="s">
        <v>1634</v>
      </c>
      <c r="I1854" s="11">
        <v>67</v>
      </c>
      <c r="J1854" s="18">
        <v>5</v>
      </c>
      <c r="K1854" s="12">
        <v>32.159999999999997</v>
      </c>
    </row>
    <row r="1855" spans="1:11" x14ac:dyDescent="0.25">
      <c r="A1855" s="4">
        <v>43767</v>
      </c>
      <c r="B1855" s="19">
        <f t="shared" si="56"/>
        <v>2019</v>
      </c>
      <c r="C1855" s="19">
        <f t="shared" si="57"/>
        <v>10</v>
      </c>
      <c r="D1855" s="5" t="s">
        <v>833</v>
      </c>
      <c r="E1855" s="5" t="s">
        <v>18</v>
      </c>
      <c r="F1855" s="5" t="s">
        <v>19</v>
      </c>
      <c r="G1855" s="5" t="s">
        <v>32</v>
      </c>
      <c r="H1855" s="5" t="s">
        <v>60</v>
      </c>
      <c r="I1855" s="13">
        <v>11.744</v>
      </c>
      <c r="J1855" s="19">
        <v>1</v>
      </c>
      <c r="K1855" s="14">
        <v>3.8168000000000002</v>
      </c>
    </row>
    <row r="1856" spans="1:11" x14ac:dyDescent="0.25">
      <c r="A1856" s="2">
        <v>43768</v>
      </c>
      <c r="B1856" s="18">
        <f t="shared" si="56"/>
        <v>2019</v>
      </c>
      <c r="C1856" s="18">
        <f t="shared" si="57"/>
        <v>10</v>
      </c>
      <c r="D1856" s="3" t="s">
        <v>614</v>
      </c>
      <c r="E1856" s="3" t="s">
        <v>365</v>
      </c>
      <c r="F1856" s="3" t="s">
        <v>19</v>
      </c>
      <c r="G1856" s="3" t="s">
        <v>40</v>
      </c>
      <c r="H1856" s="3" t="s">
        <v>41</v>
      </c>
      <c r="I1856" s="11">
        <v>11.68</v>
      </c>
      <c r="J1856" s="18">
        <v>2</v>
      </c>
      <c r="K1856" s="12">
        <v>3.504</v>
      </c>
    </row>
    <row r="1857" spans="1:11" x14ac:dyDescent="0.25">
      <c r="A1857" s="4">
        <v>43768</v>
      </c>
      <c r="B1857" s="19">
        <f t="shared" si="56"/>
        <v>2019</v>
      </c>
      <c r="C1857" s="19">
        <f t="shared" si="57"/>
        <v>10</v>
      </c>
      <c r="D1857" s="5" t="s">
        <v>414</v>
      </c>
      <c r="E1857" s="5" t="s">
        <v>94</v>
      </c>
      <c r="F1857" s="5" t="s">
        <v>19</v>
      </c>
      <c r="G1857" s="5" t="s">
        <v>32</v>
      </c>
      <c r="H1857" s="5" t="s">
        <v>873</v>
      </c>
      <c r="I1857" s="13">
        <v>28.751999999999999</v>
      </c>
      <c r="J1857" s="19">
        <v>3</v>
      </c>
      <c r="K1857" s="14">
        <v>10.0632</v>
      </c>
    </row>
    <row r="1858" spans="1:11" x14ac:dyDescent="0.25">
      <c r="A1858" s="2">
        <v>43768</v>
      </c>
      <c r="B1858" s="18">
        <f t="shared" ref="B1858:B1921" si="58">YEAR(A1858)</f>
        <v>2019</v>
      </c>
      <c r="C1858" s="18">
        <f t="shared" ref="C1858:C1921" si="59">MONTH(A1858)</f>
        <v>10</v>
      </c>
      <c r="D1858" s="3" t="s">
        <v>414</v>
      </c>
      <c r="E1858" s="3" t="s">
        <v>94</v>
      </c>
      <c r="F1858" s="3" t="s">
        <v>19</v>
      </c>
      <c r="G1858" s="3" t="s">
        <v>40</v>
      </c>
      <c r="H1858" s="3" t="s">
        <v>844</v>
      </c>
      <c r="I1858" s="11">
        <v>114.95</v>
      </c>
      <c r="J1858" s="18">
        <v>5</v>
      </c>
      <c r="K1858" s="12">
        <v>32.186</v>
      </c>
    </row>
    <row r="1859" spans="1:11" x14ac:dyDescent="0.25">
      <c r="A1859" s="4">
        <v>43768</v>
      </c>
      <c r="B1859" s="19">
        <f t="shared" si="58"/>
        <v>2019</v>
      </c>
      <c r="C1859" s="19">
        <f t="shared" si="59"/>
        <v>10</v>
      </c>
      <c r="D1859" s="5" t="s">
        <v>619</v>
      </c>
      <c r="E1859" s="5" t="s">
        <v>18</v>
      </c>
      <c r="F1859" s="5" t="s">
        <v>19</v>
      </c>
      <c r="G1859" s="5" t="s">
        <v>116</v>
      </c>
      <c r="H1859" s="5" t="s">
        <v>1773</v>
      </c>
      <c r="I1859" s="13">
        <v>3.62</v>
      </c>
      <c r="J1859" s="19">
        <v>2</v>
      </c>
      <c r="K1859" s="14">
        <v>1.1946000000000001</v>
      </c>
    </row>
    <row r="1860" spans="1:11" x14ac:dyDescent="0.25">
      <c r="A1860" s="2">
        <v>43769</v>
      </c>
      <c r="B1860" s="18">
        <f t="shared" si="58"/>
        <v>2019</v>
      </c>
      <c r="C1860" s="18">
        <f t="shared" si="59"/>
        <v>10</v>
      </c>
      <c r="D1860" s="3" t="s">
        <v>632</v>
      </c>
      <c r="E1860" s="3" t="s">
        <v>39</v>
      </c>
      <c r="F1860" s="3" t="s">
        <v>11</v>
      </c>
      <c r="G1860" s="3" t="s">
        <v>112</v>
      </c>
      <c r="H1860" s="3" t="s">
        <v>1243</v>
      </c>
      <c r="I1860" s="11">
        <v>492.83499999999998</v>
      </c>
      <c r="J1860" s="18">
        <v>5</v>
      </c>
      <c r="K1860" s="12">
        <v>-14.081</v>
      </c>
    </row>
    <row r="1861" spans="1:11" x14ac:dyDescent="0.25">
      <c r="A1861" s="4">
        <v>43769</v>
      </c>
      <c r="B1861" s="19">
        <f t="shared" si="58"/>
        <v>2019</v>
      </c>
      <c r="C1861" s="19">
        <f t="shared" si="59"/>
        <v>10</v>
      </c>
      <c r="D1861" s="5" t="s">
        <v>148</v>
      </c>
      <c r="E1861" s="5" t="s">
        <v>18</v>
      </c>
      <c r="F1861" s="5" t="s">
        <v>19</v>
      </c>
      <c r="G1861" s="5" t="s">
        <v>20</v>
      </c>
      <c r="H1861" s="5" t="s">
        <v>1774</v>
      </c>
      <c r="I1861" s="13">
        <v>1085.42</v>
      </c>
      <c r="J1861" s="19">
        <v>7</v>
      </c>
      <c r="K1861" s="14">
        <v>282.20920000000001</v>
      </c>
    </row>
    <row r="1862" spans="1:11" x14ac:dyDescent="0.25">
      <c r="A1862" s="2">
        <v>43769</v>
      </c>
      <c r="B1862" s="18">
        <f t="shared" si="58"/>
        <v>2019</v>
      </c>
      <c r="C1862" s="18">
        <f t="shared" si="59"/>
        <v>10</v>
      </c>
      <c r="D1862" s="3" t="s">
        <v>1775</v>
      </c>
      <c r="E1862" s="3" t="s">
        <v>44</v>
      </c>
      <c r="F1862" s="3" t="s">
        <v>19</v>
      </c>
      <c r="G1862" s="3" t="s">
        <v>53</v>
      </c>
      <c r="H1862" s="3" t="s">
        <v>802</v>
      </c>
      <c r="I1862" s="11">
        <v>32.064</v>
      </c>
      <c r="J1862" s="18">
        <v>6</v>
      </c>
      <c r="K1862" s="12">
        <v>11.2224</v>
      </c>
    </row>
    <row r="1863" spans="1:11" x14ac:dyDescent="0.25">
      <c r="A1863" s="4">
        <v>43769</v>
      </c>
      <c r="B1863" s="19">
        <f t="shared" si="58"/>
        <v>2019</v>
      </c>
      <c r="C1863" s="19">
        <f t="shared" si="59"/>
        <v>10</v>
      </c>
      <c r="D1863" s="5" t="s">
        <v>1378</v>
      </c>
      <c r="E1863" s="5" t="s">
        <v>29</v>
      </c>
      <c r="F1863" s="5" t="s">
        <v>19</v>
      </c>
      <c r="G1863" s="5" t="s">
        <v>265</v>
      </c>
      <c r="H1863" s="5" t="s">
        <v>683</v>
      </c>
      <c r="I1863" s="13">
        <v>21.96</v>
      </c>
      <c r="J1863" s="19">
        <v>2</v>
      </c>
      <c r="K1863" s="14">
        <v>6.1487999999999996</v>
      </c>
    </row>
    <row r="1864" spans="1:11" x14ac:dyDescent="0.25">
      <c r="A1864" s="2">
        <v>43769</v>
      </c>
      <c r="B1864" s="18">
        <f t="shared" si="58"/>
        <v>2019</v>
      </c>
      <c r="C1864" s="18">
        <f t="shared" si="59"/>
        <v>10</v>
      </c>
      <c r="D1864" s="3" t="s">
        <v>1378</v>
      </c>
      <c r="E1864" s="3" t="s">
        <v>29</v>
      </c>
      <c r="F1864" s="3" t="s">
        <v>11</v>
      </c>
      <c r="G1864" s="3" t="s">
        <v>112</v>
      </c>
      <c r="H1864" s="3" t="s">
        <v>794</v>
      </c>
      <c r="I1864" s="11">
        <v>368.97</v>
      </c>
      <c r="J1864" s="18">
        <v>3</v>
      </c>
      <c r="K1864" s="12">
        <v>81.173400000000001</v>
      </c>
    </row>
    <row r="1865" spans="1:11" x14ac:dyDescent="0.25">
      <c r="A1865" s="4">
        <v>43769</v>
      </c>
      <c r="B1865" s="19">
        <f t="shared" si="58"/>
        <v>2019</v>
      </c>
      <c r="C1865" s="19">
        <f t="shared" si="59"/>
        <v>10</v>
      </c>
      <c r="D1865" s="5" t="s">
        <v>1378</v>
      </c>
      <c r="E1865" s="5" t="s">
        <v>29</v>
      </c>
      <c r="F1865" s="5" t="s">
        <v>19</v>
      </c>
      <c r="G1865" s="5" t="s">
        <v>40</v>
      </c>
      <c r="H1865" s="5" t="s">
        <v>1776</v>
      </c>
      <c r="I1865" s="13">
        <v>12.39</v>
      </c>
      <c r="J1865" s="19">
        <v>3</v>
      </c>
      <c r="K1865" s="14">
        <v>3.4691999999999998</v>
      </c>
    </row>
    <row r="1866" spans="1:11" x14ac:dyDescent="0.25">
      <c r="A1866" s="2">
        <v>43769</v>
      </c>
      <c r="B1866" s="18">
        <f t="shared" si="58"/>
        <v>2019</v>
      </c>
      <c r="C1866" s="18">
        <f t="shared" si="59"/>
        <v>10</v>
      </c>
      <c r="D1866" s="3" t="s">
        <v>1378</v>
      </c>
      <c r="E1866" s="3" t="s">
        <v>29</v>
      </c>
      <c r="F1866" s="3" t="s">
        <v>19</v>
      </c>
      <c r="G1866" s="3" t="s">
        <v>20</v>
      </c>
      <c r="H1866" s="3" t="s">
        <v>1777</v>
      </c>
      <c r="I1866" s="11">
        <v>332.94</v>
      </c>
      <c r="J1866" s="18">
        <v>3</v>
      </c>
      <c r="K1866" s="12">
        <v>9.9882000000000009</v>
      </c>
    </row>
    <row r="1867" spans="1:11" x14ac:dyDescent="0.25">
      <c r="A1867" s="4">
        <v>43769</v>
      </c>
      <c r="B1867" s="19">
        <f t="shared" si="58"/>
        <v>2019</v>
      </c>
      <c r="C1867" s="19">
        <f t="shared" si="59"/>
        <v>10</v>
      </c>
      <c r="D1867" s="5" t="s">
        <v>1778</v>
      </c>
      <c r="E1867" s="5" t="s">
        <v>18</v>
      </c>
      <c r="F1867" s="5" t="s">
        <v>11</v>
      </c>
      <c r="G1867" s="5" t="s">
        <v>112</v>
      </c>
      <c r="H1867" s="5" t="s">
        <v>1592</v>
      </c>
      <c r="I1867" s="13">
        <v>1403.92</v>
      </c>
      <c r="J1867" s="19">
        <v>5</v>
      </c>
      <c r="K1867" s="14">
        <v>70.195999999999998</v>
      </c>
    </row>
    <row r="1868" spans="1:11" x14ac:dyDescent="0.25">
      <c r="A1868" s="2">
        <v>43770</v>
      </c>
      <c r="B1868" s="18">
        <f t="shared" si="58"/>
        <v>2019</v>
      </c>
      <c r="C1868" s="18">
        <f t="shared" si="59"/>
        <v>11</v>
      </c>
      <c r="D1868" s="3" t="s">
        <v>1293</v>
      </c>
      <c r="E1868" s="3" t="s">
        <v>181</v>
      </c>
      <c r="F1868" s="3" t="s">
        <v>14</v>
      </c>
      <c r="G1868" s="3" t="s">
        <v>15</v>
      </c>
      <c r="H1868" s="3" t="s">
        <v>839</v>
      </c>
      <c r="I1868" s="11">
        <v>21.8</v>
      </c>
      <c r="J1868" s="18">
        <v>2</v>
      </c>
      <c r="K1868" s="12">
        <v>6.1040000000000001</v>
      </c>
    </row>
    <row r="1869" spans="1:11" x14ac:dyDescent="0.25">
      <c r="A1869" s="4">
        <v>43770</v>
      </c>
      <c r="B1869" s="19">
        <f t="shared" si="58"/>
        <v>2019</v>
      </c>
      <c r="C1869" s="19">
        <f t="shared" si="59"/>
        <v>11</v>
      </c>
      <c r="D1869" s="5" t="s">
        <v>1293</v>
      </c>
      <c r="E1869" s="5" t="s">
        <v>181</v>
      </c>
      <c r="F1869" s="5" t="s">
        <v>19</v>
      </c>
      <c r="G1869" s="5" t="s">
        <v>86</v>
      </c>
      <c r="H1869" s="5" t="s">
        <v>1396</v>
      </c>
      <c r="I1869" s="13">
        <v>251.79</v>
      </c>
      <c r="J1869" s="19">
        <v>3</v>
      </c>
      <c r="K1869" s="14">
        <v>118.3413</v>
      </c>
    </row>
    <row r="1870" spans="1:11" x14ac:dyDescent="0.25">
      <c r="A1870" s="2">
        <v>43770</v>
      </c>
      <c r="B1870" s="18">
        <f t="shared" si="58"/>
        <v>2019</v>
      </c>
      <c r="C1870" s="18">
        <f t="shared" si="59"/>
        <v>11</v>
      </c>
      <c r="D1870" s="3" t="s">
        <v>666</v>
      </c>
      <c r="E1870" s="3" t="s">
        <v>23</v>
      </c>
      <c r="F1870" s="3" t="s">
        <v>19</v>
      </c>
      <c r="G1870" s="3" t="s">
        <v>20</v>
      </c>
      <c r="H1870" s="3" t="s">
        <v>1743</v>
      </c>
      <c r="I1870" s="11">
        <v>111.672</v>
      </c>
      <c r="J1870" s="18">
        <v>9</v>
      </c>
      <c r="K1870" s="12">
        <v>6.9794999999999998</v>
      </c>
    </row>
    <row r="1871" spans="1:11" x14ac:dyDescent="0.25">
      <c r="A1871" s="4">
        <v>43770</v>
      </c>
      <c r="B1871" s="19">
        <f t="shared" si="58"/>
        <v>2019</v>
      </c>
      <c r="C1871" s="19">
        <f t="shared" si="59"/>
        <v>11</v>
      </c>
      <c r="D1871" s="5" t="s">
        <v>1428</v>
      </c>
      <c r="E1871" s="5" t="s">
        <v>164</v>
      </c>
      <c r="F1871" s="5" t="s">
        <v>14</v>
      </c>
      <c r="G1871" s="5" t="s">
        <v>24</v>
      </c>
      <c r="H1871" s="5" t="s">
        <v>1719</v>
      </c>
      <c r="I1871" s="13">
        <v>68.111999999999995</v>
      </c>
      <c r="J1871" s="19">
        <v>3</v>
      </c>
      <c r="K1871" s="14">
        <v>17.8794</v>
      </c>
    </row>
    <row r="1872" spans="1:11" x14ac:dyDescent="0.25">
      <c r="A1872" s="2">
        <v>43772</v>
      </c>
      <c r="B1872" s="18">
        <f t="shared" si="58"/>
        <v>2019</v>
      </c>
      <c r="C1872" s="18">
        <f t="shared" si="59"/>
        <v>11</v>
      </c>
      <c r="D1872" s="3" t="s">
        <v>800</v>
      </c>
      <c r="E1872" s="3" t="s">
        <v>1350</v>
      </c>
      <c r="F1872" s="3" t="s">
        <v>19</v>
      </c>
      <c r="G1872" s="3" t="s">
        <v>40</v>
      </c>
      <c r="H1872" s="3" t="s">
        <v>1779</v>
      </c>
      <c r="I1872" s="11">
        <v>75.959999999999994</v>
      </c>
      <c r="J1872" s="18">
        <v>2</v>
      </c>
      <c r="K1872" s="12">
        <v>22.788</v>
      </c>
    </row>
    <row r="1873" spans="1:11" x14ac:dyDescent="0.25">
      <c r="A1873" s="4">
        <v>43772</v>
      </c>
      <c r="B1873" s="19">
        <f t="shared" si="58"/>
        <v>2019</v>
      </c>
      <c r="C1873" s="19">
        <f t="shared" si="59"/>
        <v>11</v>
      </c>
      <c r="D1873" s="5" t="s">
        <v>800</v>
      </c>
      <c r="E1873" s="5" t="s">
        <v>1350</v>
      </c>
      <c r="F1873" s="5" t="s">
        <v>19</v>
      </c>
      <c r="G1873" s="5" t="s">
        <v>32</v>
      </c>
      <c r="H1873" s="5" t="s">
        <v>1730</v>
      </c>
      <c r="I1873" s="13">
        <v>27.24</v>
      </c>
      <c r="J1873" s="19">
        <v>6</v>
      </c>
      <c r="K1873" s="14">
        <v>13.3476</v>
      </c>
    </row>
    <row r="1874" spans="1:11" x14ac:dyDescent="0.25">
      <c r="A1874" s="2">
        <v>43772</v>
      </c>
      <c r="B1874" s="18">
        <f t="shared" si="58"/>
        <v>2019</v>
      </c>
      <c r="C1874" s="18">
        <f t="shared" si="59"/>
        <v>11</v>
      </c>
      <c r="D1874" s="3" t="s">
        <v>563</v>
      </c>
      <c r="E1874" s="3" t="s">
        <v>70</v>
      </c>
      <c r="F1874" s="3" t="s">
        <v>19</v>
      </c>
      <c r="G1874" s="3" t="s">
        <v>40</v>
      </c>
      <c r="H1874" s="3" t="s">
        <v>1780</v>
      </c>
      <c r="I1874" s="11">
        <v>8.82</v>
      </c>
      <c r="J1874" s="18">
        <v>3</v>
      </c>
      <c r="K1874" s="12">
        <v>2.3814000000000002</v>
      </c>
    </row>
    <row r="1875" spans="1:11" x14ac:dyDescent="0.25">
      <c r="A1875" s="4">
        <v>43772</v>
      </c>
      <c r="B1875" s="19">
        <f t="shared" si="58"/>
        <v>2019</v>
      </c>
      <c r="C1875" s="19">
        <f t="shared" si="59"/>
        <v>11</v>
      </c>
      <c r="D1875" s="5" t="s">
        <v>1134</v>
      </c>
      <c r="E1875" s="5" t="s">
        <v>18</v>
      </c>
      <c r="F1875" s="5" t="s">
        <v>11</v>
      </c>
      <c r="G1875" s="5" t="s">
        <v>112</v>
      </c>
      <c r="H1875" s="5" t="s">
        <v>161</v>
      </c>
      <c r="I1875" s="13">
        <v>217.584</v>
      </c>
      <c r="J1875" s="19">
        <v>2</v>
      </c>
      <c r="K1875" s="14">
        <v>-29.9178</v>
      </c>
    </row>
    <row r="1876" spans="1:11" x14ac:dyDescent="0.25">
      <c r="A1876" s="2">
        <v>43772</v>
      </c>
      <c r="B1876" s="18">
        <f t="shared" si="58"/>
        <v>2019</v>
      </c>
      <c r="C1876" s="18">
        <f t="shared" si="59"/>
        <v>11</v>
      </c>
      <c r="D1876" s="3" t="s">
        <v>1134</v>
      </c>
      <c r="E1876" s="3" t="s">
        <v>18</v>
      </c>
      <c r="F1876" s="3" t="s">
        <v>14</v>
      </c>
      <c r="G1876" s="3" t="s">
        <v>24</v>
      </c>
      <c r="H1876" s="3" t="s">
        <v>1781</v>
      </c>
      <c r="I1876" s="11">
        <v>82.95</v>
      </c>
      <c r="J1876" s="18">
        <v>5</v>
      </c>
      <c r="K1876" s="12">
        <v>29.032499999999999</v>
      </c>
    </row>
    <row r="1877" spans="1:11" x14ac:dyDescent="0.25">
      <c r="A1877" s="4">
        <v>43772</v>
      </c>
      <c r="B1877" s="19">
        <f t="shared" si="58"/>
        <v>2019</v>
      </c>
      <c r="C1877" s="19">
        <f t="shared" si="59"/>
        <v>11</v>
      </c>
      <c r="D1877" s="5" t="s">
        <v>1134</v>
      </c>
      <c r="E1877" s="5" t="s">
        <v>18</v>
      </c>
      <c r="F1877" s="5" t="s">
        <v>19</v>
      </c>
      <c r="G1877" s="5" t="s">
        <v>127</v>
      </c>
      <c r="H1877" s="5" t="s">
        <v>1513</v>
      </c>
      <c r="I1877" s="13">
        <v>87.71</v>
      </c>
      <c r="J1877" s="19">
        <v>7</v>
      </c>
      <c r="K1877" s="14">
        <v>41.223700000000001</v>
      </c>
    </row>
    <row r="1878" spans="1:11" x14ac:dyDescent="0.25">
      <c r="A1878" s="2">
        <v>43772</v>
      </c>
      <c r="B1878" s="18">
        <f t="shared" si="58"/>
        <v>2019</v>
      </c>
      <c r="C1878" s="18">
        <f t="shared" si="59"/>
        <v>11</v>
      </c>
      <c r="D1878" s="3" t="s">
        <v>1134</v>
      </c>
      <c r="E1878" s="3" t="s">
        <v>18</v>
      </c>
      <c r="F1878" s="3" t="s">
        <v>19</v>
      </c>
      <c r="G1878" s="3" t="s">
        <v>121</v>
      </c>
      <c r="H1878" s="3" t="s">
        <v>1733</v>
      </c>
      <c r="I1878" s="11">
        <v>1101.48</v>
      </c>
      <c r="J1878" s="18">
        <v>4</v>
      </c>
      <c r="K1878" s="12">
        <v>429.5772</v>
      </c>
    </row>
    <row r="1879" spans="1:11" x14ac:dyDescent="0.25">
      <c r="A1879" s="4">
        <v>43772</v>
      </c>
      <c r="B1879" s="19">
        <f t="shared" si="58"/>
        <v>2019</v>
      </c>
      <c r="C1879" s="19">
        <f t="shared" si="59"/>
        <v>11</v>
      </c>
      <c r="D1879" s="5" t="s">
        <v>638</v>
      </c>
      <c r="E1879" s="5" t="s">
        <v>195</v>
      </c>
      <c r="F1879" s="5" t="s">
        <v>19</v>
      </c>
      <c r="G1879" s="5" t="s">
        <v>116</v>
      </c>
      <c r="H1879" s="5" t="s">
        <v>590</v>
      </c>
      <c r="I1879" s="13">
        <v>20</v>
      </c>
      <c r="J1879" s="19">
        <v>4</v>
      </c>
      <c r="K1879" s="14">
        <v>9.6</v>
      </c>
    </row>
    <row r="1880" spans="1:11" x14ac:dyDescent="0.25">
      <c r="A1880" s="2">
        <v>43772</v>
      </c>
      <c r="B1880" s="18">
        <f t="shared" si="58"/>
        <v>2019</v>
      </c>
      <c r="C1880" s="18">
        <f t="shared" si="59"/>
        <v>11</v>
      </c>
      <c r="D1880" s="3" t="s">
        <v>638</v>
      </c>
      <c r="E1880" s="3" t="s">
        <v>195</v>
      </c>
      <c r="F1880" s="3" t="s">
        <v>19</v>
      </c>
      <c r="G1880" s="3" t="s">
        <v>40</v>
      </c>
      <c r="H1880" s="3" t="s">
        <v>242</v>
      </c>
      <c r="I1880" s="11">
        <v>7.98</v>
      </c>
      <c r="J1880" s="18">
        <v>3</v>
      </c>
      <c r="K1880" s="12">
        <v>2.0748000000000002</v>
      </c>
    </row>
    <row r="1881" spans="1:11" x14ac:dyDescent="0.25">
      <c r="A1881" s="4">
        <v>43772</v>
      </c>
      <c r="B1881" s="19">
        <f t="shared" si="58"/>
        <v>2019</v>
      </c>
      <c r="C1881" s="19">
        <f t="shared" si="59"/>
        <v>11</v>
      </c>
      <c r="D1881" s="5" t="s">
        <v>638</v>
      </c>
      <c r="E1881" s="5" t="s">
        <v>195</v>
      </c>
      <c r="F1881" s="5" t="s">
        <v>11</v>
      </c>
      <c r="G1881" s="5" t="s">
        <v>51</v>
      </c>
      <c r="H1881" s="5" t="s">
        <v>1687</v>
      </c>
      <c r="I1881" s="13">
        <v>24.1</v>
      </c>
      <c r="J1881" s="19">
        <v>5</v>
      </c>
      <c r="K1881" s="14">
        <v>9.1579999999999995</v>
      </c>
    </row>
    <row r="1882" spans="1:11" x14ac:dyDescent="0.25">
      <c r="A1882" s="2">
        <v>43772</v>
      </c>
      <c r="B1882" s="18">
        <f t="shared" si="58"/>
        <v>2019</v>
      </c>
      <c r="C1882" s="18">
        <f t="shared" si="59"/>
        <v>11</v>
      </c>
      <c r="D1882" s="3" t="s">
        <v>638</v>
      </c>
      <c r="E1882" s="3" t="s">
        <v>195</v>
      </c>
      <c r="F1882" s="3" t="s">
        <v>19</v>
      </c>
      <c r="G1882" s="3" t="s">
        <v>40</v>
      </c>
      <c r="H1882" s="3" t="s">
        <v>1782</v>
      </c>
      <c r="I1882" s="11">
        <v>8.75</v>
      </c>
      <c r="J1882" s="18">
        <v>1</v>
      </c>
      <c r="K1882" s="12">
        <v>2.625</v>
      </c>
    </row>
    <row r="1883" spans="1:11" x14ac:dyDescent="0.25">
      <c r="A1883" s="4">
        <v>43772</v>
      </c>
      <c r="B1883" s="19">
        <f t="shared" si="58"/>
        <v>2019</v>
      </c>
      <c r="C1883" s="19">
        <f t="shared" si="59"/>
        <v>11</v>
      </c>
      <c r="D1883" s="5" t="s">
        <v>638</v>
      </c>
      <c r="E1883" s="5" t="s">
        <v>195</v>
      </c>
      <c r="F1883" s="5" t="s">
        <v>11</v>
      </c>
      <c r="G1883" s="5" t="s">
        <v>30</v>
      </c>
      <c r="H1883" s="5" t="s">
        <v>780</v>
      </c>
      <c r="I1883" s="13">
        <v>842.94</v>
      </c>
      <c r="J1883" s="19">
        <v>3</v>
      </c>
      <c r="K1883" s="14">
        <v>160.15860000000001</v>
      </c>
    </row>
    <row r="1884" spans="1:11" x14ac:dyDescent="0.25">
      <c r="A1884" s="2">
        <v>43772</v>
      </c>
      <c r="B1884" s="18">
        <f t="shared" si="58"/>
        <v>2019</v>
      </c>
      <c r="C1884" s="18">
        <f t="shared" si="59"/>
        <v>11</v>
      </c>
      <c r="D1884" s="3" t="s">
        <v>1428</v>
      </c>
      <c r="E1884" s="3" t="s">
        <v>18</v>
      </c>
      <c r="F1884" s="3" t="s">
        <v>19</v>
      </c>
      <c r="G1884" s="3" t="s">
        <v>116</v>
      </c>
      <c r="H1884" s="3" t="s">
        <v>1783</v>
      </c>
      <c r="I1884" s="11">
        <v>15.26</v>
      </c>
      <c r="J1884" s="18">
        <v>7</v>
      </c>
      <c r="K1884" s="12">
        <v>5.0358000000000001</v>
      </c>
    </row>
    <row r="1885" spans="1:11" x14ac:dyDescent="0.25">
      <c r="A1885" s="4">
        <v>43772</v>
      </c>
      <c r="B1885" s="19">
        <f t="shared" si="58"/>
        <v>2019</v>
      </c>
      <c r="C1885" s="19">
        <f t="shared" si="59"/>
        <v>11</v>
      </c>
      <c r="D1885" s="5" t="s">
        <v>1428</v>
      </c>
      <c r="E1885" s="5" t="s">
        <v>18</v>
      </c>
      <c r="F1885" s="5" t="s">
        <v>19</v>
      </c>
      <c r="G1885" s="5" t="s">
        <v>121</v>
      </c>
      <c r="H1885" s="5" t="s">
        <v>1216</v>
      </c>
      <c r="I1885" s="13">
        <v>43.32</v>
      </c>
      <c r="J1885" s="19">
        <v>2</v>
      </c>
      <c r="K1885" s="14">
        <v>14.2956</v>
      </c>
    </row>
    <row r="1886" spans="1:11" x14ac:dyDescent="0.25">
      <c r="A1886" s="2">
        <v>43772</v>
      </c>
      <c r="B1886" s="18">
        <f t="shared" si="58"/>
        <v>2019</v>
      </c>
      <c r="C1886" s="18">
        <f t="shared" si="59"/>
        <v>11</v>
      </c>
      <c r="D1886" s="3" t="s">
        <v>1428</v>
      </c>
      <c r="E1886" s="3" t="s">
        <v>18</v>
      </c>
      <c r="F1886" s="3" t="s">
        <v>19</v>
      </c>
      <c r="G1886" s="3" t="s">
        <v>32</v>
      </c>
      <c r="H1886" s="3" t="s">
        <v>1730</v>
      </c>
      <c r="I1886" s="11">
        <v>43.584000000000003</v>
      </c>
      <c r="J1886" s="18">
        <v>12</v>
      </c>
      <c r="K1886" s="12">
        <v>15.799200000000001</v>
      </c>
    </row>
    <row r="1887" spans="1:11" x14ac:dyDescent="0.25">
      <c r="A1887" s="4">
        <v>43772</v>
      </c>
      <c r="B1887" s="19">
        <f t="shared" si="58"/>
        <v>2019</v>
      </c>
      <c r="C1887" s="19">
        <f t="shared" si="59"/>
        <v>11</v>
      </c>
      <c r="D1887" s="5" t="s">
        <v>1428</v>
      </c>
      <c r="E1887" s="5" t="s">
        <v>18</v>
      </c>
      <c r="F1887" s="5" t="s">
        <v>19</v>
      </c>
      <c r="G1887" s="5" t="s">
        <v>53</v>
      </c>
      <c r="H1887" s="5" t="s">
        <v>1784</v>
      </c>
      <c r="I1887" s="13">
        <v>116.28</v>
      </c>
      <c r="J1887" s="19">
        <v>3</v>
      </c>
      <c r="K1887" s="14">
        <v>56.977200000000003</v>
      </c>
    </row>
    <row r="1888" spans="1:11" x14ac:dyDescent="0.25">
      <c r="A1888" s="2">
        <v>43772</v>
      </c>
      <c r="B1888" s="18">
        <f t="shared" si="58"/>
        <v>2019</v>
      </c>
      <c r="C1888" s="18">
        <f t="shared" si="59"/>
        <v>11</v>
      </c>
      <c r="D1888" s="3" t="s">
        <v>1428</v>
      </c>
      <c r="E1888" s="3" t="s">
        <v>18</v>
      </c>
      <c r="F1888" s="3" t="s">
        <v>19</v>
      </c>
      <c r="G1888" s="3" t="s">
        <v>32</v>
      </c>
      <c r="H1888" s="3" t="s">
        <v>1450</v>
      </c>
      <c r="I1888" s="11">
        <v>9.2959999999999994</v>
      </c>
      <c r="J1888" s="18">
        <v>2</v>
      </c>
      <c r="K1888" s="12">
        <v>3.0211999999999999</v>
      </c>
    </row>
    <row r="1889" spans="1:11" x14ac:dyDescent="0.25">
      <c r="A1889" s="4">
        <v>43772</v>
      </c>
      <c r="B1889" s="19">
        <f t="shared" si="58"/>
        <v>2019</v>
      </c>
      <c r="C1889" s="19">
        <f t="shared" si="59"/>
        <v>11</v>
      </c>
      <c r="D1889" s="5" t="s">
        <v>1428</v>
      </c>
      <c r="E1889" s="5" t="s">
        <v>18</v>
      </c>
      <c r="F1889" s="5" t="s">
        <v>19</v>
      </c>
      <c r="G1889" s="5" t="s">
        <v>53</v>
      </c>
      <c r="H1889" s="5" t="s">
        <v>1785</v>
      </c>
      <c r="I1889" s="13">
        <v>19.440000000000001</v>
      </c>
      <c r="J1889" s="19">
        <v>3</v>
      </c>
      <c r="K1889" s="14">
        <v>9.3312000000000008</v>
      </c>
    </row>
    <row r="1890" spans="1:11" x14ac:dyDescent="0.25">
      <c r="A1890" s="2">
        <v>43772</v>
      </c>
      <c r="B1890" s="18">
        <f t="shared" si="58"/>
        <v>2019</v>
      </c>
      <c r="C1890" s="18">
        <f t="shared" si="59"/>
        <v>11</v>
      </c>
      <c r="D1890" s="3" t="s">
        <v>1428</v>
      </c>
      <c r="E1890" s="3" t="s">
        <v>18</v>
      </c>
      <c r="F1890" s="3" t="s">
        <v>19</v>
      </c>
      <c r="G1890" s="3" t="s">
        <v>53</v>
      </c>
      <c r="H1890" s="3" t="s">
        <v>1786</v>
      </c>
      <c r="I1890" s="11">
        <v>314.55</v>
      </c>
      <c r="J1890" s="18">
        <v>3</v>
      </c>
      <c r="K1890" s="12">
        <v>150.98400000000001</v>
      </c>
    </row>
    <row r="1891" spans="1:11" x14ac:dyDescent="0.25">
      <c r="A1891" s="4">
        <v>43772</v>
      </c>
      <c r="B1891" s="19">
        <f t="shared" si="58"/>
        <v>2019</v>
      </c>
      <c r="C1891" s="19">
        <f t="shared" si="59"/>
        <v>11</v>
      </c>
      <c r="D1891" s="5" t="s">
        <v>768</v>
      </c>
      <c r="E1891" s="5" t="s">
        <v>23</v>
      </c>
      <c r="F1891" s="5" t="s">
        <v>19</v>
      </c>
      <c r="G1891" s="5" t="s">
        <v>53</v>
      </c>
      <c r="H1891" s="5" t="s">
        <v>1039</v>
      </c>
      <c r="I1891" s="13">
        <v>9.2479999999999993</v>
      </c>
      <c r="J1891" s="19">
        <v>2</v>
      </c>
      <c r="K1891" s="14">
        <v>3.3523999999999998</v>
      </c>
    </row>
    <row r="1892" spans="1:11" x14ac:dyDescent="0.25">
      <c r="A1892" s="2">
        <v>43772</v>
      </c>
      <c r="B1892" s="18">
        <f t="shared" si="58"/>
        <v>2019</v>
      </c>
      <c r="C1892" s="18">
        <f t="shared" si="59"/>
        <v>11</v>
      </c>
      <c r="D1892" s="3" t="s">
        <v>1787</v>
      </c>
      <c r="E1892" s="3" t="s">
        <v>465</v>
      </c>
      <c r="F1892" s="3" t="s">
        <v>19</v>
      </c>
      <c r="G1892" s="3" t="s">
        <v>32</v>
      </c>
      <c r="H1892" s="3" t="s">
        <v>1739</v>
      </c>
      <c r="I1892" s="11">
        <v>4.1580000000000004</v>
      </c>
      <c r="J1892" s="18">
        <v>7</v>
      </c>
      <c r="K1892" s="12">
        <v>-3.4649999999999999</v>
      </c>
    </row>
    <row r="1893" spans="1:11" x14ac:dyDescent="0.25">
      <c r="A1893" s="4">
        <v>43772</v>
      </c>
      <c r="B1893" s="19">
        <f t="shared" si="58"/>
        <v>2019</v>
      </c>
      <c r="C1893" s="19">
        <f t="shared" si="59"/>
        <v>11</v>
      </c>
      <c r="D1893" s="5" t="s">
        <v>1787</v>
      </c>
      <c r="E1893" s="5" t="s">
        <v>465</v>
      </c>
      <c r="F1893" s="5" t="s">
        <v>14</v>
      </c>
      <c r="G1893" s="5" t="s">
        <v>188</v>
      </c>
      <c r="H1893" s="5" t="s">
        <v>1788</v>
      </c>
      <c r="I1893" s="13">
        <v>179.99100000000001</v>
      </c>
      <c r="J1893" s="19">
        <v>3</v>
      </c>
      <c r="K1893" s="14">
        <v>-251.98740000000001</v>
      </c>
    </row>
    <row r="1894" spans="1:11" x14ac:dyDescent="0.25">
      <c r="A1894" s="2">
        <v>43772</v>
      </c>
      <c r="B1894" s="18">
        <f t="shared" si="58"/>
        <v>2019</v>
      </c>
      <c r="C1894" s="18">
        <f t="shared" si="59"/>
        <v>11</v>
      </c>
      <c r="D1894" s="3" t="s">
        <v>390</v>
      </c>
      <c r="E1894" s="3" t="s">
        <v>39</v>
      </c>
      <c r="F1894" s="3" t="s">
        <v>14</v>
      </c>
      <c r="G1894" s="3" t="s">
        <v>24</v>
      </c>
      <c r="H1894" s="3" t="s">
        <v>1754</v>
      </c>
      <c r="I1894" s="11">
        <v>72</v>
      </c>
      <c r="J1894" s="18">
        <v>1</v>
      </c>
      <c r="K1894" s="12">
        <v>14.4</v>
      </c>
    </row>
    <row r="1895" spans="1:11" x14ac:dyDescent="0.25">
      <c r="A1895" s="4">
        <v>43772</v>
      </c>
      <c r="B1895" s="19">
        <f t="shared" si="58"/>
        <v>2019</v>
      </c>
      <c r="C1895" s="19">
        <f t="shared" si="59"/>
        <v>11</v>
      </c>
      <c r="D1895" s="5" t="s">
        <v>390</v>
      </c>
      <c r="E1895" s="5" t="s">
        <v>39</v>
      </c>
      <c r="F1895" s="5" t="s">
        <v>11</v>
      </c>
      <c r="G1895" s="5" t="s">
        <v>112</v>
      </c>
      <c r="H1895" s="5" t="s">
        <v>622</v>
      </c>
      <c r="I1895" s="13">
        <v>470.15499999999997</v>
      </c>
      <c r="J1895" s="19">
        <v>7</v>
      </c>
      <c r="K1895" s="14">
        <v>-13.433</v>
      </c>
    </row>
    <row r="1896" spans="1:11" x14ac:dyDescent="0.25">
      <c r="A1896" s="2">
        <v>43773</v>
      </c>
      <c r="B1896" s="18">
        <f t="shared" si="58"/>
        <v>2019</v>
      </c>
      <c r="C1896" s="18">
        <f t="shared" si="59"/>
        <v>11</v>
      </c>
      <c r="D1896" s="3" t="s">
        <v>90</v>
      </c>
      <c r="E1896" s="3" t="s">
        <v>195</v>
      </c>
      <c r="F1896" s="3" t="s">
        <v>19</v>
      </c>
      <c r="G1896" s="3" t="s">
        <v>116</v>
      </c>
      <c r="H1896" s="3" t="s">
        <v>1789</v>
      </c>
      <c r="I1896" s="11">
        <v>10.74</v>
      </c>
      <c r="J1896" s="18">
        <v>3</v>
      </c>
      <c r="K1896" s="12">
        <v>5.2625999999999999</v>
      </c>
    </row>
    <row r="1897" spans="1:11" x14ac:dyDescent="0.25">
      <c r="A1897" s="4">
        <v>43773</v>
      </c>
      <c r="B1897" s="19">
        <f t="shared" si="58"/>
        <v>2019</v>
      </c>
      <c r="C1897" s="19">
        <f t="shared" si="59"/>
        <v>11</v>
      </c>
      <c r="D1897" s="5" t="s">
        <v>884</v>
      </c>
      <c r="E1897" s="5" t="s">
        <v>70</v>
      </c>
      <c r="F1897" s="5" t="s">
        <v>11</v>
      </c>
      <c r="G1897" s="5" t="s">
        <v>51</v>
      </c>
      <c r="H1897" s="5" t="s">
        <v>1480</v>
      </c>
      <c r="I1897" s="13">
        <v>209.88</v>
      </c>
      <c r="J1897" s="19">
        <v>3</v>
      </c>
      <c r="K1897" s="14">
        <v>35.679600000000001</v>
      </c>
    </row>
    <row r="1898" spans="1:11" x14ac:dyDescent="0.25">
      <c r="A1898" s="2">
        <v>43773</v>
      </c>
      <c r="B1898" s="18">
        <f t="shared" si="58"/>
        <v>2019</v>
      </c>
      <c r="C1898" s="18">
        <f t="shared" si="59"/>
        <v>11</v>
      </c>
      <c r="D1898" s="3" t="s">
        <v>1790</v>
      </c>
      <c r="E1898" s="3" t="s">
        <v>18</v>
      </c>
      <c r="F1898" s="3" t="s">
        <v>11</v>
      </c>
      <c r="G1898" s="3" t="s">
        <v>51</v>
      </c>
      <c r="H1898" s="3" t="s">
        <v>428</v>
      </c>
      <c r="I1898" s="11">
        <v>38.29</v>
      </c>
      <c r="J1898" s="18">
        <v>7</v>
      </c>
      <c r="K1898" s="12">
        <v>16.464700000000001</v>
      </c>
    </row>
    <row r="1899" spans="1:11" x14ac:dyDescent="0.25">
      <c r="A1899" s="4">
        <v>43773</v>
      </c>
      <c r="B1899" s="19">
        <f t="shared" si="58"/>
        <v>2019</v>
      </c>
      <c r="C1899" s="19">
        <f t="shared" si="59"/>
        <v>11</v>
      </c>
      <c r="D1899" s="5" t="s">
        <v>846</v>
      </c>
      <c r="E1899" s="5" t="s">
        <v>18</v>
      </c>
      <c r="F1899" s="5" t="s">
        <v>19</v>
      </c>
      <c r="G1899" s="5" t="s">
        <v>40</v>
      </c>
      <c r="H1899" s="5" t="s">
        <v>1198</v>
      </c>
      <c r="I1899" s="13">
        <v>192.8</v>
      </c>
      <c r="J1899" s="19">
        <v>4</v>
      </c>
      <c r="K1899" s="14">
        <v>55.911999999999999</v>
      </c>
    </row>
    <row r="1900" spans="1:11" x14ac:dyDescent="0.25">
      <c r="A1900" s="2">
        <v>43773</v>
      </c>
      <c r="B1900" s="18">
        <f t="shared" si="58"/>
        <v>2019</v>
      </c>
      <c r="C1900" s="18">
        <f t="shared" si="59"/>
        <v>11</v>
      </c>
      <c r="D1900" s="3" t="s">
        <v>1678</v>
      </c>
      <c r="E1900" s="3" t="s">
        <v>465</v>
      </c>
      <c r="F1900" s="3" t="s">
        <v>19</v>
      </c>
      <c r="G1900" s="3" t="s">
        <v>265</v>
      </c>
      <c r="H1900" s="3" t="s">
        <v>1791</v>
      </c>
      <c r="I1900" s="11">
        <v>17.584</v>
      </c>
      <c r="J1900" s="18">
        <v>7</v>
      </c>
      <c r="K1900" s="12">
        <v>-4.1761999999999997</v>
      </c>
    </row>
    <row r="1901" spans="1:11" x14ac:dyDescent="0.25">
      <c r="A1901" s="4">
        <v>43773</v>
      </c>
      <c r="B1901" s="19">
        <f t="shared" si="58"/>
        <v>2019</v>
      </c>
      <c r="C1901" s="19">
        <f t="shared" si="59"/>
        <v>11</v>
      </c>
      <c r="D1901" s="5" t="s">
        <v>1678</v>
      </c>
      <c r="E1901" s="5" t="s">
        <v>465</v>
      </c>
      <c r="F1901" s="5" t="s">
        <v>11</v>
      </c>
      <c r="G1901" s="5" t="s">
        <v>112</v>
      </c>
      <c r="H1901" s="5" t="s">
        <v>752</v>
      </c>
      <c r="I1901" s="13">
        <v>104.78400000000001</v>
      </c>
      <c r="J1901" s="19">
        <v>1</v>
      </c>
      <c r="K1901" s="14">
        <v>-14.4078</v>
      </c>
    </row>
    <row r="1902" spans="1:11" x14ac:dyDescent="0.25">
      <c r="A1902" s="2">
        <v>43773</v>
      </c>
      <c r="B1902" s="18">
        <f t="shared" si="58"/>
        <v>2019</v>
      </c>
      <c r="C1902" s="18">
        <f t="shared" si="59"/>
        <v>11</v>
      </c>
      <c r="D1902" s="3" t="s">
        <v>1678</v>
      </c>
      <c r="E1902" s="3" t="s">
        <v>465</v>
      </c>
      <c r="F1902" s="3" t="s">
        <v>19</v>
      </c>
      <c r="G1902" s="3" t="s">
        <v>53</v>
      </c>
      <c r="H1902" s="3" t="s">
        <v>1439</v>
      </c>
      <c r="I1902" s="11">
        <v>47.951999999999998</v>
      </c>
      <c r="J1902" s="18">
        <v>3</v>
      </c>
      <c r="K1902" s="12">
        <v>16.783200000000001</v>
      </c>
    </row>
    <row r="1903" spans="1:11" x14ac:dyDescent="0.25">
      <c r="A1903" s="4">
        <v>43773</v>
      </c>
      <c r="B1903" s="19">
        <f t="shared" si="58"/>
        <v>2019</v>
      </c>
      <c r="C1903" s="19">
        <f t="shared" si="59"/>
        <v>11</v>
      </c>
      <c r="D1903" s="5" t="s">
        <v>1678</v>
      </c>
      <c r="E1903" s="5" t="s">
        <v>465</v>
      </c>
      <c r="F1903" s="5" t="s">
        <v>11</v>
      </c>
      <c r="G1903" s="5" t="s">
        <v>112</v>
      </c>
      <c r="H1903" s="5" t="s">
        <v>1047</v>
      </c>
      <c r="I1903" s="13">
        <v>650.35199999999998</v>
      </c>
      <c r="J1903" s="19">
        <v>3</v>
      </c>
      <c r="K1903" s="14">
        <v>-97.552800000000005</v>
      </c>
    </row>
    <row r="1904" spans="1:11" x14ac:dyDescent="0.25">
      <c r="A1904" s="2">
        <v>43773</v>
      </c>
      <c r="B1904" s="18">
        <f t="shared" si="58"/>
        <v>2019</v>
      </c>
      <c r="C1904" s="18">
        <f t="shared" si="59"/>
        <v>11</v>
      </c>
      <c r="D1904" s="3" t="s">
        <v>1678</v>
      </c>
      <c r="E1904" s="3" t="s">
        <v>465</v>
      </c>
      <c r="F1904" s="3" t="s">
        <v>19</v>
      </c>
      <c r="G1904" s="3" t="s">
        <v>127</v>
      </c>
      <c r="H1904" s="3" t="s">
        <v>1792</v>
      </c>
      <c r="I1904" s="11">
        <v>629.18399999999997</v>
      </c>
      <c r="J1904" s="18">
        <v>8</v>
      </c>
      <c r="K1904" s="12">
        <v>228.07919999999999</v>
      </c>
    </row>
    <row r="1905" spans="1:11" x14ac:dyDescent="0.25">
      <c r="A1905" s="4">
        <v>43773</v>
      </c>
      <c r="B1905" s="19">
        <f t="shared" si="58"/>
        <v>2019</v>
      </c>
      <c r="C1905" s="19">
        <f t="shared" si="59"/>
        <v>11</v>
      </c>
      <c r="D1905" s="5" t="s">
        <v>1678</v>
      </c>
      <c r="E1905" s="5" t="s">
        <v>465</v>
      </c>
      <c r="F1905" s="5" t="s">
        <v>19</v>
      </c>
      <c r="G1905" s="5" t="s">
        <v>53</v>
      </c>
      <c r="H1905" s="5" t="s">
        <v>1664</v>
      </c>
      <c r="I1905" s="13">
        <v>15.176</v>
      </c>
      <c r="J1905" s="19">
        <v>1</v>
      </c>
      <c r="K1905" s="14">
        <v>5.3116000000000003</v>
      </c>
    </row>
    <row r="1906" spans="1:11" x14ac:dyDescent="0.25">
      <c r="A1906" s="2">
        <v>43773</v>
      </c>
      <c r="B1906" s="18">
        <f t="shared" si="58"/>
        <v>2019</v>
      </c>
      <c r="C1906" s="18">
        <f t="shared" si="59"/>
        <v>11</v>
      </c>
      <c r="D1906" s="3" t="s">
        <v>66</v>
      </c>
      <c r="E1906" s="3" t="s">
        <v>44</v>
      </c>
      <c r="F1906" s="3" t="s">
        <v>11</v>
      </c>
      <c r="G1906" s="3" t="s">
        <v>51</v>
      </c>
      <c r="H1906" s="3" t="s">
        <v>701</v>
      </c>
      <c r="I1906" s="11">
        <v>50.496000000000002</v>
      </c>
      <c r="J1906" s="18">
        <v>6</v>
      </c>
      <c r="K1906" s="12">
        <v>8.2056000000000004</v>
      </c>
    </row>
    <row r="1907" spans="1:11" x14ac:dyDescent="0.25">
      <c r="A1907" s="4">
        <v>43773</v>
      </c>
      <c r="B1907" s="19">
        <f t="shared" si="58"/>
        <v>2019</v>
      </c>
      <c r="C1907" s="19">
        <f t="shared" si="59"/>
        <v>11</v>
      </c>
      <c r="D1907" s="5" t="s">
        <v>1793</v>
      </c>
      <c r="E1907" s="5" t="s">
        <v>18</v>
      </c>
      <c r="F1907" s="5" t="s">
        <v>19</v>
      </c>
      <c r="G1907" s="5" t="s">
        <v>32</v>
      </c>
      <c r="H1907" s="5" t="s">
        <v>735</v>
      </c>
      <c r="I1907" s="13">
        <v>7.7119999999999997</v>
      </c>
      <c r="J1907" s="19">
        <v>2</v>
      </c>
      <c r="K1907" s="14">
        <v>2.7955999999999999</v>
      </c>
    </row>
    <row r="1908" spans="1:11" x14ac:dyDescent="0.25">
      <c r="A1908" s="2">
        <v>43773</v>
      </c>
      <c r="B1908" s="18">
        <f t="shared" si="58"/>
        <v>2019</v>
      </c>
      <c r="C1908" s="18">
        <f t="shared" si="59"/>
        <v>11</v>
      </c>
      <c r="D1908" s="3" t="s">
        <v>1793</v>
      </c>
      <c r="E1908" s="3" t="s">
        <v>18</v>
      </c>
      <c r="F1908" s="3" t="s">
        <v>19</v>
      </c>
      <c r="G1908" s="3" t="s">
        <v>32</v>
      </c>
      <c r="H1908" s="3" t="s">
        <v>1794</v>
      </c>
      <c r="I1908" s="11">
        <v>4.1760000000000002</v>
      </c>
      <c r="J1908" s="18">
        <v>1</v>
      </c>
      <c r="K1908" s="12">
        <v>1.3049999999999999</v>
      </c>
    </row>
    <row r="1909" spans="1:11" x14ac:dyDescent="0.25">
      <c r="A1909" s="4">
        <v>43773</v>
      </c>
      <c r="B1909" s="19">
        <f t="shared" si="58"/>
        <v>2019</v>
      </c>
      <c r="C1909" s="19">
        <f t="shared" si="59"/>
        <v>11</v>
      </c>
      <c r="D1909" s="5" t="s">
        <v>1793</v>
      </c>
      <c r="E1909" s="5" t="s">
        <v>18</v>
      </c>
      <c r="F1909" s="5" t="s">
        <v>19</v>
      </c>
      <c r="G1909" s="5" t="s">
        <v>53</v>
      </c>
      <c r="H1909" s="5" t="s">
        <v>1795</v>
      </c>
      <c r="I1909" s="13">
        <v>38.880000000000003</v>
      </c>
      <c r="J1909" s="19">
        <v>6</v>
      </c>
      <c r="K1909" s="14">
        <v>18.662400000000002</v>
      </c>
    </row>
    <row r="1910" spans="1:11" x14ac:dyDescent="0.25">
      <c r="A1910" s="2">
        <v>43773</v>
      </c>
      <c r="B1910" s="18">
        <f t="shared" si="58"/>
        <v>2019</v>
      </c>
      <c r="C1910" s="18">
        <f t="shared" si="59"/>
        <v>11</v>
      </c>
      <c r="D1910" s="3" t="s">
        <v>1521</v>
      </c>
      <c r="E1910" s="3" t="s">
        <v>35</v>
      </c>
      <c r="F1910" s="3" t="s">
        <v>19</v>
      </c>
      <c r="G1910" s="3" t="s">
        <v>20</v>
      </c>
      <c r="H1910" s="3" t="s">
        <v>555</v>
      </c>
      <c r="I1910" s="11">
        <v>45.247999999999998</v>
      </c>
      <c r="J1910" s="18">
        <v>2</v>
      </c>
      <c r="K1910" s="12">
        <v>3.9592000000000001</v>
      </c>
    </row>
    <row r="1911" spans="1:11" x14ac:dyDescent="0.25">
      <c r="A1911" s="4">
        <v>43773</v>
      </c>
      <c r="B1911" s="19">
        <f t="shared" si="58"/>
        <v>2019</v>
      </c>
      <c r="C1911" s="19">
        <f t="shared" si="59"/>
        <v>11</v>
      </c>
      <c r="D1911" s="5" t="s">
        <v>1521</v>
      </c>
      <c r="E1911" s="5" t="s">
        <v>35</v>
      </c>
      <c r="F1911" s="5" t="s">
        <v>11</v>
      </c>
      <c r="G1911" s="5" t="s">
        <v>30</v>
      </c>
      <c r="H1911" s="5" t="s">
        <v>1352</v>
      </c>
      <c r="I1911" s="13">
        <v>876.3</v>
      </c>
      <c r="J1911" s="19">
        <v>10</v>
      </c>
      <c r="K1911" s="14">
        <v>-292.10000000000002</v>
      </c>
    </row>
    <row r="1912" spans="1:11" x14ac:dyDescent="0.25">
      <c r="A1912" s="2">
        <v>43773</v>
      </c>
      <c r="B1912" s="18">
        <f t="shared" si="58"/>
        <v>2019</v>
      </c>
      <c r="C1912" s="18">
        <f t="shared" si="59"/>
        <v>11</v>
      </c>
      <c r="D1912" s="3" t="s">
        <v>1521</v>
      </c>
      <c r="E1912" s="3" t="s">
        <v>35</v>
      </c>
      <c r="F1912" s="3" t="s">
        <v>19</v>
      </c>
      <c r="G1912" s="3" t="s">
        <v>265</v>
      </c>
      <c r="H1912" s="3" t="s">
        <v>695</v>
      </c>
      <c r="I1912" s="11">
        <v>185.376</v>
      </c>
      <c r="J1912" s="18">
        <v>2</v>
      </c>
      <c r="K1912" s="12">
        <v>-34.758000000000003</v>
      </c>
    </row>
    <row r="1913" spans="1:11" x14ac:dyDescent="0.25">
      <c r="A1913" s="4">
        <v>43773</v>
      </c>
      <c r="B1913" s="19">
        <f t="shared" si="58"/>
        <v>2019</v>
      </c>
      <c r="C1913" s="19">
        <f t="shared" si="59"/>
        <v>11</v>
      </c>
      <c r="D1913" s="5" t="s">
        <v>745</v>
      </c>
      <c r="E1913" s="5" t="s">
        <v>18</v>
      </c>
      <c r="F1913" s="5" t="s">
        <v>14</v>
      </c>
      <c r="G1913" s="5" t="s">
        <v>188</v>
      </c>
      <c r="H1913" s="5" t="s">
        <v>1796</v>
      </c>
      <c r="I1913" s="13">
        <v>686.4</v>
      </c>
      <c r="J1913" s="19">
        <v>2</v>
      </c>
      <c r="K1913" s="14">
        <v>77.22</v>
      </c>
    </row>
    <row r="1914" spans="1:11" x14ac:dyDescent="0.25">
      <c r="A1914" s="2">
        <v>43773</v>
      </c>
      <c r="B1914" s="18">
        <f t="shared" si="58"/>
        <v>2019</v>
      </c>
      <c r="C1914" s="18">
        <f t="shared" si="59"/>
        <v>11</v>
      </c>
      <c r="D1914" s="3" t="s">
        <v>1110</v>
      </c>
      <c r="E1914" s="3" t="s">
        <v>23</v>
      </c>
      <c r="F1914" s="3" t="s">
        <v>11</v>
      </c>
      <c r="G1914" s="3" t="s">
        <v>51</v>
      </c>
      <c r="H1914" s="3" t="s">
        <v>68</v>
      </c>
      <c r="I1914" s="11">
        <v>11.375999999999999</v>
      </c>
      <c r="J1914" s="18">
        <v>3</v>
      </c>
      <c r="K1914" s="12">
        <v>-5.6879999999999997</v>
      </c>
    </row>
    <row r="1915" spans="1:11" x14ac:dyDescent="0.25">
      <c r="A1915" s="4">
        <v>43773</v>
      </c>
      <c r="B1915" s="19">
        <f t="shared" si="58"/>
        <v>2019</v>
      </c>
      <c r="C1915" s="19">
        <f t="shared" si="59"/>
        <v>11</v>
      </c>
      <c r="D1915" s="5" t="s">
        <v>1110</v>
      </c>
      <c r="E1915" s="5" t="s">
        <v>23</v>
      </c>
      <c r="F1915" s="5" t="s">
        <v>11</v>
      </c>
      <c r="G1915" s="5" t="s">
        <v>51</v>
      </c>
      <c r="H1915" s="5" t="s">
        <v>220</v>
      </c>
      <c r="I1915" s="13">
        <v>66.111999999999995</v>
      </c>
      <c r="J1915" s="19">
        <v>4</v>
      </c>
      <c r="K1915" s="14">
        <v>-84.2928</v>
      </c>
    </row>
    <row r="1916" spans="1:11" x14ac:dyDescent="0.25">
      <c r="A1916" s="2">
        <v>43774</v>
      </c>
      <c r="B1916" s="18">
        <f t="shared" si="58"/>
        <v>2019</v>
      </c>
      <c r="C1916" s="18">
        <f t="shared" si="59"/>
        <v>11</v>
      </c>
      <c r="D1916" s="3" t="s">
        <v>822</v>
      </c>
      <c r="E1916" s="3" t="s">
        <v>18</v>
      </c>
      <c r="F1916" s="3" t="s">
        <v>19</v>
      </c>
      <c r="G1916" s="3" t="s">
        <v>32</v>
      </c>
      <c r="H1916" s="3" t="s">
        <v>1215</v>
      </c>
      <c r="I1916" s="11">
        <v>29.12</v>
      </c>
      <c r="J1916" s="18">
        <v>5</v>
      </c>
      <c r="K1916" s="12">
        <v>9.8279999999999994</v>
      </c>
    </row>
    <row r="1917" spans="1:11" x14ac:dyDescent="0.25">
      <c r="A1917" s="4">
        <v>43774</v>
      </c>
      <c r="B1917" s="19">
        <f t="shared" si="58"/>
        <v>2019</v>
      </c>
      <c r="C1917" s="19">
        <f t="shared" si="59"/>
        <v>11</v>
      </c>
      <c r="D1917" s="5" t="s">
        <v>884</v>
      </c>
      <c r="E1917" s="5" t="s">
        <v>39</v>
      </c>
      <c r="F1917" s="5" t="s">
        <v>14</v>
      </c>
      <c r="G1917" s="5" t="s">
        <v>15</v>
      </c>
      <c r="H1917" s="5" t="s">
        <v>1388</v>
      </c>
      <c r="I1917" s="13">
        <v>23.988</v>
      </c>
      <c r="J1917" s="19">
        <v>2</v>
      </c>
      <c r="K1917" s="14">
        <v>-15.992000000000001</v>
      </c>
    </row>
    <row r="1918" spans="1:11" x14ac:dyDescent="0.25">
      <c r="A1918" s="2">
        <v>43774</v>
      </c>
      <c r="B1918" s="18">
        <f t="shared" si="58"/>
        <v>2019</v>
      </c>
      <c r="C1918" s="18">
        <f t="shared" si="59"/>
        <v>11</v>
      </c>
      <c r="D1918" s="3" t="s">
        <v>1706</v>
      </c>
      <c r="E1918" s="3" t="s">
        <v>23</v>
      </c>
      <c r="F1918" s="3" t="s">
        <v>11</v>
      </c>
      <c r="G1918" s="3" t="s">
        <v>30</v>
      </c>
      <c r="H1918" s="3" t="s">
        <v>1318</v>
      </c>
      <c r="I1918" s="11">
        <v>863.12800000000004</v>
      </c>
      <c r="J1918" s="18">
        <v>8</v>
      </c>
      <c r="K1918" s="12">
        <v>-160.29519999999999</v>
      </c>
    </row>
    <row r="1919" spans="1:11" x14ac:dyDescent="0.25">
      <c r="A1919" s="4">
        <v>43774</v>
      </c>
      <c r="B1919" s="19">
        <f t="shared" si="58"/>
        <v>2019</v>
      </c>
      <c r="C1919" s="19">
        <f t="shared" si="59"/>
        <v>11</v>
      </c>
      <c r="D1919" s="5" t="s">
        <v>1706</v>
      </c>
      <c r="E1919" s="5" t="s">
        <v>23</v>
      </c>
      <c r="F1919" s="5" t="s">
        <v>19</v>
      </c>
      <c r="G1919" s="5" t="s">
        <v>32</v>
      </c>
      <c r="H1919" s="5" t="s">
        <v>33</v>
      </c>
      <c r="I1919" s="13">
        <v>3.5640000000000001</v>
      </c>
      <c r="J1919" s="19">
        <v>3</v>
      </c>
      <c r="K1919" s="14">
        <v>-6.2370000000000001</v>
      </c>
    </row>
    <row r="1920" spans="1:11" x14ac:dyDescent="0.25">
      <c r="A1920" s="2">
        <v>43774</v>
      </c>
      <c r="B1920" s="18">
        <f t="shared" si="58"/>
        <v>2019</v>
      </c>
      <c r="C1920" s="18">
        <f t="shared" si="59"/>
        <v>11</v>
      </c>
      <c r="D1920" s="3" t="s">
        <v>1706</v>
      </c>
      <c r="E1920" s="3" t="s">
        <v>23</v>
      </c>
      <c r="F1920" s="3" t="s">
        <v>11</v>
      </c>
      <c r="G1920" s="3" t="s">
        <v>12</v>
      </c>
      <c r="H1920" s="3" t="s">
        <v>1658</v>
      </c>
      <c r="I1920" s="11">
        <v>956.66480000000001</v>
      </c>
      <c r="J1920" s="18">
        <v>7</v>
      </c>
      <c r="K1920" s="12">
        <v>-225.0976</v>
      </c>
    </row>
    <row r="1921" spans="1:11" x14ac:dyDescent="0.25">
      <c r="A1921" s="4">
        <v>43774</v>
      </c>
      <c r="B1921" s="19">
        <f t="shared" si="58"/>
        <v>2019</v>
      </c>
      <c r="C1921" s="19">
        <f t="shared" si="59"/>
        <v>11</v>
      </c>
      <c r="D1921" s="5" t="s">
        <v>1706</v>
      </c>
      <c r="E1921" s="5" t="s">
        <v>23</v>
      </c>
      <c r="F1921" s="5" t="s">
        <v>19</v>
      </c>
      <c r="G1921" s="5" t="s">
        <v>32</v>
      </c>
      <c r="H1921" s="5" t="s">
        <v>1053</v>
      </c>
      <c r="I1921" s="13">
        <v>12.587999999999999</v>
      </c>
      <c r="J1921" s="19">
        <v>3</v>
      </c>
      <c r="K1921" s="14">
        <v>-20.140799999999999</v>
      </c>
    </row>
    <row r="1922" spans="1:11" x14ac:dyDescent="0.25">
      <c r="A1922" s="2">
        <v>43774</v>
      </c>
      <c r="B1922" s="18">
        <f t="shared" ref="B1922:B1985" si="60">YEAR(A1922)</f>
        <v>2019</v>
      </c>
      <c r="C1922" s="18">
        <f t="shared" ref="C1922:C1985" si="61">MONTH(A1922)</f>
        <v>11</v>
      </c>
      <c r="D1922" s="3" t="s">
        <v>1706</v>
      </c>
      <c r="E1922" s="3" t="s">
        <v>23</v>
      </c>
      <c r="F1922" s="3" t="s">
        <v>14</v>
      </c>
      <c r="G1922" s="3" t="s">
        <v>24</v>
      </c>
      <c r="H1922" s="3" t="s">
        <v>1797</v>
      </c>
      <c r="I1922" s="11">
        <v>171.96</v>
      </c>
      <c r="J1922" s="18">
        <v>5</v>
      </c>
      <c r="K1922" s="12">
        <v>45.139499999999998</v>
      </c>
    </row>
    <row r="1923" spans="1:11" x14ac:dyDescent="0.25">
      <c r="A1923" s="4">
        <v>43774</v>
      </c>
      <c r="B1923" s="19">
        <f t="shared" si="60"/>
        <v>2019</v>
      </c>
      <c r="C1923" s="19">
        <f t="shared" si="61"/>
        <v>11</v>
      </c>
      <c r="D1923" s="5" t="s">
        <v>1798</v>
      </c>
      <c r="E1923" s="5" t="s">
        <v>317</v>
      </c>
      <c r="F1923" s="5" t="s">
        <v>19</v>
      </c>
      <c r="G1923" s="5" t="s">
        <v>32</v>
      </c>
      <c r="H1923" s="5" t="s">
        <v>1053</v>
      </c>
      <c r="I1923" s="13">
        <v>104.9</v>
      </c>
      <c r="J1923" s="19">
        <v>5</v>
      </c>
      <c r="K1923" s="14">
        <v>50.351999999999997</v>
      </c>
    </row>
    <row r="1924" spans="1:11" x14ac:dyDescent="0.25">
      <c r="A1924" s="2">
        <v>43774</v>
      </c>
      <c r="B1924" s="18">
        <f t="shared" si="60"/>
        <v>2019</v>
      </c>
      <c r="C1924" s="18">
        <f t="shared" si="61"/>
        <v>11</v>
      </c>
      <c r="D1924" s="3" t="s">
        <v>1798</v>
      </c>
      <c r="E1924" s="3" t="s">
        <v>317</v>
      </c>
      <c r="F1924" s="3" t="s">
        <v>19</v>
      </c>
      <c r="G1924" s="3" t="s">
        <v>40</v>
      </c>
      <c r="H1924" s="3" t="s">
        <v>1490</v>
      </c>
      <c r="I1924" s="11">
        <v>39.68</v>
      </c>
      <c r="J1924" s="18">
        <v>2</v>
      </c>
      <c r="K1924" s="12">
        <v>16.268799999999999</v>
      </c>
    </row>
    <row r="1925" spans="1:11" x14ac:dyDescent="0.25">
      <c r="A1925" s="4">
        <v>43774</v>
      </c>
      <c r="B1925" s="19">
        <f t="shared" si="60"/>
        <v>2019</v>
      </c>
      <c r="C1925" s="19">
        <f t="shared" si="61"/>
        <v>11</v>
      </c>
      <c r="D1925" s="5" t="s">
        <v>1798</v>
      </c>
      <c r="E1925" s="5" t="s">
        <v>317</v>
      </c>
      <c r="F1925" s="5" t="s">
        <v>19</v>
      </c>
      <c r="G1925" s="5" t="s">
        <v>127</v>
      </c>
      <c r="H1925" s="5" t="s">
        <v>1799</v>
      </c>
      <c r="I1925" s="13">
        <v>51.75</v>
      </c>
      <c r="J1925" s="19">
        <v>5</v>
      </c>
      <c r="K1925" s="14">
        <v>24.84</v>
      </c>
    </row>
    <row r="1926" spans="1:11" x14ac:dyDescent="0.25">
      <c r="A1926" s="2">
        <v>43774</v>
      </c>
      <c r="B1926" s="18">
        <f t="shared" si="60"/>
        <v>2019</v>
      </c>
      <c r="C1926" s="18">
        <f t="shared" si="61"/>
        <v>11</v>
      </c>
      <c r="D1926" s="3" t="s">
        <v>1507</v>
      </c>
      <c r="E1926" s="3" t="s">
        <v>18</v>
      </c>
      <c r="F1926" s="3" t="s">
        <v>19</v>
      </c>
      <c r="G1926" s="3" t="s">
        <v>32</v>
      </c>
      <c r="H1926" s="3" t="s">
        <v>1059</v>
      </c>
      <c r="I1926" s="11">
        <v>53.247999999999998</v>
      </c>
      <c r="J1926" s="18">
        <v>2</v>
      </c>
      <c r="K1926" s="12">
        <v>19.968</v>
      </c>
    </row>
    <row r="1927" spans="1:11" x14ac:dyDescent="0.25">
      <c r="A1927" s="4">
        <v>43774</v>
      </c>
      <c r="B1927" s="19">
        <f t="shared" si="60"/>
        <v>2019</v>
      </c>
      <c r="C1927" s="19">
        <f t="shared" si="61"/>
        <v>11</v>
      </c>
      <c r="D1927" s="5" t="s">
        <v>1800</v>
      </c>
      <c r="E1927" s="5" t="s">
        <v>23</v>
      </c>
      <c r="F1927" s="5" t="s">
        <v>19</v>
      </c>
      <c r="G1927" s="5" t="s">
        <v>127</v>
      </c>
      <c r="H1927" s="5" t="s">
        <v>1801</v>
      </c>
      <c r="I1927" s="13">
        <v>11.84</v>
      </c>
      <c r="J1927" s="19">
        <v>1</v>
      </c>
      <c r="K1927" s="14">
        <v>4.4400000000000004</v>
      </c>
    </row>
    <row r="1928" spans="1:11" x14ac:dyDescent="0.25">
      <c r="A1928" s="2">
        <v>43774</v>
      </c>
      <c r="B1928" s="18">
        <f t="shared" si="60"/>
        <v>2019</v>
      </c>
      <c r="C1928" s="18">
        <f t="shared" si="61"/>
        <v>11</v>
      </c>
      <c r="D1928" s="3" t="s">
        <v>1353</v>
      </c>
      <c r="E1928" s="3" t="s">
        <v>70</v>
      </c>
      <c r="F1928" s="3" t="s">
        <v>14</v>
      </c>
      <c r="G1928" s="3" t="s">
        <v>24</v>
      </c>
      <c r="H1928" s="3" t="s">
        <v>1802</v>
      </c>
      <c r="I1928" s="11">
        <v>479.72</v>
      </c>
      <c r="J1928" s="18">
        <v>4</v>
      </c>
      <c r="K1928" s="12">
        <v>52.769199999999998</v>
      </c>
    </row>
    <row r="1929" spans="1:11" x14ac:dyDescent="0.25">
      <c r="A1929" s="4">
        <v>43774</v>
      </c>
      <c r="B1929" s="19">
        <f t="shared" si="60"/>
        <v>2019</v>
      </c>
      <c r="C1929" s="19">
        <f t="shared" si="61"/>
        <v>11</v>
      </c>
      <c r="D1929" s="5" t="s">
        <v>833</v>
      </c>
      <c r="E1929" s="5" t="s">
        <v>18</v>
      </c>
      <c r="F1929" s="5" t="s">
        <v>14</v>
      </c>
      <c r="G1929" s="5" t="s">
        <v>24</v>
      </c>
      <c r="H1929" s="5" t="s">
        <v>1803</v>
      </c>
      <c r="I1929" s="13">
        <v>72</v>
      </c>
      <c r="J1929" s="19">
        <v>4</v>
      </c>
      <c r="K1929" s="14">
        <v>12.96</v>
      </c>
    </row>
    <row r="1930" spans="1:11" x14ac:dyDescent="0.25">
      <c r="A1930" s="2">
        <v>43774</v>
      </c>
      <c r="B1930" s="18">
        <f t="shared" si="60"/>
        <v>2019</v>
      </c>
      <c r="C1930" s="18">
        <f t="shared" si="61"/>
        <v>11</v>
      </c>
      <c r="D1930" s="3" t="s">
        <v>833</v>
      </c>
      <c r="E1930" s="3" t="s">
        <v>18</v>
      </c>
      <c r="F1930" s="3" t="s">
        <v>11</v>
      </c>
      <c r="G1930" s="3" t="s">
        <v>112</v>
      </c>
      <c r="H1930" s="3" t="s">
        <v>1583</v>
      </c>
      <c r="I1930" s="11">
        <v>113.88800000000001</v>
      </c>
      <c r="J1930" s="18">
        <v>2</v>
      </c>
      <c r="K1930" s="12">
        <v>9.9651999999999994</v>
      </c>
    </row>
    <row r="1931" spans="1:11" x14ac:dyDescent="0.25">
      <c r="A1931" s="4">
        <v>43774</v>
      </c>
      <c r="B1931" s="19">
        <f t="shared" si="60"/>
        <v>2019</v>
      </c>
      <c r="C1931" s="19">
        <f t="shared" si="61"/>
        <v>11</v>
      </c>
      <c r="D1931" s="5" t="s">
        <v>833</v>
      </c>
      <c r="E1931" s="5" t="s">
        <v>18</v>
      </c>
      <c r="F1931" s="5" t="s">
        <v>19</v>
      </c>
      <c r="G1931" s="5" t="s">
        <v>86</v>
      </c>
      <c r="H1931" s="5" t="s">
        <v>1804</v>
      </c>
      <c r="I1931" s="13">
        <v>158.13</v>
      </c>
      <c r="J1931" s="19">
        <v>3</v>
      </c>
      <c r="K1931" s="14">
        <v>77.483699999999999</v>
      </c>
    </row>
    <row r="1932" spans="1:11" x14ac:dyDescent="0.25">
      <c r="A1932" s="2">
        <v>43774</v>
      </c>
      <c r="B1932" s="18">
        <f t="shared" si="60"/>
        <v>2019</v>
      </c>
      <c r="C1932" s="18">
        <f t="shared" si="61"/>
        <v>11</v>
      </c>
      <c r="D1932" s="3" t="s">
        <v>1805</v>
      </c>
      <c r="E1932" s="3" t="s">
        <v>181</v>
      </c>
      <c r="F1932" s="3" t="s">
        <v>11</v>
      </c>
      <c r="G1932" s="3" t="s">
        <v>51</v>
      </c>
      <c r="H1932" s="3" t="s">
        <v>1806</v>
      </c>
      <c r="I1932" s="11">
        <v>273.95999999999998</v>
      </c>
      <c r="J1932" s="18">
        <v>2</v>
      </c>
      <c r="K1932" s="12">
        <v>71.229600000000005</v>
      </c>
    </row>
    <row r="1933" spans="1:11" x14ac:dyDescent="0.25">
      <c r="A1933" s="4">
        <v>43774</v>
      </c>
      <c r="B1933" s="19">
        <f t="shared" si="60"/>
        <v>2019</v>
      </c>
      <c r="C1933" s="19">
        <f t="shared" si="61"/>
        <v>11</v>
      </c>
      <c r="D1933" s="5" t="s">
        <v>1805</v>
      </c>
      <c r="E1933" s="5" t="s">
        <v>181</v>
      </c>
      <c r="F1933" s="5" t="s">
        <v>14</v>
      </c>
      <c r="G1933" s="5" t="s">
        <v>24</v>
      </c>
      <c r="H1933" s="5" t="s">
        <v>1807</v>
      </c>
      <c r="I1933" s="13">
        <v>89.97</v>
      </c>
      <c r="J1933" s="19">
        <v>3</v>
      </c>
      <c r="K1933" s="14">
        <v>18.893699999999999</v>
      </c>
    </row>
    <row r="1934" spans="1:11" x14ac:dyDescent="0.25">
      <c r="A1934" s="2">
        <v>43774</v>
      </c>
      <c r="B1934" s="18">
        <f t="shared" si="60"/>
        <v>2019</v>
      </c>
      <c r="C1934" s="18">
        <f t="shared" si="61"/>
        <v>11</v>
      </c>
      <c r="D1934" s="3" t="s">
        <v>1805</v>
      </c>
      <c r="E1934" s="3" t="s">
        <v>181</v>
      </c>
      <c r="F1934" s="3" t="s">
        <v>11</v>
      </c>
      <c r="G1934" s="3" t="s">
        <v>51</v>
      </c>
      <c r="H1934" s="3" t="s">
        <v>1305</v>
      </c>
      <c r="I1934" s="11">
        <v>756.8</v>
      </c>
      <c r="J1934" s="18">
        <v>5</v>
      </c>
      <c r="K1934" s="12">
        <v>75.680000000000007</v>
      </c>
    </row>
    <row r="1935" spans="1:11" x14ac:dyDescent="0.25">
      <c r="A1935" s="4">
        <v>43775</v>
      </c>
      <c r="B1935" s="19">
        <f t="shared" si="60"/>
        <v>2019</v>
      </c>
      <c r="C1935" s="19">
        <f t="shared" si="61"/>
        <v>11</v>
      </c>
      <c r="D1935" s="5" t="s">
        <v>1311</v>
      </c>
      <c r="E1935" s="5" t="s">
        <v>18</v>
      </c>
      <c r="F1935" s="5" t="s">
        <v>11</v>
      </c>
      <c r="G1935" s="5" t="s">
        <v>112</v>
      </c>
      <c r="H1935" s="5" t="s">
        <v>1518</v>
      </c>
      <c r="I1935" s="13">
        <v>81.424000000000007</v>
      </c>
      <c r="J1935" s="19">
        <v>2</v>
      </c>
      <c r="K1935" s="14">
        <v>-9.1601999999999997</v>
      </c>
    </row>
    <row r="1936" spans="1:11" x14ac:dyDescent="0.25">
      <c r="A1936" s="2">
        <v>43775</v>
      </c>
      <c r="B1936" s="18">
        <f t="shared" si="60"/>
        <v>2019</v>
      </c>
      <c r="C1936" s="18">
        <f t="shared" si="61"/>
        <v>11</v>
      </c>
      <c r="D1936" s="3" t="s">
        <v>1311</v>
      </c>
      <c r="E1936" s="3" t="s">
        <v>18</v>
      </c>
      <c r="F1936" s="3" t="s">
        <v>11</v>
      </c>
      <c r="G1936" s="3" t="s">
        <v>51</v>
      </c>
      <c r="H1936" s="3" t="s">
        <v>257</v>
      </c>
      <c r="I1936" s="11">
        <v>238.56</v>
      </c>
      <c r="J1936" s="18">
        <v>3</v>
      </c>
      <c r="K1936" s="12">
        <v>26.241599999999998</v>
      </c>
    </row>
    <row r="1937" spans="1:11" x14ac:dyDescent="0.25">
      <c r="A1937" s="4">
        <v>43775</v>
      </c>
      <c r="B1937" s="19">
        <f t="shared" si="60"/>
        <v>2019</v>
      </c>
      <c r="C1937" s="19">
        <f t="shared" si="61"/>
        <v>11</v>
      </c>
      <c r="D1937" s="5" t="s">
        <v>1622</v>
      </c>
      <c r="E1937" s="5" t="s">
        <v>44</v>
      </c>
      <c r="F1937" s="5" t="s">
        <v>11</v>
      </c>
      <c r="G1937" s="5" t="s">
        <v>112</v>
      </c>
      <c r="H1937" s="5" t="s">
        <v>1656</v>
      </c>
      <c r="I1937" s="13">
        <v>207.98400000000001</v>
      </c>
      <c r="J1937" s="19">
        <v>2</v>
      </c>
      <c r="K1937" s="14">
        <v>-28.597799999999999</v>
      </c>
    </row>
    <row r="1938" spans="1:11" x14ac:dyDescent="0.25">
      <c r="A1938" s="2">
        <v>43775</v>
      </c>
      <c r="B1938" s="18">
        <f t="shared" si="60"/>
        <v>2019</v>
      </c>
      <c r="C1938" s="18">
        <f t="shared" si="61"/>
        <v>11</v>
      </c>
      <c r="D1938" s="3" t="s">
        <v>1622</v>
      </c>
      <c r="E1938" s="3" t="s">
        <v>44</v>
      </c>
      <c r="F1938" s="3" t="s">
        <v>19</v>
      </c>
      <c r="G1938" s="3" t="s">
        <v>53</v>
      </c>
      <c r="H1938" s="3" t="s">
        <v>711</v>
      </c>
      <c r="I1938" s="11">
        <v>36.112000000000002</v>
      </c>
      <c r="J1938" s="18">
        <v>2</v>
      </c>
      <c r="K1938" s="12">
        <v>12.639200000000001</v>
      </c>
    </row>
    <row r="1939" spans="1:11" x14ac:dyDescent="0.25">
      <c r="A1939" s="4">
        <v>43775</v>
      </c>
      <c r="B1939" s="19">
        <f t="shared" si="60"/>
        <v>2019</v>
      </c>
      <c r="C1939" s="19">
        <f t="shared" si="61"/>
        <v>11</v>
      </c>
      <c r="D1939" s="5" t="s">
        <v>1622</v>
      </c>
      <c r="E1939" s="5" t="s">
        <v>44</v>
      </c>
      <c r="F1939" s="5" t="s">
        <v>11</v>
      </c>
      <c r="G1939" s="5" t="s">
        <v>51</v>
      </c>
      <c r="H1939" s="5" t="s">
        <v>262</v>
      </c>
      <c r="I1939" s="13">
        <v>35.567999999999998</v>
      </c>
      <c r="J1939" s="19">
        <v>2</v>
      </c>
      <c r="K1939" s="14">
        <v>5.7797999999999998</v>
      </c>
    </row>
    <row r="1940" spans="1:11" x14ac:dyDescent="0.25">
      <c r="A1940" s="2">
        <v>43775</v>
      </c>
      <c r="B1940" s="18">
        <f t="shared" si="60"/>
        <v>2019</v>
      </c>
      <c r="C1940" s="18">
        <f t="shared" si="61"/>
        <v>11</v>
      </c>
      <c r="D1940" s="3" t="s">
        <v>1622</v>
      </c>
      <c r="E1940" s="3" t="s">
        <v>44</v>
      </c>
      <c r="F1940" s="3" t="s">
        <v>19</v>
      </c>
      <c r="G1940" s="3" t="s">
        <v>53</v>
      </c>
      <c r="H1940" s="3" t="s">
        <v>1229</v>
      </c>
      <c r="I1940" s="11">
        <v>88.768000000000001</v>
      </c>
      <c r="J1940" s="18">
        <v>2</v>
      </c>
      <c r="K1940" s="12">
        <v>31.0688</v>
      </c>
    </row>
    <row r="1941" spans="1:11" x14ac:dyDescent="0.25">
      <c r="A1941" s="4">
        <v>43775</v>
      </c>
      <c r="B1941" s="19">
        <f t="shared" si="60"/>
        <v>2019</v>
      </c>
      <c r="C1941" s="19">
        <f t="shared" si="61"/>
        <v>11</v>
      </c>
      <c r="D1941" s="5" t="s">
        <v>1099</v>
      </c>
      <c r="E1941" s="5" t="s">
        <v>18</v>
      </c>
      <c r="F1941" s="5" t="s">
        <v>19</v>
      </c>
      <c r="G1941" s="5" t="s">
        <v>20</v>
      </c>
      <c r="H1941" s="5" t="s">
        <v>555</v>
      </c>
      <c r="I1941" s="13">
        <v>84.84</v>
      </c>
      <c r="J1941" s="19">
        <v>3</v>
      </c>
      <c r="K1941" s="14">
        <v>22.9068</v>
      </c>
    </row>
    <row r="1942" spans="1:11" x14ac:dyDescent="0.25">
      <c r="A1942" s="2">
        <v>43776</v>
      </c>
      <c r="B1942" s="18">
        <f t="shared" si="60"/>
        <v>2019</v>
      </c>
      <c r="C1942" s="18">
        <f t="shared" si="61"/>
        <v>11</v>
      </c>
      <c r="D1942" s="3" t="s">
        <v>710</v>
      </c>
      <c r="E1942" s="3" t="s">
        <v>70</v>
      </c>
      <c r="F1942" s="3" t="s">
        <v>19</v>
      </c>
      <c r="G1942" s="3" t="s">
        <v>32</v>
      </c>
      <c r="H1942" s="3" t="s">
        <v>841</v>
      </c>
      <c r="I1942" s="11">
        <v>27.68</v>
      </c>
      <c r="J1942" s="18">
        <v>2</v>
      </c>
      <c r="K1942" s="12">
        <v>9.6880000000000006</v>
      </c>
    </row>
    <row r="1943" spans="1:11" x14ac:dyDescent="0.25">
      <c r="A1943" s="4">
        <v>43776</v>
      </c>
      <c r="B1943" s="19">
        <f t="shared" si="60"/>
        <v>2019</v>
      </c>
      <c r="C1943" s="19">
        <f t="shared" si="61"/>
        <v>11</v>
      </c>
      <c r="D1943" s="5" t="s">
        <v>1808</v>
      </c>
      <c r="E1943" s="5" t="s">
        <v>18</v>
      </c>
      <c r="F1943" s="5" t="s">
        <v>19</v>
      </c>
      <c r="G1943" s="5" t="s">
        <v>32</v>
      </c>
      <c r="H1943" s="5" t="s">
        <v>1809</v>
      </c>
      <c r="I1943" s="13">
        <v>37.44</v>
      </c>
      <c r="J1943" s="19">
        <v>4</v>
      </c>
      <c r="K1943" s="14">
        <v>11.7</v>
      </c>
    </row>
    <row r="1944" spans="1:11" x14ac:dyDescent="0.25">
      <c r="A1944" s="2">
        <v>43776</v>
      </c>
      <c r="B1944" s="18">
        <f t="shared" si="60"/>
        <v>2019</v>
      </c>
      <c r="C1944" s="18">
        <f t="shared" si="61"/>
        <v>11</v>
      </c>
      <c r="D1944" s="3" t="s">
        <v>1808</v>
      </c>
      <c r="E1944" s="3" t="s">
        <v>18</v>
      </c>
      <c r="F1944" s="3" t="s">
        <v>19</v>
      </c>
      <c r="G1944" s="3" t="s">
        <v>32</v>
      </c>
      <c r="H1944" s="3" t="s">
        <v>1810</v>
      </c>
      <c r="I1944" s="11">
        <v>26.975999999999999</v>
      </c>
      <c r="J1944" s="18">
        <v>4</v>
      </c>
      <c r="K1944" s="12">
        <v>8.7672000000000008</v>
      </c>
    </row>
    <row r="1945" spans="1:11" x14ac:dyDescent="0.25">
      <c r="A1945" s="4">
        <v>43776</v>
      </c>
      <c r="B1945" s="19">
        <f t="shared" si="60"/>
        <v>2019</v>
      </c>
      <c r="C1945" s="19">
        <f t="shared" si="61"/>
        <v>11</v>
      </c>
      <c r="D1945" s="5" t="s">
        <v>1808</v>
      </c>
      <c r="E1945" s="5" t="s">
        <v>18</v>
      </c>
      <c r="F1945" s="5" t="s">
        <v>19</v>
      </c>
      <c r="G1945" s="5" t="s">
        <v>265</v>
      </c>
      <c r="H1945" s="5" t="s">
        <v>1487</v>
      </c>
      <c r="I1945" s="13">
        <v>11.36</v>
      </c>
      <c r="J1945" s="19">
        <v>2</v>
      </c>
      <c r="K1945" s="14">
        <v>3.2944</v>
      </c>
    </row>
    <row r="1946" spans="1:11" x14ac:dyDescent="0.25">
      <c r="A1946" s="2">
        <v>43776</v>
      </c>
      <c r="B1946" s="18">
        <f t="shared" si="60"/>
        <v>2019</v>
      </c>
      <c r="C1946" s="18">
        <f t="shared" si="61"/>
        <v>11</v>
      </c>
      <c r="D1946" s="3" t="s">
        <v>1808</v>
      </c>
      <c r="E1946" s="3" t="s">
        <v>18</v>
      </c>
      <c r="F1946" s="3" t="s">
        <v>19</v>
      </c>
      <c r="G1946" s="3" t="s">
        <v>127</v>
      </c>
      <c r="H1946" s="3" t="s">
        <v>1024</v>
      </c>
      <c r="I1946" s="11">
        <v>14.62</v>
      </c>
      <c r="J1946" s="18">
        <v>2</v>
      </c>
      <c r="K1946" s="12">
        <v>6.8714000000000004</v>
      </c>
    </row>
    <row r="1947" spans="1:11" x14ac:dyDescent="0.25">
      <c r="A1947" s="4">
        <v>43776</v>
      </c>
      <c r="B1947" s="19">
        <f t="shared" si="60"/>
        <v>2019</v>
      </c>
      <c r="C1947" s="19">
        <f t="shared" si="61"/>
        <v>11</v>
      </c>
      <c r="D1947" s="5" t="s">
        <v>137</v>
      </c>
      <c r="E1947" s="5" t="s">
        <v>18</v>
      </c>
      <c r="F1947" s="5" t="s">
        <v>11</v>
      </c>
      <c r="G1947" s="5" t="s">
        <v>51</v>
      </c>
      <c r="H1947" s="5" t="s">
        <v>584</v>
      </c>
      <c r="I1947" s="13">
        <v>14.82</v>
      </c>
      <c r="J1947" s="19">
        <v>3</v>
      </c>
      <c r="K1947" s="14">
        <v>6.2244000000000002</v>
      </c>
    </row>
    <row r="1948" spans="1:11" x14ac:dyDescent="0.25">
      <c r="A1948" s="2">
        <v>43776</v>
      </c>
      <c r="B1948" s="18">
        <f t="shared" si="60"/>
        <v>2019</v>
      </c>
      <c r="C1948" s="18">
        <f t="shared" si="61"/>
        <v>11</v>
      </c>
      <c r="D1948" s="3" t="s">
        <v>1081</v>
      </c>
      <c r="E1948" s="3" t="s">
        <v>67</v>
      </c>
      <c r="F1948" s="3" t="s">
        <v>14</v>
      </c>
      <c r="G1948" s="3" t="s">
        <v>24</v>
      </c>
      <c r="H1948" s="3" t="s">
        <v>378</v>
      </c>
      <c r="I1948" s="11">
        <v>119.976</v>
      </c>
      <c r="J1948" s="18">
        <v>3</v>
      </c>
      <c r="K1948" s="12">
        <v>22.4955</v>
      </c>
    </row>
    <row r="1949" spans="1:11" x14ac:dyDescent="0.25">
      <c r="A1949" s="4">
        <v>43776</v>
      </c>
      <c r="B1949" s="19">
        <f t="shared" si="60"/>
        <v>2019</v>
      </c>
      <c r="C1949" s="19">
        <f t="shared" si="61"/>
        <v>11</v>
      </c>
      <c r="D1949" s="5" t="s">
        <v>745</v>
      </c>
      <c r="E1949" s="5" t="s">
        <v>85</v>
      </c>
      <c r="F1949" s="5" t="s">
        <v>19</v>
      </c>
      <c r="G1949" s="5" t="s">
        <v>116</v>
      </c>
      <c r="H1949" s="5" t="s">
        <v>355</v>
      </c>
      <c r="I1949" s="13">
        <v>14.96</v>
      </c>
      <c r="J1949" s="19">
        <v>4</v>
      </c>
      <c r="K1949" s="14">
        <v>0.29920000000000002</v>
      </c>
    </row>
    <row r="1950" spans="1:11" x14ac:dyDescent="0.25">
      <c r="A1950" s="2">
        <v>43776</v>
      </c>
      <c r="B1950" s="18">
        <f t="shared" si="60"/>
        <v>2019</v>
      </c>
      <c r="C1950" s="18">
        <f t="shared" si="61"/>
        <v>11</v>
      </c>
      <c r="D1950" s="3" t="s">
        <v>1811</v>
      </c>
      <c r="E1950" s="3" t="s">
        <v>18</v>
      </c>
      <c r="F1950" s="3" t="s">
        <v>19</v>
      </c>
      <c r="G1950" s="3" t="s">
        <v>53</v>
      </c>
      <c r="H1950" s="3" t="s">
        <v>1443</v>
      </c>
      <c r="I1950" s="11">
        <v>12.9</v>
      </c>
      <c r="J1950" s="18">
        <v>2</v>
      </c>
      <c r="K1950" s="12">
        <v>6.3209999999999997</v>
      </c>
    </row>
    <row r="1951" spans="1:11" x14ac:dyDescent="0.25">
      <c r="A1951" s="4">
        <v>43776</v>
      </c>
      <c r="B1951" s="19">
        <f t="shared" si="60"/>
        <v>2019</v>
      </c>
      <c r="C1951" s="19">
        <f t="shared" si="61"/>
        <v>11</v>
      </c>
      <c r="D1951" s="5" t="s">
        <v>1798</v>
      </c>
      <c r="E1951" s="5" t="s">
        <v>1812</v>
      </c>
      <c r="F1951" s="5" t="s">
        <v>11</v>
      </c>
      <c r="G1951" s="5" t="s">
        <v>112</v>
      </c>
      <c r="H1951" s="5" t="s">
        <v>948</v>
      </c>
      <c r="I1951" s="13">
        <v>1603.136</v>
      </c>
      <c r="J1951" s="19">
        <v>4</v>
      </c>
      <c r="K1951" s="14">
        <v>100.196</v>
      </c>
    </row>
    <row r="1952" spans="1:11" x14ac:dyDescent="0.25">
      <c r="A1952" s="2">
        <v>43776</v>
      </c>
      <c r="B1952" s="18">
        <f t="shared" si="60"/>
        <v>2019</v>
      </c>
      <c r="C1952" s="18">
        <f t="shared" si="61"/>
        <v>11</v>
      </c>
      <c r="D1952" s="3" t="s">
        <v>862</v>
      </c>
      <c r="E1952" s="3" t="s">
        <v>94</v>
      </c>
      <c r="F1952" s="3" t="s">
        <v>14</v>
      </c>
      <c r="G1952" s="3" t="s">
        <v>15</v>
      </c>
      <c r="H1952" s="3" t="s">
        <v>1813</v>
      </c>
      <c r="I1952" s="11">
        <v>263.95999999999998</v>
      </c>
      <c r="J1952" s="18">
        <v>4</v>
      </c>
      <c r="K1952" s="12">
        <v>71.269199999999998</v>
      </c>
    </row>
    <row r="1953" spans="1:11" x14ac:dyDescent="0.25">
      <c r="A1953" s="4">
        <v>43776</v>
      </c>
      <c r="B1953" s="19">
        <f t="shared" si="60"/>
        <v>2019</v>
      </c>
      <c r="C1953" s="19">
        <f t="shared" si="61"/>
        <v>11</v>
      </c>
      <c r="D1953" s="5" t="s">
        <v>862</v>
      </c>
      <c r="E1953" s="5" t="s">
        <v>94</v>
      </c>
      <c r="F1953" s="5" t="s">
        <v>14</v>
      </c>
      <c r="G1953" s="5" t="s">
        <v>15</v>
      </c>
      <c r="H1953" s="5" t="s">
        <v>1814</v>
      </c>
      <c r="I1953" s="13">
        <v>359.97</v>
      </c>
      <c r="J1953" s="19">
        <v>3</v>
      </c>
      <c r="K1953" s="14">
        <v>100.7916</v>
      </c>
    </row>
    <row r="1954" spans="1:11" x14ac:dyDescent="0.25">
      <c r="A1954" s="2">
        <v>43776</v>
      </c>
      <c r="B1954" s="18">
        <f t="shared" si="60"/>
        <v>2019</v>
      </c>
      <c r="C1954" s="18">
        <f t="shared" si="61"/>
        <v>11</v>
      </c>
      <c r="D1954" s="3" t="s">
        <v>862</v>
      </c>
      <c r="E1954" s="3" t="s">
        <v>94</v>
      </c>
      <c r="F1954" s="3" t="s">
        <v>19</v>
      </c>
      <c r="G1954" s="3" t="s">
        <v>53</v>
      </c>
      <c r="H1954" s="3" t="s">
        <v>837</v>
      </c>
      <c r="I1954" s="11">
        <v>12.96</v>
      </c>
      <c r="J1954" s="18">
        <v>2</v>
      </c>
      <c r="K1954" s="12">
        <v>6.2207999999999997</v>
      </c>
    </row>
    <row r="1955" spans="1:11" x14ac:dyDescent="0.25">
      <c r="A1955" s="4">
        <v>43776</v>
      </c>
      <c r="B1955" s="19">
        <f t="shared" si="60"/>
        <v>2019</v>
      </c>
      <c r="C1955" s="19">
        <f t="shared" si="61"/>
        <v>11</v>
      </c>
      <c r="D1955" s="5" t="s">
        <v>862</v>
      </c>
      <c r="E1955" s="5" t="s">
        <v>94</v>
      </c>
      <c r="F1955" s="5" t="s">
        <v>19</v>
      </c>
      <c r="G1955" s="5" t="s">
        <v>20</v>
      </c>
      <c r="H1955" s="5" t="s">
        <v>988</v>
      </c>
      <c r="I1955" s="13">
        <v>116.82</v>
      </c>
      <c r="J1955" s="19">
        <v>3</v>
      </c>
      <c r="K1955" s="14">
        <v>5.8410000000000002</v>
      </c>
    </row>
    <row r="1956" spans="1:11" x14ac:dyDescent="0.25">
      <c r="A1956" s="2">
        <v>43776</v>
      </c>
      <c r="B1956" s="18">
        <f t="shared" si="60"/>
        <v>2019</v>
      </c>
      <c r="C1956" s="18">
        <f t="shared" si="61"/>
        <v>11</v>
      </c>
      <c r="D1956" s="3" t="s">
        <v>862</v>
      </c>
      <c r="E1956" s="3" t="s">
        <v>94</v>
      </c>
      <c r="F1956" s="3" t="s">
        <v>19</v>
      </c>
      <c r="G1956" s="3" t="s">
        <v>32</v>
      </c>
      <c r="H1956" s="3" t="s">
        <v>420</v>
      </c>
      <c r="I1956" s="11">
        <v>276.78399999999999</v>
      </c>
      <c r="J1956" s="18">
        <v>2</v>
      </c>
      <c r="K1956" s="12">
        <v>89.954800000000006</v>
      </c>
    </row>
    <row r="1957" spans="1:11" x14ac:dyDescent="0.25">
      <c r="A1957" s="4">
        <v>43776</v>
      </c>
      <c r="B1957" s="19">
        <f t="shared" si="60"/>
        <v>2019</v>
      </c>
      <c r="C1957" s="19">
        <f t="shared" si="61"/>
        <v>11</v>
      </c>
      <c r="D1957" s="5" t="s">
        <v>1815</v>
      </c>
      <c r="E1957" s="5" t="s">
        <v>23</v>
      </c>
      <c r="F1957" s="5" t="s">
        <v>11</v>
      </c>
      <c r="G1957" s="5" t="s">
        <v>51</v>
      </c>
      <c r="H1957" s="5" t="s">
        <v>1816</v>
      </c>
      <c r="I1957" s="13">
        <v>44.46</v>
      </c>
      <c r="J1957" s="19">
        <v>5</v>
      </c>
      <c r="K1957" s="14">
        <v>-17.783999999999999</v>
      </c>
    </row>
    <row r="1958" spans="1:11" x14ac:dyDescent="0.25">
      <c r="A1958" s="2">
        <v>43776</v>
      </c>
      <c r="B1958" s="18">
        <f t="shared" si="60"/>
        <v>2019</v>
      </c>
      <c r="C1958" s="18">
        <f t="shared" si="61"/>
        <v>11</v>
      </c>
      <c r="D1958" s="3" t="s">
        <v>1815</v>
      </c>
      <c r="E1958" s="3" t="s">
        <v>23</v>
      </c>
      <c r="F1958" s="3" t="s">
        <v>19</v>
      </c>
      <c r="G1958" s="3" t="s">
        <v>20</v>
      </c>
      <c r="H1958" s="3" t="s">
        <v>386</v>
      </c>
      <c r="I1958" s="11">
        <v>314.08800000000002</v>
      </c>
      <c r="J1958" s="18">
        <v>3</v>
      </c>
      <c r="K1958" s="12">
        <v>19.630500000000001</v>
      </c>
    </row>
    <row r="1959" spans="1:11" x14ac:dyDescent="0.25">
      <c r="A1959" s="4">
        <v>43776</v>
      </c>
      <c r="B1959" s="19">
        <f t="shared" si="60"/>
        <v>2019</v>
      </c>
      <c r="C1959" s="19">
        <f t="shared" si="61"/>
        <v>11</v>
      </c>
      <c r="D1959" s="5" t="s">
        <v>1500</v>
      </c>
      <c r="E1959" s="5" t="s">
        <v>18</v>
      </c>
      <c r="F1959" s="5" t="s">
        <v>14</v>
      </c>
      <c r="G1959" s="5" t="s">
        <v>24</v>
      </c>
      <c r="H1959" s="5" t="s">
        <v>1426</v>
      </c>
      <c r="I1959" s="13">
        <v>479.97</v>
      </c>
      <c r="J1959" s="19">
        <v>3</v>
      </c>
      <c r="K1959" s="14">
        <v>163.18979999999999</v>
      </c>
    </row>
    <row r="1960" spans="1:11" x14ac:dyDescent="0.25">
      <c r="A1960" s="2">
        <v>43776</v>
      </c>
      <c r="B1960" s="18">
        <f t="shared" si="60"/>
        <v>2019</v>
      </c>
      <c r="C1960" s="18">
        <f t="shared" si="61"/>
        <v>11</v>
      </c>
      <c r="D1960" s="3" t="s">
        <v>894</v>
      </c>
      <c r="E1960" s="3" t="s">
        <v>18</v>
      </c>
      <c r="F1960" s="3" t="s">
        <v>19</v>
      </c>
      <c r="G1960" s="3" t="s">
        <v>32</v>
      </c>
      <c r="H1960" s="3" t="s">
        <v>1817</v>
      </c>
      <c r="I1960" s="11">
        <v>57.584000000000003</v>
      </c>
      <c r="J1960" s="18">
        <v>2</v>
      </c>
      <c r="K1960" s="12">
        <v>20.154399999999999</v>
      </c>
    </row>
    <row r="1961" spans="1:11" x14ac:dyDescent="0.25">
      <c r="A1961" s="4">
        <v>43777</v>
      </c>
      <c r="B1961" s="19">
        <f t="shared" si="60"/>
        <v>2019</v>
      </c>
      <c r="C1961" s="19">
        <f t="shared" si="61"/>
        <v>11</v>
      </c>
      <c r="D1961" s="5" t="s">
        <v>1818</v>
      </c>
      <c r="E1961" s="5" t="s">
        <v>195</v>
      </c>
      <c r="F1961" s="5" t="s">
        <v>11</v>
      </c>
      <c r="G1961" s="5" t="s">
        <v>12</v>
      </c>
      <c r="H1961" s="5" t="s">
        <v>597</v>
      </c>
      <c r="I1961" s="13">
        <v>261.95999999999998</v>
      </c>
      <c r="J1961" s="19">
        <v>2</v>
      </c>
      <c r="K1961" s="14">
        <v>41.913600000000002</v>
      </c>
    </row>
    <row r="1962" spans="1:11" x14ac:dyDescent="0.25">
      <c r="A1962" s="2">
        <v>43777</v>
      </c>
      <c r="B1962" s="18">
        <f t="shared" si="60"/>
        <v>2019</v>
      </c>
      <c r="C1962" s="18">
        <f t="shared" si="61"/>
        <v>11</v>
      </c>
      <c r="D1962" s="3" t="s">
        <v>1818</v>
      </c>
      <c r="E1962" s="3" t="s">
        <v>195</v>
      </c>
      <c r="F1962" s="3" t="s">
        <v>11</v>
      </c>
      <c r="G1962" s="3" t="s">
        <v>112</v>
      </c>
      <c r="H1962" s="3" t="s">
        <v>537</v>
      </c>
      <c r="I1962" s="11">
        <v>731.94</v>
      </c>
      <c r="J1962" s="18">
        <v>3</v>
      </c>
      <c r="K1962" s="12">
        <v>219.58199999999999</v>
      </c>
    </row>
    <row r="1963" spans="1:11" x14ac:dyDescent="0.25">
      <c r="A1963" s="4">
        <v>43778</v>
      </c>
      <c r="B1963" s="19">
        <f t="shared" si="60"/>
        <v>2019</v>
      </c>
      <c r="C1963" s="19">
        <f t="shared" si="61"/>
        <v>11</v>
      </c>
      <c r="D1963" s="5" t="s">
        <v>1149</v>
      </c>
      <c r="E1963" s="5" t="s">
        <v>18</v>
      </c>
      <c r="F1963" s="5" t="s">
        <v>14</v>
      </c>
      <c r="G1963" s="5" t="s">
        <v>24</v>
      </c>
      <c r="H1963" s="5" t="s">
        <v>1819</v>
      </c>
      <c r="I1963" s="13">
        <v>479.97</v>
      </c>
      <c r="J1963" s="19">
        <v>3</v>
      </c>
      <c r="K1963" s="14">
        <v>177.5889</v>
      </c>
    </row>
    <row r="1964" spans="1:11" x14ac:dyDescent="0.25">
      <c r="A1964" s="2">
        <v>43779</v>
      </c>
      <c r="B1964" s="18">
        <f t="shared" si="60"/>
        <v>2019</v>
      </c>
      <c r="C1964" s="18">
        <f t="shared" si="61"/>
        <v>11</v>
      </c>
      <c r="D1964" s="3" t="s">
        <v>1820</v>
      </c>
      <c r="E1964" s="3" t="s">
        <v>18</v>
      </c>
      <c r="F1964" s="3" t="s">
        <v>19</v>
      </c>
      <c r="G1964" s="3" t="s">
        <v>20</v>
      </c>
      <c r="H1964" s="3" t="s">
        <v>1821</v>
      </c>
      <c r="I1964" s="11">
        <v>155.82</v>
      </c>
      <c r="J1964" s="18">
        <v>7</v>
      </c>
      <c r="K1964" s="12">
        <v>42.071399999999997</v>
      </c>
    </row>
    <row r="1965" spans="1:11" x14ac:dyDescent="0.25">
      <c r="A1965" s="4">
        <v>43779</v>
      </c>
      <c r="B1965" s="19">
        <f t="shared" si="60"/>
        <v>2019</v>
      </c>
      <c r="C1965" s="19">
        <f t="shared" si="61"/>
        <v>11</v>
      </c>
      <c r="D1965" s="5" t="s">
        <v>1820</v>
      </c>
      <c r="E1965" s="5" t="s">
        <v>18</v>
      </c>
      <c r="F1965" s="5" t="s">
        <v>19</v>
      </c>
      <c r="G1965" s="5" t="s">
        <v>32</v>
      </c>
      <c r="H1965" s="5" t="s">
        <v>1155</v>
      </c>
      <c r="I1965" s="13">
        <v>70.007999999999996</v>
      </c>
      <c r="J1965" s="19">
        <v>3</v>
      </c>
      <c r="K1965" s="14">
        <v>24.502800000000001</v>
      </c>
    </row>
    <row r="1966" spans="1:11" x14ac:dyDescent="0.25">
      <c r="A1966" s="2">
        <v>43779</v>
      </c>
      <c r="B1966" s="18">
        <f t="shared" si="60"/>
        <v>2019</v>
      </c>
      <c r="C1966" s="18">
        <f t="shared" si="61"/>
        <v>11</v>
      </c>
      <c r="D1966" s="3" t="s">
        <v>103</v>
      </c>
      <c r="E1966" s="3" t="s">
        <v>18</v>
      </c>
      <c r="F1966" s="3" t="s">
        <v>19</v>
      </c>
      <c r="G1966" s="3" t="s">
        <v>32</v>
      </c>
      <c r="H1966" s="3" t="s">
        <v>1463</v>
      </c>
      <c r="I1966" s="11">
        <v>13.215999999999999</v>
      </c>
      <c r="J1966" s="18">
        <v>4</v>
      </c>
      <c r="K1966" s="12">
        <v>4.4603999999999999</v>
      </c>
    </row>
    <row r="1967" spans="1:11" x14ac:dyDescent="0.25">
      <c r="A1967" s="4">
        <v>43779</v>
      </c>
      <c r="B1967" s="19">
        <f t="shared" si="60"/>
        <v>2019</v>
      </c>
      <c r="C1967" s="19">
        <f t="shared" si="61"/>
        <v>11</v>
      </c>
      <c r="D1967" s="5" t="s">
        <v>103</v>
      </c>
      <c r="E1967" s="5" t="s">
        <v>18</v>
      </c>
      <c r="F1967" s="5" t="s">
        <v>19</v>
      </c>
      <c r="G1967" s="5" t="s">
        <v>53</v>
      </c>
      <c r="H1967" s="5" t="s">
        <v>1822</v>
      </c>
      <c r="I1967" s="13">
        <v>32.4</v>
      </c>
      <c r="J1967" s="19">
        <v>5</v>
      </c>
      <c r="K1967" s="14">
        <v>15.552</v>
      </c>
    </row>
    <row r="1968" spans="1:11" x14ac:dyDescent="0.25">
      <c r="A1968" s="2">
        <v>43779</v>
      </c>
      <c r="B1968" s="18">
        <f t="shared" si="60"/>
        <v>2019</v>
      </c>
      <c r="C1968" s="18">
        <f t="shared" si="61"/>
        <v>11</v>
      </c>
      <c r="D1968" s="3" t="s">
        <v>1823</v>
      </c>
      <c r="E1968" s="3" t="s">
        <v>109</v>
      </c>
      <c r="F1968" s="3" t="s">
        <v>19</v>
      </c>
      <c r="G1968" s="3" t="s">
        <v>40</v>
      </c>
      <c r="H1968" s="3" t="s">
        <v>1207</v>
      </c>
      <c r="I1968" s="11">
        <v>41.86</v>
      </c>
      <c r="J1968" s="18">
        <v>7</v>
      </c>
      <c r="K1968" s="12">
        <v>10.465</v>
      </c>
    </row>
    <row r="1969" spans="1:11" x14ac:dyDescent="0.25">
      <c r="A1969" s="4">
        <v>43779</v>
      </c>
      <c r="B1969" s="19">
        <f t="shared" si="60"/>
        <v>2019</v>
      </c>
      <c r="C1969" s="19">
        <f t="shared" si="61"/>
        <v>11</v>
      </c>
      <c r="D1969" s="5" t="s">
        <v>1824</v>
      </c>
      <c r="E1969" s="5" t="s">
        <v>67</v>
      </c>
      <c r="F1969" s="5" t="s">
        <v>19</v>
      </c>
      <c r="G1969" s="5" t="s">
        <v>265</v>
      </c>
      <c r="H1969" s="5" t="s">
        <v>538</v>
      </c>
      <c r="I1969" s="13">
        <v>14.72</v>
      </c>
      <c r="J1969" s="19">
        <v>5</v>
      </c>
      <c r="K1969" s="14">
        <v>-3.3119999999999998</v>
      </c>
    </row>
    <row r="1970" spans="1:11" x14ac:dyDescent="0.25">
      <c r="A1970" s="2">
        <v>43779</v>
      </c>
      <c r="B1970" s="18">
        <f t="shared" si="60"/>
        <v>2019</v>
      </c>
      <c r="C1970" s="18">
        <f t="shared" si="61"/>
        <v>11</v>
      </c>
      <c r="D1970" s="3" t="s">
        <v>1824</v>
      </c>
      <c r="E1970" s="3" t="s">
        <v>67</v>
      </c>
      <c r="F1970" s="3" t="s">
        <v>19</v>
      </c>
      <c r="G1970" s="3" t="s">
        <v>20</v>
      </c>
      <c r="H1970" s="3" t="s">
        <v>341</v>
      </c>
      <c r="I1970" s="11">
        <v>38.975999999999999</v>
      </c>
      <c r="J1970" s="18">
        <v>3</v>
      </c>
      <c r="K1970" s="12">
        <v>-2.4359999999999999</v>
      </c>
    </row>
    <row r="1971" spans="1:11" x14ac:dyDescent="0.25">
      <c r="A1971" s="4">
        <v>43779</v>
      </c>
      <c r="B1971" s="19">
        <f t="shared" si="60"/>
        <v>2019</v>
      </c>
      <c r="C1971" s="19">
        <f t="shared" si="61"/>
        <v>11</v>
      </c>
      <c r="D1971" s="5" t="s">
        <v>203</v>
      </c>
      <c r="E1971" s="5" t="s">
        <v>67</v>
      </c>
      <c r="F1971" s="5" t="s">
        <v>19</v>
      </c>
      <c r="G1971" s="5" t="s">
        <v>127</v>
      </c>
      <c r="H1971" s="5" t="s">
        <v>1825</v>
      </c>
      <c r="I1971" s="13">
        <v>9.2159999999999993</v>
      </c>
      <c r="J1971" s="19">
        <v>4</v>
      </c>
      <c r="K1971" s="14">
        <v>3.3408000000000002</v>
      </c>
    </row>
    <row r="1972" spans="1:11" x14ac:dyDescent="0.25">
      <c r="A1972" s="2">
        <v>43779</v>
      </c>
      <c r="B1972" s="18">
        <f t="shared" si="60"/>
        <v>2019</v>
      </c>
      <c r="C1972" s="18">
        <f t="shared" si="61"/>
        <v>11</v>
      </c>
      <c r="D1972" s="3" t="s">
        <v>203</v>
      </c>
      <c r="E1972" s="3" t="s">
        <v>67</v>
      </c>
      <c r="F1972" s="3" t="s">
        <v>14</v>
      </c>
      <c r="G1972" s="3" t="s">
        <v>15</v>
      </c>
      <c r="H1972" s="3" t="s">
        <v>1826</v>
      </c>
      <c r="I1972" s="11">
        <v>41.957999999999998</v>
      </c>
      <c r="J1972" s="18">
        <v>7</v>
      </c>
      <c r="K1972" s="12">
        <v>-9.7902000000000005</v>
      </c>
    </row>
    <row r="1973" spans="1:11" x14ac:dyDescent="0.25">
      <c r="A1973" s="4">
        <v>43779</v>
      </c>
      <c r="B1973" s="19">
        <f t="shared" si="60"/>
        <v>2019</v>
      </c>
      <c r="C1973" s="19">
        <f t="shared" si="61"/>
        <v>11</v>
      </c>
      <c r="D1973" s="5" t="s">
        <v>203</v>
      </c>
      <c r="E1973" s="5" t="s">
        <v>67</v>
      </c>
      <c r="F1973" s="5" t="s">
        <v>19</v>
      </c>
      <c r="G1973" s="5" t="s">
        <v>53</v>
      </c>
      <c r="H1973" s="5" t="s">
        <v>82</v>
      </c>
      <c r="I1973" s="13">
        <v>89.567999999999998</v>
      </c>
      <c r="J1973" s="19">
        <v>2</v>
      </c>
      <c r="K1973" s="14">
        <v>32.468400000000003</v>
      </c>
    </row>
    <row r="1974" spans="1:11" x14ac:dyDescent="0.25">
      <c r="A1974" s="2">
        <v>43779</v>
      </c>
      <c r="B1974" s="18">
        <f t="shared" si="60"/>
        <v>2019</v>
      </c>
      <c r="C1974" s="18">
        <f t="shared" si="61"/>
        <v>11</v>
      </c>
      <c r="D1974" s="3" t="s">
        <v>203</v>
      </c>
      <c r="E1974" s="3" t="s">
        <v>67</v>
      </c>
      <c r="F1974" s="3" t="s">
        <v>19</v>
      </c>
      <c r="G1974" s="3" t="s">
        <v>53</v>
      </c>
      <c r="H1974" s="3" t="s">
        <v>548</v>
      </c>
      <c r="I1974" s="11">
        <v>22.248000000000001</v>
      </c>
      <c r="J1974" s="18">
        <v>3</v>
      </c>
      <c r="K1974" s="12">
        <v>7.5087000000000002</v>
      </c>
    </row>
    <row r="1975" spans="1:11" x14ac:dyDescent="0.25">
      <c r="A1975" s="4">
        <v>43779</v>
      </c>
      <c r="B1975" s="19">
        <f t="shared" si="60"/>
        <v>2019</v>
      </c>
      <c r="C1975" s="19">
        <f t="shared" si="61"/>
        <v>11</v>
      </c>
      <c r="D1975" s="5" t="s">
        <v>203</v>
      </c>
      <c r="E1975" s="5" t="s">
        <v>67</v>
      </c>
      <c r="F1975" s="5" t="s">
        <v>19</v>
      </c>
      <c r="G1975" s="5" t="s">
        <v>121</v>
      </c>
      <c r="H1975" s="5" t="s">
        <v>1459</v>
      </c>
      <c r="I1975" s="13">
        <v>334.88</v>
      </c>
      <c r="J1975" s="19">
        <v>4</v>
      </c>
      <c r="K1975" s="14">
        <v>29.302</v>
      </c>
    </row>
    <row r="1976" spans="1:11" x14ac:dyDescent="0.25">
      <c r="A1976" s="2">
        <v>43779</v>
      </c>
      <c r="B1976" s="18">
        <f t="shared" si="60"/>
        <v>2019</v>
      </c>
      <c r="C1976" s="18">
        <f t="shared" si="61"/>
        <v>11</v>
      </c>
      <c r="D1976" s="3" t="s">
        <v>203</v>
      </c>
      <c r="E1976" s="3" t="s">
        <v>67</v>
      </c>
      <c r="F1976" s="3" t="s">
        <v>11</v>
      </c>
      <c r="G1976" s="3" t="s">
        <v>51</v>
      </c>
      <c r="H1976" s="3" t="s">
        <v>1827</v>
      </c>
      <c r="I1976" s="11">
        <v>148.28800000000001</v>
      </c>
      <c r="J1976" s="18">
        <v>7</v>
      </c>
      <c r="K1976" s="12">
        <v>29.657599999999999</v>
      </c>
    </row>
    <row r="1977" spans="1:11" x14ac:dyDescent="0.25">
      <c r="A1977" s="4">
        <v>43779</v>
      </c>
      <c r="B1977" s="19">
        <f t="shared" si="60"/>
        <v>2019</v>
      </c>
      <c r="C1977" s="19">
        <f t="shared" si="61"/>
        <v>11</v>
      </c>
      <c r="D1977" s="5" t="s">
        <v>203</v>
      </c>
      <c r="E1977" s="5" t="s">
        <v>67</v>
      </c>
      <c r="F1977" s="5" t="s">
        <v>19</v>
      </c>
      <c r="G1977" s="5" t="s">
        <v>53</v>
      </c>
      <c r="H1977" s="5" t="s">
        <v>1828</v>
      </c>
      <c r="I1977" s="13">
        <v>4.6239999999999997</v>
      </c>
      <c r="J1977" s="19">
        <v>1</v>
      </c>
      <c r="K1977" s="14">
        <v>1.6761999999999999</v>
      </c>
    </row>
    <row r="1978" spans="1:11" x14ac:dyDescent="0.25">
      <c r="A1978" s="2">
        <v>43779</v>
      </c>
      <c r="B1978" s="18">
        <f t="shared" si="60"/>
        <v>2019</v>
      </c>
      <c r="C1978" s="18">
        <f t="shared" si="61"/>
        <v>11</v>
      </c>
      <c r="D1978" s="3" t="s">
        <v>203</v>
      </c>
      <c r="E1978" s="3" t="s">
        <v>67</v>
      </c>
      <c r="F1978" s="3" t="s">
        <v>14</v>
      </c>
      <c r="G1978" s="3" t="s">
        <v>24</v>
      </c>
      <c r="H1978" s="3" t="s">
        <v>1829</v>
      </c>
      <c r="I1978" s="11">
        <v>178.92</v>
      </c>
      <c r="J1978" s="18">
        <v>7</v>
      </c>
      <c r="K1978" s="12">
        <v>-29.0745</v>
      </c>
    </row>
    <row r="1979" spans="1:11" x14ac:dyDescent="0.25">
      <c r="A1979" s="4">
        <v>43779</v>
      </c>
      <c r="B1979" s="19">
        <f t="shared" si="60"/>
        <v>2019</v>
      </c>
      <c r="C1979" s="19">
        <f t="shared" si="61"/>
        <v>11</v>
      </c>
      <c r="D1979" s="5" t="s">
        <v>203</v>
      </c>
      <c r="E1979" s="5" t="s">
        <v>67</v>
      </c>
      <c r="F1979" s="5" t="s">
        <v>19</v>
      </c>
      <c r="G1979" s="5" t="s">
        <v>32</v>
      </c>
      <c r="H1979" s="5" t="s">
        <v>1059</v>
      </c>
      <c r="I1979" s="13">
        <v>69.888000000000005</v>
      </c>
      <c r="J1979" s="19">
        <v>7</v>
      </c>
      <c r="K1979" s="14">
        <v>-46.591999999999999</v>
      </c>
    </row>
    <row r="1980" spans="1:11" x14ac:dyDescent="0.25">
      <c r="A1980" s="2">
        <v>43779</v>
      </c>
      <c r="B1980" s="18">
        <f t="shared" si="60"/>
        <v>2019</v>
      </c>
      <c r="C1980" s="18">
        <f t="shared" si="61"/>
        <v>11</v>
      </c>
      <c r="D1980" s="3" t="s">
        <v>1407</v>
      </c>
      <c r="E1980" s="3" t="s">
        <v>23</v>
      </c>
      <c r="F1980" s="3" t="s">
        <v>14</v>
      </c>
      <c r="G1980" s="3" t="s">
        <v>24</v>
      </c>
      <c r="H1980" s="3" t="s">
        <v>1830</v>
      </c>
      <c r="I1980" s="11">
        <v>279.94400000000002</v>
      </c>
      <c r="J1980" s="18">
        <v>7</v>
      </c>
      <c r="K1980" s="12">
        <v>48.990200000000002</v>
      </c>
    </row>
    <row r="1981" spans="1:11" x14ac:dyDescent="0.25">
      <c r="A1981" s="4">
        <v>43779</v>
      </c>
      <c r="B1981" s="19">
        <f t="shared" si="60"/>
        <v>2019</v>
      </c>
      <c r="C1981" s="19">
        <f t="shared" si="61"/>
        <v>11</v>
      </c>
      <c r="D1981" s="5" t="s">
        <v>1831</v>
      </c>
      <c r="E1981" s="5" t="s">
        <v>472</v>
      </c>
      <c r="F1981" s="5" t="s">
        <v>11</v>
      </c>
      <c r="G1981" s="5" t="s">
        <v>51</v>
      </c>
      <c r="H1981" s="5" t="s">
        <v>945</v>
      </c>
      <c r="I1981" s="13">
        <v>37.299999999999997</v>
      </c>
      <c r="J1981" s="19">
        <v>2</v>
      </c>
      <c r="K1981" s="14">
        <v>17.158000000000001</v>
      </c>
    </row>
    <row r="1982" spans="1:11" x14ac:dyDescent="0.25">
      <c r="A1982" s="2">
        <v>43779</v>
      </c>
      <c r="B1982" s="18">
        <f t="shared" si="60"/>
        <v>2019</v>
      </c>
      <c r="C1982" s="18">
        <f t="shared" si="61"/>
        <v>11</v>
      </c>
      <c r="D1982" s="3" t="s">
        <v>1831</v>
      </c>
      <c r="E1982" s="3" t="s">
        <v>472</v>
      </c>
      <c r="F1982" s="3" t="s">
        <v>19</v>
      </c>
      <c r="G1982" s="3" t="s">
        <v>32</v>
      </c>
      <c r="H1982" s="3" t="s">
        <v>1503</v>
      </c>
      <c r="I1982" s="11">
        <v>81.96</v>
      </c>
      <c r="J1982" s="18">
        <v>2</v>
      </c>
      <c r="K1982" s="12">
        <v>39.340800000000002</v>
      </c>
    </row>
    <row r="1983" spans="1:11" x14ac:dyDescent="0.25">
      <c r="A1983" s="4">
        <v>43779</v>
      </c>
      <c r="B1983" s="19">
        <f t="shared" si="60"/>
        <v>2019</v>
      </c>
      <c r="C1983" s="19">
        <f t="shared" si="61"/>
        <v>11</v>
      </c>
      <c r="D1983" s="5" t="s">
        <v>887</v>
      </c>
      <c r="E1983" s="5" t="s">
        <v>94</v>
      </c>
      <c r="F1983" s="5" t="s">
        <v>19</v>
      </c>
      <c r="G1983" s="5" t="s">
        <v>32</v>
      </c>
      <c r="H1983" s="5" t="s">
        <v>1768</v>
      </c>
      <c r="I1983" s="13">
        <v>20.367999999999999</v>
      </c>
      <c r="J1983" s="19">
        <v>1</v>
      </c>
      <c r="K1983" s="14">
        <v>7.3834</v>
      </c>
    </row>
    <row r="1984" spans="1:11" x14ac:dyDescent="0.25">
      <c r="A1984" s="2">
        <v>43779</v>
      </c>
      <c r="B1984" s="18">
        <f t="shared" si="60"/>
        <v>2019</v>
      </c>
      <c r="C1984" s="18">
        <f t="shared" si="61"/>
        <v>11</v>
      </c>
      <c r="D1984" s="3" t="s">
        <v>887</v>
      </c>
      <c r="E1984" s="3" t="s">
        <v>94</v>
      </c>
      <c r="F1984" s="3" t="s">
        <v>19</v>
      </c>
      <c r="G1984" s="3" t="s">
        <v>32</v>
      </c>
      <c r="H1984" s="3" t="s">
        <v>1832</v>
      </c>
      <c r="I1984" s="11">
        <v>49.847999999999999</v>
      </c>
      <c r="J1984" s="18">
        <v>3</v>
      </c>
      <c r="K1984" s="12">
        <v>16.823699999999999</v>
      </c>
    </row>
    <row r="1985" spans="1:11" x14ac:dyDescent="0.25">
      <c r="A1985" s="4">
        <v>43779</v>
      </c>
      <c r="B1985" s="19">
        <f t="shared" si="60"/>
        <v>2019</v>
      </c>
      <c r="C1985" s="19">
        <f t="shared" si="61"/>
        <v>11</v>
      </c>
      <c r="D1985" s="5" t="s">
        <v>1833</v>
      </c>
      <c r="E1985" s="5" t="s">
        <v>18</v>
      </c>
      <c r="F1985" s="5" t="s">
        <v>19</v>
      </c>
      <c r="G1985" s="5" t="s">
        <v>53</v>
      </c>
      <c r="H1985" s="5" t="s">
        <v>711</v>
      </c>
      <c r="I1985" s="13">
        <v>67.709999999999994</v>
      </c>
      <c r="J1985" s="19">
        <v>3</v>
      </c>
      <c r="K1985" s="14">
        <v>32.500799999999998</v>
      </c>
    </row>
    <row r="1986" spans="1:11" x14ac:dyDescent="0.25">
      <c r="A1986" s="2">
        <v>43779</v>
      </c>
      <c r="B1986" s="18">
        <f t="shared" ref="B1986:B2049" si="62">YEAR(A1986)</f>
        <v>2019</v>
      </c>
      <c r="C1986" s="18">
        <f t="shared" ref="C1986:C2049" si="63">MONTH(A1986)</f>
        <v>11</v>
      </c>
      <c r="D1986" s="3" t="s">
        <v>1833</v>
      </c>
      <c r="E1986" s="3" t="s">
        <v>18</v>
      </c>
      <c r="F1986" s="3" t="s">
        <v>19</v>
      </c>
      <c r="G1986" s="3" t="s">
        <v>121</v>
      </c>
      <c r="H1986" s="3" t="s">
        <v>1834</v>
      </c>
      <c r="I1986" s="11">
        <v>129.91999999999999</v>
      </c>
      <c r="J1986" s="18">
        <v>4</v>
      </c>
      <c r="K1986" s="12">
        <v>38.975999999999999</v>
      </c>
    </row>
    <row r="1987" spans="1:11" x14ac:dyDescent="0.25">
      <c r="A1987" s="4">
        <v>43779</v>
      </c>
      <c r="B1987" s="19">
        <f t="shared" si="62"/>
        <v>2019</v>
      </c>
      <c r="C1987" s="19">
        <f t="shared" si="63"/>
        <v>11</v>
      </c>
      <c r="D1987" s="5" t="s">
        <v>1833</v>
      </c>
      <c r="E1987" s="5" t="s">
        <v>18</v>
      </c>
      <c r="F1987" s="5" t="s">
        <v>11</v>
      </c>
      <c r="G1987" s="5" t="s">
        <v>51</v>
      </c>
      <c r="H1987" s="5" t="s">
        <v>1835</v>
      </c>
      <c r="I1987" s="13">
        <v>467.46</v>
      </c>
      <c r="J1987" s="19">
        <v>9</v>
      </c>
      <c r="K1987" s="14">
        <v>191.65860000000001</v>
      </c>
    </row>
    <row r="1988" spans="1:11" x14ac:dyDescent="0.25">
      <c r="A1988" s="2">
        <v>43779</v>
      </c>
      <c r="B1988" s="18">
        <f t="shared" si="62"/>
        <v>2019</v>
      </c>
      <c r="C1988" s="18">
        <f t="shared" si="63"/>
        <v>11</v>
      </c>
      <c r="D1988" s="3" t="s">
        <v>1833</v>
      </c>
      <c r="E1988" s="3" t="s">
        <v>18</v>
      </c>
      <c r="F1988" s="3" t="s">
        <v>19</v>
      </c>
      <c r="G1988" s="3" t="s">
        <v>53</v>
      </c>
      <c r="H1988" s="3" t="s">
        <v>1836</v>
      </c>
      <c r="I1988" s="11">
        <v>61.4</v>
      </c>
      <c r="J1988" s="18">
        <v>5</v>
      </c>
      <c r="K1988" s="12">
        <v>28.858000000000001</v>
      </c>
    </row>
    <row r="1989" spans="1:11" x14ac:dyDescent="0.25">
      <c r="A1989" s="4">
        <v>43779</v>
      </c>
      <c r="B1989" s="19">
        <f t="shared" si="62"/>
        <v>2019</v>
      </c>
      <c r="C1989" s="19">
        <f t="shared" si="63"/>
        <v>11</v>
      </c>
      <c r="D1989" s="5" t="s">
        <v>1833</v>
      </c>
      <c r="E1989" s="5" t="s">
        <v>18</v>
      </c>
      <c r="F1989" s="5" t="s">
        <v>19</v>
      </c>
      <c r="G1989" s="5" t="s">
        <v>20</v>
      </c>
      <c r="H1989" s="5" t="s">
        <v>281</v>
      </c>
      <c r="I1989" s="13">
        <v>720.76</v>
      </c>
      <c r="J1989" s="19">
        <v>4</v>
      </c>
      <c r="K1989" s="14">
        <v>187.39760000000001</v>
      </c>
    </row>
    <row r="1990" spans="1:11" x14ac:dyDescent="0.25">
      <c r="A1990" s="2">
        <v>43779</v>
      </c>
      <c r="B1990" s="18">
        <f t="shared" si="62"/>
        <v>2019</v>
      </c>
      <c r="C1990" s="18">
        <f t="shared" si="63"/>
        <v>11</v>
      </c>
      <c r="D1990" s="3" t="s">
        <v>1833</v>
      </c>
      <c r="E1990" s="3" t="s">
        <v>18</v>
      </c>
      <c r="F1990" s="3" t="s">
        <v>19</v>
      </c>
      <c r="G1990" s="3" t="s">
        <v>32</v>
      </c>
      <c r="H1990" s="3" t="s">
        <v>347</v>
      </c>
      <c r="I1990" s="11">
        <v>5.1840000000000002</v>
      </c>
      <c r="J1990" s="18">
        <v>3</v>
      </c>
      <c r="K1990" s="12">
        <v>1.8144</v>
      </c>
    </row>
    <row r="1991" spans="1:11" x14ac:dyDescent="0.25">
      <c r="A1991" s="4">
        <v>43779</v>
      </c>
      <c r="B1991" s="19">
        <f t="shared" si="62"/>
        <v>2019</v>
      </c>
      <c r="C1991" s="19">
        <f t="shared" si="63"/>
        <v>11</v>
      </c>
      <c r="D1991" s="5" t="s">
        <v>1833</v>
      </c>
      <c r="E1991" s="5" t="s">
        <v>18</v>
      </c>
      <c r="F1991" s="5" t="s">
        <v>19</v>
      </c>
      <c r="G1991" s="5" t="s">
        <v>40</v>
      </c>
      <c r="H1991" s="5" t="s">
        <v>1837</v>
      </c>
      <c r="I1991" s="13">
        <v>14.7</v>
      </c>
      <c r="J1991" s="19">
        <v>5</v>
      </c>
      <c r="K1991" s="14">
        <v>3.9689999999999999</v>
      </c>
    </row>
    <row r="1992" spans="1:11" x14ac:dyDescent="0.25">
      <c r="A1992" s="2">
        <v>43779</v>
      </c>
      <c r="B1992" s="18">
        <f t="shared" si="62"/>
        <v>2019</v>
      </c>
      <c r="C1992" s="18">
        <f t="shared" si="63"/>
        <v>11</v>
      </c>
      <c r="D1992" s="3" t="s">
        <v>177</v>
      </c>
      <c r="E1992" s="3" t="s">
        <v>18</v>
      </c>
      <c r="F1992" s="3" t="s">
        <v>11</v>
      </c>
      <c r="G1992" s="3" t="s">
        <v>51</v>
      </c>
      <c r="H1992" s="3" t="s">
        <v>503</v>
      </c>
      <c r="I1992" s="11">
        <v>9.98</v>
      </c>
      <c r="J1992" s="18">
        <v>1</v>
      </c>
      <c r="K1992" s="12">
        <v>2.7944</v>
      </c>
    </row>
    <row r="1993" spans="1:11" x14ac:dyDescent="0.25">
      <c r="A1993" s="4">
        <v>43779</v>
      </c>
      <c r="B1993" s="19">
        <f t="shared" si="62"/>
        <v>2019</v>
      </c>
      <c r="C1993" s="19">
        <f t="shared" si="63"/>
        <v>11</v>
      </c>
      <c r="D1993" s="5" t="s">
        <v>454</v>
      </c>
      <c r="E1993" s="5" t="s">
        <v>18</v>
      </c>
      <c r="F1993" s="5" t="s">
        <v>19</v>
      </c>
      <c r="G1993" s="5" t="s">
        <v>20</v>
      </c>
      <c r="H1993" s="5" t="s">
        <v>1539</v>
      </c>
      <c r="I1993" s="13">
        <v>29.74</v>
      </c>
      <c r="J1993" s="19">
        <v>1</v>
      </c>
      <c r="K1993" s="14">
        <v>4.4610000000000003</v>
      </c>
    </row>
    <row r="1994" spans="1:11" x14ac:dyDescent="0.25">
      <c r="A1994" s="2">
        <v>43779</v>
      </c>
      <c r="B1994" s="18">
        <f t="shared" si="62"/>
        <v>2019</v>
      </c>
      <c r="C1994" s="18">
        <f t="shared" si="63"/>
        <v>11</v>
      </c>
      <c r="D1994" s="3" t="s">
        <v>1026</v>
      </c>
      <c r="E1994" s="3" t="s">
        <v>67</v>
      </c>
      <c r="F1994" s="3" t="s">
        <v>19</v>
      </c>
      <c r="G1994" s="3" t="s">
        <v>53</v>
      </c>
      <c r="H1994" s="3" t="s">
        <v>600</v>
      </c>
      <c r="I1994" s="11">
        <v>31.103999999999999</v>
      </c>
      <c r="J1994" s="18">
        <v>6</v>
      </c>
      <c r="K1994" s="12">
        <v>10.8864</v>
      </c>
    </row>
    <row r="1995" spans="1:11" x14ac:dyDescent="0.25">
      <c r="A1995" s="4">
        <v>43779</v>
      </c>
      <c r="B1995" s="19">
        <f t="shared" si="62"/>
        <v>2019</v>
      </c>
      <c r="C1995" s="19">
        <f t="shared" si="63"/>
        <v>11</v>
      </c>
      <c r="D1995" s="5" t="s">
        <v>1838</v>
      </c>
      <c r="E1995" s="5" t="s">
        <v>29</v>
      </c>
      <c r="F1995" s="5" t="s">
        <v>14</v>
      </c>
      <c r="G1995" s="5" t="s">
        <v>15</v>
      </c>
      <c r="H1995" s="5" t="s">
        <v>1839</v>
      </c>
      <c r="I1995" s="13">
        <v>221.98</v>
      </c>
      <c r="J1995" s="19">
        <v>2</v>
      </c>
      <c r="K1995" s="14">
        <v>62.154400000000003</v>
      </c>
    </row>
    <row r="1996" spans="1:11" x14ac:dyDescent="0.25">
      <c r="A1996" s="2">
        <v>43779</v>
      </c>
      <c r="B1996" s="18">
        <f t="shared" si="62"/>
        <v>2019</v>
      </c>
      <c r="C1996" s="18">
        <f t="shared" si="63"/>
        <v>11</v>
      </c>
      <c r="D1996" s="3" t="s">
        <v>1838</v>
      </c>
      <c r="E1996" s="3" t="s">
        <v>29</v>
      </c>
      <c r="F1996" s="3" t="s">
        <v>11</v>
      </c>
      <c r="G1996" s="3" t="s">
        <v>12</v>
      </c>
      <c r="H1996" s="3" t="s">
        <v>1840</v>
      </c>
      <c r="I1996" s="11">
        <v>341.96</v>
      </c>
      <c r="J1996" s="18">
        <v>2</v>
      </c>
      <c r="K1996" s="12">
        <v>54.7136</v>
      </c>
    </row>
    <row r="1997" spans="1:11" x14ac:dyDescent="0.25">
      <c r="A1997" s="4">
        <v>43779</v>
      </c>
      <c r="B1997" s="19">
        <f t="shared" si="62"/>
        <v>2019</v>
      </c>
      <c r="C1997" s="19">
        <f t="shared" si="63"/>
        <v>11</v>
      </c>
      <c r="D1997" s="5" t="s">
        <v>1841</v>
      </c>
      <c r="E1997" s="5" t="s">
        <v>94</v>
      </c>
      <c r="F1997" s="5" t="s">
        <v>19</v>
      </c>
      <c r="G1997" s="5" t="s">
        <v>32</v>
      </c>
      <c r="H1997" s="5" t="s">
        <v>190</v>
      </c>
      <c r="I1997" s="13">
        <v>3.64</v>
      </c>
      <c r="J1997" s="19">
        <v>1</v>
      </c>
      <c r="K1997" s="14">
        <v>1.365</v>
      </c>
    </row>
    <row r="1998" spans="1:11" x14ac:dyDescent="0.25">
      <c r="A1998" s="2">
        <v>43779</v>
      </c>
      <c r="B1998" s="18">
        <f t="shared" si="62"/>
        <v>2019</v>
      </c>
      <c r="C1998" s="18">
        <f t="shared" si="63"/>
        <v>11</v>
      </c>
      <c r="D1998" s="3" t="s">
        <v>1841</v>
      </c>
      <c r="E1998" s="3" t="s">
        <v>94</v>
      </c>
      <c r="F1998" s="3" t="s">
        <v>14</v>
      </c>
      <c r="G1998" s="3" t="s">
        <v>15</v>
      </c>
      <c r="H1998" s="3" t="s">
        <v>486</v>
      </c>
      <c r="I1998" s="11">
        <v>881.93</v>
      </c>
      <c r="J1998" s="18">
        <v>7</v>
      </c>
      <c r="K1998" s="12">
        <v>220.48249999999999</v>
      </c>
    </row>
    <row r="1999" spans="1:11" x14ac:dyDescent="0.25">
      <c r="A1999" s="4">
        <v>43780</v>
      </c>
      <c r="B1999" s="19">
        <f t="shared" si="62"/>
        <v>2019</v>
      </c>
      <c r="C1999" s="19">
        <f t="shared" si="63"/>
        <v>11</v>
      </c>
      <c r="D1999" s="5" t="s">
        <v>377</v>
      </c>
      <c r="E1999" s="5" t="s">
        <v>94</v>
      </c>
      <c r="F1999" s="5" t="s">
        <v>14</v>
      </c>
      <c r="G1999" s="5" t="s">
        <v>24</v>
      </c>
      <c r="H1999" s="5" t="s">
        <v>1842</v>
      </c>
      <c r="I1999" s="13">
        <v>59.97</v>
      </c>
      <c r="J1999" s="19">
        <v>3</v>
      </c>
      <c r="K1999" s="14">
        <v>14.9925</v>
      </c>
    </row>
    <row r="2000" spans="1:11" x14ac:dyDescent="0.25">
      <c r="A2000" s="2">
        <v>43780</v>
      </c>
      <c r="B2000" s="18">
        <f t="shared" si="62"/>
        <v>2019</v>
      </c>
      <c r="C2000" s="18">
        <f t="shared" si="63"/>
        <v>11</v>
      </c>
      <c r="D2000" s="3" t="s">
        <v>377</v>
      </c>
      <c r="E2000" s="3" t="s">
        <v>94</v>
      </c>
      <c r="F2000" s="3" t="s">
        <v>19</v>
      </c>
      <c r="G2000" s="3" t="s">
        <v>20</v>
      </c>
      <c r="H2000" s="3" t="s">
        <v>1260</v>
      </c>
      <c r="I2000" s="11">
        <v>83.36</v>
      </c>
      <c r="J2000" s="18">
        <v>1</v>
      </c>
      <c r="K2000" s="12">
        <v>20.84</v>
      </c>
    </row>
    <row r="2001" spans="1:11" x14ac:dyDescent="0.25">
      <c r="A2001" s="4">
        <v>43780</v>
      </c>
      <c r="B2001" s="19">
        <f t="shared" si="62"/>
        <v>2019</v>
      </c>
      <c r="C2001" s="19">
        <f t="shared" si="63"/>
        <v>11</v>
      </c>
      <c r="D2001" s="5" t="s">
        <v>1843</v>
      </c>
      <c r="E2001" s="5" t="s">
        <v>164</v>
      </c>
      <c r="F2001" s="5" t="s">
        <v>14</v>
      </c>
      <c r="G2001" s="5" t="s">
        <v>24</v>
      </c>
      <c r="H2001" s="5" t="s">
        <v>1844</v>
      </c>
      <c r="I2001" s="13">
        <v>95.968000000000004</v>
      </c>
      <c r="J2001" s="19">
        <v>4</v>
      </c>
      <c r="K2001" s="14">
        <v>1.1996</v>
      </c>
    </row>
    <row r="2002" spans="1:11" x14ac:dyDescent="0.25">
      <c r="A2002" s="2">
        <v>43780</v>
      </c>
      <c r="B2002" s="18">
        <f t="shared" si="62"/>
        <v>2019</v>
      </c>
      <c r="C2002" s="18">
        <f t="shared" si="63"/>
        <v>11</v>
      </c>
      <c r="D2002" s="3" t="s">
        <v>1843</v>
      </c>
      <c r="E2002" s="3" t="s">
        <v>164</v>
      </c>
      <c r="F2002" s="3" t="s">
        <v>11</v>
      </c>
      <c r="G2002" s="3" t="s">
        <v>112</v>
      </c>
      <c r="H2002" s="3" t="s">
        <v>579</v>
      </c>
      <c r="I2002" s="11">
        <v>47.991999999999997</v>
      </c>
      <c r="J2002" s="18">
        <v>2</v>
      </c>
      <c r="K2002" s="12">
        <v>-2.0568</v>
      </c>
    </row>
    <row r="2003" spans="1:11" x14ac:dyDescent="0.25">
      <c r="A2003" s="4">
        <v>43780</v>
      </c>
      <c r="B2003" s="19">
        <f t="shared" si="62"/>
        <v>2019</v>
      </c>
      <c r="C2003" s="19">
        <f t="shared" si="63"/>
        <v>11</v>
      </c>
      <c r="D2003" s="5" t="s">
        <v>894</v>
      </c>
      <c r="E2003" s="5" t="s">
        <v>365</v>
      </c>
      <c r="F2003" s="5" t="s">
        <v>14</v>
      </c>
      <c r="G2003" s="5" t="s">
        <v>15</v>
      </c>
      <c r="H2003" s="5" t="s">
        <v>891</v>
      </c>
      <c r="I2003" s="13">
        <v>257.98</v>
      </c>
      <c r="J2003" s="19">
        <v>2</v>
      </c>
      <c r="K2003" s="14">
        <v>74.8142</v>
      </c>
    </row>
    <row r="2004" spans="1:11" x14ac:dyDescent="0.25">
      <c r="A2004" s="2">
        <v>43780</v>
      </c>
      <c r="B2004" s="18">
        <f t="shared" si="62"/>
        <v>2019</v>
      </c>
      <c r="C2004" s="18">
        <f t="shared" si="63"/>
        <v>11</v>
      </c>
      <c r="D2004" s="3" t="s">
        <v>1845</v>
      </c>
      <c r="E2004" s="3" t="s">
        <v>18</v>
      </c>
      <c r="F2004" s="3" t="s">
        <v>11</v>
      </c>
      <c r="G2004" s="3" t="s">
        <v>51</v>
      </c>
      <c r="H2004" s="3" t="s">
        <v>1846</v>
      </c>
      <c r="I2004" s="11">
        <v>6.96</v>
      </c>
      <c r="J2004" s="18">
        <v>4</v>
      </c>
      <c r="K2004" s="12">
        <v>2.2271999999999998</v>
      </c>
    </row>
    <row r="2005" spans="1:11" x14ac:dyDescent="0.25">
      <c r="A2005" s="4">
        <v>43780</v>
      </c>
      <c r="B2005" s="19">
        <f t="shared" si="62"/>
        <v>2019</v>
      </c>
      <c r="C2005" s="19">
        <f t="shared" si="63"/>
        <v>11</v>
      </c>
      <c r="D2005" s="5" t="s">
        <v>1460</v>
      </c>
      <c r="E2005" s="5" t="s">
        <v>44</v>
      </c>
      <c r="F2005" s="5" t="s">
        <v>19</v>
      </c>
      <c r="G2005" s="5" t="s">
        <v>32</v>
      </c>
      <c r="H2005" s="5" t="s">
        <v>819</v>
      </c>
      <c r="I2005" s="13">
        <v>9.8879999999999999</v>
      </c>
      <c r="J2005" s="19">
        <v>2</v>
      </c>
      <c r="K2005" s="14">
        <v>-6.9215999999999998</v>
      </c>
    </row>
    <row r="2006" spans="1:11" x14ac:dyDescent="0.25">
      <c r="A2006" s="2">
        <v>43780</v>
      </c>
      <c r="B2006" s="18">
        <f t="shared" si="62"/>
        <v>2019</v>
      </c>
      <c r="C2006" s="18">
        <f t="shared" si="63"/>
        <v>11</v>
      </c>
      <c r="D2006" s="3" t="s">
        <v>1460</v>
      </c>
      <c r="E2006" s="3" t="s">
        <v>44</v>
      </c>
      <c r="F2006" s="3" t="s">
        <v>19</v>
      </c>
      <c r="G2006" s="3" t="s">
        <v>121</v>
      </c>
      <c r="H2006" s="3" t="s">
        <v>1093</v>
      </c>
      <c r="I2006" s="11">
        <v>671.54399999999998</v>
      </c>
      <c r="J2006" s="18">
        <v>3</v>
      </c>
      <c r="K2006" s="12">
        <v>50.3658</v>
      </c>
    </row>
    <row r="2007" spans="1:11" x14ac:dyDescent="0.25">
      <c r="A2007" s="4">
        <v>43780</v>
      </c>
      <c r="B2007" s="19">
        <f t="shared" si="62"/>
        <v>2019</v>
      </c>
      <c r="C2007" s="19">
        <f t="shared" si="63"/>
        <v>11</v>
      </c>
      <c r="D2007" s="5" t="s">
        <v>592</v>
      </c>
      <c r="E2007" s="5" t="s">
        <v>94</v>
      </c>
      <c r="F2007" s="5" t="s">
        <v>19</v>
      </c>
      <c r="G2007" s="5" t="s">
        <v>20</v>
      </c>
      <c r="H2007" s="5" t="s">
        <v>1048</v>
      </c>
      <c r="I2007" s="13">
        <v>28.14</v>
      </c>
      <c r="J2007" s="19">
        <v>3</v>
      </c>
      <c r="K2007" s="14">
        <v>7.8792</v>
      </c>
    </row>
    <row r="2008" spans="1:11" x14ac:dyDescent="0.25">
      <c r="A2008" s="2">
        <v>43780</v>
      </c>
      <c r="B2008" s="18">
        <f t="shared" si="62"/>
        <v>2019</v>
      </c>
      <c r="C2008" s="18">
        <f t="shared" si="63"/>
        <v>11</v>
      </c>
      <c r="D2008" s="3" t="s">
        <v>592</v>
      </c>
      <c r="E2008" s="3" t="s">
        <v>94</v>
      </c>
      <c r="F2008" s="3" t="s">
        <v>14</v>
      </c>
      <c r="G2008" s="3" t="s">
        <v>24</v>
      </c>
      <c r="H2008" s="3" t="s">
        <v>1803</v>
      </c>
      <c r="I2008" s="11">
        <v>36</v>
      </c>
      <c r="J2008" s="18">
        <v>2</v>
      </c>
      <c r="K2008" s="12">
        <v>6.48</v>
      </c>
    </row>
    <row r="2009" spans="1:11" x14ac:dyDescent="0.25">
      <c r="A2009" s="4">
        <v>43780</v>
      </c>
      <c r="B2009" s="19">
        <f t="shared" si="62"/>
        <v>2019</v>
      </c>
      <c r="C2009" s="19">
        <f t="shared" si="63"/>
        <v>11</v>
      </c>
      <c r="D2009" s="5" t="s">
        <v>592</v>
      </c>
      <c r="E2009" s="5" t="s">
        <v>94</v>
      </c>
      <c r="F2009" s="5" t="s">
        <v>19</v>
      </c>
      <c r="G2009" s="5" t="s">
        <v>40</v>
      </c>
      <c r="H2009" s="5" t="s">
        <v>934</v>
      </c>
      <c r="I2009" s="13">
        <v>92.94</v>
      </c>
      <c r="J2009" s="19">
        <v>3</v>
      </c>
      <c r="K2009" s="14">
        <v>25.093800000000002</v>
      </c>
    </row>
    <row r="2010" spans="1:11" x14ac:dyDescent="0.25">
      <c r="A2010" s="2">
        <v>43780</v>
      </c>
      <c r="B2010" s="18">
        <f t="shared" si="62"/>
        <v>2019</v>
      </c>
      <c r="C2010" s="18">
        <f t="shared" si="63"/>
        <v>11</v>
      </c>
      <c r="D2010" s="3" t="s">
        <v>592</v>
      </c>
      <c r="E2010" s="3" t="s">
        <v>94</v>
      </c>
      <c r="F2010" s="3" t="s">
        <v>11</v>
      </c>
      <c r="G2010" s="3" t="s">
        <v>112</v>
      </c>
      <c r="H2010" s="3" t="s">
        <v>1847</v>
      </c>
      <c r="I2010" s="11">
        <v>245.64599999999999</v>
      </c>
      <c r="J2010" s="18">
        <v>3</v>
      </c>
      <c r="K2010" s="12">
        <v>8.1882000000000001</v>
      </c>
    </row>
    <row r="2011" spans="1:11" x14ac:dyDescent="0.25">
      <c r="A2011" s="4">
        <v>43780</v>
      </c>
      <c r="B2011" s="19">
        <f t="shared" si="62"/>
        <v>2019</v>
      </c>
      <c r="C2011" s="19">
        <f t="shared" si="63"/>
        <v>11</v>
      </c>
      <c r="D2011" s="5" t="s">
        <v>592</v>
      </c>
      <c r="E2011" s="5" t="s">
        <v>94</v>
      </c>
      <c r="F2011" s="5" t="s">
        <v>19</v>
      </c>
      <c r="G2011" s="5" t="s">
        <v>32</v>
      </c>
      <c r="H2011" s="5" t="s">
        <v>1430</v>
      </c>
      <c r="I2011" s="13">
        <v>55.008000000000003</v>
      </c>
      <c r="J2011" s="19">
        <v>3</v>
      </c>
      <c r="K2011" s="14">
        <v>17.190000000000001</v>
      </c>
    </row>
    <row r="2012" spans="1:11" x14ac:dyDescent="0.25">
      <c r="A2012" s="2">
        <v>43780</v>
      </c>
      <c r="B2012" s="18">
        <f t="shared" si="62"/>
        <v>2019</v>
      </c>
      <c r="C2012" s="18">
        <f t="shared" si="63"/>
        <v>11</v>
      </c>
      <c r="D2012" s="3" t="s">
        <v>592</v>
      </c>
      <c r="E2012" s="3" t="s">
        <v>94</v>
      </c>
      <c r="F2012" s="3" t="s">
        <v>19</v>
      </c>
      <c r="G2012" s="3" t="s">
        <v>32</v>
      </c>
      <c r="H2012" s="3" t="s">
        <v>60</v>
      </c>
      <c r="I2012" s="11">
        <v>35.231999999999999</v>
      </c>
      <c r="J2012" s="18">
        <v>3</v>
      </c>
      <c r="K2012" s="12">
        <v>11.4504</v>
      </c>
    </row>
    <row r="2013" spans="1:11" x14ac:dyDescent="0.25">
      <c r="A2013" s="4">
        <v>43780</v>
      </c>
      <c r="B2013" s="19">
        <f t="shared" si="62"/>
        <v>2019</v>
      </c>
      <c r="C2013" s="19">
        <f t="shared" si="63"/>
        <v>11</v>
      </c>
      <c r="D2013" s="5" t="s">
        <v>1848</v>
      </c>
      <c r="E2013" s="5" t="s">
        <v>18</v>
      </c>
      <c r="F2013" s="5" t="s">
        <v>11</v>
      </c>
      <c r="G2013" s="5" t="s">
        <v>51</v>
      </c>
      <c r="H2013" s="5" t="s">
        <v>1849</v>
      </c>
      <c r="I2013" s="13">
        <v>41.96</v>
      </c>
      <c r="J2013" s="19">
        <v>2</v>
      </c>
      <c r="K2013" s="14">
        <v>10.909599999999999</v>
      </c>
    </row>
    <row r="2014" spans="1:11" x14ac:dyDescent="0.25">
      <c r="A2014" s="2">
        <v>43780</v>
      </c>
      <c r="B2014" s="18">
        <f t="shared" si="62"/>
        <v>2019</v>
      </c>
      <c r="C2014" s="18">
        <f t="shared" si="63"/>
        <v>11</v>
      </c>
      <c r="D2014" s="3" t="s">
        <v>1848</v>
      </c>
      <c r="E2014" s="3" t="s">
        <v>18</v>
      </c>
      <c r="F2014" s="3" t="s">
        <v>11</v>
      </c>
      <c r="G2014" s="3" t="s">
        <v>112</v>
      </c>
      <c r="H2014" s="3" t="s">
        <v>1850</v>
      </c>
      <c r="I2014" s="11">
        <v>451.15199999999999</v>
      </c>
      <c r="J2014" s="18">
        <v>3</v>
      </c>
      <c r="K2014" s="12">
        <v>0</v>
      </c>
    </row>
    <row r="2015" spans="1:11" x14ac:dyDescent="0.25">
      <c r="A2015" s="4">
        <v>43780</v>
      </c>
      <c r="B2015" s="19">
        <f t="shared" si="62"/>
        <v>2019</v>
      </c>
      <c r="C2015" s="19">
        <f t="shared" si="63"/>
        <v>11</v>
      </c>
      <c r="D2015" s="5" t="s">
        <v>1848</v>
      </c>
      <c r="E2015" s="5" t="s">
        <v>18</v>
      </c>
      <c r="F2015" s="5" t="s">
        <v>19</v>
      </c>
      <c r="G2015" s="5" t="s">
        <v>32</v>
      </c>
      <c r="H2015" s="5" t="s">
        <v>781</v>
      </c>
      <c r="I2015" s="13">
        <v>31.504000000000001</v>
      </c>
      <c r="J2015" s="19">
        <v>11</v>
      </c>
      <c r="K2015" s="14">
        <v>11.026400000000001</v>
      </c>
    </row>
    <row r="2016" spans="1:11" x14ac:dyDescent="0.25">
      <c r="A2016" s="2">
        <v>43780</v>
      </c>
      <c r="B2016" s="18">
        <f t="shared" si="62"/>
        <v>2019</v>
      </c>
      <c r="C2016" s="18">
        <f t="shared" si="63"/>
        <v>11</v>
      </c>
      <c r="D2016" s="3" t="s">
        <v>884</v>
      </c>
      <c r="E2016" s="3" t="s">
        <v>317</v>
      </c>
      <c r="F2016" s="3" t="s">
        <v>11</v>
      </c>
      <c r="G2016" s="3" t="s">
        <v>30</v>
      </c>
      <c r="H2016" s="3" t="s">
        <v>1851</v>
      </c>
      <c r="I2016" s="11">
        <v>2678.94</v>
      </c>
      <c r="J2016" s="18">
        <v>6</v>
      </c>
      <c r="K2016" s="12">
        <v>241.1046</v>
      </c>
    </row>
    <row r="2017" spans="1:11" x14ac:dyDescent="0.25">
      <c r="A2017" s="4">
        <v>43780</v>
      </c>
      <c r="B2017" s="19">
        <f t="shared" si="62"/>
        <v>2019</v>
      </c>
      <c r="C2017" s="19">
        <f t="shared" si="63"/>
        <v>11</v>
      </c>
      <c r="D2017" s="5" t="s">
        <v>1852</v>
      </c>
      <c r="E2017" s="5" t="s">
        <v>164</v>
      </c>
      <c r="F2017" s="5" t="s">
        <v>19</v>
      </c>
      <c r="G2017" s="5" t="s">
        <v>40</v>
      </c>
      <c r="H2017" s="5" t="s">
        <v>1780</v>
      </c>
      <c r="I2017" s="13">
        <v>14.112</v>
      </c>
      <c r="J2017" s="19">
        <v>6</v>
      </c>
      <c r="K2017" s="14">
        <v>1.2347999999999999</v>
      </c>
    </row>
    <row r="2018" spans="1:11" x14ac:dyDescent="0.25">
      <c r="A2018" s="2">
        <v>43781</v>
      </c>
      <c r="B2018" s="18">
        <f t="shared" si="62"/>
        <v>2019</v>
      </c>
      <c r="C2018" s="18">
        <f t="shared" si="63"/>
        <v>11</v>
      </c>
      <c r="D2018" s="3" t="s">
        <v>910</v>
      </c>
      <c r="E2018" s="3" t="s">
        <v>198</v>
      </c>
      <c r="F2018" s="3" t="s">
        <v>19</v>
      </c>
      <c r="G2018" s="3" t="s">
        <v>32</v>
      </c>
      <c r="H2018" s="3" t="s">
        <v>280</v>
      </c>
      <c r="I2018" s="11">
        <v>6.27</v>
      </c>
      <c r="J2018" s="18">
        <v>5</v>
      </c>
      <c r="K2018" s="12">
        <v>-4.5979999999999999</v>
      </c>
    </row>
    <row r="2019" spans="1:11" x14ac:dyDescent="0.25">
      <c r="A2019" s="4">
        <v>43781</v>
      </c>
      <c r="B2019" s="19">
        <f t="shared" si="62"/>
        <v>2019</v>
      </c>
      <c r="C2019" s="19">
        <f t="shared" si="63"/>
        <v>11</v>
      </c>
      <c r="D2019" s="5" t="s">
        <v>910</v>
      </c>
      <c r="E2019" s="5" t="s">
        <v>198</v>
      </c>
      <c r="F2019" s="5" t="s">
        <v>19</v>
      </c>
      <c r="G2019" s="5" t="s">
        <v>32</v>
      </c>
      <c r="H2019" s="5" t="s">
        <v>688</v>
      </c>
      <c r="I2019" s="13">
        <v>4.3680000000000003</v>
      </c>
      <c r="J2019" s="19">
        <v>7</v>
      </c>
      <c r="K2019" s="14">
        <v>-3.3488000000000002</v>
      </c>
    </row>
    <row r="2020" spans="1:11" x14ac:dyDescent="0.25">
      <c r="A2020" s="2">
        <v>43781</v>
      </c>
      <c r="B2020" s="18">
        <f t="shared" si="62"/>
        <v>2019</v>
      </c>
      <c r="C2020" s="18">
        <f t="shared" si="63"/>
        <v>11</v>
      </c>
      <c r="D2020" s="3" t="s">
        <v>910</v>
      </c>
      <c r="E2020" s="3" t="s">
        <v>198</v>
      </c>
      <c r="F2020" s="3" t="s">
        <v>14</v>
      </c>
      <c r="G2020" s="3" t="s">
        <v>24</v>
      </c>
      <c r="H2020" s="3" t="s">
        <v>1842</v>
      </c>
      <c r="I2020" s="11">
        <v>31.984000000000002</v>
      </c>
      <c r="J2020" s="18">
        <v>2</v>
      </c>
      <c r="K2020" s="12">
        <v>1.9990000000000001</v>
      </c>
    </row>
    <row r="2021" spans="1:11" x14ac:dyDescent="0.25">
      <c r="A2021" s="4">
        <v>43781</v>
      </c>
      <c r="B2021" s="19">
        <f t="shared" si="62"/>
        <v>2019</v>
      </c>
      <c r="C2021" s="19">
        <f t="shared" si="63"/>
        <v>11</v>
      </c>
      <c r="D2021" s="5" t="s">
        <v>1604</v>
      </c>
      <c r="E2021" s="5" t="s">
        <v>317</v>
      </c>
      <c r="F2021" s="5" t="s">
        <v>19</v>
      </c>
      <c r="G2021" s="5" t="s">
        <v>86</v>
      </c>
      <c r="H2021" s="5" t="s">
        <v>1853</v>
      </c>
      <c r="I2021" s="13">
        <v>287.52</v>
      </c>
      <c r="J2021" s="19">
        <v>8</v>
      </c>
      <c r="K2021" s="14">
        <v>129.38399999999999</v>
      </c>
    </row>
    <row r="2022" spans="1:11" x14ac:dyDescent="0.25">
      <c r="A2022" s="2">
        <v>43781</v>
      </c>
      <c r="B2022" s="18">
        <f t="shared" si="62"/>
        <v>2019</v>
      </c>
      <c r="C2022" s="18">
        <f t="shared" si="63"/>
        <v>11</v>
      </c>
      <c r="D2022" s="3" t="s">
        <v>1604</v>
      </c>
      <c r="E2022" s="3" t="s">
        <v>317</v>
      </c>
      <c r="F2022" s="3" t="s">
        <v>19</v>
      </c>
      <c r="G2022" s="3" t="s">
        <v>121</v>
      </c>
      <c r="H2022" s="3" t="s">
        <v>531</v>
      </c>
      <c r="I2022" s="11">
        <v>37.68</v>
      </c>
      <c r="J2022" s="18">
        <v>2</v>
      </c>
      <c r="K2022" s="12">
        <v>10.5504</v>
      </c>
    </row>
    <row r="2023" spans="1:11" x14ac:dyDescent="0.25">
      <c r="A2023" s="4">
        <v>43781</v>
      </c>
      <c r="B2023" s="19">
        <f t="shared" si="62"/>
        <v>2019</v>
      </c>
      <c r="C2023" s="19">
        <f t="shared" si="63"/>
        <v>11</v>
      </c>
      <c r="D2023" s="5" t="s">
        <v>1604</v>
      </c>
      <c r="E2023" s="5" t="s">
        <v>317</v>
      </c>
      <c r="F2023" s="5" t="s">
        <v>19</v>
      </c>
      <c r="G2023" s="5" t="s">
        <v>53</v>
      </c>
      <c r="H2023" s="5" t="s">
        <v>1854</v>
      </c>
      <c r="I2023" s="13">
        <v>19.98</v>
      </c>
      <c r="J2023" s="19">
        <v>2</v>
      </c>
      <c r="K2023" s="14">
        <v>8.9909999999999997</v>
      </c>
    </row>
    <row r="2024" spans="1:11" x14ac:dyDescent="0.25">
      <c r="A2024" s="2">
        <v>43781</v>
      </c>
      <c r="B2024" s="18">
        <f t="shared" si="62"/>
        <v>2019</v>
      </c>
      <c r="C2024" s="18">
        <f t="shared" si="63"/>
        <v>11</v>
      </c>
      <c r="D2024" s="3" t="s">
        <v>1604</v>
      </c>
      <c r="E2024" s="3" t="s">
        <v>317</v>
      </c>
      <c r="F2024" s="3" t="s">
        <v>19</v>
      </c>
      <c r="G2024" s="3" t="s">
        <v>40</v>
      </c>
      <c r="H2024" s="3" t="s">
        <v>1780</v>
      </c>
      <c r="I2024" s="11">
        <v>20.58</v>
      </c>
      <c r="J2024" s="18">
        <v>7</v>
      </c>
      <c r="K2024" s="12">
        <v>5.5566000000000004</v>
      </c>
    </row>
    <row r="2025" spans="1:11" x14ac:dyDescent="0.25">
      <c r="A2025" s="4">
        <v>43781</v>
      </c>
      <c r="B2025" s="19">
        <f t="shared" si="62"/>
        <v>2019</v>
      </c>
      <c r="C2025" s="19">
        <f t="shared" si="63"/>
        <v>11</v>
      </c>
      <c r="D2025" s="5" t="s">
        <v>1604</v>
      </c>
      <c r="E2025" s="5" t="s">
        <v>317</v>
      </c>
      <c r="F2025" s="5" t="s">
        <v>19</v>
      </c>
      <c r="G2025" s="5" t="s">
        <v>32</v>
      </c>
      <c r="H2025" s="5" t="s">
        <v>1855</v>
      </c>
      <c r="I2025" s="13">
        <v>17.38</v>
      </c>
      <c r="J2025" s="19">
        <v>2</v>
      </c>
      <c r="K2025" s="14">
        <v>8.69</v>
      </c>
    </row>
    <row r="2026" spans="1:11" x14ac:dyDescent="0.25">
      <c r="A2026" s="2">
        <v>43781</v>
      </c>
      <c r="B2026" s="18">
        <f t="shared" si="62"/>
        <v>2019</v>
      </c>
      <c r="C2026" s="18">
        <f t="shared" si="63"/>
        <v>11</v>
      </c>
      <c r="D2026" s="3" t="s">
        <v>619</v>
      </c>
      <c r="E2026" s="3" t="s">
        <v>67</v>
      </c>
      <c r="F2026" s="3" t="s">
        <v>11</v>
      </c>
      <c r="G2026" s="3" t="s">
        <v>112</v>
      </c>
      <c r="H2026" s="3" t="s">
        <v>1856</v>
      </c>
      <c r="I2026" s="11">
        <v>1474.8019999999999</v>
      </c>
      <c r="J2026" s="18">
        <v>7</v>
      </c>
      <c r="K2026" s="12">
        <v>-21.0686</v>
      </c>
    </row>
    <row r="2027" spans="1:11" x14ac:dyDescent="0.25">
      <c r="A2027" s="4">
        <v>43781</v>
      </c>
      <c r="B2027" s="19">
        <f t="shared" si="62"/>
        <v>2019</v>
      </c>
      <c r="C2027" s="19">
        <f t="shared" si="63"/>
        <v>11</v>
      </c>
      <c r="D2027" s="5" t="s">
        <v>619</v>
      </c>
      <c r="E2027" s="5" t="s">
        <v>67</v>
      </c>
      <c r="F2027" s="5" t="s">
        <v>19</v>
      </c>
      <c r="G2027" s="5" t="s">
        <v>121</v>
      </c>
      <c r="H2027" s="5" t="s">
        <v>1146</v>
      </c>
      <c r="I2027" s="13">
        <v>110.096</v>
      </c>
      <c r="J2027" s="19">
        <v>2</v>
      </c>
      <c r="K2027" s="14">
        <v>33.028799999999997</v>
      </c>
    </row>
    <row r="2028" spans="1:11" x14ac:dyDescent="0.25">
      <c r="A2028" s="2">
        <v>43781</v>
      </c>
      <c r="B2028" s="18">
        <f t="shared" si="62"/>
        <v>2019</v>
      </c>
      <c r="C2028" s="18">
        <f t="shared" si="63"/>
        <v>11</v>
      </c>
      <c r="D2028" s="3" t="s">
        <v>619</v>
      </c>
      <c r="E2028" s="3" t="s">
        <v>67</v>
      </c>
      <c r="F2028" s="3" t="s">
        <v>19</v>
      </c>
      <c r="G2028" s="3" t="s">
        <v>116</v>
      </c>
      <c r="H2028" s="3" t="s">
        <v>1338</v>
      </c>
      <c r="I2028" s="11">
        <v>16.751999999999999</v>
      </c>
      <c r="J2028" s="18">
        <v>6</v>
      </c>
      <c r="K2028" s="12">
        <v>5.4443999999999999</v>
      </c>
    </row>
    <row r="2029" spans="1:11" x14ac:dyDescent="0.25">
      <c r="A2029" s="4">
        <v>43781</v>
      </c>
      <c r="B2029" s="19">
        <f t="shared" si="62"/>
        <v>2019</v>
      </c>
      <c r="C2029" s="19">
        <f t="shared" si="63"/>
        <v>11</v>
      </c>
      <c r="D2029" s="5" t="s">
        <v>619</v>
      </c>
      <c r="E2029" s="5" t="s">
        <v>67</v>
      </c>
      <c r="F2029" s="5" t="s">
        <v>11</v>
      </c>
      <c r="G2029" s="5" t="s">
        <v>112</v>
      </c>
      <c r="H2029" s="5" t="s">
        <v>537</v>
      </c>
      <c r="I2029" s="13">
        <v>1537.0740000000001</v>
      </c>
      <c r="J2029" s="19">
        <v>9</v>
      </c>
      <c r="K2029" s="14">
        <v>0</v>
      </c>
    </row>
    <row r="2030" spans="1:11" x14ac:dyDescent="0.25">
      <c r="A2030" s="2">
        <v>43781</v>
      </c>
      <c r="B2030" s="18">
        <f t="shared" si="62"/>
        <v>2019</v>
      </c>
      <c r="C2030" s="18">
        <f t="shared" si="63"/>
        <v>11</v>
      </c>
      <c r="D2030" s="3" t="s">
        <v>619</v>
      </c>
      <c r="E2030" s="3" t="s">
        <v>67</v>
      </c>
      <c r="F2030" s="3" t="s">
        <v>11</v>
      </c>
      <c r="G2030" s="3" t="s">
        <v>112</v>
      </c>
      <c r="H2030" s="3" t="s">
        <v>400</v>
      </c>
      <c r="I2030" s="11">
        <v>449.37200000000001</v>
      </c>
      <c r="J2030" s="18">
        <v>2</v>
      </c>
      <c r="K2030" s="12">
        <v>-12.8392</v>
      </c>
    </row>
    <row r="2031" spans="1:11" x14ac:dyDescent="0.25">
      <c r="A2031" s="4">
        <v>43781</v>
      </c>
      <c r="B2031" s="19">
        <f t="shared" si="62"/>
        <v>2019</v>
      </c>
      <c r="C2031" s="19">
        <f t="shared" si="63"/>
        <v>11</v>
      </c>
      <c r="D2031" s="5" t="s">
        <v>48</v>
      </c>
      <c r="E2031" s="5" t="s">
        <v>18</v>
      </c>
      <c r="F2031" s="5" t="s">
        <v>14</v>
      </c>
      <c r="G2031" s="5" t="s">
        <v>15</v>
      </c>
      <c r="H2031" s="5" t="s">
        <v>1454</v>
      </c>
      <c r="I2031" s="13">
        <v>203.976</v>
      </c>
      <c r="J2031" s="19">
        <v>3</v>
      </c>
      <c r="K2031" s="14">
        <v>25.497</v>
      </c>
    </row>
    <row r="2032" spans="1:11" x14ac:dyDescent="0.25">
      <c r="A2032" s="2">
        <v>43781</v>
      </c>
      <c r="B2032" s="18">
        <f t="shared" si="62"/>
        <v>2019</v>
      </c>
      <c r="C2032" s="18">
        <f t="shared" si="63"/>
        <v>11</v>
      </c>
      <c r="D2032" s="3" t="s">
        <v>48</v>
      </c>
      <c r="E2032" s="3" t="s">
        <v>18</v>
      </c>
      <c r="F2032" s="3" t="s">
        <v>11</v>
      </c>
      <c r="G2032" s="3" t="s">
        <v>30</v>
      </c>
      <c r="H2032" s="3" t="s">
        <v>780</v>
      </c>
      <c r="I2032" s="11">
        <v>674.35199999999998</v>
      </c>
      <c r="J2032" s="18">
        <v>3</v>
      </c>
      <c r="K2032" s="12">
        <v>-8.4293999999999993</v>
      </c>
    </row>
    <row r="2033" spans="1:11" x14ac:dyDescent="0.25">
      <c r="A2033" s="4">
        <v>43781</v>
      </c>
      <c r="B2033" s="19">
        <f t="shared" si="62"/>
        <v>2019</v>
      </c>
      <c r="C2033" s="19">
        <f t="shared" si="63"/>
        <v>11</v>
      </c>
      <c r="D2033" s="5" t="s">
        <v>364</v>
      </c>
      <c r="E2033" s="5" t="s">
        <v>164</v>
      </c>
      <c r="F2033" s="5" t="s">
        <v>11</v>
      </c>
      <c r="G2033" s="5" t="s">
        <v>51</v>
      </c>
      <c r="H2033" s="5" t="s">
        <v>392</v>
      </c>
      <c r="I2033" s="13">
        <v>22.751999999999999</v>
      </c>
      <c r="J2033" s="19">
        <v>6</v>
      </c>
      <c r="K2033" s="14">
        <v>-8.532</v>
      </c>
    </row>
    <row r="2034" spans="1:11" x14ac:dyDescent="0.25">
      <c r="A2034" s="2">
        <v>43782</v>
      </c>
      <c r="B2034" s="18">
        <f t="shared" si="62"/>
        <v>2019</v>
      </c>
      <c r="C2034" s="18">
        <f t="shared" si="63"/>
        <v>11</v>
      </c>
      <c r="D2034" s="3" t="s">
        <v>1008</v>
      </c>
      <c r="E2034" s="3" t="s">
        <v>70</v>
      </c>
      <c r="F2034" s="3" t="s">
        <v>19</v>
      </c>
      <c r="G2034" s="3" t="s">
        <v>40</v>
      </c>
      <c r="H2034" s="3" t="s">
        <v>532</v>
      </c>
      <c r="I2034" s="11">
        <v>44.02</v>
      </c>
      <c r="J2034" s="18">
        <v>2</v>
      </c>
      <c r="K2034" s="12">
        <v>11.4452</v>
      </c>
    </row>
    <row r="2035" spans="1:11" x14ac:dyDescent="0.25">
      <c r="A2035" s="4">
        <v>43782</v>
      </c>
      <c r="B2035" s="19">
        <f t="shared" si="62"/>
        <v>2019</v>
      </c>
      <c r="C2035" s="19">
        <f t="shared" si="63"/>
        <v>11</v>
      </c>
      <c r="D2035" s="5" t="s">
        <v>1579</v>
      </c>
      <c r="E2035" s="5" t="s">
        <v>35</v>
      </c>
      <c r="F2035" s="5" t="s">
        <v>19</v>
      </c>
      <c r="G2035" s="5" t="s">
        <v>265</v>
      </c>
      <c r="H2035" s="5" t="s">
        <v>860</v>
      </c>
      <c r="I2035" s="13">
        <v>52.136000000000003</v>
      </c>
      <c r="J2035" s="19">
        <v>7</v>
      </c>
      <c r="K2035" s="14">
        <v>5.8653000000000004</v>
      </c>
    </row>
    <row r="2036" spans="1:11" x14ac:dyDescent="0.25">
      <c r="A2036" s="2">
        <v>43782</v>
      </c>
      <c r="B2036" s="18">
        <f t="shared" si="62"/>
        <v>2019</v>
      </c>
      <c r="C2036" s="18">
        <f t="shared" si="63"/>
        <v>11</v>
      </c>
      <c r="D2036" s="3" t="s">
        <v>1857</v>
      </c>
      <c r="E2036" s="3" t="s">
        <v>70</v>
      </c>
      <c r="F2036" s="3" t="s">
        <v>11</v>
      </c>
      <c r="G2036" s="3" t="s">
        <v>51</v>
      </c>
      <c r="H2036" s="3" t="s">
        <v>776</v>
      </c>
      <c r="I2036" s="11">
        <v>4.18</v>
      </c>
      <c r="J2036" s="18">
        <v>1</v>
      </c>
      <c r="K2036" s="12">
        <v>1.5047999999999999</v>
      </c>
    </row>
    <row r="2037" spans="1:11" x14ac:dyDescent="0.25">
      <c r="A2037" s="4">
        <v>43782</v>
      </c>
      <c r="B2037" s="19">
        <f t="shared" si="62"/>
        <v>2019</v>
      </c>
      <c r="C2037" s="19">
        <f t="shared" si="63"/>
        <v>11</v>
      </c>
      <c r="D2037" s="5" t="s">
        <v>103</v>
      </c>
      <c r="E2037" s="5" t="s">
        <v>39</v>
      </c>
      <c r="F2037" s="5" t="s">
        <v>19</v>
      </c>
      <c r="G2037" s="5" t="s">
        <v>53</v>
      </c>
      <c r="H2037" s="5" t="s">
        <v>205</v>
      </c>
      <c r="I2037" s="13">
        <v>217.05600000000001</v>
      </c>
      <c r="J2037" s="19">
        <v>7</v>
      </c>
      <c r="K2037" s="14">
        <v>78.6828</v>
      </c>
    </row>
    <row r="2038" spans="1:11" x14ac:dyDescent="0.25">
      <c r="A2038" s="2">
        <v>43782</v>
      </c>
      <c r="B2038" s="18">
        <f t="shared" si="62"/>
        <v>2019</v>
      </c>
      <c r="C2038" s="18">
        <f t="shared" si="63"/>
        <v>11</v>
      </c>
      <c r="D2038" s="3" t="s">
        <v>1460</v>
      </c>
      <c r="E2038" s="3" t="s">
        <v>164</v>
      </c>
      <c r="F2038" s="3" t="s">
        <v>19</v>
      </c>
      <c r="G2038" s="3" t="s">
        <v>32</v>
      </c>
      <c r="H2038" s="3" t="s">
        <v>144</v>
      </c>
      <c r="I2038" s="11">
        <v>3.1360000000000001</v>
      </c>
      <c r="J2038" s="18">
        <v>2</v>
      </c>
      <c r="K2038" s="12">
        <v>-4.7039999999999997</v>
      </c>
    </row>
    <row r="2039" spans="1:11" x14ac:dyDescent="0.25">
      <c r="A2039" s="4">
        <v>43782</v>
      </c>
      <c r="B2039" s="19">
        <f t="shared" si="62"/>
        <v>2019</v>
      </c>
      <c r="C2039" s="19">
        <f t="shared" si="63"/>
        <v>11</v>
      </c>
      <c r="D2039" s="5" t="s">
        <v>180</v>
      </c>
      <c r="E2039" s="5" t="s">
        <v>94</v>
      </c>
      <c r="F2039" s="5" t="s">
        <v>19</v>
      </c>
      <c r="G2039" s="5" t="s">
        <v>20</v>
      </c>
      <c r="H2039" s="5" t="s">
        <v>552</v>
      </c>
      <c r="I2039" s="13">
        <v>77.55</v>
      </c>
      <c r="J2039" s="19">
        <v>5</v>
      </c>
      <c r="K2039" s="14">
        <v>20.163</v>
      </c>
    </row>
    <row r="2040" spans="1:11" x14ac:dyDescent="0.25">
      <c r="A2040" s="2">
        <v>43782</v>
      </c>
      <c r="B2040" s="18">
        <f t="shared" si="62"/>
        <v>2019</v>
      </c>
      <c r="C2040" s="18">
        <f t="shared" si="63"/>
        <v>11</v>
      </c>
      <c r="D2040" s="3" t="s">
        <v>180</v>
      </c>
      <c r="E2040" s="3" t="s">
        <v>94</v>
      </c>
      <c r="F2040" s="3" t="s">
        <v>19</v>
      </c>
      <c r="G2040" s="3" t="s">
        <v>20</v>
      </c>
      <c r="H2040" s="3" t="s">
        <v>960</v>
      </c>
      <c r="I2040" s="11">
        <v>24.88</v>
      </c>
      <c r="J2040" s="18">
        <v>2</v>
      </c>
      <c r="K2040" s="12">
        <v>6.9664000000000001</v>
      </c>
    </row>
    <row r="2041" spans="1:11" x14ac:dyDescent="0.25">
      <c r="A2041" s="4">
        <v>43782</v>
      </c>
      <c r="B2041" s="19">
        <f t="shared" si="62"/>
        <v>2019</v>
      </c>
      <c r="C2041" s="19">
        <f t="shared" si="63"/>
        <v>11</v>
      </c>
      <c r="D2041" s="5" t="s">
        <v>180</v>
      </c>
      <c r="E2041" s="5" t="s">
        <v>94</v>
      </c>
      <c r="F2041" s="5" t="s">
        <v>19</v>
      </c>
      <c r="G2041" s="5" t="s">
        <v>40</v>
      </c>
      <c r="H2041" s="5" t="s">
        <v>1858</v>
      </c>
      <c r="I2041" s="13">
        <v>140.75</v>
      </c>
      <c r="J2041" s="19">
        <v>5</v>
      </c>
      <c r="K2041" s="14">
        <v>39.409999999999997</v>
      </c>
    </row>
    <row r="2042" spans="1:11" x14ac:dyDescent="0.25">
      <c r="A2042" s="2">
        <v>43782</v>
      </c>
      <c r="B2042" s="18">
        <f t="shared" si="62"/>
        <v>2019</v>
      </c>
      <c r="C2042" s="18">
        <f t="shared" si="63"/>
        <v>11</v>
      </c>
      <c r="D2042" s="3" t="s">
        <v>180</v>
      </c>
      <c r="E2042" s="3" t="s">
        <v>94</v>
      </c>
      <c r="F2042" s="3" t="s">
        <v>19</v>
      </c>
      <c r="G2042" s="3" t="s">
        <v>20</v>
      </c>
      <c r="H2042" s="3" t="s">
        <v>1859</v>
      </c>
      <c r="I2042" s="11">
        <v>36.630000000000003</v>
      </c>
      <c r="J2042" s="18">
        <v>3</v>
      </c>
      <c r="K2042" s="12">
        <v>9.8901000000000003</v>
      </c>
    </row>
    <row r="2043" spans="1:11" x14ac:dyDescent="0.25">
      <c r="A2043" s="4">
        <v>43782</v>
      </c>
      <c r="B2043" s="19">
        <f t="shared" si="62"/>
        <v>2019</v>
      </c>
      <c r="C2043" s="19">
        <f t="shared" si="63"/>
        <v>11</v>
      </c>
      <c r="D2043" s="5" t="s">
        <v>1418</v>
      </c>
      <c r="E2043" s="5" t="s">
        <v>29</v>
      </c>
      <c r="F2043" s="5" t="s">
        <v>11</v>
      </c>
      <c r="G2043" s="5" t="s">
        <v>51</v>
      </c>
      <c r="H2043" s="5" t="s">
        <v>1860</v>
      </c>
      <c r="I2043" s="13">
        <v>30.36</v>
      </c>
      <c r="J2043" s="19">
        <v>4</v>
      </c>
      <c r="K2043" s="14">
        <v>13.0548</v>
      </c>
    </row>
    <row r="2044" spans="1:11" x14ac:dyDescent="0.25">
      <c r="A2044" s="2">
        <v>43782</v>
      </c>
      <c r="B2044" s="18">
        <f t="shared" si="62"/>
        <v>2019</v>
      </c>
      <c r="C2044" s="18">
        <f t="shared" si="63"/>
        <v>11</v>
      </c>
      <c r="D2044" s="3" t="s">
        <v>1339</v>
      </c>
      <c r="E2044" s="3" t="s">
        <v>94</v>
      </c>
      <c r="F2044" s="3" t="s">
        <v>14</v>
      </c>
      <c r="G2044" s="3" t="s">
        <v>15</v>
      </c>
      <c r="H2044" s="3" t="s">
        <v>1861</v>
      </c>
      <c r="I2044" s="11">
        <v>2279.96</v>
      </c>
      <c r="J2044" s="18">
        <v>4</v>
      </c>
      <c r="K2044" s="12">
        <v>592.78959999999995</v>
      </c>
    </row>
    <row r="2045" spans="1:11" x14ac:dyDescent="0.25">
      <c r="A2045" s="4">
        <v>43782</v>
      </c>
      <c r="B2045" s="19">
        <f t="shared" si="62"/>
        <v>2019</v>
      </c>
      <c r="C2045" s="19">
        <f t="shared" si="63"/>
        <v>11</v>
      </c>
      <c r="D2045" s="5" t="s">
        <v>1339</v>
      </c>
      <c r="E2045" s="5" t="s">
        <v>94</v>
      </c>
      <c r="F2045" s="5" t="s">
        <v>19</v>
      </c>
      <c r="G2045" s="5" t="s">
        <v>127</v>
      </c>
      <c r="H2045" s="5" t="s">
        <v>739</v>
      </c>
      <c r="I2045" s="13">
        <v>14.94</v>
      </c>
      <c r="J2045" s="19">
        <v>3</v>
      </c>
      <c r="K2045" s="14">
        <v>6.8723999999999998</v>
      </c>
    </row>
    <row r="2046" spans="1:11" x14ac:dyDescent="0.25">
      <c r="A2046" s="2">
        <v>43782</v>
      </c>
      <c r="B2046" s="18">
        <f t="shared" si="62"/>
        <v>2019</v>
      </c>
      <c r="C2046" s="18">
        <f t="shared" si="63"/>
        <v>11</v>
      </c>
      <c r="D2046" s="3" t="s">
        <v>1035</v>
      </c>
      <c r="E2046" s="3" t="s">
        <v>70</v>
      </c>
      <c r="F2046" s="3" t="s">
        <v>11</v>
      </c>
      <c r="G2046" s="3" t="s">
        <v>51</v>
      </c>
      <c r="H2046" s="3" t="s">
        <v>787</v>
      </c>
      <c r="I2046" s="11">
        <v>19.54</v>
      </c>
      <c r="J2046" s="18">
        <v>2</v>
      </c>
      <c r="K2046" s="12">
        <v>7.2298</v>
      </c>
    </row>
    <row r="2047" spans="1:11" x14ac:dyDescent="0.25">
      <c r="A2047" s="4">
        <v>43783</v>
      </c>
      <c r="B2047" s="19">
        <f t="shared" si="62"/>
        <v>2019</v>
      </c>
      <c r="C2047" s="19">
        <f t="shared" si="63"/>
        <v>11</v>
      </c>
      <c r="D2047" s="5" t="s">
        <v>1196</v>
      </c>
      <c r="E2047" s="5" t="s">
        <v>109</v>
      </c>
      <c r="F2047" s="5" t="s">
        <v>14</v>
      </c>
      <c r="G2047" s="5" t="s">
        <v>24</v>
      </c>
      <c r="H2047" s="5" t="s">
        <v>1351</v>
      </c>
      <c r="I2047" s="13">
        <v>499.98</v>
      </c>
      <c r="J2047" s="19">
        <v>2</v>
      </c>
      <c r="K2047" s="14">
        <v>114.9954</v>
      </c>
    </row>
    <row r="2048" spans="1:11" x14ac:dyDescent="0.25">
      <c r="A2048" s="2">
        <v>43783</v>
      </c>
      <c r="B2048" s="18">
        <f t="shared" si="62"/>
        <v>2019</v>
      </c>
      <c r="C2048" s="18">
        <f t="shared" si="63"/>
        <v>11</v>
      </c>
      <c r="D2048" s="3" t="s">
        <v>1196</v>
      </c>
      <c r="E2048" s="3" t="s">
        <v>109</v>
      </c>
      <c r="F2048" s="3" t="s">
        <v>19</v>
      </c>
      <c r="G2048" s="3" t="s">
        <v>53</v>
      </c>
      <c r="H2048" s="3" t="s">
        <v>1862</v>
      </c>
      <c r="I2048" s="11">
        <v>5.28</v>
      </c>
      <c r="J2048" s="18">
        <v>1</v>
      </c>
      <c r="K2048" s="12">
        <v>2.3759999999999999</v>
      </c>
    </row>
    <row r="2049" spans="1:11" x14ac:dyDescent="0.25">
      <c r="A2049" s="4">
        <v>43783</v>
      </c>
      <c r="B2049" s="19">
        <f t="shared" si="62"/>
        <v>2019</v>
      </c>
      <c r="C2049" s="19">
        <f t="shared" si="63"/>
        <v>11</v>
      </c>
      <c r="D2049" s="5" t="s">
        <v>1196</v>
      </c>
      <c r="E2049" s="5" t="s">
        <v>109</v>
      </c>
      <c r="F2049" s="5" t="s">
        <v>19</v>
      </c>
      <c r="G2049" s="5" t="s">
        <v>32</v>
      </c>
      <c r="H2049" s="5" t="s">
        <v>1463</v>
      </c>
      <c r="I2049" s="13">
        <v>8.26</v>
      </c>
      <c r="J2049" s="19">
        <v>2</v>
      </c>
      <c r="K2049" s="14">
        <v>3.8822000000000001</v>
      </c>
    </row>
    <row r="2050" spans="1:11" x14ac:dyDescent="0.25">
      <c r="A2050" s="2">
        <v>43783</v>
      </c>
      <c r="B2050" s="18">
        <f t="shared" ref="B2050:B2113" si="64">YEAR(A2050)</f>
        <v>2019</v>
      </c>
      <c r="C2050" s="18">
        <f t="shared" ref="C2050:C2113" si="65">MONTH(A2050)</f>
        <v>11</v>
      </c>
      <c r="D2050" s="3" t="s">
        <v>1863</v>
      </c>
      <c r="E2050" s="3" t="s">
        <v>18</v>
      </c>
      <c r="F2050" s="3" t="s">
        <v>19</v>
      </c>
      <c r="G2050" s="3" t="s">
        <v>127</v>
      </c>
      <c r="H2050" s="3" t="s">
        <v>1101</v>
      </c>
      <c r="I2050" s="11">
        <v>7.38</v>
      </c>
      <c r="J2050" s="18">
        <v>2</v>
      </c>
      <c r="K2050" s="12">
        <v>3.4685999999999999</v>
      </c>
    </row>
    <row r="2051" spans="1:11" x14ac:dyDescent="0.25">
      <c r="A2051" s="4">
        <v>43783</v>
      </c>
      <c r="B2051" s="19">
        <f t="shared" si="64"/>
        <v>2019</v>
      </c>
      <c r="C2051" s="19">
        <f t="shared" si="65"/>
        <v>11</v>
      </c>
      <c r="D2051" s="5" t="s">
        <v>1542</v>
      </c>
      <c r="E2051" s="5" t="s">
        <v>23</v>
      </c>
      <c r="F2051" s="5" t="s">
        <v>19</v>
      </c>
      <c r="G2051" s="5" t="s">
        <v>32</v>
      </c>
      <c r="H2051" s="5" t="s">
        <v>847</v>
      </c>
      <c r="I2051" s="13">
        <v>2.2959999999999998</v>
      </c>
      <c r="J2051" s="19">
        <v>2</v>
      </c>
      <c r="K2051" s="14">
        <v>-3.9032</v>
      </c>
    </row>
    <row r="2052" spans="1:11" x14ac:dyDescent="0.25">
      <c r="A2052" s="2">
        <v>43783</v>
      </c>
      <c r="B2052" s="18">
        <f t="shared" si="64"/>
        <v>2019</v>
      </c>
      <c r="C2052" s="18">
        <f t="shared" si="65"/>
        <v>11</v>
      </c>
      <c r="D2052" s="3" t="s">
        <v>1864</v>
      </c>
      <c r="E2052" s="3" t="s">
        <v>94</v>
      </c>
      <c r="F2052" s="3" t="s">
        <v>11</v>
      </c>
      <c r="G2052" s="3" t="s">
        <v>112</v>
      </c>
      <c r="H2052" s="3" t="s">
        <v>1195</v>
      </c>
      <c r="I2052" s="11">
        <v>408.00599999999997</v>
      </c>
      <c r="J2052" s="18">
        <v>2</v>
      </c>
      <c r="K2052" s="12">
        <v>72.534400000000005</v>
      </c>
    </row>
    <row r="2053" spans="1:11" x14ac:dyDescent="0.25">
      <c r="A2053" s="4">
        <v>43783</v>
      </c>
      <c r="B2053" s="19">
        <f t="shared" si="64"/>
        <v>2019</v>
      </c>
      <c r="C2053" s="19">
        <f t="shared" si="65"/>
        <v>11</v>
      </c>
      <c r="D2053" s="5" t="s">
        <v>1864</v>
      </c>
      <c r="E2053" s="5" t="s">
        <v>94</v>
      </c>
      <c r="F2053" s="5" t="s">
        <v>19</v>
      </c>
      <c r="G2053" s="5" t="s">
        <v>20</v>
      </c>
      <c r="H2053" s="5" t="s">
        <v>1525</v>
      </c>
      <c r="I2053" s="13">
        <v>40.44</v>
      </c>
      <c r="J2053" s="19">
        <v>3</v>
      </c>
      <c r="K2053" s="14">
        <v>10.5144</v>
      </c>
    </row>
    <row r="2054" spans="1:11" x14ac:dyDescent="0.25">
      <c r="A2054" s="2">
        <v>43783</v>
      </c>
      <c r="B2054" s="18">
        <f t="shared" si="64"/>
        <v>2019</v>
      </c>
      <c r="C2054" s="18">
        <f t="shared" si="65"/>
        <v>11</v>
      </c>
      <c r="D2054" s="3" t="s">
        <v>1548</v>
      </c>
      <c r="E2054" s="3" t="s">
        <v>39</v>
      </c>
      <c r="F2054" s="3" t="s">
        <v>11</v>
      </c>
      <c r="G2054" s="3" t="s">
        <v>112</v>
      </c>
      <c r="H2054" s="3" t="s">
        <v>114</v>
      </c>
      <c r="I2054" s="11">
        <v>380.05799999999999</v>
      </c>
      <c r="J2054" s="18">
        <v>3</v>
      </c>
      <c r="K2054" s="12">
        <v>-21.717600000000001</v>
      </c>
    </row>
    <row r="2055" spans="1:11" x14ac:dyDescent="0.25">
      <c r="A2055" s="4">
        <v>43783</v>
      </c>
      <c r="B2055" s="19">
        <f t="shared" si="64"/>
        <v>2019</v>
      </c>
      <c r="C2055" s="19">
        <f t="shared" si="65"/>
        <v>11</v>
      </c>
      <c r="D2055" s="5" t="s">
        <v>1548</v>
      </c>
      <c r="E2055" s="5" t="s">
        <v>39</v>
      </c>
      <c r="F2055" s="5" t="s">
        <v>14</v>
      </c>
      <c r="G2055" s="5" t="s">
        <v>36</v>
      </c>
      <c r="H2055" s="5" t="s">
        <v>1865</v>
      </c>
      <c r="I2055" s="13">
        <v>1199.9760000000001</v>
      </c>
      <c r="J2055" s="19">
        <v>4</v>
      </c>
      <c r="K2055" s="14">
        <v>179.99639999999999</v>
      </c>
    </row>
    <row r="2056" spans="1:11" x14ac:dyDescent="0.25">
      <c r="A2056" s="2">
        <v>43783</v>
      </c>
      <c r="B2056" s="18">
        <f t="shared" si="64"/>
        <v>2019</v>
      </c>
      <c r="C2056" s="18">
        <f t="shared" si="65"/>
        <v>11</v>
      </c>
      <c r="D2056" s="3" t="s">
        <v>1548</v>
      </c>
      <c r="E2056" s="3" t="s">
        <v>39</v>
      </c>
      <c r="F2056" s="3" t="s">
        <v>11</v>
      </c>
      <c r="G2056" s="3" t="s">
        <v>51</v>
      </c>
      <c r="H2056" s="3" t="s">
        <v>1558</v>
      </c>
      <c r="I2056" s="11">
        <v>48.576000000000001</v>
      </c>
      <c r="J2056" s="18">
        <v>3</v>
      </c>
      <c r="K2056" s="12">
        <v>9.7151999999999994</v>
      </c>
    </row>
    <row r="2057" spans="1:11" x14ac:dyDescent="0.25">
      <c r="A2057" s="4">
        <v>43783</v>
      </c>
      <c r="B2057" s="19">
        <f t="shared" si="64"/>
        <v>2019</v>
      </c>
      <c r="C2057" s="19">
        <f t="shared" si="65"/>
        <v>11</v>
      </c>
      <c r="D2057" s="5" t="s">
        <v>160</v>
      </c>
      <c r="E2057" s="5" t="s">
        <v>18</v>
      </c>
      <c r="F2057" s="5" t="s">
        <v>19</v>
      </c>
      <c r="G2057" s="5" t="s">
        <v>40</v>
      </c>
      <c r="H2057" s="5" t="s">
        <v>1080</v>
      </c>
      <c r="I2057" s="13">
        <v>9.84</v>
      </c>
      <c r="J2057" s="19">
        <v>3</v>
      </c>
      <c r="K2057" s="14">
        <v>2.8536000000000001</v>
      </c>
    </row>
    <row r="2058" spans="1:11" x14ac:dyDescent="0.25">
      <c r="A2058" s="2">
        <v>43783</v>
      </c>
      <c r="B2058" s="18">
        <f t="shared" si="64"/>
        <v>2019</v>
      </c>
      <c r="C2058" s="18">
        <f t="shared" si="65"/>
        <v>11</v>
      </c>
      <c r="D2058" s="3" t="s">
        <v>955</v>
      </c>
      <c r="E2058" s="3" t="s">
        <v>309</v>
      </c>
      <c r="F2058" s="3" t="s">
        <v>19</v>
      </c>
      <c r="G2058" s="3" t="s">
        <v>53</v>
      </c>
      <c r="H2058" s="3" t="s">
        <v>1181</v>
      </c>
      <c r="I2058" s="11">
        <v>16.45</v>
      </c>
      <c r="J2058" s="18">
        <v>5</v>
      </c>
      <c r="K2058" s="12">
        <v>7.5670000000000002</v>
      </c>
    </row>
    <row r="2059" spans="1:11" x14ac:dyDescent="0.25">
      <c r="A2059" s="4">
        <v>43783</v>
      </c>
      <c r="B2059" s="19">
        <f t="shared" si="64"/>
        <v>2019</v>
      </c>
      <c r="C2059" s="19">
        <f t="shared" si="65"/>
        <v>11</v>
      </c>
      <c r="D2059" s="5" t="s">
        <v>955</v>
      </c>
      <c r="E2059" s="5" t="s">
        <v>309</v>
      </c>
      <c r="F2059" s="5" t="s">
        <v>11</v>
      </c>
      <c r="G2059" s="5" t="s">
        <v>51</v>
      </c>
      <c r="H2059" s="5" t="s">
        <v>642</v>
      </c>
      <c r="I2059" s="13">
        <v>19.920000000000002</v>
      </c>
      <c r="J2059" s="19">
        <v>4</v>
      </c>
      <c r="K2059" s="14">
        <v>6.5735999999999999</v>
      </c>
    </row>
    <row r="2060" spans="1:11" x14ac:dyDescent="0.25">
      <c r="A2060" s="2">
        <v>43783</v>
      </c>
      <c r="B2060" s="18">
        <f t="shared" si="64"/>
        <v>2019</v>
      </c>
      <c r="C2060" s="18">
        <f t="shared" si="65"/>
        <v>11</v>
      </c>
      <c r="D2060" s="3" t="s">
        <v>1553</v>
      </c>
      <c r="E2060" s="3" t="s">
        <v>10</v>
      </c>
      <c r="F2060" s="3" t="s">
        <v>14</v>
      </c>
      <c r="G2060" s="3" t="s">
        <v>15</v>
      </c>
      <c r="H2060" s="3" t="s">
        <v>1560</v>
      </c>
      <c r="I2060" s="11">
        <v>89.97</v>
      </c>
      <c r="J2060" s="18">
        <v>3</v>
      </c>
      <c r="K2060" s="12">
        <v>25.191600000000001</v>
      </c>
    </row>
    <row r="2061" spans="1:11" x14ac:dyDescent="0.25">
      <c r="A2061" s="4">
        <v>43783</v>
      </c>
      <c r="B2061" s="19">
        <f t="shared" si="64"/>
        <v>2019</v>
      </c>
      <c r="C2061" s="19">
        <f t="shared" si="65"/>
        <v>11</v>
      </c>
      <c r="D2061" s="5" t="s">
        <v>848</v>
      </c>
      <c r="E2061" s="5" t="s">
        <v>94</v>
      </c>
      <c r="F2061" s="5" t="s">
        <v>14</v>
      </c>
      <c r="G2061" s="5" t="s">
        <v>15</v>
      </c>
      <c r="H2061" s="5" t="s">
        <v>1647</v>
      </c>
      <c r="I2061" s="13">
        <v>13.98</v>
      </c>
      <c r="J2061" s="19">
        <v>2</v>
      </c>
      <c r="K2061" s="14">
        <v>3.9144000000000001</v>
      </c>
    </row>
    <row r="2062" spans="1:11" x14ac:dyDescent="0.25">
      <c r="A2062" s="2">
        <v>43783</v>
      </c>
      <c r="B2062" s="18">
        <f t="shared" si="64"/>
        <v>2019</v>
      </c>
      <c r="C2062" s="18">
        <f t="shared" si="65"/>
        <v>11</v>
      </c>
      <c r="D2062" s="3" t="s">
        <v>848</v>
      </c>
      <c r="E2062" s="3" t="s">
        <v>94</v>
      </c>
      <c r="F2062" s="3" t="s">
        <v>19</v>
      </c>
      <c r="G2062" s="3" t="s">
        <v>40</v>
      </c>
      <c r="H2062" s="3" t="s">
        <v>1866</v>
      </c>
      <c r="I2062" s="11">
        <v>23.65</v>
      </c>
      <c r="J2062" s="18">
        <v>1</v>
      </c>
      <c r="K2062" s="12">
        <v>6.149</v>
      </c>
    </row>
    <row r="2063" spans="1:11" x14ac:dyDescent="0.25">
      <c r="A2063" s="4">
        <v>43784</v>
      </c>
      <c r="B2063" s="19">
        <f t="shared" si="64"/>
        <v>2019</v>
      </c>
      <c r="C2063" s="19">
        <f t="shared" si="65"/>
        <v>11</v>
      </c>
      <c r="D2063" s="5" t="s">
        <v>416</v>
      </c>
      <c r="E2063" s="5" t="s">
        <v>18</v>
      </c>
      <c r="F2063" s="5" t="s">
        <v>14</v>
      </c>
      <c r="G2063" s="5" t="s">
        <v>24</v>
      </c>
      <c r="H2063" s="5" t="s">
        <v>760</v>
      </c>
      <c r="I2063" s="13">
        <v>99.39</v>
      </c>
      <c r="J2063" s="19">
        <v>3</v>
      </c>
      <c r="K2063" s="14">
        <v>40.749899999999997</v>
      </c>
    </row>
    <row r="2064" spans="1:11" x14ac:dyDescent="0.25">
      <c r="A2064" s="2">
        <v>43784</v>
      </c>
      <c r="B2064" s="18">
        <f t="shared" si="64"/>
        <v>2019</v>
      </c>
      <c r="C2064" s="18">
        <f t="shared" si="65"/>
        <v>11</v>
      </c>
      <c r="D2064" s="3" t="s">
        <v>1473</v>
      </c>
      <c r="E2064" s="3" t="s">
        <v>18</v>
      </c>
      <c r="F2064" s="3" t="s">
        <v>19</v>
      </c>
      <c r="G2064" s="3" t="s">
        <v>32</v>
      </c>
      <c r="H2064" s="3" t="s">
        <v>178</v>
      </c>
      <c r="I2064" s="11">
        <v>1016.792</v>
      </c>
      <c r="J2064" s="18">
        <v>1</v>
      </c>
      <c r="K2064" s="12">
        <v>381.29700000000003</v>
      </c>
    </row>
    <row r="2065" spans="1:11" x14ac:dyDescent="0.25">
      <c r="A2065" s="4">
        <v>43784</v>
      </c>
      <c r="B2065" s="19">
        <f t="shared" si="64"/>
        <v>2019</v>
      </c>
      <c r="C2065" s="19">
        <f t="shared" si="65"/>
        <v>11</v>
      </c>
      <c r="D2065" s="5" t="s">
        <v>1473</v>
      </c>
      <c r="E2065" s="5" t="s">
        <v>18</v>
      </c>
      <c r="F2065" s="5" t="s">
        <v>19</v>
      </c>
      <c r="G2065" s="5" t="s">
        <v>32</v>
      </c>
      <c r="H2065" s="5" t="s">
        <v>344</v>
      </c>
      <c r="I2065" s="13">
        <v>38.136000000000003</v>
      </c>
      <c r="J2065" s="19">
        <v>7</v>
      </c>
      <c r="K2065" s="14">
        <v>13.3476</v>
      </c>
    </row>
    <row r="2066" spans="1:11" x14ac:dyDescent="0.25">
      <c r="A2066" s="2">
        <v>43784</v>
      </c>
      <c r="B2066" s="18">
        <f t="shared" si="64"/>
        <v>2019</v>
      </c>
      <c r="C2066" s="18">
        <f t="shared" si="65"/>
        <v>11</v>
      </c>
      <c r="D2066" s="3" t="s">
        <v>874</v>
      </c>
      <c r="E2066" s="3" t="s">
        <v>18</v>
      </c>
      <c r="F2066" s="3" t="s">
        <v>14</v>
      </c>
      <c r="G2066" s="3" t="s">
        <v>15</v>
      </c>
      <c r="H2066" s="3" t="s">
        <v>1867</v>
      </c>
      <c r="I2066" s="11">
        <v>361.37599999999998</v>
      </c>
      <c r="J2066" s="18">
        <v>2</v>
      </c>
      <c r="K2066" s="12">
        <v>27.103200000000001</v>
      </c>
    </row>
    <row r="2067" spans="1:11" x14ac:dyDescent="0.25">
      <c r="A2067" s="4">
        <v>43784</v>
      </c>
      <c r="B2067" s="19">
        <f t="shared" si="64"/>
        <v>2019</v>
      </c>
      <c r="C2067" s="19">
        <f t="shared" si="65"/>
        <v>11</v>
      </c>
      <c r="D2067" s="5" t="s">
        <v>305</v>
      </c>
      <c r="E2067" s="5" t="s">
        <v>35</v>
      </c>
      <c r="F2067" s="5" t="s">
        <v>11</v>
      </c>
      <c r="G2067" s="5" t="s">
        <v>30</v>
      </c>
      <c r="H2067" s="5" t="s">
        <v>1470</v>
      </c>
      <c r="I2067" s="13">
        <v>630.024</v>
      </c>
      <c r="J2067" s="19">
        <v>4</v>
      </c>
      <c r="K2067" s="14">
        <v>-199.5076</v>
      </c>
    </row>
    <row r="2068" spans="1:11" x14ac:dyDescent="0.25">
      <c r="A2068" s="2">
        <v>43785</v>
      </c>
      <c r="B2068" s="18">
        <f t="shared" si="64"/>
        <v>2019</v>
      </c>
      <c r="C2068" s="18">
        <f t="shared" si="65"/>
        <v>11</v>
      </c>
      <c r="D2068" s="3" t="s">
        <v>1106</v>
      </c>
      <c r="E2068" s="3" t="s">
        <v>1868</v>
      </c>
      <c r="F2068" s="3" t="s">
        <v>19</v>
      </c>
      <c r="G2068" s="3" t="s">
        <v>86</v>
      </c>
      <c r="H2068" s="3" t="s">
        <v>176</v>
      </c>
      <c r="I2068" s="11">
        <v>28.4</v>
      </c>
      <c r="J2068" s="18">
        <v>5</v>
      </c>
      <c r="K2068" s="12">
        <v>13.348000000000001</v>
      </c>
    </row>
    <row r="2069" spans="1:11" x14ac:dyDescent="0.25">
      <c r="A2069" s="4">
        <v>43785</v>
      </c>
      <c r="B2069" s="19">
        <f t="shared" si="64"/>
        <v>2019</v>
      </c>
      <c r="C2069" s="19">
        <f t="shared" si="65"/>
        <v>11</v>
      </c>
      <c r="D2069" s="5" t="s">
        <v>1492</v>
      </c>
      <c r="E2069" s="5" t="s">
        <v>18</v>
      </c>
      <c r="F2069" s="5" t="s">
        <v>19</v>
      </c>
      <c r="G2069" s="5" t="s">
        <v>32</v>
      </c>
      <c r="H2069" s="5" t="s">
        <v>688</v>
      </c>
      <c r="I2069" s="13">
        <v>8.32</v>
      </c>
      <c r="J2069" s="19">
        <v>5</v>
      </c>
      <c r="K2069" s="14">
        <v>2.8079999999999998</v>
      </c>
    </row>
    <row r="2070" spans="1:11" x14ac:dyDescent="0.25">
      <c r="A2070" s="2">
        <v>43786</v>
      </c>
      <c r="B2070" s="18">
        <f t="shared" si="64"/>
        <v>2019</v>
      </c>
      <c r="C2070" s="18">
        <f t="shared" si="65"/>
        <v>11</v>
      </c>
      <c r="D2070" s="3" t="s">
        <v>200</v>
      </c>
      <c r="E2070" s="3" t="s">
        <v>1868</v>
      </c>
      <c r="F2070" s="3" t="s">
        <v>19</v>
      </c>
      <c r="G2070" s="3" t="s">
        <v>32</v>
      </c>
      <c r="H2070" s="3" t="s">
        <v>539</v>
      </c>
      <c r="I2070" s="11">
        <v>10.776</v>
      </c>
      <c r="J2070" s="18">
        <v>3</v>
      </c>
      <c r="K2070" s="12">
        <v>3.3675000000000002</v>
      </c>
    </row>
    <row r="2071" spans="1:11" x14ac:dyDescent="0.25">
      <c r="A2071" s="4">
        <v>43786</v>
      </c>
      <c r="B2071" s="19">
        <f t="shared" si="64"/>
        <v>2019</v>
      </c>
      <c r="C2071" s="19">
        <f t="shared" si="65"/>
        <v>11</v>
      </c>
      <c r="D2071" s="5" t="s">
        <v>1869</v>
      </c>
      <c r="E2071" s="5" t="s">
        <v>23</v>
      </c>
      <c r="F2071" s="5" t="s">
        <v>14</v>
      </c>
      <c r="G2071" s="5" t="s">
        <v>15</v>
      </c>
      <c r="H2071" s="5" t="s">
        <v>1346</v>
      </c>
      <c r="I2071" s="13">
        <v>67.176000000000002</v>
      </c>
      <c r="J2071" s="19">
        <v>3</v>
      </c>
      <c r="K2071" s="14">
        <v>6.7176</v>
      </c>
    </row>
    <row r="2072" spans="1:11" x14ac:dyDescent="0.25">
      <c r="A2072" s="2">
        <v>43786</v>
      </c>
      <c r="B2072" s="18">
        <f t="shared" si="64"/>
        <v>2019</v>
      </c>
      <c r="C2072" s="18">
        <f t="shared" si="65"/>
        <v>11</v>
      </c>
      <c r="D2072" s="3" t="s">
        <v>1869</v>
      </c>
      <c r="E2072" s="3" t="s">
        <v>23</v>
      </c>
      <c r="F2072" s="3" t="s">
        <v>19</v>
      </c>
      <c r="G2072" s="3" t="s">
        <v>53</v>
      </c>
      <c r="H2072" s="3" t="s">
        <v>851</v>
      </c>
      <c r="I2072" s="11">
        <v>15.231999999999999</v>
      </c>
      <c r="J2072" s="18">
        <v>4</v>
      </c>
      <c r="K2072" s="12">
        <v>5.5216000000000003</v>
      </c>
    </row>
    <row r="2073" spans="1:11" x14ac:dyDescent="0.25">
      <c r="A2073" s="4">
        <v>43786</v>
      </c>
      <c r="B2073" s="19">
        <f t="shared" si="64"/>
        <v>2019</v>
      </c>
      <c r="C2073" s="19">
        <f t="shared" si="65"/>
        <v>11</v>
      </c>
      <c r="D2073" s="5" t="s">
        <v>1611</v>
      </c>
      <c r="E2073" s="5" t="s">
        <v>18</v>
      </c>
      <c r="F2073" s="5" t="s">
        <v>19</v>
      </c>
      <c r="G2073" s="5" t="s">
        <v>265</v>
      </c>
      <c r="H2073" s="5" t="s">
        <v>1870</v>
      </c>
      <c r="I2073" s="13">
        <v>49.5</v>
      </c>
      <c r="J2073" s="19">
        <v>5</v>
      </c>
      <c r="K2073" s="14">
        <v>13.365</v>
      </c>
    </row>
    <row r="2074" spans="1:11" x14ac:dyDescent="0.25">
      <c r="A2074" s="2">
        <v>43787</v>
      </c>
      <c r="B2074" s="18">
        <f t="shared" si="64"/>
        <v>2019</v>
      </c>
      <c r="C2074" s="18">
        <f t="shared" si="65"/>
        <v>11</v>
      </c>
      <c r="D2074" s="3" t="s">
        <v>1042</v>
      </c>
      <c r="E2074" s="3" t="s">
        <v>29</v>
      </c>
      <c r="F2074" s="3" t="s">
        <v>19</v>
      </c>
      <c r="G2074" s="3" t="s">
        <v>20</v>
      </c>
      <c r="H2074" s="3" t="s">
        <v>1871</v>
      </c>
      <c r="I2074" s="11">
        <v>1117.92</v>
      </c>
      <c r="J2074" s="18">
        <v>4</v>
      </c>
      <c r="K2074" s="12">
        <v>55.896000000000001</v>
      </c>
    </row>
    <row r="2075" spans="1:11" x14ac:dyDescent="0.25">
      <c r="A2075" s="4">
        <v>43787</v>
      </c>
      <c r="B2075" s="19">
        <f t="shared" si="64"/>
        <v>2019</v>
      </c>
      <c r="C2075" s="19">
        <f t="shared" si="65"/>
        <v>11</v>
      </c>
      <c r="D2075" s="5" t="s">
        <v>843</v>
      </c>
      <c r="E2075" s="5" t="s">
        <v>23</v>
      </c>
      <c r="F2075" s="5" t="s">
        <v>19</v>
      </c>
      <c r="G2075" s="5" t="s">
        <v>40</v>
      </c>
      <c r="H2075" s="5" t="s">
        <v>816</v>
      </c>
      <c r="I2075" s="13">
        <v>6.3680000000000003</v>
      </c>
      <c r="J2075" s="19">
        <v>2</v>
      </c>
      <c r="K2075" s="14">
        <v>1.0347999999999999</v>
      </c>
    </row>
    <row r="2076" spans="1:11" x14ac:dyDescent="0.25">
      <c r="A2076" s="2">
        <v>43787</v>
      </c>
      <c r="B2076" s="18">
        <f t="shared" si="64"/>
        <v>2019</v>
      </c>
      <c r="C2076" s="18">
        <f t="shared" si="65"/>
        <v>11</v>
      </c>
      <c r="D2076" s="3" t="s">
        <v>843</v>
      </c>
      <c r="E2076" s="3" t="s">
        <v>23</v>
      </c>
      <c r="F2076" s="3" t="s">
        <v>19</v>
      </c>
      <c r="G2076" s="3" t="s">
        <v>127</v>
      </c>
      <c r="H2076" s="3" t="s">
        <v>1100</v>
      </c>
      <c r="I2076" s="11">
        <v>48.847999999999999</v>
      </c>
      <c r="J2076" s="18">
        <v>2</v>
      </c>
      <c r="K2076" s="12">
        <v>15.8756</v>
      </c>
    </row>
    <row r="2077" spans="1:11" x14ac:dyDescent="0.25">
      <c r="A2077" s="4">
        <v>43787</v>
      </c>
      <c r="B2077" s="19">
        <f t="shared" si="64"/>
        <v>2019</v>
      </c>
      <c r="C2077" s="19">
        <f t="shared" si="65"/>
        <v>11</v>
      </c>
      <c r="D2077" s="5" t="s">
        <v>843</v>
      </c>
      <c r="E2077" s="5" t="s">
        <v>23</v>
      </c>
      <c r="F2077" s="5" t="s">
        <v>19</v>
      </c>
      <c r="G2077" s="5" t="s">
        <v>53</v>
      </c>
      <c r="H2077" s="5" t="s">
        <v>730</v>
      </c>
      <c r="I2077" s="13">
        <v>19.648</v>
      </c>
      <c r="J2077" s="19">
        <v>2</v>
      </c>
      <c r="K2077" s="14">
        <v>6.6311999999999998</v>
      </c>
    </row>
    <row r="2078" spans="1:11" x14ac:dyDescent="0.25">
      <c r="A2078" s="2">
        <v>43787</v>
      </c>
      <c r="B2078" s="18">
        <f t="shared" si="64"/>
        <v>2019</v>
      </c>
      <c r="C2078" s="18">
        <f t="shared" si="65"/>
        <v>11</v>
      </c>
      <c r="D2078" s="3" t="s">
        <v>843</v>
      </c>
      <c r="E2078" s="3" t="s">
        <v>23</v>
      </c>
      <c r="F2078" s="3" t="s">
        <v>11</v>
      </c>
      <c r="G2078" s="3" t="s">
        <v>112</v>
      </c>
      <c r="H2078" s="3" t="s">
        <v>524</v>
      </c>
      <c r="I2078" s="11">
        <v>255.108</v>
      </c>
      <c r="J2078" s="18">
        <v>6</v>
      </c>
      <c r="K2078" s="12">
        <v>-18.222000000000001</v>
      </c>
    </row>
    <row r="2079" spans="1:11" x14ac:dyDescent="0.25">
      <c r="A2079" s="4">
        <v>43787</v>
      </c>
      <c r="B2079" s="19">
        <f t="shared" si="64"/>
        <v>2019</v>
      </c>
      <c r="C2079" s="19">
        <f t="shared" si="65"/>
        <v>11</v>
      </c>
      <c r="D2079" s="5" t="s">
        <v>1872</v>
      </c>
      <c r="E2079" s="5" t="s">
        <v>67</v>
      </c>
      <c r="F2079" s="5" t="s">
        <v>19</v>
      </c>
      <c r="G2079" s="5" t="s">
        <v>121</v>
      </c>
      <c r="H2079" s="5" t="s">
        <v>1216</v>
      </c>
      <c r="I2079" s="13">
        <v>103.968</v>
      </c>
      <c r="J2079" s="19">
        <v>6</v>
      </c>
      <c r="K2079" s="14">
        <v>16.8948</v>
      </c>
    </row>
    <row r="2080" spans="1:11" x14ac:dyDescent="0.25">
      <c r="A2080" s="2">
        <v>43787</v>
      </c>
      <c r="B2080" s="18">
        <f t="shared" si="64"/>
        <v>2019</v>
      </c>
      <c r="C2080" s="18">
        <f t="shared" si="65"/>
        <v>11</v>
      </c>
      <c r="D2080" s="3" t="s">
        <v>1254</v>
      </c>
      <c r="E2080" s="3" t="s">
        <v>18</v>
      </c>
      <c r="F2080" s="3" t="s">
        <v>14</v>
      </c>
      <c r="G2080" s="3" t="s">
        <v>15</v>
      </c>
      <c r="H2080" s="3" t="s">
        <v>1873</v>
      </c>
      <c r="I2080" s="11">
        <v>61.192</v>
      </c>
      <c r="J2080" s="18">
        <v>1</v>
      </c>
      <c r="K2080" s="12">
        <v>6.1192000000000002</v>
      </c>
    </row>
    <row r="2081" spans="1:11" x14ac:dyDescent="0.25">
      <c r="A2081" s="4">
        <v>43787</v>
      </c>
      <c r="B2081" s="19">
        <f t="shared" si="64"/>
        <v>2019</v>
      </c>
      <c r="C2081" s="19">
        <f t="shared" si="65"/>
        <v>11</v>
      </c>
      <c r="D2081" s="5" t="s">
        <v>1254</v>
      </c>
      <c r="E2081" s="5" t="s">
        <v>18</v>
      </c>
      <c r="F2081" s="5" t="s">
        <v>19</v>
      </c>
      <c r="G2081" s="5" t="s">
        <v>121</v>
      </c>
      <c r="H2081" s="5" t="s">
        <v>1874</v>
      </c>
      <c r="I2081" s="13">
        <v>67.84</v>
      </c>
      <c r="J2081" s="19">
        <v>1</v>
      </c>
      <c r="K2081" s="14">
        <v>18.316800000000001</v>
      </c>
    </row>
    <row r="2082" spans="1:11" x14ac:dyDescent="0.25">
      <c r="A2082" s="2">
        <v>43787</v>
      </c>
      <c r="B2082" s="18">
        <f t="shared" si="64"/>
        <v>2019</v>
      </c>
      <c r="C2082" s="18">
        <f t="shared" si="65"/>
        <v>11</v>
      </c>
      <c r="D2082" s="3" t="s">
        <v>1875</v>
      </c>
      <c r="E2082" s="3" t="s">
        <v>365</v>
      </c>
      <c r="F2082" s="3" t="s">
        <v>11</v>
      </c>
      <c r="G2082" s="3" t="s">
        <v>112</v>
      </c>
      <c r="H2082" s="3" t="s">
        <v>442</v>
      </c>
      <c r="I2082" s="11">
        <v>301.95999999999998</v>
      </c>
      <c r="J2082" s="18">
        <v>2</v>
      </c>
      <c r="K2082" s="12">
        <v>33.215600000000002</v>
      </c>
    </row>
    <row r="2083" spans="1:11" x14ac:dyDescent="0.25">
      <c r="A2083" s="4">
        <v>43787</v>
      </c>
      <c r="B2083" s="19">
        <f t="shared" si="64"/>
        <v>2019</v>
      </c>
      <c r="C2083" s="19">
        <f t="shared" si="65"/>
        <v>11</v>
      </c>
      <c r="D2083" s="5" t="s">
        <v>973</v>
      </c>
      <c r="E2083" s="5" t="s">
        <v>898</v>
      </c>
      <c r="F2083" s="5" t="s">
        <v>14</v>
      </c>
      <c r="G2083" s="5" t="s">
        <v>24</v>
      </c>
      <c r="H2083" s="5" t="s">
        <v>1876</v>
      </c>
      <c r="I2083" s="13">
        <v>1319.96</v>
      </c>
      <c r="J2083" s="19">
        <v>4</v>
      </c>
      <c r="K2083" s="14">
        <v>527.98400000000004</v>
      </c>
    </row>
    <row r="2084" spans="1:11" x14ac:dyDescent="0.25">
      <c r="A2084" s="2">
        <v>43787</v>
      </c>
      <c r="B2084" s="18">
        <f t="shared" si="64"/>
        <v>2019</v>
      </c>
      <c r="C2084" s="18">
        <f t="shared" si="65"/>
        <v>11</v>
      </c>
      <c r="D2084" s="3" t="s">
        <v>247</v>
      </c>
      <c r="E2084" s="3" t="s">
        <v>18</v>
      </c>
      <c r="F2084" s="3" t="s">
        <v>14</v>
      </c>
      <c r="G2084" s="3" t="s">
        <v>24</v>
      </c>
      <c r="H2084" s="3" t="s">
        <v>1406</v>
      </c>
      <c r="I2084" s="11">
        <v>595</v>
      </c>
      <c r="J2084" s="18">
        <v>5</v>
      </c>
      <c r="K2084" s="12">
        <v>95.2</v>
      </c>
    </row>
    <row r="2085" spans="1:11" x14ac:dyDescent="0.25">
      <c r="A2085" s="4">
        <v>43787</v>
      </c>
      <c r="B2085" s="19">
        <f t="shared" si="64"/>
        <v>2019</v>
      </c>
      <c r="C2085" s="19">
        <f t="shared" si="65"/>
        <v>11</v>
      </c>
      <c r="D2085" s="5" t="s">
        <v>224</v>
      </c>
      <c r="E2085" s="5" t="s">
        <v>18</v>
      </c>
      <c r="F2085" s="5" t="s">
        <v>19</v>
      </c>
      <c r="G2085" s="5" t="s">
        <v>32</v>
      </c>
      <c r="H2085" s="5" t="s">
        <v>1877</v>
      </c>
      <c r="I2085" s="13">
        <v>61.12</v>
      </c>
      <c r="J2085" s="19">
        <v>5</v>
      </c>
      <c r="K2085" s="14">
        <v>22.155999999999999</v>
      </c>
    </row>
    <row r="2086" spans="1:11" x14ac:dyDescent="0.25">
      <c r="A2086" s="2">
        <v>43788</v>
      </c>
      <c r="B2086" s="18">
        <f t="shared" si="64"/>
        <v>2019</v>
      </c>
      <c r="C2086" s="18">
        <f t="shared" si="65"/>
        <v>11</v>
      </c>
      <c r="D2086" s="3" t="s">
        <v>1878</v>
      </c>
      <c r="E2086" s="3" t="s">
        <v>94</v>
      </c>
      <c r="F2086" s="3" t="s">
        <v>19</v>
      </c>
      <c r="G2086" s="3" t="s">
        <v>32</v>
      </c>
      <c r="H2086" s="3" t="s">
        <v>536</v>
      </c>
      <c r="I2086" s="11">
        <v>14.352</v>
      </c>
      <c r="J2086" s="18">
        <v>3</v>
      </c>
      <c r="K2086" s="12">
        <v>4.6643999999999997</v>
      </c>
    </row>
    <row r="2087" spans="1:11" x14ac:dyDescent="0.25">
      <c r="A2087" s="4">
        <v>43788</v>
      </c>
      <c r="B2087" s="19">
        <f t="shared" si="64"/>
        <v>2019</v>
      </c>
      <c r="C2087" s="19">
        <f t="shared" si="65"/>
        <v>11</v>
      </c>
      <c r="D2087" s="5" t="s">
        <v>1878</v>
      </c>
      <c r="E2087" s="5" t="s">
        <v>94</v>
      </c>
      <c r="F2087" s="5" t="s">
        <v>19</v>
      </c>
      <c r="G2087" s="5" t="s">
        <v>20</v>
      </c>
      <c r="H2087" s="5" t="s">
        <v>576</v>
      </c>
      <c r="I2087" s="13">
        <v>64.959999999999994</v>
      </c>
      <c r="J2087" s="19">
        <v>2</v>
      </c>
      <c r="K2087" s="14">
        <v>2.5983999999999998</v>
      </c>
    </row>
    <row r="2088" spans="1:11" x14ac:dyDescent="0.25">
      <c r="A2088" s="2">
        <v>43788</v>
      </c>
      <c r="B2088" s="18">
        <f t="shared" si="64"/>
        <v>2019</v>
      </c>
      <c r="C2088" s="18">
        <f t="shared" si="65"/>
        <v>11</v>
      </c>
      <c r="D2088" s="3" t="s">
        <v>1878</v>
      </c>
      <c r="E2088" s="3" t="s">
        <v>94</v>
      </c>
      <c r="F2088" s="3" t="s">
        <v>19</v>
      </c>
      <c r="G2088" s="3" t="s">
        <v>20</v>
      </c>
      <c r="H2088" s="3" t="s">
        <v>1650</v>
      </c>
      <c r="I2088" s="11">
        <v>68.599999999999994</v>
      </c>
      <c r="J2088" s="18">
        <v>4</v>
      </c>
      <c r="K2088" s="12">
        <v>18.521999999999998</v>
      </c>
    </row>
    <row r="2089" spans="1:11" x14ac:dyDescent="0.25">
      <c r="A2089" s="4">
        <v>43788</v>
      </c>
      <c r="B2089" s="19">
        <f t="shared" si="64"/>
        <v>2019</v>
      </c>
      <c r="C2089" s="19">
        <f t="shared" si="65"/>
        <v>11</v>
      </c>
      <c r="D2089" s="5" t="s">
        <v>100</v>
      </c>
      <c r="E2089" s="5" t="s">
        <v>23</v>
      </c>
      <c r="F2089" s="5" t="s">
        <v>19</v>
      </c>
      <c r="G2089" s="5" t="s">
        <v>20</v>
      </c>
      <c r="H2089" s="5" t="s">
        <v>1631</v>
      </c>
      <c r="I2089" s="13">
        <v>100.70399999999999</v>
      </c>
      <c r="J2089" s="19">
        <v>6</v>
      </c>
      <c r="K2089" s="14">
        <v>-16.3644</v>
      </c>
    </row>
    <row r="2090" spans="1:11" x14ac:dyDescent="0.25">
      <c r="A2090" s="2">
        <v>43788</v>
      </c>
      <c r="B2090" s="18">
        <f t="shared" si="64"/>
        <v>2019</v>
      </c>
      <c r="C2090" s="18">
        <f t="shared" si="65"/>
        <v>11</v>
      </c>
      <c r="D2090" s="3" t="s">
        <v>100</v>
      </c>
      <c r="E2090" s="3" t="s">
        <v>23</v>
      </c>
      <c r="F2090" s="3" t="s">
        <v>11</v>
      </c>
      <c r="G2090" s="3" t="s">
        <v>51</v>
      </c>
      <c r="H2090" s="3" t="s">
        <v>650</v>
      </c>
      <c r="I2090" s="11">
        <v>2.3279999999999998</v>
      </c>
      <c r="J2090" s="18">
        <v>2</v>
      </c>
      <c r="K2090" s="12">
        <v>-0.75660000000000005</v>
      </c>
    </row>
    <row r="2091" spans="1:11" x14ac:dyDescent="0.25">
      <c r="A2091" s="4">
        <v>43788</v>
      </c>
      <c r="B2091" s="19">
        <f t="shared" si="64"/>
        <v>2019</v>
      </c>
      <c r="C2091" s="19">
        <f t="shared" si="65"/>
        <v>11</v>
      </c>
      <c r="D2091" s="5" t="s">
        <v>100</v>
      </c>
      <c r="E2091" s="5" t="s">
        <v>23</v>
      </c>
      <c r="F2091" s="5" t="s">
        <v>19</v>
      </c>
      <c r="G2091" s="5" t="s">
        <v>32</v>
      </c>
      <c r="H2091" s="5" t="s">
        <v>149</v>
      </c>
      <c r="I2091" s="13">
        <v>10.78</v>
      </c>
      <c r="J2091" s="19">
        <v>5</v>
      </c>
      <c r="K2091" s="14">
        <v>-17.248000000000001</v>
      </c>
    </row>
    <row r="2092" spans="1:11" x14ac:dyDescent="0.25">
      <c r="A2092" s="2">
        <v>43788</v>
      </c>
      <c r="B2092" s="18">
        <f t="shared" si="64"/>
        <v>2019</v>
      </c>
      <c r="C2092" s="18">
        <f t="shared" si="65"/>
        <v>11</v>
      </c>
      <c r="D2092" s="3" t="s">
        <v>100</v>
      </c>
      <c r="E2092" s="3" t="s">
        <v>23</v>
      </c>
      <c r="F2092" s="3" t="s">
        <v>19</v>
      </c>
      <c r="G2092" s="3" t="s">
        <v>116</v>
      </c>
      <c r="H2092" s="3" t="s">
        <v>301</v>
      </c>
      <c r="I2092" s="11">
        <v>58.368000000000002</v>
      </c>
      <c r="J2092" s="18">
        <v>12</v>
      </c>
      <c r="K2092" s="12">
        <v>21.888000000000002</v>
      </c>
    </row>
    <row r="2093" spans="1:11" x14ac:dyDescent="0.25">
      <c r="A2093" s="4">
        <v>43788</v>
      </c>
      <c r="B2093" s="19">
        <f t="shared" si="64"/>
        <v>2019</v>
      </c>
      <c r="C2093" s="19">
        <f t="shared" si="65"/>
        <v>11</v>
      </c>
      <c r="D2093" s="5" t="s">
        <v>100</v>
      </c>
      <c r="E2093" s="5" t="s">
        <v>23</v>
      </c>
      <c r="F2093" s="5" t="s">
        <v>19</v>
      </c>
      <c r="G2093" s="5" t="s">
        <v>86</v>
      </c>
      <c r="H2093" s="5" t="s">
        <v>1879</v>
      </c>
      <c r="I2093" s="13">
        <v>40.968000000000004</v>
      </c>
      <c r="J2093" s="19">
        <v>3</v>
      </c>
      <c r="K2093" s="14">
        <v>13.826700000000001</v>
      </c>
    </row>
    <row r="2094" spans="1:11" x14ac:dyDescent="0.25">
      <c r="A2094" s="2">
        <v>43788</v>
      </c>
      <c r="B2094" s="18">
        <f t="shared" si="64"/>
        <v>2019</v>
      </c>
      <c r="C2094" s="18">
        <f t="shared" si="65"/>
        <v>11</v>
      </c>
      <c r="D2094" s="3" t="s">
        <v>100</v>
      </c>
      <c r="E2094" s="3" t="s">
        <v>23</v>
      </c>
      <c r="F2094" s="3" t="s">
        <v>14</v>
      </c>
      <c r="G2094" s="3" t="s">
        <v>15</v>
      </c>
      <c r="H2094" s="3" t="s">
        <v>1257</v>
      </c>
      <c r="I2094" s="11">
        <v>71.959999999999994</v>
      </c>
      <c r="J2094" s="18">
        <v>5</v>
      </c>
      <c r="K2094" s="12">
        <v>25.186</v>
      </c>
    </row>
    <row r="2095" spans="1:11" x14ac:dyDescent="0.25">
      <c r="A2095" s="4">
        <v>43788</v>
      </c>
      <c r="B2095" s="19">
        <f t="shared" si="64"/>
        <v>2019</v>
      </c>
      <c r="C2095" s="19">
        <f t="shared" si="65"/>
        <v>11</v>
      </c>
      <c r="D2095" s="5" t="s">
        <v>100</v>
      </c>
      <c r="E2095" s="5" t="s">
        <v>23</v>
      </c>
      <c r="F2095" s="5" t="s">
        <v>19</v>
      </c>
      <c r="G2095" s="5" t="s">
        <v>53</v>
      </c>
      <c r="H2095" s="5" t="s">
        <v>1651</v>
      </c>
      <c r="I2095" s="13">
        <v>10.368</v>
      </c>
      <c r="J2095" s="19">
        <v>2</v>
      </c>
      <c r="K2095" s="14">
        <v>3.6288</v>
      </c>
    </row>
    <row r="2096" spans="1:11" x14ac:dyDescent="0.25">
      <c r="A2096" s="2">
        <v>43788</v>
      </c>
      <c r="B2096" s="18">
        <f t="shared" si="64"/>
        <v>2019</v>
      </c>
      <c r="C2096" s="18">
        <f t="shared" si="65"/>
        <v>11</v>
      </c>
      <c r="D2096" s="3" t="s">
        <v>100</v>
      </c>
      <c r="E2096" s="3" t="s">
        <v>23</v>
      </c>
      <c r="F2096" s="3" t="s">
        <v>19</v>
      </c>
      <c r="G2096" s="3" t="s">
        <v>32</v>
      </c>
      <c r="H2096" s="3" t="s">
        <v>971</v>
      </c>
      <c r="I2096" s="11">
        <v>1.1919999999999999</v>
      </c>
      <c r="J2096" s="18">
        <v>2</v>
      </c>
      <c r="K2096" s="12">
        <v>-2.0264000000000002</v>
      </c>
    </row>
    <row r="2097" spans="1:11" x14ac:dyDescent="0.25">
      <c r="A2097" s="4">
        <v>43788</v>
      </c>
      <c r="B2097" s="19">
        <f t="shared" si="64"/>
        <v>2019</v>
      </c>
      <c r="C2097" s="19">
        <f t="shared" si="65"/>
        <v>11</v>
      </c>
      <c r="D2097" s="5" t="s">
        <v>1621</v>
      </c>
      <c r="E2097" s="5" t="s">
        <v>94</v>
      </c>
      <c r="F2097" s="5" t="s">
        <v>19</v>
      </c>
      <c r="G2097" s="5" t="s">
        <v>40</v>
      </c>
      <c r="H2097" s="5" t="s">
        <v>1880</v>
      </c>
      <c r="I2097" s="13">
        <v>17.28</v>
      </c>
      <c r="J2097" s="19">
        <v>6</v>
      </c>
      <c r="K2097" s="14">
        <v>5.0111999999999997</v>
      </c>
    </row>
    <row r="2098" spans="1:11" x14ac:dyDescent="0.25">
      <c r="A2098" s="2">
        <v>43788</v>
      </c>
      <c r="B2098" s="18">
        <f t="shared" si="64"/>
        <v>2019</v>
      </c>
      <c r="C2098" s="18">
        <f t="shared" si="65"/>
        <v>11</v>
      </c>
      <c r="D2098" s="3" t="s">
        <v>1621</v>
      </c>
      <c r="E2098" s="3" t="s">
        <v>94</v>
      </c>
      <c r="F2098" s="3" t="s">
        <v>19</v>
      </c>
      <c r="G2098" s="3" t="s">
        <v>32</v>
      </c>
      <c r="H2098" s="3" t="s">
        <v>515</v>
      </c>
      <c r="I2098" s="11">
        <v>17.712</v>
      </c>
      <c r="J2098" s="18">
        <v>3</v>
      </c>
      <c r="K2098" s="12">
        <v>6.4206000000000003</v>
      </c>
    </row>
    <row r="2099" spans="1:11" x14ac:dyDescent="0.25">
      <c r="A2099" s="4">
        <v>43788</v>
      </c>
      <c r="B2099" s="19">
        <f t="shared" si="64"/>
        <v>2019</v>
      </c>
      <c r="C2099" s="19">
        <f t="shared" si="65"/>
        <v>11</v>
      </c>
      <c r="D2099" s="5" t="s">
        <v>1673</v>
      </c>
      <c r="E2099" s="5" t="s">
        <v>317</v>
      </c>
      <c r="F2099" s="5" t="s">
        <v>19</v>
      </c>
      <c r="G2099" s="5" t="s">
        <v>121</v>
      </c>
      <c r="H2099" s="5" t="s">
        <v>1881</v>
      </c>
      <c r="I2099" s="13">
        <v>54.96</v>
      </c>
      <c r="J2099" s="19">
        <v>3</v>
      </c>
      <c r="K2099" s="14">
        <v>15.9384</v>
      </c>
    </row>
    <row r="2100" spans="1:11" x14ac:dyDescent="0.25">
      <c r="A2100" s="2">
        <v>43788</v>
      </c>
      <c r="B2100" s="18">
        <f t="shared" si="64"/>
        <v>2019</v>
      </c>
      <c r="C2100" s="18">
        <f t="shared" si="65"/>
        <v>11</v>
      </c>
      <c r="D2100" s="3" t="s">
        <v>406</v>
      </c>
      <c r="E2100" s="3" t="s">
        <v>35</v>
      </c>
      <c r="F2100" s="3" t="s">
        <v>19</v>
      </c>
      <c r="G2100" s="3" t="s">
        <v>40</v>
      </c>
      <c r="H2100" s="3" t="s">
        <v>1882</v>
      </c>
      <c r="I2100" s="11">
        <v>18.48</v>
      </c>
      <c r="J2100" s="18">
        <v>2</v>
      </c>
      <c r="K2100" s="12">
        <v>6.0060000000000002</v>
      </c>
    </row>
    <row r="2101" spans="1:11" x14ac:dyDescent="0.25">
      <c r="A2101" s="4">
        <v>43788</v>
      </c>
      <c r="B2101" s="19">
        <f t="shared" si="64"/>
        <v>2019</v>
      </c>
      <c r="C2101" s="19">
        <f t="shared" si="65"/>
        <v>11</v>
      </c>
      <c r="D2101" s="5" t="s">
        <v>766</v>
      </c>
      <c r="E2101" s="5" t="s">
        <v>94</v>
      </c>
      <c r="F2101" s="5" t="s">
        <v>19</v>
      </c>
      <c r="G2101" s="5" t="s">
        <v>121</v>
      </c>
      <c r="H2101" s="5" t="s">
        <v>1144</v>
      </c>
      <c r="I2101" s="13">
        <v>8.74</v>
      </c>
      <c r="J2101" s="19">
        <v>2</v>
      </c>
      <c r="K2101" s="14">
        <v>2.2724000000000002</v>
      </c>
    </row>
    <row r="2102" spans="1:11" x14ac:dyDescent="0.25">
      <c r="A2102" s="2">
        <v>43788</v>
      </c>
      <c r="B2102" s="18">
        <f t="shared" si="64"/>
        <v>2019</v>
      </c>
      <c r="C2102" s="18">
        <f t="shared" si="65"/>
        <v>11</v>
      </c>
      <c r="D2102" s="3" t="s">
        <v>766</v>
      </c>
      <c r="E2102" s="3" t="s">
        <v>94</v>
      </c>
      <c r="F2102" s="3" t="s">
        <v>19</v>
      </c>
      <c r="G2102" s="3" t="s">
        <v>53</v>
      </c>
      <c r="H2102" s="3" t="s">
        <v>1725</v>
      </c>
      <c r="I2102" s="11">
        <v>44.75</v>
      </c>
      <c r="J2102" s="18">
        <v>5</v>
      </c>
      <c r="K2102" s="12">
        <v>20.585000000000001</v>
      </c>
    </row>
    <row r="2103" spans="1:11" x14ac:dyDescent="0.25">
      <c r="A2103" s="4">
        <v>43788</v>
      </c>
      <c r="B2103" s="19">
        <f t="shared" si="64"/>
        <v>2019</v>
      </c>
      <c r="C2103" s="19">
        <f t="shared" si="65"/>
        <v>11</v>
      </c>
      <c r="D2103" s="5" t="s">
        <v>1883</v>
      </c>
      <c r="E2103" s="5" t="s">
        <v>70</v>
      </c>
      <c r="F2103" s="5" t="s">
        <v>11</v>
      </c>
      <c r="G2103" s="5" t="s">
        <v>51</v>
      </c>
      <c r="H2103" s="5" t="s">
        <v>1884</v>
      </c>
      <c r="I2103" s="13">
        <v>31.96</v>
      </c>
      <c r="J2103" s="19">
        <v>2</v>
      </c>
      <c r="K2103" s="14">
        <v>1.5980000000000001</v>
      </c>
    </row>
    <row r="2104" spans="1:11" x14ac:dyDescent="0.25">
      <c r="A2104" s="2">
        <v>43789</v>
      </c>
      <c r="B2104" s="18">
        <f t="shared" si="64"/>
        <v>2019</v>
      </c>
      <c r="C2104" s="18">
        <f t="shared" si="65"/>
        <v>11</v>
      </c>
      <c r="D2104" s="3" t="s">
        <v>1246</v>
      </c>
      <c r="E2104" s="3" t="s">
        <v>29</v>
      </c>
      <c r="F2104" s="3" t="s">
        <v>19</v>
      </c>
      <c r="G2104" s="3" t="s">
        <v>127</v>
      </c>
      <c r="H2104" s="3" t="s">
        <v>861</v>
      </c>
      <c r="I2104" s="11">
        <v>14.62</v>
      </c>
      <c r="J2104" s="18">
        <v>2</v>
      </c>
      <c r="K2104" s="12">
        <v>6.8714000000000004</v>
      </c>
    </row>
    <row r="2105" spans="1:11" x14ac:dyDescent="0.25">
      <c r="A2105" s="4">
        <v>43789</v>
      </c>
      <c r="B2105" s="19">
        <f t="shared" si="64"/>
        <v>2019</v>
      </c>
      <c r="C2105" s="19">
        <f t="shared" si="65"/>
        <v>11</v>
      </c>
      <c r="D2105" s="5" t="s">
        <v>1246</v>
      </c>
      <c r="E2105" s="5" t="s">
        <v>29</v>
      </c>
      <c r="F2105" s="5" t="s">
        <v>14</v>
      </c>
      <c r="G2105" s="5" t="s">
        <v>15</v>
      </c>
      <c r="H2105" s="5" t="s">
        <v>1885</v>
      </c>
      <c r="I2105" s="13">
        <v>944.93</v>
      </c>
      <c r="J2105" s="19">
        <v>7</v>
      </c>
      <c r="K2105" s="14">
        <v>236.23249999999999</v>
      </c>
    </row>
    <row r="2106" spans="1:11" x14ac:dyDescent="0.25">
      <c r="A2106" s="2">
        <v>43789</v>
      </c>
      <c r="B2106" s="18">
        <f t="shared" si="64"/>
        <v>2019</v>
      </c>
      <c r="C2106" s="18">
        <f t="shared" si="65"/>
        <v>11</v>
      </c>
      <c r="D2106" s="3" t="s">
        <v>1161</v>
      </c>
      <c r="E2106" s="3" t="s">
        <v>67</v>
      </c>
      <c r="F2106" s="3" t="s">
        <v>19</v>
      </c>
      <c r="G2106" s="3" t="s">
        <v>116</v>
      </c>
      <c r="H2106" s="3" t="s">
        <v>1413</v>
      </c>
      <c r="I2106" s="11">
        <v>19.096</v>
      </c>
      <c r="J2106" s="18">
        <v>7</v>
      </c>
      <c r="K2106" s="12">
        <v>6.6836000000000002</v>
      </c>
    </row>
    <row r="2107" spans="1:11" x14ac:dyDescent="0.25">
      <c r="A2107" s="4">
        <v>43789</v>
      </c>
      <c r="B2107" s="19">
        <f t="shared" si="64"/>
        <v>2019</v>
      </c>
      <c r="C2107" s="19">
        <f t="shared" si="65"/>
        <v>11</v>
      </c>
      <c r="D2107" s="5" t="s">
        <v>1161</v>
      </c>
      <c r="E2107" s="5" t="s">
        <v>67</v>
      </c>
      <c r="F2107" s="5" t="s">
        <v>19</v>
      </c>
      <c r="G2107" s="5" t="s">
        <v>127</v>
      </c>
      <c r="H2107" s="5" t="s">
        <v>159</v>
      </c>
      <c r="I2107" s="13">
        <v>18.495999999999999</v>
      </c>
      <c r="J2107" s="19">
        <v>8</v>
      </c>
      <c r="K2107" s="14">
        <v>6.2423999999999999</v>
      </c>
    </row>
    <row r="2108" spans="1:11" x14ac:dyDescent="0.25">
      <c r="A2108" s="2">
        <v>43789</v>
      </c>
      <c r="B2108" s="18">
        <f t="shared" si="64"/>
        <v>2019</v>
      </c>
      <c r="C2108" s="18">
        <f t="shared" si="65"/>
        <v>11</v>
      </c>
      <c r="D2108" s="3" t="s">
        <v>1161</v>
      </c>
      <c r="E2108" s="3" t="s">
        <v>67</v>
      </c>
      <c r="F2108" s="3" t="s">
        <v>14</v>
      </c>
      <c r="G2108" s="3" t="s">
        <v>24</v>
      </c>
      <c r="H2108" s="3" t="s">
        <v>1819</v>
      </c>
      <c r="I2108" s="11">
        <v>255.98400000000001</v>
      </c>
      <c r="J2108" s="18">
        <v>2</v>
      </c>
      <c r="K2108" s="12">
        <v>54.396599999999999</v>
      </c>
    </row>
    <row r="2109" spans="1:11" x14ac:dyDescent="0.25">
      <c r="A2109" s="4">
        <v>43789</v>
      </c>
      <c r="B2109" s="19">
        <f t="shared" si="64"/>
        <v>2019</v>
      </c>
      <c r="C2109" s="19">
        <f t="shared" si="65"/>
        <v>11</v>
      </c>
      <c r="D2109" s="5" t="s">
        <v>1161</v>
      </c>
      <c r="E2109" s="5" t="s">
        <v>67</v>
      </c>
      <c r="F2109" s="5" t="s">
        <v>11</v>
      </c>
      <c r="G2109" s="5" t="s">
        <v>12</v>
      </c>
      <c r="H2109" s="5" t="s">
        <v>13</v>
      </c>
      <c r="I2109" s="13">
        <v>86.97</v>
      </c>
      <c r="J2109" s="19">
        <v>3</v>
      </c>
      <c r="K2109" s="14">
        <v>-48.703200000000002</v>
      </c>
    </row>
    <row r="2110" spans="1:11" x14ac:dyDescent="0.25">
      <c r="A2110" s="2">
        <v>43789</v>
      </c>
      <c r="B2110" s="18">
        <f t="shared" si="64"/>
        <v>2019</v>
      </c>
      <c r="C2110" s="18">
        <f t="shared" si="65"/>
        <v>11</v>
      </c>
      <c r="D2110" s="3" t="s">
        <v>1886</v>
      </c>
      <c r="E2110" s="3" t="s">
        <v>67</v>
      </c>
      <c r="F2110" s="3" t="s">
        <v>19</v>
      </c>
      <c r="G2110" s="3" t="s">
        <v>53</v>
      </c>
      <c r="H2110" s="3" t="s">
        <v>1887</v>
      </c>
      <c r="I2110" s="11">
        <v>15.696</v>
      </c>
      <c r="J2110" s="18">
        <v>3</v>
      </c>
      <c r="K2110" s="12">
        <v>5.1012000000000004</v>
      </c>
    </row>
    <row r="2111" spans="1:11" x14ac:dyDescent="0.25">
      <c r="A2111" s="4">
        <v>43789</v>
      </c>
      <c r="B2111" s="19">
        <f t="shared" si="64"/>
        <v>2019</v>
      </c>
      <c r="C2111" s="19">
        <f t="shared" si="65"/>
        <v>11</v>
      </c>
      <c r="D2111" s="5" t="s">
        <v>1886</v>
      </c>
      <c r="E2111" s="5" t="s">
        <v>67</v>
      </c>
      <c r="F2111" s="5" t="s">
        <v>19</v>
      </c>
      <c r="G2111" s="5" t="s">
        <v>32</v>
      </c>
      <c r="H2111" s="5" t="s">
        <v>1888</v>
      </c>
      <c r="I2111" s="13">
        <v>2.6280000000000001</v>
      </c>
      <c r="J2111" s="19">
        <v>2</v>
      </c>
      <c r="K2111" s="14">
        <v>-1.9272</v>
      </c>
    </row>
    <row r="2112" spans="1:11" x14ac:dyDescent="0.25">
      <c r="A2112" s="2">
        <v>43789</v>
      </c>
      <c r="B2112" s="18">
        <f t="shared" si="64"/>
        <v>2019</v>
      </c>
      <c r="C2112" s="18">
        <f t="shared" si="65"/>
        <v>11</v>
      </c>
      <c r="D2112" s="3" t="s">
        <v>1886</v>
      </c>
      <c r="E2112" s="3" t="s">
        <v>67</v>
      </c>
      <c r="F2112" s="3" t="s">
        <v>19</v>
      </c>
      <c r="G2112" s="3" t="s">
        <v>32</v>
      </c>
      <c r="H2112" s="3" t="s">
        <v>1889</v>
      </c>
      <c r="I2112" s="11">
        <v>14.427</v>
      </c>
      <c r="J2112" s="18">
        <v>3</v>
      </c>
      <c r="K2112" s="12">
        <v>-10.579800000000001</v>
      </c>
    </row>
    <row r="2113" spans="1:11" x14ac:dyDescent="0.25">
      <c r="A2113" s="4">
        <v>43789</v>
      </c>
      <c r="B2113" s="19">
        <f t="shared" si="64"/>
        <v>2019</v>
      </c>
      <c r="C2113" s="19">
        <f t="shared" si="65"/>
        <v>11</v>
      </c>
      <c r="D2113" s="5" t="s">
        <v>1890</v>
      </c>
      <c r="E2113" s="5" t="s">
        <v>23</v>
      </c>
      <c r="F2113" s="5" t="s">
        <v>11</v>
      </c>
      <c r="G2113" s="5" t="s">
        <v>112</v>
      </c>
      <c r="H2113" s="5" t="s">
        <v>1847</v>
      </c>
      <c r="I2113" s="13">
        <v>318.43</v>
      </c>
      <c r="J2113" s="19">
        <v>5</v>
      </c>
      <c r="K2113" s="14">
        <v>-77.332999999999998</v>
      </c>
    </row>
    <row r="2114" spans="1:11" x14ac:dyDescent="0.25">
      <c r="A2114" s="2">
        <v>43789</v>
      </c>
      <c r="B2114" s="18">
        <f t="shared" ref="B2114:B2177" si="66">YEAR(A2114)</f>
        <v>2019</v>
      </c>
      <c r="C2114" s="18">
        <f t="shared" ref="C2114:C2177" si="67">MONTH(A2114)</f>
        <v>11</v>
      </c>
      <c r="D2114" s="3" t="s">
        <v>1890</v>
      </c>
      <c r="E2114" s="3" t="s">
        <v>23</v>
      </c>
      <c r="F2114" s="3" t="s">
        <v>14</v>
      </c>
      <c r="G2114" s="3" t="s">
        <v>15</v>
      </c>
      <c r="H2114" s="3" t="s">
        <v>1686</v>
      </c>
      <c r="I2114" s="11">
        <v>122.92</v>
      </c>
      <c r="J2114" s="18">
        <v>7</v>
      </c>
      <c r="K2114" s="12">
        <v>46.094999999999999</v>
      </c>
    </row>
    <row r="2115" spans="1:11" x14ac:dyDescent="0.25">
      <c r="A2115" s="4">
        <v>43789</v>
      </c>
      <c r="B2115" s="19">
        <f t="shared" si="66"/>
        <v>2019</v>
      </c>
      <c r="C2115" s="19">
        <f t="shared" si="67"/>
        <v>11</v>
      </c>
      <c r="D2115" s="5" t="s">
        <v>1890</v>
      </c>
      <c r="E2115" s="5" t="s">
        <v>23</v>
      </c>
      <c r="F2115" s="5" t="s">
        <v>11</v>
      </c>
      <c r="G2115" s="5" t="s">
        <v>51</v>
      </c>
      <c r="H2115" s="5" t="s">
        <v>692</v>
      </c>
      <c r="I2115" s="13">
        <v>7.0679999999999996</v>
      </c>
      <c r="J2115" s="19">
        <v>3</v>
      </c>
      <c r="K2115" s="14">
        <v>-2.8271999999999999</v>
      </c>
    </row>
    <row r="2116" spans="1:11" x14ac:dyDescent="0.25">
      <c r="A2116" s="2">
        <v>43789</v>
      </c>
      <c r="B2116" s="18">
        <f t="shared" si="66"/>
        <v>2019</v>
      </c>
      <c r="C2116" s="18">
        <f t="shared" si="67"/>
        <v>11</v>
      </c>
      <c r="D2116" s="3" t="s">
        <v>1891</v>
      </c>
      <c r="E2116" s="3" t="s">
        <v>317</v>
      </c>
      <c r="F2116" s="3" t="s">
        <v>19</v>
      </c>
      <c r="G2116" s="3" t="s">
        <v>53</v>
      </c>
      <c r="H2116" s="3" t="s">
        <v>1892</v>
      </c>
      <c r="I2116" s="11">
        <v>9.08</v>
      </c>
      <c r="J2116" s="18">
        <v>2</v>
      </c>
      <c r="K2116" s="12">
        <v>4.0860000000000003</v>
      </c>
    </row>
    <row r="2117" spans="1:11" x14ac:dyDescent="0.25">
      <c r="A2117" s="4">
        <v>43789</v>
      </c>
      <c r="B2117" s="19">
        <f t="shared" si="66"/>
        <v>2019</v>
      </c>
      <c r="C2117" s="19">
        <f t="shared" si="67"/>
        <v>11</v>
      </c>
      <c r="D2117" s="5" t="s">
        <v>1891</v>
      </c>
      <c r="E2117" s="5" t="s">
        <v>317</v>
      </c>
      <c r="F2117" s="5" t="s">
        <v>19</v>
      </c>
      <c r="G2117" s="5" t="s">
        <v>53</v>
      </c>
      <c r="H2117" s="5" t="s">
        <v>669</v>
      </c>
      <c r="I2117" s="13">
        <v>314.55</v>
      </c>
      <c r="J2117" s="19">
        <v>3</v>
      </c>
      <c r="K2117" s="14">
        <v>150.98400000000001</v>
      </c>
    </row>
    <row r="2118" spans="1:11" x14ac:dyDescent="0.25">
      <c r="A2118" s="2">
        <v>43789</v>
      </c>
      <c r="B2118" s="18">
        <f t="shared" si="66"/>
        <v>2019</v>
      </c>
      <c r="C2118" s="18">
        <f t="shared" si="67"/>
        <v>11</v>
      </c>
      <c r="D2118" s="3" t="s">
        <v>1891</v>
      </c>
      <c r="E2118" s="3" t="s">
        <v>317</v>
      </c>
      <c r="F2118" s="3" t="s">
        <v>19</v>
      </c>
      <c r="G2118" s="3" t="s">
        <v>32</v>
      </c>
      <c r="H2118" s="3" t="s">
        <v>885</v>
      </c>
      <c r="I2118" s="11">
        <v>4.91</v>
      </c>
      <c r="J2118" s="18">
        <v>1</v>
      </c>
      <c r="K2118" s="12">
        <v>2.3077000000000001</v>
      </c>
    </row>
    <row r="2119" spans="1:11" x14ac:dyDescent="0.25">
      <c r="A2119" s="4">
        <v>43789</v>
      </c>
      <c r="B2119" s="19">
        <f t="shared" si="66"/>
        <v>2019</v>
      </c>
      <c r="C2119" s="19">
        <f t="shared" si="67"/>
        <v>11</v>
      </c>
      <c r="D2119" s="5" t="s">
        <v>523</v>
      </c>
      <c r="E2119" s="5" t="s">
        <v>23</v>
      </c>
      <c r="F2119" s="5" t="s">
        <v>14</v>
      </c>
      <c r="G2119" s="5" t="s">
        <v>15</v>
      </c>
      <c r="H2119" s="5" t="s">
        <v>1079</v>
      </c>
      <c r="I2119" s="13">
        <v>151.19200000000001</v>
      </c>
      <c r="J2119" s="19">
        <v>1</v>
      </c>
      <c r="K2119" s="14">
        <v>13.2293</v>
      </c>
    </row>
    <row r="2120" spans="1:11" x14ac:dyDescent="0.25">
      <c r="A2120" s="2">
        <v>43789</v>
      </c>
      <c r="B2120" s="18">
        <f t="shared" si="66"/>
        <v>2019</v>
      </c>
      <c r="C2120" s="18">
        <f t="shared" si="67"/>
        <v>11</v>
      </c>
      <c r="D2120" s="3" t="s">
        <v>1893</v>
      </c>
      <c r="E2120" s="3" t="s">
        <v>18</v>
      </c>
      <c r="F2120" s="3" t="s">
        <v>19</v>
      </c>
      <c r="G2120" s="3" t="s">
        <v>121</v>
      </c>
      <c r="H2120" s="3" t="s">
        <v>1894</v>
      </c>
      <c r="I2120" s="11">
        <v>39</v>
      </c>
      <c r="J2120" s="18">
        <v>12</v>
      </c>
      <c r="K2120" s="12">
        <v>11.31</v>
      </c>
    </row>
    <row r="2121" spans="1:11" x14ac:dyDescent="0.25">
      <c r="A2121" s="4">
        <v>43789</v>
      </c>
      <c r="B2121" s="19">
        <f t="shared" si="66"/>
        <v>2019</v>
      </c>
      <c r="C2121" s="19">
        <f t="shared" si="67"/>
        <v>11</v>
      </c>
      <c r="D2121" s="5" t="s">
        <v>1895</v>
      </c>
      <c r="E2121" s="5" t="s">
        <v>309</v>
      </c>
      <c r="F2121" s="5" t="s">
        <v>19</v>
      </c>
      <c r="G2121" s="5" t="s">
        <v>32</v>
      </c>
      <c r="H2121" s="5" t="s">
        <v>1896</v>
      </c>
      <c r="I2121" s="13">
        <v>128.4</v>
      </c>
      <c r="J2121" s="19">
        <v>3</v>
      </c>
      <c r="K2121" s="14">
        <v>62.915999999999997</v>
      </c>
    </row>
    <row r="2122" spans="1:11" x14ac:dyDescent="0.25">
      <c r="A2122" s="2">
        <v>43789</v>
      </c>
      <c r="B2122" s="18">
        <f t="shared" si="66"/>
        <v>2019</v>
      </c>
      <c r="C2122" s="18">
        <f t="shared" si="67"/>
        <v>11</v>
      </c>
      <c r="D2122" s="3" t="s">
        <v>1897</v>
      </c>
      <c r="E2122" s="3" t="s">
        <v>44</v>
      </c>
      <c r="F2122" s="3" t="s">
        <v>11</v>
      </c>
      <c r="G2122" s="3" t="s">
        <v>12</v>
      </c>
      <c r="H2122" s="3" t="s">
        <v>1151</v>
      </c>
      <c r="I2122" s="11">
        <v>289.56799999999998</v>
      </c>
      <c r="J2122" s="18">
        <v>2</v>
      </c>
      <c r="K2122" s="12">
        <v>10.8588</v>
      </c>
    </row>
    <row r="2123" spans="1:11" x14ac:dyDescent="0.25">
      <c r="A2123" s="4">
        <v>43789</v>
      </c>
      <c r="B2123" s="19">
        <f t="shared" si="66"/>
        <v>2019</v>
      </c>
      <c r="C2123" s="19">
        <f t="shared" si="67"/>
        <v>11</v>
      </c>
      <c r="D2123" s="5" t="s">
        <v>1897</v>
      </c>
      <c r="E2123" s="5" t="s">
        <v>44</v>
      </c>
      <c r="F2123" s="5" t="s">
        <v>19</v>
      </c>
      <c r="G2123" s="5" t="s">
        <v>20</v>
      </c>
      <c r="H2123" s="5" t="s">
        <v>1898</v>
      </c>
      <c r="I2123" s="13">
        <v>39.72</v>
      </c>
      <c r="J2123" s="19">
        <v>5</v>
      </c>
      <c r="K2123" s="14">
        <v>4.4684999999999997</v>
      </c>
    </row>
    <row r="2124" spans="1:11" x14ac:dyDescent="0.25">
      <c r="A2124" s="2">
        <v>43789</v>
      </c>
      <c r="B2124" s="18">
        <f t="shared" si="66"/>
        <v>2019</v>
      </c>
      <c r="C2124" s="18">
        <f t="shared" si="67"/>
        <v>11</v>
      </c>
      <c r="D2124" s="3" t="s">
        <v>1897</v>
      </c>
      <c r="E2124" s="3" t="s">
        <v>44</v>
      </c>
      <c r="F2124" s="3" t="s">
        <v>14</v>
      </c>
      <c r="G2124" s="3" t="s">
        <v>15</v>
      </c>
      <c r="H2124" s="3" t="s">
        <v>1873</v>
      </c>
      <c r="I2124" s="11">
        <v>244.768</v>
      </c>
      <c r="J2124" s="18">
        <v>4</v>
      </c>
      <c r="K2124" s="12">
        <v>24.476800000000001</v>
      </c>
    </row>
    <row r="2125" spans="1:11" x14ac:dyDescent="0.25">
      <c r="A2125" s="4">
        <v>43789</v>
      </c>
      <c r="B2125" s="19">
        <f t="shared" si="66"/>
        <v>2019</v>
      </c>
      <c r="C2125" s="19">
        <f t="shared" si="67"/>
        <v>11</v>
      </c>
      <c r="D2125" s="5" t="s">
        <v>9</v>
      </c>
      <c r="E2125" s="5" t="s">
        <v>18</v>
      </c>
      <c r="F2125" s="5" t="s">
        <v>14</v>
      </c>
      <c r="G2125" s="5" t="s">
        <v>24</v>
      </c>
      <c r="H2125" s="5" t="s">
        <v>1325</v>
      </c>
      <c r="I2125" s="13">
        <v>27.88</v>
      </c>
      <c r="J2125" s="19">
        <v>2</v>
      </c>
      <c r="K2125" s="14">
        <v>3.9032</v>
      </c>
    </row>
    <row r="2126" spans="1:11" x14ac:dyDescent="0.25">
      <c r="A2126" s="2">
        <v>43790</v>
      </c>
      <c r="B2126" s="18">
        <f t="shared" si="66"/>
        <v>2019</v>
      </c>
      <c r="C2126" s="18">
        <f t="shared" si="67"/>
        <v>11</v>
      </c>
      <c r="D2126" s="3" t="s">
        <v>556</v>
      </c>
      <c r="E2126" s="3" t="s">
        <v>465</v>
      </c>
      <c r="F2126" s="3" t="s">
        <v>11</v>
      </c>
      <c r="G2126" s="3" t="s">
        <v>112</v>
      </c>
      <c r="H2126" s="3" t="s">
        <v>936</v>
      </c>
      <c r="I2126" s="11">
        <v>195.136</v>
      </c>
      <c r="J2126" s="18">
        <v>4</v>
      </c>
      <c r="K2126" s="12">
        <v>-12.196</v>
      </c>
    </row>
    <row r="2127" spans="1:11" x14ac:dyDescent="0.25">
      <c r="A2127" s="4">
        <v>43790</v>
      </c>
      <c r="B2127" s="19">
        <f t="shared" si="66"/>
        <v>2019</v>
      </c>
      <c r="C2127" s="19">
        <f t="shared" si="67"/>
        <v>11</v>
      </c>
      <c r="D2127" s="5" t="s">
        <v>1081</v>
      </c>
      <c r="E2127" s="5" t="s">
        <v>1350</v>
      </c>
      <c r="F2127" s="5" t="s">
        <v>19</v>
      </c>
      <c r="G2127" s="5" t="s">
        <v>53</v>
      </c>
      <c r="H2127" s="5" t="s">
        <v>1899</v>
      </c>
      <c r="I2127" s="13">
        <v>40.46</v>
      </c>
      <c r="J2127" s="19">
        <v>7</v>
      </c>
      <c r="K2127" s="14">
        <v>19.825399999999998</v>
      </c>
    </row>
    <row r="2128" spans="1:11" x14ac:dyDescent="0.25">
      <c r="A2128" s="2">
        <v>43790</v>
      </c>
      <c r="B2128" s="18">
        <f t="shared" si="66"/>
        <v>2019</v>
      </c>
      <c r="C2128" s="18">
        <f t="shared" si="67"/>
        <v>11</v>
      </c>
      <c r="D2128" s="3" t="s">
        <v>1081</v>
      </c>
      <c r="E2128" s="3" t="s">
        <v>1350</v>
      </c>
      <c r="F2128" s="3" t="s">
        <v>14</v>
      </c>
      <c r="G2128" s="3" t="s">
        <v>15</v>
      </c>
      <c r="H2128" s="3" t="s">
        <v>1190</v>
      </c>
      <c r="I2128" s="11">
        <v>404.94</v>
      </c>
      <c r="J2128" s="18">
        <v>3</v>
      </c>
      <c r="K2128" s="12">
        <v>109.3338</v>
      </c>
    </row>
    <row r="2129" spans="1:11" x14ac:dyDescent="0.25">
      <c r="A2129" s="4">
        <v>43790</v>
      </c>
      <c r="B2129" s="19">
        <f t="shared" si="66"/>
        <v>2019</v>
      </c>
      <c r="C2129" s="19">
        <f t="shared" si="67"/>
        <v>11</v>
      </c>
      <c r="D2129" s="5" t="s">
        <v>992</v>
      </c>
      <c r="E2129" s="5" t="s">
        <v>67</v>
      </c>
      <c r="F2129" s="5" t="s">
        <v>14</v>
      </c>
      <c r="G2129" s="5" t="s">
        <v>188</v>
      </c>
      <c r="H2129" s="5" t="s">
        <v>1900</v>
      </c>
      <c r="I2129" s="13">
        <v>30.344999999999999</v>
      </c>
      <c r="J2129" s="19">
        <v>7</v>
      </c>
      <c r="K2129" s="14">
        <v>-24.276</v>
      </c>
    </row>
    <row r="2130" spans="1:11" x14ac:dyDescent="0.25">
      <c r="A2130" s="2">
        <v>43790</v>
      </c>
      <c r="B2130" s="18">
        <f t="shared" si="66"/>
        <v>2019</v>
      </c>
      <c r="C2130" s="18">
        <f t="shared" si="67"/>
        <v>11</v>
      </c>
      <c r="D2130" s="3" t="s">
        <v>992</v>
      </c>
      <c r="E2130" s="3" t="s">
        <v>67</v>
      </c>
      <c r="F2130" s="3" t="s">
        <v>11</v>
      </c>
      <c r="G2130" s="3" t="s">
        <v>112</v>
      </c>
      <c r="H2130" s="3" t="s">
        <v>524</v>
      </c>
      <c r="I2130" s="11">
        <v>127.554</v>
      </c>
      <c r="J2130" s="18">
        <v>3</v>
      </c>
      <c r="K2130" s="12">
        <v>-9.1110000000000007</v>
      </c>
    </row>
    <row r="2131" spans="1:11" x14ac:dyDescent="0.25">
      <c r="A2131" s="4">
        <v>43790</v>
      </c>
      <c r="B2131" s="19">
        <f t="shared" si="66"/>
        <v>2019</v>
      </c>
      <c r="C2131" s="19">
        <f t="shared" si="67"/>
        <v>11</v>
      </c>
      <c r="D2131" s="5" t="s">
        <v>992</v>
      </c>
      <c r="E2131" s="5" t="s">
        <v>67</v>
      </c>
      <c r="F2131" s="5" t="s">
        <v>11</v>
      </c>
      <c r="G2131" s="5" t="s">
        <v>51</v>
      </c>
      <c r="H2131" s="5" t="s">
        <v>762</v>
      </c>
      <c r="I2131" s="13">
        <v>77.951999999999998</v>
      </c>
      <c r="J2131" s="19">
        <v>3</v>
      </c>
      <c r="K2131" s="14">
        <v>15.590400000000001</v>
      </c>
    </row>
    <row r="2132" spans="1:11" x14ac:dyDescent="0.25">
      <c r="A2132" s="2">
        <v>43790</v>
      </c>
      <c r="B2132" s="18">
        <f t="shared" si="66"/>
        <v>2019</v>
      </c>
      <c r="C2132" s="18">
        <f t="shared" si="67"/>
        <v>11</v>
      </c>
      <c r="D2132" s="3" t="s">
        <v>821</v>
      </c>
      <c r="E2132" s="3" t="s">
        <v>164</v>
      </c>
      <c r="F2132" s="3" t="s">
        <v>19</v>
      </c>
      <c r="G2132" s="3" t="s">
        <v>53</v>
      </c>
      <c r="H2132" s="3" t="s">
        <v>926</v>
      </c>
      <c r="I2132" s="11">
        <v>38.432000000000002</v>
      </c>
      <c r="J2132" s="18">
        <v>1</v>
      </c>
      <c r="K2132" s="12">
        <v>13.4512</v>
      </c>
    </row>
    <row r="2133" spans="1:11" x14ac:dyDescent="0.25">
      <c r="A2133" s="4">
        <v>43790</v>
      </c>
      <c r="B2133" s="19">
        <f t="shared" si="66"/>
        <v>2019</v>
      </c>
      <c r="C2133" s="19">
        <f t="shared" si="67"/>
        <v>11</v>
      </c>
      <c r="D2133" s="5" t="s">
        <v>821</v>
      </c>
      <c r="E2133" s="5" t="s">
        <v>164</v>
      </c>
      <c r="F2133" s="5" t="s">
        <v>19</v>
      </c>
      <c r="G2133" s="5" t="s">
        <v>20</v>
      </c>
      <c r="H2133" s="5" t="s">
        <v>1525</v>
      </c>
      <c r="I2133" s="13">
        <v>21.568000000000001</v>
      </c>
      <c r="J2133" s="19">
        <v>2</v>
      </c>
      <c r="K2133" s="14">
        <v>1.6175999999999999</v>
      </c>
    </row>
    <row r="2134" spans="1:11" x14ac:dyDescent="0.25">
      <c r="A2134" s="2">
        <v>43790</v>
      </c>
      <c r="B2134" s="18">
        <f t="shared" si="66"/>
        <v>2019</v>
      </c>
      <c r="C2134" s="18">
        <f t="shared" si="67"/>
        <v>11</v>
      </c>
      <c r="D2134" s="3" t="s">
        <v>821</v>
      </c>
      <c r="E2134" s="3" t="s">
        <v>164</v>
      </c>
      <c r="F2134" s="3" t="s">
        <v>14</v>
      </c>
      <c r="G2134" s="3" t="s">
        <v>24</v>
      </c>
      <c r="H2134" s="3" t="s">
        <v>1901</v>
      </c>
      <c r="I2134" s="11">
        <v>81.575999999999993</v>
      </c>
      <c r="J2134" s="18">
        <v>3</v>
      </c>
      <c r="K2134" s="12">
        <v>2.0394000000000001</v>
      </c>
    </row>
    <row r="2135" spans="1:11" x14ac:dyDescent="0.25">
      <c r="A2135" s="4">
        <v>43790</v>
      </c>
      <c r="B2135" s="19">
        <f t="shared" si="66"/>
        <v>2019</v>
      </c>
      <c r="C2135" s="19">
        <f t="shared" si="67"/>
        <v>11</v>
      </c>
      <c r="D2135" s="5" t="s">
        <v>1074</v>
      </c>
      <c r="E2135" s="5" t="s">
        <v>94</v>
      </c>
      <c r="F2135" s="5" t="s">
        <v>19</v>
      </c>
      <c r="G2135" s="5" t="s">
        <v>53</v>
      </c>
      <c r="H2135" s="5" t="s">
        <v>1046</v>
      </c>
      <c r="I2135" s="13">
        <v>12.96</v>
      </c>
      <c r="J2135" s="19">
        <v>2</v>
      </c>
      <c r="K2135" s="14">
        <v>6.3503999999999996</v>
      </c>
    </row>
    <row r="2136" spans="1:11" x14ac:dyDescent="0.25">
      <c r="A2136" s="2">
        <v>43790</v>
      </c>
      <c r="B2136" s="18">
        <f t="shared" si="66"/>
        <v>2019</v>
      </c>
      <c r="C2136" s="18">
        <f t="shared" si="67"/>
        <v>11</v>
      </c>
      <c r="D2136" s="3" t="s">
        <v>636</v>
      </c>
      <c r="E2136" s="3" t="s">
        <v>94</v>
      </c>
      <c r="F2136" s="3" t="s">
        <v>11</v>
      </c>
      <c r="G2136" s="3" t="s">
        <v>12</v>
      </c>
      <c r="H2136" s="3" t="s">
        <v>1902</v>
      </c>
      <c r="I2136" s="11">
        <v>113.568</v>
      </c>
      <c r="J2136" s="18">
        <v>2</v>
      </c>
      <c r="K2136" s="12">
        <v>12.776400000000001</v>
      </c>
    </row>
    <row r="2137" spans="1:11" x14ac:dyDescent="0.25">
      <c r="A2137" s="4">
        <v>43790</v>
      </c>
      <c r="B2137" s="19">
        <f t="shared" si="66"/>
        <v>2019</v>
      </c>
      <c r="C2137" s="19">
        <f t="shared" si="67"/>
        <v>11</v>
      </c>
      <c r="D2137" s="5" t="s">
        <v>842</v>
      </c>
      <c r="E2137" s="5" t="s">
        <v>18</v>
      </c>
      <c r="F2137" s="5" t="s">
        <v>19</v>
      </c>
      <c r="G2137" s="5" t="s">
        <v>53</v>
      </c>
      <c r="H2137" s="5" t="s">
        <v>803</v>
      </c>
      <c r="I2137" s="13">
        <v>32.4</v>
      </c>
      <c r="J2137" s="19">
        <v>5</v>
      </c>
      <c r="K2137" s="14">
        <v>15.552</v>
      </c>
    </row>
    <row r="2138" spans="1:11" x14ac:dyDescent="0.25">
      <c r="A2138" s="2">
        <v>43791</v>
      </c>
      <c r="B2138" s="18">
        <f t="shared" si="66"/>
        <v>2019</v>
      </c>
      <c r="C2138" s="18">
        <f t="shared" si="67"/>
        <v>11</v>
      </c>
      <c r="D2138" s="3" t="s">
        <v>145</v>
      </c>
      <c r="E2138" s="3" t="s">
        <v>94</v>
      </c>
      <c r="F2138" s="3" t="s">
        <v>11</v>
      </c>
      <c r="G2138" s="3" t="s">
        <v>51</v>
      </c>
      <c r="H2138" s="3" t="s">
        <v>1903</v>
      </c>
      <c r="I2138" s="11">
        <v>39.880000000000003</v>
      </c>
      <c r="J2138" s="18">
        <v>2</v>
      </c>
      <c r="K2138" s="12">
        <v>11.166399999999999</v>
      </c>
    </row>
    <row r="2139" spans="1:11" x14ac:dyDescent="0.25">
      <c r="A2139" s="4">
        <v>43791</v>
      </c>
      <c r="B2139" s="19">
        <f t="shared" si="66"/>
        <v>2019</v>
      </c>
      <c r="C2139" s="19">
        <f t="shared" si="67"/>
        <v>11</v>
      </c>
      <c r="D2139" s="5" t="s">
        <v>145</v>
      </c>
      <c r="E2139" s="5" t="s">
        <v>94</v>
      </c>
      <c r="F2139" s="5" t="s">
        <v>19</v>
      </c>
      <c r="G2139" s="5" t="s">
        <v>32</v>
      </c>
      <c r="H2139" s="5" t="s">
        <v>1904</v>
      </c>
      <c r="I2139" s="13">
        <v>12.192</v>
      </c>
      <c r="J2139" s="19">
        <v>4</v>
      </c>
      <c r="K2139" s="14">
        <v>4.1147999999999998</v>
      </c>
    </row>
    <row r="2140" spans="1:11" x14ac:dyDescent="0.25">
      <c r="A2140" s="2">
        <v>43791</v>
      </c>
      <c r="B2140" s="18">
        <f t="shared" si="66"/>
        <v>2019</v>
      </c>
      <c r="C2140" s="18">
        <f t="shared" si="67"/>
        <v>11</v>
      </c>
      <c r="D2140" s="3" t="s">
        <v>145</v>
      </c>
      <c r="E2140" s="3" t="s">
        <v>94</v>
      </c>
      <c r="F2140" s="3" t="s">
        <v>19</v>
      </c>
      <c r="G2140" s="3" t="s">
        <v>40</v>
      </c>
      <c r="H2140" s="3" t="s">
        <v>906</v>
      </c>
      <c r="I2140" s="11">
        <v>20.82</v>
      </c>
      <c r="J2140" s="18">
        <v>3</v>
      </c>
      <c r="K2140" s="12">
        <v>7.4951999999999996</v>
      </c>
    </row>
    <row r="2141" spans="1:11" x14ac:dyDescent="0.25">
      <c r="A2141" s="4">
        <v>43791</v>
      </c>
      <c r="B2141" s="19">
        <f t="shared" si="66"/>
        <v>2019</v>
      </c>
      <c r="C2141" s="19">
        <f t="shared" si="67"/>
        <v>11</v>
      </c>
      <c r="D2141" s="5" t="s">
        <v>1905</v>
      </c>
      <c r="E2141" s="5" t="s">
        <v>365</v>
      </c>
      <c r="F2141" s="5" t="s">
        <v>19</v>
      </c>
      <c r="G2141" s="5" t="s">
        <v>32</v>
      </c>
      <c r="H2141" s="5" t="s">
        <v>819</v>
      </c>
      <c r="I2141" s="13">
        <v>49.44</v>
      </c>
      <c r="J2141" s="19">
        <v>3</v>
      </c>
      <c r="K2141" s="14">
        <v>24.2256</v>
      </c>
    </row>
    <row r="2142" spans="1:11" x14ac:dyDescent="0.25">
      <c r="A2142" s="2">
        <v>43791</v>
      </c>
      <c r="B2142" s="18">
        <f t="shared" si="66"/>
        <v>2019</v>
      </c>
      <c r="C2142" s="18">
        <f t="shared" si="67"/>
        <v>11</v>
      </c>
      <c r="D2142" s="3" t="s">
        <v>1756</v>
      </c>
      <c r="E2142" s="3" t="s">
        <v>23</v>
      </c>
      <c r="F2142" s="3" t="s">
        <v>19</v>
      </c>
      <c r="G2142" s="3" t="s">
        <v>32</v>
      </c>
      <c r="H2142" s="3" t="s">
        <v>722</v>
      </c>
      <c r="I2142" s="11">
        <v>6.2160000000000002</v>
      </c>
      <c r="J2142" s="18">
        <v>6</v>
      </c>
      <c r="K2142" s="12">
        <v>-9.6348000000000003</v>
      </c>
    </row>
    <row r="2143" spans="1:11" x14ac:dyDescent="0.25">
      <c r="A2143" s="4">
        <v>43791</v>
      </c>
      <c r="B2143" s="19">
        <f t="shared" si="66"/>
        <v>2019</v>
      </c>
      <c r="C2143" s="19">
        <f t="shared" si="67"/>
        <v>11</v>
      </c>
      <c r="D2143" s="5" t="s">
        <v>1756</v>
      </c>
      <c r="E2143" s="5" t="s">
        <v>23</v>
      </c>
      <c r="F2143" s="5" t="s">
        <v>19</v>
      </c>
      <c r="G2143" s="5" t="s">
        <v>40</v>
      </c>
      <c r="H2143" s="5" t="s">
        <v>1613</v>
      </c>
      <c r="I2143" s="13">
        <v>23.616</v>
      </c>
      <c r="J2143" s="19">
        <v>9</v>
      </c>
      <c r="K2143" s="14">
        <v>2.6568000000000001</v>
      </c>
    </row>
    <row r="2144" spans="1:11" x14ac:dyDescent="0.25">
      <c r="A2144" s="2">
        <v>43791</v>
      </c>
      <c r="B2144" s="18">
        <f t="shared" si="66"/>
        <v>2019</v>
      </c>
      <c r="C2144" s="18">
        <f t="shared" si="67"/>
        <v>11</v>
      </c>
      <c r="D2144" s="3" t="s">
        <v>1756</v>
      </c>
      <c r="E2144" s="3" t="s">
        <v>23</v>
      </c>
      <c r="F2144" s="3" t="s">
        <v>14</v>
      </c>
      <c r="G2144" s="3" t="s">
        <v>24</v>
      </c>
      <c r="H2144" s="3" t="s">
        <v>1906</v>
      </c>
      <c r="I2144" s="11">
        <v>24.032</v>
      </c>
      <c r="J2144" s="18">
        <v>2</v>
      </c>
      <c r="K2144" s="12">
        <v>-0.6008</v>
      </c>
    </row>
    <row r="2145" spans="1:11" x14ac:dyDescent="0.25">
      <c r="A2145" s="4">
        <v>43791</v>
      </c>
      <c r="B2145" s="19">
        <f t="shared" si="66"/>
        <v>2019</v>
      </c>
      <c r="C2145" s="19">
        <f t="shared" si="67"/>
        <v>11</v>
      </c>
      <c r="D2145" s="5" t="s">
        <v>1756</v>
      </c>
      <c r="E2145" s="5" t="s">
        <v>23</v>
      </c>
      <c r="F2145" s="5" t="s">
        <v>19</v>
      </c>
      <c r="G2145" s="5" t="s">
        <v>127</v>
      </c>
      <c r="H2145" s="5" t="s">
        <v>1261</v>
      </c>
      <c r="I2145" s="13">
        <v>2.0880000000000001</v>
      </c>
      <c r="J2145" s="19">
        <v>1</v>
      </c>
      <c r="K2145" s="14">
        <v>0.67859999999999998</v>
      </c>
    </row>
    <row r="2146" spans="1:11" x14ac:dyDescent="0.25">
      <c r="A2146" s="2">
        <v>43791</v>
      </c>
      <c r="B2146" s="18">
        <f t="shared" si="66"/>
        <v>2019</v>
      </c>
      <c r="C2146" s="18">
        <f t="shared" si="67"/>
        <v>11</v>
      </c>
      <c r="D2146" s="3" t="s">
        <v>1756</v>
      </c>
      <c r="E2146" s="3" t="s">
        <v>23</v>
      </c>
      <c r="F2146" s="3" t="s">
        <v>19</v>
      </c>
      <c r="G2146" s="3" t="s">
        <v>32</v>
      </c>
      <c r="H2146" s="3" t="s">
        <v>1907</v>
      </c>
      <c r="I2146" s="11">
        <v>4.4880000000000004</v>
      </c>
      <c r="J2146" s="18">
        <v>6</v>
      </c>
      <c r="K2146" s="12">
        <v>-6.7320000000000002</v>
      </c>
    </row>
    <row r="2147" spans="1:11" x14ac:dyDescent="0.25">
      <c r="A2147" s="4">
        <v>43791</v>
      </c>
      <c r="B2147" s="19">
        <f t="shared" si="66"/>
        <v>2019</v>
      </c>
      <c r="C2147" s="19">
        <f t="shared" si="67"/>
        <v>11</v>
      </c>
      <c r="D2147" s="5" t="s">
        <v>716</v>
      </c>
      <c r="E2147" s="5" t="s">
        <v>94</v>
      </c>
      <c r="F2147" s="5" t="s">
        <v>19</v>
      </c>
      <c r="G2147" s="5" t="s">
        <v>32</v>
      </c>
      <c r="H2147" s="5" t="s">
        <v>1141</v>
      </c>
      <c r="I2147" s="13">
        <v>134.27199999999999</v>
      </c>
      <c r="J2147" s="19">
        <v>8</v>
      </c>
      <c r="K2147" s="14">
        <v>46.995199999999997</v>
      </c>
    </row>
    <row r="2148" spans="1:11" x14ac:dyDescent="0.25">
      <c r="A2148" s="2">
        <v>43792</v>
      </c>
      <c r="B2148" s="18">
        <f t="shared" si="66"/>
        <v>2019</v>
      </c>
      <c r="C2148" s="18">
        <f t="shared" si="67"/>
        <v>11</v>
      </c>
      <c r="D2148" s="3" t="s">
        <v>1908</v>
      </c>
      <c r="E2148" s="3" t="s">
        <v>39</v>
      </c>
      <c r="F2148" s="3" t="s">
        <v>19</v>
      </c>
      <c r="G2148" s="3" t="s">
        <v>116</v>
      </c>
      <c r="H2148" s="3" t="s">
        <v>1506</v>
      </c>
      <c r="I2148" s="11">
        <v>15.8</v>
      </c>
      <c r="J2148" s="18">
        <v>5</v>
      </c>
      <c r="K2148" s="12">
        <v>2.37</v>
      </c>
    </row>
    <row r="2149" spans="1:11" x14ac:dyDescent="0.25">
      <c r="A2149" s="4">
        <v>43792</v>
      </c>
      <c r="B2149" s="19">
        <f t="shared" si="66"/>
        <v>2019</v>
      </c>
      <c r="C2149" s="19">
        <f t="shared" si="67"/>
        <v>11</v>
      </c>
      <c r="D2149" s="5" t="s">
        <v>1908</v>
      </c>
      <c r="E2149" s="5" t="s">
        <v>39</v>
      </c>
      <c r="F2149" s="5" t="s">
        <v>11</v>
      </c>
      <c r="G2149" s="5" t="s">
        <v>51</v>
      </c>
      <c r="H2149" s="5" t="s">
        <v>199</v>
      </c>
      <c r="I2149" s="13">
        <v>14.368</v>
      </c>
      <c r="J2149" s="19">
        <v>2</v>
      </c>
      <c r="K2149" s="14">
        <v>3.9512</v>
      </c>
    </row>
    <row r="2150" spans="1:11" x14ac:dyDescent="0.25">
      <c r="A2150" s="2">
        <v>43792</v>
      </c>
      <c r="B2150" s="18">
        <f t="shared" si="66"/>
        <v>2019</v>
      </c>
      <c r="C2150" s="18">
        <f t="shared" si="67"/>
        <v>11</v>
      </c>
      <c r="D2150" s="3" t="s">
        <v>1908</v>
      </c>
      <c r="E2150" s="3" t="s">
        <v>39</v>
      </c>
      <c r="F2150" s="3" t="s">
        <v>11</v>
      </c>
      <c r="G2150" s="3" t="s">
        <v>51</v>
      </c>
      <c r="H2150" s="3" t="s">
        <v>1133</v>
      </c>
      <c r="I2150" s="11">
        <v>70.447999999999993</v>
      </c>
      <c r="J2150" s="18">
        <v>7</v>
      </c>
      <c r="K2150" s="12">
        <v>12.3284</v>
      </c>
    </row>
    <row r="2151" spans="1:11" x14ac:dyDescent="0.25">
      <c r="A2151" s="4">
        <v>43793</v>
      </c>
      <c r="B2151" s="19">
        <f t="shared" si="66"/>
        <v>2019</v>
      </c>
      <c r="C2151" s="19">
        <f t="shared" si="67"/>
        <v>11</v>
      </c>
      <c r="D2151" s="5" t="s">
        <v>1909</v>
      </c>
      <c r="E2151" s="5" t="s">
        <v>39</v>
      </c>
      <c r="F2151" s="5" t="s">
        <v>19</v>
      </c>
      <c r="G2151" s="5" t="s">
        <v>116</v>
      </c>
      <c r="H2151" s="5" t="s">
        <v>1910</v>
      </c>
      <c r="I2151" s="13">
        <v>4.4160000000000004</v>
      </c>
      <c r="J2151" s="19">
        <v>3</v>
      </c>
      <c r="K2151" s="14">
        <v>1.6008</v>
      </c>
    </row>
    <row r="2152" spans="1:11" x14ac:dyDescent="0.25">
      <c r="A2152" s="2">
        <v>43793</v>
      </c>
      <c r="B2152" s="18">
        <f t="shared" si="66"/>
        <v>2019</v>
      </c>
      <c r="C2152" s="18">
        <f t="shared" si="67"/>
        <v>11</v>
      </c>
      <c r="D2152" s="3" t="s">
        <v>1911</v>
      </c>
      <c r="E2152" s="3" t="s">
        <v>94</v>
      </c>
      <c r="F2152" s="3" t="s">
        <v>19</v>
      </c>
      <c r="G2152" s="3" t="s">
        <v>32</v>
      </c>
      <c r="H2152" s="3" t="s">
        <v>1912</v>
      </c>
      <c r="I2152" s="11">
        <v>17.216000000000001</v>
      </c>
      <c r="J2152" s="18">
        <v>4</v>
      </c>
      <c r="K2152" s="12">
        <v>6.0255999999999998</v>
      </c>
    </row>
    <row r="2153" spans="1:11" x14ac:dyDescent="0.25">
      <c r="A2153" s="4">
        <v>43793</v>
      </c>
      <c r="B2153" s="19">
        <f t="shared" si="66"/>
        <v>2019</v>
      </c>
      <c r="C2153" s="19">
        <f t="shared" si="67"/>
        <v>11</v>
      </c>
      <c r="D2153" s="5" t="s">
        <v>1911</v>
      </c>
      <c r="E2153" s="5" t="s">
        <v>94</v>
      </c>
      <c r="F2153" s="5" t="s">
        <v>19</v>
      </c>
      <c r="G2153" s="5" t="s">
        <v>53</v>
      </c>
      <c r="H2153" s="5" t="s">
        <v>854</v>
      </c>
      <c r="I2153" s="13">
        <v>11.56</v>
      </c>
      <c r="J2153" s="19">
        <v>2</v>
      </c>
      <c r="K2153" s="14">
        <v>5.6643999999999997</v>
      </c>
    </row>
    <row r="2154" spans="1:11" x14ac:dyDescent="0.25">
      <c r="A2154" s="2">
        <v>43793</v>
      </c>
      <c r="B2154" s="18">
        <f t="shared" si="66"/>
        <v>2019</v>
      </c>
      <c r="C2154" s="18">
        <f t="shared" si="67"/>
        <v>11</v>
      </c>
      <c r="D2154" s="3" t="s">
        <v>1911</v>
      </c>
      <c r="E2154" s="3" t="s">
        <v>94</v>
      </c>
      <c r="F2154" s="3" t="s">
        <v>14</v>
      </c>
      <c r="G2154" s="3" t="s">
        <v>24</v>
      </c>
      <c r="H2154" s="3" t="s">
        <v>1744</v>
      </c>
      <c r="I2154" s="11">
        <v>88.4</v>
      </c>
      <c r="J2154" s="18">
        <v>4</v>
      </c>
      <c r="K2154" s="12">
        <v>11.492000000000001</v>
      </c>
    </row>
    <row r="2155" spans="1:11" x14ac:dyDescent="0.25">
      <c r="A2155" s="4">
        <v>43793</v>
      </c>
      <c r="B2155" s="19">
        <f t="shared" si="66"/>
        <v>2019</v>
      </c>
      <c r="C2155" s="19">
        <f t="shared" si="67"/>
        <v>11</v>
      </c>
      <c r="D2155" s="5" t="s">
        <v>1911</v>
      </c>
      <c r="E2155" s="5" t="s">
        <v>94</v>
      </c>
      <c r="F2155" s="5" t="s">
        <v>19</v>
      </c>
      <c r="G2155" s="5" t="s">
        <v>53</v>
      </c>
      <c r="H2155" s="5" t="s">
        <v>962</v>
      </c>
      <c r="I2155" s="13">
        <v>6.48</v>
      </c>
      <c r="J2155" s="19">
        <v>1</v>
      </c>
      <c r="K2155" s="14">
        <v>3.1103999999999998</v>
      </c>
    </row>
    <row r="2156" spans="1:11" x14ac:dyDescent="0.25">
      <c r="A2156" s="2">
        <v>43793</v>
      </c>
      <c r="B2156" s="18">
        <f t="shared" si="66"/>
        <v>2019</v>
      </c>
      <c r="C2156" s="18">
        <f t="shared" si="67"/>
        <v>11</v>
      </c>
      <c r="D2156" s="3" t="s">
        <v>1913</v>
      </c>
      <c r="E2156" s="3" t="s">
        <v>18</v>
      </c>
      <c r="F2156" s="3" t="s">
        <v>14</v>
      </c>
      <c r="G2156" s="3" t="s">
        <v>15</v>
      </c>
      <c r="H2156" s="3" t="s">
        <v>1737</v>
      </c>
      <c r="I2156" s="11">
        <v>33.520000000000003</v>
      </c>
      <c r="J2156" s="18">
        <v>2</v>
      </c>
      <c r="K2156" s="12">
        <v>3.3519999999999999</v>
      </c>
    </row>
    <row r="2157" spans="1:11" x14ac:dyDescent="0.25">
      <c r="A2157" s="4">
        <v>43793</v>
      </c>
      <c r="B2157" s="19">
        <f t="shared" si="66"/>
        <v>2019</v>
      </c>
      <c r="C2157" s="19">
        <f t="shared" si="67"/>
        <v>11</v>
      </c>
      <c r="D2157" s="5" t="s">
        <v>1913</v>
      </c>
      <c r="E2157" s="5" t="s">
        <v>18</v>
      </c>
      <c r="F2157" s="5" t="s">
        <v>11</v>
      </c>
      <c r="G2157" s="5" t="s">
        <v>51</v>
      </c>
      <c r="H2157" s="5" t="s">
        <v>74</v>
      </c>
      <c r="I2157" s="13">
        <v>9.94</v>
      </c>
      <c r="J2157" s="19">
        <v>2</v>
      </c>
      <c r="K2157" s="14">
        <v>3.0813999999999999</v>
      </c>
    </row>
    <row r="2158" spans="1:11" x14ac:dyDescent="0.25">
      <c r="A2158" s="2">
        <v>43793</v>
      </c>
      <c r="B2158" s="18">
        <f t="shared" si="66"/>
        <v>2019</v>
      </c>
      <c r="C2158" s="18">
        <f t="shared" si="67"/>
        <v>11</v>
      </c>
      <c r="D2158" s="3" t="s">
        <v>1914</v>
      </c>
      <c r="E2158" s="3" t="s">
        <v>23</v>
      </c>
      <c r="F2158" s="3" t="s">
        <v>19</v>
      </c>
      <c r="G2158" s="3" t="s">
        <v>20</v>
      </c>
      <c r="H2158" s="3" t="s">
        <v>1197</v>
      </c>
      <c r="I2158" s="11">
        <v>41.92</v>
      </c>
      <c r="J2158" s="18">
        <v>5</v>
      </c>
      <c r="K2158" s="12">
        <v>3.6680000000000001</v>
      </c>
    </row>
    <row r="2159" spans="1:11" x14ac:dyDescent="0.25">
      <c r="A2159" s="4">
        <v>43793</v>
      </c>
      <c r="B2159" s="19">
        <f t="shared" si="66"/>
        <v>2019</v>
      </c>
      <c r="C2159" s="19">
        <f t="shared" si="67"/>
        <v>11</v>
      </c>
      <c r="D2159" s="5" t="s">
        <v>1914</v>
      </c>
      <c r="E2159" s="5" t="s">
        <v>23</v>
      </c>
      <c r="F2159" s="5" t="s">
        <v>14</v>
      </c>
      <c r="G2159" s="5" t="s">
        <v>24</v>
      </c>
      <c r="H2159" s="5" t="s">
        <v>107</v>
      </c>
      <c r="I2159" s="13">
        <v>297.57600000000002</v>
      </c>
      <c r="J2159" s="19">
        <v>3</v>
      </c>
      <c r="K2159" s="14">
        <v>-7.4394</v>
      </c>
    </row>
    <row r="2160" spans="1:11" x14ac:dyDescent="0.25">
      <c r="A2160" s="2">
        <v>43793</v>
      </c>
      <c r="B2160" s="18">
        <f t="shared" si="66"/>
        <v>2019</v>
      </c>
      <c r="C2160" s="18">
        <f t="shared" si="67"/>
        <v>11</v>
      </c>
      <c r="D2160" s="3" t="s">
        <v>1914</v>
      </c>
      <c r="E2160" s="3" t="s">
        <v>23</v>
      </c>
      <c r="F2160" s="3" t="s">
        <v>19</v>
      </c>
      <c r="G2160" s="3" t="s">
        <v>116</v>
      </c>
      <c r="H2160" s="3" t="s">
        <v>1462</v>
      </c>
      <c r="I2160" s="11">
        <v>4.3440000000000003</v>
      </c>
      <c r="J2160" s="18">
        <v>3</v>
      </c>
      <c r="K2160" s="12">
        <v>0.86880000000000002</v>
      </c>
    </row>
    <row r="2161" spans="1:11" x14ac:dyDescent="0.25">
      <c r="A2161" s="4">
        <v>43793</v>
      </c>
      <c r="B2161" s="19">
        <f t="shared" si="66"/>
        <v>2019</v>
      </c>
      <c r="C2161" s="19">
        <f t="shared" si="67"/>
        <v>11</v>
      </c>
      <c r="D2161" s="5" t="s">
        <v>1914</v>
      </c>
      <c r="E2161" s="5" t="s">
        <v>23</v>
      </c>
      <c r="F2161" s="5" t="s">
        <v>14</v>
      </c>
      <c r="G2161" s="5" t="s">
        <v>24</v>
      </c>
      <c r="H2161" s="5" t="s">
        <v>1915</v>
      </c>
      <c r="I2161" s="13">
        <v>94.992000000000004</v>
      </c>
      <c r="J2161" s="19">
        <v>2</v>
      </c>
      <c r="K2161" s="14">
        <v>-2.3748</v>
      </c>
    </row>
    <row r="2162" spans="1:11" x14ac:dyDescent="0.25">
      <c r="A2162" s="2">
        <v>43793</v>
      </c>
      <c r="B2162" s="18">
        <f t="shared" si="66"/>
        <v>2019</v>
      </c>
      <c r="C2162" s="18">
        <f t="shared" si="67"/>
        <v>11</v>
      </c>
      <c r="D2162" s="3" t="s">
        <v>1914</v>
      </c>
      <c r="E2162" s="3" t="s">
        <v>23</v>
      </c>
      <c r="F2162" s="3" t="s">
        <v>19</v>
      </c>
      <c r="G2162" s="3" t="s">
        <v>53</v>
      </c>
      <c r="H2162" s="3" t="s">
        <v>1171</v>
      </c>
      <c r="I2162" s="11">
        <v>74.352000000000004</v>
      </c>
      <c r="J2162" s="18">
        <v>3</v>
      </c>
      <c r="K2162" s="12">
        <v>23.234999999999999</v>
      </c>
    </row>
    <row r="2163" spans="1:11" x14ac:dyDescent="0.25">
      <c r="A2163" s="4">
        <v>43793</v>
      </c>
      <c r="B2163" s="19">
        <f t="shared" si="66"/>
        <v>2019</v>
      </c>
      <c r="C2163" s="19">
        <f t="shared" si="67"/>
        <v>11</v>
      </c>
      <c r="D2163" s="5" t="s">
        <v>1914</v>
      </c>
      <c r="E2163" s="5" t="s">
        <v>23</v>
      </c>
      <c r="F2163" s="5" t="s">
        <v>19</v>
      </c>
      <c r="G2163" s="5" t="s">
        <v>40</v>
      </c>
      <c r="H2163" s="5" t="s">
        <v>1916</v>
      </c>
      <c r="I2163" s="13">
        <v>14.04</v>
      </c>
      <c r="J2163" s="19">
        <v>3</v>
      </c>
      <c r="K2163" s="14">
        <v>1.5794999999999999</v>
      </c>
    </row>
    <row r="2164" spans="1:11" x14ac:dyDescent="0.25">
      <c r="A2164" s="2">
        <v>43793</v>
      </c>
      <c r="B2164" s="18">
        <f t="shared" si="66"/>
        <v>2019</v>
      </c>
      <c r="C2164" s="18">
        <f t="shared" si="67"/>
        <v>11</v>
      </c>
      <c r="D2164" s="3" t="s">
        <v>1917</v>
      </c>
      <c r="E2164" s="3" t="s">
        <v>465</v>
      </c>
      <c r="F2164" s="3" t="s">
        <v>19</v>
      </c>
      <c r="G2164" s="3" t="s">
        <v>53</v>
      </c>
      <c r="H2164" s="3" t="s">
        <v>1040</v>
      </c>
      <c r="I2164" s="11">
        <v>24.783999999999999</v>
      </c>
      <c r="J2164" s="18">
        <v>1</v>
      </c>
      <c r="K2164" s="12">
        <v>7.7450000000000001</v>
      </c>
    </row>
    <row r="2165" spans="1:11" x14ac:dyDescent="0.25">
      <c r="A2165" s="4">
        <v>43793</v>
      </c>
      <c r="B2165" s="19">
        <f t="shared" si="66"/>
        <v>2019</v>
      </c>
      <c r="C2165" s="19">
        <f t="shared" si="67"/>
        <v>11</v>
      </c>
      <c r="D2165" s="5" t="s">
        <v>1918</v>
      </c>
      <c r="E2165" s="5" t="s">
        <v>23</v>
      </c>
      <c r="F2165" s="5" t="s">
        <v>14</v>
      </c>
      <c r="G2165" s="5" t="s">
        <v>15</v>
      </c>
      <c r="H2165" s="5" t="s">
        <v>171</v>
      </c>
      <c r="I2165" s="13">
        <v>657.55200000000002</v>
      </c>
      <c r="J2165" s="19">
        <v>6</v>
      </c>
      <c r="K2165" s="14">
        <v>49.316400000000002</v>
      </c>
    </row>
    <row r="2166" spans="1:11" x14ac:dyDescent="0.25">
      <c r="A2166" s="2">
        <v>43793</v>
      </c>
      <c r="B2166" s="18">
        <f t="shared" si="66"/>
        <v>2019</v>
      </c>
      <c r="C2166" s="18">
        <f t="shared" si="67"/>
        <v>11</v>
      </c>
      <c r="D2166" s="3" t="s">
        <v>1919</v>
      </c>
      <c r="E2166" s="3" t="s">
        <v>18</v>
      </c>
      <c r="F2166" s="3" t="s">
        <v>14</v>
      </c>
      <c r="G2166" s="3" t="s">
        <v>24</v>
      </c>
      <c r="H2166" s="3" t="s">
        <v>954</v>
      </c>
      <c r="I2166" s="11">
        <v>659.9</v>
      </c>
      <c r="J2166" s="18">
        <v>2</v>
      </c>
      <c r="K2166" s="12">
        <v>217.767</v>
      </c>
    </row>
    <row r="2167" spans="1:11" x14ac:dyDescent="0.25">
      <c r="A2167" s="4">
        <v>43793</v>
      </c>
      <c r="B2167" s="19">
        <f t="shared" si="66"/>
        <v>2019</v>
      </c>
      <c r="C2167" s="19">
        <f t="shared" si="67"/>
        <v>11</v>
      </c>
      <c r="D2167" s="5" t="s">
        <v>1919</v>
      </c>
      <c r="E2167" s="5" t="s">
        <v>18</v>
      </c>
      <c r="F2167" s="5" t="s">
        <v>11</v>
      </c>
      <c r="G2167" s="5" t="s">
        <v>112</v>
      </c>
      <c r="H2167" s="5" t="s">
        <v>1595</v>
      </c>
      <c r="I2167" s="13">
        <v>1684.752</v>
      </c>
      <c r="J2167" s="19">
        <v>6</v>
      </c>
      <c r="K2167" s="14">
        <v>210.59399999999999</v>
      </c>
    </row>
    <row r="2168" spans="1:11" x14ac:dyDescent="0.25">
      <c r="A2168" s="2">
        <v>43793</v>
      </c>
      <c r="B2168" s="18">
        <f t="shared" si="66"/>
        <v>2019</v>
      </c>
      <c r="C2168" s="18">
        <f t="shared" si="67"/>
        <v>11</v>
      </c>
      <c r="D2168" s="3" t="s">
        <v>1919</v>
      </c>
      <c r="E2168" s="3" t="s">
        <v>18</v>
      </c>
      <c r="F2168" s="3" t="s">
        <v>14</v>
      </c>
      <c r="G2168" s="3" t="s">
        <v>24</v>
      </c>
      <c r="H2168" s="3" t="s">
        <v>64</v>
      </c>
      <c r="I2168" s="11">
        <v>559.91999999999996</v>
      </c>
      <c r="J2168" s="18">
        <v>8</v>
      </c>
      <c r="K2168" s="12">
        <v>190.37280000000001</v>
      </c>
    </row>
    <row r="2169" spans="1:11" x14ac:dyDescent="0.25">
      <c r="A2169" s="4">
        <v>43793</v>
      </c>
      <c r="B2169" s="19">
        <f t="shared" si="66"/>
        <v>2019</v>
      </c>
      <c r="C2169" s="19">
        <f t="shared" si="67"/>
        <v>11</v>
      </c>
      <c r="D2169" s="5" t="s">
        <v>1614</v>
      </c>
      <c r="E2169" s="5" t="s">
        <v>70</v>
      </c>
      <c r="F2169" s="5" t="s">
        <v>19</v>
      </c>
      <c r="G2169" s="5" t="s">
        <v>32</v>
      </c>
      <c r="H2169" s="5" t="s">
        <v>1920</v>
      </c>
      <c r="I2169" s="13">
        <v>1219.96</v>
      </c>
      <c r="J2169" s="19">
        <v>5</v>
      </c>
      <c r="K2169" s="14">
        <v>381.23750000000001</v>
      </c>
    </row>
    <row r="2170" spans="1:11" x14ac:dyDescent="0.25">
      <c r="A2170" s="2">
        <v>43793</v>
      </c>
      <c r="B2170" s="18">
        <f t="shared" si="66"/>
        <v>2019</v>
      </c>
      <c r="C2170" s="18">
        <f t="shared" si="67"/>
        <v>11</v>
      </c>
      <c r="D2170" s="3" t="s">
        <v>63</v>
      </c>
      <c r="E2170" s="3" t="s">
        <v>10</v>
      </c>
      <c r="F2170" s="3" t="s">
        <v>11</v>
      </c>
      <c r="G2170" s="3" t="s">
        <v>51</v>
      </c>
      <c r="H2170" s="3" t="s">
        <v>1835</v>
      </c>
      <c r="I2170" s="11">
        <v>207.76</v>
      </c>
      <c r="J2170" s="18">
        <v>4</v>
      </c>
      <c r="K2170" s="12">
        <v>85.181600000000003</v>
      </c>
    </row>
    <row r="2171" spans="1:11" x14ac:dyDescent="0.25">
      <c r="A2171" s="4">
        <v>43793</v>
      </c>
      <c r="B2171" s="19">
        <f t="shared" si="66"/>
        <v>2019</v>
      </c>
      <c r="C2171" s="19">
        <f t="shared" si="67"/>
        <v>11</v>
      </c>
      <c r="D2171" s="5" t="s">
        <v>716</v>
      </c>
      <c r="E2171" s="5" t="s">
        <v>67</v>
      </c>
      <c r="F2171" s="5" t="s">
        <v>19</v>
      </c>
      <c r="G2171" s="5" t="s">
        <v>86</v>
      </c>
      <c r="H2171" s="5" t="s">
        <v>1921</v>
      </c>
      <c r="I2171" s="13">
        <v>40.752000000000002</v>
      </c>
      <c r="J2171" s="19">
        <v>3</v>
      </c>
      <c r="K2171" s="14">
        <v>15.282</v>
      </c>
    </row>
    <row r="2172" spans="1:11" x14ac:dyDescent="0.25">
      <c r="A2172" s="2">
        <v>43793</v>
      </c>
      <c r="B2172" s="18">
        <f t="shared" si="66"/>
        <v>2019</v>
      </c>
      <c r="C2172" s="18">
        <f t="shared" si="67"/>
        <v>11</v>
      </c>
      <c r="D2172" s="3" t="s">
        <v>716</v>
      </c>
      <c r="E2172" s="3" t="s">
        <v>67</v>
      </c>
      <c r="F2172" s="3" t="s">
        <v>14</v>
      </c>
      <c r="G2172" s="3" t="s">
        <v>24</v>
      </c>
      <c r="H2172" s="3" t="s">
        <v>436</v>
      </c>
      <c r="I2172" s="11">
        <v>139.96</v>
      </c>
      <c r="J2172" s="18">
        <v>5</v>
      </c>
      <c r="K2172" s="12">
        <v>-22.743500000000001</v>
      </c>
    </row>
    <row r="2173" spans="1:11" x14ac:dyDescent="0.25">
      <c r="A2173" s="4">
        <v>43793</v>
      </c>
      <c r="B2173" s="19">
        <f t="shared" si="66"/>
        <v>2019</v>
      </c>
      <c r="C2173" s="19">
        <f t="shared" si="67"/>
        <v>11</v>
      </c>
      <c r="D2173" s="5" t="s">
        <v>657</v>
      </c>
      <c r="E2173" s="5" t="s">
        <v>70</v>
      </c>
      <c r="F2173" s="5" t="s">
        <v>19</v>
      </c>
      <c r="G2173" s="5" t="s">
        <v>265</v>
      </c>
      <c r="H2173" s="5" t="s">
        <v>324</v>
      </c>
      <c r="I2173" s="13">
        <v>25.35</v>
      </c>
      <c r="J2173" s="19">
        <v>3</v>
      </c>
      <c r="K2173" s="14">
        <v>7.6050000000000004</v>
      </c>
    </row>
    <row r="2174" spans="1:11" x14ac:dyDescent="0.25">
      <c r="A2174" s="2">
        <v>43793</v>
      </c>
      <c r="B2174" s="18">
        <f t="shared" si="66"/>
        <v>2019</v>
      </c>
      <c r="C2174" s="18">
        <f t="shared" si="67"/>
        <v>11</v>
      </c>
      <c r="D2174" s="3" t="s">
        <v>1299</v>
      </c>
      <c r="E2174" s="3" t="s">
        <v>70</v>
      </c>
      <c r="F2174" s="3" t="s">
        <v>11</v>
      </c>
      <c r="G2174" s="3" t="s">
        <v>51</v>
      </c>
      <c r="H2174" s="3" t="s">
        <v>1715</v>
      </c>
      <c r="I2174" s="11">
        <v>82.26</v>
      </c>
      <c r="J2174" s="18">
        <v>3</v>
      </c>
      <c r="K2174" s="12">
        <v>33.726599999999998</v>
      </c>
    </row>
    <row r="2175" spans="1:11" x14ac:dyDescent="0.25">
      <c r="A2175" s="4">
        <v>43793</v>
      </c>
      <c r="B2175" s="19">
        <f t="shared" si="66"/>
        <v>2019</v>
      </c>
      <c r="C2175" s="19">
        <f t="shared" si="67"/>
        <v>11</v>
      </c>
      <c r="D2175" s="5" t="s">
        <v>170</v>
      </c>
      <c r="E2175" s="5" t="s">
        <v>44</v>
      </c>
      <c r="F2175" s="5" t="s">
        <v>11</v>
      </c>
      <c r="G2175" s="5" t="s">
        <v>12</v>
      </c>
      <c r="H2175" s="5" t="s">
        <v>1922</v>
      </c>
      <c r="I2175" s="13">
        <v>339.92</v>
      </c>
      <c r="J2175" s="19">
        <v>5</v>
      </c>
      <c r="K2175" s="14">
        <v>8.4979999999999993</v>
      </c>
    </row>
    <row r="2176" spans="1:11" x14ac:dyDescent="0.25">
      <c r="A2176" s="2">
        <v>43793</v>
      </c>
      <c r="B2176" s="18">
        <f t="shared" si="66"/>
        <v>2019</v>
      </c>
      <c r="C2176" s="18">
        <f t="shared" si="67"/>
        <v>11</v>
      </c>
      <c r="D2176" s="3" t="s">
        <v>170</v>
      </c>
      <c r="E2176" s="3" t="s">
        <v>44</v>
      </c>
      <c r="F2176" s="3" t="s">
        <v>19</v>
      </c>
      <c r="G2176" s="3" t="s">
        <v>53</v>
      </c>
      <c r="H2176" s="3" t="s">
        <v>1181</v>
      </c>
      <c r="I2176" s="11">
        <v>10.528</v>
      </c>
      <c r="J2176" s="18">
        <v>4</v>
      </c>
      <c r="K2176" s="12">
        <v>3.4216000000000002</v>
      </c>
    </row>
    <row r="2177" spans="1:11" x14ac:dyDescent="0.25">
      <c r="A2177" s="4">
        <v>43793</v>
      </c>
      <c r="B2177" s="19">
        <f t="shared" si="66"/>
        <v>2019</v>
      </c>
      <c r="C2177" s="19">
        <f t="shared" si="67"/>
        <v>11</v>
      </c>
      <c r="D2177" s="5" t="s">
        <v>170</v>
      </c>
      <c r="E2177" s="5" t="s">
        <v>44</v>
      </c>
      <c r="F2177" s="5" t="s">
        <v>19</v>
      </c>
      <c r="G2177" s="5" t="s">
        <v>121</v>
      </c>
      <c r="H2177" s="5" t="s">
        <v>1923</v>
      </c>
      <c r="I2177" s="13">
        <v>42.384</v>
      </c>
      <c r="J2177" s="19">
        <v>2</v>
      </c>
      <c r="K2177" s="14">
        <v>4.2384000000000004</v>
      </c>
    </row>
    <row r="2178" spans="1:11" x14ac:dyDescent="0.25">
      <c r="A2178" s="2">
        <v>43794</v>
      </c>
      <c r="B2178" s="18">
        <f t="shared" ref="B2178:B2241" si="68">YEAR(A2178)</f>
        <v>2019</v>
      </c>
      <c r="C2178" s="18">
        <f t="shared" ref="C2178:C2241" si="69">MONTH(A2178)</f>
        <v>11</v>
      </c>
      <c r="D2178" s="3" t="s">
        <v>1611</v>
      </c>
      <c r="E2178" s="3" t="s">
        <v>44</v>
      </c>
      <c r="F2178" s="3" t="s">
        <v>19</v>
      </c>
      <c r="G2178" s="3" t="s">
        <v>53</v>
      </c>
      <c r="H2178" s="3" t="s">
        <v>915</v>
      </c>
      <c r="I2178" s="11">
        <v>5.08</v>
      </c>
      <c r="J2178" s="18">
        <v>1</v>
      </c>
      <c r="K2178" s="12">
        <v>1.651</v>
      </c>
    </row>
    <row r="2179" spans="1:11" x14ac:dyDescent="0.25">
      <c r="A2179" s="4">
        <v>43794</v>
      </c>
      <c r="B2179" s="19">
        <f t="shared" si="68"/>
        <v>2019</v>
      </c>
      <c r="C2179" s="19">
        <f t="shared" si="69"/>
        <v>11</v>
      </c>
      <c r="D2179" s="5" t="s">
        <v>1924</v>
      </c>
      <c r="E2179" s="5" t="s">
        <v>85</v>
      </c>
      <c r="F2179" s="5" t="s">
        <v>19</v>
      </c>
      <c r="G2179" s="5" t="s">
        <v>20</v>
      </c>
      <c r="H2179" s="5" t="s">
        <v>909</v>
      </c>
      <c r="I2179" s="13">
        <v>563.4</v>
      </c>
      <c r="J2179" s="19">
        <v>4</v>
      </c>
      <c r="K2179" s="14">
        <v>67.608000000000004</v>
      </c>
    </row>
    <row r="2180" spans="1:11" x14ac:dyDescent="0.25">
      <c r="A2180" s="2">
        <v>43794</v>
      </c>
      <c r="B2180" s="18">
        <f t="shared" si="68"/>
        <v>2019</v>
      </c>
      <c r="C2180" s="18">
        <f t="shared" si="69"/>
        <v>11</v>
      </c>
      <c r="D2180" s="3" t="s">
        <v>1924</v>
      </c>
      <c r="E2180" s="3" t="s">
        <v>85</v>
      </c>
      <c r="F2180" s="3" t="s">
        <v>14</v>
      </c>
      <c r="G2180" s="3" t="s">
        <v>188</v>
      </c>
      <c r="H2180" s="3" t="s">
        <v>1925</v>
      </c>
      <c r="I2180" s="11">
        <v>319.92</v>
      </c>
      <c r="J2180" s="18">
        <v>8</v>
      </c>
      <c r="K2180" s="12">
        <v>118.3704</v>
      </c>
    </row>
    <row r="2181" spans="1:11" x14ac:dyDescent="0.25">
      <c r="A2181" s="4">
        <v>43794</v>
      </c>
      <c r="B2181" s="19">
        <f t="shared" si="68"/>
        <v>2019</v>
      </c>
      <c r="C2181" s="19">
        <f t="shared" si="69"/>
        <v>11</v>
      </c>
      <c r="D2181" s="5" t="s">
        <v>1706</v>
      </c>
      <c r="E2181" s="5" t="s">
        <v>589</v>
      </c>
      <c r="F2181" s="5" t="s">
        <v>14</v>
      </c>
      <c r="G2181" s="5" t="s">
        <v>15</v>
      </c>
      <c r="H2181" s="5" t="s">
        <v>1176</v>
      </c>
      <c r="I2181" s="13">
        <v>59.98</v>
      </c>
      <c r="J2181" s="19">
        <v>2</v>
      </c>
      <c r="K2181" s="14">
        <v>17.994</v>
      </c>
    </row>
    <row r="2182" spans="1:11" x14ac:dyDescent="0.25">
      <c r="A2182" s="2">
        <v>43794</v>
      </c>
      <c r="B2182" s="18">
        <f t="shared" si="68"/>
        <v>2019</v>
      </c>
      <c r="C2182" s="18">
        <f t="shared" si="69"/>
        <v>11</v>
      </c>
      <c r="D2182" s="3" t="s">
        <v>1843</v>
      </c>
      <c r="E2182" s="3" t="s">
        <v>365</v>
      </c>
      <c r="F2182" s="3" t="s">
        <v>11</v>
      </c>
      <c r="G2182" s="3" t="s">
        <v>30</v>
      </c>
      <c r="H2182" s="3" t="s">
        <v>150</v>
      </c>
      <c r="I2182" s="11">
        <v>1568.61</v>
      </c>
      <c r="J2182" s="18">
        <v>9</v>
      </c>
      <c r="K2182" s="12">
        <v>329.40809999999999</v>
      </c>
    </row>
    <row r="2183" spans="1:11" x14ac:dyDescent="0.25">
      <c r="A2183" s="4">
        <v>43794</v>
      </c>
      <c r="B2183" s="19">
        <f t="shared" si="68"/>
        <v>2019</v>
      </c>
      <c r="C2183" s="19">
        <f t="shared" si="69"/>
        <v>11</v>
      </c>
      <c r="D2183" s="5" t="s">
        <v>1843</v>
      </c>
      <c r="E2183" s="5" t="s">
        <v>365</v>
      </c>
      <c r="F2183" s="5" t="s">
        <v>19</v>
      </c>
      <c r="G2183" s="5" t="s">
        <v>32</v>
      </c>
      <c r="H2183" s="5" t="s">
        <v>841</v>
      </c>
      <c r="I2183" s="13">
        <v>17.3</v>
      </c>
      <c r="J2183" s="19">
        <v>1</v>
      </c>
      <c r="K2183" s="14">
        <v>8.3040000000000003</v>
      </c>
    </row>
    <row r="2184" spans="1:11" x14ac:dyDescent="0.25">
      <c r="A2184" s="2">
        <v>43794</v>
      </c>
      <c r="B2184" s="18">
        <f t="shared" si="68"/>
        <v>2019</v>
      </c>
      <c r="C2184" s="18">
        <f t="shared" si="69"/>
        <v>11</v>
      </c>
      <c r="D2184" s="3" t="s">
        <v>1843</v>
      </c>
      <c r="E2184" s="3" t="s">
        <v>365</v>
      </c>
      <c r="F2184" s="3" t="s">
        <v>14</v>
      </c>
      <c r="G2184" s="3" t="s">
        <v>24</v>
      </c>
      <c r="H2184" s="3" t="s">
        <v>831</v>
      </c>
      <c r="I2184" s="11">
        <v>160</v>
      </c>
      <c r="J2184" s="18">
        <v>8</v>
      </c>
      <c r="K2184" s="12">
        <v>62.4</v>
      </c>
    </row>
    <row r="2185" spans="1:11" x14ac:dyDescent="0.25">
      <c r="A2185" s="4">
        <v>43794</v>
      </c>
      <c r="B2185" s="19">
        <f t="shared" si="68"/>
        <v>2019</v>
      </c>
      <c r="C2185" s="19">
        <f t="shared" si="69"/>
        <v>11</v>
      </c>
      <c r="D2185" s="5" t="s">
        <v>1579</v>
      </c>
      <c r="E2185" s="5" t="s">
        <v>67</v>
      </c>
      <c r="F2185" s="5" t="s">
        <v>19</v>
      </c>
      <c r="G2185" s="5" t="s">
        <v>32</v>
      </c>
      <c r="H2185" s="5" t="s">
        <v>1303</v>
      </c>
      <c r="I2185" s="13">
        <v>456.58800000000002</v>
      </c>
      <c r="J2185" s="19">
        <v>2</v>
      </c>
      <c r="K2185" s="14">
        <v>-304.392</v>
      </c>
    </row>
    <row r="2186" spans="1:11" x14ac:dyDescent="0.25">
      <c r="A2186" s="2">
        <v>43794</v>
      </c>
      <c r="B2186" s="18">
        <f t="shared" si="68"/>
        <v>2019</v>
      </c>
      <c r="C2186" s="18">
        <f t="shared" si="69"/>
        <v>11</v>
      </c>
      <c r="D2186" s="3" t="s">
        <v>1579</v>
      </c>
      <c r="E2186" s="3" t="s">
        <v>67</v>
      </c>
      <c r="F2186" s="3" t="s">
        <v>14</v>
      </c>
      <c r="G2186" s="3" t="s">
        <v>188</v>
      </c>
      <c r="H2186" s="3" t="s">
        <v>1926</v>
      </c>
      <c r="I2186" s="11">
        <v>4499.9849999999997</v>
      </c>
      <c r="J2186" s="18">
        <v>5</v>
      </c>
      <c r="K2186" s="12">
        <v>-6599.9780000000001</v>
      </c>
    </row>
    <row r="2187" spans="1:11" x14ac:dyDescent="0.25">
      <c r="A2187" s="4">
        <v>43794</v>
      </c>
      <c r="B2187" s="19">
        <f t="shared" si="68"/>
        <v>2019</v>
      </c>
      <c r="C2187" s="19">
        <f t="shared" si="69"/>
        <v>11</v>
      </c>
      <c r="D2187" s="5" t="s">
        <v>1579</v>
      </c>
      <c r="E2187" s="5" t="s">
        <v>67</v>
      </c>
      <c r="F2187" s="5" t="s">
        <v>14</v>
      </c>
      <c r="G2187" s="5" t="s">
        <v>24</v>
      </c>
      <c r="H2187" s="5" t="s">
        <v>1927</v>
      </c>
      <c r="I2187" s="13">
        <v>59.975999999999999</v>
      </c>
      <c r="J2187" s="19">
        <v>3</v>
      </c>
      <c r="K2187" s="14">
        <v>11.995200000000001</v>
      </c>
    </row>
    <row r="2188" spans="1:11" x14ac:dyDescent="0.25">
      <c r="A2188" s="2">
        <v>43794</v>
      </c>
      <c r="B2188" s="18">
        <f t="shared" si="68"/>
        <v>2019</v>
      </c>
      <c r="C2188" s="18">
        <f t="shared" si="69"/>
        <v>11</v>
      </c>
      <c r="D2188" s="3" t="s">
        <v>1393</v>
      </c>
      <c r="E2188" s="3" t="s">
        <v>898</v>
      </c>
      <c r="F2188" s="3" t="s">
        <v>19</v>
      </c>
      <c r="G2188" s="3" t="s">
        <v>20</v>
      </c>
      <c r="H2188" s="3" t="s">
        <v>1197</v>
      </c>
      <c r="I2188" s="11">
        <v>73.36</v>
      </c>
      <c r="J2188" s="18">
        <v>7</v>
      </c>
      <c r="K2188" s="12">
        <v>19.807200000000002</v>
      </c>
    </row>
    <row r="2189" spans="1:11" x14ac:dyDescent="0.25">
      <c r="A2189" s="4">
        <v>43794</v>
      </c>
      <c r="B2189" s="19">
        <f t="shared" si="68"/>
        <v>2019</v>
      </c>
      <c r="C2189" s="19">
        <f t="shared" si="69"/>
        <v>11</v>
      </c>
      <c r="D2189" s="5" t="s">
        <v>1928</v>
      </c>
      <c r="E2189" s="5" t="s">
        <v>18</v>
      </c>
      <c r="F2189" s="5" t="s">
        <v>11</v>
      </c>
      <c r="G2189" s="5" t="s">
        <v>112</v>
      </c>
      <c r="H2189" s="5" t="s">
        <v>1929</v>
      </c>
      <c r="I2189" s="13">
        <v>194.352</v>
      </c>
      <c r="J2189" s="19">
        <v>3</v>
      </c>
      <c r="K2189" s="14">
        <v>19.435199999999998</v>
      </c>
    </row>
    <row r="2190" spans="1:11" x14ac:dyDescent="0.25">
      <c r="A2190" s="2">
        <v>43795</v>
      </c>
      <c r="B2190" s="18">
        <f t="shared" si="68"/>
        <v>2019</v>
      </c>
      <c r="C2190" s="18">
        <f t="shared" si="69"/>
        <v>11</v>
      </c>
      <c r="D2190" s="3" t="s">
        <v>1219</v>
      </c>
      <c r="E2190" s="3" t="s">
        <v>898</v>
      </c>
      <c r="F2190" s="3" t="s">
        <v>19</v>
      </c>
      <c r="G2190" s="3" t="s">
        <v>53</v>
      </c>
      <c r="H2190" s="3" t="s">
        <v>172</v>
      </c>
      <c r="I2190" s="11">
        <v>70.98</v>
      </c>
      <c r="J2190" s="18">
        <v>7</v>
      </c>
      <c r="K2190" s="12">
        <v>34.780200000000001</v>
      </c>
    </row>
    <row r="2191" spans="1:11" x14ac:dyDescent="0.25">
      <c r="A2191" s="4">
        <v>43795</v>
      </c>
      <c r="B2191" s="19">
        <f t="shared" si="68"/>
        <v>2019</v>
      </c>
      <c r="C2191" s="19">
        <f t="shared" si="69"/>
        <v>11</v>
      </c>
      <c r="D2191" s="5" t="s">
        <v>1219</v>
      </c>
      <c r="E2191" s="5" t="s">
        <v>898</v>
      </c>
      <c r="F2191" s="5" t="s">
        <v>19</v>
      </c>
      <c r="G2191" s="5" t="s">
        <v>32</v>
      </c>
      <c r="H2191" s="5" t="s">
        <v>1385</v>
      </c>
      <c r="I2191" s="13">
        <v>91.68</v>
      </c>
      <c r="J2191" s="19">
        <v>3</v>
      </c>
      <c r="K2191" s="14">
        <v>45.84</v>
      </c>
    </row>
    <row r="2192" spans="1:11" x14ac:dyDescent="0.25">
      <c r="A2192" s="2">
        <v>43795</v>
      </c>
      <c r="B2192" s="18">
        <f t="shared" si="68"/>
        <v>2019</v>
      </c>
      <c r="C2192" s="18">
        <f t="shared" si="69"/>
        <v>11</v>
      </c>
      <c r="D2192" s="3" t="s">
        <v>1219</v>
      </c>
      <c r="E2192" s="3" t="s">
        <v>898</v>
      </c>
      <c r="F2192" s="3" t="s">
        <v>19</v>
      </c>
      <c r="G2192" s="3" t="s">
        <v>32</v>
      </c>
      <c r="H2192" s="3" t="s">
        <v>1930</v>
      </c>
      <c r="I2192" s="11">
        <v>33.75</v>
      </c>
      <c r="J2192" s="18">
        <v>5</v>
      </c>
      <c r="K2192" s="12">
        <v>16.875</v>
      </c>
    </row>
    <row r="2193" spans="1:11" x14ac:dyDescent="0.25">
      <c r="A2193" s="4">
        <v>43795</v>
      </c>
      <c r="B2193" s="19">
        <f t="shared" si="68"/>
        <v>2019</v>
      </c>
      <c r="C2193" s="19">
        <f t="shared" si="69"/>
        <v>11</v>
      </c>
      <c r="D2193" s="5" t="s">
        <v>1219</v>
      </c>
      <c r="E2193" s="5" t="s">
        <v>898</v>
      </c>
      <c r="F2193" s="5" t="s">
        <v>14</v>
      </c>
      <c r="G2193" s="5" t="s">
        <v>188</v>
      </c>
      <c r="H2193" s="5" t="s">
        <v>1931</v>
      </c>
      <c r="I2193" s="13">
        <v>3040</v>
      </c>
      <c r="J2193" s="19">
        <v>8</v>
      </c>
      <c r="K2193" s="14">
        <v>1459.2</v>
      </c>
    </row>
    <row r="2194" spans="1:11" x14ac:dyDescent="0.25">
      <c r="A2194" s="2">
        <v>43795</v>
      </c>
      <c r="B2194" s="18">
        <f t="shared" si="68"/>
        <v>2019</v>
      </c>
      <c r="C2194" s="18">
        <f t="shared" si="69"/>
        <v>11</v>
      </c>
      <c r="D2194" s="3" t="s">
        <v>1675</v>
      </c>
      <c r="E2194" s="3" t="s">
        <v>70</v>
      </c>
      <c r="F2194" s="3" t="s">
        <v>19</v>
      </c>
      <c r="G2194" s="3" t="s">
        <v>32</v>
      </c>
      <c r="H2194" s="3" t="s">
        <v>741</v>
      </c>
      <c r="I2194" s="11">
        <v>7.3120000000000003</v>
      </c>
      <c r="J2194" s="18">
        <v>2</v>
      </c>
      <c r="K2194" s="12">
        <v>2.5592000000000001</v>
      </c>
    </row>
    <row r="2195" spans="1:11" x14ac:dyDescent="0.25">
      <c r="A2195" s="4">
        <v>43795</v>
      </c>
      <c r="B2195" s="19">
        <f t="shared" si="68"/>
        <v>2019</v>
      </c>
      <c r="C2195" s="19">
        <f t="shared" si="69"/>
        <v>11</v>
      </c>
      <c r="D2195" s="5" t="s">
        <v>1359</v>
      </c>
      <c r="E2195" s="5" t="s">
        <v>39</v>
      </c>
      <c r="F2195" s="5" t="s">
        <v>14</v>
      </c>
      <c r="G2195" s="5" t="s">
        <v>15</v>
      </c>
      <c r="H2195" s="5" t="s">
        <v>896</v>
      </c>
      <c r="I2195" s="13">
        <v>494.98200000000003</v>
      </c>
      <c r="J2195" s="19">
        <v>3</v>
      </c>
      <c r="K2195" s="14">
        <v>-115.4958</v>
      </c>
    </row>
    <row r="2196" spans="1:11" x14ac:dyDescent="0.25">
      <c r="A2196" s="2">
        <v>43795</v>
      </c>
      <c r="B2196" s="18">
        <f t="shared" si="68"/>
        <v>2019</v>
      </c>
      <c r="C2196" s="18">
        <f t="shared" si="69"/>
        <v>11</v>
      </c>
      <c r="D2196" s="3" t="s">
        <v>1759</v>
      </c>
      <c r="E2196" s="3" t="s">
        <v>44</v>
      </c>
      <c r="F2196" s="3" t="s">
        <v>19</v>
      </c>
      <c r="G2196" s="3" t="s">
        <v>32</v>
      </c>
      <c r="H2196" s="3" t="s">
        <v>1162</v>
      </c>
      <c r="I2196" s="11">
        <v>3.7440000000000002</v>
      </c>
      <c r="J2196" s="18">
        <v>4</v>
      </c>
      <c r="K2196" s="12">
        <v>-2.6208</v>
      </c>
    </row>
    <row r="2197" spans="1:11" x14ac:dyDescent="0.25">
      <c r="A2197" s="4">
        <v>43795</v>
      </c>
      <c r="B2197" s="19">
        <f t="shared" si="68"/>
        <v>2019</v>
      </c>
      <c r="C2197" s="19">
        <f t="shared" si="69"/>
        <v>11</v>
      </c>
      <c r="D2197" s="5" t="s">
        <v>396</v>
      </c>
      <c r="E2197" s="5" t="s">
        <v>94</v>
      </c>
      <c r="F2197" s="5" t="s">
        <v>11</v>
      </c>
      <c r="G2197" s="5" t="s">
        <v>30</v>
      </c>
      <c r="H2197" s="5" t="s">
        <v>1932</v>
      </c>
      <c r="I2197" s="13">
        <v>313.17599999999999</v>
      </c>
      <c r="J2197" s="19">
        <v>2</v>
      </c>
      <c r="K2197" s="14">
        <v>-120.0508</v>
      </c>
    </row>
    <row r="2198" spans="1:11" x14ac:dyDescent="0.25">
      <c r="A2198" s="2">
        <v>43795</v>
      </c>
      <c r="B2198" s="18">
        <f t="shared" si="68"/>
        <v>2019</v>
      </c>
      <c r="C2198" s="18">
        <f t="shared" si="69"/>
        <v>11</v>
      </c>
      <c r="D2198" s="3" t="s">
        <v>1918</v>
      </c>
      <c r="E2198" s="3" t="s">
        <v>23</v>
      </c>
      <c r="F2198" s="3" t="s">
        <v>19</v>
      </c>
      <c r="G2198" s="3" t="s">
        <v>40</v>
      </c>
      <c r="H2198" s="3" t="s">
        <v>744</v>
      </c>
      <c r="I2198" s="11">
        <v>17.856000000000002</v>
      </c>
      <c r="J2198" s="18">
        <v>4</v>
      </c>
      <c r="K2198" s="12">
        <v>4.2408000000000001</v>
      </c>
    </row>
    <row r="2199" spans="1:11" x14ac:dyDescent="0.25">
      <c r="A2199" s="4">
        <v>43795</v>
      </c>
      <c r="B2199" s="19">
        <f t="shared" si="68"/>
        <v>2019</v>
      </c>
      <c r="C2199" s="19">
        <f t="shared" si="69"/>
        <v>11</v>
      </c>
      <c r="D2199" s="5" t="s">
        <v>1726</v>
      </c>
      <c r="E2199" s="5" t="s">
        <v>91</v>
      </c>
      <c r="F2199" s="5" t="s">
        <v>14</v>
      </c>
      <c r="G2199" s="5" t="s">
        <v>24</v>
      </c>
      <c r="H2199" s="5" t="s">
        <v>1842</v>
      </c>
      <c r="I2199" s="13">
        <v>59.97</v>
      </c>
      <c r="J2199" s="19">
        <v>3</v>
      </c>
      <c r="K2199" s="14">
        <v>14.9925</v>
      </c>
    </row>
    <row r="2200" spans="1:11" x14ac:dyDescent="0.25">
      <c r="A2200" s="2">
        <v>43795</v>
      </c>
      <c r="B2200" s="18">
        <f t="shared" si="68"/>
        <v>2019</v>
      </c>
      <c r="C2200" s="18">
        <f t="shared" si="69"/>
        <v>11</v>
      </c>
      <c r="D2200" s="3" t="s">
        <v>1726</v>
      </c>
      <c r="E2200" s="3" t="s">
        <v>91</v>
      </c>
      <c r="F2200" s="3" t="s">
        <v>19</v>
      </c>
      <c r="G2200" s="3" t="s">
        <v>53</v>
      </c>
      <c r="H2200" s="3" t="s">
        <v>96</v>
      </c>
      <c r="I2200" s="11">
        <v>13.36</v>
      </c>
      <c r="J2200" s="18">
        <v>2</v>
      </c>
      <c r="K2200" s="12">
        <v>6.4127999999999998</v>
      </c>
    </row>
    <row r="2201" spans="1:11" x14ac:dyDescent="0.25">
      <c r="A2201" s="4">
        <v>43795</v>
      </c>
      <c r="B2201" s="19">
        <f t="shared" si="68"/>
        <v>2019</v>
      </c>
      <c r="C2201" s="19">
        <f t="shared" si="69"/>
        <v>11</v>
      </c>
      <c r="D2201" s="5" t="s">
        <v>100</v>
      </c>
      <c r="E2201" s="5" t="s">
        <v>39</v>
      </c>
      <c r="F2201" s="5" t="s">
        <v>19</v>
      </c>
      <c r="G2201" s="5" t="s">
        <v>32</v>
      </c>
      <c r="H2201" s="5" t="s">
        <v>1155</v>
      </c>
      <c r="I2201" s="13">
        <v>78.759</v>
      </c>
      <c r="J2201" s="19">
        <v>9</v>
      </c>
      <c r="K2201" s="14">
        <v>-57.756599999999999</v>
      </c>
    </row>
    <row r="2202" spans="1:11" x14ac:dyDescent="0.25">
      <c r="A2202" s="2">
        <v>43795</v>
      </c>
      <c r="B2202" s="18">
        <f t="shared" si="68"/>
        <v>2019</v>
      </c>
      <c r="C2202" s="18">
        <f t="shared" si="69"/>
        <v>11</v>
      </c>
      <c r="D2202" s="3" t="s">
        <v>200</v>
      </c>
      <c r="E2202" s="3" t="s">
        <v>18</v>
      </c>
      <c r="F2202" s="3" t="s">
        <v>11</v>
      </c>
      <c r="G2202" s="3" t="s">
        <v>12</v>
      </c>
      <c r="H2202" s="3" t="s">
        <v>1933</v>
      </c>
      <c r="I2202" s="11">
        <v>3406.6640000000002</v>
      </c>
      <c r="J2202" s="18">
        <v>8</v>
      </c>
      <c r="K2202" s="12">
        <v>160.31360000000001</v>
      </c>
    </row>
    <row r="2203" spans="1:11" x14ac:dyDescent="0.25">
      <c r="A2203" s="4">
        <v>43795</v>
      </c>
      <c r="B2203" s="19">
        <f t="shared" si="68"/>
        <v>2019</v>
      </c>
      <c r="C2203" s="19">
        <f t="shared" si="69"/>
        <v>11</v>
      </c>
      <c r="D2203" s="5" t="s">
        <v>200</v>
      </c>
      <c r="E2203" s="5" t="s">
        <v>18</v>
      </c>
      <c r="F2203" s="5" t="s">
        <v>19</v>
      </c>
      <c r="G2203" s="5" t="s">
        <v>40</v>
      </c>
      <c r="H2203" s="5" t="s">
        <v>1776</v>
      </c>
      <c r="I2203" s="13">
        <v>37.17</v>
      </c>
      <c r="J2203" s="19">
        <v>9</v>
      </c>
      <c r="K2203" s="14">
        <v>10.4076</v>
      </c>
    </row>
    <row r="2204" spans="1:11" x14ac:dyDescent="0.25">
      <c r="A2204" s="2">
        <v>43795</v>
      </c>
      <c r="B2204" s="18">
        <f t="shared" si="68"/>
        <v>2019</v>
      </c>
      <c r="C2204" s="18">
        <f t="shared" si="69"/>
        <v>11</v>
      </c>
      <c r="D2204" s="3" t="s">
        <v>200</v>
      </c>
      <c r="E2204" s="3" t="s">
        <v>18</v>
      </c>
      <c r="F2204" s="3" t="s">
        <v>19</v>
      </c>
      <c r="G2204" s="3" t="s">
        <v>121</v>
      </c>
      <c r="H2204" s="3" t="s">
        <v>1834</v>
      </c>
      <c r="I2204" s="11">
        <v>64.959999999999994</v>
      </c>
      <c r="J2204" s="18">
        <v>2</v>
      </c>
      <c r="K2204" s="12">
        <v>19.488</v>
      </c>
    </row>
    <row r="2205" spans="1:11" x14ac:dyDescent="0.25">
      <c r="A2205" s="4">
        <v>43795</v>
      </c>
      <c r="B2205" s="19">
        <f t="shared" si="68"/>
        <v>2019</v>
      </c>
      <c r="C2205" s="19">
        <f t="shared" si="69"/>
        <v>11</v>
      </c>
      <c r="D2205" s="5" t="s">
        <v>200</v>
      </c>
      <c r="E2205" s="5" t="s">
        <v>18</v>
      </c>
      <c r="F2205" s="5" t="s">
        <v>11</v>
      </c>
      <c r="G2205" s="5" t="s">
        <v>51</v>
      </c>
      <c r="H2205" s="5" t="s">
        <v>834</v>
      </c>
      <c r="I2205" s="13">
        <v>595.38</v>
      </c>
      <c r="J2205" s="19">
        <v>6</v>
      </c>
      <c r="K2205" s="14">
        <v>297.69</v>
      </c>
    </row>
    <row r="2206" spans="1:11" x14ac:dyDescent="0.25">
      <c r="A2206" s="2">
        <v>43796</v>
      </c>
      <c r="B2206" s="18">
        <f t="shared" si="68"/>
        <v>2019</v>
      </c>
      <c r="C2206" s="18">
        <f t="shared" si="69"/>
        <v>11</v>
      </c>
      <c r="D2206" s="3" t="s">
        <v>1380</v>
      </c>
      <c r="E2206" s="3" t="s">
        <v>164</v>
      </c>
      <c r="F2206" s="3" t="s">
        <v>19</v>
      </c>
      <c r="G2206" s="3" t="s">
        <v>20</v>
      </c>
      <c r="H2206" s="3" t="s">
        <v>152</v>
      </c>
      <c r="I2206" s="11">
        <v>97.983999999999995</v>
      </c>
      <c r="J2206" s="18">
        <v>2</v>
      </c>
      <c r="K2206" s="12">
        <v>-24.495999999999999</v>
      </c>
    </row>
    <row r="2207" spans="1:11" x14ac:dyDescent="0.25">
      <c r="A2207" s="4">
        <v>43796</v>
      </c>
      <c r="B2207" s="19">
        <f t="shared" si="68"/>
        <v>2019</v>
      </c>
      <c r="C2207" s="19">
        <f t="shared" si="69"/>
        <v>11</v>
      </c>
      <c r="D2207" s="5" t="s">
        <v>1380</v>
      </c>
      <c r="E2207" s="5" t="s">
        <v>164</v>
      </c>
      <c r="F2207" s="5" t="s">
        <v>14</v>
      </c>
      <c r="G2207" s="5" t="s">
        <v>24</v>
      </c>
      <c r="H2207" s="5" t="s">
        <v>1934</v>
      </c>
      <c r="I2207" s="13">
        <v>62.4</v>
      </c>
      <c r="J2207" s="19">
        <v>6</v>
      </c>
      <c r="K2207" s="14">
        <v>19.5</v>
      </c>
    </row>
    <row r="2208" spans="1:11" x14ac:dyDescent="0.25">
      <c r="A2208" s="2">
        <v>43796</v>
      </c>
      <c r="B2208" s="18">
        <f t="shared" si="68"/>
        <v>2019</v>
      </c>
      <c r="C2208" s="18">
        <f t="shared" si="69"/>
        <v>11</v>
      </c>
      <c r="D2208" s="3" t="s">
        <v>316</v>
      </c>
      <c r="E2208" s="3" t="s">
        <v>198</v>
      </c>
      <c r="F2208" s="3" t="s">
        <v>14</v>
      </c>
      <c r="G2208" s="3" t="s">
        <v>15</v>
      </c>
      <c r="H2208" s="3" t="s">
        <v>1935</v>
      </c>
      <c r="I2208" s="11">
        <v>271.99200000000002</v>
      </c>
      <c r="J2208" s="18">
        <v>1</v>
      </c>
      <c r="K2208" s="12">
        <v>23.799299999999999</v>
      </c>
    </row>
    <row r="2209" spans="1:11" x14ac:dyDescent="0.25">
      <c r="A2209" s="4">
        <v>43796</v>
      </c>
      <c r="B2209" s="19">
        <f t="shared" si="68"/>
        <v>2019</v>
      </c>
      <c r="C2209" s="19">
        <f t="shared" si="69"/>
        <v>11</v>
      </c>
      <c r="D2209" s="5" t="s">
        <v>1770</v>
      </c>
      <c r="E2209" s="5" t="s">
        <v>365</v>
      </c>
      <c r="F2209" s="5" t="s">
        <v>19</v>
      </c>
      <c r="G2209" s="5" t="s">
        <v>121</v>
      </c>
      <c r="H2209" s="5" t="s">
        <v>398</v>
      </c>
      <c r="I2209" s="13">
        <v>167.292</v>
      </c>
      <c r="J2209" s="19">
        <v>6</v>
      </c>
      <c r="K2209" s="14">
        <v>29.7408</v>
      </c>
    </row>
    <row r="2210" spans="1:11" x14ac:dyDescent="0.25">
      <c r="A2210" s="2">
        <v>43796</v>
      </c>
      <c r="B2210" s="18">
        <f t="shared" si="68"/>
        <v>2019</v>
      </c>
      <c r="C2210" s="18">
        <f t="shared" si="69"/>
        <v>11</v>
      </c>
      <c r="D2210" s="3" t="s">
        <v>339</v>
      </c>
      <c r="E2210" s="3" t="s">
        <v>1051</v>
      </c>
      <c r="F2210" s="3" t="s">
        <v>14</v>
      </c>
      <c r="G2210" s="3" t="s">
        <v>24</v>
      </c>
      <c r="H2210" s="3" t="s">
        <v>362</v>
      </c>
      <c r="I2210" s="11">
        <v>34.950000000000003</v>
      </c>
      <c r="J2210" s="18">
        <v>5</v>
      </c>
      <c r="K2210" s="12">
        <v>15.378</v>
      </c>
    </row>
    <row r="2211" spans="1:11" x14ac:dyDescent="0.25">
      <c r="A2211" s="4">
        <v>43796</v>
      </c>
      <c r="B2211" s="19">
        <f t="shared" si="68"/>
        <v>2019</v>
      </c>
      <c r="C2211" s="19">
        <f t="shared" si="69"/>
        <v>11</v>
      </c>
      <c r="D2211" s="5" t="s">
        <v>339</v>
      </c>
      <c r="E2211" s="5" t="s">
        <v>1051</v>
      </c>
      <c r="F2211" s="5" t="s">
        <v>19</v>
      </c>
      <c r="G2211" s="5" t="s">
        <v>32</v>
      </c>
      <c r="H2211" s="5" t="s">
        <v>1607</v>
      </c>
      <c r="I2211" s="13">
        <v>152</v>
      </c>
      <c r="J2211" s="19">
        <v>5</v>
      </c>
      <c r="K2211" s="14">
        <v>69.92</v>
      </c>
    </row>
    <row r="2212" spans="1:11" x14ac:dyDescent="0.25">
      <c r="A2212" s="2">
        <v>43796</v>
      </c>
      <c r="B2212" s="18">
        <f t="shared" si="68"/>
        <v>2019</v>
      </c>
      <c r="C2212" s="18">
        <f t="shared" si="69"/>
        <v>11</v>
      </c>
      <c r="D2212" s="3" t="s">
        <v>1820</v>
      </c>
      <c r="E2212" s="3" t="s">
        <v>85</v>
      </c>
      <c r="F2212" s="3" t="s">
        <v>11</v>
      </c>
      <c r="G2212" s="3" t="s">
        <v>51</v>
      </c>
      <c r="H2212" s="3" t="s">
        <v>701</v>
      </c>
      <c r="I2212" s="11">
        <v>31.56</v>
      </c>
      <c r="J2212" s="18">
        <v>3</v>
      </c>
      <c r="K2212" s="12">
        <v>10.4148</v>
      </c>
    </row>
    <row r="2213" spans="1:11" x14ac:dyDescent="0.25">
      <c r="A2213" s="4">
        <v>43796</v>
      </c>
      <c r="B2213" s="19">
        <f t="shared" si="68"/>
        <v>2019</v>
      </c>
      <c r="C2213" s="19">
        <f t="shared" si="69"/>
        <v>11</v>
      </c>
      <c r="D2213" s="5" t="s">
        <v>596</v>
      </c>
      <c r="E2213" s="5" t="s">
        <v>44</v>
      </c>
      <c r="F2213" s="5" t="s">
        <v>14</v>
      </c>
      <c r="G2213" s="5" t="s">
        <v>15</v>
      </c>
      <c r="H2213" s="5" t="s">
        <v>1563</v>
      </c>
      <c r="I2213" s="13">
        <v>116.76</v>
      </c>
      <c r="J2213" s="19">
        <v>1</v>
      </c>
      <c r="K2213" s="14">
        <v>14.595000000000001</v>
      </c>
    </row>
    <row r="2214" spans="1:11" x14ac:dyDescent="0.25">
      <c r="A2214" s="2">
        <v>43796</v>
      </c>
      <c r="B2214" s="18">
        <f t="shared" si="68"/>
        <v>2019</v>
      </c>
      <c r="C2214" s="18">
        <f t="shared" si="69"/>
        <v>11</v>
      </c>
      <c r="D2214" s="3" t="s">
        <v>596</v>
      </c>
      <c r="E2214" s="3" t="s">
        <v>44</v>
      </c>
      <c r="F2214" s="3" t="s">
        <v>11</v>
      </c>
      <c r="G2214" s="3" t="s">
        <v>30</v>
      </c>
      <c r="H2214" s="3" t="s">
        <v>609</v>
      </c>
      <c r="I2214" s="11">
        <v>331.02300000000002</v>
      </c>
      <c r="J2214" s="18">
        <v>7</v>
      </c>
      <c r="K2214" s="12">
        <v>-114.35339999999999</v>
      </c>
    </row>
    <row r="2215" spans="1:11" x14ac:dyDescent="0.25">
      <c r="A2215" s="4">
        <v>43796</v>
      </c>
      <c r="B2215" s="19">
        <f t="shared" si="68"/>
        <v>2019</v>
      </c>
      <c r="C2215" s="19">
        <f t="shared" si="69"/>
        <v>11</v>
      </c>
      <c r="D2215" s="5" t="s">
        <v>742</v>
      </c>
      <c r="E2215" s="5" t="s">
        <v>198</v>
      </c>
      <c r="F2215" s="5" t="s">
        <v>19</v>
      </c>
      <c r="G2215" s="5" t="s">
        <v>20</v>
      </c>
      <c r="H2215" s="5" t="s">
        <v>960</v>
      </c>
      <c r="I2215" s="13">
        <v>39.808</v>
      </c>
      <c r="J2215" s="19">
        <v>4</v>
      </c>
      <c r="K2215" s="14">
        <v>3.9807999999999999</v>
      </c>
    </row>
    <row r="2216" spans="1:11" x14ac:dyDescent="0.25">
      <c r="A2216" s="2">
        <v>43796</v>
      </c>
      <c r="B2216" s="18">
        <f t="shared" si="68"/>
        <v>2019</v>
      </c>
      <c r="C2216" s="18">
        <f t="shared" si="69"/>
        <v>11</v>
      </c>
      <c r="D2216" s="3" t="s">
        <v>1936</v>
      </c>
      <c r="E2216" s="3" t="s">
        <v>85</v>
      </c>
      <c r="F2216" s="3" t="s">
        <v>19</v>
      </c>
      <c r="G2216" s="3" t="s">
        <v>53</v>
      </c>
      <c r="H2216" s="3" t="s">
        <v>1937</v>
      </c>
      <c r="I2216" s="11">
        <v>25.92</v>
      </c>
      <c r="J2216" s="18">
        <v>4</v>
      </c>
      <c r="K2216" s="12">
        <v>12.441599999999999</v>
      </c>
    </row>
    <row r="2217" spans="1:11" x14ac:dyDescent="0.25">
      <c r="A2217" s="4">
        <v>43796</v>
      </c>
      <c r="B2217" s="19">
        <f t="shared" si="68"/>
        <v>2019</v>
      </c>
      <c r="C2217" s="19">
        <f t="shared" si="69"/>
        <v>11</v>
      </c>
      <c r="D2217" s="5" t="s">
        <v>1936</v>
      </c>
      <c r="E2217" s="5" t="s">
        <v>85</v>
      </c>
      <c r="F2217" s="5" t="s">
        <v>19</v>
      </c>
      <c r="G2217" s="5" t="s">
        <v>40</v>
      </c>
      <c r="H2217" s="5" t="s">
        <v>1938</v>
      </c>
      <c r="I2217" s="13">
        <v>34.65</v>
      </c>
      <c r="J2217" s="19">
        <v>3</v>
      </c>
      <c r="K2217" s="14">
        <v>9.702</v>
      </c>
    </row>
    <row r="2218" spans="1:11" x14ac:dyDescent="0.25">
      <c r="A2218" s="2">
        <v>43796</v>
      </c>
      <c r="B2218" s="18">
        <f t="shared" si="68"/>
        <v>2019</v>
      </c>
      <c r="C2218" s="18">
        <f t="shared" si="69"/>
        <v>11</v>
      </c>
      <c r="D2218" s="3" t="s">
        <v>1936</v>
      </c>
      <c r="E2218" s="3" t="s">
        <v>85</v>
      </c>
      <c r="F2218" s="3" t="s">
        <v>19</v>
      </c>
      <c r="G2218" s="3" t="s">
        <v>53</v>
      </c>
      <c r="H2218" s="3" t="s">
        <v>610</v>
      </c>
      <c r="I2218" s="11">
        <v>204.95</v>
      </c>
      <c r="J2218" s="18">
        <v>5</v>
      </c>
      <c r="K2218" s="12">
        <v>100.4255</v>
      </c>
    </row>
    <row r="2219" spans="1:11" x14ac:dyDescent="0.25">
      <c r="A2219" s="4">
        <v>43796</v>
      </c>
      <c r="B2219" s="19">
        <f t="shared" si="68"/>
        <v>2019</v>
      </c>
      <c r="C2219" s="19">
        <f t="shared" si="69"/>
        <v>11</v>
      </c>
      <c r="D2219" s="5" t="s">
        <v>1936</v>
      </c>
      <c r="E2219" s="5" t="s">
        <v>85</v>
      </c>
      <c r="F2219" s="5" t="s">
        <v>19</v>
      </c>
      <c r="G2219" s="5" t="s">
        <v>32</v>
      </c>
      <c r="H2219" s="5" t="s">
        <v>443</v>
      </c>
      <c r="I2219" s="13">
        <v>79.95</v>
      </c>
      <c r="J2219" s="19">
        <v>5</v>
      </c>
      <c r="K2219" s="14">
        <v>38.375999999999998</v>
      </c>
    </row>
    <row r="2220" spans="1:11" x14ac:dyDescent="0.25">
      <c r="A2220" s="2">
        <v>43797</v>
      </c>
      <c r="B2220" s="18">
        <f t="shared" si="68"/>
        <v>2019</v>
      </c>
      <c r="C2220" s="18">
        <f t="shared" si="69"/>
        <v>11</v>
      </c>
      <c r="D2220" s="3" t="s">
        <v>1939</v>
      </c>
      <c r="E2220" s="3" t="s">
        <v>91</v>
      </c>
      <c r="F2220" s="3" t="s">
        <v>19</v>
      </c>
      <c r="G2220" s="3" t="s">
        <v>32</v>
      </c>
      <c r="H2220" s="3" t="s">
        <v>781</v>
      </c>
      <c r="I2220" s="11">
        <v>7.16</v>
      </c>
      <c r="J2220" s="18">
        <v>2</v>
      </c>
      <c r="K2220" s="12">
        <v>3.4367999999999999</v>
      </c>
    </row>
    <row r="2221" spans="1:11" x14ac:dyDescent="0.25">
      <c r="A2221" s="4">
        <v>43797</v>
      </c>
      <c r="B2221" s="19">
        <f t="shared" si="68"/>
        <v>2019</v>
      </c>
      <c r="C2221" s="19">
        <f t="shared" si="69"/>
        <v>11</v>
      </c>
      <c r="D2221" s="5" t="s">
        <v>1940</v>
      </c>
      <c r="E2221" s="5" t="s">
        <v>44</v>
      </c>
      <c r="F2221" s="5" t="s">
        <v>19</v>
      </c>
      <c r="G2221" s="5" t="s">
        <v>32</v>
      </c>
      <c r="H2221" s="5" t="s">
        <v>1941</v>
      </c>
      <c r="I2221" s="13">
        <v>7.4340000000000002</v>
      </c>
      <c r="J2221" s="19">
        <v>6</v>
      </c>
      <c r="K2221" s="14">
        <v>-5.6993999999999998</v>
      </c>
    </row>
    <row r="2222" spans="1:11" x14ac:dyDescent="0.25">
      <c r="A2222" s="2">
        <v>43797</v>
      </c>
      <c r="B2222" s="18">
        <f t="shared" si="68"/>
        <v>2019</v>
      </c>
      <c r="C2222" s="18">
        <f t="shared" si="69"/>
        <v>11</v>
      </c>
      <c r="D2222" s="3" t="s">
        <v>333</v>
      </c>
      <c r="E2222" s="3" t="s">
        <v>109</v>
      </c>
      <c r="F2222" s="3" t="s">
        <v>11</v>
      </c>
      <c r="G2222" s="3" t="s">
        <v>112</v>
      </c>
      <c r="H2222" s="3" t="s">
        <v>1516</v>
      </c>
      <c r="I2222" s="11">
        <v>182.67</v>
      </c>
      <c r="J2222" s="18">
        <v>3</v>
      </c>
      <c r="K2222" s="12">
        <v>52.974299999999999</v>
      </c>
    </row>
    <row r="2223" spans="1:11" x14ac:dyDescent="0.25">
      <c r="A2223" s="4">
        <v>43797</v>
      </c>
      <c r="B2223" s="19">
        <f t="shared" si="68"/>
        <v>2019</v>
      </c>
      <c r="C2223" s="19">
        <f t="shared" si="69"/>
        <v>11</v>
      </c>
      <c r="D2223" s="5" t="s">
        <v>333</v>
      </c>
      <c r="E2223" s="5" t="s">
        <v>109</v>
      </c>
      <c r="F2223" s="5" t="s">
        <v>14</v>
      </c>
      <c r="G2223" s="5" t="s">
        <v>24</v>
      </c>
      <c r="H2223" s="5" t="s">
        <v>1942</v>
      </c>
      <c r="I2223" s="13">
        <v>101.7</v>
      </c>
      <c r="J2223" s="19">
        <v>6</v>
      </c>
      <c r="K2223" s="14">
        <v>6.1020000000000003</v>
      </c>
    </row>
    <row r="2224" spans="1:11" x14ac:dyDescent="0.25">
      <c r="A2224" s="2">
        <v>43797</v>
      </c>
      <c r="B2224" s="18">
        <f t="shared" si="68"/>
        <v>2019</v>
      </c>
      <c r="C2224" s="18">
        <f t="shared" si="69"/>
        <v>11</v>
      </c>
      <c r="D2224" s="3" t="s">
        <v>333</v>
      </c>
      <c r="E2224" s="3" t="s">
        <v>109</v>
      </c>
      <c r="F2224" s="3" t="s">
        <v>19</v>
      </c>
      <c r="G2224" s="3" t="s">
        <v>20</v>
      </c>
      <c r="H2224" s="3" t="s">
        <v>1943</v>
      </c>
      <c r="I2224" s="11">
        <v>1126.02</v>
      </c>
      <c r="J2224" s="18">
        <v>3</v>
      </c>
      <c r="K2224" s="12">
        <v>56.301000000000002</v>
      </c>
    </row>
    <row r="2225" spans="1:11" x14ac:dyDescent="0.25">
      <c r="A2225" s="4">
        <v>43797</v>
      </c>
      <c r="B2225" s="19">
        <f t="shared" si="68"/>
        <v>2019</v>
      </c>
      <c r="C2225" s="19">
        <f t="shared" si="69"/>
        <v>11</v>
      </c>
      <c r="D2225" s="5" t="s">
        <v>333</v>
      </c>
      <c r="E2225" s="5" t="s">
        <v>109</v>
      </c>
      <c r="F2225" s="5" t="s">
        <v>19</v>
      </c>
      <c r="G2225" s="5" t="s">
        <v>20</v>
      </c>
      <c r="H2225" s="5" t="s">
        <v>1944</v>
      </c>
      <c r="I2225" s="13">
        <v>1263.3</v>
      </c>
      <c r="J2225" s="19">
        <v>6</v>
      </c>
      <c r="K2225" s="14">
        <v>315.82499999999999</v>
      </c>
    </row>
    <row r="2226" spans="1:11" x14ac:dyDescent="0.25">
      <c r="A2226" s="2">
        <v>43797</v>
      </c>
      <c r="B2226" s="18">
        <f t="shared" si="68"/>
        <v>2019</v>
      </c>
      <c r="C2226" s="18">
        <f t="shared" si="69"/>
        <v>11</v>
      </c>
      <c r="D2226" s="3" t="s">
        <v>502</v>
      </c>
      <c r="E2226" s="3" t="s">
        <v>39</v>
      </c>
      <c r="F2226" s="3" t="s">
        <v>14</v>
      </c>
      <c r="G2226" s="3" t="s">
        <v>15</v>
      </c>
      <c r="H2226" s="3" t="s">
        <v>1079</v>
      </c>
      <c r="I2226" s="11">
        <v>340.18200000000002</v>
      </c>
      <c r="J2226" s="18">
        <v>3</v>
      </c>
      <c r="K2226" s="12">
        <v>-73.706100000000006</v>
      </c>
    </row>
    <row r="2227" spans="1:11" x14ac:dyDescent="0.25">
      <c r="A2227" s="4">
        <v>43797</v>
      </c>
      <c r="B2227" s="19">
        <f t="shared" si="68"/>
        <v>2019</v>
      </c>
      <c r="C2227" s="19">
        <f t="shared" si="69"/>
        <v>11</v>
      </c>
      <c r="D2227" s="5" t="s">
        <v>502</v>
      </c>
      <c r="E2227" s="5" t="s">
        <v>39</v>
      </c>
      <c r="F2227" s="5" t="s">
        <v>19</v>
      </c>
      <c r="G2227" s="5" t="s">
        <v>116</v>
      </c>
      <c r="H2227" s="5" t="s">
        <v>1103</v>
      </c>
      <c r="I2227" s="13">
        <v>12.672000000000001</v>
      </c>
      <c r="J2227" s="19">
        <v>8</v>
      </c>
      <c r="K2227" s="14">
        <v>2.6928000000000001</v>
      </c>
    </row>
    <row r="2228" spans="1:11" x14ac:dyDescent="0.25">
      <c r="A2228" s="2">
        <v>43797</v>
      </c>
      <c r="B2228" s="18">
        <f t="shared" si="68"/>
        <v>2019</v>
      </c>
      <c r="C2228" s="18">
        <f t="shared" si="69"/>
        <v>11</v>
      </c>
      <c r="D2228" s="3" t="s">
        <v>502</v>
      </c>
      <c r="E2228" s="3" t="s">
        <v>39</v>
      </c>
      <c r="F2228" s="3" t="s">
        <v>19</v>
      </c>
      <c r="G2228" s="3" t="s">
        <v>32</v>
      </c>
      <c r="H2228" s="3" t="s">
        <v>1472</v>
      </c>
      <c r="I2228" s="11">
        <v>6.8879999999999999</v>
      </c>
      <c r="J2228" s="18">
        <v>2</v>
      </c>
      <c r="K2228" s="12">
        <v>-5.0511999999999997</v>
      </c>
    </row>
    <row r="2229" spans="1:11" x14ac:dyDescent="0.25">
      <c r="A2229" s="4">
        <v>43797</v>
      </c>
      <c r="B2229" s="19">
        <f t="shared" si="68"/>
        <v>2019</v>
      </c>
      <c r="C2229" s="19">
        <f t="shared" si="69"/>
        <v>11</v>
      </c>
      <c r="D2229" s="5" t="s">
        <v>502</v>
      </c>
      <c r="E2229" s="5" t="s">
        <v>39</v>
      </c>
      <c r="F2229" s="5" t="s">
        <v>19</v>
      </c>
      <c r="G2229" s="5" t="s">
        <v>20</v>
      </c>
      <c r="H2229" s="5" t="s">
        <v>1945</v>
      </c>
      <c r="I2229" s="13">
        <v>32.543999999999997</v>
      </c>
      <c r="J2229" s="19">
        <v>2</v>
      </c>
      <c r="K2229" s="14">
        <v>-7.7291999999999996</v>
      </c>
    </row>
    <row r="2230" spans="1:11" x14ac:dyDescent="0.25">
      <c r="A2230" s="2">
        <v>43797</v>
      </c>
      <c r="B2230" s="18">
        <f t="shared" si="68"/>
        <v>2019</v>
      </c>
      <c r="C2230" s="18">
        <f t="shared" si="69"/>
        <v>11</v>
      </c>
      <c r="D2230" s="3" t="s">
        <v>502</v>
      </c>
      <c r="E2230" s="3" t="s">
        <v>39</v>
      </c>
      <c r="F2230" s="3" t="s">
        <v>11</v>
      </c>
      <c r="G2230" s="3" t="s">
        <v>112</v>
      </c>
      <c r="H2230" s="3" t="s">
        <v>372</v>
      </c>
      <c r="I2230" s="11">
        <v>347.80200000000002</v>
      </c>
      <c r="J2230" s="18">
        <v>7</v>
      </c>
      <c r="K2230" s="12">
        <v>-24.843</v>
      </c>
    </row>
    <row r="2231" spans="1:11" x14ac:dyDescent="0.25">
      <c r="A2231" s="4">
        <v>43798</v>
      </c>
      <c r="B2231" s="19">
        <f t="shared" si="68"/>
        <v>2019</v>
      </c>
      <c r="C2231" s="19">
        <f t="shared" si="69"/>
        <v>11</v>
      </c>
      <c r="D2231" s="5" t="s">
        <v>1946</v>
      </c>
      <c r="E2231" s="5" t="s">
        <v>23</v>
      </c>
      <c r="F2231" s="5" t="s">
        <v>14</v>
      </c>
      <c r="G2231" s="5" t="s">
        <v>24</v>
      </c>
      <c r="H2231" s="5" t="s">
        <v>1947</v>
      </c>
      <c r="I2231" s="13">
        <v>58.415999999999997</v>
      </c>
      <c r="J2231" s="19">
        <v>2</v>
      </c>
      <c r="K2231" s="14">
        <v>16.794599999999999</v>
      </c>
    </row>
    <row r="2232" spans="1:11" x14ac:dyDescent="0.25">
      <c r="A2232" s="2">
        <v>43798</v>
      </c>
      <c r="B2232" s="18">
        <f t="shared" si="68"/>
        <v>2019</v>
      </c>
      <c r="C2232" s="18">
        <f t="shared" si="69"/>
        <v>11</v>
      </c>
      <c r="D2232" s="3" t="s">
        <v>1683</v>
      </c>
      <c r="E2232" s="3" t="s">
        <v>164</v>
      </c>
      <c r="F2232" s="3" t="s">
        <v>11</v>
      </c>
      <c r="G2232" s="3" t="s">
        <v>51</v>
      </c>
      <c r="H2232" s="3" t="s">
        <v>1305</v>
      </c>
      <c r="I2232" s="11">
        <v>242.17599999999999</v>
      </c>
      <c r="J2232" s="18">
        <v>4</v>
      </c>
      <c r="K2232" s="12">
        <v>-302.72000000000003</v>
      </c>
    </row>
    <row r="2233" spans="1:11" x14ac:dyDescent="0.25">
      <c r="A2233" s="4">
        <v>43799</v>
      </c>
      <c r="B2233" s="19">
        <f t="shared" si="68"/>
        <v>2019</v>
      </c>
      <c r="C2233" s="19">
        <f t="shared" si="69"/>
        <v>11</v>
      </c>
      <c r="D2233" s="5" t="s">
        <v>495</v>
      </c>
      <c r="E2233" s="5" t="s">
        <v>35</v>
      </c>
      <c r="F2233" s="5" t="s">
        <v>14</v>
      </c>
      <c r="G2233" s="5" t="s">
        <v>15</v>
      </c>
      <c r="H2233" s="5" t="s">
        <v>27</v>
      </c>
      <c r="I2233" s="13">
        <v>36.192</v>
      </c>
      <c r="J2233" s="19">
        <v>1</v>
      </c>
      <c r="K2233" s="14">
        <v>2.7143999999999999</v>
      </c>
    </row>
    <row r="2234" spans="1:11" x14ac:dyDescent="0.25">
      <c r="A2234" s="2">
        <v>43799</v>
      </c>
      <c r="B2234" s="18">
        <f t="shared" si="68"/>
        <v>2019</v>
      </c>
      <c r="C2234" s="18">
        <f t="shared" si="69"/>
        <v>11</v>
      </c>
      <c r="D2234" s="3" t="s">
        <v>1948</v>
      </c>
      <c r="E2234" s="3" t="s">
        <v>365</v>
      </c>
      <c r="F2234" s="3" t="s">
        <v>19</v>
      </c>
      <c r="G2234" s="3" t="s">
        <v>53</v>
      </c>
      <c r="H2234" s="3" t="s">
        <v>1632</v>
      </c>
      <c r="I2234" s="11">
        <v>33.36</v>
      </c>
      <c r="J2234" s="18">
        <v>4</v>
      </c>
      <c r="K2234" s="12">
        <v>16.68</v>
      </c>
    </row>
    <row r="2235" spans="1:11" x14ac:dyDescent="0.25">
      <c r="A2235" s="4">
        <v>43799</v>
      </c>
      <c r="B2235" s="19">
        <f t="shared" si="68"/>
        <v>2019</v>
      </c>
      <c r="C2235" s="19">
        <f t="shared" si="69"/>
        <v>11</v>
      </c>
      <c r="D2235" s="5" t="s">
        <v>1948</v>
      </c>
      <c r="E2235" s="5" t="s">
        <v>365</v>
      </c>
      <c r="F2235" s="5" t="s">
        <v>19</v>
      </c>
      <c r="G2235" s="5" t="s">
        <v>53</v>
      </c>
      <c r="H2235" s="5" t="s">
        <v>573</v>
      </c>
      <c r="I2235" s="13">
        <v>13.76</v>
      </c>
      <c r="J2235" s="19">
        <v>2</v>
      </c>
      <c r="K2235" s="14">
        <v>6.3296000000000001</v>
      </c>
    </row>
    <row r="2236" spans="1:11" x14ac:dyDescent="0.25">
      <c r="A2236" s="2">
        <v>43799</v>
      </c>
      <c r="B2236" s="18">
        <f t="shared" si="68"/>
        <v>2019</v>
      </c>
      <c r="C2236" s="18">
        <f t="shared" si="69"/>
        <v>11</v>
      </c>
      <c r="D2236" s="3" t="s">
        <v>1948</v>
      </c>
      <c r="E2236" s="3" t="s">
        <v>365</v>
      </c>
      <c r="F2236" s="3" t="s">
        <v>19</v>
      </c>
      <c r="G2236" s="3" t="s">
        <v>20</v>
      </c>
      <c r="H2236" s="3" t="s">
        <v>1635</v>
      </c>
      <c r="I2236" s="11">
        <v>496.86</v>
      </c>
      <c r="J2236" s="18">
        <v>7</v>
      </c>
      <c r="K2236" s="12">
        <v>24.843</v>
      </c>
    </row>
    <row r="2237" spans="1:11" x14ac:dyDescent="0.25">
      <c r="A2237" s="4">
        <v>43799</v>
      </c>
      <c r="B2237" s="19">
        <f t="shared" si="68"/>
        <v>2019</v>
      </c>
      <c r="C2237" s="19">
        <f t="shared" si="69"/>
        <v>11</v>
      </c>
      <c r="D2237" s="5" t="s">
        <v>1948</v>
      </c>
      <c r="E2237" s="5" t="s">
        <v>365</v>
      </c>
      <c r="F2237" s="5" t="s">
        <v>11</v>
      </c>
      <c r="G2237" s="5" t="s">
        <v>112</v>
      </c>
      <c r="H2237" s="5" t="s">
        <v>1656</v>
      </c>
      <c r="I2237" s="13">
        <v>389.97</v>
      </c>
      <c r="J2237" s="19">
        <v>3</v>
      </c>
      <c r="K2237" s="14">
        <v>35.097299999999997</v>
      </c>
    </row>
    <row r="2238" spans="1:11" x14ac:dyDescent="0.25">
      <c r="A2238" s="2">
        <v>43800</v>
      </c>
      <c r="B2238" s="18">
        <f t="shared" si="68"/>
        <v>2019</v>
      </c>
      <c r="C2238" s="18">
        <f t="shared" si="69"/>
        <v>12</v>
      </c>
      <c r="D2238" s="3" t="s">
        <v>148</v>
      </c>
      <c r="E2238" s="3" t="s">
        <v>181</v>
      </c>
      <c r="F2238" s="3" t="s">
        <v>19</v>
      </c>
      <c r="G2238" s="3" t="s">
        <v>121</v>
      </c>
      <c r="H2238" s="3" t="s">
        <v>450</v>
      </c>
      <c r="I2238" s="11">
        <v>1104.55</v>
      </c>
      <c r="J2238" s="18">
        <v>7</v>
      </c>
      <c r="K2238" s="12">
        <v>694.50149999999996</v>
      </c>
    </row>
    <row r="2239" spans="1:11" x14ac:dyDescent="0.25">
      <c r="A2239" s="4">
        <v>43800</v>
      </c>
      <c r="B2239" s="19">
        <f t="shared" si="68"/>
        <v>2019</v>
      </c>
      <c r="C2239" s="19">
        <f t="shared" si="69"/>
        <v>12</v>
      </c>
      <c r="D2239" s="5" t="s">
        <v>1460</v>
      </c>
      <c r="E2239" s="5" t="s">
        <v>18</v>
      </c>
      <c r="F2239" s="5" t="s">
        <v>19</v>
      </c>
      <c r="G2239" s="5" t="s">
        <v>20</v>
      </c>
      <c r="H2239" s="5" t="s">
        <v>1242</v>
      </c>
      <c r="I2239" s="13">
        <v>1112.94</v>
      </c>
      <c r="J2239" s="19">
        <v>3</v>
      </c>
      <c r="K2239" s="14">
        <v>222.58799999999999</v>
      </c>
    </row>
    <row r="2240" spans="1:11" x14ac:dyDescent="0.25">
      <c r="A2240" s="2">
        <v>43800</v>
      </c>
      <c r="B2240" s="18">
        <f t="shared" si="68"/>
        <v>2019</v>
      </c>
      <c r="C2240" s="18">
        <f t="shared" si="69"/>
        <v>12</v>
      </c>
      <c r="D2240" s="3" t="s">
        <v>1949</v>
      </c>
      <c r="E2240" s="3" t="s">
        <v>370</v>
      </c>
      <c r="F2240" s="3" t="s">
        <v>19</v>
      </c>
      <c r="G2240" s="3" t="s">
        <v>121</v>
      </c>
      <c r="H2240" s="3" t="s">
        <v>450</v>
      </c>
      <c r="I2240" s="11">
        <v>901.95</v>
      </c>
      <c r="J2240" s="18">
        <v>3</v>
      </c>
      <c r="K2240" s="12">
        <v>297.64350000000002</v>
      </c>
    </row>
    <row r="2241" spans="1:11" x14ac:dyDescent="0.25">
      <c r="A2241" s="4">
        <v>43800</v>
      </c>
      <c r="B2241" s="19">
        <f t="shared" si="68"/>
        <v>2019</v>
      </c>
      <c r="C2241" s="19">
        <f t="shared" si="69"/>
        <v>12</v>
      </c>
      <c r="D2241" s="5" t="s">
        <v>1074</v>
      </c>
      <c r="E2241" s="5" t="s">
        <v>35</v>
      </c>
      <c r="F2241" s="5" t="s">
        <v>14</v>
      </c>
      <c r="G2241" s="5" t="s">
        <v>15</v>
      </c>
      <c r="H2241" s="5" t="s">
        <v>1814</v>
      </c>
      <c r="I2241" s="13">
        <v>863.928</v>
      </c>
      <c r="J2241" s="19">
        <v>9</v>
      </c>
      <c r="K2241" s="14">
        <v>86.392799999999994</v>
      </c>
    </row>
    <row r="2242" spans="1:11" x14ac:dyDescent="0.25">
      <c r="A2242" s="2">
        <v>43800</v>
      </c>
      <c r="B2242" s="18">
        <f t="shared" ref="B2242:B2305" si="70">YEAR(A2242)</f>
        <v>2019</v>
      </c>
      <c r="C2242" s="18">
        <f t="shared" ref="C2242:C2305" si="71">MONTH(A2242)</f>
        <v>12</v>
      </c>
      <c r="D2242" s="3" t="s">
        <v>1895</v>
      </c>
      <c r="E2242" s="3" t="s">
        <v>91</v>
      </c>
      <c r="F2242" s="3" t="s">
        <v>11</v>
      </c>
      <c r="G2242" s="3" t="s">
        <v>112</v>
      </c>
      <c r="H2242" s="3" t="s">
        <v>1850</v>
      </c>
      <c r="I2242" s="11">
        <v>751.92</v>
      </c>
      <c r="J2242" s="18">
        <v>4</v>
      </c>
      <c r="K2242" s="12">
        <v>150.38399999999999</v>
      </c>
    </row>
    <row r="2243" spans="1:11" x14ac:dyDescent="0.25">
      <c r="A2243" s="4">
        <v>43800</v>
      </c>
      <c r="B2243" s="19">
        <f t="shared" si="70"/>
        <v>2019</v>
      </c>
      <c r="C2243" s="19">
        <f t="shared" si="71"/>
        <v>12</v>
      </c>
      <c r="D2243" s="5" t="s">
        <v>1949</v>
      </c>
      <c r="E2243" s="5" t="s">
        <v>370</v>
      </c>
      <c r="F2243" s="5" t="s">
        <v>11</v>
      </c>
      <c r="G2243" s="5" t="s">
        <v>30</v>
      </c>
      <c r="H2243" s="5" t="s">
        <v>150</v>
      </c>
      <c r="I2243" s="13">
        <v>366.00900000000001</v>
      </c>
      <c r="J2243" s="19">
        <v>3</v>
      </c>
      <c r="K2243" s="14">
        <v>-47.058300000000003</v>
      </c>
    </row>
    <row r="2244" spans="1:11" x14ac:dyDescent="0.25">
      <c r="A2244" s="2">
        <v>43800</v>
      </c>
      <c r="B2244" s="18">
        <f t="shared" si="70"/>
        <v>2019</v>
      </c>
      <c r="C2244" s="18">
        <f t="shared" si="71"/>
        <v>12</v>
      </c>
      <c r="D2244" s="3" t="s">
        <v>1950</v>
      </c>
      <c r="E2244" s="3" t="s">
        <v>23</v>
      </c>
      <c r="F2244" s="3" t="s">
        <v>11</v>
      </c>
      <c r="G2244" s="3" t="s">
        <v>112</v>
      </c>
      <c r="H2244" s="3" t="s">
        <v>372</v>
      </c>
      <c r="I2244" s="11">
        <v>248.43</v>
      </c>
      <c r="J2244" s="18">
        <v>5</v>
      </c>
      <c r="K2244" s="12">
        <v>-17.745000000000001</v>
      </c>
    </row>
    <row r="2245" spans="1:11" x14ac:dyDescent="0.25">
      <c r="A2245" s="4">
        <v>43800</v>
      </c>
      <c r="B2245" s="19">
        <f t="shared" si="70"/>
        <v>2019</v>
      </c>
      <c r="C2245" s="19">
        <f t="shared" si="71"/>
        <v>12</v>
      </c>
      <c r="D2245" s="5" t="s">
        <v>1697</v>
      </c>
      <c r="E2245" s="5" t="s">
        <v>10</v>
      </c>
      <c r="F2245" s="5" t="s">
        <v>14</v>
      </c>
      <c r="G2245" s="5" t="s">
        <v>15</v>
      </c>
      <c r="H2245" s="5" t="s">
        <v>1951</v>
      </c>
      <c r="I2245" s="13">
        <v>179.97</v>
      </c>
      <c r="J2245" s="19">
        <v>3</v>
      </c>
      <c r="K2245" s="14">
        <v>44.9925</v>
      </c>
    </row>
    <row r="2246" spans="1:11" x14ac:dyDescent="0.25">
      <c r="A2246" s="2">
        <v>43800</v>
      </c>
      <c r="B2246" s="18">
        <f t="shared" si="70"/>
        <v>2019</v>
      </c>
      <c r="C2246" s="18">
        <f t="shared" si="71"/>
        <v>12</v>
      </c>
      <c r="D2246" s="3" t="s">
        <v>1697</v>
      </c>
      <c r="E2246" s="3" t="s">
        <v>10</v>
      </c>
      <c r="F2246" s="3" t="s">
        <v>11</v>
      </c>
      <c r="G2246" s="3" t="s">
        <v>112</v>
      </c>
      <c r="H2246" s="3" t="s">
        <v>230</v>
      </c>
      <c r="I2246" s="11">
        <v>172.5</v>
      </c>
      <c r="J2246" s="18">
        <v>2</v>
      </c>
      <c r="K2246" s="12">
        <v>51.75</v>
      </c>
    </row>
    <row r="2247" spans="1:11" x14ac:dyDescent="0.25">
      <c r="A2247" s="4">
        <v>43800</v>
      </c>
      <c r="B2247" s="19">
        <f t="shared" si="70"/>
        <v>2019</v>
      </c>
      <c r="C2247" s="19">
        <f t="shared" si="71"/>
        <v>12</v>
      </c>
      <c r="D2247" s="5" t="s">
        <v>1949</v>
      </c>
      <c r="E2247" s="5" t="s">
        <v>370</v>
      </c>
      <c r="F2247" s="5" t="s">
        <v>14</v>
      </c>
      <c r="G2247" s="5" t="s">
        <v>15</v>
      </c>
      <c r="H2247" s="5" t="s">
        <v>1952</v>
      </c>
      <c r="I2247" s="13">
        <v>137.94</v>
      </c>
      <c r="J2247" s="19">
        <v>3</v>
      </c>
      <c r="K2247" s="14">
        <v>35.864400000000003</v>
      </c>
    </row>
    <row r="2248" spans="1:11" x14ac:dyDescent="0.25">
      <c r="A2248" s="2">
        <v>43800</v>
      </c>
      <c r="B2248" s="18">
        <f t="shared" si="70"/>
        <v>2019</v>
      </c>
      <c r="C2248" s="18">
        <f t="shared" si="71"/>
        <v>12</v>
      </c>
      <c r="D2248" s="3" t="s">
        <v>1949</v>
      </c>
      <c r="E2248" s="3" t="s">
        <v>370</v>
      </c>
      <c r="F2248" s="3" t="s">
        <v>11</v>
      </c>
      <c r="G2248" s="3" t="s">
        <v>51</v>
      </c>
      <c r="H2248" s="3" t="s">
        <v>1953</v>
      </c>
      <c r="I2248" s="11">
        <v>111.15</v>
      </c>
      <c r="J2248" s="18">
        <v>5</v>
      </c>
      <c r="K2248" s="12">
        <v>48.905999999999999</v>
      </c>
    </row>
    <row r="2249" spans="1:11" x14ac:dyDescent="0.25">
      <c r="A2249" s="4">
        <v>43800</v>
      </c>
      <c r="B2249" s="19">
        <f t="shared" si="70"/>
        <v>2019</v>
      </c>
      <c r="C2249" s="19">
        <f t="shared" si="71"/>
        <v>12</v>
      </c>
      <c r="D2249" s="5" t="s">
        <v>1895</v>
      </c>
      <c r="E2249" s="5" t="s">
        <v>91</v>
      </c>
      <c r="F2249" s="5" t="s">
        <v>19</v>
      </c>
      <c r="G2249" s="5" t="s">
        <v>32</v>
      </c>
      <c r="H2249" s="5" t="s">
        <v>60</v>
      </c>
      <c r="I2249" s="13">
        <v>88.08</v>
      </c>
      <c r="J2249" s="19">
        <v>6</v>
      </c>
      <c r="K2249" s="14">
        <v>40.516800000000003</v>
      </c>
    </row>
    <row r="2250" spans="1:11" x14ac:dyDescent="0.25">
      <c r="A2250" s="2">
        <v>43800</v>
      </c>
      <c r="B2250" s="18">
        <f t="shared" si="70"/>
        <v>2019</v>
      </c>
      <c r="C2250" s="18">
        <f t="shared" si="71"/>
        <v>12</v>
      </c>
      <c r="D2250" s="3" t="s">
        <v>1950</v>
      </c>
      <c r="E2250" s="3" t="s">
        <v>23</v>
      </c>
      <c r="F2250" s="3" t="s">
        <v>11</v>
      </c>
      <c r="G2250" s="3" t="s">
        <v>112</v>
      </c>
      <c r="H2250" s="3" t="s">
        <v>1516</v>
      </c>
      <c r="I2250" s="11">
        <v>85.245999999999995</v>
      </c>
      <c r="J2250" s="18">
        <v>2</v>
      </c>
      <c r="K2250" s="12">
        <v>-1.2178</v>
      </c>
    </row>
    <row r="2251" spans="1:11" x14ac:dyDescent="0.25">
      <c r="A2251" s="4">
        <v>43800</v>
      </c>
      <c r="B2251" s="19">
        <f t="shared" si="70"/>
        <v>2019</v>
      </c>
      <c r="C2251" s="19">
        <f t="shared" si="71"/>
        <v>12</v>
      </c>
      <c r="D2251" s="5" t="s">
        <v>1460</v>
      </c>
      <c r="E2251" s="5" t="s">
        <v>18</v>
      </c>
      <c r="F2251" s="5" t="s">
        <v>19</v>
      </c>
      <c r="G2251" s="5" t="s">
        <v>53</v>
      </c>
      <c r="H2251" s="5" t="s">
        <v>1491</v>
      </c>
      <c r="I2251" s="13">
        <v>47.9</v>
      </c>
      <c r="J2251" s="19">
        <v>1</v>
      </c>
      <c r="K2251" s="14">
        <v>22.992000000000001</v>
      </c>
    </row>
    <row r="2252" spans="1:11" x14ac:dyDescent="0.25">
      <c r="A2252" s="2">
        <v>43800</v>
      </c>
      <c r="B2252" s="18">
        <f t="shared" si="70"/>
        <v>2019</v>
      </c>
      <c r="C2252" s="18">
        <f t="shared" si="71"/>
        <v>12</v>
      </c>
      <c r="D2252" s="3" t="s">
        <v>148</v>
      </c>
      <c r="E2252" s="3" t="s">
        <v>181</v>
      </c>
      <c r="F2252" s="3" t="s">
        <v>19</v>
      </c>
      <c r="G2252" s="3" t="s">
        <v>265</v>
      </c>
      <c r="H2252" s="3" t="s">
        <v>1178</v>
      </c>
      <c r="I2252" s="11">
        <v>40.700000000000003</v>
      </c>
      <c r="J2252" s="18">
        <v>5</v>
      </c>
      <c r="K2252" s="12">
        <v>11.803000000000001</v>
      </c>
    </row>
    <row r="2253" spans="1:11" x14ac:dyDescent="0.25">
      <c r="A2253" s="4">
        <v>43800</v>
      </c>
      <c r="B2253" s="19">
        <f t="shared" si="70"/>
        <v>2019</v>
      </c>
      <c r="C2253" s="19">
        <f t="shared" si="71"/>
        <v>12</v>
      </c>
      <c r="D2253" s="5" t="s">
        <v>1460</v>
      </c>
      <c r="E2253" s="5" t="s">
        <v>18</v>
      </c>
      <c r="F2253" s="5" t="s">
        <v>11</v>
      </c>
      <c r="G2253" s="5" t="s">
        <v>51</v>
      </c>
      <c r="H2253" s="5" t="s">
        <v>1884</v>
      </c>
      <c r="I2253" s="13">
        <v>31.96</v>
      </c>
      <c r="J2253" s="19">
        <v>2</v>
      </c>
      <c r="K2253" s="14">
        <v>1.5980000000000001</v>
      </c>
    </row>
    <row r="2254" spans="1:11" x14ac:dyDescent="0.25">
      <c r="A2254" s="2">
        <v>43800</v>
      </c>
      <c r="B2254" s="18">
        <f t="shared" si="70"/>
        <v>2019</v>
      </c>
      <c r="C2254" s="18">
        <f t="shared" si="71"/>
        <v>12</v>
      </c>
      <c r="D2254" s="3" t="s">
        <v>448</v>
      </c>
      <c r="E2254" s="3" t="s">
        <v>387</v>
      </c>
      <c r="F2254" s="3" t="s">
        <v>19</v>
      </c>
      <c r="G2254" s="3" t="s">
        <v>53</v>
      </c>
      <c r="H2254" s="3" t="s">
        <v>866</v>
      </c>
      <c r="I2254" s="11">
        <v>23.92</v>
      </c>
      <c r="J2254" s="18">
        <v>4</v>
      </c>
      <c r="K2254" s="12">
        <v>11.720800000000001</v>
      </c>
    </row>
    <row r="2255" spans="1:11" x14ac:dyDescent="0.25">
      <c r="A2255" s="4">
        <v>43800</v>
      </c>
      <c r="B2255" s="19">
        <f t="shared" si="70"/>
        <v>2019</v>
      </c>
      <c r="C2255" s="19">
        <f t="shared" si="71"/>
        <v>12</v>
      </c>
      <c r="D2255" s="5" t="s">
        <v>1954</v>
      </c>
      <c r="E2255" s="5" t="s">
        <v>18</v>
      </c>
      <c r="F2255" s="5" t="s">
        <v>19</v>
      </c>
      <c r="G2255" s="5" t="s">
        <v>40</v>
      </c>
      <c r="H2255" s="5" t="s">
        <v>1665</v>
      </c>
      <c r="I2255" s="13">
        <v>23.04</v>
      </c>
      <c r="J2255" s="19">
        <v>8</v>
      </c>
      <c r="K2255" s="14">
        <v>6.9119999999999999</v>
      </c>
    </row>
    <row r="2256" spans="1:11" x14ac:dyDescent="0.25">
      <c r="A2256" s="2">
        <v>43800</v>
      </c>
      <c r="B2256" s="18">
        <f t="shared" si="70"/>
        <v>2019</v>
      </c>
      <c r="C2256" s="18">
        <f t="shared" si="71"/>
        <v>12</v>
      </c>
      <c r="D2256" s="3" t="s">
        <v>1460</v>
      </c>
      <c r="E2256" s="3" t="s">
        <v>18</v>
      </c>
      <c r="F2256" s="3" t="s">
        <v>19</v>
      </c>
      <c r="G2256" s="3" t="s">
        <v>86</v>
      </c>
      <c r="H2256" s="3" t="s">
        <v>1955</v>
      </c>
      <c r="I2256" s="11">
        <v>22.92</v>
      </c>
      <c r="J2256" s="18">
        <v>3</v>
      </c>
      <c r="K2256" s="12">
        <v>11.2308</v>
      </c>
    </row>
    <row r="2257" spans="1:11" x14ac:dyDescent="0.25">
      <c r="A2257" s="4">
        <v>43800</v>
      </c>
      <c r="B2257" s="19">
        <f t="shared" si="70"/>
        <v>2019</v>
      </c>
      <c r="C2257" s="19">
        <f t="shared" si="71"/>
        <v>12</v>
      </c>
      <c r="D2257" s="5" t="s">
        <v>335</v>
      </c>
      <c r="E2257" s="5" t="s">
        <v>317</v>
      </c>
      <c r="F2257" s="5" t="s">
        <v>11</v>
      </c>
      <c r="G2257" s="5" t="s">
        <v>51</v>
      </c>
      <c r="H2257" s="5" t="s">
        <v>1748</v>
      </c>
      <c r="I2257" s="13">
        <v>17.309999999999999</v>
      </c>
      <c r="J2257" s="19">
        <v>3</v>
      </c>
      <c r="K2257" s="14">
        <v>5.1929999999999996</v>
      </c>
    </row>
    <row r="2258" spans="1:11" x14ac:dyDescent="0.25">
      <c r="A2258" s="2">
        <v>43800</v>
      </c>
      <c r="B2258" s="18">
        <f t="shared" si="70"/>
        <v>2019</v>
      </c>
      <c r="C2258" s="18">
        <f t="shared" si="71"/>
        <v>12</v>
      </c>
      <c r="D2258" s="3" t="s">
        <v>1956</v>
      </c>
      <c r="E2258" s="3" t="s">
        <v>18</v>
      </c>
      <c r="F2258" s="3" t="s">
        <v>11</v>
      </c>
      <c r="G2258" s="3" t="s">
        <v>51</v>
      </c>
      <c r="H2258" s="3" t="s">
        <v>434</v>
      </c>
      <c r="I2258" s="11">
        <v>16.739999999999998</v>
      </c>
      <c r="J2258" s="18">
        <v>2</v>
      </c>
      <c r="K2258" s="12">
        <v>4.3524000000000003</v>
      </c>
    </row>
    <row r="2259" spans="1:11" x14ac:dyDescent="0.25">
      <c r="A2259" s="4">
        <v>43800</v>
      </c>
      <c r="B2259" s="19">
        <f t="shared" si="70"/>
        <v>2019</v>
      </c>
      <c r="C2259" s="19">
        <f t="shared" si="71"/>
        <v>12</v>
      </c>
      <c r="D2259" s="5" t="s">
        <v>1950</v>
      </c>
      <c r="E2259" s="5" t="s">
        <v>23</v>
      </c>
      <c r="F2259" s="5" t="s">
        <v>19</v>
      </c>
      <c r="G2259" s="5" t="s">
        <v>121</v>
      </c>
      <c r="H2259" s="5" t="s">
        <v>993</v>
      </c>
      <c r="I2259" s="13">
        <v>11.648</v>
      </c>
      <c r="J2259" s="19">
        <v>4</v>
      </c>
      <c r="K2259" s="14">
        <v>-30.8672</v>
      </c>
    </row>
    <row r="2260" spans="1:11" x14ac:dyDescent="0.25">
      <c r="A2260" s="2">
        <v>43800</v>
      </c>
      <c r="B2260" s="18">
        <f t="shared" si="70"/>
        <v>2019</v>
      </c>
      <c r="C2260" s="18">
        <f t="shared" si="71"/>
        <v>12</v>
      </c>
      <c r="D2260" s="3" t="s">
        <v>1886</v>
      </c>
      <c r="E2260" s="3" t="s">
        <v>219</v>
      </c>
      <c r="F2260" s="3" t="s">
        <v>19</v>
      </c>
      <c r="G2260" s="3" t="s">
        <v>40</v>
      </c>
      <c r="H2260" s="3" t="s">
        <v>961</v>
      </c>
      <c r="I2260" s="11">
        <v>4.7039999999999997</v>
      </c>
      <c r="J2260" s="18">
        <v>2</v>
      </c>
      <c r="K2260" s="12">
        <v>0.41160000000000002</v>
      </c>
    </row>
    <row r="2261" spans="1:11" x14ac:dyDescent="0.25">
      <c r="A2261" s="4">
        <v>43801</v>
      </c>
      <c r="B2261" s="19">
        <f t="shared" si="70"/>
        <v>2019</v>
      </c>
      <c r="C2261" s="19">
        <f t="shared" si="71"/>
        <v>12</v>
      </c>
      <c r="D2261" s="5" t="s">
        <v>1354</v>
      </c>
      <c r="E2261" s="5" t="s">
        <v>883</v>
      </c>
      <c r="F2261" s="5" t="s">
        <v>19</v>
      </c>
      <c r="G2261" s="5" t="s">
        <v>20</v>
      </c>
      <c r="H2261" s="5" t="s">
        <v>1957</v>
      </c>
      <c r="I2261" s="13">
        <v>79.400000000000006</v>
      </c>
      <c r="J2261" s="19">
        <v>5</v>
      </c>
      <c r="K2261" s="14">
        <v>582.23199999999997</v>
      </c>
    </row>
    <row r="2262" spans="1:11" x14ac:dyDescent="0.25">
      <c r="A2262" s="2">
        <v>43801</v>
      </c>
      <c r="B2262" s="18">
        <f t="shared" si="70"/>
        <v>2019</v>
      </c>
      <c r="C2262" s="18">
        <f t="shared" si="71"/>
        <v>12</v>
      </c>
      <c r="D2262" s="3" t="s">
        <v>441</v>
      </c>
      <c r="E2262" s="3" t="s">
        <v>23</v>
      </c>
      <c r="F2262" s="3" t="s">
        <v>11</v>
      </c>
      <c r="G2262" s="3" t="s">
        <v>12</v>
      </c>
      <c r="H2262" s="3" t="s">
        <v>1958</v>
      </c>
      <c r="I2262" s="11">
        <v>81.864000000000004</v>
      </c>
      <c r="J2262" s="18">
        <v>10</v>
      </c>
      <c r="K2262" s="12">
        <v>-137.976</v>
      </c>
    </row>
    <row r="2263" spans="1:11" x14ac:dyDescent="0.25">
      <c r="A2263" s="4">
        <v>43801</v>
      </c>
      <c r="B2263" s="19">
        <f t="shared" si="70"/>
        <v>2019</v>
      </c>
      <c r="C2263" s="19">
        <f t="shared" si="71"/>
        <v>12</v>
      </c>
      <c r="D2263" s="5" t="s">
        <v>1354</v>
      </c>
      <c r="E2263" s="5" t="s">
        <v>883</v>
      </c>
      <c r="F2263" s="5" t="s">
        <v>14</v>
      </c>
      <c r="G2263" s="5" t="s">
        <v>15</v>
      </c>
      <c r="H2263" s="5" t="s">
        <v>963</v>
      </c>
      <c r="I2263" s="13">
        <v>629.95000000000005</v>
      </c>
      <c r="J2263" s="19">
        <v>5</v>
      </c>
      <c r="K2263" s="14">
        <v>176.386</v>
      </c>
    </row>
    <row r="2264" spans="1:11" x14ac:dyDescent="0.25">
      <c r="A2264" s="2">
        <v>43801</v>
      </c>
      <c r="B2264" s="18">
        <f t="shared" si="70"/>
        <v>2019</v>
      </c>
      <c r="C2264" s="18">
        <f t="shared" si="71"/>
        <v>12</v>
      </c>
      <c r="D2264" s="3" t="s">
        <v>1959</v>
      </c>
      <c r="E2264" s="3" t="s">
        <v>94</v>
      </c>
      <c r="F2264" s="3" t="s">
        <v>19</v>
      </c>
      <c r="G2264" s="3" t="s">
        <v>32</v>
      </c>
      <c r="H2264" s="3" t="s">
        <v>420</v>
      </c>
      <c r="I2264" s="11">
        <v>415.17599999999999</v>
      </c>
      <c r="J2264" s="18">
        <v>3</v>
      </c>
      <c r="K2264" s="12">
        <v>134.93219999999999</v>
      </c>
    </row>
    <row r="2265" spans="1:11" x14ac:dyDescent="0.25">
      <c r="A2265" s="4">
        <v>43801</v>
      </c>
      <c r="B2265" s="19">
        <f t="shared" si="70"/>
        <v>2019</v>
      </c>
      <c r="C2265" s="19">
        <f t="shared" si="71"/>
        <v>12</v>
      </c>
      <c r="D2265" s="5" t="s">
        <v>1960</v>
      </c>
      <c r="E2265" s="5" t="s">
        <v>306</v>
      </c>
      <c r="F2265" s="5" t="s">
        <v>14</v>
      </c>
      <c r="G2265" s="5" t="s">
        <v>24</v>
      </c>
      <c r="H2265" s="5" t="s">
        <v>26</v>
      </c>
      <c r="I2265" s="13">
        <v>165.6</v>
      </c>
      <c r="J2265" s="19">
        <v>3</v>
      </c>
      <c r="K2265" s="14">
        <v>-6.21</v>
      </c>
    </row>
    <row r="2266" spans="1:11" x14ac:dyDescent="0.25">
      <c r="A2266" s="2">
        <v>43801</v>
      </c>
      <c r="B2266" s="18">
        <f t="shared" si="70"/>
        <v>2019</v>
      </c>
      <c r="C2266" s="18">
        <f t="shared" si="71"/>
        <v>12</v>
      </c>
      <c r="D2266" s="3" t="s">
        <v>1403</v>
      </c>
      <c r="E2266" s="3" t="s">
        <v>1350</v>
      </c>
      <c r="F2266" s="3" t="s">
        <v>19</v>
      </c>
      <c r="G2266" s="3" t="s">
        <v>32</v>
      </c>
      <c r="H2266" s="3" t="s">
        <v>1961</v>
      </c>
      <c r="I2266" s="11">
        <v>115.84</v>
      </c>
      <c r="J2266" s="18">
        <v>8</v>
      </c>
      <c r="K2266" s="12">
        <v>54.444800000000001</v>
      </c>
    </row>
    <row r="2267" spans="1:11" x14ac:dyDescent="0.25">
      <c r="A2267" s="4">
        <v>43801</v>
      </c>
      <c r="B2267" s="19">
        <f t="shared" si="70"/>
        <v>2019</v>
      </c>
      <c r="C2267" s="19">
        <f t="shared" si="71"/>
        <v>12</v>
      </c>
      <c r="D2267" s="5" t="s">
        <v>1573</v>
      </c>
      <c r="E2267" s="5" t="s">
        <v>18</v>
      </c>
      <c r="F2267" s="5" t="s">
        <v>19</v>
      </c>
      <c r="G2267" s="5" t="s">
        <v>32</v>
      </c>
      <c r="H2267" s="5" t="s">
        <v>359</v>
      </c>
      <c r="I2267" s="13">
        <v>104.184</v>
      </c>
      <c r="J2267" s="19">
        <v>3</v>
      </c>
      <c r="K2267" s="14">
        <v>33.8598</v>
      </c>
    </row>
    <row r="2268" spans="1:11" x14ac:dyDescent="0.25">
      <c r="A2268" s="2">
        <v>43801</v>
      </c>
      <c r="B2268" s="18">
        <f t="shared" si="70"/>
        <v>2019</v>
      </c>
      <c r="C2268" s="18">
        <f t="shared" si="71"/>
        <v>12</v>
      </c>
      <c r="D2268" s="3" t="s">
        <v>1354</v>
      </c>
      <c r="E2268" s="3" t="s">
        <v>883</v>
      </c>
      <c r="F2268" s="3" t="s">
        <v>11</v>
      </c>
      <c r="G2268" s="3" t="s">
        <v>51</v>
      </c>
      <c r="H2268" s="3" t="s">
        <v>1321</v>
      </c>
      <c r="I2268" s="11">
        <v>72.42</v>
      </c>
      <c r="J2268" s="18">
        <v>6</v>
      </c>
      <c r="K2268" s="12">
        <v>23.898599999999998</v>
      </c>
    </row>
    <row r="2269" spans="1:11" x14ac:dyDescent="0.25">
      <c r="A2269" s="4">
        <v>43801</v>
      </c>
      <c r="B2269" s="19">
        <f t="shared" si="70"/>
        <v>2019</v>
      </c>
      <c r="C2269" s="19">
        <f t="shared" si="71"/>
        <v>12</v>
      </c>
      <c r="D2269" s="5" t="s">
        <v>1573</v>
      </c>
      <c r="E2269" s="5" t="s">
        <v>18</v>
      </c>
      <c r="F2269" s="5" t="s">
        <v>19</v>
      </c>
      <c r="G2269" s="5" t="s">
        <v>121</v>
      </c>
      <c r="H2269" s="5" t="s">
        <v>1962</v>
      </c>
      <c r="I2269" s="13">
        <v>59.7</v>
      </c>
      <c r="J2269" s="19">
        <v>3</v>
      </c>
      <c r="K2269" s="14">
        <v>26.864999999999998</v>
      </c>
    </row>
    <row r="2270" spans="1:11" x14ac:dyDescent="0.25">
      <c r="A2270" s="2">
        <v>43801</v>
      </c>
      <c r="B2270" s="18">
        <f t="shared" si="70"/>
        <v>2019</v>
      </c>
      <c r="C2270" s="18">
        <f t="shared" si="71"/>
        <v>12</v>
      </c>
      <c r="D2270" s="3" t="s">
        <v>1959</v>
      </c>
      <c r="E2270" s="3" t="s">
        <v>94</v>
      </c>
      <c r="F2270" s="3" t="s">
        <v>19</v>
      </c>
      <c r="G2270" s="3" t="s">
        <v>53</v>
      </c>
      <c r="H2270" s="3" t="s">
        <v>1963</v>
      </c>
      <c r="I2270" s="11">
        <v>54.96</v>
      </c>
      <c r="J2270" s="18">
        <v>1</v>
      </c>
      <c r="K2270" s="12">
        <v>26.930399999999999</v>
      </c>
    </row>
    <row r="2271" spans="1:11" x14ac:dyDescent="0.25">
      <c r="A2271" s="4">
        <v>43801</v>
      </c>
      <c r="B2271" s="19">
        <f t="shared" si="70"/>
        <v>2019</v>
      </c>
      <c r="C2271" s="19">
        <f t="shared" si="71"/>
        <v>12</v>
      </c>
      <c r="D2271" s="5" t="s">
        <v>1964</v>
      </c>
      <c r="E2271" s="5" t="s">
        <v>18</v>
      </c>
      <c r="F2271" s="5" t="s">
        <v>19</v>
      </c>
      <c r="G2271" s="5" t="s">
        <v>53</v>
      </c>
      <c r="H2271" s="5" t="s">
        <v>1965</v>
      </c>
      <c r="I2271" s="13">
        <v>40.46</v>
      </c>
      <c r="J2271" s="19">
        <v>7</v>
      </c>
      <c r="K2271" s="14">
        <v>19.825399999999998</v>
      </c>
    </row>
    <row r="2272" spans="1:11" x14ac:dyDescent="0.25">
      <c r="A2272" s="2">
        <v>43801</v>
      </c>
      <c r="B2272" s="18">
        <f t="shared" si="70"/>
        <v>2019</v>
      </c>
      <c r="C2272" s="18">
        <f t="shared" si="71"/>
        <v>12</v>
      </c>
      <c r="D2272" s="3" t="s">
        <v>1959</v>
      </c>
      <c r="E2272" s="3" t="s">
        <v>94</v>
      </c>
      <c r="F2272" s="3" t="s">
        <v>19</v>
      </c>
      <c r="G2272" s="3" t="s">
        <v>32</v>
      </c>
      <c r="H2272" s="3" t="s">
        <v>60</v>
      </c>
      <c r="I2272" s="11">
        <v>35.231999999999999</v>
      </c>
      <c r="J2272" s="18">
        <v>3</v>
      </c>
      <c r="K2272" s="12">
        <v>11.4504</v>
      </c>
    </row>
    <row r="2273" spans="1:11" x14ac:dyDescent="0.25">
      <c r="A2273" s="4">
        <v>43801</v>
      </c>
      <c r="B2273" s="19">
        <f t="shared" si="70"/>
        <v>2019</v>
      </c>
      <c r="C2273" s="19">
        <f t="shared" si="71"/>
        <v>12</v>
      </c>
      <c r="D2273" s="5" t="s">
        <v>1964</v>
      </c>
      <c r="E2273" s="5" t="s">
        <v>18</v>
      </c>
      <c r="F2273" s="5" t="s">
        <v>19</v>
      </c>
      <c r="G2273" s="5" t="s">
        <v>20</v>
      </c>
      <c r="H2273" s="5" t="s">
        <v>182</v>
      </c>
      <c r="I2273" s="13">
        <v>33.869999999999997</v>
      </c>
      <c r="J2273" s="19">
        <v>3</v>
      </c>
      <c r="K2273" s="14">
        <v>8.8062000000000005</v>
      </c>
    </row>
    <row r="2274" spans="1:11" x14ac:dyDescent="0.25">
      <c r="A2274" s="2">
        <v>43801</v>
      </c>
      <c r="B2274" s="18">
        <f t="shared" si="70"/>
        <v>2019</v>
      </c>
      <c r="C2274" s="18">
        <f t="shared" si="71"/>
        <v>12</v>
      </c>
      <c r="D2274" s="3" t="s">
        <v>441</v>
      </c>
      <c r="E2274" s="3" t="s">
        <v>23</v>
      </c>
      <c r="F2274" s="3" t="s">
        <v>19</v>
      </c>
      <c r="G2274" s="3" t="s">
        <v>53</v>
      </c>
      <c r="H2274" s="3" t="s">
        <v>547</v>
      </c>
      <c r="I2274" s="11">
        <v>30.815999999999999</v>
      </c>
      <c r="J2274" s="18">
        <v>9</v>
      </c>
      <c r="K2274" s="12">
        <v>9.6300000000000008</v>
      </c>
    </row>
    <row r="2275" spans="1:11" x14ac:dyDescent="0.25">
      <c r="A2275" s="4">
        <v>43801</v>
      </c>
      <c r="B2275" s="19">
        <f t="shared" si="70"/>
        <v>2019</v>
      </c>
      <c r="C2275" s="19">
        <f t="shared" si="71"/>
        <v>12</v>
      </c>
      <c r="D2275" s="5" t="s">
        <v>1964</v>
      </c>
      <c r="E2275" s="5" t="s">
        <v>18</v>
      </c>
      <c r="F2275" s="5" t="s">
        <v>19</v>
      </c>
      <c r="G2275" s="5" t="s">
        <v>53</v>
      </c>
      <c r="H2275" s="5" t="s">
        <v>1268</v>
      </c>
      <c r="I2275" s="13">
        <v>25.92</v>
      </c>
      <c r="J2275" s="19">
        <v>4</v>
      </c>
      <c r="K2275" s="14">
        <v>12.441599999999999</v>
      </c>
    </row>
    <row r="2276" spans="1:11" x14ac:dyDescent="0.25">
      <c r="A2276" s="2">
        <v>43801</v>
      </c>
      <c r="B2276" s="18">
        <f t="shared" si="70"/>
        <v>2019</v>
      </c>
      <c r="C2276" s="18">
        <f t="shared" si="71"/>
        <v>12</v>
      </c>
      <c r="D2276" s="3" t="s">
        <v>1573</v>
      </c>
      <c r="E2276" s="3" t="s">
        <v>18</v>
      </c>
      <c r="F2276" s="3" t="s">
        <v>19</v>
      </c>
      <c r="G2276" s="3" t="s">
        <v>32</v>
      </c>
      <c r="H2276" s="3" t="s">
        <v>422</v>
      </c>
      <c r="I2276" s="11">
        <v>24.704000000000001</v>
      </c>
      <c r="J2276" s="18">
        <v>2</v>
      </c>
      <c r="K2276" s="12">
        <v>9.2639999999999993</v>
      </c>
    </row>
    <row r="2277" spans="1:11" x14ac:dyDescent="0.25">
      <c r="A2277" s="4">
        <v>43801</v>
      </c>
      <c r="B2277" s="19">
        <f t="shared" si="70"/>
        <v>2019</v>
      </c>
      <c r="C2277" s="19">
        <f t="shared" si="71"/>
        <v>12</v>
      </c>
      <c r="D2277" s="5" t="s">
        <v>1573</v>
      </c>
      <c r="E2277" s="5" t="s">
        <v>18</v>
      </c>
      <c r="F2277" s="5" t="s">
        <v>11</v>
      </c>
      <c r="G2277" s="5" t="s">
        <v>51</v>
      </c>
      <c r="H2277" s="5" t="s">
        <v>1966</v>
      </c>
      <c r="I2277" s="13">
        <v>14.52</v>
      </c>
      <c r="J2277" s="19">
        <v>3</v>
      </c>
      <c r="K2277" s="14">
        <v>5.6627999999999998</v>
      </c>
    </row>
    <row r="2278" spans="1:11" x14ac:dyDescent="0.25">
      <c r="A2278" s="2">
        <v>43802</v>
      </c>
      <c r="B2278" s="18">
        <f t="shared" si="70"/>
        <v>2019</v>
      </c>
      <c r="C2278" s="18">
        <f t="shared" si="71"/>
        <v>12</v>
      </c>
      <c r="D2278" s="3" t="s">
        <v>50</v>
      </c>
      <c r="E2278" s="3" t="s">
        <v>18</v>
      </c>
      <c r="F2278" s="3" t="s">
        <v>14</v>
      </c>
      <c r="G2278" s="3" t="s">
        <v>24</v>
      </c>
      <c r="H2278" s="3" t="s">
        <v>1876</v>
      </c>
      <c r="I2278" s="11">
        <v>1649.95</v>
      </c>
      <c r="J2278" s="18">
        <v>5</v>
      </c>
      <c r="K2278" s="12">
        <v>659.98</v>
      </c>
    </row>
    <row r="2279" spans="1:11" x14ac:dyDescent="0.25">
      <c r="A2279" s="4">
        <v>43802</v>
      </c>
      <c r="B2279" s="19">
        <f t="shared" si="70"/>
        <v>2019</v>
      </c>
      <c r="C2279" s="19">
        <f t="shared" si="71"/>
        <v>12</v>
      </c>
      <c r="D2279" s="5" t="s">
        <v>1967</v>
      </c>
      <c r="E2279" s="5" t="s">
        <v>18</v>
      </c>
      <c r="F2279" s="5" t="s">
        <v>19</v>
      </c>
      <c r="G2279" s="5" t="s">
        <v>20</v>
      </c>
      <c r="H2279" s="5" t="s">
        <v>603</v>
      </c>
      <c r="I2279" s="13">
        <v>772.68</v>
      </c>
      <c r="J2279" s="19">
        <v>4</v>
      </c>
      <c r="K2279" s="14">
        <v>108.1752</v>
      </c>
    </row>
    <row r="2280" spans="1:11" x14ac:dyDescent="0.25">
      <c r="A2280" s="2">
        <v>43802</v>
      </c>
      <c r="B2280" s="18">
        <f t="shared" si="70"/>
        <v>2019</v>
      </c>
      <c r="C2280" s="18">
        <f t="shared" si="71"/>
        <v>12</v>
      </c>
      <c r="D2280" s="3" t="s">
        <v>702</v>
      </c>
      <c r="E2280" s="3" t="s">
        <v>317</v>
      </c>
      <c r="F2280" s="3" t="s">
        <v>11</v>
      </c>
      <c r="G2280" s="3" t="s">
        <v>30</v>
      </c>
      <c r="H2280" s="3" t="s">
        <v>1712</v>
      </c>
      <c r="I2280" s="11">
        <v>581.96</v>
      </c>
      <c r="J2280" s="18">
        <v>2</v>
      </c>
      <c r="K2280" s="12">
        <v>104.75279999999999</v>
      </c>
    </row>
    <row r="2281" spans="1:11" x14ac:dyDescent="0.25">
      <c r="A2281" s="4">
        <v>43802</v>
      </c>
      <c r="B2281" s="19">
        <f t="shared" si="70"/>
        <v>2019</v>
      </c>
      <c r="C2281" s="19">
        <f t="shared" si="71"/>
        <v>12</v>
      </c>
      <c r="D2281" s="5" t="s">
        <v>1968</v>
      </c>
      <c r="E2281" s="5" t="s">
        <v>94</v>
      </c>
      <c r="F2281" s="5" t="s">
        <v>11</v>
      </c>
      <c r="G2281" s="5" t="s">
        <v>112</v>
      </c>
      <c r="H2281" s="5" t="s">
        <v>510</v>
      </c>
      <c r="I2281" s="13">
        <v>542.64599999999996</v>
      </c>
      <c r="J2281" s="19">
        <v>3</v>
      </c>
      <c r="K2281" s="14">
        <v>102.49979999999999</v>
      </c>
    </row>
    <row r="2282" spans="1:11" x14ac:dyDescent="0.25">
      <c r="A2282" s="2">
        <v>43802</v>
      </c>
      <c r="B2282" s="18">
        <f t="shared" si="70"/>
        <v>2019</v>
      </c>
      <c r="C2282" s="18">
        <f t="shared" si="71"/>
        <v>12</v>
      </c>
      <c r="D2282" s="3" t="s">
        <v>1968</v>
      </c>
      <c r="E2282" s="3" t="s">
        <v>94</v>
      </c>
      <c r="F2282" s="3" t="s">
        <v>11</v>
      </c>
      <c r="G2282" s="3" t="s">
        <v>30</v>
      </c>
      <c r="H2282" s="3" t="s">
        <v>1969</v>
      </c>
      <c r="I2282" s="11">
        <v>400.03199999999998</v>
      </c>
      <c r="J2282" s="18">
        <v>2</v>
      </c>
      <c r="K2282" s="12">
        <v>-153.34559999999999</v>
      </c>
    </row>
    <row r="2283" spans="1:11" x14ac:dyDescent="0.25">
      <c r="A2283" s="4">
        <v>43802</v>
      </c>
      <c r="B2283" s="19">
        <f t="shared" si="70"/>
        <v>2019</v>
      </c>
      <c r="C2283" s="19">
        <f t="shared" si="71"/>
        <v>12</v>
      </c>
      <c r="D2283" s="5" t="s">
        <v>375</v>
      </c>
      <c r="E2283" s="5" t="s">
        <v>39</v>
      </c>
      <c r="F2283" s="5" t="s">
        <v>19</v>
      </c>
      <c r="G2283" s="5" t="s">
        <v>121</v>
      </c>
      <c r="H2283" s="5" t="s">
        <v>1970</v>
      </c>
      <c r="I2283" s="13">
        <v>394.81599999999997</v>
      </c>
      <c r="J2283" s="19">
        <v>4</v>
      </c>
      <c r="K2283" s="14">
        <v>93.768799999999999</v>
      </c>
    </row>
    <row r="2284" spans="1:11" x14ac:dyDescent="0.25">
      <c r="A2284" s="2">
        <v>43802</v>
      </c>
      <c r="B2284" s="18">
        <f t="shared" si="70"/>
        <v>2019</v>
      </c>
      <c r="C2284" s="18">
        <f t="shared" si="71"/>
        <v>12</v>
      </c>
      <c r="D2284" s="3" t="s">
        <v>821</v>
      </c>
      <c r="E2284" s="3" t="s">
        <v>18</v>
      </c>
      <c r="F2284" s="3" t="s">
        <v>11</v>
      </c>
      <c r="G2284" s="3" t="s">
        <v>30</v>
      </c>
      <c r="H2284" s="3" t="s">
        <v>1425</v>
      </c>
      <c r="I2284" s="11">
        <v>268.70400000000001</v>
      </c>
      <c r="J2284" s="18">
        <v>3</v>
      </c>
      <c r="K2284" s="12">
        <v>6.7176</v>
      </c>
    </row>
    <row r="2285" spans="1:11" x14ac:dyDescent="0.25">
      <c r="A2285" s="4">
        <v>43802</v>
      </c>
      <c r="B2285" s="19">
        <f t="shared" si="70"/>
        <v>2019</v>
      </c>
      <c r="C2285" s="19">
        <f t="shared" si="71"/>
        <v>12</v>
      </c>
      <c r="D2285" s="5" t="s">
        <v>821</v>
      </c>
      <c r="E2285" s="5" t="s">
        <v>18</v>
      </c>
      <c r="F2285" s="5" t="s">
        <v>11</v>
      </c>
      <c r="G2285" s="5" t="s">
        <v>12</v>
      </c>
      <c r="H2285" s="5" t="s">
        <v>1356</v>
      </c>
      <c r="I2285" s="13">
        <v>205.666</v>
      </c>
      <c r="J2285" s="19">
        <v>2</v>
      </c>
      <c r="K2285" s="14">
        <v>-12.098000000000001</v>
      </c>
    </row>
    <row r="2286" spans="1:11" x14ac:dyDescent="0.25">
      <c r="A2286" s="2">
        <v>43802</v>
      </c>
      <c r="B2286" s="18">
        <f t="shared" si="70"/>
        <v>2019</v>
      </c>
      <c r="C2286" s="18">
        <f t="shared" si="71"/>
        <v>12</v>
      </c>
      <c r="D2286" s="3" t="s">
        <v>1968</v>
      </c>
      <c r="E2286" s="3" t="s">
        <v>94</v>
      </c>
      <c r="F2286" s="3" t="s">
        <v>19</v>
      </c>
      <c r="G2286" s="3" t="s">
        <v>53</v>
      </c>
      <c r="H2286" s="3" t="s">
        <v>440</v>
      </c>
      <c r="I2286" s="11">
        <v>182.72</v>
      </c>
      <c r="J2286" s="18">
        <v>8</v>
      </c>
      <c r="K2286" s="12">
        <v>84.051199999999994</v>
      </c>
    </row>
    <row r="2287" spans="1:11" x14ac:dyDescent="0.25">
      <c r="A2287" s="4">
        <v>43802</v>
      </c>
      <c r="B2287" s="19">
        <f t="shared" si="70"/>
        <v>2019</v>
      </c>
      <c r="C2287" s="19">
        <f t="shared" si="71"/>
        <v>12</v>
      </c>
      <c r="D2287" s="5" t="s">
        <v>50</v>
      </c>
      <c r="E2287" s="5" t="s">
        <v>18</v>
      </c>
      <c r="F2287" s="5" t="s">
        <v>11</v>
      </c>
      <c r="G2287" s="5" t="s">
        <v>51</v>
      </c>
      <c r="H2287" s="5" t="s">
        <v>945</v>
      </c>
      <c r="I2287" s="13">
        <v>111.9</v>
      </c>
      <c r="J2287" s="19">
        <v>6</v>
      </c>
      <c r="K2287" s="14">
        <v>51.473999999999997</v>
      </c>
    </row>
    <row r="2288" spans="1:11" x14ac:dyDescent="0.25">
      <c r="A2288" s="2">
        <v>43802</v>
      </c>
      <c r="B2288" s="18">
        <f t="shared" si="70"/>
        <v>2019</v>
      </c>
      <c r="C2288" s="18">
        <f t="shared" si="71"/>
        <v>12</v>
      </c>
      <c r="D2288" s="3" t="s">
        <v>821</v>
      </c>
      <c r="E2288" s="3" t="s">
        <v>18</v>
      </c>
      <c r="F2288" s="3" t="s">
        <v>19</v>
      </c>
      <c r="G2288" s="3" t="s">
        <v>20</v>
      </c>
      <c r="H2288" s="3" t="s">
        <v>341</v>
      </c>
      <c r="I2288" s="11">
        <v>48.72</v>
      </c>
      <c r="J2288" s="18">
        <v>3</v>
      </c>
      <c r="K2288" s="12">
        <v>7.3079999999999998</v>
      </c>
    </row>
    <row r="2289" spans="1:11" x14ac:dyDescent="0.25">
      <c r="A2289" s="4">
        <v>43802</v>
      </c>
      <c r="B2289" s="19">
        <f t="shared" si="70"/>
        <v>2019</v>
      </c>
      <c r="C2289" s="19">
        <f t="shared" si="71"/>
        <v>12</v>
      </c>
      <c r="D2289" s="5" t="s">
        <v>1968</v>
      </c>
      <c r="E2289" s="5" t="s">
        <v>94</v>
      </c>
      <c r="F2289" s="5" t="s">
        <v>19</v>
      </c>
      <c r="G2289" s="5" t="s">
        <v>20</v>
      </c>
      <c r="H2289" s="5" t="s">
        <v>371</v>
      </c>
      <c r="I2289" s="13">
        <v>33.630000000000003</v>
      </c>
      <c r="J2289" s="19">
        <v>3</v>
      </c>
      <c r="K2289" s="14">
        <v>10.089</v>
      </c>
    </row>
    <row r="2290" spans="1:11" x14ac:dyDescent="0.25">
      <c r="A2290" s="2">
        <v>43802</v>
      </c>
      <c r="B2290" s="18">
        <f t="shared" si="70"/>
        <v>2019</v>
      </c>
      <c r="C2290" s="18">
        <f t="shared" si="71"/>
        <v>12</v>
      </c>
      <c r="D2290" s="3" t="s">
        <v>702</v>
      </c>
      <c r="E2290" s="3" t="s">
        <v>317</v>
      </c>
      <c r="F2290" s="3" t="s">
        <v>11</v>
      </c>
      <c r="G2290" s="3" t="s">
        <v>112</v>
      </c>
      <c r="H2290" s="3" t="s">
        <v>252</v>
      </c>
      <c r="I2290" s="11">
        <v>29.98</v>
      </c>
      <c r="J2290" s="18">
        <v>1</v>
      </c>
      <c r="K2290" s="12">
        <v>8.0945999999999998</v>
      </c>
    </row>
    <row r="2291" spans="1:11" x14ac:dyDescent="0.25">
      <c r="A2291" s="4">
        <v>43802</v>
      </c>
      <c r="B2291" s="19">
        <f t="shared" si="70"/>
        <v>2019</v>
      </c>
      <c r="C2291" s="19">
        <f t="shared" si="71"/>
        <v>12</v>
      </c>
      <c r="D2291" s="5" t="s">
        <v>821</v>
      </c>
      <c r="E2291" s="5" t="s">
        <v>18</v>
      </c>
      <c r="F2291" s="5" t="s">
        <v>19</v>
      </c>
      <c r="G2291" s="5" t="s">
        <v>40</v>
      </c>
      <c r="H2291" s="5" t="s">
        <v>826</v>
      </c>
      <c r="I2291" s="13">
        <v>21.92</v>
      </c>
      <c r="J2291" s="19">
        <v>8</v>
      </c>
      <c r="K2291" s="14">
        <v>5.9184000000000001</v>
      </c>
    </row>
    <row r="2292" spans="1:11" x14ac:dyDescent="0.25">
      <c r="A2292" s="2">
        <v>43802</v>
      </c>
      <c r="B2292" s="18">
        <f t="shared" si="70"/>
        <v>2019</v>
      </c>
      <c r="C2292" s="18">
        <f t="shared" si="71"/>
        <v>12</v>
      </c>
      <c r="D2292" s="3" t="s">
        <v>375</v>
      </c>
      <c r="E2292" s="3" t="s">
        <v>39</v>
      </c>
      <c r="F2292" s="3" t="s">
        <v>19</v>
      </c>
      <c r="G2292" s="3" t="s">
        <v>32</v>
      </c>
      <c r="H2292" s="3" t="s">
        <v>1971</v>
      </c>
      <c r="I2292" s="11">
        <v>18.192</v>
      </c>
      <c r="J2292" s="18">
        <v>4</v>
      </c>
      <c r="K2292" s="12">
        <v>-14.553599999999999</v>
      </c>
    </row>
    <row r="2293" spans="1:11" x14ac:dyDescent="0.25">
      <c r="A2293" s="4">
        <v>43802</v>
      </c>
      <c r="B2293" s="19">
        <f t="shared" si="70"/>
        <v>2019</v>
      </c>
      <c r="C2293" s="19">
        <f t="shared" si="71"/>
        <v>12</v>
      </c>
      <c r="D2293" s="5" t="s">
        <v>1968</v>
      </c>
      <c r="E2293" s="5" t="s">
        <v>94</v>
      </c>
      <c r="F2293" s="5" t="s">
        <v>19</v>
      </c>
      <c r="G2293" s="5" t="s">
        <v>127</v>
      </c>
      <c r="H2293" s="5" t="s">
        <v>1498</v>
      </c>
      <c r="I2293" s="13">
        <v>6.3</v>
      </c>
      <c r="J2293" s="19">
        <v>2</v>
      </c>
      <c r="K2293" s="14">
        <v>3.024</v>
      </c>
    </row>
    <row r="2294" spans="1:11" x14ac:dyDescent="0.25">
      <c r="A2294" s="2">
        <v>43803</v>
      </c>
      <c r="B2294" s="18">
        <f t="shared" si="70"/>
        <v>2019</v>
      </c>
      <c r="C2294" s="18">
        <f t="shared" si="71"/>
        <v>12</v>
      </c>
      <c r="D2294" s="3" t="s">
        <v>1972</v>
      </c>
      <c r="E2294" s="3" t="s">
        <v>94</v>
      </c>
      <c r="F2294" s="3" t="s">
        <v>19</v>
      </c>
      <c r="G2294" s="3" t="s">
        <v>20</v>
      </c>
      <c r="H2294" s="3" t="s">
        <v>1973</v>
      </c>
      <c r="I2294" s="11">
        <v>212.88</v>
      </c>
      <c r="J2294" s="18">
        <v>6</v>
      </c>
      <c r="K2294" s="12">
        <v>0</v>
      </c>
    </row>
    <row r="2295" spans="1:11" x14ac:dyDescent="0.25">
      <c r="A2295" s="4">
        <v>43803</v>
      </c>
      <c r="B2295" s="19">
        <f t="shared" si="70"/>
        <v>2019</v>
      </c>
      <c r="C2295" s="19">
        <f t="shared" si="71"/>
        <v>12</v>
      </c>
      <c r="D2295" s="5" t="s">
        <v>1475</v>
      </c>
      <c r="E2295" s="5" t="s">
        <v>94</v>
      </c>
      <c r="F2295" s="5" t="s">
        <v>19</v>
      </c>
      <c r="G2295" s="5" t="s">
        <v>20</v>
      </c>
      <c r="H2295" s="5" t="s">
        <v>1700</v>
      </c>
      <c r="I2295" s="13">
        <v>193.86</v>
      </c>
      <c r="J2295" s="19">
        <v>2</v>
      </c>
      <c r="K2295" s="14">
        <v>11.631600000000001</v>
      </c>
    </row>
    <row r="2296" spans="1:11" x14ac:dyDescent="0.25">
      <c r="A2296" s="2">
        <v>43803</v>
      </c>
      <c r="B2296" s="18">
        <f t="shared" si="70"/>
        <v>2019</v>
      </c>
      <c r="C2296" s="18">
        <f t="shared" si="71"/>
        <v>12</v>
      </c>
      <c r="D2296" s="3" t="s">
        <v>1475</v>
      </c>
      <c r="E2296" s="3" t="s">
        <v>94</v>
      </c>
      <c r="F2296" s="3" t="s">
        <v>19</v>
      </c>
      <c r="G2296" s="3" t="s">
        <v>20</v>
      </c>
      <c r="H2296" s="3" t="s">
        <v>1974</v>
      </c>
      <c r="I2296" s="11">
        <v>182.94</v>
      </c>
      <c r="J2296" s="18">
        <v>3</v>
      </c>
      <c r="K2296" s="12">
        <v>3.6587999999999998</v>
      </c>
    </row>
    <row r="2297" spans="1:11" x14ac:dyDescent="0.25">
      <c r="A2297" s="4">
        <v>43803</v>
      </c>
      <c r="B2297" s="19">
        <f t="shared" si="70"/>
        <v>2019</v>
      </c>
      <c r="C2297" s="19">
        <f t="shared" si="71"/>
        <v>12</v>
      </c>
      <c r="D2297" s="5" t="s">
        <v>1475</v>
      </c>
      <c r="E2297" s="5" t="s">
        <v>94</v>
      </c>
      <c r="F2297" s="5" t="s">
        <v>11</v>
      </c>
      <c r="G2297" s="5" t="s">
        <v>51</v>
      </c>
      <c r="H2297" s="5" t="s">
        <v>733</v>
      </c>
      <c r="I2297" s="13">
        <v>113.79</v>
      </c>
      <c r="J2297" s="19">
        <v>3</v>
      </c>
      <c r="K2297" s="14">
        <v>20.482199999999999</v>
      </c>
    </row>
    <row r="2298" spans="1:11" x14ac:dyDescent="0.25">
      <c r="A2298" s="2">
        <v>43803</v>
      </c>
      <c r="B2298" s="18">
        <f t="shared" si="70"/>
        <v>2019</v>
      </c>
      <c r="C2298" s="18">
        <f t="shared" si="71"/>
        <v>12</v>
      </c>
      <c r="D2298" s="3" t="s">
        <v>475</v>
      </c>
      <c r="E2298" s="3" t="s">
        <v>18</v>
      </c>
      <c r="F2298" s="3" t="s">
        <v>19</v>
      </c>
      <c r="G2298" s="3" t="s">
        <v>53</v>
      </c>
      <c r="H2298" s="3" t="s">
        <v>927</v>
      </c>
      <c r="I2298" s="11">
        <v>104.85</v>
      </c>
      <c r="J2298" s="18">
        <v>1</v>
      </c>
      <c r="K2298" s="12">
        <v>50.328000000000003</v>
      </c>
    </row>
    <row r="2299" spans="1:11" x14ac:dyDescent="0.25">
      <c r="A2299" s="4">
        <v>43803</v>
      </c>
      <c r="B2299" s="19">
        <f t="shared" si="70"/>
        <v>2019</v>
      </c>
      <c r="C2299" s="19">
        <f t="shared" si="71"/>
        <v>12</v>
      </c>
      <c r="D2299" s="5" t="s">
        <v>1475</v>
      </c>
      <c r="E2299" s="5" t="s">
        <v>94</v>
      </c>
      <c r="F2299" s="5" t="s">
        <v>14</v>
      </c>
      <c r="G2299" s="5" t="s">
        <v>24</v>
      </c>
      <c r="H2299" s="5" t="s">
        <v>1457</v>
      </c>
      <c r="I2299" s="13">
        <v>78.150000000000006</v>
      </c>
      <c r="J2299" s="19">
        <v>1</v>
      </c>
      <c r="K2299" s="14">
        <v>34.386000000000003</v>
      </c>
    </row>
    <row r="2300" spans="1:11" x14ac:dyDescent="0.25">
      <c r="A2300" s="2">
        <v>43803</v>
      </c>
      <c r="B2300" s="18">
        <f t="shared" si="70"/>
        <v>2019</v>
      </c>
      <c r="C2300" s="18">
        <f t="shared" si="71"/>
        <v>12</v>
      </c>
      <c r="D2300" s="3" t="s">
        <v>1475</v>
      </c>
      <c r="E2300" s="3" t="s">
        <v>94</v>
      </c>
      <c r="F2300" s="3" t="s">
        <v>19</v>
      </c>
      <c r="G2300" s="3" t="s">
        <v>53</v>
      </c>
      <c r="H2300" s="3" t="s">
        <v>172</v>
      </c>
      <c r="I2300" s="11">
        <v>40.56</v>
      </c>
      <c r="J2300" s="18">
        <v>4</v>
      </c>
      <c r="K2300" s="12">
        <v>19.874400000000001</v>
      </c>
    </row>
    <row r="2301" spans="1:11" x14ac:dyDescent="0.25">
      <c r="A2301" s="4">
        <v>43803</v>
      </c>
      <c r="B2301" s="19">
        <f t="shared" si="70"/>
        <v>2019</v>
      </c>
      <c r="C2301" s="19">
        <f t="shared" si="71"/>
        <v>12</v>
      </c>
      <c r="D2301" s="5" t="s">
        <v>1335</v>
      </c>
      <c r="E2301" s="5" t="s">
        <v>94</v>
      </c>
      <c r="F2301" s="5" t="s">
        <v>19</v>
      </c>
      <c r="G2301" s="5" t="s">
        <v>32</v>
      </c>
      <c r="H2301" s="5" t="s">
        <v>849</v>
      </c>
      <c r="I2301" s="13">
        <v>15.528</v>
      </c>
      <c r="J2301" s="19">
        <v>3</v>
      </c>
      <c r="K2301" s="14">
        <v>5.8230000000000004</v>
      </c>
    </row>
    <row r="2302" spans="1:11" x14ac:dyDescent="0.25">
      <c r="A2302" s="2">
        <v>43803</v>
      </c>
      <c r="B2302" s="18">
        <f t="shared" si="70"/>
        <v>2019</v>
      </c>
      <c r="C2302" s="18">
        <f t="shared" si="71"/>
        <v>12</v>
      </c>
      <c r="D2302" s="3" t="s">
        <v>1475</v>
      </c>
      <c r="E2302" s="3" t="s">
        <v>94</v>
      </c>
      <c r="F2302" s="3" t="s">
        <v>19</v>
      </c>
      <c r="G2302" s="3" t="s">
        <v>32</v>
      </c>
      <c r="H2302" s="3" t="s">
        <v>347</v>
      </c>
      <c r="I2302" s="11">
        <v>1.728</v>
      </c>
      <c r="J2302" s="18">
        <v>1</v>
      </c>
      <c r="K2302" s="12">
        <v>0.6048</v>
      </c>
    </row>
    <row r="2303" spans="1:11" x14ac:dyDescent="0.25">
      <c r="A2303" s="4">
        <v>43804</v>
      </c>
      <c r="B2303" s="19">
        <f t="shared" si="70"/>
        <v>2019</v>
      </c>
      <c r="C2303" s="19">
        <f t="shared" si="71"/>
        <v>12</v>
      </c>
      <c r="D2303" s="5" t="s">
        <v>1975</v>
      </c>
      <c r="E2303" s="5" t="s">
        <v>56</v>
      </c>
      <c r="F2303" s="5" t="s">
        <v>11</v>
      </c>
      <c r="G2303" s="5" t="s">
        <v>112</v>
      </c>
      <c r="H2303" s="5" t="s">
        <v>537</v>
      </c>
      <c r="I2303" s="13">
        <v>951.84</v>
      </c>
      <c r="J2303" s="19">
        <v>8</v>
      </c>
      <c r="K2303" s="14">
        <v>585.55200000000002</v>
      </c>
    </row>
    <row r="2304" spans="1:11" x14ac:dyDescent="0.25">
      <c r="A2304" s="2">
        <v>43804</v>
      </c>
      <c r="B2304" s="18">
        <f t="shared" si="70"/>
        <v>2019</v>
      </c>
      <c r="C2304" s="18">
        <f t="shared" si="71"/>
        <v>12</v>
      </c>
      <c r="D2304" s="3" t="s">
        <v>1203</v>
      </c>
      <c r="E2304" s="3" t="s">
        <v>195</v>
      </c>
      <c r="F2304" s="3" t="s">
        <v>14</v>
      </c>
      <c r="G2304" s="3" t="s">
        <v>15</v>
      </c>
      <c r="H2304" s="3" t="s">
        <v>1976</v>
      </c>
      <c r="I2304" s="11">
        <v>699.98</v>
      </c>
      <c r="J2304" s="18">
        <v>2</v>
      </c>
      <c r="K2304" s="12">
        <v>195.99440000000001</v>
      </c>
    </row>
    <row r="2305" spans="1:11" x14ac:dyDescent="0.25">
      <c r="A2305" s="4">
        <v>43804</v>
      </c>
      <c r="B2305" s="19">
        <f t="shared" si="70"/>
        <v>2019</v>
      </c>
      <c r="C2305" s="19">
        <f t="shared" si="71"/>
        <v>12</v>
      </c>
      <c r="D2305" s="5" t="s">
        <v>1203</v>
      </c>
      <c r="E2305" s="5" t="s">
        <v>195</v>
      </c>
      <c r="F2305" s="5" t="s">
        <v>19</v>
      </c>
      <c r="G2305" s="5" t="s">
        <v>20</v>
      </c>
      <c r="H2305" s="5" t="s">
        <v>617</v>
      </c>
      <c r="I2305" s="13">
        <v>584.82000000000005</v>
      </c>
      <c r="J2305" s="19">
        <v>9</v>
      </c>
      <c r="K2305" s="14">
        <v>70.178399999999996</v>
      </c>
    </row>
    <row r="2306" spans="1:11" x14ac:dyDescent="0.25">
      <c r="A2306" s="2">
        <v>43804</v>
      </c>
      <c r="B2306" s="18">
        <f t="shared" ref="B2306:B2369" si="72">YEAR(A2306)</f>
        <v>2019</v>
      </c>
      <c r="C2306" s="18">
        <f t="shared" ref="C2306:C2369" si="73">MONTH(A2306)</f>
        <v>12</v>
      </c>
      <c r="D2306" s="3" t="s">
        <v>1285</v>
      </c>
      <c r="E2306" s="3" t="s">
        <v>94</v>
      </c>
      <c r="F2306" s="3" t="s">
        <v>19</v>
      </c>
      <c r="G2306" s="3" t="s">
        <v>20</v>
      </c>
      <c r="H2306" s="3" t="s">
        <v>1774</v>
      </c>
      <c r="I2306" s="11">
        <v>465.18</v>
      </c>
      <c r="J2306" s="18">
        <v>3</v>
      </c>
      <c r="K2306" s="12">
        <v>120.9468</v>
      </c>
    </row>
    <row r="2307" spans="1:11" x14ac:dyDescent="0.25">
      <c r="A2307" s="4">
        <v>43804</v>
      </c>
      <c r="B2307" s="19">
        <f t="shared" si="72"/>
        <v>2019</v>
      </c>
      <c r="C2307" s="19">
        <f t="shared" si="73"/>
        <v>12</v>
      </c>
      <c r="D2307" s="5" t="s">
        <v>1099</v>
      </c>
      <c r="E2307" s="5" t="s">
        <v>70</v>
      </c>
      <c r="F2307" s="5" t="s">
        <v>19</v>
      </c>
      <c r="G2307" s="5" t="s">
        <v>32</v>
      </c>
      <c r="H2307" s="5" t="s">
        <v>1606</v>
      </c>
      <c r="I2307" s="13">
        <v>407.976</v>
      </c>
      <c r="J2307" s="19">
        <v>3</v>
      </c>
      <c r="K2307" s="14">
        <v>132.59219999999999</v>
      </c>
    </row>
    <row r="2308" spans="1:11" x14ac:dyDescent="0.25">
      <c r="A2308" s="2">
        <v>43804</v>
      </c>
      <c r="B2308" s="18">
        <f t="shared" si="72"/>
        <v>2019</v>
      </c>
      <c r="C2308" s="18">
        <f t="shared" si="73"/>
        <v>12</v>
      </c>
      <c r="D2308" s="3" t="s">
        <v>1975</v>
      </c>
      <c r="E2308" s="3" t="s">
        <v>56</v>
      </c>
      <c r="F2308" s="3" t="s">
        <v>14</v>
      </c>
      <c r="G2308" s="3" t="s">
        <v>15</v>
      </c>
      <c r="H2308" s="3" t="s">
        <v>210</v>
      </c>
      <c r="I2308" s="11">
        <v>384.45</v>
      </c>
      <c r="J2308" s="18">
        <v>11</v>
      </c>
      <c r="K2308" s="12">
        <v>103.8015</v>
      </c>
    </row>
    <row r="2309" spans="1:11" x14ac:dyDescent="0.25">
      <c r="A2309" s="4">
        <v>43804</v>
      </c>
      <c r="B2309" s="19">
        <f t="shared" si="72"/>
        <v>2019</v>
      </c>
      <c r="C2309" s="19">
        <f t="shared" si="73"/>
        <v>12</v>
      </c>
      <c r="D2309" s="5" t="s">
        <v>1285</v>
      </c>
      <c r="E2309" s="5" t="s">
        <v>195</v>
      </c>
      <c r="F2309" s="5" t="s">
        <v>11</v>
      </c>
      <c r="G2309" s="5" t="s">
        <v>51</v>
      </c>
      <c r="H2309" s="5" t="s">
        <v>665</v>
      </c>
      <c r="I2309" s="13">
        <v>191.82</v>
      </c>
      <c r="J2309" s="19">
        <v>3</v>
      </c>
      <c r="K2309" s="14">
        <v>74.809799999999996</v>
      </c>
    </row>
    <row r="2310" spans="1:11" x14ac:dyDescent="0.25">
      <c r="A2310" s="2">
        <v>43804</v>
      </c>
      <c r="B2310" s="18">
        <f t="shared" si="72"/>
        <v>2019</v>
      </c>
      <c r="C2310" s="18">
        <f t="shared" si="73"/>
        <v>12</v>
      </c>
      <c r="D2310" s="3" t="s">
        <v>1975</v>
      </c>
      <c r="E2310" s="3" t="s">
        <v>56</v>
      </c>
      <c r="F2310" s="3" t="s">
        <v>19</v>
      </c>
      <c r="G2310" s="3" t="s">
        <v>32</v>
      </c>
      <c r="H2310" s="3" t="s">
        <v>1977</v>
      </c>
      <c r="I2310" s="11">
        <v>171.55</v>
      </c>
      <c r="J2310" s="18">
        <v>5</v>
      </c>
      <c r="K2310" s="12">
        <v>80.628500000000003</v>
      </c>
    </row>
    <row r="2311" spans="1:11" x14ac:dyDescent="0.25">
      <c r="A2311" s="4">
        <v>43804</v>
      </c>
      <c r="B2311" s="19">
        <f t="shared" si="72"/>
        <v>2019</v>
      </c>
      <c r="C2311" s="19">
        <f t="shared" si="73"/>
        <v>12</v>
      </c>
      <c r="D2311" s="5" t="s">
        <v>1975</v>
      </c>
      <c r="E2311" s="5" t="s">
        <v>56</v>
      </c>
      <c r="F2311" s="5" t="s">
        <v>14</v>
      </c>
      <c r="G2311" s="5" t="s">
        <v>15</v>
      </c>
      <c r="H2311" s="5" t="s">
        <v>217</v>
      </c>
      <c r="I2311" s="13">
        <v>149.97</v>
      </c>
      <c r="J2311" s="19">
        <v>3</v>
      </c>
      <c r="K2311" s="14">
        <v>5.9988000000000001</v>
      </c>
    </row>
    <row r="2312" spans="1:11" x14ac:dyDescent="0.25">
      <c r="A2312" s="2">
        <v>43804</v>
      </c>
      <c r="B2312" s="18">
        <f t="shared" si="72"/>
        <v>2019</v>
      </c>
      <c r="C2312" s="18">
        <f t="shared" si="73"/>
        <v>12</v>
      </c>
      <c r="D2312" s="3" t="s">
        <v>163</v>
      </c>
      <c r="E2312" s="3" t="s">
        <v>309</v>
      </c>
      <c r="F2312" s="3" t="s">
        <v>19</v>
      </c>
      <c r="G2312" s="3" t="s">
        <v>86</v>
      </c>
      <c r="H2312" s="3" t="s">
        <v>179</v>
      </c>
      <c r="I2312" s="11">
        <v>109.69</v>
      </c>
      <c r="J2312" s="18">
        <v>7</v>
      </c>
      <c r="K2312" s="12">
        <v>51.554299999999998</v>
      </c>
    </row>
    <row r="2313" spans="1:11" x14ac:dyDescent="0.25">
      <c r="A2313" s="4">
        <v>43804</v>
      </c>
      <c r="B2313" s="19">
        <f t="shared" si="72"/>
        <v>2019</v>
      </c>
      <c r="C2313" s="19">
        <f t="shared" si="73"/>
        <v>12</v>
      </c>
      <c r="D2313" s="5" t="s">
        <v>1978</v>
      </c>
      <c r="E2313" s="5" t="s">
        <v>370</v>
      </c>
      <c r="F2313" s="5" t="s">
        <v>11</v>
      </c>
      <c r="G2313" s="5" t="s">
        <v>12</v>
      </c>
      <c r="H2313" s="5" t="s">
        <v>1449</v>
      </c>
      <c r="I2313" s="13">
        <v>81.94</v>
      </c>
      <c r="J2313" s="19">
        <v>1</v>
      </c>
      <c r="K2313" s="14">
        <v>20.484999999999999</v>
      </c>
    </row>
    <row r="2314" spans="1:11" x14ac:dyDescent="0.25">
      <c r="A2314" s="2">
        <v>43804</v>
      </c>
      <c r="B2314" s="18">
        <f t="shared" si="72"/>
        <v>2019</v>
      </c>
      <c r="C2314" s="18">
        <f t="shared" si="73"/>
        <v>12</v>
      </c>
      <c r="D2314" s="3" t="s">
        <v>1401</v>
      </c>
      <c r="E2314" s="3" t="s">
        <v>913</v>
      </c>
      <c r="F2314" s="3" t="s">
        <v>19</v>
      </c>
      <c r="G2314" s="3" t="s">
        <v>40</v>
      </c>
      <c r="H2314" s="3" t="s">
        <v>607</v>
      </c>
      <c r="I2314" s="11">
        <v>33.92</v>
      </c>
      <c r="J2314" s="18">
        <v>8</v>
      </c>
      <c r="K2314" s="12">
        <v>13.2288</v>
      </c>
    </row>
    <row r="2315" spans="1:11" x14ac:dyDescent="0.25">
      <c r="A2315" s="4">
        <v>43804</v>
      </c>
      <c r="B2315" s="19">
        <f t="shared" si="72"/>
        <v>2019</v>
      </c>
      <c r="C2315" s="19">
        <f t="shared" si="73"/>
        <v>12</v>
      </c>
      <c r="D2315" s="5" t="s">
        <v>163</v>
      </c>
      <c r="E2315" s="5" t="s">
        <v>309</v>
      </c>
      <c r="F2315" s="5" t="s">
        <v>11</v>
      </c>
      <c r="G2315" s="5" t="s">
        <v>51</v>
      </c>
      <c r="H2315" s="5" t="s">
        <v>1634</v>
      </c>
      <c r="I2315" s="13">
        <v>13.4</v>
      </c>
      <c r="J2315" s="19">
        <v>1</v>
      </c>
      <c r="K2315" s="14">
        <v>6.4320000000000004</v>
      </c>
    </row>
    <row r="2316" spans="1:11" x14ac:dyDescent="0.25">
      <c r="A2316" s="2">
        <v>43804</v>
      </c>
      <c r="B2316" s="18">
        <f t="shared" si="72"/>
        <v>2019</v>
      </c>
      <c r="C2316" s="18">
        <f t="shared" si="73"/>
        <v>12</v>
      </c>
      <c r="D2316" s="3" t="s">
        <v>333</v>
      </c>
      <c r="E2316" s="3" t="s">
        <v>164</v>
      </c>
      <c r="F2316" s="3" t="s">
        <v>19</v>
      </c>
      <c r="G2316" s="3" t="s">
        <v>127</v>
      </c>
      <c r="H2316" s="3" t="s">
        <v>1662</v>
      </c>
      <c r="I2316" s="11">
        <v>11.952</v>
      </c>
      <c r="J2316" s="18">
        <v>3</v>
      </c>
      <c r="K2316" s="12">
        <v>3.8843999999999999</v>
      </c>
    </row>
    <row r="2317" spans="1:11" x14ac:dyDescent="0.25">
      <c r="A2317" s="4">
        <v>43804</v>
      </c>
      <c r="B2317" s="19">
        <f t="shared" si="72"/>
        <v>2019</v>
      </c>
      <c r="C2317" s="19">
        <f t="shared" si="73"/>
        <v>12</v>
      </c>
      <c r="D2317" s="5" t="s">
        <v>163</v>
      </c>
      <c r="E2317" s="5" t="s">
        <v>309</v>
      </c>
      <c r="F2317" s="5" t="s">
        <v>19</v>
      </c>
      <c r="G2317" s="5" t="s">
        <v>53</v>
      </c>
      <c r="H2317" s="5" t="s">
        <v>172</v>
      </c>
      <c r="I2317" s="13">
        <v>4.9800000000000004</v>
      </c>
      <c r="J2317" s="19">
        <v>1</v>
      </c>
      <c r="K2317" s="14">
        <v>2.3405999999999998</v>
      </c>
    </row>
    <row r="2318" spans="1:11" x14ac:dyDescent="0.25">
      <c r="A2318" s="2">
        <v>43804</v>
      </c>
      <c r="B2318" s="18">
        <f t="shared" si="72"/>
        <v>2019</v>
      </c>
      <c r="C2318" s="18">
        <f t="shared" si="73"/>
        <v>12</v>
      </c>
      <c r="D2318" s="3" t="s">
        <v>1979</v>
      </c>
      <c r="E2318" s="3" t="s">
        <v>164</v>
      </c>
      <c r="F2318" s="3" t="s">
        <v>19</v>
      </c>
      <c r="G2318" s="3" t="s">
        <v>40</v>
      </c>
      <c r="H2318" s="3" t="s">
        <v>1124</v>
      </c>
      <c r="I2318" s="11">
        <v>3.536</v>
      </c>
      <c r="J2318" s="18">
        <v>2</v>
      </c>
      <c r="K2318" s="12">
        <v>0.30940000000000001</v>
      </c>
    </row>
    <row r="2319" spans="1:11" x14ac:dyDescent="0.25">
      <c r="A2319" s="4">
        <v>43805</v>
      </c>
      <c r="B2319" s="19">
        <f t="shared" si="72"/>
        <v>2019</v>
      </c>
      <c r="C2319" s="19">
        <f t="shared" si="73"/>
        <v>12</v>
      </c>
      <c r="D2319" s="5" t="s">
        <v>1088</v>
      </c>
      <c r="E2319" s="5" t="s">
        <v>94</v>
      </c>
      <c r="F2319" s="5" t="s">
        <v>19</v>
      </c>
      <c r="G2319" s="5" t="s">
        <v>32</v>
      </c>
      <c r="H2319" s="5" t="s">
        <v>420</v>
      </c>
      <c r="I2319" s="13">
        <v>968.74400000000003</v>
      </c>
      <c r="J2319" s="19">
        <v>7</v>
      </c>
      <c r="K2319" s="14">
        <v>314.84179999999998</v>
      </c>
    </row>
    <row r="2320" spans="1:11" x14ac:dyDescent="0.25">
      <c r="A2320" s="2">
        <v>43805</v>
      </c>
      <c r="B2320" s="18">
        <f t="shared" si="72"/>
        <v>2019</v>
      </c>
      <c r="C2320" s="18">
        <f t="shared" si="73"/>
        <v>12</v>
      </c>
      <c r="D2320" s="3" t="s">
        <v>1088</v>
      </c>
      <c r="E2320" s="3" t="s">
        <v>94</v>
      </c>
      <c r="F2320" s="3" t="s">
        <v>14</v>
      </c>
      <c r="G2320" s="3" t="s">
        <v>36</v>
      </c>
      <c r="H2320" s="3" t="s">
        <v>1980</v>
      </c>
      <c r="I2320" s="11">
        <v>479.98399999999998</v>
      </c>
      <c r="J2320" s="18">
        <v>2</v>
      </c>
      <c r="K2320" s="12">
        <v>89.997</v>
      </c>
    </row>
    <row r="2321" spans="1:11" x14ac:dyDescent="0.25">
      <c r="A2321" s="4">
        <v>43805</v>
      </c>
      <c r="B2321" s="19">
        <f t="shared" si="72"/>
        <v>2019</v>
      </c>
      <c r="C2321" s="19">
        <f t="shared" si="73"/>
        <v>12</v>
      </c>
      <c r="D2321" s="5" t="s">
        <v>897</v>
      </c>
      <c r="E2321" s="5" t="s">
        <v>18</v>
      </c>
      <c r="F2321" s="5" t="s">
        <v>19</v>
      </c>
      <c r="G2321" s="5" t="s">
        <v>32</v>
      </c>
      <c r="H2321" s="5" t="s">
        <v>1653</v>
      </c>
      <c r="I2321" s="13">
        <v>437.47199999999998</v>
      </c>
      <c r="J2321" s="19">
        <v>14</v>
      </c>
      <c r="K2321" s="14">
        <v>153.11519999999999</v>
      </c>
    </row>
    <row r="2322" spans="1:11" x14ac:dyDescent="0.25">
      <c r="A2322" s="2">
        <v>43805</v>
      </c>
      <c r="B2322" s="18">
        <f t="shared" si="72"/>
        <v>2019</v>
      </c>
      <c r="C2322" s="18">
        <f t="shared" si="73"/>
        <v>12</v>
      </c>
      <c r="D2322" s="3" t="s">
        <v>261</v>
      </c>
      <c r="E2322" s="3" t="s">
        <v>70</v>
      </c>
      <c r="F2322" s="3" t="s">
        <v>14</v>
      </c>
      <c r="G2322" s="3" t="s">
        <v>15</v>
      </c>
      <c r="H2322" s="3" t="s">
        <v>1981</v>
      </c>
      <c r="I2322" s="11">
        <v>431.976</v>
      </c>
      <c r="J2322" s="18">
        <v>3</v>
      </c>
      <c r="K2322" s="12">
        <v>26.9985</v>
      </c>
    </row>
    <row r="2323" spans="1:11" x14ac:dyDescent="0.25">
      <c r="A2323" s="4">
        <v>43805</v>
      </c>
      <c r="B2323" s="19">
        <f t="shared" si="72"/>
        <v>2019</v>
      </c>
      <c r="C2323" s="19">
        <f t="shared" si="73"/>
        <v>12</v>
      </c>
      <c r="D2323" s="5" t="s">
        <v>897</v>
      </c>
      <c r="E2323" s="5" t="s">
        <v>18</v>
      </c>
      <c r="F2323" s="5" t="s">
        <v>14</v>
      </c>
      <c r="G2323" s="5" t="s">
        <v>15</v>
      </c>
      <c r="H2323" s="5" t="s">
        <v>62</v>
      </c>
      <c r="I2323" s="13">
        <v>271.95999999999998</v>
      </c>
      <c r="J2323" s="19">
        <v>5</v>
      </c>
      <c r="K2323" s="14">
        <v>27.196000000000002</v>
      </c>
    </row>
    <row r="2324" spans="1:11" x14ac:dyDescent="0.25">
      <c r="A2324" s="2">
        <v>43805</v>
      </c>
      <c r="B2324" s="18">
        <f t="shared" si="72"/>
        <v>2019</v>
      </c>
      <c r="C2324" s="18">
        <f t="shared" si="73"/>
        <v>12</v>
      </c>
      <c r="D2324" s="3" t="s">
        <v>897</v>
      </c>
      <c r="E2324" s="3" t="s">
        <v>18</v>
      </c>
      <c r="F2324" s="3" t="s">
        <v>14</v>
      </c>
      <c r="G2324" s="3" t="s">
        <v>15</v>
      </c>
      <c r="H2324" s="3" t="s">
        <v>1479</v>
      </c>
      <c r="I2324" s="11">
        <v>249.584</v>
      </c>
      <c r="J2324" s="18">
        <v>2</v>
      </c>
      <c r="K2324" s="12">
        <v>31.198</v>
      </c>
    </row>
    <row r="2325" spans="1:11" x14ac:dyDescent="0.25">
      <c r="A2325" s="4">
        <v>43805</v>
      </c>
      <c r="B2325" s="19">
        <f t="shared" si="72"/>
        <v>2019</v>
      </c>
      <c r="C2325" s="19">
        <f t="shared" si="73"/>
        <v>12</v>
      </c>
      <c r="D2325" s="5" t="s">
        <v>261</v>
      </c>
      <c r="E2325" s="5" t="s">
        <v>70</v>
      </c>
      <c r="F2325" s="5" t="s">
        <v>19</v>
      </c>
      <c r="G2325" s="5" t="s">
        <v>53</v>
      </c>
      <c r="H2325" s="5" t="s">
        <v>267</v>
      </c>
      <c r="I2325" s="13">
        <v>248.08</v>
      </c>
      <c r="J2325" s="19">
        <v>7</v>
      </c>
      <c r="K2325" s="14">
        <v>116.5976</v>
      </c>
    </row>
    <row r="2326" spans="1:11" x14ac:dyDescent="0.25">
      <c r="A2326" s="2">
        <v>43805</v>
      </c>
      <c r="B2326" s="18">
        <f t="shared" si="72"/>
        <v>2019</v>
      </c>
      <c r="C2326" s="18">
        <f t="shared" si="73"/>
        <v>12</v>
      </c>
      <c r="D2326" s="3" t="s">
        <v>1088</v>
      </c>
      <c r="E2326" s="3" t="s">
        <v>94</v>
      </c>
      <c r="F2326" s="3" t="s">
        <v>19</v>
      </c>
      <c r="G2326" s="3" t="s">
        <v>32</v>
      </c>
      <c r="H2326" s="3" t="s">
        <v>999</v>
      </c>
      <c r="I2326" s="11">
        <v>222.352</v>
      </c>
      <c r="J2326" s="18">
        <v>13</v>
      </c>
      <c r="K2326" s="12">
        <v>77.8232</v>
      </c>
    </row>
    <row r="2327" spans="1:11" x14ac:dyDescent="0.25">
      <c r="A2327" s="4">
        <v>43805</v>
      </c>
      <c r="B2327" s="19">
        <f t="shared" si="72"/>
        <v>2019</v>
      </c>
      <c r="C2327" s="19">
        <f t="shared" si="73"/>
        <v>12</v>
      </c>
      <c r="D2327" s="5" t="s">
        <v>261</v>
      </c>
      <c r="E2327" s="5" t="s">
        <v>70</v>
      </c>
      <c r="F2327" s="5" t="s">
        <v>19</v>
      </c>
      <c r="G2327" s="5" t="s">
        <v>53</v>
      </c>
      <c r="H2327" s="5" t="s">
        <v>977</v>
      </c>
      <c r="I2327" s="13">
        <v>189.7</v>
      </c>
      <c r="J2327" s="19">
        <v>5</v>
      </c>
      <c r="K2327" s="14">
        <v>89.159000000000006</v>
      </c>
    </row>
    <row r="2328" spans="1:11" x14ac:dyDescent="0.25">
      <c r="A2328" s="2">
        <v>43805</v>
      </c>
      <c r="B2328" s="18">
        <f t="shared" si="72"/>
        <v>2019</v>
      </c>
      <c r="C2328" s="18">
        <f t="shared" si="73"/>
        <v>12</v>
      </c>
      <c r="D2328" s="3" t="s">
        <v>261</v>
      </c>
      <c r="E2328" s="3" t="s">
        <v>70</v>
      </c>
      <c r="F2328" s="3" t="s">
        <v>14</v>
      </c>
      <c r="G2328" s="3" t="s">
        <v>15</v>
      </c>
      <c r="H2328" s="3" t="s">
        <v>1982</v>
      </c>
      <c r="I2328" s="11">
        <v>156.792</v>
      </c>
      <c r="J2328" s="18">
        <v>1</v>
      </c>
      <c r="K2328" s="12">
        <v>13.7193</v>
      </c>
    </row>
    <row r="2329" spans="1:11" x14ac:dyDescent="0.25">
      <c r="A2329" s="4">
        <v>43805</v>
      </c>
      <c r="B2329" s="19">
        <f t="shared" si="72"/>
        <v>2019</v>
      </c>
      <c r="C2329" s="19">
        <f t="shared" si="73"/>
        <v>12</v>
      </c>
      <c r="D2329" s="5" t="s">
        <v>261</v>
      </c>
      <c r="E2329" s="5" t="s">
        <v>70</v>
      </c>
      <c r="F2329" s="5" t="s">
        <v>19</v>
      </c>
      <c r="G2329" s="5" t="s">
        <v>32</v>
      </c>
      <c r="H2329" s="5" t="s">
        <v>947</v>
      </c>
      <c r="I2329" s="13">
        <v>59.808</v>
      </c>
      <c r="J2329" s="19">
        <v>3</v>
      </c>
      <c r="K2329" s="14">
        <v>19.4376</v>
      </c>
    </row>
    <row r="2330" spans="1:11" x14ac:dyDescent="0.25">
      <c r="A2330" s="2">
        <v>43805</v>
      </c>
      <c r="B2330" s="18">
        <f t="shared" si="72"/>
        <v>2019</v>
      </c>
      <c r="C2330" s="18">
        <f t="shared" si="73"/>
        <v>12</v>
      </c>
      <c r="D2330" s="3" t="s">
        <v>261</v>
      </c>
      <c r="E2330" s="3" t="s">
        <v>70</v>
      </c>
      <c r="F2330" s="3" t="s">
        <v>19</v>
      </c>
      <c r="G2330" s="3" t="s">
        <v>32</v>
      </c>
      <c r="H2330" s="3" t="s">
        <v>1810</v>
      </c>
      <c r="I2330" s="11">
        <v>47.207999999999998</v>
      </c>
      <c r="J2330" s="18">
        <v>7</v>
      </c>
      <c r="K2330" s="12">
        <v>15.342599999999999</v>
      </c>
    </row>
    <row r="2331" spans="1:11" x14ac:dyDescent="0.25">
      <c r="A2331" s="4">
        <v>43805</v>
      </c>
      <c r="B2331" s="19">
        <f t="shared" si="72"/>
        <v>2019</v>
      </c>
      <c r="C2331" s="19">
        <f t="shared" si="73"/>
        <v>12</v>
      </c>
      <c r="D2331" s="5" t="s">
        <v>261</v>
      </c>
      <c r="E2331" s="5" t="s">
        <v>70</v>
      </c>
      <c r="F2331" s="5" t="s">
        <v>19</v>
      </c>
      <c r="G2331" s="5" t="s">
        <v>86</v>
      </c>
      <c r="H2331" s="5" t="s">
        <v>1983</v>
      </c>
      <c r="I2331" s="13">
        <v>35.89</v>
      </c>
      <c r="J2331" s="19">
        <v>1</v>
      </c>
      <c r="K2331" s="14">
        <v>16.150500000000001</v>
      </c>
    </row>
    <row r="2332" spans="1:11" x14ac:dyDescent="0.25">
      <c r="A2332" s="2">
        <v>43805</v>
      </c>
      <c r="B2332" s="18">
        <f t="shared" si="72"/>
        <v>2019</v>
      </c>
      <c r="C2332" s="18">
        <f t="shared" si="73"/>
        <v>12</v>
      </c>
      <c r="D2332" s="3" t="s">
        <v>1380</v>
      </c>
      <c r="E2332" s="3" t="s">
        <v>18</v>
      </c>
      <c r="F2332" s="3" t="s">
        <v>19</v>
      </c>
      <c r="G2332" s="3" t="s">
        <v>53</v>
      </c>
      <c r="H2332" s="3" t="s">
        <v>1271</v>
      </c>
      <c r="I2332" s="11">
        <v>19.440000000000001</v>
      </c>
      <c r="J2332" s="18">
        <v>3</v>
      </c>
      <c r="K2332" s="12">
        <v>9.3312000000000008</v>
      </c>
    </row>
    <row r="2333" spans="1:11" x14ac:dyDescent="0.25">
      <c r="A2333" s="4">
        <v>43805</v>
      </c>
      <c r="B2333" s="19">
        <f t="shared" si="72"/>
        <v>2019</v>
      </c>
      <c r="C2333" s="19">
        <f t="shared" si="73"/>
        <v>12</v>
      </c>
      <c r="D2333" s="5" t="s">
        <v>897</v>
      </c>
      <c r="E2333" s="5" t="s">
        <v>18</v>
      </c>
      <c r="F2333" s="5" t="s">
        <v>19</v>
      </c>
      <c r="G2333" s="5" t="s">
        <v>40</v>
      </c>
      <c r="H2333" s="5" t="s">
        <v>1476</v>
      </c>
      <c r="I2333" s="13">
        <v>18.690000000000001</v>
      </c>
      <c r="J2333" s="19">
        <v>7</v>
      </c>
      <c r="K2333" s="14">
        <v>5.2332000000000001</v>
      </c>
    </row>
    <row r="2334" spans="1:11" x14ac:dyDescent="0.25">
      <c r="A2334" s="2">
        <v>43805</v>
      </c>
      <c r="B2334" s="18">
        <f t="shared" si="72"/>
        <v>2019</v>
      </c>
      <c r="C2334" s="18">
        <f t="shared" si="73"/>
        <v>12</v>
      </c>
      <c r="D2334" s="3" t="s">
        <v>897</v>
      </c>
      <c r="E2334" s="3" t="s">
        <v>18</v>
      </c>
      <c r="F2334" s="3" t="s">
        <v>19</v>
      </c>
      <c r="G2334" s="3" t="s">
        <v>116</v>
      </c>
      <c r="H2334" s="3" t="s">
        <v>919</v>
      </c>
      <c r="I2334" s="11">
        <v>13.86</v>
      </c>
      <c r="J2334" s="18">
        <v>7</v>
      </c>
      <c r="K2334" s="12">
        <v>0</v>
      </c>
    </row>
    <row r="2335" spans="1:11" x14ac:dyDescent="0.25">
      <c r="A2335" s="4">
        <v>43805</v>
      </c>
      <c r="B2335" s="19">
        <f t="shared" si="72"/>
        <v>2019</v>
      </c>
      <c r="C2335" s="19">
        <f t="shared" si="73"/>
        <v>12</v>
      </c>
      <c r="D2335" s="5" t="s">
        <v>897</v>
      </c>
      <c r="E2335" s="5" t="s">
        <v>18</v>
      </c>
      <c r="F2335" s="5" t="s">
        <v>19</v>
      </c>
      <c r="G2335" s="5" t="s">
        <v>32</v>
      </c>
      <c r="H2335" s="5" t="s">
        <v>280</v>
      </c>
      <c r="I2335" s="13">
        <v>13.375999999999999</v>
      </c>
      <c r="J2335" s="19">
        <v>4</v>
      </c>
      <c r="K2335" s="14">
        <v>4.6816000000000004</v>
      </c>
    </row>
    <row r="2336" spans="1:11" x14ac:dyDescent="0.25">
      <c r="A2336" s="2">
        <v>43805</v>
      </c>
      <c r="B2336" s="18">
        <f t="shared" si="72"/>
        <v>2019</v>
      </c>
      <c r="C2336" s="18">
        <f t="shared" si="73"/>
        <v>12</v>
      </c>
      <c r="D2336" s="3" t="s">
        <v>897</v>
      </c>
      <c r="E2336" s="3" t="s">
        <v>18</v>
      </c>
      <c r="F2336" s="3" t="s">
        <v>19</v>
      </c>
      <c r="G2336" s="3" t="s">
        <v>53</v>
      </c>
      <c r="H2336" s="3" t="s">
        <v>1984</v>
      </c>
      <c r="I2336" s="11">
        <v>13.36</v>
      </c>
      <c r="J2336" s="18">
        <v>2</v>
      </c>
      <c r="K2336" s="12">
        <v>6.4127999999999998</v>
      </c>
    </row>
    <row r="2337" spans="1:11" x14ac:dyDescent="0.25">
      <c r="A2337" s="4">
        <v>43807</v>
      </c>
      <c r="B2337" s="19">
        <f t="shared" si="72"/>
        <v>2019</v>
      </c>
      <c r="C2337" s="19">
        <f t="shared" si="73"/>
        <v>12</v>
      </c>
      <c r="D2337" s="5" t="s">
        <v>1985</v>
      </c>
      <c r="E2337" s="5" t="s">
        <v>18</v>
      </c>
      <c r="F2337" s="5" t="s">
        <v>11</v>
      </c>
      <c r="G2337" s="5" t="s">
        <v>30</v>
      </c>
      <c r="H2337" s="5" t="s">
        <v>1986</v>
      </c>
      <c r="I2337" s="13">
        <v>1421.664</v>
      </c>
      <c r="J2337" s="19">
        <v>6</v>
      </c>
      <c r="K2337" s="14">
        <v>-195.47880000000001</v>
      </c>
    </row>
    <row r="2338" spans="1:11" x14ac:dyDescent="0.25">
      <c r="A2338" s="2">
        <v>43807</v>
      </c>
      <c r="B2338" s="18">
        <f t="shared" si="72"/>
        <v>2019</v>
      </c>
      <c r="C2338" s="18">
        <f t="shared" si="73"/>
        <v>12</v>
      </c>
      <c r="D2338" s="3" t="s">
        <v>1987</v>
      </c>
      <c r="E2338" s="3" t="s">
        <v>23</v>
      </c>
      <c r="F2338" s="3" t="s">
        <v>14</v>
      </c>
      <c r="G2338" s="3" t="s">
        <v>15</v>
      </c>
      <c r="H2338" s="3" t="s">
        <v>1988</v>
      </c>
      <c r="I2338" s="11">
        <v>97.543999999999997</v>
      </c>
      <c r="J2338" s="18">
        <v>7</v>
      </c>
      <c r="K2338" s="12">
        <v>123.47369999999999</v>
      </c>
    </row>
    <row r="2339" spans="1:11" x14ac:dyDescent="0.25">
      <c r="A2339" s="4">
        <v>43807</v>
      </c>
      <c r="B2339" s="19">
        <f t="shared" si="72"/>
        <v>2019</v>
      </c>
      <c r="C2339" s="19">
        <f t="shared" si="73"/>
        <v>12</v>
      </c>
      <c r="D2339" s="5" t="s">
        <v>859</v>
      </c>
      <c r="E2339" s="5" t="s">
        <v>56</v>
      </c>
      <c r="F2339" s="5" t="s">
        <v>11</v>
      </c>
      <c r="G2339" s="5" t="s">
        <v>112</v>
      </c>
      <c r="H2339" s="5" t="s">
        <v>1195</v>
      </c>
      <c r="I2339" s="13">
        <v>680.01</v>
      </c>
      <c r="J2339" s="19">
        <v>3</v>
      </c>
      <c r="K2339" s="14">
        <v>176.80260000000001</v>
      </c>
    </row>
    <row r="2340" spans="1:11" x14ac:dyDescent="0.25">
      <c r="A2340" s="2">
        <v>43807</v>
      </c>
      <c r="B2340" s="18">
        <f t="shared" si="72"/>
        <v>2019</v>
      </c>
      <c r="C2340" s="18">
        <f t="shared" si="73"/>
        <v>12</v>
      </c>
      <c r="D2340" s="3" t="s">
        <v>859</v>
      </c>
      <c r="E2340" s="3" t="s">
        <v>56</v>
      </c>
      <c r="F2340" s="3" t="s">
        <v>11</v>
      </c>
      <c r="G2340" s="3" t="s">
        <v>12</v>
      </c>
      <c r="H2340" s="3" t="s">
        <v>1529</v>
      </c>
      <c r="I2340" s="11">
        <v>405.86</v>
      </c>
      <c r="J2340" s="18">
        <v>7</v>
      </c>
      <c r="K2340" s="12">
        <v>32.468800000000002</v>
      </c>
    </row>
    <row r="2341" spans="1:11" x14ac:dyDescent="0.25">
      <c r="A2341" s="4">
        <v>43807</v>
      </c>
      <c r="B2341" s="19">
        <f t="shared" si="72"/>
        <v>2019</v>
      </c>
      <c r="C2341" s="19">
        <f t="shared" si="73"/>
        <v>12</v>
      </c>
      <c r="D2341" s="5" t="s">
        <v>1699</v>
      </c>
      <c r="E2341" s="5" t="s">
        <v>18</v>
      </c>
      <c r="F2341" s="5" t="s">
        <v>19</v>
      </c>
      <c r="G2341" s="5" t="s">
        <v>20</v>
      </c>
      <c r="H2341" s="5" t="s">
        <v>1309</v>
      </c>
      <c r="I2341" s="13">
        <v>352.38</v>
      </c>
      <c r="J2341" s="19">
        <v>2</v>
      </c>
      <c r="K2341" s="14">
        <v>81.047399999999996</v>
      </c>
    </row>
    <row r="2342" spans="1:11" x14ac:dyDescent="0.25">
      <c r="A2342" s="2">
        <v>43807</v>
      </c>
      <c r="B2342" s="18">
        <f t="shared" si="72"/>
        <v>2019</v>
      </c>
      <c r="C2342" s="18">
        <f t="shared" si="73"/>
        <v>12</v>
      </c>
      <c r="D2342" s="3" t="s">
        <v>1087</v>
      </c>
      <c r="E2342" s="3" t="s">
        <v>35</v>
      </c>
      <c r="F2342" s="3" t="s">
        <v>14</v>
      </c>
      <c r="G2342" s="3" t="s">
        <v>15</v>
      </c>
      <c r="H2342" s="3" t="s">
        <v>1479</v>
      </c>
      <c r="I2342" s="11">
        <v>249.584</v>
      </c>
      <c r="J2342" s="18">
        <v>2</v>
      </c>
      <c r="K2342" s="12">
        <v>31.198</v>
      </c>
    </row>
    <row r="2343" spans="1:11" x14ac:dyDescent="0.25">
      <c r="A2343" s="4">
        <v>43807</v>
      </c>
      <c r="B2343" s="19">
        <f t="shared" si="72"/>
        <v>2019</v>
      </c>
      <c r="C2343" s="19">
        <f t="shared" si="73"/>
        <v>12</v>
      </c>
      <c r="D2343" s="5" t="s">
        <v>1987</v>
      </c>
      <c r="E2343" s="5" t="s">
        <v>23</v>
      </c>
      <c r="F2343" s="5" t="s">
        <v>11</v>
      </c>
      <c r="G2343" s="5" t="s">
        <v>51</v>
      </c>
      <c r="H2343" s="5" t="s">
        <v>1562</v>
      </c>
      <c r="I2343" s="13">
        <v>190.92</v>
      </c>
      <c r="J2343" s="19">
        <v>5</v>
      </c>
      <c r="K2343" s="14">
        <v>-147.96299999999999</v>
      </c>
    </row>
    <row r="2344" spans="1:11" x14ac:dyDescent="0.25">
      <c r="A2344" s="2">
        <v>43807</v>
      </c>
      <c r="B2344" s="18">
        <f t="shared" si="72"/>
        <v>2019</v>
      </c>
      <c r="C2344" s="18">
        <f t="shared" si="73"/>
        <v>12</v>
      </c>
      <c r="D2344" s="3" t="s">
        <v>606</v>
      </c>
      <c r="E2344" s="3" t="s">
        <v>387</v>
      </c>
      <c r="F2344" s="3" t="s">
        <v>14</v>
      </c>
      <c r="G2344" s="3" t="s">
        <v>15</v>
      </c>
      <c r="H2344" s="3" t="s">
        <v>879</v>
      </c>
      <c r="I2344" s="11">
        <v>114.95</v>
      </c>
      <c r="J2344" s="18">
        <v>5</v>
      </c>
      <c r="K2344" s="12">
        <v>2.2989999999999999</v>
      </c>
    </row>
    <row r="2345" spans="1:11" x14ac:dyDescent="0.25">
      <c r="A2345" s="4">
        <v>43807</v>
      </c>
      <c r="B2345" s="19">
        <f t="shared" si="72"/>
        <v>2019</v>
      </c>
      <c r="C2345" s="19">
        <f t="shared" si="73"/>
        <v>12</v>
      </c>
      <c r="D2345" s="5" t="s">
        <v>1087</v>
      </c>
      <c r="E2345" s="5" t="s">
        <v>35</v>
      </c>
      <c r="F2345" s="5" t="s">
        <v>14</v>
      </c>
      <c r="G2345" s="5" t="s">
        <v>24</v>
      </c>
      <c r="H2345" s="5" t="s">
        <v>1719</v>
      </c>
      <c r="I2345" s="13">
        <v>68.111999999999995</v>
      </c>
      <c r="J2345" s="19">
        <v>3</v>
      </c>
      <c r="K2345" s="14">
        <v>17.8794</v>
      </c>
    </row>
    <row r="2346" spans="1:11" x14ac:dyDescent="0.25">
      <c r="A2346" s="2">
        <v>43807</v>
      </c>
      <c r="B2346" s="18">
        <f t="shared" si="72"/>
        <v>2019</v>
      </c>
      <c r="C2346" s="18">
        <f t="shared" si="73"/>
        <v>12</v>
      </c>
      <c r="D2346" s="3" t="s">
        <v>1985</v>
      </c>
      <c r="E2346" s="3" t="s">
        <v>18</v>
      </c>
      <c r="F2346" s="3" t="s">
        <v>19</v>
      </c>
      <c r="G2346" s="3" t="s">
        <v>53</v>
      </c>
      <c r="H2346" s="3" t="s">
        <v>1989</v>
      </c>
      <c r="I2346" s="11">
        <v>45.36</v>
      </c>
      <c r="J2346" s="18">
        <v>7</v>
      </c>
      <c r="K2346" s="12">
        <v>21.7728</v>
      </c>
    </row>
    <row r="2347" spans="1:11" x14ac:dyDescent="0.25">
      <c r="A2347" s="4">
        <v>43807</v>
      </c>
      <c r="B2347" s="19">
        <f t="shared" si="72"/>
        <v>2019</v>
      </c>
      <c r="C2347" s="19">
        <f t="shared" si="73"/>
        <v>12</v>
      </c>
      <c r="D2347" s="5" t="s">
        <v>1699</v>
      </c>
      <c r="E2347" s="5" t="s">
        <v>18</v>
      </c>
      <c r="F2347" s="5" t="s">
        <v>19</v>
      </c>
      <c r="G2347" s="5" t="s">
        <v>20</v>
      </c>
      <c r="H2347" s="5" t="s">
        <v>1990</v>
      </c>
      <c r="I2347" s="13">
        <v>34.049999999999997</v>
      </c>
      <c r="J2347" s="19">
        <v>3</v>
      </c>
      <c r="K2347" s="14">
        <v>9.5340000000000007</v>
      </c>
    </row>
    <row r="2348" spans="1:11" x14ac:dyDescent="0.25">
      <c r="A2348" s="2">
        <v>43807</v>
      </c>
      <c r="B2348" s="18">
        <f t="shared" si="72"/>
        <v>2019</v>
      </c>
      <c r="C2348" s="18">
        <f t="shared" si="73"/>
        <v>12</v>
      </c>
      <c r="D2348" s="3" t="s">
        <v>1087</v>
      </c>
      <c r="E2348" s="3" t="s">
        <v>35</v>
      </c>
      <c r="F2348" s="3" t="s">
        <v>14</v>
      </c>
      <c r="G2348" s="3" t="s">
        <v>24</v>
      </c>
      <c r="H2348" s="3" t="s">
        <v>1096</v>
      </c>
      <c r="I2348" s="11">
        <v>16.559999999999999</v>
      </c>
      <c r="J2348" s="18">
        <v>3</v>
      </c>
      <c r="K2348" s="12">
        <v>-2.484</v>
      </c>
    </row>
    <row r="2349" spans="1:11" x14ac:dyDescent="0.25">
      <c r="A2349" s="4">
        <v>43807</v>
      </c>
      <c r="B2349" s="19">
        <f t="shared" si="72"/>
        <v>2019</v>
      </c>
      <c r="C2349" s="19">
        <f t="shared" si="73"/>
        <v>12</v>
      </c>
      <c r="D2349" s="5" t="s">
        <v>390</v>
      </c>
      <c r="E2349" s="5" t="s">
        <v>67</v>
      </c>
      <c r="F2349" s="5" t="s">
        <v>19</v>
      </c>
      <c r="G2349" s="5" t="s">
        <v>32</v>
      </c>
      <c r="H2349" s="5" t="s">
        <v>1991</v>
      </c>
      <c r="I2349" s="13">
        <v>12.957000000000001</v>
      </c>
      <c r="J2349" s="19">
        <v>7</v>
      </c>
      <c r="K2349" s="14">
        <v>-9.5017999999999994</v>
      </c>
    </row>
    <row r="2350" spans="1:11" x14ac:dyDescent="0.25">
      <c r="A2350" s="2">
        <v>43807</v>
      </c>
      <c r="B2350" s="18">
        <f t="shared" si="72"/>
        <v>2019</v>
      </c>
      <c r="C2350" s="18">
        <f t="shared" si="73"/>
        <v>12</v>
      </c>
      <c r="D2350" s="3" t="s">
        <v>342</v>
      </c>
      <c r="E2350" s="3" t="s">
        <v>67</v>
      </c>
      <c r="F2350" s="3" t="s">
        <v>19</v>
      </c>
      <c r="G2350" s="3" t="s">
        <v>53</v>
      </c>
      <c r="H2350" s="3" t="s">
        <v>1435</v>
      </c>
      <c r="I2350" s="11">
        <v>10.584</v>
      </c>
      <c r="J2350" s="18">
        <v>3</v>
      </c>
      <c r="K2350" s="12">
        <v>3.4398</v>
      </c>
    </row>
    <row r="2351" spans="1:11" x14ac:dyDescent="0.25">
      <c r="A2351" s="4">
        <v>43807</v>
      </c>
      <c r="B2351" s="19">
        <f t="shared" si="72"/>
        <v>2019</v>
      </c>
      <c r="C2351" s="19">
        <f t="shared" si="73"/>
        <v>12</v>
      </c>
      <c r="D2351" s="5" t="s">
        <v>1985</v>
      </c>
      <c r="E2351" s="5" t="s">
        <v>18</v>
      </c>
      <c r="F2351" s="5" t="s">
        <v>19</v>
      </c>
      <c r="G2351" s="5" t="s">
        <v>40</v>
      </c>
      <c r="H2351" s="5" t="s">
        <v>639</v>
      </c>
      <c r="I2351" s="13">
        <v>8.56</v>
      </c>
      <c r="J2351" s="19">
        <v>2</v>
      </c>
      <c r="K2351" s="14">
        <v>2.4824000000000002</v>
      </c>
    </row>
    <row r="2352" spans="1:11" x14ac:dyDescent="0.25">
      <c r="A2352" s="2">
        <v>43808</v>
      </c>
      <c r="B2352" s="18">
        <f t="shared" si="72"/>
        <v>2019</v>
      </c>
      <c r="C2352" s="18">
        <f t="shared" si="73"/>
        <v>12</v>
      </c>
      <c r="D2352" s="3" t="s">
        <v>1992</v>
      </c>
      <c r="E2352" s="3" t="s">
        <v>181</v>
      </c>
      <c r="F2352" s="3" t="s">
        <v>11</v>
      </c>
      <c r="G2352" s="3" t="s">
        <v>30</v>
      </c>
      <c r="H2352" s="3" t="s">
        <v>1387</v>
      </c>
      <c r="I2352" s="11">
        <v>1056.8599999999999</v>
      </c>
      <c r="J2352" s="18">
        <v>7</v>
      </c>
      <c r="K2352" s="12">
        <v>158.529</v>
      </c>
    </row>
    <row r="2353" spans="1:11" x14ac:dyDescent="0.25">
      <c r="A2353" s="4">
        <v>43808</v>
      </c>
      <c r="B2353" s="19">
        <f t="shared" si="72"/>
        <v>2019</v>
      </c>
      <c r="C2353" s="19">
        <f t="shared" si="73"/>
        <v>12</v>
      </c>
      <c r="D2353" s="5" t="s">
        <v>364</v>
      </c>
      <c r="E2353" s="5" t="s">
        <v>18</v>
      </c>
      <c r="F2353" s="5" t="s">
        <v>19</v>
      </c>
      <c r="G2353" s="5" t="s">
        <v>32</v>
      </c>
      <c r="H2353" s="5" t="s">
        <v>1896</v>
      </c>
      <c r="I2353" s="13">
        <v>273.92</v>
      </c>
      <c r="J2353" s="19">
        <v>8</v>
      </c>
      <c r="K2353" s="14">
        <v>99.296000000000006</v>
      </c>
    </row>
    <row r="2354" spans="1:11" x14ac:dyDescent="0.25">
      <c r="A2354" s="2">
        <v>43808</v>
      </c>
      <c r="B2354" s="18">
        <f t="shared" si="72"/>
        <v>2019</v>
      </c>
      <c r="C2354" s="18">
        <f t="shared" si="73"/>
        <v>12</v>
      </c>
      <c r="D2354" s="3" t="s">
        <v>245</v>
      </c>
      <c r="E2354" s="3" t="s">
        <v>370</v>
      </c>
      <c r="F2354" s="3" t="s">
        <v>19</v>
      </c>
      <c r="G2354" s="3" t="s">
        <v>127</v>
      </c>
      <c r="H2354" s="3" t="s">
        <v>1158</v>
      </c>
      <c r="I2354" s="11">
        <v>122.12</v>
      </c>
      <c r="J2354" s="18">
        <v>4</v>
      </c>
      <c r="K2354" s="12">
        <v>56.175199999999997</v>
      </c>
    </row>
    <row r="2355" spans="1:11" x14ac:dyDescent="0.25">
      <c r="A2355" s="4">
        <v>43808</v>
      </c>
      <c r="B2355" s="19">
        <f t="shared" si="72"/>
        <v>2019</v>
      </c>
      <c r="C2355" s="19">
        <f t="shared" si="73"/>
        <v>12</v>
      </c>
      <c r="D2355" s="5" t="s">
        <v>493</v>
      </c>
      <c r="E2355" s="5" t="s">
        <v>219</v>
      </c>
      <c r="F2355" s="5" t="s">
        <v>11</v>
      </c>
      <c r="G2355" s="5" t="s">
        <v>30</v>
      </c>
      <c r="H2355" s="5" t="s">
        <v>778</v>
      </c>
      <c r="I2355" s="13">
        <v>79.974000000000004</v>
      </c>
      <c r="J2355" s="19">
        <v>3</v>
      </c>
      <c r="K2355" s="14">
        <v>-29.323799999999999</v>
      </c>
    </row>
    <row r="2356" spans="1:11" x14ac:dyDescent="0.25">
      <c r="A2356" s="2">
        <v>43808</v>
      </c>
      <c r="B2356" s="18">
        <f t="shared" si="72"/>
        <v>2019</v>
      </c>
      <c r="C2356" s="18">
        <f t="shared" si="73"/>
        <v>12</v>
      </c>
      <c r="D2356" s="3" t="s">
        <v>833</v>
      </c>
      <c r="E2356" s="3" t="s">
        <v>365</v>
      </c>
      <c r="F2356" s="3" t="s">
        <v>19</v>
      </c>
      <c r="G2356" s="3" t="s">
        <v>121</v>
      </c>
      <c r="H2356" s="3" t="s">
        <v>1146</v>
      </c>
      <c r="I2356" s="11">
        <v>61.929000000000002</v>
      </c>
      <c r="J2356" s="18">
        <v>1</v>
      </c>
      <c r="K2356" s="12">
        <v>23.395399999999999</v>
      </c>
    </row>
    <row r="2357" spans="1:11" x14ac:dyDescent="0.25">
      <c r="A2357" s="4">
        <v>43808</v>
      </c>
      <c r="B2357" s="19">
        <f t="shared" si="72"/>
        <v>2019</v>
      </c>
      <c r="C2357" s="19">
        <f t="shared" si="73"/>
        <v>12</v>
      </c>
      <c r="D2357" s="5" t="s">
        <v>69</v>
      </c>
      <c r="E2357" s="5" t="s">
        <v>651</v>
      </c>
      <c r="F2357" s="5" t="s">
        <v>19</v>
      </c>
      <c r="G2357" s="5" t="s">
        <v>121</v>
      </c>
      <c r="H2357" s="5" t="s">
        <v>1408</v>
      </c>
      <c r="I2357" s="13">
        <v>60.34</v>
      </c>
      <c r="J2357" s="19">
        <v>7</v>
      </c>
      <c r="K2357" s="14">
        <v>15.6884</v>
      </c>
    </row>
    <row r="2358" spans="1:11" x14ac:dyDescent="0.25">
      <c r="A2358" s="2">
        <v>43808</v>
      </c>
      <c r="B2358" s="18">
        <f t="shared" si="72"/>
        <v>2019</v>
      </c>
      <c r="C2358" s="18">
        <f t="shared" si="73"/>
        <v>12</v>
      </c>
      <c r="D2358" s="3" t="s">
        <v>833</v>
      </c>
      <c r="E2358" s="3" t="s">
        <v>365</v>
      </c>
      <c r="F2358" s="3" t="s">
        <v>14</v>
      </c>
      <c r="G2358" s="3" t="s">
        <v>24</v>
      </c>
      <c r="H2358" s="3" t="s">
        <v>553</v>
      </c>
      <c r="I2358" s="11">
        <v>59.98</v>
      </c>
      <c r="J2358" s="18">
        <v>2</v>
      </c>
      <c r="K2358" s="12">
        <v>25.191600000000001</v>
      </c>
    </row>
    <row r="2359" spans="1:11" x14ac:dyDescent="0.25">
      <c r="A2359" s="4">
        <v>43808</v>
      </c>
      <c r="B2359" s="19">
        <f t="shared" si="72"/>
        <v>2019</v>
      </c>
      <c r="C2359" s="19">
        <f t="shared" si="73"/>
        <v>12</v>
      </c>
      <c r="D2359" s="5" t="s">
        <v>1677</v>
      </c>
      <c r="E2359" s="5" t="s">
        <v>219</v>
      </c>
      <c r="F2359" s="5" t="s">
        <v>14</v>
      </c>
      <c r="G2359" s="5" t="s">
        <v>15</v>
      </c>
      <c r="H2359" s="5" t="s">
        <v>1993</v>
      </c>
      <c r="I2359" s="13">
        <v>40.68</v>
      </c>
      <c r="J2359" s="19">
        <v>3</v>
      </c>
      <c r="K2359" s="14">
        <v>-9.1530000000000005</v>
      </c>
    </row>
    <row r="2360" spans="1:11" x14ac:dyDescent="0.25">
      <c r="A2360" s="2">
        <v>43808</v>
      </c>
      <c r="B2360" s="18">
        <f t="shared" si="72"/>
        <v>2019</v>
      </c>
      <c r="C2360" s="18">
        <f t="shared" si="73"/>
        <v>12</v>
      </c>
      <c r="D2360" s="3" t="s">
        <v>339</v>
      </c>
      <c r="E2360" s="3" t="s">
        <v>164</v>
      </c>
      <c r="F2360" s="3" t="s">
        <v>19</v>
      </c>
      <c r="G2360" s="3" t="s">
        <v>265</v>
      </c>
      <c r="H2360" s="3" t="s">
        <v>266</v>
      </c>
      <c r="I2360" s="11">
        <v>20.568000000000001</v>
      </c>
      <c r="J2360" s="18">
        <v>3</v>
      </c>
      <c r="K2360" s="12">
        <v>1.5426</v>
      </c>
    </row>
    <row r="2361" spans="1:11" x14ac:dyDescent="0.25">
      <c r="A2361" s="4">
        <v>43808</v>
      </c>
      <c r="B2361" s="19">
        <f t="shared" si="72"/>
        <v>2019</v>
      </c>
      <c r="C2361" s="19">
        <f t="shared" si="73"/>
        <v>12</v>
      </c>
      <c r="D2361" s="5" t="s">
        <v>69</v>
      </c>
      <c r="E2361" s="5" t="s">
        <v>651</v>
      </c>
      <c r="F2361" s="5" t="s">
        <v>19</v>
      </c>
      <c r="G2361" s="5" t="s">
        <v>40</v>
      </c>
      <c r="H2361" s="5" t="s">
        <v>1994</v>
      </c>
      <c r="I2361" s="13">
        <v>19.46</v>
      </c>
      <c r="J2361" s="19">
        <v>7</v>
      </c>
      <c r="K2361" s="14">
        <v>5.0595999999999997</v>
      </c>
    </row>
    <row r="2362" spans="1:11" x14ac:dyDescent="0.25">
      <c r="A2362" s="2">
        <v>43808</v>
      </c>
      <c r="B2362" s="18">
        <f t="shared" si="72"/>
        <v>2019</v>
      </c>
      <c r="C2362" s="18">
        <f t="shared" si="73"/>
        <v>12</v>
      </c>
      <c r="D2362" s="3" t="s">
        <v>339</v>
      </c>
      <c r="E2362" s="3" t="s">
        <v>164</v>
      </c>
      <c r="F2362" s="3" t="s">
        <v>14</v>
      </c>
      <c r="G2362" s="3" t="s">
        <v>24</v>
      </c>
      <c r="H2362" s="3" t="s">
        <v>1995</v>
      </c>
      <c r="I2362" s="11">
        <v>19.04</v>
      </c>
      <c r="J2362" s="18">
        <v>4</v>
      </c>
      <c r="K2362" s="12">
        <v>-1.4279999999999999</v>
      </c>
    </row>
    <row r="2363" spans="1:11" x14ac:dyDescent="0.25">
      <c r="A2363" s="4">
        <v>43808</v>
      </c>
      <c r="B2363" s="19">
        <f t="shared" si="72"/>
        <v>2019</v>
      </c>
      <c r="C2363" s="19">
        <f t="shared" si="73"/>
        <v>12</v>
      </c>
      <c r="D2363" s="5" t="s">
        <v>833</v>
      </c>
      <c r="E2363" s="5" t="s">
        <v>365</v>
      </c>
      <c r="F2363" s="5" t="s">
        <v>14</v>
      </c>
      <c r="G2363" s="5" t="s">
        <v>15</v>
      </c>
      <c r="H2363" s="5" t="s">
        <v>839</v>
      </c>
      <c r="I2363" s="13">
        <v>10.9</v>
      </c>
      <c r="J2363" s="19">
        <v>1</v>
      </c>
      <c r="K2363" s="14">
        <v>3.052</v>
      </c>
    </row>
    <row r="2364" spans="1:11" x14ac:dyDescent="0.25">
      <c r="A2364" s="2">
        <v>43808</v>
      </c>
      <c r="B2364" s="18">
        <f t="shared" si="72"/>
        <v>2019</v>
      </c>
      <c r="C2364" s="18">
        <f t="shared" si="73"/>
        <v>12</v>
      </c>
      <c r="D2364" s="3" t="s">
        <v>798</v>
      </c>
      <c r="E2364" s="3" t="s">
        <v>23</v>
      </c>
      <c r="F2364" s="3" t="s">
        <v>19</v>
      </c>
      <c r="G2364" s="3" t="s">
        <v>53</v>
      </c>
      <c r="H2364" s="3" t="s">
        <v>1561</v>
      </c>
      <c r="I2364" s="11">
        <v>9.3919999999999995</v>
      </c>
      <c r="J2364" s="18">
        <v>2</v>
      </c>
      <c r="K2364" s="12">
        <v>3.2871999999999999</v>
      </c>
    </row>
    <row r="2365" spans="1:11" x14ac:dyDescent="0.25">
      <c r="A2365" s="4">
        <v>43808</v>
      </c>
      <c r="B2365" s="19">
        <f t="shared" si="72"/>
        <v>2019</v>
      </c>
      <c r="C2365" s="19">
        <f t="shared" si="73"/>
        <v>12</v>
      </c>
      <c r="D2365" s="5" t="s">
        <v>798</v>
      </c>
      <c r="E2365" s="5" t="s">
        <v>23</v>
      </c>
      <c r="F2365" s="5" t="s">
        <v>19</v>
      </c>
      <c r="G2365" s="5" t="s">
        <v>40</v>
      </c>
      <c r="H2365" s="5" t="s">
        <v>491</v>
      </c>
      <c r="I2365" s="13">
        <v>9.3279999999999994</v>
      </c>
      <c r="J2365" s="19">
        <v>1</v>
      </c>
      <c r="K2365" s="14">
        <v>0.81620000000000004</v>
      </c>
    </row>
    <row r="2366" spans="1:11" x14ac:dyDescent="0.25">
      <c r="A2366" s="2">
        <v>43808</v>
      </c>
      <c r="B2366" s="18">
        <f t="shared" si="72"/>
        <v>2019</v>
      </c>
      <c r="C2366" s="18">
        <f t="shared" si="73"/>
        <v>12</v>
      </c>
      <c r="D2366" s="3" t="s">
        <v>339</v>
      </c>
      <c r="E2366" s="3" t="s">
        <v>164</v>
      </c>
      <c r="F2366" s="3" t="s">
        <v>19</v>
      </c>
      <c r="G2366" s="3" t="s">
        <v>121</v>
      </c>
      <c r="H2366" s="3" t="s">
        <v>1094</v>
      </c>
      <c r="I2366" s="11">
        <v>4.3559999999999999</v>
      </c>
      <c r="J2366" s="18">
        <v>2</v>
      </c>
      <c r="K2366" s="12">
        <v>-11.761200000000001</v>
      </c>
    </row>
    <row r="2367" spans="1:11" x14ac:dyDescent="0.25">
      <c r="A2367" s="4">
        <v>43808</v>
      </c>
      <c r="B2367" s="19">
        <f t="shared" si="72"/>
        <v>2019</v>
      </c>
      <c r="C2367" s="19">
        <f t="shared" si="73"/>
        <v>12</v>
      </c>
      <c r="D2367" s="5" t="s">
        <v>245</v>
      </c>
      <c r="E2367" s="5" t="s">
        <v>370</v>
      </c>
      <c r="F2367" s="5" t="s">
        <v>19</v>
      </c>
      <c r="G2367" s="5" t="s">
        <v>127</v>
      </c>
      <c r="H2367" s="5" t="s">
        <v>1996</v>
      </c>
      <c r="I2367" s="13">
        <v>3.69</v>
      </c>
      <c r="J2367" s="19">
        <v>1</v>
      </c>
      <c r="K2367" s="14">
        <v>1.7343</v>
      </c>
    </row>
    <row r="2368" spans="1:11" x14ac:dyDescent="0.25">
      <c r="A2368" s="2">
        <v>43808</v>
      </c>
      <c r="B2368" s="18">
        <f t="shared" si="72"/>
        <v>2019</v>
      </c>
      <c r="C2368" s="18">
        <f t="shared" si="73"/>
        <v>12</v>
      </c>
      <c r="D2368" s="3" t="s">
        <v>493</v>
      </c>
      <c r="E2368" s="3" t="s">
        <v>219</v>
      </c>
      <c r="F2368" s="3" t="s">
        <v>19</v>
      </c>
      <c r="G2368" s="3" t="s">
        <v>32</v>
      </c>
      <c r="H2368" s="3" t="s">
        <v>593</v>
      </c>
      <c r="I2368" s="11">
        <v>2.9460000000000002</v>
      </c>
      <c r="J2368" s="18">
        <v>2</v>
      </c>
      <c r="K2368" s="12">
        <v>-2.0621999999999998</v>
      </c>
    </row>
    <row r="2369" spans="1:11" x14ac:dyDescent="0.25">
      <c r="A2369" s="4">
        <v>43809</v>
      </c>
      <c r="B2369" s="19">
        <f t="shared" si="72"/>
        <v>2019</v>
      </c>
      <c r="C2369" s="19">
        <f t="shared" si="73"/>
        <v>12</v>
      </c>
      <c r="D2369" s="5" t="s">
        <v>1928</v>
      </c>
      <c r="E2369" s="5" t="s">
        <v>317</v>
      </c>
      <c r="F2369" s="5" t="s">
        <v>11</v>
      </c>
      <c r="G2369" s="5" t="s">
        <v>112</v>
      </c>
      <c r="H2369" s="5" t="s">
        <v>1997</v>
      </c>
      <c r="I2369" s="13">
        <v>1424.9</v>
      </c>
      <c r="J2369" s="19">
        <v>5</v>
      </c>
      <c r="K2369" s="14">
        <v>356.22500000000002</v>
      </c>
    </row>
    <row r="2370" spans="1:11" x14ac:dyDescent="0.25">
      <c r="A2370" s="2">
        <v>43809</v>
      </c>
      <c r="B2370" s="18">
        <f t="shared" ref="B2370:B2433" si="74">YEAR(A2370)</f>
        <v>2019</v>
      </c>
      <c r="C2370" s="18">
        <f t="shared" ref="C2370:C2433" si="75">MONTH(A2370)</f>
        <v>12</v>
      </c>
      <c r="D2370" s="3" t="s">
        <v>742</v>
      </c>
      <c r="E2370" s="3" t="s">
        <v>94</v>
      </c>
      <c r="F2370" s="3" t="s">
        <v>19</v>
      </c>
      <c r="G2370" s="3" t="s">
        <v>32</v>
      </c>
      <c r="H2370" s="3" t="s">
        <v>1606</v>
      </c>
      <c r="I2370" s="11">
        <v>679.96</v>
      </c>
      <c r="J2370" s="18">
        <v>5</v>
      </c>
      <c r="K2370" s="12">
        <v>220.98699999999999</v>
      </c>
    </row>
    <row r="2371" spans="1:11" x14ac:dyDescent="0.25">
      <c r="A2371" s="4">
        <v>43809</v>
      </c>
      <c r="B2371" s="19">
        <f t="shared" si="74"/>
        <v>2019</v>
      </c>
      <c r="C2371" s="19">
        <f t="shared" si="75"/>
        <v>12</v>
      </c>
      <c r="D2371" s="5" t="s">
        <v>1488</v>
      </c>
      <c r="E2371" s="5" t="s">
        <v>94</v>
      </c>
      <c r="F2371" s="5" t="s">
        <v>19</v>
      </c>
      <c r="G2371" s="5" t="s">
        <v>86</v>
      </c>
      <c r="H2371" s="5" t="s">
        <v>1998</v>
      </c>
      <c r="I2371" s="13">
        <v>361.92</v>
      </c>
      <c r="J2371" s="19">
        <v>4</v>
      </c>
      <c r="K2371" s="14">
        <v>162.864</v>
      </c>
    </row>
    <row r="2372" spans="1:11" x14ac:dyDescent="0.25">
      <c r="A2372" s="2">
        <v>43809</v>
      </c>
      <c r="B2372" s="18">
        <f t="shared" si="74"/>
        <v>2019</v>
      </c>
      <c r="C2372" s="18">
        <f t="shared" si="75"/>
        <v>12</v>
      </c>
      <c r="D2372" s="3" t="s">
        <v>833</v>
      </c>
      <c r="E2372" s="3" t="s">
        <v>18</v>
      </c>
      <c r="F2372" s="3" t="s">
        <v>11</v>
      </c>
      <c r="G2372" s="3" t="s">
        <v>112</v>
      </c>
      <c r="H2372" s="3" t="s">
        <v>510</v>
      </c>
      <c r="I2372" s="11">
        <v>321.56799999999998</v>
      </c>
      <c r="J2372" s="18">
        <v>2</v>
      </c>
      <c r="K2372" s="12">
        <v>28.1372</v>
      </c>
    </row>
    <row r="2373" spans="1:11" x14ac:dyDescent="0.25">
      <c r="A2373" s="4">
        <v>43809</v>
      </c>
      <c r="B2373" s="19">
        <f t="shared" si="74"/>
        <v>2019</v>
      </c>
      <c r="C2373" s="19">
        <f t="shared" si="75"/>
        <v>12</v>
      </c>
      <c r="D2373" s="5" t="s">
        <v>638</v>
      </c>
      <c r="E2373" s="5" t="s">
        <v>70</v>
      </c>
      <c r="F2373" s="5" t="s">
        <v>19</v>
      </c>
      <c r="G2373" s="5" t="s">
        <v>32</v>
      </c>
      <c r="H2373" s="5" t="s">
        <v>836</v>
      </c>
      <c r="I2373" s="13">
        <v>153.55199999999999</v>
      </c>
      <c r="J2373" s="19">
        <v>3</v>
      </c>
      <c r="K2373" s="14">
        <v>51.823799999999999</v>
      </c>
    </row>
    <row r="2374" spans="1:11" x14ac:dyDescent="0.25">
      <c r="A2374" s="2">
        <v>43809</v>
      </c>
      <c r="B2374" s="18">
        <f t="shared" si="74"/>
        <v>2019</v>
      </c>
      <c r="C2374" s="18">
        <f t="shared" si="75"/>
        <v>12</v>
      </c>
      <c r="D2374" s="3" t="s">
        <v>638</v>
      </c>
      <c r="E2374" s="3" t="s">
        <v>70</v>
      </c>
      <c r="F2374" s="3" t="s">
        <v>19</v>
      </c>
      <c r="G2374" s="3" t="s">
        <v>53</v>
      </c>
      <c r="H2374" s="3" t="s">
        <v>1999</v>
      </c>
      <c r="I2374" s="11">
        <v>123.92</v>
      </c>
      <c r="J2374" s="18">
        <v>4</v>
      </c>
      <c r="K2374" s="12">
        <v>55.764000000000003</v>
      </c>
    </row>
    <row r="2375" spans="1:11" x14ac:dyDescent="0.25">
      <c r="A2375" s="4">
        <v>43809</v>
      </c>
      <c r="B2375" s="19">
        <f t="shared" si="74"/>
        <v>2019</v>
      </c>
      <c r="C2375" s="19">
        <f t="shared" si="75"/>
        <v>12</v>
      </c>
      <c r="D2375" s="5" t="s">
        <v>1488</v>
      </c>
      <c r="E2375" s="5" t="s">
        <v>94</v>
      </c>
      <c r="F2375" s="5" t="s">
        <v>19</v>
      </c>
      <c r="G2375" s="5" t="s">
        <v>20</v>
      </c>
      <c r="H2375" s="5" t="s">
        <v>624</v>
      </c>
      <c r="I2375" s="13">
        <v>80.58</v>
      </c>
      <c r="J2375" s="19">
        <v>6</v>
      </c>
      <c r="K2375" s="14">
        <v>22.5624</v>
      </c>
    </row>
    <row r="2376" spans="1:11" x14ac:dyDescent="0.25">
      <c r="A2376" s="2">
        <v>43809</v>
      </c>
      <c r="B2376" s="18">
        <f t="shared" si="74"/>
        <v>2019</v>
      </c>
      <c r="C2376" s="18">
        <f t="shared" si="75"/>
        <v>12</v>
      </c>
      <c r="D2376" s="3" t="s">
        <v>360</v>
      </c>
      <c r="E2376" s="3" t="s">
        <v>18</v>
      </c>
      <c r="F2376" s="3" t="s">
        <v>19</v>
      </c>
      <c r="G2376" s="3" t="s">
        <v>53</v>
      </c>
      <c r="H2376" s="3" t="s">
        <v>932</v>
      </c>
      <c r="I2376" s="11">
        <v>80.28</v>
      </c>
      <c r="J2376" s="18">
        <v>12</v>
      </c>
      <c r="K2376" s="12">
        <v>36.928800000000003</v>
      </c>
    </row>
    <row r="2377" spans="1:11" x14ac:dyDescent="0.25">
      <c r="A2377" s="4">
        <v>43809</v>
      </c>
      <c r="B2377" s="19">
        <f t="shared" si="74"/>
        <v>2019</v>
      </c>
      <c r="C2377" s="19">
        <f t="shared" si="75"/>
        <v>12</v>
      </c>
      <c r="D2377" s="5" t="s">
        <v>638</v>
      </c>
      <c r="E2377" s="5" t="s">
        <v>70</v>
      </c>
      <c r="F2377" s="5" t="s">
        <v>19</v>
      </c>
      <c r="G2377" s="5" t="s">
        <v>121</v>
      </c>
      <c r="H2377" s="5" t="s">
        <v>917</v>
      </c>
      <c r="I2377" s="13">
        <v>65.34</v>
      </c>
      <c r="J2377" s="19">
        <v>3</v>
      </c>
      <c r="K2377" s="14">
        <v>22.869</v>
      </c>
    </row>
    <row r="2378" spans="1:11" x14ac:dyDescent="0.25">
      <c r="A2378" s="2">
        <v>43809</v>
      </c>
      <c r="B2378" s="18">
        <f t="shared" si="74"/>
        <v>2019</v>
      </c>
      <c r="C2378" s="18">
        <f t="shared" si="75"/>
        <v>12</v>
      </c>
      <c r="D2378" s="3" t="s">
        <v>1695</v>
      </c>
      <c r="E2378" s="3" t="s">
        <v>94</v>
      </c>
      <c r="F2378" s="3" t="s">
        <v>19</v>
      </c>
      <c r="G2378" s="3" t="s">
        <v>53</v>
      </c>
      <c r="H2378" s="3" t="s">
        <v>2000</v>
      </c>
      <c r="I2378" s="11">
        <v>62.82</v>
      </c>
      <c r="J2378" s="18">
        <v>9</v>
      </c>
      <c r="K2378" s="12">
        <v>29.525400000000001</v>
      </c>
    </row>
    <row r="2379" spans="1:11" x14ac:dyDescent="0.25">
      <c r="A2379" s="4">
        <v>43809</v>
      </c>
      <c r="B2379" s="19">
        <f t="shared" si="74"/>
        <v>2019</v>
      </c>
      <c r="C2379" s="19">
        <f t="shared" si="75"/>
        <v>12</v>
      </c>
      <c r="D2379" s="5" t="s">
        <v>638</v>
      </c>
      <c r="E2379" s="5" t="s">
        <v>70</v>
      </c>
      <c r="F2379" s="5" t="s">
        <v>14</v>
      </c>
      <c r="G2379" s="5" t="s">
        <v>24</v>
      </c>
      <c r="H2379" s="5" t="s">
        <v>383</v>
      </c>
      <c r="I2379" s="13">
        <v>44.75</v>
      </c>
      <c r="J2379" s="19">
        <v>5</v>
      </c>
      <c r="K2379" s="14">
        <v>8.5024999999999995</v>
      </c>
    </row>
    <row r="2380" spans="1:11" x14ac:dyDescent="0.25">
      <c r="A2380" s="2">
        <v>43809</v>
      </c>
      <c r="B2380" s="18">
        <f t="shared" si="74"/>
        <v>2019</v>
      </c>
      <c r="C2380" s="18">
        <f t="shared" si="75"/>
        <v>12</v>
      </c>
      <c r="D2380" s="3" t="s">
        <v>638</v>
      </c>
      <c r="E2380" s="3" t="s">
        <v>70</v>
      </c>
      <c r="F2380" s="3" t="s">
        <v>19</v>
      </c>
      <c r="G2380" s="3" t="s">
        <v>121</v>
      </c>
      <c r="H2380" s="3" t="s">
        <v>2001</v>
      </c>
      <c r="I2380" s="11">
        <v>35.1</v>
      </c>
      <c r="J2380" s="18">
        <v>3</v>
      </c>
      <c r="K2380" s="12">
        <v>12.285</v>
      </c>
    </row>
    <row r="2381" spans="1:11" x14ac:dyDescent="0.25">
      <c r="A2381" s="4">
        <v>43809</v>
      </c>
      <c r="B2381" s="19">
        <f t="shared" si="74"/>
        <v>2019</v>
      </c>
      <c r="C2381" s="19">
        <f t="shared" si="75"/>
        <v>12</v>
      </c>
      <c r="D2381" s="5" t="s">
        <v>742</v>
      </c>
      <c r="E2381" s="5" t="s">
        <v>94</v>
      </c>
      <c r="F2381" s="5" t="s">
        <v>19</v>
      </c>
      <c r="G2381" s="5" t="s">
        <v>53</v>
      </c>
      <c r="H2381" s="5" t="s">
        <v>548</v>
      </c>
      <c r="I2381" s="13">
        <v>18.54</v>
      </c>
      <c r="J2381" s="19">
        <v>2</v>
      </c>
      <c r="K2381" s="14">
        <v>8.7138000000000009</v>
      </c>
    </row>
    <row r="2382" spans="1:11" x14ac:dyDescent="0.25">
      <c r="A2382" s="2">
        <v>43809</v>
      </c>
      <c r="B2382" s="18">
        <f t="shared" si="74"/>
        <v>2019</v>
      </c>
      <c r="C2382" s="18">
        <f t="shared" si="75"/>
        <v>12</v>
      </c>
      <c r="D2382" s="3" t="s">
        <v>2002</v>
      </c>
      <c r="E2382" s="3" t="s">
        <v>94</v>
      </c>
      <c r="F2382" s="3" t="s">
        <v>19</v>
      </c>
      <c r="G2382" s="3" t="s">
        <v>53</v>
      </c>
      <c r="H2382" s="3" t="s">
        <v>2003</v>
      </c>
      <c r="I2382" s="11">
        <v>6.48</v>
      </c>
      <c r="J2382" s="18">
        <v>1</v>
      </c>
      <c r="K2382" s="12">
        <v>3.1103999999999998</v>
      </c>
    </row>
    <row r="2383" spans="1:11" x14ac:dyDescent="0.25">
      <c r="A2383" s="4">
        <v>43810</v>
      </c>
      <c r="B2383" s="19">
        <f t="shared" si="74"/>
        <v>2019</v>
      </c>
      <c r="C2383" s="19">
        <f t="shared" si="75"/>
        <v>12</v>
      </c>
      <c r="D2383" s="5" t="s">
        <v>1883</v>
      </c>
      <c r="E2383" s="5" t="s">
        <v>94</v>
      </c>
      <c r="F2383" s="5" t="s">
        <v>14</v>
      </c>
      <c r="G2383" s="5" t="s">
        <v>15</v>
      </c>
      <c r="H2383" s="5" t="s">
        <v>1526</v>
      </c>
      <c r="I2383" s="13">
        <v>1029.95</v>
      </c>
      <c r="J2383" s="19">
        <v>5</v>
      </c>
      <c r="K2383" s="14">
        <v>298.68549999999999</v>
      </c>
    </row>
    <row r="2384" spans="1:11" x14ac:dyDescent="0.25">
      <c r="A2384" s="2">
        <v>43810</v>
      </c>
      <c r="B2384" s="18">
        <f t="shared" si="74"/>
        <v>2019</v>
      </c>
      <c r="C2384" s="18">
        <f t="shared" si="75"/>
        <v>12</v>
      </c>
      <c r="D2384" s="3" t="s">
        <v>93</v>
      </c>
      <c r="E2384" s="3" t="s">
        <v>18</v>
      </c>
      <c r="F2384" s="3" t="s">
        <v>11</v>
      </c>
      <c r="G2384" s="3" t="s">
        <v>30</v>
      </c>
      <c r="H2384" s="3" t="s">
        <v>409</v>
      </c>
      <c r="I2384" s="11">
        <v>892.13599999999997</v>
      </c>
      <c r="J2384" s="18">
        <v>7</v>
      </c>
      <c r="K2384" s="12">
        <v>111.517</v>
      </c>
    </row>
    <row r="2385" spans="1:11" x14ac:dyDescent="0.25">
      <c r="A2385" s="4">
        <v>43810</v>
      </c>
      <c r="B2385" s="19">
        <f t="shared" si="74"/>
        <v>2019</v>
      </c>
      <c r="C2385" s="19">
        <f t="shared" si="75"/>
        <v>12</v>
      </c>
      <c r="D2385" s="5" t="s">
        <v>192</v>
      </c>
      <c r="E2385" s="5" t="s">
        <v>67</v>
      </c>
      <c r="F2385" s="5" t="s">
        <v>11</v>
      </c>
      <c r="G2385" s="5" t="s">
        <v>112</v>
      </c>
      <c r="H2385" s="5" t="s">
        <v>752</v>
      </c>
      <c r="I2385" s="13">
        <v>458.43</v>
      </c>
      <c r="J2385" s="19">
        <v>5</v>
      </c>
      <c r="K2385" s="14">
        <v>-137.529</v>
      </c>
    </row>
    <row r="2386" spans="1:11" x14ac:dyDescent="0.25">
      <c r="A2386" s="2">
        <v>43810</v>
      </c>
      <c r="B2386" s="18">
        <f t="shared" si="74"/>
        <v>2019</v>
      </c>
      <c r="C2386" s="18">
        <f t="shared" si="75"/>
        <v>12</v>
      </c>
      <c r="D2386" s="3" t="s">
        <v>1354</v>
      </c>
      <c r="E2386" s="3" t="s">
        <v>465</v>
      </c>
      <c r="F2386" s="3" t="s">
        <v>11</v>
      </c>
      <c r="G2386" s="3" t="s">
        <v>112</v>
      </c>
      <c r="H2386" s="3" t="s">
        <v>1641</v>
      </c>
      <c r="I2386" s="11">
        <v>403.92</v>
      </c>
      <c r="J2386" s="18">
        <v>5</v>
      </c>
      <c r="K2386" s="12">
        <v>25.245000000000001</v>
      </c>
    </row>
    <row r="2387" spans="1:11" x14ac:dyDescent="0.25">
      <c r="A2387" s="4">
        <v>43810</v>
      </c>
      <c r="B2387" s="19">
        <f t="shared" si="74"/>
        <v>2019</v>
      </c>
      <c r="C2387" s="19">
        <f t="shared" si="75"/>
        <v>12</v>
      </c>
      <c r="D2387" s="5" t="s">
        <v>192</v>
      </c>
      <c r="E2387" s="5" t="s">
        <v>67</v>
      </c>
      <c r="F2387" s="5" t="s">
        <v>19</v>
      </c>
      <c r="G2387" s="5" t="s">
        <v>121</v>
      </c>
      <c r="H2387" s="5" t="s">
        <v>2004</v>
      </c>
      <c r="I2387" s="13">
        <v>387.13600000000002</v>
      </c>
      <c r="J2387" s="19">
        <v>4</v>
      </c>
      <c r="K2387" s="14">
        <v>24.196000000000002</v>
      </c>
    </row>
    <row r="2388" spans="1:11" x14ac:dyDescent="0.25">
      <c r="A2388" s="2">
        <v>43810</v>
      </c>
      <c r="B2388" s="18">
        <f t="shared" si="74"/>
        <v>2019</v>
      </c>
      <c r="C2388" s="18">
        <f t="shared" si="75"/>
        <v>12</v>
      </c>
      <c r="D2388" s="3" t="s">
        <v>93</v>
      </c>
      <c r="E2388" s="3" t="s">
        <v>18</v>
      </c>
      <c r="F2388" s="3" t="s">
        <v>11</v>
      </c>
      <c r="G2388" s="3" t="s">
        <v>112</v>
      </c>
      <c r="H2388" s="3" t="s">
        <v>1847</v>
      </c>
      <c r="I2388" s="11">
        <v>363.92</v>
      </c>
      <c r="J2388" s="18">
        <v>5</v>
      </c>
      <c r="K2388" s="12">
        <v>-31.843</v>
      </c>
    </row>
    <row r="2389" spans="1:11" x14ac:dyDescent="0.25">
      <c r="A2389" s="4">
        <v>43810</v>
      </c>
      <c r="B2389" s="19">
        <f t="shared" si="74"/>
        <v>2019</v>
      </c>
      <c r="C2389" s="19">
        <f t="shared" si="75"/>
        <v>12</v>
      </c>
      <c r="D2389" s="5" t="s">
        <v>192</v>
      </c>
      <c r="E2389" s="5" t="s">
        <v>67</v>
      </c>
      <c r="F2389" s="5" t="s">
        <v>11</v>
      </c>
      <c r="G2389" s="5" t="s">
        <v>30</v>
      </c>
      <c r="H2389" s="5" t="s">
        <v>1534</v>
      </c>
      <c r="I2389" s="13">
        <v>328.59</v>
      </c>
      <c r="J2389" s="19">
        <v>3</v>
      </c>
      <c r="K2389" s="14">
        <v>-147.8655</v>
      </c>
    </row>
    <row r="2390" spans="1:11" x14ac:dyDescent="0.25">
      <c r="A2390" s="2">
        <v>43810</v>
      </c>
      <c r="B2390" s="18">
        <f t="shared" si="74"/>
        <v>2019</v>
      </c>
      <c r="C2390" s="18">
        <f t="shared" si="75"/>
        <v>12</v>
      </c>
      <c r="D2390" s="3" t="s">
        <v>1061</v>
      </c>
      <c r="E2390" s="3" t="s">
        <v>70</v>
      </c>
      <c r="F2390" s="3" t="s">
        <v>14</v>
      </c>
      <c r="G2390" s="3" t="s">
        <v>24</v>
      </c>
      <c r="H2390" s="3" t="s">
        <v>110</v>
      </c>
      <c r="I2390" s="11">
        <v>316</v>
      </c>
      <c r="J2390" s="18">
        <v>4</v>
      </c>
      <c r="K2390" s="12">
        <v>31.6</v>
      </c>
    </row>
    <row r="2391" spans="1:11" x14ac:dyDescent="0.25">
      <c r="A2391" s="4">
        <v>43810</v>
      </c>
      <c r="B2391" s="19">
        <f t="shared" si="74"/>
        <v>2019</v>
      </c>
      <c r="C2391" s="19">
        <f t="shared" si="75"/>
        <v>12</v>
      </c>
      <c r="D2391" s="5" t="s">
        <v>1061</v>
      </c>
      <c r="E2391" s="5" t="s">
        <v>70</v>
      </c>
      <c r="F2391" s="5" t="s">
        <v>14</v>
      </c>
      <c r="G2391" s="5" t="s">
        <v>15</v>
      </c>
      <c r="H2391" s="5" t="s">
        <v>2005</v>
      </c>
      <c r="I2391" s="13">
        <v>302.37599999999998</v>
      </c>
      <c r="J2391" s="19">
        <v>3</v>
      </c>
      <c r="K2391" s="14">
        <v>22.6782</v>
      </c>
    </row>
    <row r="2392" spans="1:11" x14ac:dyDescent="0.25">
      <c r="A2392" s="2">
        <v>43810</v>
      </c>
      <c r="B2392" s="18">
        <f t="shared" si="74"/>
        <v>2019</v>
      </c>
      <c r="C2392" s="18">
        <f t="shared" si="75"/>
        <v>12</v>
      </c>
      <c r="D2392" s="3" t="s">
        <v>245</v>
      </c>
      <c r="E2392" s="3" t="s">
        <v>306</v>
      </c>
      <c r="F2392" s="3" t="s">
        <v>14</v>
      </c>
      <c r="G2392" s="3" t="s">
        <v>15</v>
      </c>
      <c r="H2392" s="3" t="s">
        <v>2006</v>
      </c>
      <c r="I2392" s="11">
        <v>300.76799999999997</v>
      </c>
      <c r="J2392" s="18">
        <v>4</v>
      </c>
      <c r="K2392" s="12">
        <v>30.076799999999999</v>
      </c>
    </row>
    <row r="2393" spans="1:11" x14ac:dyDescent="0.25">
      <c r="A2393" s="4">
        <v>43810</v>
      </c>
      <c r="B2393" s="19">
        <f t="shared" si="74"/>
        <v>2019</v>
      </c>
      <c r="C2393" s="19">
        <f t="shared" si="75"/>
        <v>12</v>
      </c>
      <c r="D2393" s="5" t="s">
        <v>245</v>
      </c>
      <c r="E2393" s="5" t="s">
        <v>306</v>
      </c>
      <c r="F2393" s="5" t="s">
        <v>19</v>
      </c>
      <c r="G2393" s="5" t="s">
        <v>20</v>
      </c>
      <c r="H2393" s="5" t="s">
        <v>2007</v>
      </c>
      <c r="I2393" s="13">
        <v>243.38399999999999</v>
      </c>
      <c r="J2393" s="19">
        <v>3</v>
      </c>
      <c r="K2393" s="14">
        <v>-51.719099999999997</v>
      </c>
    </row>
    <row r="2394" spans="1:11" x14ac:dyDescent="0.25">
      <c r="A2394" s="2">
        <v>43810</v>
      </c>
      <c r="B2394" s="18">
        <f t="shared" si="74"/>
        <v>2019</v>
      </c>
      <c r="C2394" s="18">
        <f t="shared" si="75"/>
        <v>12</v>
      </c>
      <c r="D2394" s="3" t="s">
        <v>93</v>
      </c>
      <c r="E2394" s="3" t="s">
        <v>18</v>
      </c>
      <c r="F2394" s="3" t="s">
        <v>19</v>
      </c>
      <c r="G2394" s="3" t="s">
        <v>32</v>
      </c>
      <c r="H2394" s="3" t="s">
        <v>706</v>
      </c>
      <c r="I2394" s="11">
        <v>209.6</v>
      </c>
      <c r="J2394" s="18">
        <v>5</v>
      </c>
      <c r="K2394" s="12">
        <v>68.12</v>
      </c>
    </row>
    <row r="2395" spans="1:11" x14ac:dyDescent="0.25">
      <c r="A2395" s="4">
        <v>43810</v>
      </c>
      <c r="B2395" s="19">
        <f t="shared" si="74"/>
        <v>2019</v>
      </c>
      <c r="C2395" s="19">
        <f t="shared" si="75"/>
        <v>12</v>
      </c>
      <c r="D2395" s="5" t="s">
        <v>93</v>
      </c>
      <c r="E2395" s="5" t="s">
        <v>18</v>
      </c>
      <c r="F2395" s="5" t="s">
        <v>19</v>
      </c>
      <c r="G2395" s="5" t="s">
        <v>32</v>
      </c>
      <c r="H2395" s="5" t="s">
        <v>1657</v>
      </c>
      <c r="I2395" s="13">
        <v>122.688</v>
      </c>
      <c r="J2395" s="19">
        <v>9</v>
      </c>
      <c r="K2395" s="14">
        <v>39.873600000000003</v>
      </c>
    </row>
    <row r="2396" spans="1:11" x14ac:dyDescent="0.25">
      <c r="A2396" s="2">
        <v>43810</v>
      </c>
      <c r="B2396" s="18">
        <f t="shared" si="74"/>
        <v>2019</v>
      </c>
      <c r="C2396" s="18">
        <f t="shared" si="75"/>
        <v>12</v>
      </c>
      <c r="D2396" s="3" t="s">
        <v>93</v>
      </c>
      <c r="E2396" s="3" t="s">
        <v>18</v>
      </c>
      <c r="F2396" s="3" t="s">
        <v>14</v>
      </c>
      <c r="G2396" s="3" t="s">
        <v>24</v>
      </c>
      <c r="H2396" s="3" t="s">
        <v>1807</v>
      </c>
      <c r="I2396" s="11">
        <v>119.96</v>
      </c>
      <c r="J2396" s="18">
        <v>4</v>
      </c>
      <c r="K2396" s="12">
        <v>25.191600000000001</v>
      </c>
    </row>
    <row r="2397" spans="1:11" x14ac:dyDescent="0.25">
      <c r="A2397" s="4">
        <v>43810</v>
      </c>
      <c r="B2397" s="19">
        <f t="shared" si="74"/>
        <v>2019</v>
      </c>
      <c r="C2397" s="19">
        <f t="shared" si="75"/>
        <v>12</v>
      </c>
      <c r="D2397" s="5" t="s">
        <v>245</v>
      </c>
      <c r="E2397" s="5" t="s">
        <v>306</v>
      </c>
      <c r="F2397" s="5" t="s">
        <v>14</v>
      </c>
      <c r="G2397" s="5" t="s">
        <v>24</v>
      </c>
      <c r="H2397" s="5" t="s">
        <v>925</v>
      </c>
      <c r="I2397" s="13">
        <v>119.8</v>
      </c>
      <c r="J2397" s="19">
        <v>5</v>
      </c>
      <c r="K2397" s="14">
        <v>29.95</v>
      </c>
    </row>
    <row r="2398" spans="1:11" x14ac:dyDescent="0.25">
      <c r="A2398" s="2">
        <v>43810</v>
      </c>
      <c r="B2398" s="18">
        <f t="shared" si="74"/>
        <v>2019</v>
      </c>
      <c r="C2398" s="18">
        <f t="shared" si="75"/>
        <v>12</v>
      </c>
      <c r="D2398" s="3" t="s">
        <v>17</v>
      </c>
      <c r="E2398" s="3" t="s">
        <v>44</v>
      </c>
      <c r="F2398" s="3" t="s">
        <v>19</v>
      </c>
      <c r="G2398" s="3" t="s">
        <v>20</v>
      </c>
      <c r="H2398" s="3" t="s">
        <v>1249</v>
      </c>
      <c r="I2398" s="11">
        <v>85.224000000000004</v>
      </c>
      <c r="J2398" s="18">
        <v>3</v>
      </c>
      <c r="K2398" s="12">
        <v>7.4570999999999996</v>
      </c>
    </row>
    <row r="2399" spans="1:11" x14ac:dyDescent="0.25">
      <c r="A2399" s="4">
        <v>43810</v>
      </c>
      <c r="B2399" s="19">
        <f t="shared" si="74"/>
        <v>2019</v>
      </c>
      <c r="C2399" s="19">
        <f t="shared" si="75"/>
        <v>12</v>
      </c>
      <c r="D2399" s="5" t="s">
        <v>93</v>
      </c>
      <c r="E2399" s="5" t="s">
        <v>18</v>
      </c>
      <c r="F2399" s="5" t="s">
        <v>19</v>
      </c>
      <c r="G2399" s="5" t="s">
        <v>121</v>
      </c>
      <c r="H2399" s="5" t="s">
        <v>2008</v>
      </c>
      <c r="I2399" s="13">
        <v>83.42</v>
      </c>
      <c r="J2399" s="19">
        <v>2</v>
      </c>
      <c r="K2399" s="14">
        <v>24.191800000000001</v>
      </c>
    </row>
    <row r="2400" spans="1:11" x14ac:dyDescent="0.25">
      <c r="A2400" s="2">
        <v>43810</v>
      </c>
      <c r="B2400" s="18">
        <f t="shared" si="74"/>
        <v>2019</v>
      </c>
      <c r="C2400" s="18">
        <f t="shared" si="75"/>
        <v>12</v>
      </c>
      <c r="D2400" s="3" t="s">
        <v>1177</v>
      </c>
      <c r="E2400" s="3" t="s">
        <v>67</v>
      </c>
      <c r="F2400" s="3" t="s">
        <v>19</v>
      </c>
      <c r="G2400" s="3" t="s">
        <v>121</v>
      </c>
      <c r="H2400" s="3" t="s">
        <v>1239</v>
      </c>
      <c r="I2400" s="11">
        <v>73.536000000000001</v>
      </c>
      <c r="J2400" s="18">
        <v>4</v>
      </c>
      <c r="K2400" s="12">
        <v>9.1920000000000002</v>
      </c>
    </row>
    <row r="2401" spans="1:11" x14ac:dyDescent="0.25">
      <c r="A2401" s="4">
        <v>43810</v>
      </c>
      <c r="B2401" s="19">
        <f t="shared" si="74"/>
        <v>2019</v>
      </c>
      <c r="C2401" s="19">
        <f t="shared" si="75"/>
        <v>12</v>
      </c>
      <c r="D2401" s="5" t="s">
        <v>192</v>
      </c>
      <c r="E2401" s="5" t="s">
        <v>67</v>
      </c>
      <c r="F2401" s="5" t="s">
        <v>19</v>
      </c>
      <c r="G2401" s="5" t="s">
        <v>20</v>
      </c>
      <c r="H2401" s="5" t="s">
        <v>341</v>
      </c>
      <c r="I2401" s="13">
        <v>64.959999999999994</v>
      </c>
      <c r="J2401" s="19">
        <v>5</v>
      </c>
      <c r="K2401" s="14">
        <v>-4.0599999999999996</v>
      </c>
    </row>
    <row r="2402" spans="1:11" x14ac:dyDescent="0.25">
      <c r="A2402" s="2">
        <v>43810</v>
      </c>
      <c r="B2402" s="18">
        <f t="shared" si="74"/>
        <v>2019</v>
      </c>
      <c r="C2402" s="18">
        <f t="shared" si="75"/>
        <v>12</v>
      </c>
      <c r="D2402" s="3" t="s">
        <v>93</v>
      </c>
      <c r="E2402" s="3" t="s">
        <v>18</v>
      </c>
      <c r="F2402" s="3" t="s">
        <v>19</v>
      </c>
      <c r="G2402" s="3" t="s">
        <v>20</v>
      </c>
      <c r="H2402" s="3" t="s">
        <v>604</v>
      </c>
      <c r="I2402" s="11">
        <v>50.22</v>
      </c>
      <c r="J2402" s="18">
        <v>3</v>
      </c>
      <c r="K2402" s="12">
        <v>2.0087999999999999</v>
      </c>
    </row>
    <row r="2403" spans="1:11" x14ac:dyDescent="0.25">
      <c r="A2403" s="4">
        <v>43810</v>
      </c>
      <c r="B2403" s="19">
        <f t="shared" si="74"/>
        <v>2019</v>
      </c>
      <c r="C2403" s="19">
        <f t="shared" si="75"/>
        <v>12</v>
      </c>
      <c r="D2403" s="5" t="s">
        <v>93</v>
      </c>
      <c r="E2403" s="5" t="s">
        <v>18</v>
      </c>
      <c r="F2403" s="5" t="s">
        <v>19</v>
      </c>
      <c r="G2403" s="5" t="s">
        <v>32</v>
      </c>
      <c r="H2403" s="5" t="s">
        <v>871</v>
      </c>
      <c r="I2403" s="13">
        <v>35.808</v>
      </c>
      <c r="J2403" s="19">
        <v>3</v>
      </c>
      <c r="K2403" s="14">
        <v>11.19</v>
      </c>
    </row>
    <row r="2404" spans="1:11" x14ac:dyDescent="0.25">
      <c r="A2404" s="2">
        <v>43810</v>
      </c>
      <c r="B2404" s="18">
        <f t="shared" si="74"/>
        <v>2019</v>
      </c>
      <c r="C2404" s="18">
        <f t="shared" si="75"/>
        <v>12</v>
      </c>
      <c r="D2404" s="3" t="s">
        <v>93</v>
      </c>
      <c r="E2404" s="3" t="s">
        <v>18</v>
      </c>
      <c r="F2404" s="3" t="s">
        <v>19</v>
      </c>
      <c r="G2404" s="3" t="s">
        <v>53</v>
      </c>
      <c r="H2404" s="3" t="s">
        <v>1040</v>
      </c>
      <c r="I2404" s="11">
        <v>30.98</v>
      </c>
      <c r="J2404" s="18">
        <v>1</v>
      </c>
      <c r="K2404" s="12">
        <v>13.941000000000001</v>
      </c>
    </row>
    <row r="2405" spans="1:11" x14ac:dyDescent="0.25">
      <c r="A2405" s="4">
        <v>43810</v>
      </c>
      <c r="B2405" s="19">
        <f t="shared" si="74"/>
        <v>2019</v>
      </c>
      <c r="C2405" s="19">
        <f t="shared" si="75"/>
        <v>12</v>
      </c>
      <c r="D2405" s="5" t="s">
        <v>93</v>
      </c>
      <c r="E2405" s="5" t="s">
        <v>18</v>
      </c>
      <c r="F2405" s="5" t="s">
        <v>19</v>
      </c>
      <c r="G2405" s="5" t="s">
        <v>40</v>
      </c>
      <c r="H2405" s="5" t="s">
        <v>1258</v>
      </c>
      <c r="I2405" s="13">
        <v>23.32</v>
      </c>
      <c r="J2405" s="19">
        <v>2</v>
      </c>
      <c r="K2405" s="14">
        <v>6.0632000000000001</v>
      </c>
    </row>
    <row r="2406" spans="1:11" x14ac:dyDescent="0.25">
      <c r="A2406" s="2">
        <v>43810</v>
      </c>
      <c r="B2406" s="18">
        <f t="shared" si="74"/>
        <v>2019</v>
      </c>
      <c r="C2406" s="18">
        <f t="shared" si="75"/>
        <v>12</v>
      </c>
      <c r="D2406" s="3" t="s">
        <v>1883</v>
      </c>
      <c r="E2406" s="3" t="s">
        <v>94</v>
      </c>
      <c r="F2406" s="3" t="s">
        <v>19</v>
      </c>
      <c r="G2406" s="3" t="s">
        <v>116</v>
      </c>
      <c r="H2406" s="3" t="s">
        <v>249</v>
      </c>
      <c r="I2406" s="11">
        <v>15.26</v>
      </c>
      <c r="J2406" s="18">
        <v>7</v>
      </c>
      <c r="K2406" s="12">
        <v>6.2565999999999997</v>
      </c>
    </row>
    <row r="2407" spans="1:11" x14ac:dyDescent="0.25">
      <c r="A2407" s="4">
        <v>43810</v>
      </c>
      <c r="B2407" s="19">
        <f t="shared" si="74"/>
        <v>2019</v>
      </c>
      <c r="C2407" s="19">
        <f t="shared" si="75"/>
        <v>12</v>
      </c>
      <c r="D2407" s="5" t="s">
        <v>1061</v>
      </c>
      <c r="E2407" s="5" t="s">
        <v>70</v>
      </c>
      <c r="F2407" s="5" t="s">
        <v>11</v>
      </c>
      <c r="G2407" s="5" t="s">
        <v>51</v>
      </c>
      <c r="H2407" s="5" t="s">
        <v>2009</v>
      </c>
      <c r="I2407" s="13">
        <v>14.8</v>
      </c>
      <c r="J2407" s="19">
        <v>4</v>
      </c>
      <c r="K2407" s="14">
        <v>6.0679999999999996</v>
      </c>
    </row>
    <row r="2408" spans="1:11" x14ac:dyDescent="0.25">
      <c r="A2408" s="2">
        <v>43810</v>
      </c>
      <c r="B2408" s="18">
        <f t="shared" si="74"/>
        <v>2019</v>
      </c>
      <c r="C2408" s="18">
        <f t="shared" si="75"/>
        <v>12</v>
      </c>
      <c r="D2408" s="3" t="s">
        <v>192</v>
      </c>
      <c r="E2408" s="3" t="s">
        <v>67</v>
      </c>
      <c r="F2408" s="3" t="s">
        <v>19</v>
      </c>
      <c r="G2408" s="3" t="s">
        <v>265</v>
      </c>
      <c r="H2408" s="3" t="s">
        <v>324</v>
      </c>
      <c r="I2408" s="11">
        <v>13.52</v>
      </c>
      <c r="J2408" s="18">
        <v>2</v>
      </c>
      <c r="K2408" s="12">
        <v>1.69</v>
      </c>
    </row>
    <row r="2409" spans="1:11" x14ac:dyDescent="0.25">
      <c r="A2409" s="4">
        <v>43810</v>
      </c>
      <c r="B2409" s="19">
        <f t="shared" si="74"/>
        <v>2019</v>
      </c>
      <c r="C2409" s="19">
        <f t="shared" si="75"/>
        <v>12</v>
      </c>
      <c r="D2409" s="5" t="s">
        <v>2010</v>
      </c>
      <c r="E2409" s="5" t="s">
        <v>219</v>
      </c>
      <c r="F2409" s="5" t="s">
        <v>19</v>
      </c>
      <c r="G2409" s="5" t="s">
        <v>40</v>
      </c>
      <c r="H2409" s="5" t="s">
        <v>366</v>
      </c>
      <c r="I2409" s="13">
        <v>6.6719999999999997</v>
      </c>
      <c r="J2409" s="19">
        <v>3</v>
      </c>
      <c r="K2409" s="14">
        <v>1.6679999999999999</v>
      </c>
    </row>
    <row r="2410" spans="1:11" x14ac:dyDescent="0.25">
      <c r="A2410" s="2">
        <v>43810</v>
      </c>
      <c r="B2410" s="18">
        <f t="shared" si="74"/>
        <v>2019</v>
      </c>
      <c r="C2410" s="18">
        <f t="shared" si="75"/>
        <v>12</v>
      </c>
      <c r="D2410" s="3" t="s">
        <v>93</v>
      </c>
      <c r="E2410" s="3" t="s">
        <v>18</v>
      </c>
      <c r="F2410" s="3" t="s">
        <v>19</v>
      </c>
      <c r="G2410" s="3" t="s">
        <v>32</v>
      </c>
      <c r="H2410" s="3" t="s">
        <v>2011</v>
      </c>
      <c r="I2410" s="11">
        <v>5.8719999999999999</v>
      </c>
      <c r="J2410" s="18">
        <v>2</v>
      </c>
      <c r="K2410" s="12">
        <v>2.1286</v>
      </c>
    </row>
    <row r="2411" spans="1:11" x14ac:dyDescent="0.25">
      <c r="A2411" s="4">
        <v>43811</v>
      </c>
      <c r="B2411" s="19">
        <f t="shared" si="74"/>
        <v>2019</v>
      </c>
      <c r="C2411" s="19">
        <f t="shared" si="75"/>
        <v>12</v>
      </c>
      <c r="D2411" s="5" t="s">
        <v>1909</v>
      </c>
      <c r="E2411" s="5" t="s">
        <v>365</v>
      </c>
      <c r="F2411" s="5" t="s">
        <v>14</v>
      </c>
      <c r="G2411" s="5" t="s">
        <v>15</v>
      </c>
      <c r="H2411" s="5" t="s">
        <v>2006</v>
      </c>
      <c r="I2411" s="13">
        <v>657.93</v>
      </c>
      <c r="J2411" s="19">
        <v>7</v>
      </c>
      <c r="K2411" s="14">
        <v>184.22040000000001</v>
      </c>
    </row>
    <row r="2412" spans="1:11" x14ac:dyDescent="0.25">
      <c r="A2412" s="2">
        <v>43811</v>
      </c>
      <c r="B2412" s="18">
        <f t="shared" si="74"/>
        <v>2019</v>
      </c>
      <c r="C2412" s="18">
        <f t="shared" si="75"/>
        <v>12</v>
      </c>
      <c r="D2412" s="3" t="s">
        <v>1771</v>
      </c>
      <c r="E2412" s="3" t="s">
        <v>67</v>
      </c>
      <c r="F2412" s="3" t="s">
        <v>14</v>
      </c>
      <c r="G2412" s="3" t="s">
        <v>24</v>
      </c>
      <c r="H2412" s="3" t="s">
        <v>338</v>
      </c>
      <c r="I2412" s="11">
        <v>383.952</v>
      </c>
      <c r="J2412" s="18">
        <v>6</v>
      </c>
      <c r="K2412" s="12">
        <v>76.790400000000005</v>
      </c>
    </row>
    <row r="2413" spans="1:11" x14ac:dyDescent="0.25">
      <c r="A2413" s="4">
        <v>43811</v>
      </c>
      <c r="B2413" s="19">
        <f t="shared" si="74"/>
        <v>2019</v>
      </c>
      <c r="C2413" s="19">
        <f t="shared" si="75"/>
        <v>12</v>
      </c>
      <c r="D2413" s="5" t="s">
        <v>660</v>
      </c>
      <c r="E2413" s="5" t="s">
        <v>18</v>
      </c>
      <c r="F2413" s="5" t="s">
        <v>11</v>
      </c>
      <c r="G2413" s="5" t="s">
        <v>51</v>
      </c>
      <c r="H2413" s="5" t="s">
        <v>411</v>
      </c>
      <c r="I2413" s="13">
        <v>383.64</v>
      </c>
      <c r="J2413" s="19">
        <v>6</v>
      </c>
      <c r="K2413" s="14">
        <v>122.76479999999999</v>
      </c>
    </row>
    <row r="2414" spans="1:11" x14ac:dyDescent="0.25">
      <c r="A2414" s="2">
        <v>43811</v>
      </c>
      <c r="B2414" s="18">
        <f t="shared" si="74"/>
        <v>2019</v>
      </c>
      <c r="C2414" s="18">
        <f t="shared" si="75"/>
        <v>12</v>
      </c>
      <c r="D2414" s="3" t="s">
        <v>2012</v>
      </c>
      <c r="E2414" s="3" t="s">
        <v>109</v>
      </c>
      <c r="F2414" s="3" t="s">
        <v>14</v>
      </c>
      <c r="G2414" s="3" t="s">
        <v>24</v>
      </c>
      <c r="H2414" s="3" t="s">
        <v>497</v>
      </c>
      <c r="I2414" s="11">
        <v>249.95</v>
      </c>
      <c r="J2414" s="18">
        <v>5</v>
      </c>
      <c r="K2414" s="12">
        <v>19.995999999999999</v>
      </c>
    </row>
    <row r="2415" spans="1:11" x14ac:dyDescent="0.25">
      <c r="A2415" s="4">
        <v>43811</v>
      </c>
      <c r="B2415" s="19">
        <f t="shared" si="74"/>
        <v>2019</v>
      </c>
      <c r="C2415" s="19">
        <f t="shared" si="75"/>
        <v>12</v>
      </c>
      <c r="D2415" s="5" t="s">
        <v>192</v>
      </c>
      <c r="E2415" s="5" t="s">
        <v>94</v>
      </c>
      <c r="F2415" s="5" t="s">
        <v>11</v>
      </c>
      <c r="G2415" s="5" t="s">
        <v>51</v>
      </c>
      <c r="H2415" s="5" t="s">
        <v>1321</v>
      </c>
      <c r="I2415" s="13">
        <v>60.35</v>
      </c>
      <c r="J2415" s="19">
        <v>5</v>
      </c>
      <c r="K2415" s="14">
        <v>19.915500000000002</v>
      </c>
    </row>
    <row r="2416" spans="1:11" x14ac:dyDescent="0.25">
      <c r="A2416" s="2">
        <v>43811</v>
      </c>
      <c r="B2416" s="18">
        <f t="shared" si="74"/>
        <v>2019</v>
      </c>
      <c r="C2416" s="18">
        <f t="shared" si="75"/>
        <v>12</v>
      </c>
      <c r="D2416" s="3" t="s">
        <v>660</v>
      </c>
      <c r="E2416" s="3" t="s">
        <v>18</v>
      </c>
      <c r="F2416" s="3" t="s">
        <v>19</v>
      </c>
      <c r="G2416" s="3" t="s">
        <v>121</v>
      </c>
      <c r="H2416" s="3" t="s">
        <v>531</v>
      </c>
      <c r="I2416" s="11">
        <v>56.52</v>
      </c>
      <c r="J2416" s="18">
        <v>3</v>
      </c>
      <c r="K2416" s="12">
        <v>15.8256</v>
      </c>
    </row>
    <row r="2417" spans="1:11" x14ac:dyDescent="0.25">
      <c r="A2417" s="4">
        <v>43811</v>
      </c>
      <c r="B2417" s="19">
        <f t="shared" si="74"/>
        <v>2019</v>
      </c>
      <c r="C2417" s="19">
        <f t="shared" si="75"/>
        <v>12</v>
      </c>
      <c r="D2417" s="5" t="s">
        <v>2012</v>
      </c>
      <c r="E2417" s="5" t="s">
        <v>109</v>
      </c>
      <c r="F2417" s="5" t="s">
        <v>19</v>
      </c>
      <c r="G2417" s="5" t="s">
        <v>53</v>
      </c>
      <c r="H2417" s="5" t="s">
        <v>2013</v>
      </c>
      <c r="I2417" s="13">
        <v>49.12</v>
      </c>
      <c r="J2417" s="19">
        <v>4</v>
      </c>
      <c r="K2417" s="14">
        <v>23.086400000000001</v>
      </c>
    </row>
    <row r="2418" spans="1:11" x14ac:dyDescent="0.25">
      <c r="A2418" s="2">
        <v>43811</v>
      </c>
      <c r="B2418" s="18">
        <f t="shared" si="74"/>
        <v>2019</v>
      </c>
      <c r="C2418" s="18">
        <f t="shared" si="75"/>
        <v>12</v>
      </c>
      <c r="D2418" s="3" t="s">
        <v>192</v>
      </c>
      <c r="E2418" s="3" t="s">
        <v>94</v>
      </c>
      <c r="F2418" s="3" t="s">
        <v>19</v>
      </c>
      <c r="G2418" s="3" t="s">
        <v>265</v>
      </c>
      <c r="H2418" s="3" t="s">
        <v>1218</v>
      </c>
      <c r="I2418" s="11">
        <v>35.520000000000003</v>
      </c>
      <c r="J2418" s="18">
        <v>4</v>
      </c>
      <c r="K2418" s="12">
        <v>9.9456000000000007</v>
      </c>
    </row>
    <row r="2419" spans="1:11" x14ac:dyDescent="0.25">
      <c r="A2419" s="4">
        <v>43811</v>
      </c>
      <c r="B2419" s="19">
        <f t="shared" si="74"/>
        <v>2019</v>
      </c>
      <c r="C2419" s="19">
        <f t="shared" si="75"/>
        <v>12</v>
      </c>
      <c r="D2419" s="5" t="s">
        <v>1909</v>
      </c>
      <c r="E2419" s="5" t="s">
        <v>365</v>
      </c>
      <c r="F2419" s="5" t="s">
        <v>11</v>
      </c>
      <c r="G2419" s="5" t="s">
        <v>51</v>
      </c>
      <c r="H2419" s="5" t="s">
        <v>434</v>
      </c>
      <c r="I2419" s="13">
        <v>33.479999999999997</v>
      </c>
      <c r="J2419" s="19">
        <v>4</v>
      </c>
      <c r="K2419" s="14">
        <v>8.7048000000000005</v>
      </c>
    </row>
    <row r="2420" spans="1:11" x14ac:dyDescent="0.25">
      <c r="A2420" s="2">
        <v>43811</v>
      </c>
      <c r="B2420" s="18">
        <f t="shared" si="74"/>
        <v>2019</v>
      </c>
      <c r="C2420" s="18">
        <f t="shared" si="75"/>
        <v>12</v>
      </c>
      <c r="D2420" s="3" t="s">
        <v>1909</v>
      </c>
      <c r="E2420" s="3" t="s">
        <v>365</v>
      </c>
      <c r="F2420" s="3" t="s">
        <v>19</v>
      </c>
      <c r="G2420" s="3" t="s">
        <v>20</v>
      </c>
      <c r="H2420" s="3" t="s">
        <v>2014</v>
      </c>
      <c r="I2420" s="11">
        <v>26.86</v>
      </c>
      <c r="J2420" s="18">
        <v>2</v>
      </c>
      <c r="K2420" s="12">
        <v>6.7149999999999999</v>
      </c>
    </row>
    <row r="2421" spans="1:11" x14ac:dyDescent="0.25">
      <c r="A2421" s="4">
        <v>43811</v>
      </c>
      <c r="B2421" s="19">
        <f t="shared" si="74"/>
        <v>2019</v>
      </c>
      <c r="C2421" s="19">
        <f t="shared" si="75"/>
        <v>12</v>
      </c>
      <c r="D2421" s="5" t="s">
        <v>1771</v>
      </c>
      <c r="E2421" s="5" t="s">
        <v>67</v>
      </c>
      <c r="F2421" s="5" t="s">
        <v>19</v>
      </c>
      <c r="G2421" s="5" t="s">
        <v>32</v>
      </c>
      <c r="H2421" s="5" t="s">
        <v>1832</v>
      </c>
      <c r="I2421" s="13">
        <v>18.693000000000001</v>
      </c>
      <c r="J2421" s="19">
        <v>3</v>
      </c>
      <c r="K2421" s="14">
        <v>-14.331300000000001</v>
      </c>
    </row>
    <row r="2422" spans="1:11" x14ac:dyDescent="0.25">
      <c r="A2422" s="2">
        <v>43811</v>
      </c>
      <c r="B2422" s="18">
        <f t="shared" si="74"/>
        <v>2019</v>
      </c>
      <c r="C2422" s="18">
        <f t="shared" si="75"/>
        <v>12</v>
      </c>
      <c r="D2422" s="3" t="s">
        <v>1909</v>
      </c>
      <c r="E2422" s="3" t="s">
        <v>365</v>
      </c>
      <c r="F2422" s="3" t="s">
        <v>19</v>
      </c>
      <c r="G2422" s="3" t="s">
        <v>40</v>
      </c>
      <c r="H2422" s="3" t="s">
        <v>944</v>
      </c>
      <c r="I2422" s="11">
        <v>13.9</v>
      </c>
      <c r="J2422" s="18">
        <v>5</v>
      </c>
      <c r="K2422" s="12">
        <v>3.6139999999999999</v>
      </c>
    </row>
    <row r="2423" spans="1:11" x14ac:dyDescent="0.25">
      <c r="A2423" s="4">
        <v>43811</v>
      </c>
      <c r="B2423" s="19">
        <f t="shared" si="74"/>
        <v>2019</v>
      </c>
      <c r="C2423" s="19">
        <f t="shared" si="75"/>
        <v>12</v>
      </c>
      <c r="D2423" s="5" t="s">
        <v>192</v>
      </c>
      <c r="E2423" s="5" t="s">
        <v>94</v>
      </c>
      <c r="F2423" s="5" t="s">
        <v>19</v>
      </c>
      <c r="G2423" s="5" t="s">
        <v>40</v>
      </c>
      <c r="H2423" s="5" t="s">
        <v>811</v>
      </c>
      <c r="I2423" s="13">
        <v>11.2</v>
      </c>
      <c r="J2423" s="19">
        <v>7</v>
      </c>
      <c r="K2423" s="14">
        <v>4.8159999999999998</v>
      </c>
    </row>
    <row r="2424" spans="1:11" x14ac:dyDescent="0.25">
      <c r="A2424" s="2">
        <v>43812</v>
      </c>
      <c r="B2424" s="18">
        <f t="shared" si="74"/>
        <v>2019</v>
      </c>
      <c r="C2424" s="18">
        <f t="shared" si="75"/>
        <v>12</v>
      </c>
      <c r="D2424" s="3" t="s">
        <v>339</v>
      </c>
      <c r="E2424" s="3" t="s">
        <v>18</v>
      </c>
      <c r="F2424" s="3" t="s">
        <v>11</v>
      </c>
      <c r="G2424" s="3" t="s">
        <v>30</v>
      </c>
      <c r="H2424" s="3" t="s">
        <v>2015</v>
      </c>
      <c r="I2424" s="11">
        <v>1114.2719999999999</v>
      </c>
      <c r="J2424" s="18">
        <v>4</v>
      </c>
      <c r="K2424" s="12">
        <v>41.785200000000003</v>
      </c>
    </row>
    <row r="2425" spans="1:11" x14ac:dyDescent="0.25">
      <c r="A2425" s="4">
        <v>43812</v>
      </c>
      <c r="B2425" s="19">
        <f t="shared" si="74"/>
        <v>2019</v>
      </c>
      <c r="C2425" s="19">
        <f t="shared" si="75"/>
        <v>12</v>
      </c>
      <c r="D2425" s="5" t="s">
        <v>1290</v>
      </c>
      <c r="E2425" s="5" t="s">
        <v>29</v>
      </c>
      <c r="F2425" s="5" t="s">
        <v>14</v>
      </c>
      <c r="G2425" s="5" t="s">
        <v>24</v>
      </c>
      <c r="H2425" s="5" t="s">
        <v>2016</v>
      </c>
      <c r="I2425" s="13">
        <v>63.88</v>
      </c>
      <c r="J2425" s="19">
        <v>4</v>
      </c>
      <c r="K2425" s="14">
        <v>24.9132</v>
      </c>
    </row>
    <row r="2426" spans="1:11" x14ac:dyDescent="0.25">
      <c r="A2426" s="2">
        <v>43812</v>
      </c>
      <c r="B2426" s="18">
        <f t="shared" si="74"/>
        <v>2019</v>
      </c>
      <c r="C2426" s="18">
        <f t="shared" si="75"/>
        <v>12</v>
      </c>
      <c r="D2426" s="3" t="s">
        <v>1501</v>
      </c>
      <c r="E2426" s="3" t="s">
        <v>18</v>
      </c>
      <c r="F2426" s="3" t="s">
        <v>19</v>
      </c>
      <c r="G2426" s="3" t="s">
        <v>40</v>
      </c>
      <c r="H2426" s="3" t="s">
        <v>2017</v>
      </c>
      <c r="I2426" s="11">
        <v>9.84</v>
      </c>
      <c r="J2426" s="18">
        <v>3</v>
      </c>
      <c r="K2426" s="12">
        <v>3.2471999999999999</v>
      </c>
    </row>
    <row r="2427" spans="1:11" x14ac:dyDescent="0.25">
      <c r="A2427" s="4">
        <v>43812</v>
      </c>
      <c r="B2427" s="19">
        <f t="shared" si="74"/>
        <v>2019</v>
      </c>
      <c r="C2427" s="19">
        <f t="shared" si="75"/>
        <v>12</v>
      </c>
      <c r="D2427" s="5" t="s">
        <v>339</v>
      </c>
      <c r="E2427" s="5" t="s">
        <v>18</v>
      </c>
      <c r="F2427" s="5" t="s">
        <v>19</v>
      </c>
      <c r="G2427" s="5" t="s">
        <v>32</v>
      </c>
      <c r="H2427" s="5" t="s">
        <v>2018</v>
      </c>
      <c r="I2427" s="13">
        <v>6.0960000000000001</v>
      </c>
      <c r="J2427" s="19">
        <v>2</v>
      </c>
      <c r="K2427" s="14">
        <v>2.2098</v>
      </c>
    </row>
    <row r="2428" spans="1:11" x14ac:dyDescent="0.25">
      <c r="A2428" s="2">
        <v>43813</v>
      </c>
      <c r="B2428" s="18">
        <f t="shared" si="74"/>
        <v>2019</v>
      </c>
      <c r="C2428" s="18">
        <f t="shared" si="75"/>
        <v>12</v>
      </c>
      <c r="D2428" s="3" t="s">
        <v>646</v>
      </c>
      <c r="E2428" s="3" t="s">
        <v>94</v>
      </c>
      <c r="F2428" s="3" t="s">
        <v>11</v>
      </c>
      <c r="G2428" s="3" t="s">
        <v>51</v>
      </c>
      <c r="H2428" s="3" t="s">
        <v>834</v>
      </c>
      <c r="I2428" s="11">
        <v>396.92</v>
      </c>
      <c r="J2428" s="18">
        <v>4</v>
      </c>
      <c r="K2428" s="12">
        <v>198.46</v>
      </c>
    </row>
    <row r="2429" spans="1:11" x14ac:dyDescent="0.25">
      <c r="A2429" s="4">
        <v>43813</v>
      </c>
      <c r="B2429" s="19">
        <f t="shared" si="74"/>
        <v>2019</v>
      </c>
      <c r="C2429" s="19">
        <f t="shared" si="75"/>
        <v>12</v>
      </c>
      <c r="D2429" s="5" t="s">
        <v>502</v>
      </c>
      <c r="E2429" s="5" t="s">
        <v>18</v>
      </c>
      <c r="F2429" s="5" t="s">
        <v>19</v>
      </c>
      <c r="G2429" s="5" t="s">
        <v>20</v>
      </c>
      <c r="H2429" s="5" t="s">
        <v>1525</v>
      </c>
      <c r="I2429" s="13">
        <v>134.80000000000001</v>
      </c>
      <c r="J2429" s="19">
        <v>10</v>
      </c>
      <c r="K2429" s="14">
        <v>35.048000000000002</v>
      </c>
    </row>
    <row r="2430" spans="1:11" x14ac:dyDescent="0.25">
      <c r="A2430" s="2">
        <v>43813</v>
      </c>
      <c r="B2430" s="18">
        <f t="shared" si="74"/>
        <v>2019</v>
      </c>
      <c r="C2430" s="18">
        <f t="shared" si="75"/>
        <v>12</v>
      </c>
      <c r="D2430" s="3" t="s">
        <v>1815</v>
      </c>
      <c r="E2430" s="3" t="s">
        <v>143</v>
      </c>
      <c r="F2430" s="3" t="s">
        <v>11</v>
      </c>
      <c r="G2430" s="3" t="s">
        <v>51</v>
      </c>
      <c r="H2430" s="3" t="s">
        <v>1953</v>
      </c>
      <c r="I2430" s="11">
        <v>133.38</v>
      </c>
      <c r="J2430" s="18">
        <v>6</v>
      </c>
      <c r="K2430" s="12">
        <v>58.687199999999997</v>
      </c>
    </row>
    <row r="2431" spans="1:11" x14ac:dyDescent="0.25">
      <c r="A2431" s="4">
        <v>43813</v>
      </c>
      <c r="B2431" s="19">
        <f t="shared" si="74"/>
        <v>2019</v>
      </c>
      <c r="C2431" s="19">
        <f t="shared" si="75"/>
        <v>12</v>
      </c>
      <c r="D2431" s="5" t="s">
        <v>502</v>
      </c>
      <c r="E2431" s="5" t="s">
        <v>18</v>
      </c>
      <c r="F2431" s="5" t="s">
        <v>11</v>
      </c>
      <c r="G2431" s="5" t="s">
        <v>112</v>
      </c>
      <c r="H2431" s="5" t="s">
        <v>1518</v>
      </c>
      <c r="I2431" s="13">
        <v>81.424000000000007</v>
      </c>
      <c r="J2431" s="19">
        <v>2</v>
      </c>
      <c r="K2431" s="14">
        <v>-9.1601999999999997</v>
      </c>
    </row>
    <row r="2432" spans="1:11" x14ac:dyDescent="0.25">
      <c r="A2432" s="2">
        <v>43813</v>
      </c>
      <c r="B2432" s="18">
        <f t="shared" si="74"/>
        <v>2019</v>
      </c>
      <c r="C2432" s="18">
        <f t="shared" si="75"/>
        <v>12</v>
      </c>
      <c r="D2432" s="3" t="s">
        <v>646</v>
      </c>
      <c r="E2432" s="3" t="s">
        <v>94</v>
      </c>
      <c r="F2432" s="3" t="s">
        <v>19</v>
      </c>
      <c r="G2432" s="3" t="s">
        <v>32</v>
      </c>
      <c r="H2432" s="3" t="s">
        <v>863</v>
      </c>
      <c r="I2432" s="11">
        <v>23.12</v>
      </c>
      <c r="J2432" s="18">
        <v>2</v>
      </c>
      <c r="K2432" s="12">
        <v>7.8029999999999999</v>
      </c>
    </row>
    <row r="2433" spans="1:11" x14ac:dyDescent="0.25">
      <c r="A2433" s="4">
        <v>43813</v>
      </c>
      <c r="B2433" s="19">
        <f t="shared" si="74"/>
        <v>2019</v>
      </c>
      <c r="C2433" s="19">
        <f t="shared" si="75"/>
        <v>12</v>
      </c>
      <c r="D2433" s="5" t="s">
        <v>646</v>
      </c>
      <c r="E2433" s="5" t="s">
        <v>94</v>
      </c>
      <c r="F2433" s="5" t="s">
        <v>19</v>
      </c>
      <c r="G2433" s="5" t="s">
        <v>116</v>
      </c>
      <c r="H2433" s="5" t="s">
        <v>1789</v>
      </c>
      <c r="I2433" s="13">
        <v>21.48</v>
      </c>
      <c r="J2433" s="19">
        <v>6</v>
      </c>
      <c r="K2433" s="14">
        <v>10.5252</v>
      </c>
    </row>
    <row r="2434" spans="1:11" x14ac:dyDescent="0.25">
      <c r="A2434" s="2">
        <v>43813</v>
      </c>
      <c r="B2434" s="18">
        <f t="shared" ref="B2434:B2497" si="76">YEAR(A2434)</f>
        <v>2019</v>
      </c>
      <c r="C2434" s="18">
        <f t="shared" ref="C2434:C2497" si="77">MONTH(A2434)</f>
        <v>12</v>
      </c>
      <c r="D2434" s="3" t="s">
        <v>646</v>
      </c>
      <c r="E2434" s="3" t="s">
        <v>94</v>
      </c>
      <c r="F2434" s="3" t="s">
        <v>19</v>
      </c>
      <c r="G2434" s="3" t="s">
        <v>20</v>
      </c>
      <c r="H2434" s="3" t="s">
        <v>1650</v>
      </c>
      <c r="I2434" s="11">
        <v>17.149999999999999</v>
      </c>
      <c r="J2434" s="18">
        <v>1</v>
      </c>
      <c r="K2434" s="12">
        <v>4.6304999999999996</v>
      </c>
    </row>
    <row r="2435" spans="1:11" x14ac:dyDescent="0.25">
      <c r="A2435" s="4">
        <v>43813</v>
      </c>
      <c r="B2435" s="19">
        <f t="shared" si="76"/>
        <v>2019</v>
      </c>
      <c r="C2435" s="19">
        <f t="shared" si="77"/>
        <v>12</v>
      </c>
      <c r="D2435" s="5" t="s">
        <v>646</v>
      </c>
      <c r="E2435" s="5" t="s">
        <v>94</v>
      </c>
      <c r="F2435" s="5" t="s">
        <v>19</v>
      </c>
      <c r="G2435" s="5" t="s">
        <v>53</v>
      </c>
      <c r="H2435" s="5" t="s">
        <v>1231</v>
      </c>
      <c r="I2435" s="13">
        <v>14.62</v>
      </c>
      <c r="J2435" s="19">
        <v>2</v>
      </c>
      <c r="K2435" s="14">
        <v>6.7252000000000001</v>
      </c>
    </row>
    <row r="2436" spans="1:11" x14ac:dyDescent="0.25">
      <c r="A2436" s="2">
        <v>43813</v>
      </c>
      <c r="B2436" s="18">
        <f t="shared" si="76"/>
        <v>2019</v>
      </c>
      <c r="C2436" s="18">
        <f t="shared" si="77"/>
        <v>12</v>
      </c>
      <c r="D2436" s="3" t="s">
        <v>646</v>
      </c>
      <c r="E2436" s="3" t="s">
        <v>94</v>
      </c>
      <c r="F2436" s="3" t="s">
        <v>19</v>
      </c>
      <c r="G2436" s="3" t="s">
        <v>127</v>
      </c>
      <c r="H2436" s="3" t="s">
        <v>2019</v>
      </c>
      <c r="I2436" s="11">
        <v>5.76</v>
      </c>
      <c r="J2436" s="18">
        <v>2</v>
      </c>
      <c r="K2436" s="12">
        <v>2.8224</v>
      </c>
    </row>
    <row r="2437" spans="1:11" x14ac:dyDescent="0.25">
      <c r="A2437" s="4">
        <v>43814</v>
      </c>
      <c r="B2437" s="19">
        <f t="shared" si="76"/>
        <v>2019</v>
      </c>
      <c r="C2437" s="19">
        <f t="shared" si="77"/>
        <v>12</v>
      </c>
      <c r="D2437" s="5" t="s">
        <v>1701</v>
      </c>
      <c r="E2437" s="5" t="s">
        <v>365</v>
      </c>
      <c r="F2437" s="5" t="s">
        <v>11</v>
      </c>
      <c r="G2437" s="5" t="s">
        <v>30</v>
      </c>
      <c r="H2437" s="5" t="s">
        <v>2020</v>
      </c>
      <c r="I2437" s="13">
        <v>1652.94</v>
      </c>
      <c r="J2437" s="19">
        <v>3</v>
      </c>
      <c r="K2437" s="14">
        <v>231.41159999999999</v>
      </c>
    </row>
    <row r="2438" spans="1:11" x14ac:dyDescent="0.25">
      <c r="A2438" s="2">
        <v>43814</v>
      </c>
      <c r="B2438" s="18">
        <f t="shared" si="76"/>
        <v>2019</v>
      </c>
      <c r="C2438" s="18">
        <f t="shared" si="77"/>
        <v>12</v>
      </c>
      <c r="D2438" s="3" t="s">
        <v>1979</v>
      </c>
      <c r="E2438" s="3" t="s">
        <v>465</v>
      </c>
      <c r="F2438" s="3" t="s">
        <v>11</v>
      </c>
      <c r="G2438" s="3" t="s">
        <v>30</v>
      </c>
      <c r="H2438" s="3" t="s">
        <v>1027</v>
      </c>
      <c r="I2438" s="11">
        <v>564.19500000000005</v>
      </c>
      <c r="J2438" s="18">
        <v>3</v>
      </c>
      <c r="K2438" s="12">
        <v>-304.6653</v>
      </c>
    </row>
    <row r="2439" spans="1:11" x14ac:dyDescent="0.25">
      <c r="A2439" s="4">
        <v>43814</v>
      </c>
      <c r="B2439" s="19">
        <f t="shared" si="76"/>
        <v>2019</v>
      </c>
      <c r="C2439" s="19">
        <f t="shared" si="77"/>
        <v>12</v>
      </c>
      <c r="D2439" s="5" t="s">
        <v>1701</v>
      </c>
      <c r="E2439" s="5" t="s">
        <v>365</v>
      </c>
      <c r="F2439" s="5" t="s">
        <v>19</v>
      </c>
      <c r="G2439" s="5" t="s">
        <v>20</v>
      </c>
      <c r="H2439" s="5" t="s">
        <v>277</v>
      </c>
      <c r="I2439" s="13">
        <v>296.37</v>
      </c>
      <c r="J2439" s="19">
        <v>3</v>
      </c>
      <c r="K2439" s="14">
        <v>80.019900000000007</v>
      </c>
    </row>
    <row r="2440" spans="1:11" x14ac:dyDescent="0.25">
      <c r="A2440" s="2">
        <v>43814</v>
      </c>
      <c r="B2440" s="18">
        <f t="shared" si="76"/>
        <v>2019</v>
      </c>
      <c r="C2440" s="18">
        <f t="shared" si="77"/>
        <v>12</v>
      </c>
      <c r="D2440" s="3" t="s">
        <v>1979</v>
      </c>
      <c r="E2440" s="3" t="s">
        <v>465</v>
      </c>
      <c r="F2440" s="3" t="s">
        <v>19</v>
      </c>
      <c r="G2440" s="3" t="s">
        <v>121</v>
      </c>
      <c r="H2440" s="3" t="s">
        <v>284</v>
      </c>
      <c r="I2440" s="11">
        <v>87.168000000000006</v>
      </c>
      <c r="J2440" s="18">
        <v>2</v>
      </c>
      <c r="K2440" s="12">
        <v>8.7167999999999992</v>
      </c>
    </row>
    <row r="2441" spans="1:11" x14ac:dyDescent="0.25">
      <c r="A2441" s="4">
        <v>43814</v>
      </c>
      <c r="B2441" s="19">
        <f t="shared" si="76"/>
        <v>2019</v>
      </c>
      <c r="C2441" s="19">
        <f t="shared" si="77"/>
        <v>12</v>
      </c>
      <c r="D2441" s="5" t="s">
        <v>1401</v>
      </c>
      <c r="E2441" s="5" t="s">
        <v>589</v>
      </c>
      <c r="F2441" s="5" t="s">
        <v>19</v>
      </c>
      <c r="G2441" s="5" t="s">
        <v>53</v>
      </c>
      <c r="H2441" s="5" t="s">
        <v>2021</v>
      </c>
      <c r="I2441" s="13">
        <v>19.440000000000001</v>
      </c>
      <c r="J2441" s="19">
        <v>3</v>
      </c>
      <c r="K2441" s="14">
        <v>9.3312000000000008</v>
      </c>
    </row>
    <row r="2442" spans="1:11" x14ac:dyDescent="0.25">
      <c r="A2442" s="2">
        <v>43814</v>
      </c>
      <c r="B2442" s="18">
        <f t="shared" si="76"/>
        <v>2019</v>
      </c>
      <c r="C2442" s="18">
        <f t="shared" si="77"/>
        <v>12</v>
      </c>
      <c r="D2442" s="3" t="s">
        <v>1636</v>
      </c>
      <c r="E2442" s="3" t="s">
        <v>18</v>
      </c>
      <c r="F2442" s="3" t="s">
        <v>11</v>
      </c>
      <c r="G2442" s="3" t="s">
        <v>51</v>
      </c>
      <c r="H2442" s="3" t="s">
        <v>1122</v>
      </c>
      <c r="I2442" s="11">
        <v>14.76</v>
      </c>
      <c r="J2442" s="18">
        <v>2</v>
      </c>
      <c r="K2442" s="12">
        <v>4.2804000000000002</v>
      </c>
    </row>
    <row r="2443" spans="1:11" x14ac:dyDescent="0.25">
      <c r="A2443" s="4">
        <v>43814</v>
      </c>
      <c r="B2443" s="19">
        <f t="shared" si="76"/>
        <v>2019</v>
      </c>
      <c r="C2443" s="19">
        <f t="shared" si="77"/>
        <v>12</v>
      </c>
      <c r="D2443" s="5" t="s">
        <v>2022</v>
      </c>
      <c r="E2443" s="5" t="s">
        <v>67</v>
      </c>
      <c r="F2443" s="5" t="s">
        <v>19</v>
      </c>
      <c r="G2443" s="5" t="s">
        <v>32</v>
      </c>
      <c r="H2443" s="5" t="s">
        <v>1307</v>
      </c>
      <c r="I2443" s="13">
        <v>2.214</v>
      </c>
      <c r="J2443" s="19">
        <v>3</v>
      </c>
      <c r="K2443" s="14">
        <v>-1.476</v>
      </c>
    </row>
    <row r="2444" spans="1:11" x14ac:dyDescent="0.25">
      <c r="A2444" s="2">
        <v>43815</v>
      </c>
      <c r="B2444" s="18">
        <f t="shared" si="76"/>
        <v>2019</v>
      </c>
      <c r="C2444" s="18">
        <f t="shared" si="77"/>
        <v>12</v>
      </c>
      <c r="D2444" s="3" t="s">
        <v>646</v>
      </c>
      <c r="E2444" s="3" t="s">
        <v>18</v>
      </c>
      <c r="F2444" s="3" t="s">
        <v>11</v>
      </c>
      <c r="G2444" s="3" t="s">
        <v>112</v>
      </c>
      <c r="H2444" s="3" t="s">
        <v>1284</v>
      </c>
      <c r="I2444" s="11">
        <v>563.91999999999996</v>
      </c>
      <c r="J2444" s="18">
        <v>5</v>
      </c>
      <c r="K2444" s="12">
        <v>7.0490000000000004</v>
      </c>
    </row>
    <row r="2445" spans="1:11" x14ac:dyDescent="0.25">
      <c r="A2445" s="4">
        <v>43815</v>
      </c>
      <c r="B2445" s="19">
        <f t="shared" si="76"/>
        <v>2019</v>
      </c>
      <c r="C2445" s="19">
        <f t="shared" si="77"/>
        <v>12</v>
      </c>
      <c r="D2445" s="5" t="s">
        <v>2023</v>
      </c>
      <c r="E2445" s="5" t="s">
        <v>35</v>
      </c>
      <c r="F2445" s="5" t="s">
        <v>19</v>
      </c>
      <c r="G2445" s="5" t="s">
        <v>121</v>
      </c>
      <c r="H2445" s="5" t="s">
        <v>993</v>
      </c>
      <c r="I2445" s="13">
        <v>34.944000000000003</v>
      </c>
      <c r="J2445" s="19">
        <v>3</v>
      </c>
      <c r="K2445" s="14">
        <v>3.0575999999999999</v>
      </c>
    </row>
    <row r="2446" spans="1:11" x14ac:dyDescent="0.25">
      <c r="A2446" s="2">
        <v>43815</v>
      </c>
      <c r="B2446" s="18">
        <f t="shared" si="76"/>
        <v>2019</v>
      </c>
      <c r="C2446" s="18">
        <f t="shared" si="77"/>
        <v>12</v>
      </c>
      <c r="D2446" s="3" t="s">
        <v>691</v>
      </c>
      <c r="E2446" s="3" t="s">
        <v>18</v>
      </c>
      <c r="F2446" s="3" t="s">
        <v>14</v>
      </c>
      <c r="G2446" s="3" t="s">
        <v>24</v>
      </c>
      <c r="H2446" s="3" t="s">
        <v>2024</v>
      </c>
      <c r="I2446" s="11">
        <v>21.21</v>
      </c>
      <c r="J2446" s="18">
        <v>7</v>
      </c>
      <c r="K2446" s="12">
        <v>4.4541000000000004</v>
      </c>
    </row>
    <row r="2447" spans="1:11" x14ac:dyDescent="0.25">
      <c r="A2447" s="4">
        <v>43815</v>
      </c>
      <c r="B2447" s="19">
        <f t="shared" si="76"/>
        <v>2019</v>
      </c>
      <c r="C2447" s="19">
        <f t="shared" si="77"/>
        <v>12</v>
      </c>
      <c r="D2447" s="5" t="s">
        <v>316</v>
      </c>
      <c r="E2447" s="5" t="s">
        <v>164</v>
      </c>
      <c r="F2447" s="5" t="s">
        <v>19</v>
      </c>
      <c r="G2447" s="5" t="s">
        <v>32</v>
      </c>
      <c r="H2447" s="5" t="s">
        <v>2025</v>
      </c>
      <c r="I2447" s="13">
        <v>4.7880000000000003</v>
      </c>
      <c r="J2447" s="19">
        <v>3</v>
      </c>
      <c r="K2447" s="14">
        <v>-7.9001999999999999</v>
      </c>
    </row>
    <row r="2448" spans="1:11" x14ac:dyDescent="0.25">
      <c r="A2448" s="2">
        <v>43815</v>
      </c>
      <c r="B2448" s="18">
        <f t="shared" si="76"/>
        <v>2019</v>
      </c>
      <c r="C2448" s="18">
        <f t="shared" si="77"/>
        <v>12</v>
      </c>
      <c r="D2448" s="3" t="s">
        <v>1573</v>
      </c>
      <c r="E2448" s="3" t="s">
        <v>94</v>
      </c>
      <c r="F2448" s="3" t="s">
        <v>19</v>
      </c>
      <c r="G2448" s="3" t="s">
        <v>116</v>
      </c>
      <c r="H2448" s="3" t="s">
        <v>1910</v>
      </c>
      <c r="I2448" s="11">
        <v>3.68</v>
      </c>
      <c r="J2448" s="18">
        <v>2</v>
      </c>
      <c r="K2448" s="12">
        <v>1.8031999999999999</v>
      </c>
    </row>
    <row r="2449" spans="1:11" x14ac:dyDescent="0.25">
      <c r="A2449" s="4">
        <v>43816</v>
      </c>
      <c r="B2449" s="19">
        <f t="shared" si="76"/>
        <v>2019</v>
      </c>
      <c r="C2449" s="19">
        <f t="shared" si="77"/>
        <v>12</v>
      </c>
      <c r="D2449" s="5" t="s">
        <v>185</v>
      </c>
      <c r="E2449" s="5" t="s">
        <v>365</v>
      </c>
      <c r="F2449" s="5" t="s">
        <v>19</v>
      </c>
      <c r="G2449" s="5" t="s">
        <v>32</v>
      </c>
      <c r="H2449" s="5" t="s">
        <v>1303</v>
      </c>
      <c r="I2449" s="13">
        <v>2892.74</v>
      </c>
      <c r="J2449" s="19">
        <v>13</v>
      </c>
      <c r="K2449" s="14">
        <v>4946.37</v>
      </c>
    </row>
    <row r="2450" spans="1:11" x14ac:dyDescent="0.25">
      <c r="A2450" s="2">
        <v>43816</v>
      </c>
      <c r="B2450" s="18">
        <f t="shared" si="76"/>
        <v>2019</v>
      </c>
      <c r="C2450" s="18">
        <f t="shared" si="77"/>
        <v>12</v>
      </c>
      <c r="D2450" s="3" t="s">
        <v>1740</v>
      </c>
      <c r="E2450" s="3" t="s">
        <v>18</v>
      </c>
      <c r="F2450" s="3" t="s">
        <v>11</v>
      </c>
      <c r="G2450" s="3" t="s">
        <v>30</v>
      </c>
      <c r="H2450" s="3" t="s">
        <v>169</v>
      </c>
      <c r="I2450" s="11">
        <v>1003.52</v>
      </c>
      <c r="J2450" s="18">
        <v>6</v>
      </c>
      <c r="K2450" s="12">
        <v>-325.572</v>
      </c>
    </row>
    <row r="2451" spans="1:11" x14ac:dyDescent="0.25">
      <c r="A2451" s="4">
        <v>43816</v>
      </c>
      <c r="B2451" s="19">
        <f t="shared" si="76"/>
        <v>2019</v>
      </c>
      <c r="C2451" s="19">
        <f t="shared" si="77"/>
        <v>12</v>
      </c>
      <c r="D2451" s="5" t="s">
        <v>1127</v>
      </c>
      <c r="E2451" s="5" t="s">
        <v>23</v>
      </c>
      <c r="F2451" s="5" t="s">
        <v>14</v>
      </c>
      <c r="G2451" s="5" t="s">
        <v>24</v>
      </c>
      <c r="H2451" s="5" t="s">
        <v>26</v>
      </c>
      <c r="I2451" s="13">
        <v>165.6</v>
      </c>
      <c r="J2451" s="19">
        <v>3</v>
      </c>
      <c r="K2451" s="14">
        <v>-6.21</v>
      </c>
    </row>
    <row r="2452" spans="1:11" x14ac:dyDescent="0.25">
      <c r="A2452" s="2">
        <v>43816</v>
      </c>
      <c r="B2452" s="18">
        <f t="shared" si="76"/>
        <v>2019</v>
      </c>
      <c r="C2452" s="18">
        <f t="shared" si="77"/>
        <v>12</v>
      </c>
      <c r="D2452" s="3" t="s">
        <v>1127</v>
      </c>
      <c r="E2452" s="3" t="s">
        <v>23</v>
      </c>
      <c r="F2452" s="3" t="s">
        <v>19</v>
      </c>
      <c r="G2452" s="3" t="s">
        <v>53</v>
      </c>
      <c r="H2452" s="3" t="s">
        <v>2026</v>
      </c>
      <c r="I2452" s="11">
        <v>51.84</v>
      </c>
      <c r="J2452" s="18">
        <v>10</v>
      </c>
      <c r="K2452" s="12">
        <v>18.143999999999998</v>
      </c>
    </row>
    <row r="2453" spans="1:11" x14ac:dyDescent="0.25">
      <c r="A2453" s="4">
        <v>43816</v>
      </c>
      <c r="B2453" s="19">
        <f t="shared" si="76"/>
        <v>2019</v>
      </c>
      <c r="C2453" s="19">
        <f t="shared" si="77"/>
        <v>12</v>
      </c>
      <c r="D2453" s="5" t="s">
        <v>1299</v>
      </c>
      <c r="E2453" s="5" t="s">
        <v>70</v>
      </c>
      <c r="F2453" s="5" t="s">
        <v>19</v>
      </c>
      <c r="G2453" s="5" t="s">
        <v>20</v>
      </c>
      <c r="H2453" s="5" t="s">
        <v>1221</v>
      </c>
      <c r="I2453" s="13">
        <v>46.53</v>
      </c>
      <c r="J2453" s="19">
        <v>3</v>
      </c>
      <c r="K2453" s="14">
        <v>13.0284</v>
      </c>
    </row>
    <row r="2454" spans="1:11" x14ac:dyDescent="0.25">
      <c r="A2454" s="2">
        <v>43816</v>
      </c>
      <c r="B2454" s="18">
        <f t="shared" si="76"/>
        <v>2019</v>
      </c>
      <c r="C2454" s="18">
        <f t="shared" si="77"/>
        <v>12</v>
      </c>
      <c r="D2454" s="3" t="s">
        <v>192</v>
      </c>
      <c r="E2454" s="3" t="s">
        <v>1868</v>
      </c>
      <c r="F2454" s="3" t="s">
        <v>19</v>
      </c>
      <c r="G2454" s="3" t="s">
        <v>32</v>
      </c>
      <c r="H2454" s="3" t="s">
        <v>1810</v>
      </c>
      <c r="I2454" s="11">
        <v>13.488</v>
      </c>
      <c r="J2454" s="18">
        <v>2</v>
      </c>
      <c r="K2454" s="12">
        <v>4.3836000000000004</v>
      </c>
    </row>
    <row r="2455" spans="1:11" x14ac:dyDescent="0.25">
      <c r="A2455" s="4">
        <v>43816</v>
      </c>
      <c r="B2455" s="19">
        <f t="shared" si="76"/>
        <v>2019</v>
      </c>
      <c r="C2455" s="19">
        <f t="shared" si="77"/>
        <v>12</v>
      </c>
      <c r="D2455" s="5" t="s">
        <v>192</v>
      </c>
      <c r="E2455" s="5" t="s">
        <v>1868</v>
      </c>
      <c r="F2455" s="5" t="s">
        <v>19</v>
      </c>
      <c r="G2455" s="5" t="s">
        <v>32</v>
      </c>
      <c r="H2455" s="5" t="s">
        <v>1277</v>
      </c>
      <c r="I2455" s="13">
        <v>11.416</v>
      </c>
      <c r="J2455" s="19">
        <v>1</v>
      </c>
      <c r="K2455" s="14">
        <v>3.8529</v>
      </c>
    </row>
    <row r="2456" spans="1:11" x14ac:dyDescent="0.25">
      <c r="A2456" s="2">
        <v>43817</v>
      </c>
      <c r="B2456" s="18">
        <f t="shared" si="76"/>
        <v>2019</v>
      </c>
      <c r="C2456" s="18">
        <f t="shared" si="77"/>
        <v>12</v>
      </c>
      <c r="D2456" s="3" t="s">
        <v>705</v>
      </c>
      <c r="E2456" s="3" t="s">
        <v>85</v>
      </c>
      <c r="F2456" s="3" t="s">
        <v>19</v>
      </c>
      <c r="G2456" s="3" t="s">
        <v>32</v>
      </c>
      <c r="H2456" s="3" t="s">
        <v>2027</v>
      </c>
      <c r="I2456" s="11">
        <v>1793.98</v>
      </c>
      <c r="J2456" s="18">
        <v>2</v>
      </c>
      <c r="K2456" s="12">
        <v>843.17060000000004</v>
      </c>
    </row>
    <row r="2457" spans="1:11" x14ac:dyDescent="0.25">
      <c r="A2457" s="4">
        <v>43817</v>
      </c>
      <c r="B2457" s="19">
        <f t="shared" si="76"/>
        <v>2019</v>
      </c>
      <c r="C2457" s="19">
        <f t="shared" si="77"/>
        <v>12</v>
      </c>
      <c r="D2457" s="5" t="s">
        <v>2028</v>
      </c>
      <c r="E2457" s="5" t="s">
        <v>44</v>
      </c>
      <c r="F2457" s="5" t="s">
        <v>19</v>
      </c>
      <c r="G2457" s="5" t="s">
        <v>265</v>
      </c>
      <c r="H2457" s="5" t="s">
        <v>557</v>
      </c>
      <c r="I2457" s="13">
        <v>961.48</v>
      </c>
      <c r="J2457" s="19">
        <v>5</v>
      </c>
      <c r="K2457" s="14">
        <v>-204.31450000000001</v>
      </c>
    </row>
    <row r="2458" spans="1:11" x14ac:dyDescent="0.25">
      <c r="A2458" s="2">
        <v>43817</v>
      </c>
      <c r="B2458" s="18">
        <f t="shared" si="76"/>
        <v>2019</v>
      </c>
      <c r="C2458" s="18">
        <f t="shared" si="77"/>
        <v>12</v>
      </c>
      <c r="D2458" s="3" t="s">
        <v>636</v>
      </c>
      <c r="E2458" s="3" t="s">
        <v>94</v>
      </c>
      <c r="F2458" s="3" t="s">
        <v>19</v>
      </c>
      <c r="G2458" s="3" t="s">
        <v>20</v>
      </c>
      <c r="H2458" s="3" t="s">
        <v>236</v>
      </c>
      <c r="I2458" s="11">
        <v>900.08</v>
      </c>
      <c r="J2458" s="18">
        <v>4</v>
      </c>
      <c r="K2458" s="12">
        <v>117.0104</v>
      </c>
    </row>
    <row r="2459" spans="1:11" x14ac:dyDescent="0.25">
      <c r="A2459" s="4">
        <v>43817</v>
      </c>
      <c r="B2459" s="19">
        <f t="shared" si="76"/>
        <v>2019</v>
      </c>
      <c r="C2459" s="19">
        <f t="shared" si="77"/>
        <v>12</v>
      </c>
      <c r="D2459" s="5" t="s">
        <v>1756</v>
      </c>
      <c r="E2459" s="5" t="s">
        <v>18</v>
      </c>
      <c r="F2459" s="5" t="s">
        <v>14</v>
      </c>
      <c r="G2459" s="5" t="s">
        <v>24</v>
      </c>
      <c r="H2459" s="5" t="s">
        <v>492</v>
      </c>
      <c r="I2459" s="13">
        <v>772.47</v>
      </c>
      <c r="J2459" s="19">
        <v>3</v>
      </c>
      <c r="K2459" s="14">
        <v>146.76929999999999</v>
      </c>
    </row>
    <row r="2460" spans="1:11" x14ac:dyDescent="0.25">
      <c r="A2460" s="2">
        <v>43817</v>
      </c>
      <c r="B2460" s="18">
        <f t="shared" si="76"/>
        <v>2019</v>
      </c>
      <c r="C2460" s="18">
        <f t="shared" si="77"/>
        <v>12</v>
      </c>
      <c r="D2460" s="3" t="s">
        <v>142</v>
      </c>
      <c r="E2460" s="3" t="s">
        <v>18</v>
      </c>
      <c r="F2460" s="3" t="s">
        <v>19</v>
      </c>
      <c r="G2460" s="3" t="s">
        <v>265</v>
      </c>
      <c r="H2460" s="3" t="s">
        <v>695</v>
      </c>
      <c r="I2460" s="11">
        <v>579.29999999999995</v>
      </c>
      <c r="J2460" s="18">
        <v>5</v>
      </c>
      <c r="K2460" s="12">
        <v>28.965</v>
      </c>
    </row>
    <row r="2461" spans="1:11" x14ac:dyDescent="0.25">
      <c r="A2461" s="4">
        <v>43817</v>
      </c>
      <c r="B2461" s="19">
        <f t="shared" si="76"/>
        <v>2019</v>
      </c>
      <c r="C2461" s="19">
        <f t="shared" si="77"/>
        <v>12</v>
      </c>
      <c r="D2461" s="5" t="s">
        <v>1538</v>
      </c>
      <c r="E2461" s="5" t="s">
        <v>651</v>
      </c>
      <c r="F2461" s="5" t="s">
        <v>11</v>
      </c>
      <c r="G2461" s="5" t="s">
        <v>112</v>
      </c>
      <c r="H2461" s="5" t="s">
        <v>1850</v>
      </c>
      <c r="I2461" s="13">
        <v>563.94000000000005</v>
      </c>
      <c r="J2461" s="19">
        <v>3</v>
      </c>
      <c r="K2461" s="14">
        <v>112.788</v>
      </c>
    </row>
    <row r="2462" spans="1:11" x14ac:dyDescent="0.25">
      <c r="A2462" s="2">
        <v>43817</v>
      </c>
      <c r="B2462" s="18">
        <f t="shared" si="76"/>
        <v>2019</v>
      </c>
      <c r="C2462" s="18">
        <f t="shared" si="77"/>
        <v>12</v>
      </c>
      <c r="D2462" s="3" t="s">
        <v>1152</v>
      </c>
      <c r="E2462" s="3" t="s">
        <v>465</v>
      </c>
      <c r="F2462" s="3" t="s">
        <v>11</v>
      </c>
      <c r="G2462" s="3" t="s">
        <v>30</v>
      </c>
      <c r="H2462" s="3" t="s">
        <v>1387</v>
      </c>
      <c r="I2462" s="11">
        <v>377.45</v>
      </c>
      <c r="J2462" s="18">
        <v>5</v>
      </c>
      <c r="K2462" s="12">
        <v>-264.21499999999997</v>
      </c>
    </row>
    <row r="2463" spans="1:11" x14ac:dyDescent="0.25">
      <c r="A2463" s="4">
        <v>43817</v>
      </c>
      <c r="B2463" s="19">
        <f t="shared" si="76"/>
        <v>2019</v>
      </c>
      <c r="C2463" s="19">
        <f t="shared" si="77"/>
        <v>12</v>
      </c>
      <c r="D2463" s="5" t="s">
        <v>2028</v>
      </c>
      <c r="E2463" s="5" t="s">
        <v>44</v>
      </c>
      <c r="F2463" s="5" t="s">
        <v>19</v>
      </c>
      <c r="G2463" s="5" t="s">
        <v>32</v>
      </c>
      <c r="H2463" s="5" t="s">
        <v>2029</v>
      </c>
      <c r="I2463" s="13">
        <v>254.05799999999999</v>
      </c>
      <c r="J2463" s="19">
        <v>7</v>
      </c>
      <c r="K2463" s="14">
        <v>-169.37200000000001</v>
      </c>
    </row>
    <row r="2464" spans="1:11" x14ac:dyDescent="0.25">
      <c r="A2464" s="2">
        <v>43817</v>
      </c>
      <c r="B2464" s="18">
        <f t="shared" si="76"/>
        <v>2019</v>
      </c>
      <c r="C2464" s="18">
        <f t="shared" si="77"/>
        <v>12</v>
      </c>
      <c r="D2464" s="3" t="s">
        <v>2028</v>
      </c>
      <c r="E2464" s="3" t="s">
        <v>44</v>
      </c>
      <c r="F2464" s="3" t="s">
        <v>19</v>
      </c>
      <c r="G2464" s="3" t="s">
        <v>121</v>
      </c>
      <c r="H2464" s="3" t="s">
        <v>959</v>
      </c>
      <c r="I2464" s="11">
        <v>194.52799999999999</v>
      </c>
      <c r="J2464" s="18">
        <v>2</v>
      </c>
      <c r="K2464" s="12">
        <v>24.315999999999999</v>
      </c>
    </row>
    <row r="2465" spans="1:11" x14ac:dyDescent="0.25">
      <c r="A2465" s="4">
        <v>43817</v>
      </c>
      <c r="B2465" s="19">
        <f t="shared" si="76"/>
        <v>2019</v>
      </c>
      <c r="C2465" s="19">
        <f t="shared" si="77"/>
        <v>12</v>
      </c>
      <c r="D2465" s="5" t="s">
        <v>142</v>
      </c>
      <c r="E2465" s="5" t="s">
        <v>18</v>
      </c>
      <c r="F2465" s="5" t="s">
        <v>11</v>
      </c>
      <c r="G2465" s="5" t="s">
        <v>51</v>
      </c>
      <c r="H2465" s="5" t="s">
        <v>2030</v>
      </c>
      <c r="I2465" s="13">
        <v>183.84</v>
      </c>
      <c r="J2465" s="19">
        <v>8</v>
      </c>
      <c r="K2465" s="14">
        <v>62.505600000000001</v>
      </c>
    </row>
    <row r="2466" spans="1:11" x14ac:dyDescent="0.25">
      <c r="A2466" s="2">
        <v>43817</v>
      </c>
      <c r="B2466" s="18">
        <f t="shared" si="76"/>
        <v>2019</v>
      </c>
      <c r="C2466" s="18">
        <f t="shared" si="77"/>
        <v>12</v>
      </c>
      <c r="D2466" s="3" t="s">
        <v>1152</v>
      </c>
      <c r="E2466" s="3" t="s">
        <v>465</v>
      </c>
      <c r="F2466" s="3" t="s">
        <v>14</v>
      </c>
      <c r="G2466" s="3" t="s">
        <v>24</v>
      </c>
      <c r="H2466" s="3" t="s">
        <v>808</v>
      </c>
      <c r="I2466" s="11">
        <v>112.776</v>
      </c>
      <c r="J2466" s="18">
        <v>3</v>
      </c>
      <c r="K2466" s="12">
        <v>-8.4581999999999997</v>
      </c>
    </row>
    <row r="2467" spans="1:11" x14ac:dyDescent="0.25">
      <c r="A2467" s="4">
        <v>43817</v>
      </c>
      <c r="B2467" s="19">
        <f t="shared" si="76"/>
        <v>2019</v>
      </c>
      <c r="C2467" s="19">
        <f t="shared" si="77"/>
        <v>12</v>
      </c>
      <c r="D2467" s="5" t="s">
        <v>1756</v>
      </c>
      <c r="E2467" s="5" t="s">
        <v>18</v>
      </c>
      <c r="F2467" s="5" t="s">
        <v>14</v>
      </c>
      <c r="G2467" s="5" t="s">
        <v>24</v>
      </c>
      <c r="H2467" s="5" t="s">
        <v>804</v>
      </c>
      <c r="I2467" s="13">
        <v>72.64</v>
      </c>
      <c r="J2467" s="19">
        <v>2</v>
      </c>
      <c r="K2467" s="14">
        <v>21.792000000000002</v>
      </c>
    </row>
    <row r="2468" spans="1:11" x14ac:dyDescent="0.25">
      <c r="A2468" s="2">
        <v>43817</v>
      </c>
      <c r="B2468" s="18">
        <f t="shared" si="76"/>
        <v>2019</v>
      </c>
      <c r="C2468" s="18">
        <f t="shared" si="77"/>
        <v>12</v>
      </c>
      <c r="D2468" s="3" t="s">
        <v>2031</v>
      </c>
      <c r="E2468" s="3" t="s">
        <v>18</v>
      </c>
      <c r="F2468" s="3" t="s">
        <v>14</v>
      </c>
      <c r="G2468" s="3" t="s">
        <v>15</v>
      </c>
      <c r="H2468" s="3" t="s">
        <v>814</v>
      </c>
      <c r="I2468" s="11">
        <v>66.975999999999999</v>
      </c>
      <c r="J2468" s="18">
        <v>7</v>
      </c>
      <c r="K2468" s="12">
        <v>6.6976000000000004</v>
      </c>
    </row>
    <row r="2469" spans="1:11" x14ac:dyDescent="0.25">
      <c r="A2469" s="4">
        <v>43817</v>
      </c>
      <c r="B2469" s="19">
        <f t="shared" si="76"/>
        <v>2019</v>
      </c>
      <c r="C2469" s="19">
        <f t="shared" si="77"/>
        <v>12</v>
      </c>
      <c r="D2469" s="5" t="s">
        <v>1152</v>
      </c>
      <c r="E2469" s="5" t="s">
        <v>465</v>
      </c>
      <c r="F2469" s="5" t="s">
        <v>19</v>
      </c>
      <c r="G2469" s="5" t="s">
        <v>32</v>
      </c>
      <c r="H2469" s="5" t="s">
        <v>754</v>
      </c>
      <c r="I2469" s="13">
        <v>45.24</v>
      </c>
      <c r="J2469" s="19">
        <v>4</v>
      </c>
      <c r="K2469" s="14">
        <v>-30.16</v>
      </c>
    </row>
    <row r="2470" spans="1:11" x14ac:dyDescent="0.25">
      <c r="A2470" s="2">
        <v>43817</v>
      </c>
      <c r="B2470" s="18">
        <f t="shared" si="76"/>
        <v>2019</v>
      </c>
      <c r="C2470" s="18">
        <f t="shared" si="77"/>
        <v>12</v>
      </c>
      <c r="D2470" s="3" t="s">
        <v>1756</v>
      </c>
      <c r="E2470" s="3" t="s">
        <v>18</v>
      </c>
      <c r="F2470" s="3" t="s">
        <v>11</v>
      </c>
      <c r="G2470" s="3" t="s">
        <v>51</v>
      </c>
      <c r="H2470" s="3" t="s">
        <v>503</v>
      </c>
      <c r="I2470" s="11">
        <v>39.92</v>
      </c>
      <c r="J2470" s="18">
        <v>4</v>
      </c>
      <c r="K2470" s="12">
        <v>11.1776</v>
      </c>
    </row>
    <row r="2471" spans="1:11" x14ac:dyDescent="0.25">
      <c r="A2471" s="4">
        <v>43817</v>
      </c>
      <c r="B2471" s="19">
        <f t="shared" si="76"/>
        <v>2019</v>
      </c>
      <c r="C2471" s="19">
        <f t="shared" si="77"/>
        <v>12</v>
      </c>
      <c r="D2471" s="5" t="s">
        <v>142</v>
      </c>
      <c r="E2471" s="5" t="s">
        <v>18</v>
      </c>
      <c r="F2471" s="5" t="s">
        <v>19</v>
      </c>
      <c r="G2471" s="5" t="s">
        <v>53</v>
      </c>
      <c r="H2471" s="5" t="s">
        <v>1752</v>
      </c>
      <c r="I2471" s="13">
        <v>38.880000000000003</v>
      </c>
      <c r="J2471" s="19">
        <v>6</v>
      </c>
      <c r="K2471" s="14">
        <v>18.662400000000002</v>
      </c>
    </row>
    <row r="2472" spans="1:11" x14ac:dyDescent="0.25">
      <c r="A2472" s="2">
        <v>43817</v>
      </c>
      <c r="B2472" s="18">
        <f t="shared" si="76"/>
        <v>2019</v>
      </c>
      <c r="C2472" s="18">
        <f t="shared" si="77"/>
        <v>12</v>
      </c>
      <c r="D2472" s="3" t="s">
        <v>1152</v>
      </c>
      <c r="E2472" s="3" t="s">
        <v>465</v>
      </c>
      <c r="F2472" s="3" t="s">
        <v>14</v>
      </c>
      <c r="G2472" s="3" t="s">
        <v>15</v>
      </c>
      <c r="H2472" s="3" t="s">
        <v>1111</v>
      </c>
      <c r="I2472" s="11">
        <v>28.68</v>
      </c>
      <c r="J2472" s="18">
        <v>3</v>
      </c>
      <c r="K2472" s="12">
        <v>-7.17</v>
      </c>
    </row>
    <row r="2473" spans="1:11" x14ac:dyDescent="0.25">
      <c r="A2473" s="4">
        <v>43817</v>
      </c>
      <c r="B2473" s="19">
        <f t="shared" si="76"/>
        <v>2019</v>
      </c>
      <c r="C2473" s="19">
        <f t="shared" si="77"/>
        <v>12</v>
      </c>
      <c r="D2473" s="5" t="s">
        <v>1568</v>
      </c>
      <c r="E2473" s="5" t="s">
        <v>387</v>
      </c>
      <c r="F2473" s="5" t="s">
        <v>11</v>
      </c>
      <c r="G2473" s="5" t="s">
        <v>51</v>
      </c>
      <c r="H2473" s="5" t="s">
        <v>753</v>
      </c>
      <c r="I2473" s="13">
        <v>18.84</v>
      </c>
      <c r="J2473" s="19">
        <v>3</v>
      </c>
      <c r="K2473" s="14">
        <v>6.0288000000000004</v>
      </c>
    </row>
    <row r="2474" spans="1:11" x14ac:dyDescent="0.25">
      <c r="A2474" s="2">
        <v>43817</v>
      </c>
      <c r="B2474" s="18">
        <f t="shared" si="76"/>
        <v>2019</v>
      </c>
      <c r="C2474" s="18">
        <f t="shared" si="77"/>
        <v>12</v>
      </c>
      <c r="D2474" s="3" t="s">
        <v>1152</v>
      </c>
      <c r="E2474" s="3" t="s">
        <v>465</v>
      </c>
      <c r="F2474" s="3" t="s">
        <v>19</v>
      </c>
      <c r="G2474" s="3" t="s">
        <v>40</v>
      </c>
      <c r="H2474" s="3" t="s">
        <v>41</v>
      </c>
      <c r="I2474" s="11">
        <v>18.687999999999999</v>
      </c>
      <c r="J2474" s="18">
        <v>4</v>
      </c>
      <c r="K2474" s="12">
        <v>2.3359999999999999</v>
      </c>
    </row>
    <row r="2475" spans="1:11" x14ac:dyDescent="0.25">
      <c r="A2475" s="4">
        <v>43817</v>
      </c>
      <c r="B2475" s="19">
        <f t="shared" si="76"/>
        <v>2019</v>
      </c>
      <c r="C2475" s="19">
        <f t="shared" si="77"/>
        <v>12</v>
      </c>
      <c r="D2475" s="5" t="s">
        <v>1152</v>
      </c>
      <c r="E2475" s="5" t="s">
        <v>465</v>
      </c>
      <c r="F2475" s="5" t="s">
        <v>19</v>
      </c>
      <c r="G2475" s="5" t="s">
        <v>127</v>
      </c>
      <c r="H2475" s="5" t="s">
        <v>991</v>
      </c>
      <c r="I2475" s="13">
        <v>15.936</v>
      </c>
      <c r="J2475" s="19">
        <v>4</v>
      </c>
      <c r="K2475" s="14">
        <v>5.1791999999999998</v>
      </c>
    </row>
    <row r="2476" spans="1:11" x14ac:dyDescent="0.25">
      <c r="A2476" s="2">
        <v>43817</v>
      </c>
      <c r="B2476" s="18">
        <f t="shared" si="76"/>
        <v>2019</v>
      </c>
      <c r="C2476" s="18">
        <f t="shared" si="77"/>
        <v>12</v>
      </c>
      <c r="D2476" s="3" t="s">
        <v>1152</v>
      </c>
      <c r="E2476" s="3" t="s">
        <v>465</v>
      </c>
      <c r="F2476" s="3" t="s">
        <v>19</v>
      </c>
      <c r="G2476" s="3" t="s">
        <v>53</v>
      </c>
      <c r="H2476" s="3" t="s">
        <v>2032</v>
      </c>
      <c r="I2476" s="11">
        <v>11.648</v>
      </c>
      <c r="J2476" s="18">
        <v>2</v>
      </c>
      <c r="K2476" s="12">
        <v>3.7856000000000001</v>
      </c>
    </row>
    <row r="2477" spans="1:11" x14ac:dyDescent="0.25">
      <c r="A2477" s="4">
        <v>43818</v>
      </c>
      <c r="B2477" s="19">
        <f t="shared" si="76"/>
        <v>2019</v>
      </c>
      <c r="C2477" s="19">
        <f t="shared" si="77"/>
        <v>12</v>
      </c>
      <c r="D2477" s="5" t="s">
        <v>565</v>
      </c>
      <c r="E2477" s="5" t="s">
        <v>198</v>
      </c>
      <c r="F2477" s="5" t="s">
        <v>11</v>
      </c>
      <c r="G2477" s="5" t="s">
        <v>30</v>
      </c>
      <c r="H2477" s="5" t="s">
        <v>2033</v>
      </c>
      <c r="I2477" s="13">
        <v>455.97</v>
      </c>
      <c r="J2477" s="19">
        <v>6</v>
      </c>
      <c r="K2477" s="14">
        <v>-218.8656</v>
      </c>
    </row>
    <row r="2478" spans="1:11" x14ac:dyDescent="0.25">
      <c r="A2478" s="2">
        <v>43818</v>
      </c>
      <c r="B2478" s="18">
        <f t="shared" si="76"/>
        <v>2019</v>
      </c>
      <c r="C2478" s="18">
        <f t="shared" si="77"/>
        <v>12</v>
      </c>
      <c r="D2478" s="3" t="s">
        <v>800</v>
      </c>
      <c r="E2478" s="3" t="s">
        <v>39</v>
      </c>
      <c r="F2478" s="3" t="s">
        <v>11</v>
      </c>
      <c r="G2478" s="3" t="s">
        <v>51</v>
      </c>
      <c r="H2478" s="3" t="s">
        <v>2034</v>
      </c>
      <c r="I2478" s="11">
        <v>303.92</v>
      </c>
      <c r="J2478" s="18">
        <v>5</v>
      </c>
      <c r="K2478" s="12">
        <v>-30.391999999999999</v>
      </c>
    </row>
    <row r="2479" spans="1:11" x14ac:dyDescent="0.25">
      <c r="A2479" s="4">
        <v>43818</v>
      </c>
      <c r="B2479" s="19">
        <f t="shared" si="76"/>
        <v>2019</v>
      </c>
      <c r="C2479" s="19">
        <f t="shared" si="77"/>
        <v>12</v>
      </c>
      <c r="D2479" s="5" t="s">
        <v>229</v>
      </c>
      <c r="E2479" s="5" t="s">
        <v>94</v>
      </c>
      <c r="F2479" s="5" t="s">
        <v>19</v>
      </c>
      <c r="G2479" s="5" t="s">
        <v>32</v>
      </c>
      <c r="H2479" s="5" t="s">
        <v>1277</v>
      </c>
      <c r="I2479" s="13">
        <v>34.247999999999998</v>
      </c>
      <c r="J2479" s="19">
        <v>3</v>
      </c>
      <c r="K2479" s="14">
        <v>11.5587</v>
      </c>
    </row>
    <row r="2480" spans="1:11" x14ac:dyDescent="0.25">
      <c r="A2480" s="2">
        <v>43818</v>
      </c>
      <c r="B2480" s="18">
        <f t="shared" si="76"/>
        <v>2019</v>
      </c>
      <c r="C2480" s="18">
        <f t="shared" si="77"/>
        <v>12</v>
      </c>
      <c r="D2480" s="3" t="s">
        <v>565</v>
      </c>
      <c r="E2480" s="3" t="s">
        <v>198</v>
      </c>
      <c r="F2480" s="3" t="s">
        <v>19</v>
      </c>
      <c r="G2480" s="3" t="s">
        <v>32</v>
      </c>
      <c r="H2480" s="3" t="s">
        <v>272</v>
      </c>
      <c r="I2480" s="11">
        <v>10.44</v>
      </c>
      <c r="J2480" s="18">
        <v>6</v>
      </c>
      <c r="K2480" s="12">
        <v>-7.6559999999999997</v>
      </c>
    </row>
    <row r="2481" spans="1:11" x14ac:dyDescent="0.25">
      <c r="A2481" s="4">
        <v>43818</v>
      </c>
      <c r="B2481" s="19">
        <f t="shared" si="76"/>
        <v>2019</v>
      </c>
      <c r="C2481" s="19">
        <f t="shared" si="77"/>
        <v>12</v>
      </c>
      <c r="D2481" s="5" t="s">
        <v>565</v>
      </c>
      <c r="E2481" s="5" t="s">
        <v>198</v>
      </c>
      <c r="F2481" s="5" t="s">
        <v>19</v>
      </c>
      <c r="G2481" s="5" t="s">
        <v>32</v>
      </c>
      <c r="H2481" s="5" t="s">
        <v>1567</v>
      </c>
      <c r="I2481" s="13">
        <v>5.2140000000000004</v>
      </c>
      <c r="J2481" s="19">
        <v>2</v>
      </c>
      <c r="K2481" s="14">
        <v>-4.1711999999999998</v>
      </c>
    </row>
    <row r="2482" spans="1:11" x14ac:dyDescent="0.25">
      <c r="A2482" s="2">
        <v>43818</v>
      </c>
      <c r="B2482" s="18">
        <f t="shared" si="76"/>
        <v>2019</v>
      </c>
      <c r="C2482" s="18">
        <f t="shared" si="77"/>
        <v>12</v>
      </c>
      <c r="D2482" s="3" t="s">
        <v>229</v>
      </c>
      <c r="E2482" s="3" t="s">
        <v>94</v>
      </c>
      <c r="F2482" s="3" t="s">
        <v>19</v>
      </c>
      <c r="G2482" s="3" t="s">
        <v>40</v>
      </c>
      <c r="H2482" s="3" t="s">
        <v>1054</v>
      </c>
      <c r="I2482" s="11">
        <v>3.52</v>
      </c>
      <c r="J2482" s="18">
        <v>2</v>
      </c>
      <c r="K2482" s="12">
        <v>1.0207999999999999</v>
      </c>
    </row>
    <row r="2483" spans="1:11" x14ac:dyDescent="0.25">
      <c r="A2483" s="4">
        <v>43818</v>
      </c>
      <c r="B2483" s="19">
        <f t="shared" si="76"/>
        <v>2019</v>
      </c>
      <c r="C2483" s="19">
        <f t="shared" si="77"/>
        <v>12</v>
      </c>
      <c r="D2483" s="5" t="s">
        <v>1924</v>
      </c>
      <c r="E2483" s="5" t="s">
        <v>164</v>
      </c>
      <c r="F2483" s="5" t="s">
        <v>19</v>
      </c>
      <c r="G2483" s="5" t="s">
        <v>32</v>
      </c>
      <c r="H2483" s="5" t="s">
        <v>1273</v>
      </c>
      <c r="I2483" s="13">
        <v>1.8</v>
      </c>
      <c r="J2483" s="19">
        <v>5</v>
      </c>
      <c r="K2483" s="14">
        <v>-2.88</v>
      </c>
    </row>
    <row r="2484" spans="1:11" x14ac:dyDescent="0.25">
      <c r="A2484" s="2">
        <v>43819</v>
      </c>
      <c r="B2484" s="18">
        <f t="shared" si="76"/>
        <v>2019</v>
      </c>
      <c r="C2484" s="18">
        <f t="shared" si="77"/>
        <v>12</v>
      </c>
      <c r="D2484" s="3" t="s">
        <v>2035</v>
      </c>
      <c r="E2484" s="3" t="s">
        <v>143</v>
      </c>
      <c r="F2484" s="3" t="s">
        <v>14</v>
      </c>
      <c r="G2484" s="3" t="s">
        <v>24</v>
      </c>
      <c r="H2484" s="3" t="s">
        <v>1744</v>
      </c>
      <c r="I2484" s="11">
        <v>66.3</v>
      </c>
      <c r="J2484" s="18">
        <v>3</v>
      </c>
      <c r="K2484" s="12">
        <v>8.6189999999999998</v>
      </c>
    </row>
    <row r="2485" spans="1:11" x14ac:dyDescent="0.25">
      <c r="A2485" s="4">
        <v>43819</v>
      </c>
      <c r="B2485" s="19">
        <f t="shared" si="76"/>
        <v>2019</v>
      </c>
      <c r="C2485" s="19">
        <f t="shared" si="77"/>
        <v>12</v>
      </c>
      <c r="D2485" s="5" t="s">
        <v>2036</v>
      </c>
      <c r="E2485" s="5" t="s">
        <v>651</v>
      </c>
      <c r="F2485" s="5" t="s">
        <v>19</v>
      </c>
      <c r="G2485" s="5" t="s">
        <v>53</v>
      </c>
      <c r="H2485" s="5" t="s">
        <v>2037</v>
      </c>
      <c r="I2485" s="13">
        <v>33.9</v>
      </c>
      <c r="J2485" s="19">
        <v>5</v>
      </c>
      <c r="K2485" s="14">
        <v>15.593999999999999</v>
      </c>
    </row>
    <row r="2486" spans="1:11" x14ac:dyDescent="0.25">
      <c r="A2486" s="2">
        <v>43819</v>
      </c>
      <c r="B2486" s="18">
        <f t="shared" si="76"/>
        <v>2019</v>
      </c>
      <c r="C2486" s="18">
        <f t="shared" si="77"/>
        <v>12</v>
      </c>
      <c r="D2486" s="3" t="s">
        <v>1120</v>
      </c>
      <c r="E2486" s="3" t="s">
        <v>143</v>
      </c>
      <c r="F2486" s="3" t="s">
        <v>11</v>
      </c>
      <c r="G2486" s="3" t="s">
        <v>51</v>
      </c>
      <c r="H2486" s="3" t="s">
        <v>1554</v>
      </c>
      <c r="I2486" s="11">
        <v>18.920000000000002</v>
      </c>
      <c r="J2486" s="18">
        <v>4</v>
      </c>
      <c r="K2486" s="12">
        <v>7.3788</v>
      </c>
    </row>
    <row r="2487" spans="1:11" x14ac:dyDescent="0.25">
      <c r="A2487" s="4">
        <v>43819</v>
      </c>
      <c r="B2487" s="19">
        <f t="shared" si="76"/>
        <v>2019</v>
      </c>
      <c r="C2487" s="19">
        <f t="shared" si="77"/>
        <v>12</v>
      </c>
      <c r="D2487" s="5" t="s">
        <v>1120</v>
      </c>
      <c r="E2487" s="5" t="s">
        <v>143</v>
      </c>
      <c r="F2487" s="5" t="s">
        <v>19</v>
      </c>
      <c r="G2487" s="5" t="s">
        <v>32</v>
      </c>
      <c r="H2487" s="5" t="s">
        <v>1032</v>
      </c>
      <c r="I2487" s="13">
        <v>15.42</v>
      </c>
      <c r="J2487" s="19">
        <v>2</v>
      </c>
      <c r="K2487" s="14">
        <v>6.9390000000000001</v>
      </c>
    </row>
    <row r="2488" spans="1:11" x14ac:dyDescent="0.25">
      <c r="A2488" s="2">
        <v>43821</v>
      </c>
      <c r="B2488" s="18">
        <f t="shared" si="76"/>
        <v>2019</v>
      </c>
      <c r="C2488" s="18">
        <f t="shared" si="77"/>
        <v>12</v>
      </c>
      <c r="D2488" s="3" t="s">
        <v>687</v>
      </c>
      <c r="E2488" s="3" t="s">
        <v>18</v>
      </c>
      <c r="F2488" s="3" t="s">
        <v>11</v>
      </c>
      <c r="G2488" s="3" t="s">
        <v>51</v>
      </c>
      <c r="H2488" s="3" t="s">
        <v>1467</v>
      </c>
      <c r="I2488" s="11">
        <v>842.72</v>
      </c>
      <c r="J2488" s="18">
        <v>8</v>
      </c>
      <c r="K2488" s="12">
        <v>202.25280000000001</v>
      </c>
    </row>
    <row r="2489" spans="1:11" x14ac:dyDescent="0.25">
      <c r="A2489" s="4">
        <v>43821</v>
      </c>
      <c r="B2489" s="19">
        <f t="shared" si="76"/>
        <v>2019</v>
      </c>
      <c r="C2489" s="19">
        <f t="shared" si="77"/>
        <v>12</v>
      </c>
      <c r="D2489" s="5" t="s">
        <v>1753</v>
      </c>
      <c r="E2489" s="5" t="s">
        <v>70</v>
      </c>
      <c r="F2489" s="5" t="s">
        <v>19</v>
      </c>
      <c r="G2489" s="5" t="s">
        <v>32</v>
      </c>
      <c r="H2489" s="5" t="s">
        <v>841</v>
      </c>
      <c r="I2489" s="13">
        <v>55.36</v>
      </c>
      <c r="J2489" s="19">
        <v>4</v>
      </c>
      <c r="K2489" s="14">
        <v>19.376000000000001</v>
      </c>
    </row>
    <row r="2490" spans="1:11" x14ac:dyDescent="0.25">
      <c r="A2490" s="2">
        <v>43821</v>
      </c>
      <c r="B2490" s="18">
        <f t="shared" si="76"/>
        <v>2019</v>
      </c>
      <c r="C2490" s="18">
        <f t="shared" si="77"/>
        <v>12</v>
      </c>
      <c r="D2490" s="3" t="s">
        <v>687</v>
      </c>
      <c r="E2490" s="3" t="s">
        <v>18</v>
      </c>
      <c r="F2490" s="3" t="s">
        <v>11</v>
      </c>
      <c r="G2490" s="3" t="s">
        <v>51</v>
      </c>
      <c r="H2490" s="3" t="s">
        <v>1849</v>
      </c>
      <c r="I2490" s="11">
        <v>41.96</v>
      </c>
      <c r="J2490" s="18">
        <v>2</v>
      </c>
      <c r="K2490" s="12">
        <v>10.909599999999999</v>
      </c>
    </row>
    <row r="2491" spans="1:11" x14ac:dyDescent="0.25">
      <c r="A2491" s="4">
        <v>43821</v>
      </c>
      <c r="B2491" s="19">
        <f t="shared" si="76"/>
        <v>2019</v>
      </c>
      <c r="C2491" s="19">
        <f t="shared" si="77"/>
        <v>12</v>
      </c>
      <c r="D2491" s="5" t="s">
        <v>2038</v>
      </c>
      <c r="E2491" s="5" t="s">
        <v>465</v>
      </c>
      <c r="F2491" s="5" t="s">
        <v>19</v>
      </c>
      <c r="G2491" s="5" t="s">
        <v>32</v>
      </c>
      <c r="H2491" s="5" t="s">
        <v>1294</v>
      </c>
      <c r="I2491" s="13">
        <v>31.32</v>
      </c>
      <c r="J2491" s="19">
        <v>10</v>
      </c>
      <c r="K2491" s="14">
        <v>-25.056000000000001</v>
      </c>
    </row>
    <row r="2492" spans="1:11" x14ac:dyDescent="0.25">
      <c r="A2492" s="2">
        <v>43821</v>
      </c>
      <c r="B2492" s="18">
        <f t="shared" si="76"/>
        <v>2019</v>
      </c>
      <c r="C2492" s="18">
        <f t="shared" si="77"/>
        <v>12</v>
      </c>
      <c r="D2492" s="3" t="s">
        <v>1075</v>
      </c>
      <c r="E2492" s="3" t="s">
        <v>94</v>
      </c>
      <c r="F2492" s="3" t="s">
        <v>19</v>
      </c>
      <c r="G2492" s="3" t="s">
        <v>32</v>
      </c>
      <c r="H2492" s="3" t="s">
        <v>443</v>
      </c>
      <c r="I2492" s="11">
        <v>25.584</v>
      </c>
      <c r="J2492" s="18">
        <v>2</v>
      </c>
      <c r="K2492" s="12">
        <v>8.9543999999999997</v>
      </c>
    </row>
    <row r="2493" spans="1:11" x14ac:dyDescent="0.25">
      <c r="A2493" s="4">
        <v>43821</v>
      </c>
      <c r="B2493" s="19">
        <f t="shared" si="76"/>
        <v>2019</v>
      </c>
      <c r="C2493" s="19">
        <f t="shared" si="77"/>
        <v>12</v>
      </c>
      <c r="D2493" s="5" t="s">
        <v>2038</v>
      </c>
      <c r="E2493" s="5" t="s">
        <v>465</v>
      </c>
      <c r="F2493" s="5" t="s">
        <v>11</v>
      </c>
      <c r="G2493" s="5" t="s">
        <v>51</v>
      </c>
      <c r="H2493" s="5" t="s">
        <v>1745</v>
      </c>
      <c r="I2493" s="13">
        <v>22.783999999999999</v>
      </c>
      <c r="J2493" s="19">
        <v>1</v>
      </c>
      <c r="K2493" s="14">
        <v>4.8415999999999997</v>
      </c>
    </row>
    <row r="2494" spans="1:11" x14ac:dyDescent="0.25">
      <c r="A2494" s="2">
        <v>43821</v>
      </c>
      <c r="B2494" s="18">
        <f t="shared" si="76"/>
        <v>2019</v>
      </c>
      <c r="C2494" s="18">
        <f t="shared" si="77"/>
        <v>12</v>
      </c>
      <c r="D2494" s="3" t="s">
        <v>2038</v>
      </c>
      <c r="E2494" s="3" t="s">
        <v>465</v>
      </c>
      <c r="F2494" s="3" t="s">
        <v>11</v>
      </c>
      <c r="G2494" s="3" t="s">
        <v>51</v>
      </c>
      <c r="H2494" s="3" t="s">
        <v>2009</v>
      </c>
      <c r="I2494" s="11">
        <v>11.84</v>
      </c>
      <c r="J2494" s="18">
        <v>4</v>
      </c>
      <c r="K2494" s="12">
        <v>3.1080000000000001</v>
      </c>
    </row>
    <row r="2495" spans="1:11" x14ac:dyDescent="0.25">
      <c r="A2495" s="4">
        <v>43821</v>
      </c>
      <c r="B2495" s="19">
        <f t="shared" si="76"/>
        <v>2019</v>
      </c>
      <c r="C2495" s="19">
        <f t="shared" si="77"/>
        <v>12</v>
      </c>
      <c r="D2495" s="5" t="s">
        <v>1753</v>
      </c>
      <c r="E2495" s="5" t="s">
        <v>70</v>
      </c>
      <c r="F2495" s="5" t="s">
        <v>14</v>
      </c>
      <c r="G2495" s="5" t="s">
        <v>188</v>
      </c>
      <c r="H2495" s="5" t="s">
        <v>1900</v>
      </c>
      <c r="I2495" s="13">
        <v>11.56</v>
      </c>
      <c r="J2495" s="19">
        <v>1</v>
      </c>
      <c r="K2495" s="14">
        <v>3.7570000000000001</v>
      </c>
    </row>
    <row r="2496" spans="1:11" x14ac:dyDescent="0.25">
      <c r="A2496" s="2">
        <v>43822</v>
      </c>
      <c r="B2496" s="18">
        <f t="shared" si="76"/>
        <v>2019</v>
      </c>
      <c r="C2496" s="18">
        <f t="shared" si="77"/>
        <v>12</v>
      </c>
      <c r="D2496" s="3" t="s">
        <v>2039</v>
      </c>
      <c r="E2496" s="3" t="s">
        <v>883</v>
      </c>
      <c r="F2496" s="3" t="s">
        <v>14</v>
      </c>
      <c r="G2496" s="3" t="s">
        <v>36</v>
      </c>
      <c r="H2496" s="3" t="s">
        <v>561</v>
      </c>
      <c r="I2496" s="11">
        <v>99.96</v>
      </c>
      <c r="J2496" s="18">
        <v>4</v>
      </c>
      <c r="K2496" s="12">
        <v>899.98199999999997</v>
      </c>
    </row>
    <row r="2497" spans="1:11" x14ac:dyDescent="0.25">
      <c r="A2497" s="4">
        <v>43822</v>
      </c>
      <c r="B2497" s="19">
        <f t="shared" si="76"/>
        <v>2019</v>
      </c>
      <c r="C2497" s="19">
        <f t="shared" si="77"/>
        <v>12</v>
      </c>
      <c r="D2497" s="5" t="s">
        <v>1008</v>
      </c>
      <c r="E2497" s="5" t="s">
        <v>39</v>
      </c>
      <c r="F2497" s="5" t="s">
        <v>14</v>
      </c>
      <c r="G2497" s="5" t="s">
        <v>15</v>
      </c>
      <c r="H2497" s="5" t="s">
        <v>2040</v>
      </c>
      <c r="I2497" s="13">
        <v>1499.97</v>
      </c>
      <c r="J2497" s="19">
        <v>5</v>
      </c>
      <c r="K2497" s="14">
        <v>-374.99250000000001</v>
      </c>
    </row>
    <row r="2498" spans="1:11" x14ac:dyDescent="0.25">
      <c r="A2498" s="2">
        <v>43822</v>
      </c>
      <c r="B2498" s="18">
        <f t="shared" ref="B2498:B2561" si="78">YEAR(A2498)</f>
        <v>2019</v>
      </c>
      <c r="C2498" s="18">
        <f t="shared" ref="C2498:C2561" si="79">MONTH(A2498)</f>
        <v>12</v>
      </c>
      <c r="D2498" s="3" t="s">
        <v>414</v>
      </c>
      <c r="E2498" s="3" t="s">
        <v>70</v>
      </c>
      <c r="F2498" s="3" t="s">
        <v>19</v>
      </c>
      <c r="G2498" s="3" t="s">
        <v>20</v>
      </c>
      <c r="H2498" s="3" t="s">
        <v>1871</v>
      </c>
      <c r="I2498" s="11">
        <v>1117.92</v>
      </c>
      <c r="J2498" s="18">
        <v>4</v>
      </c>
      <c r="K2498" s="12">
        <v>55.896000000000001</v>
      </c>
    </row>
    <row r="2499" spans="1:11" x14ac:dyDescent="0.25">
      <c r="A2499" s="4">
        <v>43822</v>
      </c>
      <c r="B2499" s="19">
        <f t="shared" si="78"/>
        <v>2019</v>
      </c>
      <c r="C2499" s="19">
        <f t="shared" si="79"/>
        <v>12</v>
      </c>
      <c r="D2499" s="5" t="s">
        <v>574</v>
      </c>
      <c r="E2499" s="5" t="s">
        <v>181</v>
      </c>
      <c r="F2499" s="5" t="s">
        <v>11</v>
      </c>
      <c r="G2499" s="5" t="s">
        <v>51</v>
      </c>
      <c r="H2499" s="5" t="s">
        <v>1562</v>
      </c>
      <c r="I2499" s="13">
        <v>572.76</v>
      </c>
      <c r="J2499" s="19">
        <v>6</v>
      </c>
      <c r="K2499" s="14">
        <v>166.10040000000001</v>
      </c>
    </row>
    <row r="2500" spans="1:11" x14ac:dyDescent="0.25">
      <c r="A2500" s="2">
        <v>43822</v>
      </c>
      <c r="B2500" s="18">
        <f t="shared" si="78"/>
        <v>2019</v>
      </c>
      <c r="C2500" s="18">
        <f t="shared" si="79"/>
        <v>12</v>
      </c>
      <c r="D2500" s="3" t="s">
        <v>63</v>
      </c>
      <c r="E2500" s="3" t="s">
        <v>23</v>
      </c>
      <c r="F2500" s="3" t="s">
        <v>14</v>
      </c>
      <c r="G2500" s="3" t="s">
        <v>15</v>
      </c>
      <c r="H2500" s="3" t="s">
        <v>1079</v>
      </c>
      <c r="I2500" s="11">
        <v>453.57600000000002</v>
      </c>
      <c r="J2500" s="18">
        <v>3</v>
      </c>
      <c r="K2500" s="12">
        <v>39.687899999999999</v>
      </c>
    </row>
    <row r="2501" spans="1:11" x14ac:dyDescent="0.25">
      <c r="A2501" s="4">
        <v>43822</v>
      </c>
      <c r="B2501" s="19">
        <f t="shared" si="78"/>
        <v>2019</v>
      </c>
      <c r="C2501" s="19">
        <f t="shared" si="79"/>
        <v>12</v>
      </c>
      <c r="D2501" s="5" t="s">
        <v>63</v>
      </c>
      <c r="E2501" s="5" t="s">
        <v>23</v>
      </c>
      <c r="F2501" s="5" t="s">
        <v>14</v>
      </c>
      <c r="G2501" s="5" t="s">
        <v>15</v>
      </c>
      <c r="H2501" s="5" t="s">
        <v>1188</v>
      </c>
      <c r="I2501" s="13">
        <v>287.88</v>
      </c>
      <c r="J2501" s="19">
        <v>3</v>
      </c>
      <c r="K2501" s="14">
        <v>35.984999999999999</v>
      </c>
    </row>
    <row r="2502" spans="1:11" x14ac:dyDescent="0.25">
      <c r="A2502" s="2">
        <v>43822</v>
      </c>
      <c r="B2502" s="18">
        <f t="shared" si="78"/>
        <v>2019</v>
      </c>
      <c r="C2502" s="18">
        <f t="shared" si="79"/>
        <v>12</v>
      </c>
      <c r="D2502" s="3" t="s">
        <v>574</v>
      </c>
      <c r="E2502" s="3" t="s">
        <v>181</v>
      </c>
      <c r="F2502" s="3" t="s">
        <v>11</v>
      </c>
      <c r="G2502" s="3" t="s">
        <v>51</v>
      </c>
      <c r="H2502" s="3" t="s">
        <v>1562</v>
      </c>
      <c r="I2502" s="11">
        <v>286.38</v>
      </c>
      <c r="J2502" s="18">
        <v>3</v>
      </c>
      <c r="K2502" s="12">
        <v>83.050200000000004</v>
      </c>
    </row>
    <row r="2503" spans="1:11" x14ac:dyDescent="0.25">
      <c r="A2503" s="4">
        <v>43822</v>
      </c>
      <c r="B2503" s="19">
        <f t="shared" si="78"/>
        <v>2019</v>
      </c>
      <c r="C2503" s="19">
        <f t="shared" si="79"/>
        <v>12</v>
      </c>
      <c r="D2503" s="5" t="s">
        <v>414</v>
      </c>
      <c r="E2503" s="5" t="s">
        <v>70</v>
      </c>
      <c r="F2503" s="5" t="s">
        <v>19</v>
      </c>
      <c r="G2503" s="5" t="s">
        <v>20</v>
      </c>
      <c r="H2503" s="5" t="s">
        <v>1405</v>
      </c>
      <c r="I2503" s="13">
        <v>227.28</v>
      </c>
      <c r="J2503" s="19">
        <v>2</v>
      </c>
      <c r="K2503" s="14">
        <v>2.2728000000000002</v>
      </c>
    </row>
    <row r="2504" spans="1:11" x14ac:dyDescent="0.25">
      <c r="A2504" s="2">
        <v>43822</v>
      </c>
      <c r="B2504" s="18">
        <f t="shared" si="78"/>
        <v>2019</v>
      </c>
      <c r="C2504" s="18">
        <f t="shared" si="79"/>
        <v>12</v>
      </c>
      <c r="D2504" s="3" t="s">
        <v>38</v>
      </c>
      <c r="E2504" s="3" t="s">
        <v>164</v>
      </c>
      <c r="F2504" s="3" t="s">
        <v>11</v>
      </c>
      <c r="G2504" s="3" t="s">
        <v>12</v>
      </c>
      <c r="H2504" s="3" t="s">
        <v>654</v>
      </c>
      <c r="I2504" s="11">
        <v>141.37200000000001</v>
      </c>
      <c r="J2504" s="18">
        <v>2</v>
      </c>
      <c r="K2504" s="12">
        <v>-14.1372</v>
      </c>
    </row>
    <row r="2505" spans="1:11" x14ac:dyDescent="0.25">
      <c r="A2505" s="4">
        <v>43822</v>
      </c>
      <c r="B2505" s="19">
        <f t="shared" si="78"/>
        <v>2019</v>
      </c>
      <c r="C2505" s="19">
        <f t="shared" si="79"/>
        <v>12</v>
      </c>
      <c r="D2505" s="5" t="s">
        <v>63</v>
      </c>
      <c r="E2505" s="5" t="s">
        <v>23</v>
      </c>
      <c r="F2505" s="5" t="s">
        <v>14</v>
      </c>
      <c r="G2505" s="5" t="s">
        <v>15</v>
      </c>
      <c r="H2505" s="5" t="s">
        <v>2041</v>
      </c>
      <c r="I2505" s="13">
        <v>131.88</v>
      </c>
      <c r="J2505" s="19">
        <v>3</v>
      </c>
      <c r="K2505" s="14">
        <v>14.836499999999999</v>
      </c>
    </row>
    <row r="2506" spans="1:11" x14ac:dyDescent="0.25">
      <c r="A2506" s="2">
        <v>43822</v>
      </c>
      <c r="B2506" s="18">
        <f t="shared" si="78"/>
        <v>2019</v>
      </c>
      <c r="C2506" s="18">
        <f t="shared" si="79"/>
        <v>12</v>
      </c>
      <c r="D2506" s="3" t="s">
        <v>414</v>
      </c>
      <c r="E2506" s="3" t="s">
        <v>70</v>
      </c>
      <c r="F2506" s="3" t="s">
        <v>19</v>
      </c>
      <c r="G2506" s="3" t="s">
        <v>86</v>
      </c>
      <c r="H2506" s="3" t="s">
        <v>176</v>
      </c>
      <c r="I2506" s="11">
        <v>61.96</v>
      </c>
      <c r="J2506" s="18">
        <v>2</v>
      </c>
      <c r="K2506" s="12">
        <v>30.360399999999998</v>
      </c>
    </row>
    <row r="2507" spans="1:11" x14ac:dyDescent="0.25">
      <c r="A2507" s="4">
        <v>43822</v>
      </c>
      <c r="B2507" s="19">
        <f t="shared" si="78"/>
        <v>2019</v>
      </c>
      <c r="C2507" s="19">
        <f t="shared" si="79"/>
        <v>12</v>
      </c>
      <c r="D2507" s="5" t="s">
        <v>414</v>
      </c>
      <c r="E2507" s="5" t="s">
        <v>70</v>
      </c>
      <c r="F2507" s="5" t="s">
        <v>19</v>
      </c>
      <c r="G2507" s="5" t="s">
        <v>53</v>
      </c>
      <c r="H2507" s="5" t="s">
        <v>637</v>
      </c>
      <c r="I2507" s="13">
        <v>47.9</v>
      </c>
      <c r="J2507" s="19">
        <v>1</v>
      </c>
      <c r="K2507" s="14">
        <v>22.992000000000001</v>
      </c>
    </row>
    <row r="2508" spans="1:11" x14ac:dyDescent="0.25">
      <c r="A2508" s="2">
        <v>43822</v>
      </c>
      <c r="B2508" s="18">
        <f t="shared" si="78"/>
        <v>2019</v>
      </c>
      <c r="C2508" s="18">
        <f t="shared" si="79"/>
        <v>12</v>
      </c>
      <c r="D2508" s="3" t="s">
        <v>63</v>
      </c>
      <c r="E2508" s="3" t="s">
        <v>23</v>
      </c>
      <c r="F2508" s="3" t="s">
        <v>19</v>
      </c>
      <c r="G2508" s="3" t="s">
        <v>127</v>
      </c>
      <c r="H2508" s="3" t="s">
        <v>1185</v>
      </c>
      <c r="I2508" s="11">
        <v>45.36</v>
      </c>
      <c r="J2508" s="18">
        <v>9</v>
      </c>
      <c r="K2508" s="12">
        <v>14.742000000000001</v>
      </c>
    </row>
    <row r="2509" spans="1:11" x14ac:dyDescent="0.25">
      <c r="A2509" s="4">
        <v>43822</v>
      </c>
      <c r="B2509" s="19">
        <f t="shared" si="78"/>
        <v>2019</v>
      </c>
      <c r="C2509" s="19">
        <f t="shared" si="79"/>
        <v>12</v>
      </c>
      <c r="D2509" s="5" t="s">
        <v>414</v>
      </c>
      <c r="E2509" s="5" t="s">
        <v>70</v>
      </c>
      <c r="F2509" s="5" t="s">
        <v>19</v>
      </c>
      <c r="G2509" s="5" t="s">
        <v>53</v>
      </c>
      <c r="H2509" s="5" t="s">
        <v>509</v>
      </c>
      <c r="I2509" s="13">
        <v>37.94</v>
      </c>
      <c r="J2509" s="19">
        <v>2</v>
      </c>
      <c r="K2509" s="14">
        <v>18.211200000000002</v>
      </c>
    </row>
    <row r="2510" spans="1:11" x14ac:dyDescent="0.25">
      <c r="A2510" s="2">
        <v>43822</v>
      </c>
      <c r="B2510" s="18">
        <f t="shared" si="78"/>
        <v>2019</v>
      </c>
      <c r="C2510" s="18">
        <f t="shared" si="79"/>
        <v>12</v>
      </c>
      <c r="D2510" s="3" t="s">
        <v>1228</v>
      </c>
      <c r="E2510" s="3" t="s">
        <v>365</v>
      </c>
      <c r="F2510" s="3" t="s">
        <v>19</v>
      </c>
      <c r="G2510" s="3" t="s">
        <v>116</v>
      </c>
      <c r="H2510" s="3" t="s">
        <v>288</v>
      </c>
      <c r="I2510" s="11">
        <v>24.85</v>
      </c>
      <c r="J2510" s="18">
        <v>7</v>
      </c>
      <c r="K2510" s="12">
        <v>11.679500000000001</v>
      </c>
    </row>
    <row r="2511" spans="1:11" x14ac:dyDescent="0.25">
      <c r="A2511" s="4">
        <v>43822</v>
      </c>
      <c r="B2511" s="19">
        <f t="shared" si="78"/>
        <v>2019</v>
      </c>
      <c r="C2511" s="19">
        <f t="shared" si="79"/>
        <v>12</v>
      </c>
      <c r="D2511" s="5" t="s">
        <v>414</v>
      </c>
      <c r="E2511" s="5" t="s">
        <v>70</v>
      </c>
      <c r="F2511" s="5" t="s">
        <v>19</v>
      </c>
      <c r="G2511" s="5" t="s">
        <v>40</v>
      </c>
      <c r="H2511" s="5" t="s">
        <v>2042</v>
      </c>
      <c r="I2511" s="13">
        <v>8.82</v>
      </c>
      <c r="J2511" s="19">
        <v>3</v>
      </c>
      <c r="K2511" s="14">
        <v>2.5577999999999999</v>
      </c>
    </row>
    <row r="2512" spans="1:11" x14ac:dyDescent="0.25">
      <c r="A2512" s="2">
        <v>43822</v>
      </c>
      <c r="B2512" s="18">
        <f t="shared" si="78"/>
        <v>2019</v>
      </c>
      <c r="C2512" s="18">
        <f t="shared" si="79"/>
        <v>12</v>
      </c>
      <c r="D2512" s="3" t="s">
        <v>1008</v>
      </c>
      <c r="E2512" s="3" t="s">
        <v>39</v>
      </c>
      <c r="F2512" s="3" t="s">
        <v>19</v>
      </c>
      <c r="G2512" s="3" t="s">
        <v>53</v>
      </c>
      <c r="H2512" s="3" t="s">
        <v>2043</v>
      </c>
      <c r="I2512" s="11">
        <v>7.968</v>
      </c>
      <c r="J2512" s="18">
        <v>2</v>
      </c>
      <c r="K2512" s="12">
        <v>2.6892</v>
      </c>
    </row>
    <row r="2513" spans="1:11" x14ac:dyDescent="0.25">
      <c r="A2513" s="4">
        <v>43822</v>
      </c>
      <c r="B2513" s="19">
        <f t="shared" si="78"/>
        <v>2019</v>
      </c>
      <c r="C2513" s="19">
        <f t="shared" si="79"/>
        <v>12</v>
      </c>
      <c r="D2513" s="5" t="s">
        <v>50</v>
      </c>
      <c r="E2513" s="5" t="s">
        <v>67</v>
      </c>
      <c r="F2513" s="5" t="s">
        <v>19</v>
      </c>
      <c r="G2513" s="5" t="s">
        <v>32</v>
      </c>
      <c r="H2513" s="5" t="s">
        <v>1991</v>
      </c>
      <c r="I2513" s="13">
        <v>5.5529999999999999</v>
      </c>
      <c r="J2513" s="19">
        <v>3</v>
      </c>
      <c r="K2513" s="14">
        <v>-4.0721999999999996</v>
      </c>
    </row>
    <row r="2514" spans="1:11" x14ac:dyDescent="0.25">
      <c r="A2514" s="2">
        <v>43822</v>
      </c>
      <c r="B2514" s="18">
        <f t="shared" si="78"/>
        <v>2019</v>
      </c>
      <c r="C2514" s="18">
        <f t="shared" si="79"/>
        <v>12</v>
      </c>
      <c r="D2514" s="3" t="s">
        <v>414</v>
      </c>
      <c r="E2514" s="3" t="s">
        <v>70</v>
      </c>
      <c r="F2514" s="3" t="s">
        <v>19</v>
      </c>
      <c r="G2514" s="3" t="s">
        <v>40</v>
      </c>
      <c r="H2514" s="3" t="s">
        <v>2044</v>
      </c>
      <c r="I2514" s="11">
        <v>4.2</v>
      </c>
      <c r="J2514" s="18">
        <v>2</v>
      </c>
      <c r="K2514" s="12">
        <v>1.1759999999999999</v>
      </c>
    </row>
    <row r="2515" spans="1:11" x14ac:dyDescent="0.25">
      <c r="A2515" s="4">
        <v>43822</v>
      </c>
      <c r="B2515" s="19">
        <f t="shared" si="78"/>
        <v>2019</v>
      </c>
      <c r="C2515" s="19">
        <f t="shared" si="79"/>
        <v>12</v>
      </c>
      <c r="D2515" s="5" t="s">
        <v>63</v>
      </c>
      <c r="E2515" s="5" t="s">
        <v>23</v>
      </c>
      <c r="F2515" s="5" t="s">
        <v>11</v>
      </c>
      <c r="G2515" s="5" t="s">
        <v>51</v>
      </c>
      <c r="H2515" s="5" t="s">
        <v>650</v>
      </c>
      <c r="I2515" s="13">
        <v>2.3279999999999998</v>
      </c>
      <c r="J2515" s="19">
        <v>2</v>
      </c>
      <c r="K2515" s="14">
        <v>-0.75660000000000005</v>
      </c>
    </row>
    <row r="2516" spans="1:11" x14ac:dyDescent="0.25">
      <c r="A2516" s="2">
        <v>43823</v>
      </c>
      <c r="B2516" s="18">
        <f t="shared" si="78"/>
        <v>2019</v>
      </c>
      <c r="C2516" s="18">
        <f t="shared" si="79"/>
        <v>12</v>
      </c>
      <c r="D2516" s="3" t="s">
        <v>653</v>
      </c>
      <c r="E2516" s="3" t="s">
        <v>94</v>
      </c>
      <c r="F2516" s="3" t="s">
        <v>11</v>
      </c>
      <c r="G2516" s="3" t="s">
        <v>51</v>
      </c>
      <c r="H2516" s="3" t="s">
        <v>2045</v>
      </c>
      <c r="I2516" s="11">
        <v>799.56</v>
      </c>
      <c r="J2516" s="18">
        <v>9</v>
      </c>
      <c r="K2516" s="12">
        <v>207.88560000000001</v>
      </c>
    </row>
    <row r="2517" spans="1:11" x14ac:dyDescent="0.25">
      <c r="A2517" s="4">
        <v>43823</v>
      </c>
      <c r="B2517" s="19">
        <f t="shared" si="78"/>
        <v>2019</v>
      </c>
      <c r="C2517" s="19">
        <f t="shared" si="79"/>
        <v>12</v>
      </c>
      <c r="D2517" s="5" t="s">
        <v>628</v>
      </c>
      <c r="E2517" s="5" t="s">
        <v>35</v>
      </c>
      <c r="F2517" s="5" t="s">
        <v>19</v>
      </c>
      <c r="G2517" s="5" t="s">
        <v>20</v>
      </c>
      <c r="H2517" s="5" t="s">
        <v>236</v>
      </c>
      <c r="I2517" s="13">
        <v>540.048</v>
      </c>
      <c r="J2517" s="19">
        <v>3</v>
      </c>
      <c r="K2517" s="14">
        <v>-47.254199999999997</v>
      </c>
    </row>
    <row r="2518" spans="1:11" x14ac:dyDescent="0.25">
      <c r="A2518" s="2">
        <v>43823</v>
      </c>
      <c r="B2518" s="18">
        <f t="shared" si="78"/>
        <v>2019</v>
      </c>
      <c r="C2518" s="18">
        <f t="shared" si="79"/>
        <v>12</v>
      </c>
      <c r="D2518" s="3" t="s">
        <v>628</v>
      </c>
      <c r="E2518" s="3" t="s">
        <v>35</v>
      </c>
      <c r="F2518" s="3" t="s">
        <v>14</v>
      </c>
      <c r="G2518" s="3" t="s">
        <v>24</v>
      </c>
      <c r="H2518" s="3" t="s">
        <v>368</v>
      </c>
      <c r="I2518" s="11">
        <v>255.68</v>
      </c>
      <c r="J2518" s="18">
        <v>8</v>
      </c>
      <c r="K2518" s="12">
        <v>76.703999999999994</v>
      </c>
    </row>
    <row r="2519" spans="1:11" x14ac:dyDescent="0.25">
      <c r="A2519" s="4">
        <v>43823</v>
      </c>
      <c r="B2519" s="19">
        <f t="shared" si="78"/>
        <v>2019</v>
      </c>
      <c r="C2519" s="19">
        <f t="shared" si="79"/>
        <v>12</v>
      </c>
      <c r="D2519" s="5" t="s">
        <v>1403</v>
      </c>
      <c r="E2519" s="5" t="s">
        <v>94</v>
      </c>
      <c r="F2519" s="5" t="s">
        <v>14</v>
      </c>
      <c r="G2519" s="5" t="s">
        <v>15</v>
      </c>
      <c r="H2519" s="5" t="s">
        <v>2046</v>
      </c>
      <c r="I2519" s="13">
        <v>197.97</v>
      </c>
      <c r="J2519" s="19">
        <v>3</v>
      </c>
      <c r="K2519" s="14">
        <v>53.451900000000002</v>
      </c>
    </row>
    <row r="2520" spans="1:11" x14ac:dyDescent="0.25">
      <c r="A2520" s="2">
        <v>43823</v>
      </c>
      <c r="B2520" s="18">
        <f t="shared" si="78"/>
        <v>2019</v>
      </c>
      <c r="C2520" s="18">
        <f t="shared" si="79"/>
        <v>12</v>
      </c>
      <c r="D2520" s="3" t="s">
        <v>2047</v>
      </c>
      <c r="E2520" s="3" t="s">
        <v>18</v>
      </c>
      <c r="F2520" s="3" t="s">
        <v>11</v>
      </c>
      <c r="G2520" s="3" t="s">
        <v>51</v>
      </c>
      <c r="H2520" s="3" t="s">
        <v>2048</v>
      </c>
      <c r="I2520" s="11">
        <v>43.96</v>
      </c>
      <c r="J2520" s="18">
        <v>7</v>
      </c>
      <c r="K2520" s="12">
        <v>18.463200000000001</v>
      </c>
    </row>
    <row r="2521" spans="1:11" x14ac:dyDescent="0.25">
      <c r="A2521" s="4">
        <v>43823</v>
      </c>
      <c r="B2521" s="19">
        <f t="shared" si="78"/>
        <v>2019</v>
      </c>
      <c r="C2521" s="19">
        <f t="shared" si="79"/>
        <v>12</v>
      </c>
      <c r="D2521" s="5" t="s">
        <v>2047</v>
      </c>
      <c r="E2521" s="5" t="s">
        <v>18</v>
      </c>
      <c r="F2521" s="5" t="s">
        <v>19</v>
      </c>
      <c r="G2521" s="5" t="s">
        <v>86</v>
      </c>
      <c r="H2521" s="5" t="s">
        <v>176</v>
      </c>
      <c r="I2521" s="13">
        <v>39.76</v>
      </c>
      <c r="J2521" s="19">
        <v>7</v>
      </c>
      <c r="K2521" s="14">
        <v>18.687200000000001</v>
      </c>
    </row>
    <row r="2522" spans="1:11" x14ac:dyDescent="0.25">
      <c r="A2522" s="2">
        <v>43823</v>
      </c>
      <c r="B2522" s="18">
        <f t="shared" si="78"/>
        <v>2019</v>
      </c>
      <c r="C2522" s="18">
        <f t="shared" si="79"/>
        <v>12</v>
      </c>
      <c r="D2522" s="3" t="s">
        <v>275</v>
      </c>
      <c r="E2522" s="3" t="s">
        <v>70</v>
      </c>
      <c r="F2522" s="3" t="s">
        <v>19</v>
      </c>
      <c r="G2522" s="3" t="s">
        <v>53</v>
      </c>
      <c r="H2522" s="3" t="s">
        <v>802</v>
      </c>
      <c r="I2522" s="11">
        <v>33.4</v>
      </c>
      <c r="J2522" s="18">
        <v>5</v>
      </c>
      <c r="K2522" s="12">
        <v>16.032</v>
      </c>
    </row>
    <row r="2523" spans="1:11" x14ac:dyDescent="0.25">
      <c r="A2523" s="4">
        <v>43823</v>
      </c>
      <c r="B2523" s="19">
        <f t="shared" si="78"/>
        <v>2019</v>
      </c>
      <c r="C2523" s="19">
        <f t="shared" si="79"/>
        <v>12</v>
      </c>
      <c r="D2523" s="5" t="s">
        <v>628</v>
      </c>
      <c r="E2523" s="5" t="s">
        <v>35</v>
      </c>
      <c r="F2523" s="5" t="s">
        <v>19</v>
      </c>
      <c r="G2523" s="5" t="s">
        <v>32</v>
      </c>
      <c r="H2523" s="5" t="s">
        <v>2049</v>
      </c>
      <c r="I2523" s="13">
        <v>27.882000000000001</v>
      </c>
      <c r="J2523" s="19">
        <v>3</v>
      </c>
      <c r="K2523" s="14">
        <v>-20.4468</v>
      </c>
    </row>
    <row r="2524" spans="1:11" x14ac:dyDescent="0.25">
      <c r="A2524" s="2">
        <v>43824</v>
      </c>
      <c r="B2524" s="18">
        <f t="shared" si="78"/>
        <v>2019</v>
      </c>
      <c r="C2524" s="18">
        <f t="shared" si="79"/>
        <v>12</v>
      </c>
      <c r="D2524" s="3" t="s">
        <v>705</v>
      </c>
      <c r="E2524" s="3" t="s">
        <v>18</v>
      </c>
      <c r="F2524" s="3" t="s">
        <v>14</v>
      </c>
      <c r="G2524" s="3" t="s">
        <v>15</v>
      </c>
      <c r="H2524" s="3" t="s">
        <v>2050</v>
      </c>
      <c r="I2524" s="11">
        <v>575.94399999999996</v>
      </c>
      <c r="J2524" s="18">
        <v>7</v>
      </c>
      <c r="K2524" s="12">
        <v>257.59440000000001</v>
      </c>
    </row>
    <row r="2525" spans="1:11" x14ac:dyDescent="0.25">
      <c r="A2525" s="4">
        <v>43824</v>
      </c>
      <c r="B2525" s="19">
        <f t="shared" si="78"/>
        <v>2019</v>
      </c>
      <c r="C2525" s="19">
        <f t="shared" si="79"/>
        <v>12</v>
      </c>
      <c r="D2525" s="5" t="s">
        <v>1189</v>
      </c>
      <c r="E2525" s="5" t="s">
        <v>94</v>
      </c>
      <c r="F2525" s="5" t="s">
        <v>11</v>
      </c>
      <c r="G2525" s="5" t="s">
        <v>112</v>
      </c>
      <c r="H2525" s="5" t="s">
        <v>1241</v>
      </c>
      <c r="I2525" s="13">
        <v>1563.056</v>
      </c>
      <c r="J2525" s="19">
        <v>8</v>
      </c>
      <c r="K2525" s="14">
        <v>313.26240000000001</v>
      </c>
    </row>
    <row r="2526" spans="1:11" x14ac:dyDescent="0.25">
      <c r="A2526" s="2">
        <v>43824</v>
      </c>
      <c r="B2526" s="18">
        <f t="shared" si="78"/>
        <v>2019</v>
      </c>
      <c r="C2526" s="18">
        <f t="shared" si="79"/>
        <v>12</v>
      </c>
      <c r="D2526" s="3" t="s">
        <v>1189</v>
      </c>
      <c r="E2526" s="3" t="s">
        <v>70</v>
      </c>
      <c r="F2526" s="3" t="s">
        <v>11</v>
      </c>
      <c r="G2526" s="3" t="s">
        <v>30</v>
      </c>
      <c r="H2526" s="3" t="s">
        <v>1437</v>
      </c>
      <c r="I2526" s="11">
        <v>1747.25</v>
      </c>
      <c r="J2526" s="18">
        <v>5</v>
      </c>
      <c r="K2526" s="12">
        <v>629.01</v>
      </c>
    </row>
    <row r="2527" spans="1:11" x14ac:dyDescent="0.25">
      <c r="A2527" s="4">
        <v>43824</v>
      </c>
      <c r="B2527" s="19">
        <f t="shared" si="78"/>
        <v>2019</v>
      </c>
      <c r="C2527" s="19">
        <f t="shared" si="79"/>
        <v>12</v>
      </c>
      <c r="D2527" s="5" t="s">
        <v>1283</v>
      </c>
      <c r="E2527" s="5" t="s">
        <v>94</v>
      </c>
      <c r="F2527" s="5" t="s">
        <v>11</v>
      </c>
      <c r="G2527" s="5" t="s">
        <v>112</v>
      </c>
      <c r="H2527" s="5" t="s">
        <v>400</v>
      </c>
      <c r="I2527" s="13">
        <v>866.64599999999996</v>
      </c>
      <c r="J2527" s="19">
        <v>3</v>
      </c>
      <c r="K2527" s="14">
        <v>173.32919999999999</v>
      </c>
    </row>
    <row r="2528" spans="1:11" x14ac:dyDescent="0.25">
      <c r="A2528" s="2">
        <v>43824</v>
      </c>
      <c r="B2528" s="18">
        <f t="shared" si="78"/>
        <v>2019</v>
      </c>
      <c r="C2528" s="18">
        <f t="shared" si="79"/>
        <v>12</v>
      </c>
      <c r="D2528" s="3" t="s">
        <v>1189</v>
      </c>
      <c r="E2528" s="3" t="s">
        <v>70</v>
      </c>
      <c r="F2528" s="3" t="s">
        <v>11</v>
      </c>
      <c r="G2528" s="3" t="s">
        <v>112</v>
      </c>
      <c r="H2528" s="3" t="s">
        <v>542</v>
      </c>
      <c r="I2528" s="11">
        <v>698.35199999999998</v>
      </c>
      <c r="J2528" s="18">
        <v>3</v>
      </c>
      <c r="K2528" s="12">
        <v>52.376399999999997</v>
      </c>
    </row>
    <row r="2529" spans="1:11" x14ac:dyDescent="0.25">
      <c r="A2529" s="4">
        <v>43824</v>
      </c>
      <c r="B2529" s="19">
        <f t="shared" si="78"/>
        <v>2019</v>
      </c>
      <c r="C2529" s="19">
        <f t="shared" si="79"/>
        <v>12</v>
      </c>
      <c r="D2529" s="5" t="s">
        <v>2051</v>
      </c>
      <c r="E2529" s="5" t="s">
        <v>589</v>
      </c>
      <c r="F2529" s="5" t="s">
        <v>14</v>
      </c>
      <c r="G2529" s="5" t="s">
        <v>24</v>
      </c>
      <c r="H2529" s="5" t="s">
        <v>1751</v>
      </c>
      <c r="I2529" s="13">
        <v>399.98</v>
      </c>
      <c r="J2529" s="19">
        <v>2</v>
      </c>
      <c r="K2529" s="14">
        <v>171.9914</v>
      </c>
    </row>
    <row r="2530" spans="1:11" x14ac:dyDescent="0.25">
      <c r="A2530" s="2">
        <v>43824</v>
      </c>
      <c r="B2530" s="18">
        <f t="shared" si="78"/>
        <v>2019</v>
      </c>
      <c r="C2530" s="18">
        <f t="shared" si="79"/>
        <v>12</v>
      </c>
      <c r="D2530" s="3" t="s">
        <v>2051</v>
      </c>
      <c r="E2530" s="3" t="s">
        <v>589</v>
      </c>
      <c r="F2530" s="3" t="s">
        <v>11</v>
      </c>
      <c r="G2530" s="3" t="s">
        <v>51</v>
      </c>
      <c r="H2530" s="3" t="s">
        <v>1767</v>
      </c>
      <c r="I2530" s="11">
        <v>343.85</v>
      </c>
      <c r="J2530" s="18">
        <v>5</v>
      </c>
      <c r="K2530" s="12">
        <v>137.54</v>
      </c>
    </row>
    <row r="2531" spans="1:11" x14ac:dyDescent="0.25">
      <c r="A2531" s="4">
        <v>43824</v>
      </c>
      <c r="B2531" s="19">
        <f t="shared" si="78"/>
        <v>2019</v>
      </c>
      <c r="C2531" s="19">
        <f t="shared" si="79"/>
        <v>12</v>
      </c>
      <c r="D2531" s="5" t="s">
        <v>1283</v>
      </c>
      <c r="E2531" s="5" t="s">
        <v>94</v>
      </c>
      <c r="F2531" s="5" t="s">
        <v>11</v>
      </c>
      <c r="G2531" s="5" t="s">
        <v>30</v>
      </c>
      <c r="H2531" s="5" t="s">
        <v>1932</v>
      </c>
      <c r="I2531" s="13">
        <v>313.17599999999999</v>
      </c>
      <c r="J2531" s="19">
        <v>2</v>
      </c>
      <c r="K2531" s="14">
        <v>-120.0508</v>
      </c>
    </row>
    <row r="2532" spans="1:11" x14ac:dyDescent="0.25">
      <c r="A2532" s="2">
        <v>43824</v>
      </c>
      <c r="B2532" s="18">
        <f t="shared" si="78"/>
        <v>2019</v>
      </c>
      <c r="C2532" s="18">
        <f t="shared" si="79"/>
        <v>12</v>
      </c>
      <c r="D2532" s="3" t="s">
        <v>2052</v>
      </c>
      <c r="E2532" s="3" t="s">
        <v>198</v>
      </c>
      <c r="F2532" s="3" t="s">
        <v>14</v>
      </c>
      <c r="G2532" s="3" t="s">
        <v>188</v>
      </c>
      <c r="H2532" s="3" t="s">
        <v>984</v>
      </c>
      <c r="I2532" s="11">
        <v>269.97000000000003</v>
      </c>
      <c r="J2532" s="18">
        <v>2</v>
      </c>
      <c r="K2532" s="12">
        <v>-386.95699999999999</v>
      </c>
    </row>
    <row r="2533" spans="1:11" x14ac:dyDescent="0.25">
      <c r="A2533" s="4">
        <v>43824</v>
      </c>
      <c r="B2533" s="19">
        <f t="shared" si="78"/>
        <v>2019</v>
      </c>
      <c r="C2533" s="19">
        <f t="shared" si="79"/>
        <v>12</v>
      </c>
      <c r="D2533" s="5" t="s">
        <v>705</v>
      </c>
      <c r="E2533" s="5" t="s">
        <v>18</v>
      </c>
      <c r="F2533" s="5" t="s">
        <v>14</v>
      </c>
      <c r="G2533" s="5" t="s">
        <v>24</v>
      </c>
      <c r="H2533" s="5" t="s">
        <v>804</v>
      </c>
      <c r="I2533" s="13">
        <v>254.24</v>
      </c>
      <c r="J2533" s="19">
        <v>7</v>
      </c>
      <c r="K2533" s="14">
        <v>76.272000000000006</v>
      </c>
    </row>
    <row r="2534" spans="1:11" x14ac:dyDescent="0.25">
      <c r="A2534" s="2">
        <v>43824</v>
      </c>
      <c r="B2534" s="18">
        <f t="shared" si="78"/>
        <v>2019</v>
      </c>
      <c r="C2534" s="18">
        <f t="shared" si="79"/>
        <v>12</v>
      </c>
      <c r="D2534" s="3" t="s">
        <v>2051</v>
      </c>
      <c r="E2534" s="3" t="s">
        <v>589</v>
      </c>
      <c r="F2534" s="3" t="s">
        <v>19</v>
      </c>
      <c r="G2534" s="3" t="s">
        <v>53</v>
      </c>
      <c r="H2534" s="3" t="s">
        <v>2053</v>
      </c>
      <c r="I2534" s="11">
        <v>106.32</v>
      </c>
      <c r="J2534" s="18">
        <v>3</v>
      </c>
      <c r="K2534" s="12">
        <v>49.970399999999998</v>
      </c>
    </row>
    <row r="2535" spans="1:11" x14ac:dyDescent="0.25">
      <c r="A2535" s="4">
        <v>43824</v>
      </c>
      <c r="B2535" s="19">
        <f t="shared" si="78"/>
        <v>2019</v>
      </c>
      <c r="C2535" s="19">
        <f t="shared" si="79"/>
        <v>12</v>
      </c>
      <c r="D2535" s="5" t="s">
        <v>2052</v>
      </c>
      <c r="E2535" s="5" t="s">
        <v>198</v>
      </c>
      <c r="F2535" s="5" t="s">
        <v>14</v>
      </c>
      <c r="G2535" s="5" t="s">
        <v>24</v>
      </c>
      <c r="H2535" s="5" t="s">
        <v>2054</v>
      </c>
      <c r="I2535" s="13">
        <v>100.8</v>
      </c>
      <c r="J2535" s="19">
        <v>2</v>
      </c>
      <c r="K2535" s="14">
        <v>21.42</v>
      </c>
    </row>
    <row r="2536" spans="1:11" x14ac:dyDescent="0.25">
      <c r="A2536" s="2">
        <v>43824</v>
      </c>
      <c r="B2536" s="18">
        <f t="shared" si="78"/>
        <v>2019</v>
      </c>
      <c r="C2536" s="18">
        <f t="shared" si="79"/>
        <v>12</v>
      </c>
      <c r="D2536" s="3" t="s">
        <v>2052</v>
      </c>
      <c r="E2536" s="3" t="s">
        <v>198</v>
      </c>
      <c r="F2536" s="3" t="s">
        <v>11</v>
      </c>
      <c r="G2536" s="3" t="s">
        <v>112</v>
      </c>
      <c r="H2536" s="3" t="s">
        <v>252</v>
      </c>
      <c r="I2536" s="11">
        <v>47.968000000000004</v>
      </c>
      <c r="J2536" s="18">
        <v>2</v>
      </c>
      <c r="K2536" s="12">
        <v>4.1971999999999996</v>
      </c>
    </row>
    <row r="2537" spans="1:11" x14ac:dyDescent="0.25">
      <c r="A2537" s="4">
        <v>43824</v>
      </c>
      <c r="B2537" s="19">
        <f t="shared" si="78"/>
        <v>2019</v>
      </c>
      <c r="C2537" s="19">
        <f t="shared" si="79"/>
        <v>12</v>
      </c>
      <c r="D2537" s="5" t="s">
        <v>705</v>
      </c>
      <c r="E2537" s="5" t="s">
        <v>18</v>
      </c>
      <c r="F2537" s="5" t="s">
        <v>19</v>
      </c>
      <c r="G2537" s="5" t="s">
        <v>53</v>
      </c>
      <c r="H2537" s="5" t="s">
        <v>466</v>
      </c>
      <c r="I2537" s="13">
        <v>45.36</v>
      </c>
      <c r="J2537" s="19">
        <v>7</v>
      </c>
      <c r="K2537" s="14">
        <v>21.7728</v>
      </c>
    </row>
    <row r="2538" spans="1:11" x14ac:dyDescent="0.25">
      <c r="A2538" s="2">
        <v>43824</v>
      </c>
      <c r="B2538" s="18">
        <f t="shared" si="78"/>
        <v>2019</v>
      </c>
      <c r="C2538" s="18">
        <f t="shared" si="79"/>
        <v>12</v>
      </c>
      <c r="D2538" s="3" t="s">
        <v>2052</v>
      </c>
      <c r="E2538" s="3" t="s">
        <v>198</v>
      </c>
      <c r="F2538" s="3" t="s">
        <v>14</v>
      </c>
      <c r="G2538" s="3" t="s">
        <v>24</v>
      </c>
      <c r="H2538" s="3" t="s">
        <v>25</v>
      </c>
      <c r="I2538" s="11">
        <v>45.12</v>
      </c>
      <c r="J2538" s="18">
        <v>3</v>
      </c>
      <c r="K2538" s="12">
        <v>-7.8959999999999999</v>
      </c>
    </row>
    <row r="2539" spans="1:11" x14ac:dyDescent="0.25">
      <c r="A2539" s="4">
        <v>43824</v>
      </c>
      <c r="B2539" s="19">
        <f t="shared" si="78"/>
        <v>2019</v>
      </c>
      <c r="C2539" s="19">
        <f t="shared" si="79"/>
        <v>12</v>
      </c>
      <c r="D2539" s="5" t="s">
        <v>2052</v>
      </c>
      <c r="E2539" s="5" t="s">
        <v>198</v>
      </c>
      <c r="F2539" s="5" t="s">
        <v>11</v>
      </c>
      <c r="G2539" s="5" t="s">
        <v>30</v>
      </c>
      <c r="H2539" s="5" t="s">
        <v>980</v>
      </c>
      <c r="I2539" s="13">
        <v>35.445</v>
      </c>
      <c r="J2539" s="19">
        <v>1</v>
      </c>
      <c r="K2539" s="14">
        <v>-24.102599999999999</v>
      </c>
    </row>
    <row r="2540" spans="1:11" x14ac:dyDescent="0.25">
      <c r="A2540" s="2">
        <v>43824</v>
      </c>
      <c r="B2540" s="18">
        <f t="shared" si="78"/>
        <v>2019</v>
      </c>
      <c r="C2540" s="18">
        <f t="shared" si="79"/>
        <v>12</v>
      </c>
      <c r="D2540" s="3" t="s">
        <v>354</v>
      </c>
      <c r="E2540" s="3" t="s">
        <v>94</v>
      </c>
      <c r="F2540" s="3" t="s">
        <v>19</v>
      </c>
      <c r="G2540" s="3" t="s">
        <v>32</v>
      </c>
      <c r="H2540" s="3" t="s">
        <v>1141</v>
      </c>
      <c r="I2540" s="11">
        <v>33.567999999999998</v>
      </c>
      <c r="J2540" s="18">
        <v>2</v>
      </c>
      <c r="K2540" s="12">
        <v>11.748799999999999</v>
      </c>
    </row>
    <row r="2541" spans="1:11" x14ac:dyDescent="0.25">
      <c r="A2541" s="4">
        <v>43824</v>
      </c>
      <c r="B2541" s="19">
        <f t="shared" si="78"/>
        <v>2019</v>
      </c>
      <c r="C2541" s="19">
        <f t="shared" si="79"/>
        <v>12</v>
      </c>
      <c r="D2541" s="5" t="s">
        <v>2055</v>
      </c>
      <c r="E2541" s="5" t="s">
        <v>104</v>
      </c>
      <c r="F2541" s="5" t="s">
        <v>11</v>
      </c>
      <c r="G2541" s="5" t="s">
        <v>51</v>
      </c>
      <c r="H2541" s="5" t="s">
        <v>2056</v>
      </c>
      <c r="I2541" s="13">
        <v>21.12</v>
      </c>
      <c r="J2541" s="19">
        <v>4</v>
      </c>
      <c r="K2541" s="14">
        <v>6.5472000000000001</v>
      </c>
    </row>
    <row r="2542" spans="1:11" x14ac:dyDescent="0.25">
      <c r="A2542" s="2">
        <v>43824</v>
      </c>
      <c r="B2542" s="18">
        <f t="shared" si="78"/>
        <v>2019</v>
      </c>
      <c r="C2542" s="18">
        <f t="shared" si="79"/>
        <v>12</v>
      </c>
      <c r="D2542" s="3" t="s">
        <v>2051</v>
      </c>
      <c r="E2542" s="3" t="s">
        <v>589</v>
      </c>
      <c r="F2542" s="3" t="s">
        <v>19</v>
      </c>
      <c r="G2542" s="3" t="s">
        <v>40</v>
      </c>
      <c r="H2542" s="3" t="s">
        <v>2057</v>
      </c>
      <c r="I2542" s="11">
        <v>19.89</v>
      </c>
      <c r="J2542" s="18">
        <v>9</v>
      </c>
      <c r="K2542" s="12">
        <v>5.3703000000000003</v>
      </c>
    </row>
    <row r="2543" spans="1:11" x14ac:dyDescent="0.25">
      <c r="A2543" s="4">
        <v>43825</v>
      </c>
      <c r="B2543" s="19">
        <f t="shared" si="78"/>
        <v>2019</v>
      </c>
      <c r="C2543" s="19">
        <f t="shared" si="79"/>
        <v>12</v>
      </c>
      <c r="D2543" s="5" t="s">
        <v>393</v>
      </c>
      <c r="E2543" s="5" t="s">
        <v>18</v>
      </c>
      <c r="F2543" s="5" t="s">
        <v>11</v>
      </c>
      <c r="G2543" s="5" t="s">
        <v>30</v>
      </c>
      <c r="H2543" s="5" t="s">
        <v>1027</v>
      </c>
      <c r="I2543" s="13">
        <v>902.71199999999999</v>
      </c>
      <c r="J2543" s="19">
        <v>3</v>
      </c>
      <c r="K2543" s="14">
        <v>33.851700000000001</v>
      </c>
    </row>
    <row r="2544" spans="1:11" x14ac:dyDescent="0.25">
      <c r="A2544" s="2">
        <v>43825</v>
      </c>
      <c r="B2544" s="18">
        <f t="shared" si="78"/>
        <v>2019</v>
      </c>
      <c r="C2544" s="18">
        <f t="shared" si="79"/>
        <v>12</v>
      </c>
      <c r="D2544" s="3" t="s">
        <v>393</v>
      </c>
      <c r="E2544" s="3" t="s">
        <v>18</v>
      </c>
      <c r="F2544" s="3" t="s">
        <v>14</v>
      </c>
      <c r="G2544" s="3" t="s">
        <v>15</v>
      </c>
      <c r="H2544" s="3" t="s">
        <v>1331</v>
      </c>
      <c r="I2544" s="11">
        <v>302.38400000000001</v>
      </c>
      <c r="J2544" s="18">
        <v>2</v>
      </c>
      <c r="K2544" s="12">
        <v>30.238399999999999</v>
      </c>
    </row>
    <row r="2545" spans="1:11" x14ac:dyDescent="0.25">
      <c r="A2545" s="4">
        <v>43825</v>
      </c>
      <c r="B2545" s="19">
        <f t="shared" si="78"/>
        <v>2019</v>
      </c>
      <c r="C2545" s="19">
        <f t="shared" si="79"/>
        <v>12</v>
      </c>
      <c r="D2545" s="5" t="s">
        <v>1843</v>
      </c>
      <c r="E2545" s="5" t="s">
        <v>85</v>
      </c>
      <c r="F2545" s="5" t="s">
        <v>11</v>
      </c>
      <c r="G2545" s="5" t="s">
        <v>112</v>
      </c>
      <c r="H2545" s="5" t="s">
        <v>1068</v>
      </c>
      <c r="I2545" s="13">
        <v>212.94</v>
      </c>
      <c r="J2545" s="19">
        <v>3</v>
      </c>
      <c r="K2545" s="14">
        <v>25.552800000000001</v>
      </c>
    </row>
    <row r="2546" spans="1:11" x14ac:dyDescent="0.25">
      <c r="A2546" s="2">
        <v>43825</v>
      </c>
      <c r="B2546" s="18">
        <f t="shared" si="78"/>
        <v>2019</v>
      </c>
      <c r="C2546" s="18">
        <f t="shared" si="79"/>
        <v>12</v>
      </c>
      <c r="D2546" s="3" t="s">
        <v>393</v>
      </c>
      <c r="E2546" s="3" t="s">
        <v>18</v>
      </c>
      <c r="F2546" s="3" t="s">
        <v>11</v>
      </c>
      <c r="G2546" s="3" t="s">
        <v>112</v>
      </c>
      <c r="H2546" s="3" t="s">
        <v>1143</v>
      </c>
      <c r="I2546" s="11">
        <v>146.352</v>
      </c>
      <c r="J2546" s="18">
        <v>3</v>
      </c>
      <c r="K2546" s="12">
        <v>-5.4882</v>
      </c>
    </row>
    <row r="2547" spans="1:11" x14ac:dyDescent="0.25">
      <c r="A2547" s="4">
        <v>43825</v>
      </c>
      <c r="B2547" s="19">
        <f t="shared" si="78"/>
        <v>2019</v>
      </c>
      <c r="C2547" s="19">
        <f t="shared" si="79"/>
        <v>12</v>
      </c>
      <c r="D2547" s="5" t="s">
        <v>2058</v>
      </c>
      <c r="E2547" s="5" t="s">
        <v>94</v>
      </c>
      <c r="F2547" s="5" t="s">
        <v>14</v>
      </c>
      <c r="G2547" s="5" t="s">
        <v>24</v>
      </c>
      <c r="H2547" s="5" t="s">
        <v>1844</v>
      </c>
      <c r="I2547" s="13">
        <v>89.97</v>
      </c>
      <c r="J2547" s="19">
        <v>3</v>
      </c>
      <c r="K2547" s="14">
        <v>18.893699999999999</v>
      </c>
    </row>
    <row r="2548" spans="1:11" x14ac:dyDescent="0.25">
      <c r="A2548" s="2">
        <v>43825</v>
      </c>
      <c r="B2548" s="18">
        <f t="shared" si="78"/>
        <v>2019</v>
      </c>
      <c r="C2548" s="18">
        <f t="shared" si="79"/>
        <v>12</v>
      </c>
      <c r="D2548" s="3" t="s">
        <v>393</v>
      </c>
      <c r="E2548" s="3" t="s">
        <v>18</v>
      </c>
      <c r="F2548" s="3" t="s">
        <v>19</v>
      </c>
      <c r="G2548" s="3" t="s">
        <v>40</v>
      </c>
      <c r="H2548" s="3" t="s">
        <v>2059</v>
      </c>
      <c r="I2548" s="11">
        <v>53.97</v>
      </c>
      <c r="J2548" s="18">
        <v>3</v>
      </c>
      <c r="K2548" s="12">
        <v>15.111599999999999</v>
      </c>
    </row>
    <row r="2549" spans="1:11" x14ac:dyDescent="0.25">
      <c r="A2549" s="4">
        <v>43825</v>
      </c>
      <c r="B2549" s="19">
        <f t="shared" si="78"/>
        <v>2019</v>
      </c>
      <c r="C2549" s="19">
        <f t="shared" si="79"/>
        <v>12</v>
      </c>
      <c r="D2549" s="5" t="s">
        <v>126</v>
      </c>
      <c r="E2549" s="5" t="s">
        <v>70</v>
      </c>
      <c r="F2549" s="5" t="s">
        <v>19</v>
      </c>
      <c r="G2549" s="5" t="s">
        <v>53</v>
      </c>
      <c r="H2549" s="5" t="s">
        <v>2037</v>
      </c>
      <c r="I2549" s="13">
        <v>33.9</v>
      </c>
      <c r="J2549" s="19">
        <v>5</v>
      </c>
      <c r="K2549" s="14">
        <v>15.593999999999999</v>
      </c>
    </row>
    <row r="2550" spans="1:11" x14ac:dyDescent="0.25">
      <c r="A2550" s="2">
        <v>43825</v>
      </c>
      <c r="B2550" s="18">
        <f t="shared" si="78"/>
        <v>2019</v>
      </c>
      <c r="C2550" s="18">
        <f t="shared" si="79"/>
        <v>12</v>
      </c>
      <c r="D2550" s="3" t="s">
        <v>1843</v>
      </c>
      <c r="E2550" s="3" t="s">
        <v>85</v>
      </c>
      <c r="F2550" s="3" t="s">
        <v>19</v>
      </c>
      <c r="G2550" s="3" t="s">
        <v>121</v>
      </c>
      <c r="H2550" s="3" t="s">
        <v>1923</v>
      </c>
      <c r="I2550" s="11">
        <v>26.49</v>
      </c>
      <c r="J2550" s="18">
        <v>1</v>
      </c>
      <c r="K2550" s="12">
        <v>7.4172000000000002</v>
      </c>
    </row>
    <row r="2551" spans="1:11" x14ac:dyDescent="0.25">
      <c r="A2551" s="4">
        <v>43825</v>
      </c>
      <c r="B2551" s="19">
        <f t="shared" si="78"/>
        <v>2019</v>
      </c>
      <c r="C2551" s="19">
        <f t="shared" si="79"/>
        <v>12</v>
      </c>
      <c r="D2551" s="5" t="s">
        <v>887</v>
      </c>
      <c r="E2551" s="5" t="s">
        <v>306</v>
      </c>
      <c r="F2551" s="5" t="s">
        <v>19</v>
      </c>
      <c r="G2551" s="5" t="s">
        <v>121</v>
      </c>
      <c r="H2551" s="5" t="s">
        <v>2001</v>
      </c>
      <c r="I2551" s="13">
        <v>18.72</v>
      </c>
      <c r="J2551" s="19">
        <v>2</v>
      </c>
      <c r="K2551" s="14">
        <v>3.51</v>
      </c>
    </row>
    <row r="2552" spans="1:11" x14ac:dyDescent="0.25">
      <c r="A2552" s="2">
        <v>43825</v>
      </c>
      <c r="B2552" s="18">
        <f t="shared" si="78"/>
        <v>2019</v>
      </c>
      <c r="C2552" s="18">
        <f t="shared" si="79"/>
        <v>12</v>
      </c>
      <c r="D2552" s="3" t="s">
        <v>393</v>
      </c>
      <c r="E2552" s="3" t="s">
        <v>18</v>
      </c>
      <c r="F2552" s="3" t="s">
        <v>19</v>
      </c>
      <c r="G2552" s="3" t="s">
        <v>265</v>
      </c>
      <c r="H2552" s="3" t="s">
        <v>1218</v>
      </c>
      <c r="I2552" s="11">
        <v>17.760000000000002</v>
      </c>
      <c r="J2552" s="18">
        <v>2</v>
      </c>
      <c r="K2552" s="12">
        <v>4.9728000000000003</v>
      </c>
    </row>
    <row r="2553" spans="1:11" x14ac:dyDescent="0.25">
      <c r="A2553" s="4">
        <v>43825</v>
      </c>
      <c r="B2553" s="19">
        <f t="shared" si="78"/>
        <v>2019</v>
      </c>
      <c r="C2553" s="19">
        <f t="shared" si="79"/>
        <v>12</v>
      </c>
      <c r="D2553" s="5" t="s">
        <v>90</v>
      </c>
      <c r="E2553" s="5" t="s">
        <v>306</v>
      </c>
      <c r="F2553" s="5" t="s">
        <v>19</v>
      </c>
      <c r="G2553" s="5" t="s">
        <v>40</v>
      </c>
      <c r="H2553" s="5" t="s">
        <v>1571</v>
      </c>
      <c r="I2553" s="13">
        <v>11.327999999999999</v>
      </c>
      <c r="J2553" s="19">
        <v>2</v>
      </c>
      <c r="K2553" s="14">
        <v>2.5488</v>
      </c>
    </row>
    <row r="2554" spans="1:11" x14ac:dyDescent="0.25">
      <c r="A2554" s="2">
        <v>43825</v>
      </c>
      <c r="B2554" s="18">
        <f t="shared" si="78"/>
        <v>2019</v>
      </c>
      <c r="C2554" s="18">
        <f t="shared" si="79"/>
        <v>12</v>
      </c>
      <c r="D2554" s="3" t="s">
        <v>393</v>
      </c>
      <c r="E2554" s="3" t="s">
        <v>18</v>
      </c>
      <c r="F2554" s="3" t="s">
        <v>19</v>
      </c>
      <c r="G2554" s="3" t="s">
        <v>121</v>
      </c>
      <c r="H2554" s="3" t="s">
        <v>1304</v>
      </c>
      <c r="I2554" s="11">
        <v>7.9</v>
      </c>
      <c r="J2554" s="18">
        <v>2</v>
      </c>
      <c r="K2554" s="12">
        <v>2.0539999999999998</v>
      </c>
    </row>
    <row r="2555" spans="1:11" x14ac:dyDescent="0.25">
      <c r="A2555" s="4">
        <v>43825</v>
      </c>
      <c r="B2555" s="19">
        <f t="shared" si="78"/>
        <v>2019</v>
      </c>
      <c r="C2555" s="19">
        <f t="shared" si="79"/>
        <v>12</v>
      </c>
      <c r="D2555" s="5" t="s">
        <v>43</v>
      </c>
      <c r="E2555" s="5" t="s">
        <v>94</v>
      </c>
      <c r="F2555" s="5" t="s">
        <v>19</v>
      </c>
      <c r="G2555" s="5" t="s">
        <v>32</v>
      </c>
      <c r="H2555" s="5" t="s">
        <v>688</v>
      </c>
      <c r="I2555" s="13">
        <v>4.992</v>
      </c>
      <c r="J2555" s="19">
        <v>3</v>
      </c>
      <c r="K2555" s="14">
        <v>1.6848000000000001</v>
      </c>
    </row>
    <row r="2556" spans="1:11" x14ac:dyDescent="0.25">
      <c r="A2556" s="2">
        <v>43826</v>
      </c>
      <c r="B2556" s="18">
        <f t="shared" si="78"/>
        <v>2019</v>
      </c>
      <c r="C2556" s="18">
        <f t="shared" si="79"/>
        <v>12</v>
      </c>
      <c r="D2556" s="3" t="s">
        <v>951</v>
      </c>
      <c r="E2556" s="3" t="s">
        <v>164</v>
      </c>
      <c r="F2556" s="3" t="s">
        <v>11</v>
      </c>
      <c r="G2556" s="3" t="s">
        <v>112</v>
      </c>
      <c r="H2556" s="3" t="s">
        <v>1077</v>
      </c>
      <c r="I2556" s="11">
        <v>845.48800000000006</v>
      </c>
      <c r="J2556" s="18">
        <v>8</v>
      </c>
      <c r="K2556" s="12">
        <v>-12.0784</v>
      </c>
    </row>
    <row r="2557" spans="1:11" x14ac:dyDescent="0.25">
      <c r="A2557" s="4">
        <v>43826</v>
      </c>
      <c r="B2557" s="19">
        <f t="shared" si="78"/>
        <v>2019</v>
      </c>
      <c r="C2557" s="19">
        <f t="shared" si="79"/>
        <v>12</v>
      </c>
      <c r="D2557" s="5" t="s">
        <v>2060</v>
      </c>
      <c r="E2557" s="5" t="s">
        <v>67</v>
      </c>
      <c r="F2557" s="5" t="s">
        <v>14</v>
      </c>
      <c r="G2557" s="5" t="s">
        <v>24</v>
      </c>
      <c r="H2557" s="5" t="s">
        <v>222</v>
      </c>
      <c r="I2557" s="13">
        <v>40</v>
      </c>
      <c r="J2557" s="19">
        <v>2</v>
      </c>
      <c r="K2557" s="14">
        <v>0.5</v>
      </c>
    </row>
    <row r="2558" spans="1:11" x14ac:dyDescent="0.25">
      <c r="A2558" s="2">
        <v>43826</v>
      </c>
      <c r="B2558" s="18">
        <f t="shared" si="78"/>
        <v>2019</v>
      </c>
      <c r="C2558" s="18">
        <f t="shared" si="79"/>
        <v>12</v>
      </c>
      <c r="D2558" s="3" t="s">
        <v>1291</v>
      </c>
      <c r="E2558" s="3" t="s">
        <v>23</v>
      </c>
      <c r="F2558" s="3" t="s">
        <v>19</v>
      </c>
      <c r="G2558" s="3" t="s">
        <v>53</v>
      </c>
      <c r="H2558" s="3" t="s">
        <v>2061</v>
      </c>
      <c r="I2558" s="11">
        <v>23.68</v>
      </c>
      <c r="J2558" s="18">
        <v>4</v>
      </c>
      <c r="K2558" s="12">
        <v>7.4</v>
      </c>
    </row>
    <row r="2559" spans="1:11" x14ac:dyDescent="0.25">
      <c r="A2559" s="4">
        <v>43826</v>
      </c>
      <c r="B2559" s="19">
        <f t="shared" si="78"/>
        <v>2019</v>
      </c>
      <c r="C2559" s="19">
        <f t="shared" si="79"/>
        <v>12</v>
      </c>
      <c r="D2559" s="5" t="s">
        <v>958</v>
      </c>
      <c r="E2559" s="5" t="s">
        <v>18</v>
      </c>
      <c r="F2559" s="5" t="s">
        <v>19</v>
      </c>
      <c r="G2559" s="5" t="s">
        <v>127</v>
      </c>
      <c r="H2559" s="5" t="s">
        <v>1825</v>
      </c>
      <c r="I2559" s="13">
        <v>20.16</v>
      </c>
      <c r="J2559" s="19">
        <v>7</v>
      </c>
      <c r="K2559" s="14">
        <v>9.8783999999999992</v>
      </c>
    </row>
    <row r="2560" spans="1:11" x14ac:dyDescent="0.25">
      <c r="A2560" s="2">
        <v>43826</v>
      </c>
      <c r="B2560" s="18">
        <f t="shared" si="78"/>
        <v>2019</v>
      </c>
      <c r="C2560" s="18">
        <f t="shared" si="79"/>
        <v>12</v>
      </c>
      <c r="D2560" s="3" t="s">
        <v>238</v>
      </c>
      <c r="E2560" s="3" t="s">
        <v>67</v>
      </c>
      <c r="F2560" s="3" t="s">
        <v>19</v>
      </c>
      <c r="G2560" s="3" t="s">
        <v>116</v>
      </c>
      <c r="H2560" s="3" t="s">
        <v>1789</v>
      </c>
      <c r="I2560" s="11">
        <v>17.184000000000001</v>
      </c>
      <c r="J2560" s="18">
        <v>6</v>
      </c>
      <c r="K2560" s="12">
        <v>6.2291999999999996</v>
      </c>
    </row>
    <row r="2561" spans="1:11" x14ac:dyDescent="0.25">
      <c r="A2561" s="4">
        <v>43826</v>
      </c>
      <c r="B2561" s="19">
        <f t="shared" si="78"/>
        <v>2019</v>
      </c>
      <c r="C2561" s="19">
        <f t="shared" si="79"/>
        <v>12</v>
      </c>
      <c r="D2561" s="5" t="s">
        <v>1291</v>
      </c>
      <c r="E2561" s="5" t="s">
        <v>23</v>
      </c>
      <c r="F2561" s="5" t="s">
        <v>19</v>
      </c>
      <c r="G2561" s="5" t="s">
        <v>53</v>
      </c>
      <c r="H2561" s="5" t="s">
        <v>2026</v>
      </c>
      <c r="I2561" s="13">
        <v>10.368</v>
      </c>
      <c r="J2561" s="19">
        <v>2</v>
      </c>
      <c r="K2561" s="14">
        <v>3.6288</v>
      </c>
    </row>
    <row r="2562" spans="1:11" x14ac:dyDescent="0.25">
      <c r="A2562" s="2">
        <v>43826</v>
      </c>
      <c r="B2562" s="18">
        <f t="shared" ref="B2562:B2625" si="80">YEAR(A2562)</f>
        <v>2019</v>
      </c>
      <c r="C2562" s="18">
        <f t="shared" ref="C2562:C2625" si="81">MONTH(A2562)</f>
        <v>12</v>
      </c>
      <c r="D2562" s="3" t="s">
        <v>2062</v>
      </c>
      <c r="E2562" s="3" t="s">
        <v>195</v>
      </c>
      <c r="F2562" s="3" t="s">
        <v>19</v>
      </c>
      <c r="G2562" s="3" t="s">
        <v>127</v>
      </c>
      <c r="H2562" s="3" t="s">
        <v>2063</v>
      </c>
      <c r="I2562" s="11">
        <v>2.61</v>
      </c>
      <c r="J2562" s="18">
        <v>1</v>
      </c>
      <c r="K2562" s="12">
        <v>1.2005999999999999</v>
      </c>
    </row>
    <row r="2563" spans="1:11" x14ac:dyDescent="0.25">
      <c r="A2563" s="4">
        <v>43828</v>
      </c>
      <c r="B2563" s="19">
        <f t="shared" si="80"/>
        <v>2019</v>
      </c>
      <c r="C2563" s="19">
        <f t="shared" si="81"/>
        <v>12</v>
      </c>
      <c r="D2563" s="5" t="s">
        <v>516</v>
      </c>
      <c r="E2563" s="5" t="s">
        <v>56</v>
      </c>
      <c r="F2563" s="5" t="s">
        <v>11</v>
      </c>
      <c r="G2563" s="5" t="s">
        <v>112</v>
      </c>
      <c r="H2563" s="5" t="s">
        <v>2064</v>
      </c>
      <c r="I2563" s="13">
        <v>754.45</v>
      </c>
      <c r="J2563" s="19">
        <v>5</v>
      </c>
      <c r="K2563" s="14">
        <v>60.356000000000002</v>
      </c>
    </row>
    <row r="2564" spans="1:11" x14ac:dyDescent="0.25">
      <c r="A2564" s="2">
        <v>43828</v>
      </c>
      <c r="B2564" s="18">
        <f t="shared" si="80"/>
        <v>2019</v>
      </c>
      <c r="C2564" s="18">
        <f t="shared" si="81"/>
        <v>12</v>
      </c>
      <c r="D2564" s="3" t="s">
        <v>2065</v>
      </c>
      <c r="E2564" s="3" t="s">
        <v>164</v>
      </c>
      <c r="F2564" s="3" t="s">
        <v>19</v>
      </c>
      <c r="G2564" s="3" t="s">
        <v>53</v>
      </c>
      <c r="H2564" s="3" t="s">
        <v>205</v>
      </c>
      <c r="I2564" s="11">
        <v>186.048</v>
      </c>
      <c r="J2564" s="18">
        <v>6</v>
      </c>
      <c r="K2564" s="12">
        <v>67.442400000000006</v>
      </c>
    </row>
    <row r="2565" spans="1:11" x14ac:dyDescent="0.25">
      <c r="A2565" s="4">
        <v>43828</v>
      </c>
      <c r="B2565" s="19">
        <f t="shared" si="80"/>
        <v>2019</v>
      </c>
      <c r="C2565" s="19">
        <f t="shared" si="81"/>
        <v>12</v>
      </c>
      <c r="D2565" s="5" t="s">
        <v>2066</v>
      </c>
      <c r="E2565" s="5" t="s">
        <v>1051</v>
      </c>
      <c r="F2565" s="5" t="s">
        <v>19</v>
      </c>
      <c r="G2565" s="5" t="s">
        <v>121</v>
      </c>
      <c r="H2565" s="5" t="s">
        <v>2067</v>
      </c>
      <c r="I2565" s="13">
        <v>81.96</v>
      </c>
      <c r="J2565" s="19">
        <v>2</v>
      </c>
      <c r="K2565" s="14">
        <v>22.948799999999999</v>
      </c>
    </row>
    <row r="2566" spans="1:11" x14ac:dyDescent="0.25">
      <c r="A2566" s="2">
        <v>43828</v>
      </c>
      <c r="B2566" s="18">
        <f t="shared" si="80"/>
        <v>2019</v>
      </c>
      <c r="C2566" s="18">
        <f t="shared" si="81"/>
        <v>12</v>
      </c>
      <c r="D2566" s="3" t="s">
        <v>2066</v>
      </c>
      <c r="E2566" s="3" t="s">
        <v>1051</v>
      </c>
      <c r="F2566" s="3" t="s">
        <v>11</v>
      </c>
      <c r="G2566" s="3" t="s">
        <v>51</v>
      </c>
      <c r="H2566" s="3" t="s">
        <v>325</v>
      </c>
      <c r="I2566" s="11">
        <v>70.56</v>
      </c>
      <c r="J2566" s="18">
        <v>6</v>
      </c>
      <c r="K2566" s="12">
        <v>23.990400000000001</v>
      </c>
    </row>
    <row r="2567" spans="1:11" x14ac:dyDescent="0.25">
      <c r="A2567" s="4">
        <v>43828</v>
      </c>
      <c r="B2567" s="19">
        <f t="shared" si="80"/>
        <v>2019</v>
      </c>
      <c r="C2567" s="19">
        <f t="shared" si="81"/>
        <v>12</v>
      </c>
      <c r="D2567" s="5" t="s">
        <v>1701</v>
      </c>
      <c r="E2567" s="5" t="s">
        <v>219</v>
      </c>
      <c r="F2567" s="5" t="s">
        <v>19</v>
      </c>
      <c r="G2567" s="5" t="s">
        <v>32</v>
      </c>
      <c r="H2567" s="5" t="s">
        <v>158</v>
      </c>
      <c r="I2567" s="13">
        <v>38.088000000000001</v>
      </c>
      <c r="J2567" s="19">
        <v>4</v>
      </c>
      <c r="K2567" s="14">
        <v>-27.9312</v>
      </c>
    </row>
    <row r="2568" spans="1:11" x14ac:dyDescent="0.25">
      <c r="A2568" s="2">
        <v>43828</v>
      </c>
      <c r="B2568" s="18">
        <f t="shared" si="80"/>
        <v>2019</v>
      </c>
      <c r="C2568" s="18">
        <f t="shared" si="81"/>
        <v>12</v>
      </c>
      <c r="D2568" s="3" t="s">
        <v>1056</v>
      </c>
      <c r="E2568" s="3" t="s">
        <v>44</v>
      </c>
      <c r="F2568" s="3" t="s">
        <v>19</v>
      </c>
      <c r="G2568" s="3" t="s">
        <v>53</v>
      </c>
      <c r="H2568" s="3" t="s">
        <v>802</v>
      </c>
      <c r="I2568" s="11">
        <v>37.408000000000001</v>
      </c>
      <c r="J2568" s="18">
        <v>7</v>
      </c>
      <c r="K2568" s="12">
        <v>13.0928</v>
      </c>
    </row>
    <row r="2569" spans="1:11" x14ac:dyDescent="0.25">
      <c r="A2569" s="4">
        <v>43828</v>
      </c>
      <c r="B2569" s="19">
        <f t="shared" si="80"/>
        <v>2019</v>
      </c>
      <c r="C2569" s="19">
        <f t="shared" si="81"/>
        <v>12</v>
      </c>
      <c r="D2569" s="5" t="s">
        <v>1775</v>
      </c>
      <c r="E2569" s="5" t="s">
        <v>18</v>
      </c>
      <c r="F2569" s="5" t="s">
        <v>19</v>
      </c>
      <c r="G2569" s="5" t="s">
        <v>265</v>
      </c>
      <c r="H2569" s="5" t="s">
        <v>2068</v>
      </c>
      <c r="I2569" s="13">
        <v>27.96</v>
      </c>
      <c r="J2569" s="19">
        <v>2</v>
      </c>
      <c r="K2569" s="14">
        <v>7.2695999999999996</v>
      </c>
    </row>
    <row r="2570" spans="1:11" x14ac:dyDescent="0.25">
      <c r="A2570" s="2">
        <v>43828</v>
      </c>
      <c r="B2570" s="18">
        <f t="shared" si="80"/>
        <v>2019</v>
      </c>
      <c r="C2570" s="18">
        <f t="shared" si="81"/>
        <v>12</v>
      </c>
      <c r="D2570" s="3" t="s">
        <v>895</v>
      </c>
      <c r="E2570" s="3" t="s">
        <v>465</v>
      </c>
      <c r="F2570" s="3" t="s">
        <v>19</v>
      </c>
      <c r="G2570" s="3" t="s">
        <v>86</v>
      </c>
      <c r="H2570" s="3" t="s">
        <v>2069</v>
      </c>
      <c r="I2570" s="11">
        <v>27.792000000000002</v>
      </c>
      <c r="J2570" s="18">
        <v>3</v>
      </c>
      <c r="K2570" s="12">
        <v>10.422000000000001</v>
      </c>
    </row>
    <row r="2571" spans="1:11" x14ac:dyDescent="0.25">
      <c r="A2571" s="4">
        <v>43828</v>
      </c>
      <c r="B2571" s="19">
        <f t="shared" si="80"/>
        <v>2019</v>
      </c>
      <c r="C2571" s="19">
        <f t="shared" si="81"/>
        <v>12</v>
      </c>
      <c r="D2571" s="5" t="s">
        <v>1056</v>
      </c>
      <c r="E2571" s="5" t="s">
        <v>44</v>
      </c>
      <c r="F2571" s="5" t="s">
        <v>19</v>
      </c>
      <c r="G2571" s="5" t="s">
        <v>53</v>
      </c>
      <c r="H2571" s="5" t="s">
        <v>1692</v>
      </c>
      <c r="I2571" s="13">
        <v>25.344000000000001</v>
      </c>
      <c r="J2571" s="19">
        <v>6</v>
      </c>
      <c r="K2571" s="14">
        <v>8.8704000000000001</v>
      </c>
    </row>
    <row r="2572" spans="1:11" x14ac:dyDescent="0.25">
      <c r="A2572" s="2">
        <v>43828</v>
      </c>
      <c r="B2572" s="18">
        <f t="shared" si="80"/>
        <v>2019</v>
      </c>
      <c r="C2572" s="18">
        <f t="shared" si="81"/>
        <v>12</v>
      </c>
      <c r="D2572" s="3" t="s">
        <v>1775</v>
      </c>
      <c r="E2572" s="3" t="s">
        <v>18</v>
      </c>
      <c r="F2572" s="3" t="s">
        <v>19</v>
      </c>
      <c r="G2572" s="3" t="s">
        <v>20</v>
      </c>
      <c r="H2572" s="3" t="s">
        <v>2070</v>
      </c>
      <c r="I2572" s="11">
        <v>14.03</v>
      </c>
      <c r="J2572" s="18">
        <v>1</v>
      </c>
      <c r="K2572" s="12">
        <v>4.0686999999999998</v>
      </c>
    </row>
    <row r="2573" spans="1:11" x14ac:dyDescent="0.25">
      <c r="A2573" s="4">
        <v>43828</v>
      </c>
      <c r="B2573" s="19">
        <f t="shared" si="80"/>
        <v>2019</v>
      </c>
      <c r="C2573" s="19">
        <f t="shared" si="81"/>
        <v>12</v>
      </c>
      <c r="D2573" s="5" t="s">
        <v>1134</v>
      </c>
      <c r="E2573" s="5" t="s">
        <v>18</v>
      </c>
      <c r="F2573" s="5" t="s">
        <v>19</v>
      </c>
      <c r="G2573" s="5" t="s">
        <v>32</v>
      </c>
      <c r="H2573" s="5" t="s">
        <v>976</v>
      </c>
      <c r="I2573" s="13">
        <v>11.231999999999999</v>
      </c>
      <c r="J2573" s="19">
        <v>3</v>
      </c>
      <c r="K2573" s="14">
        <v>3.9312</v>
      </c>
    </row>
    <row r="2574" spans="1:11" x14ac:dyDescent="0.25">
      <c r="A2574" s="2">
        <v>43828</v>
      </c>
      <c r="B2574" s="18">
        <f t="shared" si="80"/>
        <v>2019</v>
      </c>
      <c r="C2574" s="18">
        <f t="shared" si="81"/>
        <v>12</v>
      </c>
      <c r="D2574" s="3" t="s">
        <v>1701</v>
      </c>
      <c r="E2574" s="3" t="s">
        <v>219</v>
      </c>
      <c r="F2574" s="3" t="s">
        <v>19</v>
      </c>
      <c r="G2574" s="3" t="s">
        <v>32</v>
      </c>
      <c r="H2574" s="3" t="s">
        <v>1162</v>
      </c>
      <c r="I2574" s="11">
        <v>2.8079999999999998</v>
      </c>
      <c r="J2574" s="18">
        <v>3</v>
      </c>
      <c r="K2574" s="12">
        <v>-1.9656</v>
      </c>
    </row>
    <row r="2575" spans="1:11" x14ac:dyDescent="0.25">
      <c r="A2575" s="4">
        <v>43829</v>
      </c>
      <c r="B2575" s="19">
        <f t="shared" si="80"/>
        <v>2019</v>
      </c>
      <c r="C2575" s="19">
        <f t="shared" si="81"/>
        <v>12</v>
      </c>
      <c r="D2575" s="5" t="s">
        <v>390</v>
      </c>
      <c r="E2575" s="5" t="s">
        <v>18</v>
      </c>
      <c r="F2575" s="5" t="s">
        <v>19</v>
      </c>
      <c r="G2575" s="5" t="s">
        <v>20</v>
      </c>
      <c r="H2575" s="5" t="s">
        <v>141</v>
      </c>
      <c r="I2575" s="13">
        <v>481.32</v>
      </c>
      <c r="J2575" s="19">
        <v>4</v>
      </c>
      <c r="K2575" s="14">
        <v>125.14319999999999</v>
      </c>
    </row>
    <row r="2576" spans="1:11" x14ac:dyDescent="0.25">
      <c r="A2576" s="2">
        <v>43829</v>
      </c>
      <c r="B2576" s="18">
        <f t="shared" si="80"/>
        <v>2019</v>
      </c>
      <c r="C2576" s="18">
        <f t="shared" si="81"/>
        <v>12</v>
      </c>
      <c r="D2576" s="3" t="s">
        <v>608</v>
      </c>
      <c r="E2576" s="3" t="s">
        <v>39</v>
      </c>
      <c r="F2576" s="3" t="s">
        <v>11</v>
      </c>
      <c r="G2576" s="3" t="s">
        <v>112</v>
      </c>
      <c r="H2576" s="3" t="s">
        <v>537</v>
      </c>
      <c r="I2576" s="11">
        <v>170.786</v>
      </c>
      <c r="J2576" s="18">
        <v>1</v>
      </c>
      <c r="K2576" s="12">
        <v>0</v>
      </c>
    </row>
    <row r="2577" spans="1:11" x14ac:dyDescent="0.25">
      <c r="A2577" s="4">
        <v>43829</v>
      </c>
      <c r="B2577" s="19">
        <f t="shared" si="80"/>
        <v>2019</v>
      </c>
      <c r="C2577" s="19">
        <f t="shared" si="81"/>
        <v>12</v>
      </c>
      <c r="D2577" s="5" t="s">
        <v>549</v>
      </c>
      <c r="E2577" s="5" t="s">
        <v>44</v>
      </c>
      <c r="F2577" s="5" t="s">
        <v>19</v>
      </c>
      <c r="G2577" s="5" t="s">
        <v>53</v>
      </c>
      <c r="H2577" s="5" t="s">
        <v>711</v>
      </c>
      <c r="I2577" s="13">
        <v>72.224000000000004</v>
      </c>
      <c r="J2577" s="19">
        <v>4</v>
      </c>
      <c r="K2577" s="14">
        <v>25.278400000000001</v>
      </c>
    </row>
    <row r="2578" spans="1:11" x14ac:dyDescent="0.25">
      <c r="A2578" s="2">
        <v>43829</v>
      </c>
      <c r="B2578" s="18">
        <f t="shared" si="80"/>
        <v>2019</v>
      </c>
      <c r="C2578" s="18">
        <f t="shared" si="81"/>
        <v>12</v>
      </c>
      <c r="D2578" s="3" t="s">
        <v>2071</v>
      </c>
      <c r="E2578" s="3" t="s">
        <v>39</v>
      </c>
      <c r="F2578" s="3" t="s">
        <v>19</v>
      </c>
      <c r="G2578" s="3" t="s">
        <v>40</v>
      </c>
      <c r="H2578" s="3" t="s">
        <v>1776</v>
      </c>
      <c r="I2578" s="11">
        <v>16.52</v>
      </c>
      <c r="J2578" s="18">
        <v>5</v>
      </c>
      <c r="K2578" s="12">
        <v>1.6519999999999999</v>
      </c>
    </row>
    <row r="2579" spans="1:11" x14ac:dyDescent="0.25">
      <c r="A2579" s="4">
        <v>43829</v>
      </c>
      <c r="B2579" s="19">
        <f t="shared" si="80"/>
        <v>2019</v>
      </c>
      <c r="C2579" s="19">
        <f t="shared" si="81"/>
        <v>12</v>
      </c>
      <c r="D2579" s="5" t="s">
        <v>644</v>
      </c>
      <c r="E2579" s="5" t="s">
        <v>67</v>
      </c>
      <c r="F2579" s="5" t="s">
        <v>19</v>
      </c>
      <c r="G2579" s="5" t="s">
        <v>265</v>
      </c>
      <c r="H2579" s="5" t="s">
        <v>266</v>
      </c>
      <c r="I2579" s="13">
        <v>13.712</v>
      </c>
      <c r="J2579" s="19">
        <v>2</v>
      </c>
      <c r="K2579" s="14">
        <v>1.0284</v>
      </c>
    </row>
    <row r="2580" spans="1:11" x14ac:dyDescent="0.25">
      <c r="A2580" s="2">
        <v>43829</v>
      </c>
      <c r="B2580" s="18">
        <f t="shared" si="80"/>
        <v>2019</v>
      </c>
      <c r="C2580" s="18">
        <f t="shared" si="81"/>
        <v>12</v>
      </c>
      <c r="D2580" s="3" t="s">
        <v>1573</v>
      </c>
      <c r="E2580" s="3" t="s">
        <v>23</v>
      </c>
      <c r="F2580" s="3" t="s">
        <v>19</v>
      </c>
      <c r="G2580" s="3" t="s">
        <v>32</v>
      </c>
      <c r="H2580" s="3" t="s">
        <v>1590</v>
      </c>
      <c r="I2580" s="11">
        <v>6.9240000000000004</v>
      </c>
      <c r="J2580" s="18">
        <v>6</v>
      </c>
      <c r="K2580" s="12">
        <v>-10.385999999999999</v>
      </c>
    </row>
    <row r="2581" spans="1:11" x14ac:dyDescent="0.25">
      <c r="A2581" s="4">
        <v>43829</v>
      </c>
      <c r="B2581" s="19">
        <f t="shared" si="80"/>
        <v>2019</v>
      </c>
      <c r="C2581" s="19">
        <f t="shared" si="81"/>
        <v>12</v>
      </c>
      <c r="D2581" s="5" t="s">
        <v>390</v>
      </c>
      <c r="E2581" s="5" t="s">
        <v>18</v>
      </c>
      <c r="F2581" s="5" t="s">
        <v>19</v>
      </c>
      <c r="G2581" s="5" t="s">
        <v>32</v>
      </c>
      <c r="H2581" s="5" t="s">
        <v>2025</v>
      </c>
      <c r="I2581" s="13">
        <v>6.3840000000000003</v>
      </c>
      <c r="J2581" s="19">
        <v>1</v>
      </c>
      <c r="K2581" s="14">
        <v>2.1545999999999998</v>
      </c>
    </row>
    <row r="2582" spans="1:11" x14ac:dyDescent="0.25">
      <c r="A2582" s="2">
        <v>43829</v>
      </c>
      <c r="B2582" s="18">
        <f t="shared" si="80"/>
        <v>2019</v>
      </c>
      <c r="C2582" s="18">
        <f t="shared" si="81"/>
        <v>12</v>
      </c>
      <c r="D2582" s="3" t="s">
        <v>644</v>
      </c>
      <c r="E2582" s="3" t="s">
        <v>67</v>
      </c>
      <c r="F2582" s="3" t="s">
        <v>19</v>
      </c>
      <c r="G2582" s="3" t="s">
        <v>127</v>
      </c>
      <c r="H2582" s="3" t="s">
        <v>1018</v>
      </c>
      <c r="I2582" s="11">
        <v>5.9039999999999999</v>
      </c>
      <c r="J2582" s="18">
        <v>2</v>
      </c>
      <c r="K2582" s="12">
        <v>1.9925999999999999</v>
      </c>
    </row>
    <row r="2583" spans="1:11" x14ac:dyDescent="0.25">
      <c r="A2583" s="4">
        <v>43830</v>
      </c>
      <c r="B2583" s="19">
        <f t="shared" si="80"/>
        <v>2019</v>
      </c>
      <c r="C2583" s="19">
        <f t="shared" si="81"/>
        <v>12</v>
      </c>
      <c r="D2583" s="5" t="s">
        <v>354</v>
      </c>
      <c r="E2583" s="5" t="s">
        <v>18</v>
      </c>
      <c r="F2583" s="5" t="s">
        <v>14</v>
      </c>
      <c r="G2583" s="5" t="s">
        <v>15</v>
      </c>
      <c r="H2583" s="5" t="s">
        <v>1762</v>
      </c>
      <c r="I2583" s="13">
        <v>302.37599999999998</v>
      </c>
      <c r="J2583" s="19">
        <v>3</v>
      </c>
      <c r="K2583" s="14">
        <v>22.6782</v>
      </c>
    </row>
    <row r="2584" spans="1:11" x14ac:dyDescent="0.25">
      <c r="A2584" s="2">
        <v>43830</v>
      </c>
      <c r="B2584" s="18">
        <f t="shared" si="80"/>
        <v>2019</v>
      </c>
      <c r="C2584" s="18">
        <f t="shared" si="81"/>
        <v>12</v>
      </c>
      <c r="D2584" s="3" t="s">
        <v>1622</v>
      </c>
      <c r="E2584" s="3" t="s">
        <v>483</v>
      </c>
      <c r="F2584" s="3" t="s">
        <v>19</v>
      </c>
      <c r="G2584" s="3" t="s">
        <v>32</v>
      </c>
      <c r="H2584" s="3" t="s">
        <v>2072</v>
      </c>
      <c r="I2584" s="11">
        <v>159.768</v>
      </c>
      <c r="J2584" s="18">
        <v>7</v>
      </c>
      <c r="K2584" s="12">
        <v>53.921700000000001</v>
      </c>
    </row>
    <row r="2585" spans="1:11" x14ac:dyDescent="0.25">
      <c r="A2585" s="4">
        <v>43830</v>
      </c>
      <c r="B2585" s="19">
        <f t="shared" si="80"/>
        <v>2019</v>
      </c>
      <c r="C2585" s="19">
        <f t="shared" si="81"/>
        <v>12</v>
      </c>
      <c r="D2585" s="5" t="s">
        <v>2073</v>
      </c>
      <c r="E2585" s="5" t="s">
        <v>67</v>
      </c>
      <c r="F2585" s="5" t="s">
        <v>19</v>
      </c>
      <c r="G2585" s="5" t="s">
        <v>20</v>
      </c>
      <c r="H2585" s="5" t="s">
        <v>761</v>
      </c>
      <c r="I2585" s="13">
        <v>156.512</v>
      </c>
      <c r="J2585" s="19">
        <v>4</v>
      </c>
      <c r="K2585" s="14">
        <v>-35.215200000000003</v>
      </c>
    </row>
    <row r="2586" spans="1:11" x14ac:dyDescent="0.25">
      <c r="A2586" s="2">
        <v>43830</v>
      </c>
      <c r="B2586" s="18">
        <f t="shared" si="80"/>
        <v>2019</v>
      </c>
      <c r="C2586" s="18">
        <f t="shared" si="81"/>
        <v>12</v>
      </c>
      <c r="D2586" s="3" t="s">
        <v>1706</v>
      </c>
      <c r="E2586" s="3" t="s">
        <v>44</v>
      </c>
      <c r="F2586" s="3" t="s">
        <v>19</v>
      </c>
      <c r="G2586" s="3" t="s">
        <v>40</v>
      </c>
      <c r="H2586" s="3" t="s">
        <v>153</v>
      </c>
      <c r="I2586" s="11">
        <v>47.616</v>
      </c>
      <c r="J2586" s="18">
        <v>3</v>
      </c>
      <c r="K2586" s="12">
        <v>3.5712000000000002</v>
      </c>
    </row>
    <row r="2587" spans="1:11" x14ac:dyDescent="0.25">
      <c r="A2587" s="4">
        <v>43830</v>
      </c>
      <c r="B2587" s="19">
        <f t="shared" si="80"/>
        <v>2019</v>
      </c>
      <c r="C2587" s="19">
        <f t="shared" si="81"/>
        <v>12</v>
      </c>
      <c r="D2587" s="5" t="s">
        <v>1142</v>
      </c>
      <c r="E2587" s="5" t="s">
        <v>18</v>
      </c>
      <c r="F2587" s="5" t="s">
        <v>19</v>
      </c>
      <c r="G2587" s="5" t="s">
        <v>32</v>
      </c>
      <c r="H2587" s="5" t="s">
        <v>443</v>
      </c>
      <c r="I2587" s="13">
        <v>38.375999999999998</v>
      </c>
      <c r="J2587" s="19">
        <v>3</v>
      </c>
      <c r="K2587" s="14">
        <v>13.4316</v>
      </c>
    </row>
    <row r="2588" spans="1:11" x14ac:dyDescent="0.25">
      <c r="A2588" s="2">
        <v>43830</v>
      </c>
      <c r="B2588" s="18">
        <f t="shared" si="80"/>
        <v>2019</v>
      </c>
      <c r="C2588" s="18">
        <f t="shared" si="81"/>
        <v>12</v>
      </c>
      <c r="D2588" s="3" t="s">
        <v>1706</v>
      </c>
      <c r="E2588" s="3" t="s">
        <v>44</v>
      </c>
      <c r="F2588" s="3" t="s">
        <v>19</v>
      </c>
      <c r="G2588" s="3" t="s">
        <v>53</v>
      </c>
      <c r="H2588" s="3" t="s">
        <v>1561</v>
      </c>
      <c r="I2588" s="11">
        <v>23.48</v>
      </c>
      <c r="J2588" s="18">
        <v>5</v>
      </c>
      <c r="K2588" s="12">
        <v>8.218</v>
      </c>
    </row>
    <row r="2589" spans="1:11" x14ac:dyDescent="0.25">
      <c r="A2589" s="4">
        <v>43830</v>
      </c>
      <c r="B2589" s="19">
        <f t="shared" si="80"/>
        <v>2019</v>
      </c>
      <c r="C2589" s="19">
        <f t="shared" si="81"/>
        <v>12</v>
      </c>
      <c r="D2589" s="5" t="s">
        <v>1622</v>
      </c>
      <c r="E2589" s="5" t="s">
        <v>483</v>
      </c>
      <c r="F2589" s="5" t="s">
        <v>19</v>
      </c>
      <c r="G2589" s="5" t="s">
        <v>40</v>
      </c>
      <c r="H2589" s="5" t="s">
        <v>1551</v>
      </c>
      <c r="I2589" s="13">
        <v>3.64</v>
      </c>
      <c r="J2589" s="19">
        <v>2</v>
      </c>
      <c r="K2589" s="14">
        <v>1.6379999999999999</v>
      </c>
    </row>
    <row r="2590" spans="1:11" x14ac:dyDescent="0.25">
      <c r="A2590" s="2">
        <v>43831</v>
      </c>
      <c r="B2590" s="18">
        <f t="shared" si="80"/>
        <v>2020</v>
      </c>
      <c r="C2590" s="18">
        <f t="shared" si="81"/>
        <v>1</v>
      </c>
      <c r="D2590" s="3" t="s">
        <v>511</v>
      </c>
      <c r="E2590" s="3" t="s">
        <v>23</v>
      </c>
      <c r="F2590" s="3" t="s">
        <v>11</v>
      </c>
      <c r="G2590" s="3" t="s">
        <v>51</v>
      </c>
      <c r="H2590" s="3" t="s">
        <v>856</v>
      </c>
      <c r="I2590" s="11">
        <v>164.42</v>
      </c>
      <c r="J2590" s="18">
        <v>5</v>
      </c>
      <c r="K2590" s="12">
        <v>-187.38149999999999</v>
      </c>
    </row>
    <row r="2591" spans="1:11" x14ac:dyDescent="0.25">
      <c r="A2591" s="4">
        <v>43831</v>
      </c>
      <c r="B2591" s="19">
        <f t="shared" si="80"/>
        <v>2020</v>
      </c>
      <c r="C2591" s="19">
        <f t="shared" si="81"/>
        <v>1</v>
      </c>
      <c r="D2591" s="5" t="s">
        <v>511</v>
      </c>
      <c r="E2591" s="5" t="s">
        <v>23</v>
      </c>
      <c r="F2591" s="5" t="s">
        <v>11</v>
      </c>
      <c r="G2591" s="5" t="s">
        <v>112</v>
      </c>
      <c r="H2591" s="5" t="s">
        <v>1630</v>
      </c>
      <c r="I2591" s="13">
        <v>322.74400000000003</v>
      </c>
      <c r="J2591" s="19">
        <v>4</v>
      </c>
      <c r="K2591" s="14">
        <v>-26.635200000000001</v>
      </c>
    </row>
    <row r="2592" spans="1:11" x14ac:dyDescent="0.25">
      <c r="A2592" s="2">
        <v>43831</v>
      </c>
      <c r="B2592" s="18">
        <f t="shared" si="80"/>
        <v>2020</v>
      </c>
      <c r="C2592" s="18">
        <f t="shared" si="81"/>
        <v>1</v>
      </c>
      <c r="D2592" s="3" t="s">
        <v>511</v>
      </c>
      <c r="E2592" s="3" t="s">
        <v>23</v>
      </c>
      <c r="F2592" s="3" t="s">
        <v>19</v>
      </c>
      <c r="G2592" s="3" t="s">
        <v>20</v>
      </c>
      <c r="H2592" s="3" t="s">
        <v>1405</v>
      </c>
      <c r="I2592" s="11">
        <v>472.56</v>
      </c>
      <c r="J2592" s="18">
        <v>5</v>
      </c>
      <c r="K2592" s="12">
        <v>-107.958</v>
      </c>
    </row>
    <row r="2593" spans="1:11" x14ac:dyDescent="0.25">
      <c r="A2593" s="4">
        <v>43831</v>
      </c>
      <c r="B2593" s="19">
        <f t="shared" si="80"/>
        <v>2020</v>
      </c>
      <c r="C2593" s="19">
        <f t="shared" si="81"/>
        <v>1</v>
      </c>
      <c r="D2593" s="5" t="s">
        <v>156</v>
      </c>
      <c r="E2593" s="5" t="s">
        <v>18</v>
      </c>
      <c r="F2593" s="5" t="s">
        <v>11</v>
      </c>
      <c r="G2593" s="5" t="s">
        <v>51</v>
      </c>
      <c r="H2593" s="5" t="s">
        <v>2074</v>
      </c>
      <c r="I2593" s="13">
        <v>487.43</v>
      </c>
      <c r="J2593" s="19">
        <v>11</v>
      </c>
      <c r="K2593" s="14">
        <v>199.26060000000001</v>
      </c>
    </row>
    <row r="2594" spans="1:11" x14ac:dyDescent="0.25">
      <c r="A2594" s="2">
        <v>43831</v>
      </c>
      <c r="B2594" s="18">
        <f t="shared" si="80"/>
        <v>2020</v>
      </c>
      <c r="C2594" s="18">
        <f t="shared" si="81"/>
        <v>1</v>
      </c>
      <c r="D2594" s="3" t="s">
        <v>511</v>
      </c>
      <c r="E2594" s="3" t="s">
        <v>23</v>
      </c>
      <c r="F2594" s="3" t="s">
        <v>19</v>
      </c>
      <c r="G2594" s="3" t="s">
        <v>40</v>
      </c>
      <c r="H2594" s="3" t="s">
        <v>2075</v>
      </c>
      <c r="I2594" s="11">
        <v>93.736000000000004</v>
      </c>
      <c r="J2594" s="18">
        <v>4</v>
      </c>
      <c r="K2594" s="12">
        <v>2.2288000000000001</v>
      </c>
    </row>
    <row r="2595" spans="1:11" x14ac:dyDescent="0.25">
      <c r="A2595" s="4">
        <v>43831</v>
      </c>
      <c r="B2595" s="19">
        <f t="shared" si="80"/>
        <v>2020</v>
      </c>
      <c r="C2595" s="19">
        <f t="shared" si="81"/>
        <v>1</v>
      </c>
      <c r="D2595" s="5" t="s">
        <v>511</v>
      </c>
      <c r="E2595" s="5" t="s">
        <v>23</v>
      </c>
      <c r="F2595" s="5" t="s">
        <v>19</v>
      </c>
      <c r="G2595" s="5" t="s">
        <v>32</v>
      </c>
      <c r="H2595" s="5" t="s">
        <v>849</v>
      </c>
      <c r="I2595" s="13">
        <v>120.47</v>
      </c>
      <c r="J2595" s="19">
        <v>5</v>
      </c>
      <c r="K2595" s="14">
        <v>-9.7050000000000001</v>
      </c>
    </row>
    <row r="2596" spans="1:11" x14ac:dyDescent="0.25">
      <c r="A2596" s="2">
        <v>43831</v>
      </c>
      <c r="B2596" s="18">
        <f t="shared" si="80"/>
        <v>2020</v>
      </c>
      <c r="C2596" s="18">
        <f t="shared" si="81"/>
        <v>1</v>
      </c>
      <c r="D2596" s="3" t="s">
        <v>905</v>
      </c>
      <c r="E2596" s="3" t="s">
        <v>56</v>
      </c>
      <c r="F2596" s="3" t="s">
        <v>19</v>
      </c>
      <c r="G2596" s="3" t="s">
        <v>32</v>
      </c>
      <c r="H2596" s="3" t="s">
        <v>1273</v>
      </c>
      <c r="I2596" s="11">
        <v>107.6</v>
      </c>
      <c r="J2596" s="18">
        <v>2</v>
      </c>
      <c r="K2596" s="12">
        <v>1.728</v>
      </c>
    </row>
    <row r="2597" spans="1:11" x14ac:dyDescent="0.25">
      <c r="A2597" s="4">
        <v>43831</v>
      </c>
      <c r="B2597" s="19">
        <f t="shared" si="80"/>
        <v>2020</v>
      </c>
      <c r="C2597" s="19">
        <f t="shared" si="81"/>
        <v>1</v>
      </c>
      <c r="D2597" s="5" t="s">
        <v>511</v>
      </c>
      <c r="E2597" s="5" t="s">
        <v>23</v>
      </c>
      <c r="F2597" s="5" t="s">
        <v>19</v>
      </c>
      <c r="G2597" s="5" t="s">
        <v>121</v>
      </c>
      <c r="H2597" s="5" t="s">
        <v>2076</v>
      </c>
      <c r="I2597" s="13">
        <v>110.224</v>
      </c>
      <c r="J2597" s="19">
        <v>2</v>
      </c>
      <c r="K2597" s="14">
        <v>-38.821199999999997</v>
      </c>
    </row>
    <row r="2598" spans="1:11" x14ac:dyDescent="0.25">
      <c r="A2598" s="2">
        <v>43831</v>
      </c>
      <c r="B2598" s="18">
        <f t="shared" si="80"/>
        <v>2020</v>
      </c>
      <c r="C2598" s="18">
        <f t="shared" si="81"/>
        <v>1</v>
      </c>
      <c r="D2598" s="3" t="s">
        <v>511</v>
      </c>
      <c r="E2598" s="3" t="s">
        <v>23</v>
      </c>
      <c r="F2598" s="3" t="s">
        <v>19</v>
      </c>
      <c r="G2598" s="3" t="s">
        <v>32</v>
      </c>
      <c r="H2598" s="3" t="s">
        <v>885</v>
      </c>
      <c r="I2598" s="11">
        <v>137.74799999999999</v>
      </c>
      <c r="J2598" s="18">
        <v>14</v>
      </c>
      <c r="K2598" s="12">
        <v>-22.684200000000001</v>
      </c>
    </row>
    <row r="2599" spans="1:11" x14ac:dyDescent="0.25">
      <c r="A2599" s="4">
        <v>43831</v>
      </c>
      <c r="B2599" s="19">
        <f t="shared" si="80"/>
        <v>2020</v>
      </c>
      <c r="C2599" s="19">
        <f t="shared" si="81"/>
        <v>1</v>
      </c>
      <c r="D2599" s="5" t="s">
        <v>2077</v>
      </c>
      <c r="E2599" s="5" t="s">
        <v>67</v>
      </c>
      <c r="F2599" s="5" t="s">
        <v>11</v>
      </c>
      <c r="G2599" s="5" t="s">
        <v>51</v>
      </c>
      <c r="H2599" s="5" t="s">
        <v>986</v>
      </c>
      <c r="I2599" s="13">
        <v>145.89599999999999</v>
      </c>
      <c r="J2599" s="19">
        <v>4</v>
      </c>
      <c r="K2599" s="14">
        <v>8.5568000000000008</v>
      </c>
    </row>
    <row r="2600" spans="1:11" x14ac:dyDescent="0.25">
      <c r="A2600" s="2">
        <v>43832</v>
      </c>
      <c r="B2600" s="18">
        <f t="shared" si="80"/>
        <v>2020</v>
      </c>
      <c r="C2600" s="18">
        <f t="shared" si="81"/>
        <v>1</v>
      </c>
      <c r="D2600" s="3" t="s">
        <v>2051</v>
      </c>
      <c r="E2600" s="3" t="s">
        <v>23</v>
      </c>
      <c r="F2600" s="3" t="s">
        <v>19</v>
      </c>
      <c r="G2600" s="3" t="s">
        <v>20</v>
      </c>
      <c r="H2600" s="3" t="s">
        <v>1774</v>
      </c>
      <c r="I2600" s="11">
        <v>415.14400000000001</v>
      </c>
      <c r="J2600" s="18">
        <v>3</v>
      </c>
      <c r="K2600" s="12">
        <v>27.910799999999998</v>
      </c>
    </row>
    <row r="2601" spans="1:11" x14ac:dyDescent="0.25">
      <c r="A2601" s="4">
        <v>43832</v>
      </c>
      <c r="B2601" s="19">
        <f t="shared" si="80"/>
        <v>2020</v>
      </c>
      <c r="C2601" s="19">
        <f t="shared" si="81"/>
        <v>1</v>
      </c>
      <c r="D2601" s="5" t="s">
        <v>504</v>
      </c>
      <c r="E2601" s="5" t="s">
        <v>35</v>
      </c>
      <c r="F2601" s="5" t="s">
        <v>14</v>
      </c>
      <c r="G2601" s="5" t="s">
        <v>188</v>
      </c>
      <c r="H2601" s="5" t="s">
        <v>1013</v>
      </c>
      <c r="I2601" s="13">
        <v>708.7</v>
      </c>
      <c r="J2601" s="19">
        <v>2</v>
      </c>
      <c r="K2601" s="14">
        <v>-27.827999999999999</v>
      </c>
    </row>
    <row r="2602" spans="1:11" x14ac:dyDescent="0.25">
      <c r="A2602" s="2">
        <v>43832</v>
      </c>
      <c r="B2602" s="18">
        <f t="shared" si="80"/>
        <v>2020</v>
      </c>
      <c r="C2602" s="18">
        <f t="shared" si="81"/>
        <v>1</v>
      </c>
      <c r="D2602" s="3" t="s">
        <v>2051</v>
      </c>
      <c r="E2602" s="3" t="s">
        <v>23</v>
      </c>
      <c r="F2602" s="3" t="s">
        <v>11</v>
      </c>
      <c r="G2602" s="3" t="s">
        <v>30</v>
      </c>
      <c r="H2602" s="3" t="s">
        <v>1932</v>
      </c>
      <c r="I2602" s="11">
        <v>953.43</v>
      </c>
      <c r="J2602" s="18">
        <v>5</v>
      </c>
      <c r="K2602" s="12">
        <v>-169.637</v>
      </c>
    </row>
    <row r="2603" spans="1:11" x14ac:dyDescent="0.25">
      <c r="A2603" s="4">
        <v>43832</v>
      </c>
      <c r="B2603" s="19">
        <f t="shared" si="80"/>
        <v>2020</v>
      </c>
      <c r="C2603" s="19">
        <f t="shared" si="81"/>
        <v>1</v>
      </c>
      <c r="D2603" s="5" t="s">
        <v>2051</v>
      </c>
      <c r="E2603" s="5" t="s">
        <v>23</v>
      </c>
      <c r="F2603" s="5" t="s">
        <v>19</v>
      </c>
      <c r="G2603" s="5" t="s">
        <v>121</v>
      </c>
      <c r="H2603" s="5" t="s">
        <v>2078</v>
      </c>
      <c r="I2603" s="13">
        <v>75.432000000000002</v>
      </c>
      <c r="J2603" s="19">
        <v>2</v>
      </c>
      <c r="K2603" s="14">
        <v>-13.58</v>
      </c>
    </row>
    <row r="2604" spans="1:11" x14ac:dyDescent="0.25">
      <c r="A2604" s="2">
        <v>43832</v>
      </c>
      <c r="B2604" s="18">
        <f t="shared" si="80"/>
        <v>2020</v>
      </c>
      <c r="C2604" s="18">
        <f t="shared" si="81"/>
        <v>1</v>
      </c>
      <c r="D2604" s="3" t="s">
        <v>504</v>
      </c>
      <c r="E2604" s="3" t="s">
        <v>35</v>
      </c>
      <c r="F2604" s="3" t="s">
        <v>19</v>
      </c>
      <c r="G2604" s="3" t="s">
        <v>32</v>
      </c>
      <c r="H2604" s="3" t="s">
        <v>1294</v>
      </c>
      <c r="I2604" s="11">
        <v>103.66</v>
      </c>
      <c r="J2604" s="18">
        <v>5</v>
      </c>
      <c r="K2604" s="12">
        <v>-12.528</v>
      </c>
    </row>
    <row r="2605" spans="1:11" x14ac:dyDescent="0.25">
      <c r="A2605" s="4">
        <v>43832</v>
      </c>
      <c r="B2605" s="19">
        <f t="shared" si="80"/>
        <v>2020</v>
      </c>
      <c r="C2605" s="19">
        <f t="shared" si="81"/>
        <v>1</v>
      </c>
      <c r="D2605" s="5" t="s">
        <v>2051</v>
      </c>
      <c r="E2605" s="5" t="s">
        <v>23</v>
      </c>
      <c r="F2605" s="5" t="s">
        <v>19</v>
      </c>
      <c r="G2605" s="5" t="s">
        <v>40</v>
      </c>
      <c r="H2605" s="5" t="s">
        <v>61</v>
      </c>
      <c r="I2605" s="13">
        <v>119.744</v>
      </c>
      <c r="J2605" s="19">
        <v>2</v>
      </c>
      <c r="K2605" s="14">
        <v>3.968</v>
      </c>
    </row>
    <row r="2606" spans="1:11" x14ac:dyDescent="0.25">
      <c r="A2606" s="2">
        <v>43832</v>
      </c>
      <c r="B2606" s="18">
        <f t="shared" si="80"/>
        <v>2020</v>
      </c>
      <c r="C2606" s="18">
        <f t="shared" si="81"/>
        <v>1</v>
      </c>
      <c r="D2606" s="3" t="s">
        <v>504</v>
      </c>
      <c r="E2606" s="3" t="s">
        <v>35</v>
      </c>
      <c r="F2606" s="3" t="s">
        <v>19</v>
      </c>
      <c r="G2606" s="3" t="s">
        <v>32</v>
      </c>
      <c r="H2606" s="3" t="s">
        <v>1889</v>
      </c>
      <c r="I2606" s="11">
        <v>140.85400000000001</v>
      </c>
      <c r="J2606" s="18">
        <v>6</v>
      </c>
      <c r="K2606" s="12">
        <v>-21.159600000000001</v>
      </c>
    </row>
    <row r="2607" spans="1:11" x14ac:dyDescent="0.25">
      <c r="A2607" s="4">
        <v>43832</v>
      </c>
      <c r="B2607" s="19">
        <f t="shared" si="80"/>
        <v>2020</v>
      </c>
      <c r="C2607" s="19">
        <f t="shared" si="81"/>
        <v>1</v>
      </c>
      <c r="D2607" s="5" t="s">
        <v>1520</v>
      </c>
      <c r="E2607" s="5" t="s">
        <v>18</v>
      </c>
      <c r="F2607" s="5" t="s">
        <v>14</v>
      </c>
      <c r="G2607" s="5" t="s">
        <v>24</v>
      </c>
      <c r="H2607" s="5" t="s">
        <v>1781</v>
      </c>
      <c r="I2607" s="13">
        <v>115.59</v>
      </c>
      <c r="J2607" s="19">
        <v>1</v>
      </c>
      <c r="K2607" s="14">
        <v>5.8064999999999998</v>
      </c>
    </row>
    <row r="2608" spans="1:11" x14ac:dyDescent="0.25">
      <c r="A2608" s="2">
        <v>43833</v>
      </c>
      <c r="B2608" s="18">
        <f t="shared" si="80"/>
        <v>2020</v>
      </c>
      <c r="C2608" s="18">
        <f t="shared" si="81"/>
        <v>1</v>
      </c>
      <c r="D2608" s="3" t="s">
        <v>2079</v>
      </c>
      <c r="E2608" s="3" t="s">
        <v>18</v>
      </c>
      <c r="F2608" s="3" t="s">
        <v>19</v>
      </c>
      <c r="G2608" s="3" t="s">
        <v>32</v>
      </c>
      <c r="H2608" s="3" t="s">
        <v>629</v>
      </c>
      <c r="I2608" s="11">
        <v>2057.2719999999999</v>
      </c>
      <c r="J2608" s="18">
        <v>8</v>
      </c>
      <c r="K2608" s="12">
        <v>682.51679999999999</v>
      </c>
    </row>
    <row r="2609" spans="1:11" x14ac:dyDescent="0.25">
      <c r="A2609" s="4">
        <v>43833</v>
      </c>
      <c r="B2609" s="19">
        <f t="shared" si="80"/>
        <v>2020</v>
      </c>
      <c r="C2609" s="19">
        <f t="shared" si="81"/>
        <v>1</v>
      </c>
      <c r="D2609" s="5" t="s">
        <v>2079</v>
      </c>
      <c r="E2609" s="5" t="s">
        <v>18</v>
      </c>
      <c r="F2609" s="5" t="s">
        <v>19</v>
      </c>
      <c r="G2609" s="5" t="s">
        <v>40</v>
      </c>
      <c r="H2609" s="5" t="s">
        <v>1640</v>
      </c>
      <c r="I2609" s="13">
        <v>125.12</v>
      </c>
      <c r="J2609" s="19">
        <v>3</v>
      </c>
      <c r="K2609" s="14">
        <v>3.1008</v>
      </c>
    </row>
    <row r="2610" spans="1:11" x14ac:dyDescent="0.25">
      <c r="A2610" s="2">
        <v>43833</v>
      </c>
      <c r="B2610" s="18">
        <f t="shared" si="80"/>
        <v>2020</v>
      </c>
      <c r="C2610" s="18">
        <f t="shared" si="81"/>
        <v>1</v>
      </c>
      <c r="D2610" s="3" t="s">
        <v>1488</v>
      </c>
      <c r="E2610" s="3" t="s">
        <v>18</v>
      </c>
      <c r="F2610" s="3" t="s">
        <v>19</v>
      </c>
      <c r="G2610" s="3" t="s">
        <v>53</v>
      </c>
      <c r="H2610" s="3" t="s">
        <v>1651</v>
      </c>
      <c r="I2610" s="11">
        <v>136.88</v>
      </c>
      <c r="J2610" s="18">
        <v>6</v>
      </c>
      <c r="K2610" s="12">
        <v>18.662400000000002</v>
      </c>
    </row>
    <row r="2611" spans="1:11" x14ac:dyDescent="0.25">
      <c r="A2611" s="4">
        <v>43836</v>
      </c>
      <c r="B2611" s="19">
        <f t="shared" si="80"/>
        <v>2020</v>
      </c>
      <c r="C2611" s="19">
        <f t="shared" si="81"/>
        <v>1</v>
      </c>
      <c r="D2611" s="5" t="s">
        <v>905</v>
      </c>
      <c r="E2611" s="5" t="s">
        <v>898</v>
      </c>
      <c r="F2611" s="5" t="s">
        <v>19</v>
      </c>
      <c r="G2611" s="5" t="s">
        <v>32</v>
      </c>
      <c r="H2611" s="5" t="s">
        <v>876</v>
      </c>
      <c r="I2611" s="13">
        <v>147.74</v>
      </c>
      <c r="J2611" s="19">
        <v>7</v>
      </c>
      <c r="K2611" s="14">
        <v>15.5204</v>
      </c>
    </row>
    <row r="2612" spans="1:11" x14ac:dyDescent="0.25">
      <c r="A2612" s="2">
        <v>43837</v>
      </c>
      <c r="B2612" s="18">
        <f t="shared" si="80"/>
        <v>2020</v>
      </c>
      <c r="C2612" s="18">
        <f t="shared" si="81"/>
        <v>1</v>
      </c>
      <c r="D2612" s="3" t="s">
        <v>1959</v>
      </c>
      <c r="E2612" s="3" t="s">
        <v>18</v>
      </c>
      <c r="F2612" s="3" t="s">
        <v>19</v>
      </c>
      <c r="G2612" s="3" t="s">
        <v>20</v>
      </c>
      <c r="H2612" s="3" t="s">
        <v>1945</v>
      </c>
      <c r="I2612" s="11">
        <v>101.02</v>
      </c>
      <c r="J2612" s="18">
        <v>3</v>
      </c>
      <c r="K2612" s="12">
        <v>0.61019999999999996</v>
      </c>
    </row>
    <row r="2613" spans="1:11" x14ac:dyDescent="0.25">
      <c r="A2613" s="4">
        <v>43837</v>
      </c>
      <c r="B2613" s="19">
        <f t="shared" si="80"/>
        <v>2020</v>
      </c>
      <c r="C2613" s="19">
        <f t="shared" si="81"/>
        <v>1</v>
      </c>
      <c r="D2613" s="5" t="s">
        <v>1959</v>
      </c>
      <c r="E2613" s="5" t="s">
        <v>18</v>
      </c>
      <c r="F2613" s="5" t="s">
        <v>19</v>
      </c>
      <c r="G2613" s="5" t="s">
        <v>265</v>
      </c>
      <c r="H2613" s="5" t="s">
        <v>2080</v>
      </c>
      <c r="I2613" s="13">
        <v>156.11000000000001</v>
      </c>
      <c r="J2613" s="19">
        <v>7</v>
      </c>
      <c r="K2613" s="14">
        <v>31.931899999999999</v>
      </c>
    </row>
    <row r="2614" spans="1:11" x14ac:dyDescent="0.25">
      <c r="A2614" s="2">
        <v>43837</v>
      </c>
      <c r="B2614" s="18">
        <f t="shared" si="80"/>
        <v>2020</v>
      </c>
      <c r="C2614" s="18">
        <f t="shared" si="81"/>
        <v>1</v>
      </c>
      <c r="D2614" s="3" t="s">
        <v>1959</v>
      </c>
      <c r="E2614" s="3" t="s">
        <v>18</v>
      </c>
      <c r="F2614" s="3" t="s">
        <v>19</v>
      </c>
      <c r="G2614" s="3" t="s">
        <v>20</v>
      </c>
      <c r="H2614" s="3" t="s">
        <v>712</v>
      </c>
      <c r="I2614" s="11">
        <v>186.78</v>
      </c>
      <c r="J2614" s="18">
        <v>11</v>
      </c>
      <c r="K2614" s="12">
        <v>44.596200000000003</v>
      </c>
    </row>
    <row r="2615" spans="1:11" x14ac:dyDescent="0.25">
      <c r="A2615" s="4">
        <v>43837</v>
      </c>
      <c r="B2615" s="19">
        <f t="shared" si="80"/>
        <v>2020</v>
      </c>
      <c r="C2615" s="19">
        <f t="shared" si="81"/>
        <v>1</v>
      </c>
      <c r="D2615" s="5" t="s">
        <v>1695</v>
      </c>
      <c r="E2615" s="5" t="s">
        <v>365</v>
      </c>
      <c r="F2615" s="5" t="s">
        <v>14</v>
      </c>
      <c r="G2615" s="5" t="s">
        <v>188</v>
      </c>
      <c r="H2615" s="5" t="s">
        <v>2081</v>
      </c>
      <c r="I2615" s="13">
        <v>3096.982</v>
      </c>
      <c r="J2615" s="19">
        <v>2</v>
      </c>
      <c r="K2615" s="14">
        <v>679.99599999999998</v>
      </c>
    </row>
    <row r="2616" spans="1:11" x14ac:dyDescent="0.25">
      <c r="A2616" s="2">
        <v>43837</v>
      </c>
      <c r="B2616" s="18">
        <f t="shared" si="80"/>
        <v>2020</v>
      </c>
      <c r="C2616" s="18">
        <f t="shared" si="81"/>
        <v>1</v>
      </c>
      <c r="D2616" s="3" t="s">
        <v>1959</v>
      </c>
      <c r="E2616" s="3" t="s">
        <v>18</v>
      </c>
      <c r="F2616" s="3" t="s">
        <v>19</v>
      </c>
      <c r="G2616" s="3" t="s">
        <v>116</v>
      </c>
      <c r="H2616" s="3" t="s">
        <v>301</v>
      </c>
      <c r="I2616" s="11">
        <v>107.89</v>
      </c>
      <c r="J2616" s="18">
        <v>1</v>
      </c>
      <c r="K2616" s="12">
        <v>3.5505</v>
      </c>
    </row>
    <row r="2617" spans="1:11" x14ac:dyDescent="0.25">
      <c r="A2617" s="4">
        <v>43837</v>
      </c>
      <c r="B2617" s="19">
        <f t="shared" si="80"/>
        <v>2020</v>
      </c>
      <c r="C2617" s="19">
        <f t="shared" si="81"/>
        <v>1</v>
      </c>
      <c r="D2617" s="5" t="s">
        <v>2082</v>
      </c>
      <c r="E2617" s="5" t="s">
        <v>44</v>
      </c>
      <c r="F2617" s="5" t="s">
        <v>19</v>
      </c>
      <c r="G2617" s="5" t="s">
        <v>32</v>
      </c>
      <c r="H2617" s="5" t="s">
        <v>1162</v>
      </c>
      <c r="I2617" s="13">
        <v>93.808000000000007</v>
      </c>
      <c r="J2617" s="19">
        <v>3</v>
      </c>
      <c r="K2617" s="14">
        <v>-1.9656</v>
      </c>
    </row>
    <row r="2618" spans="1:11" x14ac:dyDescent="0.25">
      <c r="A2618" s="2">
        <v>43838</v>
      </c>
      <c r="B2618" s="18">
        <f t="shared" si="80"/>
        <v>2020</v>
      </c>
      <c r="C2618" s="18">
        <f t="shared" si="81"/>
        <v>1</v>
      </c>
      <c r="D2618" s="3" t="s">
        <v>812</v>
      </c>
      <c r="E2618" s="3" t="s">
        <v>70</v>
      </c>
      <c r="F2618" s="3" t="s">
        <v>11</v>
      </c>
      <c r="G2618" s="3" t="s">
        <v>30</v>
      </c>
      <c r="H2618" s="3" t="s">
        <v>1851</v>
      </c>
      <c r="I2618" s="11">
        <v>930.98</v>
      </c>
      <c r="J2618" s="18">
        <v>2</v>
      </c>
      <c r="K2618" s="12">
        <v>80.368200000000002</v>
      </c>
    </row>
    <row r="2619" spans="1:11" x14ac:dyDescent="0.25">
      <c r="A2619" s="4">
        <v>43839</v>
      </c>
      <c r="B2619" s="19">
        <f t="shared" si="80"/>
        <v>2020</v>
      </c>
      <c r="C2619" s="19">
        <f t="shared" si="81"/>
        <v>1</v>
      </c>
      <c r="D2619" s="5" t="s">
        <v>612</v>
      </c>
      <c r="E2619" s="5" t="s">
        <v>39</v>
      </c>
      <c r="F2619" s="5" t="s">
        <v>19</v>
      </c>
      <c r="G2619" s="5" t="s">
        <v>32</v>
      </c>
      <c r="H2619" s="5" t="s">
        <v>1920</v>
      </c>
      <c r="I2619" s="13">
        <v>311.49099999999999</v>
      </c>
      <c r="J2619" s="19">
        <v>3</v>
      </c>
      <c r="K2619" s="14">
        <v>-228.74250000000001</v>
      </c>
    </row>
    <row r="2620" spans="1:11" x14ac:dyDescent="0.25">
      <c r="A2620" s="2">
        <v>43842</v>
      </c>
      <c r="B2620" s="18">
        <f t="shared" si="80"/>
        <v>2020</v>
      </c>
      <c r="C2620" s="18">
        <f t="shared" si="81"/>
        <v>1</v>
      </c>
      <c r="D2620" s="3" t="s">
        <v>2083</v>
      </c>
      <c r="E2620" s="3" t="s">
        <v>23</v>
      </c>
      <c r="F2620" s="3" t="s">
        <v>19</v>
      </c>
      <c r="G2620" s="3" t="s">
        <v>32</v>
      </c>
      <c r="H2620" s="3" t="s">
        <v>1303</v>
      </c>
      <c r="I2620" s="11">
        <v>790.98</v>
      </c>
      <c r="J2620" s="18">
        <v>5</v>
      </c>
      <c r="K2620" s="12">
        <v>-1141.47</v>
      </c>
    </row>
    <row r="2621" spans="1:11" x14ac:dyDescent="0.25">
      <c r="A2621" s="4">
        <v>43842</v>
      </c>
      <c r="B2621" s="19">
        <f t="shared" si="80"/>
        <v>2020</v>
      </c>
      <c r="C2621" s="19">
        <f t="shared" si="81"/>
        <v>1</v>
      </c>
      <c r="D2621" s="5" t="s">
        <v>1240</v>
      </c>
      <c r="E2621" s="5" t="s">
        <v>18</v>
      </c>
      <c r="F2621" s="5" t="s">
        <v>19</v>
      </c>
      <c r="G2621" s="5" t="s">
        <v>86</v>
      </c>
      <c r="H2621" s="5" t="s">
        <v>176</v>
      </c>
      <c r="I2621" s="13">
        <v>96.78</v>
      </c>
      <c r="J2621" s="19">
        <v>1</v>
      </c>
      <c r="K2621" s="14">
        <v>4.8899999999999997</v>
      </c>
    </row>
    <row r="2622" spans="1:11" x14ac:dyDescent="0.25">
      <c r="A2622" s="2">
        <v>43842</v>
      </c>
      <c r="B2622" s="18">
        <f t="shared" si="80"/>
        <v>2020</v>
      </c>
      <c r="C2622" s="18">
        <f t="shared" si="81"/>
        <v>1</v>
      </c>
      <c r="D2622" s="3" t="s">
        <v>2084</v>
      </c>
      <c r="E2622" s="3" t="s">
        <v>913</v>
      </c>
      <c r="F2622" s="3" t="s">
        <v>11</v>
      </c>
      <c r="G2622" s="3" t="s">
        <v>51</v>
      </c>
      <c r="H2622" s="3" t="s">
        <v>736</v>
      </c>
      <c r="I2622" s="11">
        <v>164.68</v>
      </c>
      <c r="J2622" s="18">
        <v>2</v>
      </c>
      <c r="K2622" s="12">
        <v>15.8256</v>
      </c>
    </row>
    <row r="2623" spans="1:11" x14ac:dyDescent="0.25">
      <c r="A2623" s="4">
        <v>43842</v>
      </c>
      <c r="B2623" s="19">
        <f t="shared" si="80"/>
        <v>2020</v>
      </c>
      <c r="C2623" s="19">
        <f t="shared" si="81"/>
        <v>1</v>
      </c>
      <c r="D2623" s="5" t="s">
        <v>2084</v>
      </c>
      <c r="E2623" s="5" t="s">
        <v>913</v>
      </c>
      <c r="F2623" s="5" t="s">
        <v>19</v>
      </c>
      <c r="G2623" s="5" t="s">
        <v>53</v>
      </c>
      <c r="H2623" s="5" t="s">
        <v>1709</v>
      </c>
      <c r="I2623" s="13">
        <v>138.08000000000001</v>
      </c>
      <c r="J2623" s="19">
        <v>6</v>
      </c>
      <c r="K2623" s="14">
        <v>19.238399999999999</v>
      </c>
    </row>
    <row r="2624" spans="1:11" x14ac:dyDescent="0.25">
      <c r="A2624" s="2">
        <v>43843</v>
      </c>
      <c r="B2624" s="18">
        <f t="shared" si="80"/>
        <v>2020</v>
      </c>
      <c r="C2624" s="18">
        <f t="shared" si="81"/>
        <v>1</v>
      </c>
      <c r="D2624" s="3" t="s">
        <v>518</v>
      </c>
      <c r="E2624" s="3" t="s">
        <v>472</v>
      </c>
      <c r="F2624" s="3" t="s">
        <v>11</v>
      </c>
      <c r="G2624" s="3" t="s">
        <v>12</v>
      </c>
      <c r="H2624" s="3" t="s">
        <v>587</v>
      </c>
      <c r="I2624" s="11">
        <v>252.94</v>
      </c>
      <c r="J2624" s="18">
        <v>3</v>
      </c>
      <c r="K2624" s="12">
        <v>53.234999999999999</v>
      </c>
    </row>
    <row r="2625" spans="1:11" x14ac:dyDescent="0.25">
      <c r="A2625" s="4">
        <v>43843</v>
      </c>
      <c r="B2625" s="19">
        <f t="shared" si="80"/>
        <v>2020</v>
      </c>
      <c r="C2625" s="19">
        <f t="shared" si="81"/>
        <v>1</v>
      </c>
      <c r="D2625" s="5" t="s">
        <v>518</v>
      </c>
      <c r="E2625" s="5" t="s">
        <v>472</v>
      </c>
      <c r="F2625" s="5" t="s">
        <v>19</v>
      </c>
      <c r="G2625" s="5" t="s">
        <v>40</v>
      </c>
      <c r="H2625" s="5" t="s">
        <v>2085</v>
      </c>
      <c r="I2625" s="13">
        <v>258.94</v>
      </c>
      <c r="J2625" s="19">
        <v>6</v>
      </c>
      <c r="K2625" s="14">
        <v>54.584400000000002</v>
      </c>
    </row>
    <row r="2626" spans="1:11" x14ac:dyDescent="0.25">
      <c r="A2626" s="2">
        <v>43843</v>
      </c>
      <c r="B2626" s="18">
        <f t="shared" ref="B2626:B2689" si="82">YEAR(A2626)</f>
        <v>2020</v>
      </c>
      <c r="C2626" s="18">
        <f t="shared" ref="C2626:C2689" si="83">MONTH(A2626)</f>
        <v>1</v>
      </c>
      <c r="D2626" s="3" t="s">
        <v>518</v>
      </c>
      <c r="E2626" s="3" t="s">
        <v>472</v>
      </c>
      <c r="F2626" s="3" t="s">
        <v>19</v>
      </c>
      <c r="G2626" s="3" t="s">
        <v>265</v>
      </c>
      <c r="H2626" s="3" t="s">
        <v>2086</v>
      </c>
      <c r="I2626" s="11">
        <v>4200.05</v>
      </c>
      <c r="J2626" s="18">
        <v>5</v>
      </c>
      <c r="K2626" s="12">
        <v>83.281000000000006</v>
      </c>
    </row>
    <row r="2627" spans="1:11" x14ac:dyDescent="0.25">
      <c r="A2627" s="4">
        <v>43843</v>
      </c>
      <c r="B2627" s="19">
        <f t="shared" si="82"/>
        <v>2020</v>
      </c>
      <c r="C2627" s="19">
        <f t="shared" si="83"/>
        <v>1</v>
      </c>
      <c r="D2627" s="5" t="s">
        <v>518</v>
      </c>
      <c r="E2627" s="5" t="s">
        <v>472</v>
      </c>
      <c r="F2627" s="5" t="s">
        <v>19</v>
      </c>
      <c r="G2627" s="5" t="s">
        <v>53</v>
      </c>
      <c r="H2627" s="5" t="s">
        <v>837</v>
      </c>
      <c r="I2627" s="13">
        <v>121.4</v>
      </c>
      <c r="J2627" s="19">
        <v>5</v>
      </c>
      <c r="K2627" s="14">
        <v>15.552</v>
      </c>
    </row>
    <row r="2628" spans="1:11" x14ac:dyDescent="0.25">
      <c r="A2628" s="2">
        <v>43844</v>
      </c>
      <c r="B2628" s="18">
        <f t="shared" si="82"/>
        <v>2020</v>
      </c>
      <c r="C2628" s="18">
        <f t="shared" si="83"/>
        <v>1</v>
      </c>
      <c r="D2628" s="3" t="s">
        <v>308</v>
      </c>
      <c r="E2628" s="3" t="s">
        <v>219</v>
      </c>
      <c r="F2628" s="3" t="s">
        <v>14</v>
      </c>
      <c r="G2628" s="3" t="s">
        <v>15</v>
      </c>
      <c r="H2628" s="3" t="s">
        <v>1247</v>
      </c>
      <c r="I2628" s="11">
        <v>129.98400000000001</v>
      </c>
      <c r="J2628" s="18">
        <v>2</v>
      </c>
      <c r="K2628" s="12">
        <v>6.9989999999999997</v>
      </c>
    </row>
    <row r="2629" spans="1:11" x14ac:dyDescent="0.25">
      <c r="A2629" s="4">
        <v>43844</v>
      </c>
      <c r="B2629" s="19">
        <f t="shared" si="82"/>
        <v>2020</v>
      </c>
      <c r="C2629" s="19">
        <f t="shared" si="83"/>
        <v>1</v>
      </c>
      <c r="D2629" s="5" t="s">
        <v>2087</v>
      </c>
      <c r="E2629" s="5" t="s">
        <v>18</v>
      </c>
      <c r="F2629" s="5" t="s">
        <v>19</v>
      </c>
      <c r="G2629" s="5" t="s">
        <v>53</v>
      </c>
      <c r="H2629" s="5" t="s">
        <v>1062</v>
      </c>
      <c r="I2629" s="13">
        <v>183.9</v>
      </c>
      <c r="J2629" s="19">
        <v>5</v>
      </c>
      <c r="K2629" s="14">
        <v>69.704999999999998</v>
      </c>
    </row>
    <row r="2630" spans="1:11" x14ac:dyDescent="0.25">
      <c r="A2630" s="2">
        <v>43844</v>
      </c>
      <c r="B2630" s="18">
        <f t="shared" si="82"/>
        <v>2020</v>
      </c>
      <c r="C2630" s="18">
        <f t="shared" si="83"/>
        <v>1</v>
      </c>
      <c r="D2630" s="3" t="s">
        <v>2088</v>
      </c>
      <c r="E2630" s="3" t="s">
        <v>317</v>
      </c>
      <c r="F2630" s="3" t="s">
        <v>14</v>
      </c>
      <c r="G2630" s="3" t="s">
        <v>24</v>
      </c>
      <c r="H2630" s="3" t="s">
        <v>368</v>
      </c>
      <c r="I2630" s="11">
        <v>188.8</v>
      </c>
      <c r="J2630" s="18">
        <v>4</v>
      </c>
      <c r="K2630" s="12">
        <v>70.311999999999998</v>
      </c>
    </row>
    <row r="2631" spans="1:11" x14ac:dyDescent="0.25">
      <c r="A2631" s="4">
        <v>43844</v>
      </c>
      <c r="B2631" s="19">
        <f t="shared" si="82"/>
        <v>2020</v>
      </c>
      <c r="C2631" s="19">
        <f t="shared" si="83"/>
        <v>1</v>
      </c>
      <c r="D2631" s="5" t="s">
        <v>1678</v>
      </c>
      <c r="E2631" s="5" t="s">
        <v>306</v>
      </c>
      <c r="F2631" s="5" t="s">
        <v>14</v>
      </c>
      <c r="G2631" s="5" t="s">
        <v>24</v>
      </c>
      <c r="H2631" s="5" t="s">
        <v>102</v>
      </c>
      <c r="I2631" s="13">
        <v>194.06399999999999</v>
      </c>
      <c r="J2631" s="19">
        <v>7</v>
      </c>
      <c r="K2631" s="14">
        <v>-14.793100000000001</v>
      </c>
    </row>
    <row r="2632" spans="1:11" x14ac:dyDescent="0.25">
      <c r="A2632" s="2">
        <v>43844</v>
      </c>
      <c r="B2632" s="18">
        <f t="shared" si="82"/>
        <v>2020</v>
      </c>
      <c r="C2632" s="18">
        <f t="shared" si="83"/>
        <v>1</v>
      </c>
      <c r="D2632" s="3" t="s">
        <v>1678</v>
      </c>
      <c r="E2632" s="3" t="s">
        <v>306</v>
      </c>
      <c r="F2632" s="3" t="s">
        <v>19</v>
      </c>
      <c r="G2632" s="3" t="s">
        <v>20</v>
      </c>
      <c r="H2632" s="3" t="s">
        <v>1107</v>
      </c>
      <c r="I2632" s="11">
        <v>217.624</v>
      </c>
      <c r="J2632" s="18">
        <v>9</v>
      </c>
      <c r="K2632" s="12">
        <v>14.7546</v>
      </c>
    </row>
    <row r="2633" spans="1:11" x14ac:dyDescent="0.25">
      <c r="A2633" s="4">
        <v>43844</v>
      </c>
      <c r="B2633" s="19">
        <f t="shared" si="82"/>
        <v>2020</v>
      </c>
      <c r="C2633" s="19">
        <f t="shared" si="83"/>
        <v>1</v>
      </c>
      <c r="D2633" s="5" t="s">
        <v>732</v>
      </c>
      <c r="E2633" s="5" t="s">
        <v>35</v>
      </c>
      <c r="F2633" s="5" t="s">
        <v>14</v>
      </c>
      <c r="G2633" s="5" t="s">
        <v>15</v>
      </c>
      <c r="H2633" s="5" t="s">
        <v>2089</v>
      </c>
      <c r="I2633" s="13">
        <v>89.92</v>
      </c>
      <c r="J2633" s="19">
        <v>5</v>
      </c>
      <c r="K2633" s="14">
        <v>0.69299999999999995</v>
      </c>
    </row>
    <row r="2634" spans="1:11" x14ac:dyDescent="0.25">
      <c r="A2634" s="2">
        <v>43844</v>
      </c>
      <c r="B2634" s="18">
        <f t="shared" si="82"/>
        <v>2020</v>
      </c>
      <c r="C2634" s="18">
        <f t="shared" si="83"/>
        <v>1</v>
      </c>
      <c r="D2634" s="3" t="s">
        <v>2088</v>
      </c>
      <c r="E2634" s="3" t="s">
        <v>317</v>
      </c>
      <c r="F2634" s="3" t="s">
        <v>11</v>
      </c>
      <c r="G2634" s="3" t="s">
        <v>51</v>
      </c>
      <c r="H2634" s="3" t="s">
        <v>392</v>
      </c>
      <c r="I2634" s="11">
        <v>89.96</v>
      </c>
      <c r="J2634" s="18">
        <v>2</v>
      </c>
      <c r="K2634" s="12">
        <v>8.532</v>
      </c>
    </row>
    <row r="2635" spans="1:11" x14ac:dyDescent="0.25">
      <c r="A2635" s="4">
        <v>43844</v>
      </c>
      <c r="B2635" s="19">
        <f t="shared" si="82"/>
        <v>2020</v>
      </c>
      <c r="C2635" s="19">
        <f t="shared" si="83"/>
        <v>1</v>
      </c>
      <c r="D2635" s="5" t="s">
        <v>2088</v>
      </c>
      <c r="E2635" s="5" t="s">
        <v>317</v>
      </c>
      <c r="F2635" s="5" t="s">
        <v>14</v>
      </c>
      <c r="G2635" s="5" t="s">
        <v>24</v>
      </c>
      <c r="H2635" s="5" t="s">
        <v>2024</v>
      </c>
      <c r="I2635" s="13">
        <v>102.12</v>
      </c>
      <c r="J2635" s="19">
        <v>4</v>
      </c>
      <c r="K2635" s="14">
        <v>2.5451999999999999</v>
      </c>
    </row>
    <row r="2636" spans="1:11" x14ac:dyDescent="0.25">
      <c r="A2636" s="2">
        <v>43844</v>
      </c>
      <c r="B2636" s="18">
        <f t="shared" si="82"/>
        <v>2020</v>
      </c>
      <c r="C2636" s="18">
        <f t="shared" si="83"/>
        <v>1</v>
      </c>
      <c r="D2636" s="3" t="s">
        <v>2088</v>
      </c>
      <c r="E2636" s="3" t="s">
        <v>317</v>
      </c>
      <c r="F2636" s="3" t="s">
        <v>19</v>
      </c>
      <c r="G2636" s="3" t="s">
        <v>53</v>
      </c>
      <c r="H2636" s="3" t="s">
        <v>519</v>
      </c>
      <c r="I2636" s="11">
        <v>99.34</v>
      </c>
      <c r="J2636" s="18">
        <v>1</v>
      </c>
      <c r="K2636" s="12">
        <v>5.5566000000000004</v>
      </c>
    </row>
    <row r="2637" spans="1:11" x14ac:dyDescent="0.25">
      <c r="A2637" s="4">
        <v>43844</v>
      </c>
      <c r="B2637" s="19">
        <f t="shared" si="82"/>
        <v>2020</v>
      </c>
      <c r="C2637" s="19">
        <f t="shared" si="83"/>
        <v>1</v>
      </c>
      <c r="D2637" s="5" t="s">
        <v>308</v>
      </c>
      <c r="E2637" s="5" t="s">
        <v>219</v>
      </c>
      <c r="F2637" s="5" t="s">
        <v>19</v>
      </c>
      <c r="G2637" s="5" t="s">
        <v>32</v>
      </c>
      <c r="H2637" s="5" t="s">
        <v>280</v>
      </c>
      <c r="I2637" s="13">
        <v>101.508</v>
      </c>
      <c r="J2637" s="19">
        <v>2</v>
      </c>
      <c r="K2637" s="14">
        <v>-1.8391999999999999</v>
      </c>
    </row>
    <row r="2638" spans="1:11" x14ac:dyDescent="0.25">
      <c r="A2638" s="2">
        <v>43844</v>
      </c>
      <c r="B2638" s="18">
        <f t="shared" si="82"/>
        <v>2020</v>
      </c>
      <c r="C2638" s="18">
        <f t="shared" si="83"/>
        <v>1</v>
      </c>
      <c r="D2638" s="3" t="s">
        <v>2088</v>
      </c>
      <c r="E2638" s="3" t="s">
        <v>317</v>
      </c>
      <c r="F2638" s="3" t="s">
        <v>19</v>
      </c>
      <c r="G2638" s="3" t="s">
        <v>116</v>
      </c>
      <c r="H2638" s="3" t="s">
        <v>117</v>
      </c>
      <c r="I2638" s="11">
        <v>121.52</v>
      </c>
      <c r="J2638" s="18">
        <v>2</v>
      </c>
      <c r="K2638" s="12">
        <v>0.1008</v>
      </c>
    </row>
    <row r="2639" spans="1:11" x14ac:dyDescent="0.25">
      <c r="A2639" s="4">
        <v>43844</v>
      </c>
      <c r="B2639" s="19">
        <f t="shared" si="82"/>
        <v>2020</v>
      </c>
      <c r="C2639" s="19">
        <f t="shared" si="83"/>
        <v>1</v>
      </c>
      <c r="D2639" s="5" t="s">
        <v>308</v>
      </c>
      <c r="E2639" s="5" t="s">
        <v>219</v>
      </c>
      <c r="F2639" s="5" t="s">
        <v>19</v>
      </c>
      <c r="G2639" s="5" t="s">
        <v>32</v>
      </c>
      <c r="H2639" s="5" t="s">
        <v>1078</v>
      </c>
      <c r="I2639" s="13">
        <v>122.97</v>
      </c>
      <c r="J2639" s="19">
        <v>5</v>
      </c>
      <c r="K2639" s="14">
        <v>-4.577</v>
      </c>
    </row>
    <row r="2640" spans="1:11" x14ac:dyDescent="0.25">
      <c r="A2640" s="2">
        <v>43844</v>
      </c>
      <c r="B2640" s="18">
        <f t="shared" si="82"/>
        <v>2020</v>
      </c>
      <c r="C2640" s="18">
        <f t="shared" si="83"/>
        <v>1</v>
      </c>
      <c r="D2640" s="3" t="s">
        <v>2088</v>
      </c>
      <c r="E2640" s="3" t="s">
        <v>317</v>
      </c>
      <c r="F2640" s="3" t="s">
        <v>19</v>
      </c>
      <c r="G2640" s="3" t="s">
        <v>20</v>
      </c>
      <c r="H2640" s="3" t="s">
        <v>1048</v>
      </c>
      <c r="I2640" s="11">
        <v>108.76</v>
      </c>
      <c r="J2640" s="18">
        <v>2</v>
      </c>
      <c r="K2640" s="12">
        <v>5.2527999999999997</v>
      </c>
    </row>
    <row r="2641" spans="1:11" x14ac:dyDescent="0.25">
      <c r="A2641" s="4">
        <v>43844</v>
      </c>
      <c r="B2641" s="19">
        <f t="shared" si="82"/>
        <v>2020</v>
      </c>
      <c r="C2641" s="19">
        <f t="shared" si="83"/>
        <v>1</v>
      </c>
      <c r="D2641" s="5" t="s">
        <v>732</v>
      </c>
      <c r="E2641" s="5" t="s">
        <v>35</v>
      </c>
      <c r="F2641" s="5" t="s">
        <v>19</v>
      </c>
      <c r="G2641" s="5" t="s">
        <v>86</v>
      </c>
      <c r="H2641" s="5" t="s">
        <v>1324</v>
      </c>
      <c r="I2641" s="13">
        <v>114.744</v>
      </c>
      <c r="J2641" s="19">
        <v>1</v>
      </c>
      <c r="K2641" s="14">
        <v>7.3385999999999996</v>
      </c>
    </row>
    <row r="2642" spans="1:11" x14ac:dyDescent="0.25">
      <c r="A2642" s="2">
        <v>43844</v>
      </c>
      <c r="B2642" s="18">
        <f t="shared" si="82"/>
        <v>2020</v>
      </c>
      <c r="C2642" s="18">
        <f t="shared" si="83"/>
        <v>1</v>
      </c>
      <c r="D2642" s="3" t="s">
        <v>308</v>
      </c>
      <c r="E2642" s="3" t="s">
        <v>219</v>
      </c>
      <c r="F2642" s="3" t="s">
        <v>19</v>
      </c>
      <c r="G2642" s="3" t="s">
        <v>86</v>
      </c>
      <c r="H2642" s="3" t="s">
        <v>1955</v>
      </c>
      <c r="I2642" s="11">
        <v>136.33600000000001</v>
      </c>
      <c r="J2642" s="18">
        <v>3</v>
      </c>
      <c r="K2642" s="12">
        <v>6.6467999999999998</v>
      </c>
    </row>
    <row r="2643" spans="1:11" x14ac:dyDescent="0.25">
      <c r="A2643" s="4">
        <v>43844</v>
      </c>
      <c r="B2643" s="19">
        <f t="shared" si="82"/>
        <v>2020</v>
      </c>
      <c r="C2643" s="19">
        <f t="shared" si="83"/>
        <v>1</v>
      </c>
      <c r="D2643" s="5" t="s">
        <v>308</v>
      </c>
      <c r="E2643" s="5" t="s">
        <v>219</v>
      </c>
      <c r="F2643" s="5" t="s">
        <v>19</v>
      </c>
      <c r="G2643" s="5" t="s">
        <v>53</v>
      </c>
      <c r="H2643" s="5" t="s">
        <v>577</v>
      </c>
      <c r="I2643" s="13">
        <v>157.28800000000001</v>
      </c>
      <c r="J2643" s="19">
        <v>7</v>
      </c>
      <c r="K2643" s="14">
        <v>12.700799999999999</v>
      </c>
    </row>
    <row r="2644" spans="1:11" x14ac:dyDescent="0.25">
      <c r="A2644" s="2">
        <v>43844</v>
      </c>
      <c r="B2644" s="18">
        <f t="shared" si="82"/>
        <v>2020</v>
      </c>
      <c r="C2644" s="18">
        <f t="shared" si="83"/>
        <v>1</v>
      </c>
      <c r="D2644" s="3" t="s">
        <v>2088</v>
      </c>
      <c r="E2644" s="3" t="s">
        <v>317</v>
      </c>
      <c r="F2644" s="3" t="s">
        <v>19</v>
      </c>
      <c r="G2644" s="3" t="s">
        <v>20</v>
      </c>
      <c r="H2644" s="3" t="s">
        <v>1525</v>
      </c>
      <c r="I2644" s="11">
        <v>185.4</v>
      </c>
      <c r="J2644" s="18">
        <v>5</v>
      </c>
      <c r="K2644" s="12">
        <v>17.524000000000001</v>
      </c>
    </row>
    <row r="2645" spans="1:11" x14ac:dyDescent="0.25">
      <c r="A2645" s="4">
        <v>43844</v>
      </c>
      <c r="B2645" s="19">
        <f t="shared" si="82"/>
        <v>2020</v>
      </c>
      <c r="C2645" s="19">
        <f t="shared" si="83"/>
        <v>1</v>
      </c>
      <c r="D2645" s="5" t="s">
        <v>2088</v>
      </c>
      <c r="E2645" s="5" t="s">
        <v>317</v>
      </c>
      <c r="F2645" s="5" t="s">
        <v>14</v>
      </c>
      <c r="G2645" s="5" t="s">
        <v>15</v>
      </c>
      <c r="H2645" s="5" t="s">
        <v>1993</v>
      </c>
      <c r="I2645" s="13">
        <v>168.8</v>
      </c>
      <c r="J2645" s="19">
        <v>4</v>
      </c>
      <c r="K2645" s="14">
        <v>1.3560000000000001</v>
      </c>
    </row>
    <row r="2646" spans="1:11" x14ac:dyDescent="0.25">
      <c r="A2646" s="2">
        <v>43845</v>
      </c>
      <c r="B2646" s="18">
        <f t="shared" si="82"/>
        <v>2020</v>
      </c>
      <c r="C2646" s="18">
        <f t="shared" si="83"/>
        <v>1</v>
      </c>
      <c r="D2646" s="3" t="s">
        <v>160</v>
      </c>
      <c r="E2646" s="3" t="s">
        <v>23</v>
      </c>
      <c r="F2646" s="3" t="s">
        <v>14</v>
      </c>
      <c r="G2646" s="3" t="s">
        <v>24</v>
      </c>
      <c r="H2646" s="3" t="s">
        <v>2090</v>
      </c>
      <c r="I2646" s="11">
        <v>102.592</v>
      </c>
      <c r="J2646" s="18">
        <v>8</v>
      </c>
      <c r="K2646" s="12">
        <v>13.300800000000001</v>
      </c>
    </row>
    <row r="2647" spans="1:11" x14ac:dyDescent="0.25">
      <c r="A2647" s="4">
        <v>43845</v>
      </c>
      <c r="B2647" s="19">
        <f t="shared" si="82"/>
        <v>2020</v>
      </c>
      <c r="C2647" s="19">
        <f t="shared" si="83"/>
        <v>1</v>
      </c>
      <c r="D2647" s="5" t="s">
        <v>949</v>
      </c>
      <c r="E2647" s="5" t="s">
        <v>39</v>
      </c>
      <c r="F2647" s="5" t="s">
        <v>19</v>
      </c>
      <c r="G2647" s="5" t="s">
        <v>121</v>
      </c>
      <c r="H2647" s="5" t="s">
        <v>450</v>
      </c>
      <c r="I2647" s="13">
        <v>1942.16</v>
      </c>
      <c r="J2647" s="19">
        <v>8</v>
      </c>
      <c r="K2647" s="14">
        <v>312.67599999999999</v>
      </c>
    </row>
    <row r="2648" spans="1:11" x14ac:dyDescent="0.25">
      <c r="A2648" s="2">
        <v>43845</v>
      </c>
      <c r="B2648" s="18">
        <f t="shared" si="82"/>
        <v>2020</v>
      </c>
      <c r="C2648" s="18">
        <f t="shared" si="83"/>
        <v>1</v>
      </c>
      <c r="D2648" s="3" t="s">
        <v>160</v>
      </c>
      <c r="E2648" s="3" t="s">
        <v>23</v>
      </c>
      <c r="F2648" s="3" t="s">
        <v>19</v>
      </c>
      <c r="G2648" s="3" t="s">
        <v>32</v>
      </c>
      <c r="H2648" s="3" t="s">
        <v>2091</v>
      </c>
      <c r="I2648" s="11">
        <v>98.275999999999996</v>
      </c>
      <c r="J2648" s="18">
        <v>1</v>
      </c>
      <c r="K2648" s="12">
        <v>-6.6277999999999997</v>
      </c>
    </row>
    <row r="2649" spans="1:11" x14ac:dyDescent="0.25">
      <c r="A2649" s="4">
        <v>43845</v>
      </c>
      <c r="B2649" s="19">
        <f t="shared" si="82"/>
        <v>2020</v>
      </c>
      <c r="C2649" s="19">
        <f t="shared" si="83"/>
        <v>1</v>
      </c>
      <c r="D2649" s="5" t="s">
        <v>699</v>
      </c>
      <c r="E2649" s="5" t="s">
        <v>18</v>
      </c>
      <c r="F2649" s="5" t="s">
        <v>19</v>
      </c>
      <c r="G2649" s="5" t="s">
        <v>40</v>
      </c>
      <c r="H2649" s="5" t="s">
        <v>2092</v>
      </c>
      <c r="I2649" s="13">
        <v>108.4</v>
      </c>
      <c r="J2649" s="19">
        <v>5</v>
      </c>
      <c r="K2649" s="14">
        <v>6.2060000000000004</v>
      </c>
    </row>
    <row r="2650" spans="1:11" x14ac:dyDescent="0.25">
      <c r="A2650" s="2">
        <v>43845</v>
      </c>
      <c r="B2650" s="18">
        <f t="shared" si="82"/>
        <v>2020</v>
      </c>
      <c r="C2650" s="18">
        <f t="shared" si="83"/>
        <v>1</v>
      </c>
      <c r="D2650" s="3" t="s">
        <v>855</v>
      </c>
      <c r="E2650" s="3" t="s">
        <v>370</v>
      </c>
      <c r="F2650" s="3" t="s">
        <v>19</v>
      </c>
      <c r="G2650" s="3" t="s">
        <v>53</v>
      </c>
      <c r="H2650" s="3" t="s">
        <v>915</v>
      </c>
      <c r="I2650" s="11">
        <v>134.69999999999999</v>
      </c>
      <c r="J2650" s="18">
        <v>2</v>
      </c>
      <c r="K2650" s="12">
        <v>5.8419999999999996</v>
      </c>
    </row>
    <row r="2651" spans="1:11" x14ac:dyDescent="0.25">
      <c r="A2651" s="4">
        <v>43845</v>
      </c>
      <c r="B2651" s="19">
        <f t="shared" si="82"/>
        <v>2020</v>
      </c>
      <c r="C2651" s="19">
        <f t="shared" si="83"/>
        <v>1</v>
      </c>
      <c r="D2651" s="5" t="s">
        <v>160</v>
      </c>
      <c r="E2651" s="5" t="s">
        <v>23</v>
      </c>
      <c r="F2651" s="5" t="s">
        <v>19</v>
      </c>
      <c r="G2651" s="5" t="s">
        <v>32</v>
      </c>
      <c r="H2651" s="5" t="s">
        <v>1503</v>
      </c>
      <c r="I2651" s="13">
        <v>118.78400000000001</v>
      </c>
      <c r="J2651" s="19">
        <v>4</v>
      </c>
      <c r="K2651" s="14">
        <v>-52.4544</v>
      </c>
    </row>
    <row r="2652" spans="1:11" x14ac:dyDescent="0.25">
      <c r="A2652" s="2">
        <v>43845</v>
      </c>
      <c r="B2652" s="18">
        <f t="shared" si="82"/>
        <v>2020</v>
      </c>
      <c r="C2652" s="18">
        <f t="shared" si="83"/>
        <v>1</v>
      </c>
      <c r="D2652" s="3" t="s">
        <v>949</v>
      </c>
      <c r="E2652" s="3" t="s">
        <v>39</v>
      </c>
      <c r="F2652" s="3" t="s">
        <v>19</v>
      </c>
      <c r="G2652" s="3" t="s">
        <v>121</v>
      </c>
      <c r="H2652" s="3" t="s">
        <v>1468</v>
      </c>
      <c r="I2652" s="11">
        <v>136.38399999999999</v>
      </c>
      <c r="J2652" s="18">
        <v>1</v>
      </c>
      <c r="K2652" s="12">
        <v>3.8681999999999999</v>
      </c>
    </row>
    <row r="2653" spans="1:11" x14ac:dyDescent="0.25">
      <c r="A2653" s="4">
        <v>43845</v>
      </c>
      <c r="B2653" s="19">
        <f t="shared" si="82"/>
        <v>2020</v>
      </c>
      <c r="C2653" s="19">
        <f t="shared" si="83"/>
        <v>1</v>
      </c>
      <c r="D2653" s="5" t="s">
        <v>160</v>
      </c>
      <c r="E2653" s="5" t="s">
        <v>23</v>
      </c>
      <c r="F2653" s="5" t="s">
        <v>14</v>
      </c>
      <c r="G2653" s="5" t="s">
        <v>24</v>
      </c>
      <c r="H2653" s="5" t="s">
        <v>106</v>
      </c>
      <c r="I2653" s="13">
        <v>160.98400000000001</v>
      </c>
      <c r="J2653" s="19">
        <v>2</v>
      </c>
      <c r="K2653" s="14">
        <v>14.395200000000001</v>
      </c>
    </row>
    <row r="2654" spans="1:11" x14ac:dyDescent="0.25">
      <c r="A2654" s="2">
        <v>43846</v>
      </c>
      <c r="B2654" s="18">
        <f t="shared" si="82"/>
        <v>2020</v>
      </c>
      <c r="C2654" s="18">
        <f t="shared" si="83"/>
        <v>1</v>
      </c>
      <c r="D2654" s="3" t="s">
        <v>1666</v>
      </c>
      <c r="E2654" s="3" t="s">
        <v>365</v>
      </c>
      <c r="F2654" s="3" t="s">
        <v>11</v>
      </c>
      <c r="G2654" s="3" t="s">
        <v>112</v>
      </c>
      <c r="H2654" s="3" t="s">
        <v>1297</v>
      </c>
      <c r="I2654" s="11">
        <v>340.67</v>
      </c>
      <c r="J2654" s="18">
        <v>3</v>
      </c>
      <c r="K2654" s="12">
        <v>72.640799999999999</v>
      </c>
    </row>
    <row r="2655" spans="1:11" x14ac:dyDescent="0.25">
      <c r="A2655" s="4">
        <v>43846</v>
      </c>
      <c r="B2655" s="19">
        <f t="shared" si="82"/>
        <v>2020</v>
      </c>
      <c r="C2655" s="19">
        <f t="shared" si="83"/>
        <v>1</v>
      </c>
      <c r="D2655" s="5" t="s">
        <v>55</v>
      </c>
      <c r="E2655" s="5" t="s">
        <v>18</v>
      </c>
      <c r="F2655" s="5" t="s">
        <v>11</v>
      </c>
      <c r="G2655" s="5" t="s">
        <v>30</v>
      </c>
      <c r="H2655" s="5" t="s">
        <v>2093</v>
      </c>
      <c r="I2655" s="13">
        <v>436.67200000000003</v>
      </c>
      <c r="J2655" s="19">
        <v>7</v>
      </c>
      <c r="K2655" s="14">
        <v>-14.9877</v>
      </c>
    </row>
    <row r="2656" spans="1:11" x14ac:dyDescent="0.25">
      <c r="A2656" s="2">
        <v>43846</v>
      </c>
      <c r="B2656" s="18">
        <f t="shared" si="82"/>
        <v>2020</v>
      </c>
      <c r="C2656" s="18">
        <f t="shared" si="83"/>
        <v>1</v>
      </c>
      <c r="D2656" s="3" t="s">
        <v>1666</v>
      </c>
      <c r="E2656" s="3" t="s">
        <v>365</v>
      </c>
      <c r="F2656" s="3" t="s">
        <v>19</v>
      </c>
      <c r="G2656" s="3" t="s">
        <v>32</v>
      </c>
      <c r="H2656" s="3" t="s">
        <v>580</v>
      </c>
      <c r="I2656" s="11">
        <v>5455.96</v>
      </c>
      <c r="J2656" s="18">
        <v>4</v>
      </c>
      <c r="K2656" s="12">
        <v>2504.2215999999999</v>
      </c>
    </row>
    <row r="2657" spans="1:11" x14ac:dyDescent="0.25">
      <c r="A2657" s="4">
        <v>43846</v>
      </c>
      <c r="B2657" s="19">
        <f t="shared" si="82"/>
        <v>2020</v>
      </c>
      <c r="C2657" s="19">
        <f t="shared" si="83"/>
        <v>1</v>
      </c>
      <c r="D2657" s="5" t="s">
        <v>55</v>
      </c>
      <c r="E2657" s="5" t="s">
        <v>18</v>
      </c>
      <c r="F2657" s="5" t="s">
        <v>11</v>
      </c>
      <c r="G2657" s="5" t="s">
        <v>51</v>
      </c>
      <c r="H2657" s="5" t="s">
        <v>2094</v>
      </c>
      <c r="I2657" s="13">
        <v>141.91999999999999</v>
      </c>
      <c r="J2657" s="19">
        <v>4</v>
      </c>
      <c r="K2657" s="14">
        <v>8.0968</v>
      </c>
    </row>
    <row r="2658" spans="1:11" x14ac:dyDescent="0.25">
      <c r="A2658" s="2">
        <v>43846</v>
      </c>
      <c r="B2658" s="18">
        <f t="shared" si="82"/>
        <v>2020</v>
      </c>
      <c r="C2658" s="18">
        <f t="shared" si="83"/>
        <v>1</v>
      </c>
      <c r="D2658" s="3" t="s">
        <v>1666</v>
      </c>
      <c r="E2658" s="3" t="s">
        <v>365</v>
      </c>
      <c r="F2658" s="3" t="s">
        <v>19</v>
      </c>
      <c r="G2658" s="3" t="s">
        <v>53</v>
      </c>
      <c r="H2658" s="3" t="s">
        <v>813</v>
      </c>
      <c r="I2658" s="11">
        <v>167.07</v>
      </c>
      <c r="J2658" s="18">
        <v>7</v>
      </c>
      <c r="K2658" s="12">
        <v>25.2315</v>
      </c>
    </row>
    <row r="2659" spans="1:11" x14ac:dyDescent="0.25">
      <c r="A2659" s="4">
        <v>43849</v>
      </c>
      <c r="B2659" s="19">
        <f t="shared" si="82"/>
        <v>2020</v>
      </c>
      <c r="C2659" s="19">
        <f t="shared" si="83"/>
        <v>1</v>
      </c>
      <c r="D2659" s="5" t="s">
        <v>586</v>
      </c>
      <c r="E2659" s="5" t="s">
        <v>138</v>
      </c>
      <c r="F2659" s="5" t="s">
        <v>19</v>
      </c>
      <c r="G2659" s="5" t="s">
        <v>53</v>
      </c>
      <c r="H2659" s="5" t="s">
        <v>998</v>
      </c>
      <c r="I2659" s="13">
        <v>101.92</v>
      </c>
      <c r="J2659" s="19">
        <v>4</v>
      </c>
      <c r="K2659" s="14">
        <v>37.562399999999997</v>
      </c>
    </row>
    <row r="2660" spans="1:11" x14ac:dyDescent="0.25">
      <c r="A2660" s="2">
        <v>43849</v>
      </c>
      <c r="B2660" s="18">
        <f t="shared" si="82"/>
        <v>2020</v>
      </c>
      <c r="C2660" s="18">
        <f t="shared" si="83"/>
        <v>1</v>
      </c>
      <c r="D2660" s="3" t="s">
        <v>1914</v>
      </c>
      <c r="E2660" s="3" t="s">
        <v>39</v>
      </c>
      <c r="F2660" s="3" t="s">
        <v>14</v>
      </c>
      <c r="G2660" s="3" t="s">
        <v>15</v>
      </c>
      <c r="H2660" s="3" t="s">
        <v>941</v>
      </c>
      <c r="I2660" s="11">
        <v>455.6</v>
      </c>
      <c r="J2660" s="18">
        <v>2</v>
      </c>
      <c r="K2660" s="12">
        <v>-93.08</v>
      </c>
    </row>
    <row r="2661" spans="1:11" x14ac:dyDescent="0.25">
      <c r="A2661" s="4">
        <v>43849</v>
      </c>
      <c r="B2661" s="19">
        <f t="shared" si="82"/>
        <v>2020</v>
      </c>
      <c r="C2661" s="19">
        <f t="shared" si="83"/>
        <v>1</v>
      </c>
      <c r="D2661" s="5" t="s">
        <v>586</v>
      </c>
      <c r="E2661" s="5" t="s">
        <v>138</v>
      </c>
      <c r="F2661" s="5" t="s">
        <v>19</v>
      </c>
      <c r="G2661" s="5" t="s">
        <v>121</v>
      </c>
      <c r="H2661" s="5" t="s">
        <v>2095</v>
      </c>
      <c r="I2661" s="13">
        <v>573.94000000000005</v>
      </c>
      <c r="J2661" s="19">
        <v>3</v>
      </c>
      <c r="K2661" s="14">
        <v>152.0232</v>
      </c>
    </row>
    <row r="2662" spans="1:11" x14ac:dyDescent="0.25">
      <c r="A2662" s="2">
        <v>43849</v>
      </c>
      <c r="B2662" s="18">
        <f t="shared" si="82"/>
        <v>2020</v>
      </c>
      <c r="C2662" s="18">
        <f t="shared" si="83"/>
        <v>1</v>
      </c>
      <c r="D2662" s="3" t="s">
        <v>1914</v>
      </c>
      <c r="E2662" s="3" t="s">
        <v>39</v>
      </c>
      <c r="F2662" s="3" t="s">
        <v>11</v>
      </c>
      <c r="G2662" s="3" t="s">
        <v>112</v>
      </c>
      <c r="H2662" s="3" t="s">
        <v>439</v>
      </c>
      <c r="I2662" s="11">
        <v>914.27099999999996</v>
      </c>
      <c r="J2662" s="18">
        <v>3</v>
      </c>
      <c r="K2662" s="12">
        <v>-63.3765</v>
      </c>
    </row>
    <row r="2663" spans="1:11" x14ac:dyDescent="0.25">
      <c r="A2663" s="4">
        <v>43849</v>
      </c>
      <c r="B2663" s="19">
        <f t="shared" si="82"/>
        <v>2020</v>
      </c>
      <c r="C2663" s="19">
        <f t="shared" si="83"/>
        <v>1</v>
      </c>
      <c r="D2663" s="5" t="s">
        <v>292</v>
      </c>
      <c r="E2663" s="5" t="s">
        <v>23</v>
      </c>
      <c r="F2663" s="5" t="s">
        <v>19</v>
      </c>
      <c r="G2663" s="5" t="s">
        <v>127</v>
      </c>
      <c r="H2663" s="5" t="s">
        <v>2096</v>
      </c>
      <c r="I2663" s="13">
        <v>103</v>
      </c>
      <c r="J2663" s="19">
        <v>2</v>
      </c>
      <c r="K2663" s="14">
        <v>2.1</v>
      </c>
    </row>
    <row r="2664" spans="1:11" x14ac:dyDescent="0.25">
      <c r="A2664" s="2">
        <v>43849</v>
      </c>
      <c r="B2664" s="18">
        <f t="shared" si="82"/>
        <v>2020</v>
      </c>
      <c r="C2664" s="18">
        <f t="shared" si="83"/>
        <v>1</v>
      </c>
      <c r="D2664" s="3" t="s">
        <v>586</v>
      </c>
      <c r="E2664" s="3" t="s">
        <v>138</v>
      </c>
      <c r="F2664" s="3" t="s">
        <v>19</v>
      </c>
      <c r="G2664" s="3" t="s">
        <v>86</v>
      </c>
      <c r="H2664" s="3" t="s">
        <v>620</v>
      </c>
      <c r="I2664" s="11">
        <v>109.04</v>
      </c>
      <c r="J2664" s="18">
        <v>1</v>
      </c>
      <c r="K2664" s="12">
        <v>0.95879999999999999</v>
      </c>
    </row>
    <row r="2665" spans="1:11" x14ac:dyDescent="0.25">
      <c r="A2665" s="4">
        <v>43849</v>
      </c>
      <c r="B2665" s="19">
        <f t="shared" si="82"/>
        <v>2020</v>
      </c>
      <c r="C2665" s="19">
        <f t="shared" si="83"/>
        <v>1</v>
      </c>
      <c r="D2665" s="5" t="s">
        <v>1914</v>
      </c>
      <c r="E2665" s="5" t="s">
        <v>39</v>
      </c>
      <c r="F2665" s="5" t="s">
        <v>19</v>
      </c>
      <c r="G2665" s="5" t="s">
        <v>53</v>
      </c>
      <c r="H2665" s="5" t="s">
        <v>2037</v>
      </c>
      <c r="I2665" s="13">
        <v>117.696</v>
      </c>
      <c r="J2665" s="19">
        <v>4</v>
      </c>
      <c r="K2665" s="14">
        <v>7.0511999999999997</v>
      </c>
    </row>
    <row r="2666" spans="1:11" x14ac:dyDescent="0.25">
      <c r="A2666" s="2">
        <v>43849</v>
      </c>
      <c r="B2666" s="18">
        <f t="shared" si="82"/>
        <v>2020</v>
      </c>
      <c r="C2666" s="18">
        <f t="shared" si="83"/>
        <v>1</v>
      </c>
      <c r="D2666" s="3" t="s">
        <v>586</v>
      </c>
      <c r="E2666" s="3" t="s">
        <v>138</v>
      </c>
      <c r="F2666" s="3" t="s">
        <v>19</v>
      </c>
      <c r="G2666" s="3" t="s">
        <v>53</v>
      </c>
      <c r="H2666" s="3" t="s">
        <v>730</v>
      </c>
      <c r="I2666" s="11">
        <v>116.28</v>
      </c>
      <c r="J2666" s="18">
        <v>1</v>
      </c>
      <c r="K2666" s="12">
        <v>5.7716000000000003</v>
      </c>
    </row>
    <row r="2667" spans="1:11" x14ac:dyDescent="0.25">
      <c r="A2667" s="4">
        <v>43849</v>
      </c>
      <c r="B2667" s="19">
        <f t="shared" si="82"/>
        <v>2020</v>
      </c>
      <c r="C2667" s="19">
        <f t="shared" si="83"/>
        <v>1</v>
      </c>
      <c r="D2667" s="5" t="s">
        <v>1914</v>
      </c>
      <c r="E2667" s="5" t="s">
        <v>39</v>
      </c>
      <c r="F2667" s="5" t="s">
        <v>11</v>
      </c>
      <c r="G2667" s="5" t="s">
        <v>51</v>
      </c>
      <c r="H2667" s="5" t="s">
        <v>738</v>
      </c>
      <c r="I2667" s="13">
        <v>124.968</v>
      </c>
      <c r="J2667" s="19">
        <v>2</v>
      </c>
      <c r="K2667" s="14">
        <v>6.3936000000000002</v>
      </c>
    </row>
    <row r="2668" spans="1:11" x14ac:dyDescent="0.25">
      <c r="A2668" s="2">
        <v>43850</v>
      </c>
      <c r="B2668" s="18">
        <f t="shared" si="82"/>
        <v>2020</v>
      </c>
      <c r="C2668" s="18">
        <f t="shared" si="83"/>
        <v>1</v>
      </c>
      <c r="D2668" s="3" t="s">
        <v>815</v>
      </c>
      <c r="E2668" s="3" t="s">
        <v>18</v>
      </c>
      <c r="F2668" s="3" t="s">
        <v>14</v>
      </c>
      <c r="G2668" s="3" t="s">
        <v>15</v>
      </c>
      <c r="H2668" s="3" t="s">
        <v>2097</v>
      </c>
      <c r="I2668" s="11">
        <v>184.77600000000001</v>
      </c>
      <c r="J2668" s="18">
        <v>3</v>
      </c>
      <c r="K2668" s="12">
        <v>10.048500000000001</v>
      </c>
    </row>
    <row r="2669" spans="1:11" x14ac:dyDescent="0.25">
      <c r="A2669" s="4">
        <v>43850</v>
      </c>
      <c r="B2669" s="19">
        <f t="shared" si="82"/>
        <v>2020</v>
      </c>
      <c r="C2669" s="19">
        <f t="shared" si="83"/>
        <v>1</v>
      </c>
      <c r="D2669" s="5" t="s">
        <v>817</v>
      </c>
      <c r="E2669" s="5" t="s">
        <v>94</v>
      </c>
      <c r="F2669" s="5" t="s">
        <v>11</v>
      </c>
      <c r="G2669" s="5" t="s">
        <v>112</v>
      </c>
      <c r="H2669" s="5" t="s">
        <v>1629</v>
      </c>
      <c r="I2669" s="13">
        <v>240.846</v>
      </c>
      <c r="J2669" s="19">
        <v>3</v>
      </c>
      <c r="K2669" s="14">
        <v>2.3094000000000001</v>
      </c>
    </row>
    <row r="2670" spans="1:11" x14ac:dyDescent="0.25">
      <c r="A2670" s="2">
        <v>43850</v>
      </c>
      <c r="B2670" s="18">
        <f t="shared" si="82"/>
        <v>2020</v>
      </c>
      <c r="C2670" s="18">
        <f t="shared" si="83"/>
        <v>1</v>
      </c>
      <c r="D2670" s="3" t="s">
        <v>2098</v>
      </c>
      <c r="E2670" s="3" t="s">
        <v>18</v>
      </c>
      <c r="F2670" s="3" t="s">
        <v>14</v>
      </c>
      <c r="G2670" s="3" t="s">
        <v>15</v>
      </c>
      <c r="H2670" s="3" t="s">
        <v>1732</v>
      </c>
      <c r="I2670" s="11">
        <v>394.976</v>
      </c>
      <c r="J2670" s="18">
        <v>3</v>
      </c>
      <c r="K2670" s="12">
        <v>130.4913</v>
      </c>
    </row>
    <row r="2671" spans="1:11" x14ac:dyDescent="0.25">
      <c r="A2671" s="4">
        <v>43850</v>
      </c>
      <c r="B2671" s="19">
        <f t="shared" si="82"/>
        <v>2020</v>
      </c>
      <c r="C2671" s="19">
        <f t="shared" si="83"/>
        <v>1</v>
      </c>
      <c r="D2671" s="5" t="s">
        <v>154</v>
      </c>
      <c r="E2671" s="5" t="s">
        <v>91</v>
      </c>
      <c r="F2671" s="5" t="s">
        <v>19</v>
      </c>
      <c r="G2671" s="5" t="s">
        <v>40</v>
      </c>
      <c r="H2671" s="5" t="s">
        <v>1054</v>
      </c>
      <c r="I2671" s="13">
        <v>111.52</v>
      </c>
      <c r="J2671" s="19">
        <v>2</v>
      </c>
      <c r="K2671" s="14">
        <v>1.0207999999999999</v>
      </c>
    </row>
    <row r="2672" spans="1:11" x14ac:dyDescent="0.25">
      <c r="A2672" s="2">
        <v>43850</v>
      </c>
      <c r="B2672" s="18">
        <f t="shared" si="82"/>
        <v>2020</v>
      </c>
      <c r="C2672" s="18">
        <f t="shared" si="83"/>
        <v>1</v>
      </c>
      <c r="D2672" s="3" t="s">
        <v>1668</v>
      </c>
      <c r="E2672" s="3" t="s">
        <v>164</v>
      </c>
      <c r="F2672" s="3" t="s">
        <v>19</v>
      </c>
      <c r="G2672" s="3" t="s">
        <v>127</v>
      </c>
      <c r="H2672" s="3" t="s">
        <v>1825</v>
      </c>
      <c r="I2672" s="11">
        <v>115.52</v>
      </c>
      <c r="J2672" s="18">
        <v>5</v>
      </c>
      <c r="K2672" s="12">
        <v>4.1760000000000002</v>
      </c>
    </row>
    <row r="2673" spans="1:11" x14ac:dyDescent="0.25">
      <c r="A2673" s="4">
        <v>43850</v>
      </c>
      <c r="B2673" s="19">
        <f t="shared" si="82"/>
        <v>2020</v>
      </c>
      <c r="C2673" s="19">
        <f t="shared" si="83"/>
        <v>1</v>
      </c>
      <c r="D2673" s="5" t="s">
        <v>2098</v>
      </c>
      <c r="E2673" s="5" t="s">
        <v>18</v>
      </c>
      <c r="F2673" s="5" t="s">
        <v>19</v>
      </c>
      <c r="G2673" s="5" t="s">
        <v>40</v>
      </c>
      <c r="H2673" s="5" t="s">
        <v>1672</v>
      </c>
      <c r="I2673" s="13">
        <v>152.19999999999999</v>
      </c>
      <c r="J2673" s="19">
        <v>5</v>
      </c>
      <c r="K2673" s="14">
        <v>7.9859999999999998</v>
      </c>
    </row>
    <row r="2674" spans="1:11" x14ac:dyDescent="0.25">
      <c r="A2674" s="2">
        <v>43851</v>
      </c>
      <c r="B2674" s="18">
        <f t="shared" si="82"/>
        <v>2020</v>
      </c>
      <c r="C2674" s="18">
        <f t="shared" si="83"/>
        <v>1</v>
      </c>
      <c r="D2674" s="3" t="s">
        <v>2099</v>
      </c>
      <c r="E2674" s="3" t="s">
        <v>70</v>
      </c>
      <c r="F2674" s="3" t="s">
        <v>11</v>
      </c>
      <c r="G2674" s="3" t="s">
        <v>12</v>
      </c>
      <c r="H2674" s="3" t="s">
        <v>1922</v>
      </c>
      <c r="I2674" s="11">
        <v>106.98</v>
      </c>
      <c r="J2674" s="18">
        <v>1</v>
      </c>
      <c r="K2674" s="12">
        <v>18.695599999999999</v>
      </c>
    </row>
    <row r="2675" spans="1:11" x14ac:dyDescent="0.25">
      <c r="A2675" s="4">
        <v>43851</v>
      </c>
      <c r="B2675" s="19">
        <f t="shared" si="82"/>
        <v>2020</v>
      </c>
      <c r="C2675" s="19">
        <f t="shared" si="83"/>
        <v>1</v>
      </c>
      <c r="D2675" s="5" t="s">
        <v>1404</v>
      </c>
      <c r="E2675" s="5" t="s">
        <v>365</v>
      </c>
      <c r="F2675" s="5" t="s">
        <v>19</v>
      </c>
      <c r="G2675" s="5" t="s">
        <v>32</v>
      </c>
      <c r="H2675" s="5" t="s">
        <v>2100</v>
      </c>
      <c r="I2675" s="13">
        <v>109.52</v>
      </c>
      <c r="J2675" s="19">
        <v>4</v>
      </c>
      <c r="K2675" s="14">
        <v>42.074399999999997</v>
      </c>
    </row>
    <row r="2676" spans="1:11" x14ac:dyDescent="0.25">
      <c r="A2676" s="2">
        <v>43851</v>
      </c>
      <c r="B2676" s="18">
        <f t="shared" si="82"/>
        <v>2020</v>
      </c>
      <c r="C2676" s="18">
        <f t="shared" si="83"/>
        <v>1</v>
      </c>
      <c r="D2676" s="3" t="s">
        <v>2099</v>
      </c>
      <c r="E2676" s="3" t="s">
        <v>70</v>
      </c>
      <c r="F2676" s="3" t="s">
        <v>19</v>
      </c>
      <c r="G2676" s="3" t="s">
        <v>32</v>
      </c>
      <c r="H2676" s="3" t="s">
        <v>1832</v>
      </c>
      <c r="I2676" s="11">
        <v>116.696</v>
      </c>
      <c r="J2676" s="18">
        <v>6</v>
      </c>
      <c r="K2676" s="12">
        <v>33.647399999999998</v>
      </c>
    </row>
    <row r="2677" spans="1:11" x14ac:dyDescent="0.25">
      <c r="A2677" s="4">
        <v>43851</v>
      </c>
      <c r="B2677" s="19">
        <f t="shared" si="82"/>
        <v>2020</v>
      </c>
      <c r="C2677" s="19">
        <f t="shared" si="83"/>
        <v>1</v>
      </c>
      <c r="D2677" s="5" t="s">
        <v>1404</v>
      </c>
      <c r="E2677" s="5" t="s">
        <v>365</v>
      </c>
      <c r="F2677" s="5" t="s">
        <v>14</v>
      </c>
      <c r="G2677" s="5" t="s">
        <v>15</v>
      </c>
      <c r="H2677" s="5" t="s">
        <v>2101</v>
      </c>
      <c r="I2677" s="13">
        <v>195.99</v>
      </c>
      <c r="J2677" s="19">
        <v>1</v>
      </c>
      <c r="K2677" s="14">
        <v>49.497</v>
      </c>
    </row>
    <row r="2678" spans="1:11" x14ac:dyDescent="0.25">
      <c r="A2678" s="2">
        <v>43851</v>
      </c>
      <c r="B2678" s="18">
        <f t="shared" si="82"/>
        <v>2020</v>
      </c>
      <c r="C2678" s="18">
        <f t="shared" si="83"/>
        <v>1</v>
      </c>
      <c r="D2678" s="3" t="s">
        <v>2099</v>
      </c>
      <c r="E2678" s="3" t="s">
        <v>70</v>
      </c>
      <c r="F2678" s="3" t="s">
        <v>14</v>
      </c>
      <c r="G2678" s="3" t="s">
        <v>24</v>
      </c>
      <c r="H2678" s="3" t="s">
        <v>1337</v>
      </c>
      <c r="I2678" s="11">
        <v>207.97</v>
      </c>
      <c r="J2678" s="18">
        <v>3</v>
      </c>
      <c r="K2678" s="12">
        <v>86.385599999999997</v>
      </c>
    </row>
    <row r="2679" spans="1:11" x14ac:dyDescent="0.25">
      <c r="A2679" s="4">
        <v>43851</v>
      </c>
      <c r="B2679" s="19">
        <f t="shared" si="82"/>
        <v>2020</v>
      </c>
      <c r="C2679" s="19">
        <f t="shared" si="83"/>
        <v>1</v>
      </c>
      <c r="D2679" s="5" t="s">
        <v>2099</v>
      </c>
      <c r="E2679" s="5" t="s">
        <v>70</v>
      </c>
      <c r="F2679" s="5" t="s">
        <v>19</v>
      </c>
      <c r="G2679" s="5" t="s">
        <v>20</v>
      </c>
      <c r="H2679" s="5" t="s">
        <v>263</v>
      </c>
      <c r="I2679" s="13">
        <v>267.94</v>
      </c>
      <c r="J2679" s="19">
        <v>3</v>
      </c>
      <c r="K2679" s="14">
        <v>9.7175999999999991</v>
      </c>
    </row>
    <row r="2680" spans="1:11" x14ac:dyDescent="0.25">
      <c r="A2680" s="2">
        <v>43851</v>
      </c>
      <c r="B2680" s="18">
        <f t="shared" si="82"/>
        <v>2020</v>
      </c>
      <c r="C2680" s="18">
        <f t="shared" si="83"/>
        <v>1</v>
      </c>
      <c r="D2680" s="3" t="s">
        <v>224</v>
      </c>
      <c r="E2680" s="3" t="s">
        <v>164</v>
      </c>
      <c r="F2680" s="3" t="s">
        <v>19</v>
      </c>
      <c r="G2680" s="3" t="s">
        <v>86</v>
      </c>
      <c r="H2680" s="3" t="s">
        <v>1396</v>
      </c>
      <c r="I2680" s="11">
        <v>299.57600000000002</v>
      </c>
      <c r="J2680" s="18">
        <v>4</v>
      </c>
      <c r="K2680" s="12">
        <v>90.644400000000005</v>
      </c>
    </row>
    <row r="2681" spans="1:11" x14ac:dyDescent="0.25">
      <c r="A2681" s="4">
        <v>43851</v>
      </c>
      <c r="B2681" s="19">
        <f t="shared" si="82"/>
        <v>2020</v>
      </c>
      <c r="C2681" s="19">
        <f t="shared" si="83"/>
        <v>1</v>
      </c>
      <c r="D2681" s="5" t="s">
        <v>1404</v>
      </c>
      <c r="E2681" s="5" t="s">
        <v>365</v>
      </c>
      <c r="F2681" s="5" t="s">
        <v>14</v>
      </c>
      <c r="G2681" s="5" t="s">
        <v>188</v>
      </c>
      <c r="H2681" s="5" t="s">
        <v>2102</v>
      </c>
      <c r="I2681" s="13">
        <v>361.97300000000001</v>
      </c>
      <c r="J2681" s="19">
        <v>3</v>
      </c>
      <c r="K2681" s="14">
        <v>152.0883</v>
      </c>
    </row>
    <row r="2682" spans="1:11" x14ac:dyDescent="0.25">
      <c r="A2682" s="2">
        <v>43851</v>
      </c>
      <c r="B2682" s="18">
        <f t="shared" si="82"/>
        <v>2020</v>
      </c>
      <c r="C2682" s="18">
        <f t="shared" si="83"/>
        <v>1</v>
      </c>
      <c r="D2682" s="3" t="s">
        <v>1811</v>
      </c>
      <c r="E2682" s="3" t="s">
        <v>35</v>
      </c>
      <c r="F2682" s="3" t="s">
        <v>19</v>
      </c>
      <c r="G2682" s="3" t="s">
        <v>20</v>
      </c>
      <c r="H2682" s="3" t="s">
        <v>216</v>
      </c>
      <c r="I2682" s="11">
        <v>388.20800000000003</v>
      </c>
      <c r="J2682" s="18">
        <v>7</v>
      </c>
      <c r="K2682" s="12">
        <v>30.4682</v>
      </c>
    </row>
    <row r="2683" spans="1:11" x14ac:dyDescent="0.25">
      <c r="A2683" s="4">
        <v>43851</v>
      </c>
      <c r="B2683" s="19">
        <f t="shared" si="82"/>
        <v>2020</v>
      </c>
      <c r="C2683" s="19">
        <f t="shared" si="83"/>
        <v>1</v>
      </c>
      <c r="D2683" s="5" t="s">
        <v>1404</v>
      </c>
      <c r="E2683" s="5" t="s">
        <v>365</v>
      </c>
      <c r="F2683" s="5" t="s">
        <v>14</v>
      </c>
      <c r="G2683" s="5" t="s">
        <v>24</v>
      </c>
      <c r="H2683" s="5" t="s">
        <v>107</v>
      </c>
      <c r="I2683" s="13">
        <v>669.95</v>
      </c>
      <c r="J2683" s="19">
        <v>5</v>
      </c>
      <c r="K2683" s="14">
        <v>111.59099999999999</v>
      </c>
    </row>
    <row r="2684" spans="1:11" x14ac:dyDescent="0.25">
      <c r="A2684" s="2">
        <v>43851</v>
      </c>
      <c r="B2684" s="18">
        <f t="shared" si="82"/>
        <v>2020</v>
      </c>
      <c r="C2684" s="18">
        <f t="shared" si="83"/>
        <v>1</v>
      </c>
      <c r="D2684" s="3" t="s">
        <v>1404</v>
      </c>
      <c r="E2684" s="3" t="s">
        <v>365</v>
      </c>
      <c r="F2684" s="3" t="s">
        <v>19</v>
      </c>
      <c r="G2684" s="3" t="s">
        <v>32</v>
      </c>
      <c r="H2684" s="3" t="s">
        <v>168</v>
      </c>
      <c r="I2684" s="11">
        <v>87.4</v>
      </c>
      <c r="J2684" s="18">
        <v>5</v>
      </c>
      <c r="K2684" s="12">
        <v>7.056</v>
      </c>
    </row>
    <row r="2685" spans="1:11" x14ac:dyDescent="0.25">
      <c r="A2685" s="4">
        <v>43851</v>
      </c>
      <c r="B2685" s="19">
        <f t="shared" si="82"/>
        <v>2020</v>
      </c>
      <c r="C2685" s="19">
        <f t="shared" si="83"/>
        <v>1</v>
      </c>
      <c r="D2685" s="5" t="s">
        <v>2099</v>
      </c>
      <c r="E2685" s="5" t="s">
        <v>70</v>
      </c>
      <c r="F2685" s="5" t="s">
        <v>19</v>
      </c>
      <c r="G2685" s="5" t="s">
        <v>32</v>
      </c>
      <c r="H2685" s="5" t="s">
        <v>388</v>
      </c>
      <c r="I2685" s="13">
        <v>92.936000000000007</v>
      </c>
      <c r="J2685" s="19">
        <v>4</v>
      </c>
      <c r="K2685" s="14">
        <v>9.4283999999999999</v>
      </c>
    </row>
    <row r="2686" spans="1:11" x14ac:dyDescent="0.25">
      <c r="A2686" s="2">
        <v>43851</v>
      </c>
      <c r="B2686" s="18">
        <f t="shared" si="82"/>
        <v>2020</v>
      </c>
      <c r="C2686" s="18">
        <f t="shared" si="83"/>
        <v>1</v>
      </c>
      <c r="D2686" s="3" t="s">
        <v>2099</v>
      </c>
      <c r="E2686" s="3" t="s">
        <v>70</v>
      </c>
      <c r="F2686" s="3" t="s">
        <v>19</v>
      </c>
      <c r="G2686" s="3" t="s">
        <v>32</v>
      </c>
      <c r="H2686" s="3" t="s">
        <v>976</v>
      </c>
      <c r="I2686" s="11">
        <v>132.72</v>
      </c>
      <c r="J2686" s="18">
        <v>5</v>
      </c>
      <c r="K2686" s="12">
        <v>6.5519999999999996</v>
      </c>
    </row>
    <row r="2687" spans="1:11" x14ac:dyDescent="0.25">
      <c r="A2687" s="4">
        <v>43851</v>
      </c>
      <c r="B2687" s="19">
        <f t="shared" si="82"/>
        <v>2020</v>
      </c>
      <c r="C2687" s="19">
        <f t="shared" si="83"/>
        <v>1</v>
      </c>
      <c r="D2687" s="5" t="s">
        <v>1811</v>
      </c>
      <c r="E2687" s="5" t="s">
        <v>35</v>
      </c>
      <c r="F2687" s="5" t="s">
        <v>19</v>
      </c>
      <c r="G2687" s="5" t="s">
        <v>32</v>
      </c>
      <c r="H2687" s="5" t="s">
        <v>1657</v>
      </c>
      <c r="I2687" s="13">
        <v>160.78399999999999</v>
      </c>
      <c r="J2687" s="19">
        <v>7</v>
      </c>
      <c r="K2687" s="14">
        <v>-28.627199999999998</v>
      </c>
    </row>
    <row r="2688" spans="1:11" x14ac:dyDescent="0.25">
      <c r="A2688" s="2">
        <v>43852</v>
      </c>
      <c r="B2688" s="18">
        <f t="shared" si="82"/>
        <v>2020</v>
      </c>
      <c r="C2688" s="18">
        <f t="shared" si="83"/>
        <v>1</v>
      </c>
      <c r="D2688" s="3" t="s">
        <v>2103</v>
      </c>
      <c r="E2688" s="3" t="s">
        <v>2104</v>
      </c>
      <c r="F2688" s="3" t="s">
        <v>19</v>
      </c>
      <c r="G2688" s="3" t="s">
        <v>20</v>
      </c>
      <c r="H2688" s="3" t="s">
        <v>1943</v>
      </c>
      <c r="I2688" s="11">
        <v>1159.02</v>
      </c>
      <c r="J2688" s="18">
        <v>3</v>
      </c>
      <c r="K2688" s="12">
        <v>56.301000000000002</v>
      </c>
    </row>
    <row r="2689" spans="1:11" x14ac:dyDescent="0.25">
      <c r="A2689" s="4">
        <v>43852</v>
      </c>
      <c r="B2689" s="19">
        <f t="shared" si="82"/>
        <v>2020</v>
      </c>
      <c r="C2689" s="19">
        <f t="shared" si="83"/>
        <v>1</v>
      </c>
      <c r="D2689" s="5" t="s">
        <v>2103</v>
      </c>
      <c r="E2689" s="5" t="s">
        <v>2104</v>
      </c>
      <c r="F2689" s="5" t="s">
        <v>14</v>
      </c>
      <c r="G2689" s="5" t="s">
        <v>36</v>
      </c>
      <c r="H2689" s="5" t="s">
        <v>2105</v>
      </c>
      <c r="I2689" s="13">
        <v>3026.95</v>
      </c>
      <c r="J2689" s="19">
        <v>5</v>
      </c>
      <c r="K2689" s="14">
        <v>1379.9770000000001</v>
      </c>
    </row>
    <row r="2690" spans="1:11" x14ac:dyDescent="0.25">
      <c r="A2690" s="2">
        <v>43852</v>
      </c>
      <c r="B2690" s="18">
        <f t="shared" ref="B2690:B2753" si="84">YEAR(A2690)</f>
        <v>2020</v>
      </c>
      <c r="C2690" s="18">
        <f t="shared" ref="C2690:C2753" si="85">MONTH(A2690)</f>
        <v>1</v>
      </c>
      <c r="D2690" s="3" t="s">
        <v>414</v>
      </c>
      <c r="E2690" s="3" t="s">
        <v>164</v>
      </c>
      <c r="F2690" s="3" t="s">
        <v>19</v>
      </c>
      <c r="G2690" s="3" t="s">
        <v>40</v>
      </c>
      <c r="H2690" s="3" t="s">
        <v>1613</v>
      </c>
      <c r="I2690" s="11">
        <v>85.872</v>
      </c>
      <c r="J2690" s="18">
        <v>3</v>
      </c>
      <c r="K2690" s="12">
        <v>0.88560000000000005</v>
      </c>
    </row>
    <row r="2691" spans="1:11" x14ac:dyDescent="0.25">
      <c r="A2691" s="4">
        <v>43852</v>
      </c>
      <c r="B2691" s="19">
        <f t="shared" si="84"/>
        <v>2020</v>
      </c>
      <c r="C2691" s="19">
        <f t="shared" si="85"/>
        <v>1</v>
      </c>
      <c r="D2691" s="5" t="s">
        <v>414</v>
      </c>
      <c r="E2691" s="5" t="s">
        <v>164</v>
      </c>
      <c r="F2691" s="5" t="s">
        <v>19</v>
      </c>
      <c r="G2691" s="5" t="s">
        <v>116</v>
      </c>
      <c r="H2691" s="5" t="s">
        <v>301</v>
      </c>
      <c r="I2691" s="13">
        <v>103.12</v>
      </c>
      <c r="J2691" s="19">
        <v>5</v>
      </c>
      <c r="K2691" s="14">
        <v>4.9139999999999997</v>
      </c>
    </row>
    <row r="2692" spans="1:11" x14ac:dyDescent="0.25">
      <c r="A2692" s="2">
        <v>43852</v>
      </c>
      <c r="B2692" s="18">
        <f t="shared" si="84"/>
        <v>2020</v>
      </c>
      <c r="C2692" s="18">
        <f t="shared" si="85"/>
        <v>1</v>
      </c>
      <c r="D2692" s="3" t="s">
        <v>2103</v>
      </c>
      <c r="E2692" s="3" t="s">
        <v>2104</v>
      </c>
      <c r="F2692" s="3" t="s">
        <v>19</v>
      </c>
      <c r="G2692" s="3" t="s">
        <v>53</v>
      </c>
      <c r="H2692" s="3" t="s">
        <v>937</v>
      </c>
      <c r="I2692" s="11">
        <v>118.96</v>
      </c>
      <c r="J2692" s="18">
        <v>2</v>
      </c>
      <c r="K2692" s="12">
        <v>5.3819999999999997</v>
      </c>
    </row>
    <row r="2693" spans="1:11" x14ac:dyDescent="0.25">
      <c r="A2693" s="4">
        <v>43852</v>
      </c>
      <c r="B2693" s="19">
        <f t="shared" si="84"/>
        <v>2020</v>
      </c>
      <c r="C2693" s="19">
        <f t="shared" si="85"/>
        <v>1</v>
      </c>
      <c r="D2693" s="5" t="s">
        <v>2103</v>
      </c>
      <c r="E2693" s="5" t="s">
        <v>2104</v>
      </c>
      <c r="F2693" s="5" t="s">
        <v>19</v>
      </c>
      <c r="G2693" s="5" t="s">
        <v>20</v>
      </c>
      <c r="H2693" s="5" t="s">
        <v>1650</v>
      </c>
      <c r="I2693" s="13">
        <v>162.44999999999999</v>
      </c>
      <c r="J2693" s="19">
        <v>3</v>
      </c>
      <c r="K2693" s="14">
        <v>13.891500000000001</v>
      </c>
    </row>
    <row r="2694" spans="1:11" x14ac:dyDescent="0.25">
      <c r="A2694" s="2">
        <v>43853</v>
      </c>
      <c r="B2694" s="18">
        <f t="shared" si="84"/>
        <v>2020</v>
      </c>
      <c r="C2694" s="18">
        <f t="shared" si="85"/>
        <v>1</v>
      </c>
      <c r="D2694" s="3" t="s">
        <v>2106</v>
      </c>
      <c r="E2694" s="3" t="s">
        <v>198</v>
      </c>
      <c r="F2694" s="3" t="s">
        <v>14</v>
      </c>
      <c r="G2694" s="3" t="s">
        <v>24</v>
      </c>
      <c r="H2694" s="3" t="s">
        <v>2107</v>
      </c>
      <c r="I2694" s="11">
        <v>132.98400000000001</v>
      </c>
      <c r="J2694" s="18">
        <v>2</v>
      </c>
      <c r="K2694" s="12">
        <v>11.997999999999999</v>
      </c>
    </row>
    <row r="2695" spans="1:11" x14ac:dyDescent="0.25">
      <c r="A2695" s="4">
        <v>43853</v>
      </c>
      <c r="B2695" s="19">
        <f t="shared" si="84"/>
        <v>2020</v>
      </c>
      <c r="C2695" s="19">
        <f t="shared" si="85"/>
        <v>1</v>
      </c>
      <c r="D2695" s="5" t="s">
        <v>1140</v>
      </c>
      <c r="E2695" s="5" t="s">
        <v>70</v>
      </c>
      <c r="F2695" s="5" t="s">
        <v>14</v>
      </c>
      <c r="G2695" s="5" t="s">
        <v>15</v>
      </c>
      <c r="H2695" s="5" t="s">
        <v>1282</v>
      </c>
      <c r="I2695" s="13">
        <v>136.352</v>
      </c>
      <c r="J2695" s="19">
        <v>6</v>
      </c>
      <c r="K2695" s="14">
        <v>8.6351999999999993</v>
      </c>
    </row>
    <row r="2696" spans="1:11" x14ac:dyDescent="0.25">
      <c r="A2696" s="2">
        <v>43853</v>
      </c>
      <c r="B2696" s="18">
        <f t="shared" si="84"/>
        <v>2020</v>
      </c>
      <c r="C2696" s="18">
        <f t="shared" si="85"/>
        <v>1</v>
      </c>
      <c r="D2696" s="3" t="s">
        <v>1893</v>
      </c>
      <c r="E2696" s="3" t="s">
        <v>365</v>
      </c>
      <c r="F2696" s="3" t="s">
        <v>11</v>
      </c>
      <c r="G2696" s="3" t="s">
        <v>30</v>
      </c>
      <c r="H2696" s="3" t="s">
        <v>455</v>
      </c>
      <c r="I2696" s="11">
        <v>237.98</v>
      </c>
      <c r="J2696" s="18">
        <v>2</v>
      </c>
      <c r="K2696" s="12">
        <v>21.097999999999999</v>
      </c>
    </row>
    <row r="2697" spans="1:11" x14ac:dyDescent="0.25">
      <c r="A2697" s="4">
        <v>43853</v>
      </c>
      <c r="B2697" s="19">
        <f t="shared" si="84"/>
        <v>2020</v>
      </c>
      <c r="C2697" s="19">
        <f t="shared" si="85"/>
        <v>1</v>
      </c>
      <c r="D2697" s="5" t="s">
        <v>1140</v>
      </c>
      <c r="E2697" s="5" t="s">
        <v>70</v>
      </c>
      <c r="F2697" s="5" t="s">
        <v>19</v>
      </c>
      <c r="G2697" s="5" t="s">
        <v>53</v>
      </c>
      <c r="H2697" s="5" t="s">
        <v>1268</v>
      </c>
      <c r="I2697" s="13">
        <v>90.48</v>
      </c>
      <c r="J2697" s="19">
        <v>1</v>
      </c>
      <c r="K2697" s="14">
        <v>3.1103999999999998</v>
      </c>
    </row>
    <row r="2698" spans="1:11" x14ac:dyDescent="0.25">
      <c r="A2698" s="2">
        <v>43853</v>
      </c>
      <c r="B2698" s="18">
        <f t="shared" si="84"/>
        <v>2020</v>
      </c>
      <c r="C2698" s="18">
        <f t="shared" si="85"/>
        <v>1</v>
      </c>
      <c r="D2698" s="3" t="s">
        <v>1140</v>
      </c>
      <c r="E2698" s="3" t="s">
        <v>70</v>
      </c>
      <c r="F2698" s="3" t="s">
        <v>19</v>
      </c>
      <c r="G2698" s="3" t="s">
        <v>53</v>
      </c>
      <c r="H2698" s="3" t="s">
        <v>54</v>
      </c>
      <c r="I2698" s="11">
        <v>116.92</v>
      </c>
      <c r="J2698" s="18">
        <v>4</v>
      </c>
      <c r="K2698" s="12">
        <v>12.441599999999999</v>
      </c>
    </row>
    <row r="2699" spans="1:11" x14ac:dyDescent="0.25">
      <c r="A2699" s="4">
        <v>43853</v>
      </c>
      <c r="B2699" s="19">
        <f t="shared" si="84"/>
        <v>2020</v>
      </c>
      <c r="C2699" s="19">
        <f t="shared" si="85"/>
        <v>1</v>
      </c>
      <c r="D2699" s="5" t="s">
        <v>2106</v>
      </c>
      <c r="E2699" s="5" t="s">
        <v>198</v>
      </c>
      <c r="F2699" s="5" t="s">
        <v>19</v>
      </c>
      <c r="G2699" s="5" t="s">
        <v>32</v>
      </c>
      <c r="H2699" s="5" t="s">
        <v>134</v>
      </c>
      <c r="I2699" s="13">
        <v>109.938</v>
      </c>
      <c r="J2699" s="19">
        <v>2</v>
      </c>
      <c r="K2699" s="14">
        <v>-3.6212</v>
      </c>
    </row>
    <row r="2700" spans="1:11" x14ac:dyDescent="0.25">
      <c r="A2700" s="2">
        <v>43853</v>
      </c>
      <c r="B2700" s="18">
        <f t="shared" si="84"/>
        <v>2020</v>
      </c>
      <c r="C2700" s="18">
        <f t="shared" si="85"/>
        <v>1</v>
      </c>
      <c r="D2700" s="3" t="s">
        <v>1140</v>
      </c>
      <c r="E2700" s="3" t="s">
        <v>70</v>
      </c>
      <c r="F2700" s="3" t="s">
        <v>19</v>
      </c>
      <c r="G2700" s="3" t="s">
        <v>32</v>
      </c>
      <c r="H2700" s="3" t="s">
        <v>361</v>
      </c>
      <c r="I2700" s="11">
        <v>140.68</v>
      </c>
      <c r="J2700" s="18">
        <v>5</v>
      </c>
      <c r="K2700" s="12">
        <v>6.8879999999999999</v>
      </c>
    </row>
    <row r="2701" spans="1:11" x14ac:dyDescent="0.25">
      <c r="A2701" s="4">
        <v>43854</v>
      </c>
      <c r="B2701" s="19">
        <f t="shared" si="84"/>
        <v>2020</v>
      </c>
      <c r="C2701" s="19">
        <f t="shared" si="85"/>
        <v>1</v>
      </c>
      <c r="D2701" s="5" t="s">
        <v>1573</v>
      </c>
      <c r="E2701" s="5" t="s">
        <v>18</v>
      </c>
      <c r="F2701" s="5" t="s">
        <v>14</v>
      </c>
      <c r="G2701" s="5" t="s">
        <v>15</v>
      </c>
      <c r="H2701" s="5" t="s">
        <v>1952</v>
      </c>
      <c r="I2701" s="13">
        <v>149.352</v>
      </c>
      <c r="J2701" s="19">
        <v>3</v>
      </c>
      <c r="K2701" s="14">
        <v>8.2764000000000006</v>
      </c>
    </row>
    <row r="2702" spans="1:11" x14ac:dyDescent="0.25">
      <c r="A2702" s="2">
        <v>43854</v>
      </c>
      <c r="B2702" s="18">
        <f t="shared" si="84"/>
        <v>2020</v>
      </c>
      <c r="C2702" s="18">
        <f t="shared" si="85"/>
        <v>1</v>
      </c>
      <c r="D2702" s="3" t="s">
        <v>1573</v>
      </c>
      <c r="E2702" s="3" t="s">
        <v>18</v>
      </c>
      <c r="F2702" s="3" t="s">
        <v>19</v>
      </c>
      <c r="G2702" s="3" t="s">
        <v>32</v>
      </c>
      <c r="H2702" s="3" t="s">
        <v>420</v>
      </c>
      <c r="I2702" s="11">
        <v>311.78399999999999</v>
      </c>
      <c r="J2702" s="18">
        <v>2</v>
      </c>
      <c r="K2702" s="12">
        <v>89.954800000000006</v>
      </c>
    </row>
    <row r="2703" spans="1:11" x14ac:dyDescent="0.25">
      <c r="A2703" s="4">
        <v>43854</v>
      </c>
      <c r="B2703" s="19">
        <f t="shared" si="84"/>
        <v>2020</v>
      </c>
      <c r="C2703" s="19">
        <f t="shared" si="85"/>
        <v>1</v>
      </c>
      <c r="D2703" s="5" t="s">
        <v>1203</v>
      </c>
      <c r="E2703" s="5" t="s">
        <v>109</v>
      </c>
      <c r="F2703" s="5" t="s">
        <v>19</v>
      </c>
      <c r="G2703" s="5" t="s">
        <v>116</v>
      </c>
      <c r="H2703" s="5" t="s">
        <v>206</v>
      </c>
      <c r="I2703" s="13">
        <v>98.67</v>
      </c>
      <c r="J2703" s="19">
        <v>3</v>
      </c>
      <c r="K2703" s="14">
        <v>0.1134</v>
      </c>
    </row>
    <row r="2704" spans="1:11" x14ac:dyDescent="0.25">
      <c r="A2704" s="2">
        <v>43854</v>
      </c>
      <c r="B2704" s="18">
        <f t="shared" si="84"/>
        <v>2020</v>
      </c>
      <c r="C2704" s="18">
        <f t="shared" si="85"/>
        <v>1</v>
      </c>
      <c r="D2704" s="3" t="s">
        <v>1573</v>
      </c>
      <c r="E2704" s="3" t="s">
        <v>18</v>
      </c>
      <c r="F2704" s="3" t="s">
        <v>19</v>
      </c>
      <c r="G2704" s="3" t="s">
        <v>121</v>
      </c>
      <c r="H2704" s="3" t="s">
        <v>1408</v>
      </c>
      <c r="I2704" s="11">
        <v>131.86000000000001</v>
      </c>
      <c r="J2704" s="18">
        <v>3</v>
      </c>
      <c r="K2704" s="12">
        <v>6.7236000000000002</v>
      </c>
    </row>
    <row r="2705" spans="1:11" x14ac:dyDescent="0.25">
      <c r="A2705" s="4">
        <v>43856</v>
      </c>
      <c r="B2705" s="19">
        <f t="shared" si="84"/>
        <v>2020</v>
      </c>
      <c r="C2705" s="19">
        <f t="shared" si="85"/>
        <v>1</v>
      </c>
      <c r="D2705" s="5" t="s">
        <v>2108</v>
      </c>
      <c r="E2705" s="5" t="s">
        <v>109</v>
      </c>
      <c r="F2705" s="5" t="s">
        <v>11</v>
      </c>
      <c r="G2705" s="5" t="s">
        <v>51</v>
      </c>
      <c r="H2705" s="5" t="s">
        <v>1031</v>
      </c>
      <c r="I2705" s="13">
        <v>100.72</v>
      </c>
      <c r="J2705" s="19">
        <v>4</v>
      </c>
      <c r="K2705" s="14">
        <v>24.460799999999999</v>
      </c>
    </row>
    <row r="2706" spans="1:11" x14ac:dyDescent="0.25">
      <c r="A2706" s="2">
        <v>43856</v>
      </c>
      <c r="B2706" s="18">
        <f t="shared" si="84"/>
        <v>2020</v>
      </c>
      <c r="C2706" s="18">
        <f t="shared" si="85"/>
        <v>1</v>
      </c>
      <c r="D2706" s="3" t="s">
        <v>2108</v>
      </c>
      <c r="E2706" s="3" t="s">
        <v>109</v>
      </c>
      <c r="F2706" s="3" t="s">
        <v>14</v>
      </c>
      <c r="G2706" s="3" t="s">
        <v>15</v>
      </c>
      <c r="H2706" s="3" t="s">
        <v>1003</v>
      </c>
      <c r="I2706" s="11">
        <v>2967.93</v>
      </c>
      <c r="J2706" s="18">
        <v>7</v>
      </c>
      <c r="K2706" s="12">
        <v>764.3818</v>
      </c>
    </row>
    <row r="2707" spans="1:11" x14ac:dyDescent="0.25">
      <c r="A2707" s="4">
        <v>43856</v>
      </c>
      <c r="B2707" s="19">
        <f t="shared" si="84"/>
        <v>2020</v>
      </c>
      <c r="C2707" s="19">
        <f t="shared" si="85"/>
        <v>1</v>
      </c>
      <c r="D2707" s="5" t="s">
        <v>2039</v>
      </c>
      <c r="E2707" s="5" t="s">
        <v>898</v>
      </c>
      <c r="F2707" s="5" t="s">
        <v>19</v>
      </c>
      <c r="G2707" s="5" t="s">
        <v>32</v>
      </c>
      <c r="H2707" s="5" t="s">
        <v>781</v>
      </c>
      <c r="I2707" s="13">
        <v>111.16</v>
      </c>
      <c r="J2707" s="19">
        <v>2</v>
      </c>
      <c r="K2707" s="14">
        <v>3.4367999999999999</v>
      </c>
    </row>
    <row r="2708" spans="1:11" x14ac:dyDescent="0.25">
      <c r="A2708" s="2">
        <v>43856</v>
      </c>
      <c r="B2708" s="18">
        <f t="shared" si="84"/>
        <v>2020</v>
      </c>
      <c r="C2708" s="18">
        <f t="shared" si="85"/>
        <v>1</v>
      </c>
      <c r="D2708" s="3" t="s">
        <v>375</v>
      </c>
      <c r="E2708" s="3" t="s">
        <v>18</v>
      </c>
      <c r="F2708" s="3" t="s">
        <v>19</v>
      </c>
      <c r="G2708" s="3" t="s">
        <v>116</v>
      </c>
      <c r="H2708" s="3" t="s">
        <v>2109</v>
      </c>
      <c r="I2708" s="11">
        <v>96.84</v>
      </c>
      <c r="J2708" s="18">
        <v>8</v>
      </c>
      <c r="K2708" s="12">
        <v>5.6832000000000003</v>
      </c>
    </row>
    <row r="2709" spans="1:11" x14ac:dyDescent="0.25">
      <c r="A2709" s="4">
        <v>43856</v>
      </c>
      <c r="B2709" s="19">
        <f t="shared" si="84"/>
        <v>2020</v>
      </c>
      <c r="C2709" s="19">
        <f t="shared" si="85"/>
        <v>1</v>
      </c>
      <c r="D2709" s="5" t="s">
        <v>2039</v>
      </c>
      <c r="E2709" s="5" t="s">
        <v>898</v>
      </c>
      <c r="F2709" s="5" t="s">
        <v>19</v>
      </c>
      <c r="G2709" s="5" t="s">
        <v>40</v>
      </c>
      <c r="H2709" s="5" t="s">
        <v>1124</v>
      </c>
      <c r="I2709" s="13">
        <v>106.47</v>
      </c>
      <c r="J2709" s="19">
        <v>7</v>
      </c>
      <c r="K2709" s="14">
        <v>4.1768999999999998</v>
      </c>
    </row>
    <row r="2710" spans="1:11" x14ac:dyDescent="0.25">
      <c r="A2710" s="2">
        <v>43856</v>
      </c>
      <c r="B2710" s="18">
        <f t="shared" si="84"/>
        <v>2020</v>
      </c>
      <c r="C2710" s="18">
        <f t="shared" si="85"/>
        <v>1</v>
      </c>
      <c r="D2710" s="3" t="s">
        <v>1818</v>
      </c>
      <c r="E2710" s="3" t="s">
        <v>23</v>
      </c>
      <c r="F2710" s="3" t="s">
        <v>19</v>
      </c>
      <c r="G2710" s="3" t="s">
        <v>20</v>
      </c>
      <c r="H2710" s="3" t="s">
        <v>1990</v>
      </c>
      <c r="I2710" s="11">
        <v>141.16</v>
      </c>
      <c r="J2710" s="18">
        <v>2</v>
      </c>
      <c r="K2710" s="12">
        <v>1.8160000000000001</v>
      </c>
    </row>
    <row r="2711" spans="1:11" x14ac:dyDescent="0.25">
      <c r="A2711" s="4">
        <v>43857</v>
      </c>
      <c r="B2711" s="19">
        <f t="shared" si="84"/>
        <v>2020</v>
      </c>
      <c r="C2711" s="19">
        <f t="shared" si="85"/>
        <v>1</v>
      </c>
      <c r="D2711" s="5" t="s">
        <v>2110</v>
      </c>
      <c r="E2711" s="5" t="s">
        <v>67</v>
      </c>
      <c r="F2711" s="5" t="s">
        <v>14</v>
      </c>
      <c r="G2711" s="5" t="s">
        <v>24</v>
      </c>
      <c r="H2711" s="5" t="s">
        <v>2111</v>
      </c>
      <c r="I2711" s="13">
        <v>117.976</v>
      </c>
      <c r="J2711" s="19">
        <v>3</v>
      </c>
      <c r="K2711" s="14">
        <v>-8.9969999999999999</v>
      </c>
    </row>
    <row r="2712" spans="1:11" x14ac:dyDescent="0.25">
      <c r="A2712" s="2">
        <v>43857</v>
      </c>
      <c r="B2712" s="18">
        <f t="shared" si="84"/>
        <v>2020</v>
      </c>
      <c r="C2712" s="18">
        <f t="shared" si="85"/>
        <v>1</v>
      </c>
      <c r="D2712" s="3" t="s">
        <v>2110</v>
      </c>
      <c r="E2712" s="3" t="s">
        <v>67</v>
      </c>
      <c r="F2712" s="3" t="s">
        <v>14</v>
      </c>
      <c r="G2712" s="3" t="s">
        <v>15</v>
      </c>
      <c r="H2712" s="3" t="s">
        <v>1951</v>
      </c>
      <c r="I2712" s="11">
        <v>154.982</v>
      </c>
      <c r="J2712" s="18">
        <v>3</v>
      </c>
      <c r="K2712" s="12">
        <v>-26.9955</v>
      </c>
    </row>
    <row r="2713" spans="1:11" x14ac:dyDescent="0.25">
      <c r="A2713" s="4">
        <v>43857</v>
      </c>
      <c r="B2713" s="19">
        <f t="shared" si="84"/>
        <v>2020</v>
      </c>
      <c r="C2713" s="19">
        <f t="shared" si="85"/>
        <v>1</v>
      </c>
      <c r="D2713" s="5" t="s">
        <v>1473</v>
      </c>
      <c r="E2713" s="5" t="s">
        <v>94</v>
      </c>
      <c r="F2713" s="5" t="s">
        <v>14</v>
      </c>
      <c r="G2713" s="5" t="s">
        <v>15</v>
      </c>
      <c r="H2713" s="5" t="s">
        <v>1952</v>
      </c>
      <c r="I2713" s="13">
        <v>156.94</v>
      </c>
      <c r="J2713" s="19">
        <v>3</v>
      </c>
      <c r="K2713" s="14">
        <v>35.864400000000003</v>
      </c>
    </row>
    <row r="2714" spans="1:11" x14ac:dyDescent="0.25">
      <c r="A2714" s="2">
        <v>43857</v>
      </c>
      <c r="B2714" s="18">
        <f t="shared" si="84"/>
        <v>2020</v>
      </c>
      <c r="C2714" s="18">
        <f t="shared" si="85"/>
        <v>1</v>
      </c>
      <c r="D2714" s="3" t="s">
        <v>2110</v>
      </c>
      <c r="E2714" s="3" t="s">
        <v>67</v>
      </c>
      <c r="F2714" s="3" t="s">
        <v>19</v>
      </c>
      <c r="G2714" s="3" t="s">
        <v>40</v>
      </c>
      <c r="H2714" s="3" t="s">
        <v>41</v>
      </c>
      <c r="I2714" s="11">
        <v>144.01599999999999</v>
      </c>
      <c r="J2714" s="18">
        <v>3</v>
      </c>
      <c r="K2714" s="12">
        <v>1.752</v>
      </c>
    </row>
    <row r="2715" spans="1:11" x14ac:dyDescent="0.25">
      <c r="A2715" s="4">
        <v>43858</v>
      </c>
      <c r="B2715" s="19">
        <f t="shared" si="84"/>
        <v>2020</v>
      </c>
      <c r="C2715" s="19">
        <f t="shared" si="85"/>
        <v>1</v>
      </c>
      <c r="D2715" s="5" t="s">
        <v>2112</v>
      </c>
      <c r="E2715" s="5" t="s">
        <v>18</v>
      </c>
      <c r="F2715" s="5" t="s">
        <v>14</v>
      </c>
      <c r="G2715" s="5" t="s">
        <v>24</v>
      </c>
      <c r="H2715" s="5" t="s">
        <v>912</v>
      </c>
      <c r="I2715" s="13">
        <v>284.97000000000003</v>
      </c>
      <c r="J2715" s="19">
        <v>3</v>
      </c>
      <c r="K2715" s="14">
        <v>26.396699999999999</v>
      </c>
    </row>
    <row r="2716" spans="1:11" x14ac:dyDescent="0.25">
      <c r="A2716" s="2">
        <v>43858</v>
      </c>
      <c r="B2716" s="18">
        <f t="shared" si="84"/>
        <v>2020</v>
      </c>
      <c r="C2716" s="18">
        <f t="shared" si="85"/>
        <v>1</v>
      </c>
      <c r="D2716" s="3" t="s">
        <v>356</v>
      </c>
      <c r="E2716" s="3" t="s">
        <v>1051</v>
      </c>
      <c r="F2716" s="3" t="s">
        <v>19</v>
      </c>
      <c r="G2716" s="3" t="s">
        <v>53</v>
      </c>
      <c r="H2716" s="3" t="s">
        <v>1072</v>
      </c>
      <c r="I2716" s="11">
        <v>292.89999999999998</v>
      </c>
      <c r="J2716" s="18">
        <v>5</v>
      </c>
      <c r="K2716" s="12">
        <v>137.15100000000001</v>
      </c>
    </row>
    <row r="2717" spans="1:11" x14ac:dyDescent="0.25">
      <c r="A2717" s="4">
        <v>43858</v>
      </c>
      <c r="B2717" s="19">
        <f t="shared" si="84"/>
        <v>2020</v>
      </c>
      <c r="C2717" s="19">
        <f t="shared" si="85"/>
        <v>1</v>
      </c>
      <c r="D2717" s="5" t="s">
        <v>720</v>
      </c>
      <c r="E2717" s="5" t="s">
        <v>94</v>
      </c>
      <c r="F2717" s="5" t="s">
        <v>14</v>
      </c>
      <c r="G2717" s="5" t="s">
        <v>24</v>
      </c>
      <c r="H2717" s="5" t="s">
        <v>378</v>
      </c>
      <c r="I2717" s="13">
        <v>470.91</v>
      </c>
      <c r="J2717" s="19">
        <v>9</v>
      </c>
      <c r="K2717" s="14">
        <v>157.46850000000001</v>
      </c>
    </row>
    <row r="2718" spans="1:11" x14ac:dyDescent="0.25">
      <c r="A2718" s="2">
        <v>43858</v>
      </c>
      <c r="B2718" s="18">
        <f t="shared" si="84"/>
        <v>2020</v>
      </c>
      <c r="C2718" s="18">
        <f t="shared" si="85"/>
        <v>1</v>
      </c>
      <c r="D2718" s="3" t="s">
        <v>2112</v>
      </c>
      <c r="E2718" s="3" t="s">
        <v>18</v>
      </c>
      <c r="F2718" s="3" t="s">
        <v>11</v>
      </c>
      <c r="G2718" s="3" t="s">
        <v>51</v>
      </c>
      <c r="H2718" s="3" t="s">
        <v>1133</v>
      </c>
      <c r="I2718" s="11">
        <v>135.74</v>
      </c>
      <c r="J2718" s="18">
        <v>3</v>
      </c>
      <c r="K2718" s="12">
        <v>12.8316</v>
      </c>
    </row>
    <row r="2719" spans="1:11" x14ac:dyDescent="0.25">
      <c r="A2719" s="4">
        <v>43859</v>
      </c>
      <c r="B2719" s="19">
        <f t="shared" si="84"/>
        <v>2020</v>
      </c>
      <c r="C2719" s="19">
        <f t="shared" si="85"/>
        <v>1</v>
      </c>
      <c r="D2719" s="5" t="s">
        <v>2098</v>
      </c>
      <c r="E2719" s="5" t="s">
        <v>1350</v>
      </c>
      <c r="F2719" s="5" t="s">
        <v>19</v>
      </c>
      <c r="G2719" s="5" t="s">
        <v>53</v>
      </c>
      <c r="H2719" s="5" t="s">
        <v>1664</v>
      </c>
      <c r="I2719" s="13">
        <v>129.85</v>
      </c>
      <c r="J2719" s="19">
        <v>5</v>
      </c>
      <c r="K2719" s="14">
        <v>45.527999999999999</v>
      </c>
    </row>
    <row r="2720" spans="1:11" x14ac:dyDescent="0.25">
      <c r="A2720" s="2">
        <v>43859</v>
      </c>
      <c r="B2720" s="18">
        <f t="shared" si="84"/>
        <v>2020</v>
      </c>
      <c r="C2720" s="18">
        <f t="shared" si="85"/>
        <v>1</v>
      </c>
      <c r="D2720" s="3" t="s">
        <v>1333</v>
      </c>
      <c r="E2720" s="3" t="s">
        <v>18</v>
      </c>
      <c r="F2720" s="3" t="s">
        <v>19</v>
      </c>
      <c r="G2720" s="3" t="s">
        <v>32</v>
      </c>
      <c r="H2720" s="3" t="s">
        <v>467</v>
      </c>
      <c r="I2720" s="11">
        <v>167.61600000000001</v>
      </c>
      <c r="J2720" s="18">
        <v>8</v>
      </c>
      <c r="K2720" s="12">
        <v>40.370399999999997</v>
      </c>
    </row>
    <row r="2721" spans="1:11" x14ac:dyDescent="0.25">
      <c r="A2721" s="4">
        <v>43859</v>
      </c>
      <c r="B2721" s="19">
        <f t="shared" si="84"/>
        <v>2020</v>
      </c>
      <c r="C2721" s="19">
        <f t="shared" si="85"/>
        <v>1</v>
      </c>
      <c r="D2721" s="5" t="s">
        <v>1333</v>
      </c>
      <c r="E2721" s="5" t="s">
        <v>18</v>
      </c>
      <c r="F2721" s="5" t="s">
        <v>19</v>
      </c>
      <c r="G2721" s="5" t="s">
        <v>40</v>
      </c>
      <c r="H2721" s="5" t="s">
        <v>1278</v>
      </c>
      <c r="I2721" s="13">
        <v>96.34</v>
      </c>
      <c r="J2721" s="19">
        <v>3</v>
      </c>
      <c r="K2721" s="14">
        <v>2.1684000000000001</v>
      </c>
    </row>
    <row r="2722" spans="1:11" x14ac:dyDescent="0.25">
      <c r="A2722" s="2">
        <v>43859</v>
      </c>
      <c r="B2722" s="18">
        <f t="shared" si="84"/>
        <v>2020</v>
      </c>
      <c r="C2722" s="18">
        <f t="shared" si="85"/>
        <v>1</v>
      </c>
      <c r="D2722" s="3" t="s">
        <v>1905</v>
      </c>
      <c r="E2722" s="3" t="s">
        <v>94</v>
      </c>
      <c r="F2722" s="3" t="s">
        <v>19</v>
      </c>
      <c r="G2722" s="3" t="s">
        <v>127</v>
      </c>
      <c r="H2722" s="3" t="s">
        <v>223</v>
      </c>
      <c r="I2722" s="11">
        <v>85.22</v>
      </c>
      <c r="J2722" s="18">
        <v>2</v>
      </c>
      <c r="K2722" s="12">
        <v>2.4011999999999998</v>
      </c>
    </row>
    <row r="2723" spans="1:11" x14ac:dyDescent="0.25">
      <c r="A2723" s="4">
        <v>43859</v>
      </c>
      <c r="B2723" s="19">
        <f t="shared" si="84"/>
        <v>2020</v>
      </c>
      <c r="C2723" s="19">
        <f t="shared" si="85"/>
        <v>1</v>
      </c>
      <c r="D2723" s="5" t="s">
        <v>377</v>
      </c>
      <c r="E2723" s="5" t="s">
        <v>39</v>
      </c>
      <c r="F2723" s="5" t="s">
        <v>19</v>
      </c>
      <c r="G2723" s="5" t="s">
        <v>40</v>
      </c>
      <c r="H2723" s="5" t="s">
        <v>1735</v>
      </c>
      <c r="I2723" s="13">
        <v>102.768</v>
      </c>
      <c r="J2723" s="19">
        <v>2</v>
      </c>
      <c r="K2723" s="14">
        <v>0.4768</v>
      </c>
    </row>
    <row r="2724" spans="1:11" x14ac:dyDescent="0.25">
      <c r="A2724" s="2">
        <v>43859</v>
      </c>
      <c r="B2724" s="18">
        <f t="shared" si="84"/>
        <v>2020</v>
      </c>
      <c r="C2724" s="18">
        <f t="shared" si="85"/>
        <v>1</v>
      </c>
      <c r="D2724" s="3" t="s">
        <v>2098</v>
      </c>
      <c r="E2724" s="3" t="s">
        <v>1350</v>
      </c>
      <c r="F2724" s="3" t="s">
        <v>11</v>
      </c>
      <c r="G2724" s="3" t="s">
        <v>51</v>
      </c>
      <c r="H2724" s="3" t="s">
        <v>74</v>
      </c>
      <c r="I2724" s="11">
        <v>127.91</v>
      </c>
      <c r="J2724" s="18">
        <v>3</v>
      </c>
      <c r="K2724" s="12">
        <v>4.6220999999999997</v>
      </c>
    </row>
    <row r="2725" spans="1:11" x14ac:dyDescent="0.25">
      <c r="A2725" s="4">
        <v>43859</v>
      </c>
      <c r="B2725" s="19">
        <f t="shared" si="84"/>
        <v>2020</v>
      </c>
      <c r="C2725" s="19">
        <f t="shared" si="85"/>
        <v>1</v>
      </c>
      <c r="D2725" s="5" t="s">
        <v>1333</v>
      </c>
      <c r="E2725" s="5" t="s">
        <v>18</v>
      </c>
      <c r="F2725" s="5" t="s">
        <v>19</v>
      </c>
      <c r="G2725" s="5" t="s">
        <v>265</v>
      </c>
      <c r="H2725" s="5" t="s">
        <v>266</v>
      </c>
      <c r="I2725" s="13">
        <v>117.57</v>
      </c>
      <c r="J2725" s="19">
        <v>1</v>
      </c>
      <c r="K2725" s="14">
        <v>2.2282000000000002</v>
      </c>
    </row>
    <row r="2726" spans="1:11" x14ac:dyDescent="0.25">
      <c r="A2726" s="2">
        <v>43859</v>
      </c>
      <c r="B2726" s="18">
        <f t="shared" si="84"/>
        <v>2020</v>
      </c>
      <c r="C2726" s="18">
        <f t="shared" si="85"/>
        <v>1</v>
      </c>
      <c r="D2726" s="3" t="s">
        <v>2098</v>
      </c>
      <c r="E2726" s="3" t="s">
        <v>1350</v>
      </c>
      <c r="F2726" s="3" t="s">
        <v>19</v>
      </c>
      <c r="G2726" s="3" t="s">
        <v>53</v>
      </c>
      <c r="H2726" s="3" t="s">
        <v>1390</v>
      </c>
      <c r="I2726" s="11">
        <v>111.96</v>
      </c>
      <c r="J2726" s="18">
        <v>2</v>
      </c>
      <c r="K2726" s="12">
        <v>6.2207999999999997</v>
      </c>
    </row>
    <row r="2727" spans="1:11" x14ac:dyDescent="0.25">
      <c r="A2727" s="4">
        <v>43859</v>
      </c>
      <c r="B2727" s="19">
        <f t="shared" si="84"/>
        <v>2020</v>
      </c>
      <c r="C2727" s="19">
        <f t="shared" si="85"/>
        <v>1</v>
      </c>
      <c r="D2727" s="5" t="s">
        <v>2098</v>
      </c>
      <c r="E2727" s="5" t="s">
        <v>1350</v>
      </c>
      <c r="F2727" s="5" t="s">
        <v>19</v>
      </c>
      <c r="G2727" s="5" t="s">
        <v>20</v>
      </c>
      <c r="H2727" s="5" t="s">
        <v>1525</v>
      </c>
      <c r="I2727" s="13">
        <v>140.47999999999999</v>
      </c>
      <c r="J2727" s="19">
        <v>1</v>
      </c>
      <c r="K2727" s="14">
        <v>3.5047999999999999</v>
      </c>
    </row>
    <row r="2728" spans="1:11" x14ac:dyDescent="0.25">
      <c r="A2728" s="2">
        <v>43859</v>
      </c>
      <c r="B2728" s="18">
        <f t="shared" si="84"/>
        <v>2020</v>
      </c>
      <c r="C2728" s="18">
        <f t="shared" si="85"/>
        <v>1</v>
      </c>
      <c r="D2728" s="3" t="s">
        <v>395</v>
      </c>
      <c r="E2728" s="3" t="s">
        <v>164</v>
      </c>
      <c r="F2728" s="3" t="s">
        <v>19</v>
      </c>
      <c r="G2728" s="3" t="s">
        <v>32</v>
      </c>
      <c r="H2728" s="3" t="s">
        <v>1971</v>
      </c>
      <c r="I2728" s="11">
        <v>114.128</v>
      </c>
      <c r="J2728" s="18">
        <v>4</v>
      </c>
      <c r="K2728" s="12">
        <v>-20.617599999999999</v>
      </c>
    </row>
    <row r="2729" spans="1:11" x14ac:dyDescent="0.25">
      <c r="A2729" s="4">
        <v>43860</v>
      </c>
      <c r="B2729" s="19">
        <f t="shared" si="84"/>
        <v>2020</v>
      </c>
      <c r="C2729" s="19">
        <f t="shared" si="85"/>
        <v>1</v>
      </c>
      <c r="D2729" s="5" t="s">
        <v>1006</v>
      </c>
      <c r="E2729" s="5" t="s">
        <v>164</v>
      </c>
      <c r="F2729" s="5" t="s">
        <v>11</v>
      </c>
      <c r="G2729" s="5" t="s">
        <v>30</v>
      </c>
      <c r="H2729" s="5" t="s">
        <v>2113</v>
      </c>
      <c r="I2729" s="13">
        <v>100.375</v>
      </c>
      <c r="J2729" s="19">
        <v>1</v>
      </c>
      <c r="K2729" s="14">
        <v>-47.174999999999997</v>
      </c>
    </row>
    <row r="2730" spans="1:11" x14ac:dyDescent="0.25">
      <c r="A2730" s="2">
        <v>43860</v>
      </c>
      <c r="B2730" s="18">
        <f t="shared" si="84"/>
        <v>2020</v>
      </c>
      <c r="C2730" s="18">
        <f t="shared" si="85"/>
        <v>1</v>
      </c>
      <c r="D2730" s="3" t="s">
        <v>581</v>
      </c>
      <c r="E2730" s="3" t="s">
        <v>18</v>
      </c>
      <c r="F2730" s="3" t="s">
        <v>11</v>
      </c>
      <c r="G2730" s="3" t="s">
        <v>112</v>
      </c>
      <c r="H2730" s="3" t="s">
        <v>442</v>
      </c>
      <c r="I2730" s="11">
        <v>145.78399999999999</v>
      </c>
      <c r="J2730" s="18">
        <v>1</v>
      </c>
      <c r="K2730" s="12">
        <v>-13.588200000000001</v>
      </c>
    </row>
    <row r="2731" spans="1:11" x14ac:dyDescent="0.25">
      <c r="A2731" s="4">
        <v>43860</v>
      </c>
      <c r="B2731" s="19">
        <f t="shared" si="84"/>
        <v>2020</v>
      </c>
      <c r="C2731" s="19">
        <f t="shared" si="85"/>
        <v>1</v>
      </c>
      <c r="D2731" s="5" t="s">
        <v>702</v>
      </c>
      <c r="E2731" s="5" t="s">
        <v>18</v>
      </c>
      <c r="F2731" s="5" t="s">
        <v>19</v>
      </c>
      <c r="G2731" s="5" t="s">
        <v>20</v>
      </c>
      <c r="H2731" s="5" t="s">
        <v>2114</v>
      </c>
      <c r="I2731" s="13">
        <v>147.30000000000001</v>
      </c>
      <c r="J2731" s="19">
        <v>2</v>
      </c>
      <c r="K2731" s="14">
        <v>6.4649999999999999</v>
      </c>
    </row>
    <row r="2732" spans="1:11" x14ac:dyDescent="0.25">
      <c r="A2732" s="2">
        <v>43860</v>
      </c>
      <c r="B2732" s="18">
        <f t="shared" si="84"/>
        <v>2020</v>
      </c>
      <c r="C2732" s="18">
        <f t="shared" si="85"/>
        <v>1</v>
      </c>
      <c r="D2732" s="3" t="s">
        <v>275</v>
      </c>
      <c r="E2732" s="3" t="s">
        <v>1350</v>
      </c>
      <c r="F2732" s="3" t="s">
        <v>14</v>
      </c>
      <c r="G2732" s="3" t="s">
        <v>15</v>
      </c>
      <c r="H2732" s="3" t="s">
        <v>724</v>
      </c>
      <c r="I2732" s="11">
        <v>224</v>
      </c>
      <c r="J2732" s="18">
        <v>3</v>
      </c>
      <c r="K2732" s="12">
        <v>51.75</v>
      </c>
    </row>
    <row r="2733" spans="1:11" x14ac:dyDescent="0.25">
      <c r="A2733" s="4">
        <v>43860</v>
      </c>
      <c r="B2733" s="19">
        <f t="shared" si="84"/>
        <v>2020</v>
      </c>
      <c r="C2733" s="19">
        <f t="shared" si="85"/>
        <v>1</v>
      </c>
      <c r="D2733" s="5" t="s">
        <v>1677</v>
      </c>
      <c r="E2733" s="5" t="s">
        <v>44</v>
      </c>
      <c r="F2733" s="5" t="s">
        <v>11</v>
      </c>
      <c r="G2733" s="5" t="s">
        <v>112</v>
      </c>
      <c r="H2733" s="5" t="s">
        <v>2115</v>
      </c>
      <c r="I2733" s="13">
        <v>437.13600000000002</v>
      </c>
      <c r="J2733" s="19">
        <v>4</v>
      </c>
      <c r="K2733" s="14">
        <v>-68.1096</v>
      </c>
    </row>
    <row r="2734" spans="1:11" x14ac:dyDescent="0.25">
      <c r="A2734" s="2">
        <v>43860</v>
      </c>
      <c r="B2734" s="18">
        <f t="shared" si="84"/>
        <v>2020</v>
      </c>
      <c r="C2734" s="18">
        <f t="shared" si="85"/>
        <v>1</v>
      </c>
      <c r="D2734" s="3" t="s">
        <v>1464</v>
      </c>
      <c r="E2734" s="3" t="s">
        <v>70</v>
      </c>
      <c r="F2734" s="3" t="s">
        <v>14</v>
      </c>
      <c r="G2734" s="3" t="s">
        <v>15</v>
      </c>
      <c r="H2734" s="3" t="s">
        <v>1331</v>
      </c>
      <c r="I2734" s="11">
        <v>618.76800000000003</v>
      </c>
      <c r="J2734" s="18">
        <v>4</v>
      </c>
      <c r="K2734" s="12">
        <v>60.476799999999997</v>
      </c>
    </row>
    <row r="2735" spans="1:11" x14ac:dyDescent="0.25">
      <c r="A2735" s="4">
        <v>43860</v>
      </c>
      <c r="B2735" s="19">
        <f t="shared" si="84"/>
        <v>2020</v>
      </c>
      <c r="C2735" s="19">
        <f t="shared" si="85"/>
        <v>1</v>
      </c>
      <c r="D2735" s="5" t="s">
        <v>1006</v>
      </c>
      <c r="E2735" s="5" t="s">
        <v>164</v>
      </c>
      <c r="F2735" s="5" t="s">
        <v>14</v>
      </c>
      <c r="G2735" s="5" t="s">
        <v>15</v>
      </c>
      <c r="H2735" s="5" t="s">
        <v>1661</v>
      </c>
      <c r="I2735" s="13">
        <v>2015.1679999999999</v>
      </c>
      <c r="J2735" s="19">
        <v>4</v>
      </c>
      <c r="K2735" s="14">
        <v>250.39599999999999</v>
      </c>
    </row>
    <row r="2736" spans="1:11" x14ac:dyDescent="0.25">
      <c r="A2736" s="2">
        <v>43860</v>
      </c>
      <c r="B2736" s="18">
        <f t="shared" si="84"/>
        <v>2020</v>
      </c>
      <c r="C2736" s="18">
        <f t="shared" si="85"/>
        <v>1</v>
      </c>
      <c r="D2736" s="3" t="s">
        <v>581</v>
      </c>
      <c r="E2736" s="3" t="s">
        <v>18</v>
      </c>
      <c r="F2736" s="3" t="s">
        <v>19</v>
      </c>
      <c r="G2736" s="3" t="s">
        <v>40</v>
      </c>
      <c r="H2736" s="3" t="s">
        <v>1551</v>
      </c>
      <c r="I2736" s="11">
        <v>107.74</v>
      </c>
      <c r="J2736" s="18">
        <v>7</v>
      </c>
      <c r="K2736" s="12">
        <v>5.7329999999999997</v>
      </c>
    </row>
    <row r="2737" spans="1:11" x14ac:dyDescent="0.25">
      <c r="A2737" s="4">
        <v>43860</v>
      </c>
      <c r="B2737" s="19">
        <f t="shared" si="84"/>
        <v>2020</v>
      </c>
      <c r="C2737" s="19">
        <f t="shared" si="85"/>
        <v>1</v>
      </c>
      <c r="D2737" s="5" t="s">
        <v>275</v>
      </c>
      <c r="E2737" s="5" t="s">
        <v>1350</v>
      </c>
      <c r="F2737" s="5" t="s">
        <v>19</v>
      </c>
      <c r="G2737" s="5" t="s">
        <v>32</v>
      </c>
      <c r="H2737" s="5" t="s">
        <v>1032</v>
      </c>
      <c r="I2737" s="13">
        <v>111.71</v>
      </c>
      <c r="J2737" s="19">
        <v>1</v>
      </c>
      <c r="K2737" s="14">
        <v>3.4695</v>
      </c>
    </row>
    <row r="2738" spans="1:11" x14ac:dyDescent="0.25">
      <c r="A2738" s="2">
        <v>43860</v>
      </c>
      <c r="B2738" s="18">
        <f t="shared" si="84"/>
        <v>2020</v>
      </c>
      <c r="C2738" s="18">
        <f t="shared" si="85"/>
        <v>1</v>
      </c>
      <c r="D2738" s="3" t="s">
        <v>1006</v>
      </c>
      <c r="E2738" s="3" t="s">
        <v>164</v>
      </c>
      <c r="F2738" s="3" t="s">
        <v>19</v>
      </c>
      <c r="G2738" s="3" t="s">
        <v>40</v>
      </c>
      <c r="H2738" s="3" t="s">
        <v>2116</v>
      </c>
      <c r="I2738" s="11">
        <v>114.34399999999999</v>
      </c>
      <c r="J2738" s="18">
        <v>2</v>
      </c>
      <c r="K2738" s="12">
        <v>3.1536</v>
      </c>
    </row>
    <row r="2739" spans="1:11" x14ac:dyDescent="0.25">
      <c r="A2739" s="4">
        <v>43860</v>
      </c>
      <c r="B2739" s="19">
        <f t="shared" si="84"/>
        <v>2020</v>
      </c>
      <c r="C2739" s="19">
        <f t="shared" si="85"/>
        <v>1</v>
      </c>
      <c r="D2739" s="5" t="s">
        <v>581</v>
      </c>
      <c r="E2739" s="5" t="s">
        <v>18</v>
      </c>
      <c r="F2739" s="5" t="s">
        <v>19</v>
      </c>
      <c r="G2739" s="5" t="s">
        <v>40</v>
      </c>
      <c r="H2739" s="5" t="s">
        <v>1837</v>
      </c>
      <c r="I2739" s="13">
        <v>131.82</v>
      </c>
      <c r="J2739" s="19">
        <v>3</v>
      </c>
      <c r="K2739" s="14">
        <v>2.3814000000000002</v>
      </c>
    </row>
    <row r="2740" spans="1:11" x14ac:dyDescent="0.25">
      <c r="A2740" s="2">
        <v>43860</v>
      </c>
      <c r="B2740" s="18">
        <f t="shared" si="84"/>
        <v>2020</v>
      </c>
      <c r="C2740" s="18">
        <f t="shared" si="85"/>
        <v>1</v>
      </c>
      <c r="D2740" s="3" t="s">
        <v>275</v>
      </c>
      <c r="E2740" s="3" t="s">
        <v>1350</v>
      </c>
      <c r="F2740" s="3" t="s">
        <v>19</v>
      </c>
      <c r="G2740" s="3" t="s">
        <v>32</v>
      </c>
      <c r="H2740" s="3" t="s">
        <v>426</v>
      </c>
      <c r="I2740" s="11">
        <v>116.28</v>
      </c>
      <c r="J2740" s="18">
        <v>2</v>
      </c>
      <c r="K2740" s="12">
        <v>9.14</v>
      </c>
    </row>
    <row r="2741" spans="1:11" x14ac:dyDescent="0.25">
      <c r="A2741" s="4">
        <v>43860</v>
      </c>
      <c r="B2741" s="19">
        <f t="shared" si="84"/>
        <v>2020</v>
      </c>
      <c r="C2741" s="19">
        <f t="shared" si="85"/>
        <v>1</v>
      </c>
      <c r="D2741" s="5" t="s">
        <v>1006</v>
      </c>
      <c r="E2741" s="5" t="s">
        <v>164</v>
      </c>
      <c r="F2741" s="5" t="s">
        <v>19</v>
      </c>
      <c r="G2741" s="5" t="s">
        <v>265</v>
      </c>
      <c r="H2741" s="5" t="s">
        <v>1870</v>
      </c>
      <c r="I2741" s="13">
        <v>120.68</v>
      </c>
      <c r="J2741" s="19">
        <v>4</v>
      </c>
      <c r="K2741" s="14">
        <v>2.7719999999999998</v>
      </c>
    </row>
    <row r="2742" spans="1:11" x14ac:dyDescent="0.25">
      <c r="A2742" s="2">
        <v>43860</v>
      </c>
      <c r="B2742" s="18">
        <f t="shared" si="84"/>
        <v>2020</v>
      </c>
      <c r="C2742" s="18">
        <f t="shared" si="85"/>
        <v>1</v>
      </c>
      <c r="D2742" s="3" t="s">
        <v>275</v>
      </c>
      <c r="E2742" s="3" t="s">
        <v>1350</v>
      </c>
      <c r="F2742" s="3" t="s">
        <v>11</v>
      </c>
      <c r="G2742" s="3" t="s">
        <v>51</v>
      </c>
      <c r="H2742" s="3" t="s">
        <v>584</v>
      </c>
      <c r="I2742" s="11">
        <v>140.58000000000001</v>
      </c>
      <c r="J2742" s="18">
        <v>7</v>
      </c>
      <c r="K2742" s="12">
        <v>14.5236</v>
      </c>
    </row>
    <row r="2743" spans="1:11" x14ac:dyDescent="0.25">
      <c r="A2743" s="4">
        <v>43860</v>
      </c>
      <c r="B2743" s="19">
        <f t="shared" si="84"/>
        <v>2020</v>
      </c>
      <c r="C2743" s="19">
        <f t="shared" si="85"/>
        <v>1</v>
      </c>
      <c r="D2743" s="5" t="s">
        <v>275</v>
      </c>
      <c r="E2743" s="5" t="s">
        <v>1350</v>
      </c>
      <c r="F2743" s="5" t="s">
        <v>19</v>
      </c>
      <c r="G2743" s="5" t="s">
        <v>40</v>
      </c>
      <c r="H2743" s="5" t="s">
        <v>2117</v>
      </c>
      <c r="I2743" s="13">
        <v>135.30000000000001</v>
      </c>
      <c r="J2743" s="19">
        <v>2</v>
      </c>
      <c r="K2743" s="14">
        <v>10.881</v>
      </c>
    </row>
    <row r="2744" spans="1:11" x14ac:dyDescent="0.25">
      <c r="A2744" s="2">
        <v>43860</v>
      </c>
      <c r="B2744" s="18">
        <f t="shared" si="84"/>
        <v>2020</v>
      </c>
      <c r="C2744" s="18">
        <f t="shared" si="85"/>
        <v>1</v>
      </c>
      <c r="D2744" s="3" t="s">
        <v>275</v>
      </c>
      <c r="E2744" s="3" t="s">
        <v>1350</v>
      </c>
      <c r="F2744" s="3" t="s">
        <v>19</v>
      </c>
      <c r="G2744" s="3" t="s">
        <v>32</v>
      </c>
      <c r="H2744" s="3" t="s">
        <v>849</v>
      </c>
      <c r="I2744" s="11">
        <v>162.35</v>
      </c>
      <c r="J2744" s="18">
        <v>5</v>
      </c>
      <c r="K2744" s="12">
        <v>16.175000000000001</v>
      </c>
    </row>
    <row r="2745" spans="1:11" x14ac:dyDescent="0.25">
      <c r="A2745" s="4">
        <v>43863</v>
      </c>
      <c r="B2745" s="19">
        <f t="shared" si="84"/>
        <v>2020</v>
      </c>
      <c r="C2745" s="19">
        <f t="shared" si="85"/>
        <v>2</v>
      </c>
      <c r="D2745" s="5" t="s">
        <v>1336</v>
      </c>
      <c r="E2745" s="5" t="s">
        <v>67</v>
      </c>
      <c r="F2745" s="5" t="s">
        <v>14</v>
      </c>
      <c r="G2745" s="5" t="s">
        <v>15</v>
      </c>
      <c r="H2745" s="5" t="s">
        <v>967</v>
      </c>
      <c r="I2745" s="13">
        <v>100.97</v>
      </c>
      <c r="J2745" s="19">
        <v>5</v>
      </c>
      <c r="K2745" s="14">
        <v>-11.994</v>
      </c>
    </row>
    <row r="2746" spans="1:11" x14ac:dyDescent="0.25">
      <c r="A2746" s="2">
        <v>43863</v>
      </c>
      <c r="B2746" s="18">
        <f t="shared" si="84"/>
        <v>2020</v>
      </c>
      <c r="C2746" s="18">
        <f t="shared" si="85"/>
        <v>2</v>
      </c>
      <c r="D2746" s="3" t="s">
        <v>734</v>
      </c>
      <c r="E2746" s="3" t="s">
        <v>18</v>
      </c>
      <c r="F2746" s="3" t="s">
        <v>11</v>
      </c>
      <c r="G2746" s="3" t="s">
        <v>51</v>
      </c>
      <c r="H2746" s="3" t="s">
        <v>1179</v>
      </c>
      <c r="I2746" s="11">
        <v>107.26</v>
      </c>
      <c r="J2746" s="18">
        <v>2</v>
      </c>
      <c r="K2746" s="12">
        <v>29.328399999999998</v>
      </c>
    </row>
    <row r="2747" spans="1:11" x14ac:dyDescent="0.25">
      <c r="A2747" s="4">
        <v>43863</v>
      </c>
      <c r="B2747" s="19">
        <f t="shared" si="84"/>
        <v>2020</v>
      </c>
      <c r="C2747" s="19">
        <f t="shared" si="85"/>
        <v>2</v>
      </c>
      <c r="D2747" s="5" t="s">
        <v>28</v>
      </c>
      <c r="E2747" s="5" t="s">
        <v>18</v>
      </c>
      <c r="F2747" s="5" t="s">
        <v>11</v>
      </c>
      <c r="G2747" s="5" t="s">
        <v>51</v>
      </c>
      <c r="H2747" s="5" t="s">
        <v>2118</v>
      </c>
      <c r="I2747" s="13">
        <v>242.58</v>
      </c>
      <c r="J2747" s="19">
        <v>2</v>
      </c>
      <c r="K2747" s="14">
        <v>12.6348</v>
      </c>
    </row>
    <row r="2748" spans="1:11" x14ac:dyDescent="0.25">
      <c r="A2748" s="2">
        <v>43863</v>
      </c>
      <c r="B2748" s="18">
        <f t="shared" si="84"/>
        <v>2020</v>
      </c>
      <c r="C2748" s="18">
        <f t="shared" si="85"/>
        <v>2</v>
      </c>
      <c r="D2748" s="3" t="s">
        <v>28</v>
      </c>
      <c r="E2748" s="3" t="s">
        <v>18</v>
      </c>
      <c r="F2748" s="3" t="s">
        <v>14</v>
      </c>
      <c r="G2748" s="3" t="s">
        <v>188</v>
      </c>
      <c r="H2748" s="3" t="s">
        <v>2119</v>
      </c>
      <c r="I2748" s="11">
        <v>253.98400000000001</v>
      </c>
      <c r="J2748" s="18">
        <v>2</v>
      </c>
      <c r="K2748" s="12">
        <v>38.997399999999999</v>
      </c>
    </row>
    <row r="2749" spans="1:11" x14ac:dyDescent="0.25">
      <c r="A2749" s="4">
        <v>43863</v>
      </c>
      <c r="B2749" s="19">
        <f t="shared" si="84"/>
        <v>2020</v>
      </c>
      <c r="C2749" s="19">
        <f t="shared" si="85"/>
        <v>2</v>
      </c>
      <c r="D2749" s="5" t="s">
        <v>28</v>
      </c>
      <c r="E2749" s="5" t="s">
        <v>18</v>
      </c>
      <c r="F2749" s="5" t="s">
        <v>19</v>
      </c>
      <c r="G2749" s="5" t="s">
        <v>32</v>
      </c>
      <c r="H2749" s="5" t="s">
        <v>878</v>
      </c>
      <c r="I2749" s="13">
        <v>257.95999999999998</v>
      </c>
      <c r="J2749" s="19">
        <v>2</v>
      </c>
      <c r="K2749" s="14">
        <v>10.061999999999999</v>
      </c>
    </row>
    <row r="2750" spans="1:11" x14ac:dyDescent="0.25">
      <c r="A2750" s="2">
        <v>43863</v>
      </c>
      <c r="B2750" s="18">
        <f t="shared" si="84"/>
        <v>2020</v>
      </c>
      <c r="C2750" s="18">
        <f t="shared" si="85"/>
        <v>2</v>
      </c>
      <c r="D2750" s="3" t="s">
        <v>734</v>
      </c>
      <c r="E2750" s="3" t="s">
        <v>18</v>
      </c>
      <c r="F2750" s="3" t="s">
        <v>19</v>
      </c>
      <c r="G2750" s="3" t="s">
        <v>121</v>
      </c>
      <c r="H2750" s="3" t="s">
        <v>2001</v>
      </c>
      <c r="I2750" s="11">
        <v>291.8</v>
      </c>
      <c r="J2750" s="18">
        <v>4</v>
      </c>
      <c r="K2750" s="12">
        <v>16.38</v>
      </c>
    </row>
    <row r="2751" spans="1:11" x14ac:dyDescent="0.25">
      <c r="A2751" s="4">
        <v>43863</v>
      </c>
      <c r="B2751" s="19">
        <f t="shared" si="84"/>
        <v>2020</v>
      </c>
      <c r="C2751" s="19">
        <f t="shared" si="85"/>
        <v>2</v>
      </c>
      <c r="D2751" s="5" t="s">
        <v>1336</v>
      </c>
      <c r="E2751" s="5" t="s">
        <v>67</v>
      </c>
      <c r="F2751" s="5" t="s">
        <v>19</v>
      </c>
      <c r="G2751" s="5" t="s">
        <v>53</v>
      </c>
      <c r="H2751" s="5" t="s">
        <v>1720</v>
      </c>
      <c r="I2751" s="13">
        <v>2109.3040000000001</v>
      </c>
      <c r="J2751" s="19">
        <v>2</v>
      </c>
      <c r="K2751" s="14">
        <v>29.364000000000001</v>
      </c>
    </row>
    <row r="2752" spans="1:11" x14ac:dyDescent="0.25">
      <c r="A2752" s="2">
        <v>43863</v>
      </c>
      <c r="B2752" s="18">
        <f t="shared" si="84"/>
        <v>2020</v>
      </c>
      <c r="C2752" s="18">
        <f t="shared" si="85"/>
        <v>2</v>
      </c>
      <c r="D2752" s="3" t="s">
        <v>734</v>
      </c>
      <c r="E2752" s="3" t="s">
        <v>18</v>
      </c>
      <c r="F2752" s="3" t="s">
        <v>19</v>
      </c>
      <c r="G2752" s="3" t="s">
        <v>20</v>
      </c>
      <c r="H2752" s="3" t="s">
        <v>2120</v>
      </c>
      <c r="I2752" s="11">
        <v>2178.04</v>
      </c>
      <c r="J2752" s="18">
        <v>4</v>
      </c>
      <c r="K2752" s="12">
        <v>38.931199999999997</v>
      </c>
    </row>
    <row r="2753" spans="1:11" x14ac:dyDescent="0.25">
      <c r="A2753" s="4">
        <v>43863</v>
      </c>
      <c r="B2753" s="19">
        <f t="shared" si="84"/>
        <v>2020</v>
      </c>
      <c r="C2753" s="19">
        <f t="shared" si="85"/>
        <v>2</v>
      </c>
      <c r="D2753" s="5" t="s">
        <v>1336</v>
      </c>
      <c r="E2753" s="5" t="s">
        <v>67</v>
      </c>
      <c r="F2753" s="5" t="s">
        <v>19</v>
      </c>
      <c r="G2753" s="5" t="s">
        <v>116</v>
      </c>
      <c r="H2753" s="5" t="s">
        <v>301</v>
      </c>
      <c r="I2753" s="13">
        <v>110.456</v>
      </c>
      <c r="J2753" s="19">
        <v>9</v>
      </c>
      <c r="K2753" s="14">
        <v>6.9732000000000003</v>
      </c>
    </row>
    <row r="2754" spans="1:11" x14ac:dyDescent="0.25">
      <c r="A2754" s="2">
        <v>43864</v>
      </c>
      <c r="B2754" s="18">
        <f t="shared" ref="B2754:B2817" si="86">YEAR(A2754)</f>
        <v>2020</v>
      </c>
      <c r="C2754" s="18">
        <f t="shared" ref="C2754:C2817" si="87">MONTH(A2754)</f>
        <v>2</v>
      </c>
      <c r="D2754" s="3" t="s">
        <v>1652</v>
      </c>
      <c r="E2754" s="3" t="s">
        <v>44</v>
      </c>
      <c r="F2754" s="3" t="s">
        <v>19</v>
      </c>
      <c r="G2754" s="3" t="s">
        <v>53</v>
      </c>
      <c r="H2754" s="3" t="s">
        <v>1508</v>
      </c>
      <c r="I2754" s="11">
        <v>134.29599999999999</v>
      </c>
      <c r="J2754" s="18">
        <v>3</v>
      </c>
      <c r="K2754" s="12">
        <v>40.3536</v>
      </c>
    </row>
    <row r="2755" spans="1:11" x14ac:dyDescent="0.25">
      <c r="A2755" s="4">
        <v>43864</v>
      </c>
      <c r="B2755" s="19">
        <f t="shared" si="86"/>
        <v>2020</v>
      </c>
      <c r="C2755" s="19">
        <f t="shared" si="87"/>
        <v>2</v>
      </c>
      <c r="D2755" s="5" t="s">
        <v>238</v>
      </c>
      <c r="E2755" s="5" t="s">
        <v>164</v>
      </c>
      <c r="F2755" s="5" t="s">
        <v>19</v>
      </c>
      <c r="G2755" s="5" t="s">
        <v>53</v>
      </c>
      <c r="H2755" s="5" t="s">
        <v>669</v>
      </c>
      <c r="I2755" s="13">
        <v>443.4</v>
      </c>
      <c r="J2755" s="19">
        <v>5</v>
      </c>
      <c r="K2755" s="14">
        <v>146.79</v>
      </c>
    </row>
    <row r="2756" spans="1:11" x14ac:dyDescent="0.25">
      <c r="A2756" s="2">
        <v>43864</v>
      </c>
      <c r="B2756" s="18">
        <f t="shared" si="86"/>
        <v>2020</v>
      </c>
      <c r="C2756" s="18">
        <f t="shared" si="87"/>
        <v>2</v>
      </c>
      <c r="D2756" s="3" t="s">
        <v>2036</v>
      </c>
      <c r="E2756" s="3" t="s">
        <v>67</v>
      </c>
      <c r="F2756" s="3" t="s">
        <v>19</v>
      </c>
      <c r="G2756" s="3" t="s">
        <v>32</v>
      </c>
      <c r="H2756" s="3" t="s">
        <v>1450</v>
      </c>
      <c r="I2756" s="11">
        <v>936.22900000000004</v>
      </c>
      <c r="J2756" s="18">
        <v>3</v>
      </c>
      <c r="K2756" s="12">
        <v>-4.1832000000000003</v>
      </c>
    </row>
    <row r="2757" spans="1:11" x14ac:dyDescent="0.25">
      <c r="A2757" s="4">
        <v>43864</v>
      </c>
      <c r="B2757" s="19">
        <f t="shared" si="86"/>
        <v>2020</v>
      </c>
      <c r="C2757" s="19">
        <f t="shared" si="87"/>
        <v>2</v>
      </c>
      <c r="D2757" s="5" t="s">
        <v>238</v>
      </c>
      <c r="E2757" s="5" t="s">
        <v>164</v>
      </c>
      <c r="F2757" s="5" t="s">
        <v>11</v>
      </c>
      <c r="G2757" s="5" t="s">
        <v>51</v>
      </c>
      <c r="H2757" s="5" t="s">
        <v>2121</v>
      </c>
      <c r="I2757" s="13">
        <v>1248.2</v>
      </c>
      <c r="J2757" s="19">
        <v>1</v>
      </c>
      <c r="K2757" s="14">
        <v>-26.085000000000001</v>
      </c>
    </row>
    <row r="2758" spans="1:11" x14ac:dyDescent="0.25">
      <c r="A2758" s="2">
        <v>43864</v>
      </c>
      <c r="B2758" s="18">
        <f t="shared" si="86"/>
        <v>2020</v>
      </c>
      <c r="C2758" s="18">
        <f t="shared" si="87"/>
        <v>2</v>
      </c>
      <c r="D2758" s="3" t="s">
        <v>2036</v>
      </c>
      <c r="E2758" s="3" t="s">
        <v>67</v>
      </c>
      <c r="F2758" s="3" t="s">
        <v>19</v>
      </c>
      <c r="G2758" s="3" t="s">
        <v>20</v>
      </c>
      <c r="H2758" s="3" t="s">
        <v>818</v>
      </c>
      <c r="I2758" s="11">
        <v>2298.5520000000001</v>
      </c>
      <c r="J2758" s="18">
        <v>2</v>
      </c>
      <c r="K2758" s="12">
        <v>35.694000000000003</v>
      </c>
    </row>
    <row r="2759" spans="1:11" x14ac:dyDescent="0.25">
      <c r="A2759" s="4">
        <v>43864</v>
      </c>
      <c r="B2759" s="19">
        <f t="shared" si="86"/>
        <v>2020</v>
      </c>
      <c r="C2759" s="19">
        <f t="shared" si="87"/>
        <v>2</v>
      </c>
      <c r="D2759" s="5" t="s">
        <v>1652</v>
      </c>
      <c r="E2759" s="5" t="s">
        <v>44</v>
      </c>
      <c r="F2759" s="5" t="s">
        <v>19</v>
      </c>
      <c r="G2759" s="5" t="s">
        <v>32</v>
      </c>
      <c r="H2759" s="5" t="s">
        <v>849</v>
      </c>
      <c r="I2759" s="13">
        <v>118.88200000000001</v>
      </c>
      <c r="J2759" s="19">
        <v>2</v>
      </c>
      <c r="K2759" s="14">
        <v>-2.5880000000000001</v>
      </c>
    </row>
    <row r="2760" spans="1:11" x14ac:dyDescent="0.25">
      <c r="A2760" s="2">
        <v>43864</v>
      </c>
      <c r="B2760" s="18">
        <f t="shared" si="86"/>
        <v>2020</v>
      </c>
      <c r="C2760" s="18">
        <f t="shared" si="87"/>
        <v>2</v>
      </c>
      <c r="D2760" s="3" t="s">
        <v>238</v>
      </c>
      <c r="E2760" s="3" t="s">
        <v>164</v>
      </c>
      <c r="F2760" s="3" t="s">
        <v>19</v>
      </c>
      <c r="G2760" s="3" t="s">
        <v>53</v>
      </c>
      <c r="H2760" s="3" t="s">
        <v>76</v>
      </c>
      <c r="I2760" s="11">
        <v>119.184</v>
      </c>
      <c r="J2760" s="18">
        <v>1</v>
      </c>
      <c r="K2760" s="12">
        <v>1.8144</v>
      </c>
    </row>
    <row r="2761" spans="1:11" x14ac:dyDescent="0.25">
      <c r="A2761" s="4">
        <v>43864</v>
      </c>
      <c r="B2761" s="19">
        <f t="shared" si="86"/>
        <v>2020</v>
      </c>
      <c r="C2761" s="19">
        <f t="shared" si="87"/>
        <v>2</v>
      </c>
      <c r="D2761" s="5" t="s">
        <v>238</v>
      </c>
      <c r="E2761" s="5" t="s">
        <v>164</v>
      </c>
      <c r="F2761" s="5" t="s">
        <v>19</v>
      </c>
      <c r="G2761" s="5" t="s">
        <v>53</v>
      </c>
      <c r="H2761" s="5" t="s">
        <v>99</v>
      </c>
      <c r="I2761" s="13">
        <v>159.584</v>
      </c>
      <c r="J2761" s="19">
        <v>2</v>
      </c>
      <c r="K2761" s="14">
        <v>23.7742</v>
      </c>
    </row>
    <row r="2762" spans="1:11" x14ac:dyDescent="0.25">
      <c r="A2762" s="2">
        <v>43865</v>
      </c>
      <c r="B2762" s="18">
        <f t="shared" si="86"/>
        <v>2020</v>
      </c>
      <c r="C2762" s="18">
        <f t="shared" si="87"/>
        <v>2</v>
      </c>
      <c r="D2762" s="3" t="s">
        <v>1153</v>
      </c>
      <c r="E2762" s="3" t="s">
        <v>94</v>
      </c>
      <c r="F2762" s="3" t="s">
        <v>19</v>
      </c>
      <c r="G2762" s="3" t="s">
        <v>121</v>
      </c>
      <c r="H2762" s="3" t="s">
        <v>1094</v>
      </c>
      <c r="I2762" s="11">
        <v>138.66999999999999</v>
      </c>
      <c r="J2762" s="18">
        <v>3</v>
      </c>
      <c r="K2762" s="12">
        <v>8.4941999999999993</v>
      </c>
    </row>
    <row r="2763" spans="1:11" x14ac:dyDescent="0.25">
      <c r="A2763" s="4">
        <v>43866</v>
      </c>
      <c r="B2763" s="19">
        <f t="shared" si="86"/>
        <v>2020</v>
      </c>
      <c r="C2763" s="19">
        <f t="shared" si="87"/>
        <v>2</v>
      </c>
      <c r="D2763" s="5" t="s">
        <v>1936</v>
      </c>
      <c r="E2763" s="5" t="s">
        <v>23</v>
      </c>
      <c r="F2763" s="5" t="s">
        <v>19</v>
      </c>
      <c r="G2763" s="5" t="s">
        <v>40</v>
      </c>
      <c r="H2763" s="5" t="s">
        <v>1672</v>
      </c>
      <c r="I2763" s="13">
        <v>221.12</v>
      </c>
      <c r="J2763" s="19">
        <v>5</v>
      </c>
      <c r="K2763" s="14">
        <v>0.71199999999999997</v>
      </c>
    </row>
    <row r="2764" spans="1:11" x14ac:dyDescent="0.25">
      <c r="A2764" s="2">
        <v>43866</v>
      </c>
      <c r="B2764" s="18">
        <f t="shared" si="86"/>
        <v>2020</v>
      </c>
      <c r="C2764" s="18">
        <f t="shared" si="87"/>
        <v>2</v>
      </c>
      <c r="D2764" s="3" t="s">
        <v>1936</v>
      </c>
      <c r="E2764" s="3" t="s">
        <v>23</v>
      </c>
      <c r="F2764" s="3" t="s">
        <v>19</v>
      </c>
      <c r="G2764" s="3" t="s">
        <v>32</v>
      </c>
      <c r="H2764" s="3" t="s">
        <v>1920</v>
      </c>
      <c r="I2764" s="11">
        <v>285.99200000000002</v>
      </c>
      <c r="J2764" s="18">
        <v>4</v>
      </c>
      <c r="K2764" s="12">
        <v>-426.98599999999999</v>
      </c>
    </row>
    <row r="2765" spans="1:11" x14ac:dyDescent="0.25">
      <c r="A2765" s="4">
        <v>43866</v>
      </c>
      <c r="B2765" s="19">
        <f t="shared" si="86"/>
        <v>2020</v>
      </c>
      <c r="C2765" s="19">
        <f t="shared" si="87"/>
        <v>2</v>
      </c>
      <c r="D2765" s="5" t="s">
        <v>437</v>
      </c>
      <c r="E2765" s="5" t="s">
        <v>18</v>
      </c>
      <c r="F2765" s="5" t="s">
        <v>19</v>
      </c>
      <c r="G2765" s="5" t="s">
        <v>121</v>
      </c>
      <c r="H2765" s="5" t="s">
        <v>2122</v>
      </c>
      <c r="I2765" s="13">
        <v>1666.7</v>
      </c>
      <c r="J2765" s="19">
        <v>5</v>
      </c>
      <c r="K2765" s="14">
        <v>459.39600000000002</v>
      </c>
    </row>
    <row r="2766" spans="1:11" x14ac:dyDescent="0.25">
      <c r="A2766" s="2">
        <v>43866</v>
      </c>
      <c r="B2766" s="18">
        <f t="shared" si="86"/>
        <v>2020</v>
      </c>
      <c r="C2766" s="18">
        <f t="shared" si="87"/>
        <v>2</v>
      </c>
      <c r="D2766" s="3" t="s">
        <v>437</v>
      </c>
      <c r="E2766" s="3" t="s">
        <v>18</v>
      </c>
      <c r="F2766" s="3" t="s">
        <v>14</v>
      </c>
      <c r="G2766" s="3" t="s">
        <v>15</v>
      </c>
      <c r="H2766" s="3" t="s">
        <v>1499</v>
      </c>
      <c r="I2766" s="11">
        <v>2399.1999999999998</v>
      </c>
      <c r="J2766" s="18">
        <v>5</v>
      </c>
      <c r="K2766" s="12">
        <v>41.76</v>
      </c>
    </row>
    <row r="2767" spans="1:11" x14ac:dyDescent="0.25">
      <c r="A2767" s="4">
        <v>43867</v>
      </c>
      <c r="B2767" s="19">
        <f t="shared" si="86"/>
        <v>2020</v>
      </c>
      <c r="C2767" s="19">
        <f t="shared" si="87"/>
        <v>2</v>
      </c>
      <c r="D2767" s="5" t="s">
        <v>433</v>
      </c>
      <c r="E2767" s="5" t="s">
        <v>94</v>
      </c>
      <c r="F2767" s="5" t="s">
        <v>14</v>
      </c>
      <c r="G2767" s="5" t="s">
        <v>15</v>
      </c>
      <c r="H2767" s="5" t="s">
        <v>345</v>
      </c>
      <c r="I2767" s="13">
        <v>256.45999999999998</v>
      </c>
      <c r="J2767" s="19">
        <v>6</v>
      </c>
      <c r="K2767" s="14">
        <v>65.963399999999993</v>
      </c>
    </row>
    <row r="2768" spans="1:11" x14ac:dyDescent="0.25">
      <c r="A2768" s="2">
        <v>43867</v>
      </c>
      <c r="B2768" s="18">
        <f t="shared" si="86"/>
        <v>2020</v>
      </c>
      <c r="C2768" s="18">
        <f t="shared" si="87"/>
        <v>2</v>
      </c>
      <c r="D2768" s="3" t="s">
        <v>377</v>
      </c>
      <c r="E2768" s="3" t="s">
        <v>94</v>
      </c>
      <c r="F2768" s="3" t="s">
        <v>11</v>
      </c>
      <c r="G2768" s="3" t="s">
        <v>12</v>
      </c>
      <c r="H2768" s="3" t="s">
        <v>1174</v>
      </c>
      <c r="I2768" s="11">
        <v>256.78399999999999</v>
      </c>
      <c r="J2768" s="18">
        <v>1</v>
      </c>
      <c r="K2768" s="12">
        <v>30.097999999999999</v>
      </c>
    </row>
    <row r="2769" spans="1:11" x14ac:dyDescent="0.25">
      <c r="A2769" s="4">
        <v>43867</v>
      </c>
      <c r="B2769" s="19">
        <f t="shared" si="86"/>
        <v>2020</v>
      </c>
      <c r="C2769" s="19">
        <f t="shared" si="87"/>
        <v>2</v>
      </c>
      <c r="D2769" s="5" t="s">
        <v>498</v>
      </c>
      <c r="E2769" s="5" t="s">
        <v>181</v>
      </c>
      <c r="F2769" s="5" t="s">
        <v>11</v>
      </c>
      <c r="G2769" s="5" t="s">
        <v>12</v>
      </c>
      <c r="H2769" s="5" t="s">
        <v>208</v>
      </c>
      <c r="I2769" s="13">
        <v>371.97</v>
      </c>
      <c r="J2769" s="19">
        <v>3</v>
      </c>
      <c r="K2769" s="14">
        <v>79.193399999999997</v>
      </c>
    </row>
    <row r="2770" spans="1:11" x14ac:dyDescent="0.25">
      <c r="A2770" s="2">
        <v>43867</v>
      </c>
      <c r="B2770" s="18">
        <f t="shared" si="86"/>
        <v>2020</v>
      </c>
      <c r="C2770" s="18">
        <f t="shared" si="87"/>
        <v>2</v>
      </c>
      <c r="D2770" s="3" t="s">
        <v>1125</v>
      </c>
      <c r="E2770" s="3" t="s">
        <v>18</v>
      </c>
      <c r="F2770" s="3" t="s">
        <v>19</v>
      </c>
      <c r="G2770" s="3" t="s">
        <v>53</v>
      </c>
      <c r="H2770" s="3" t="s">
        <v>1702</v>
      </c>
      <c r="I2770" s="11">
        <v>135.9</v>
      </c>
      <c r="J2770" s="18">
        <v>5</v>
      </c>
      <c r="K2770" s="12">
        <v>13.455</v>
      </c>
    </row>
    <row r="2771" spans="1:11" x14ac:dyDescent="0.25">
      <c r="A2771" s="4">
        <v>43867</v>
      </c>
      <c r="B2771" s="19">
        <f t="shared" si="86"/>
        <v>2020</v>
      </c>
      <c r="C2771" s="19">
        <f t="shared" si="87"/>
        <v>2</v>
      </c>
      <c r="D2771" s="5" t="s">
        <v>433</v>
      </c>
      <c r="E2771" s="5" t="s">
        <v>94</v>
      </c>
      <c r="F2771" s="5" t="s">
        <v>19</v>
      </c>
      <c r="G2771" s="5" t="s">
        <v>32</v>
      </c>
      <c r="H2771" s="5" t="s">
        <v>863</v>
      </c>
      <c r="I2771" s="13">
        <v>134.24</v>
      </c>
      <c r="J2771" s="19">
        <v>4</v>
      </c>
      <c r="K2771" s="14">
        <v>15.606</v>
      </c>
    </row>
    <row r="2772" spans="1:11" x14ac:dyDescent="0.25">
      <c r="A2772" s="2">
        <v>43870</v>
      </c>
      <c r="B2772" s="18">
        <f t="shared" si="86"/>
        <v>2020</v>
      </c>
      <c r="C2772" s="18">
        <f t="shared" si="87"/>
        <v>2</v>
      </c>
      <c r="D2772" s="3" t="s">
        <v>1444</v>
      </c>
      <c r="E2772" s="3" t="s">
        <v>23</v>
      </c>
      <c r="F2772" s="3" t="s">
        <v>19</v>
      </c>
      <c r="G2772" s="3" t="s">
        <v>32</v>
      </c>
      <c r="H2772" s="3" t="s">
        <v>629</v>
      </c>
      <c r="I2772" s="11">
        <v>290.78399999999999</v>
      </c>
      <c r="J2772" s="18">
        <v>4</v>
      </c>
      <c r="K2772" s="12">
        <v>-417.09359999999998</v>
      </c>
    </row>
    <row r="2773" spans="1:11" x14ac:dyDescent="0.25">
      <c r="A2773" s="4">
        <v>43870</v>
      </c>
      <c r="B2773" s="19">
        <f t="shared" si="86"/>
        <v>2020</v>
      </c>
      <c r="C2773" s="19">
        <f t="shared" si="87"/>
        <v>2</v>
      </c>
      <c r="D2773" s="5" t="s">
        <v>2123</v>
      </c>
      <c r="E2773" s="5" t="s">
        <v>18</v>
      </c>
      <c r="F2773" s="5" t="s">
        <v>19</v>
      </c>
      <c r="G2773" s="5" t="s">
        <v>20</v>
      </c>
      <c r="H2773" s="5" t="s">
        <v>1635</v>
      </c>
      <c r="I2773" s="13">
        <v>403.9</v>
      </c>
      <c r="J2773" s="19">
        <v>5</v>
      </c>
      <c r="K2773" s="14">
        <v>17.745000000000001</v>
      </c>
    </row>
    <row r="2774" spans="1:11" x14ac:dyDescent="0.25">
      <c r="A2774" s="2">
        <v>43870</v>
      </c>
      <c r="B2774" s="18">
        <f t="shared" si="86"/>
        <v>2020</v>
      </c>
      <c r="C2774" s="18">
        <f t="shared" si="87"/>
        <v>2</v>
      </c>
      <c r="D2774" s="3" t="s">
        <v>1444</v>
      </c>
      <c r="E2774" s="3" t="s">
        <v>23</v>
      </c>
      <c r="F2774" s="3" t="s">
        <v>14</v>
      </c>
      <c r="G2774" s="3" t="s">
        <v>24</v>
      </c>
      <c r="H2774" s="3" t="s">
        <v>1023</v>
      </c>
      <c r="I2774" s="11">
        <v>2154.9839999999999</v>
      </c>
      <c r="J2774" s="18">
        <v>2</v>
      </c>
      <c r="K2774" s="12">
        <v>15.997999999999999</v>
      </c>
    </row>
    <row r="2775" spans="1:11" x14ac:dyDescent="0.25">
      <c r="A2775" s="4">
        <v>43870</v>
      </c>
      <c r="B2775" s="19">
        <f t="shared" si="86"/>
        <v>2020</v>
      </c>
      <c r="C2775" s="19">
        <f t="shared" si="87"/>
        <v>2</v>
      </c>
      <c r="D2775" s="5" t="s">
        <v>1444</v>
      </c>
      <c r="E2775" s="5" t="s">
        <v>23</v>
      </c>
      <c r="F2775" s="5" t="s">
        <v>11</v>
      </c>
      <c r="G2775" s="5" t="s">
        <v>51</v>
      </c>
      <c r="H2775" s="5" t="s">
        <v>642</v>
      </c>
      <c r="I2775" s="13">
        <v>122.98399999999999</v>
      </c>
      <c r="J2775" s="19">
        <v>2</v>
      </c>
      <c r="K2775" s="14">
        <v>-2.6892</v>
      </c>
    </row>
    <row r="2776" spans="1:11" x14ac:dyDescent="0.25">
      <c r="A2776" s="2">
        <v>43870</v>
      </c>
      <c r="B2776" s="18">
        <f t="shared" si="86"/>
        <v>2020</v>
      </c>
      <c r="C2776" s="18">
        <f t="shared" si="87"/>
        <v>2</v>
      </c>
      <c r="D2776" s="3" t="s">
        <v>1500</v>
      </c>
      <c r="E2776" s="3" t="s">
        <v>18</v>
      </c>
      <c r="F2776" s="3" t="s">
        <v>11</v>
      </c>
      <c r="G2776" s="3" t="s">
        <v>51</v>
      </c>
      <c r="H2776" s="3" t="s">
        <v>2056</v>
      </c>
      <c r="I2776" s="11">
        <v>96.12</v>
      </c>
      <c r="J2776" s="18">
        <v>4</v>
      </c>
      <c r="K2776" s="12">
        <v>6.5472000000000001</v>
      </c>
    </row>
    <row r="2777" spans="1:11" x14ac:dyDescent="0.25">
      <c r="A2777" s="4">
        <v>43870</v>
      </c>
      <c r="B2777" s="19">
        <f t="shared" si="86"/>
        <v>2020</v>
      </c>
      <c r="C2777" s="19">
        <f t="shared" si="87"/>
        <v>2</v>
      </c>
      <c r="D2777" s="5" t="s">
        <v>1444</v>
      </c>
      <c r="E2777" s="5" t="s">
        <v>23</v>
      </c>
      <c r="F2777" s="5" t="s">
        <v>19</v>
      </c>
      <c r="G2777" s="5" t="s">
        <v>121</v>
      </c>
      <c r="H2777" s="5" t="s">
        <v>1834</v>
      </c>
      <c r="I2777" s="13">
        <v>132.99199999999999</v>
      </c>
      <c r="J2777" s="19">
        <v>2</v>
      </c>
      <c r="K2777" s="14">
        <v>-32.479999999999997</v>
      </c>
    </row>
    <row r="2778" spans="1:11" x14ac:dyDescent="0.25">
      <c r="A2778" s="2">
        <v>43871</v>
      </c>
      <c r="B2778" s="18">
        <f t="shared" si="86"/>
        <v>2020</v>
      </c>
      <c r="C2778" s="18">
        <f t="shared" si="87"/>
        <v>2</v>
      </c>
      <c r="D2778" s="3" t="s">
        <v>1979</v>
      </c>
      <c r="E2778" s="3" t="s">
        <v>18</v>
      </c>
      <c r="F2778" s="3" t="s">
        <v>11</v>
      </c>
      <c r="G2778" s="3" t="s">
        <v>12</v>
      </c>
      <c r="H2778" s="3" t="s">
        <v>208</v>
      </c>
      <c r="I2778" s="11">
        <v>226.983</v>
      </c>
      <c r="J2778" s="18">
        <v>2</v>
      </c>
      <c r="K2778" s="12">
        <v>16.7986</v>
      </c>
    </row>
    <row r="2779" spans="1:11" x14ac:dyDescent="0.25">
      <c r="A2779" s="4">
        <v>43871</v>
      </c>
      <c r="B2779" s="19">
        <f t="shared" si="86"/>
        <v>2020</v>
      </c>
      <c r="C2779" s="19">
        <f t="shared" si="87"/>
        <v>2</v>
      </c>
      <c r="D2779" s="5" t="s">
        <v>850</v>
      </c>
      <c r="E2779" s="5" t="s">
        <v>10</v>
      </c>
      <c r="F2779" s="5" t="s">
        <v>19</v>
      </c>
      <c r="G2779" s="5" t="s">
        <v>53</v>
      </c>
      <c r="H2779" s="5" t="s">
        <v>1965</v>
      </c>
      <c r="I2779" s="13">
        <v>1958.12</v>
      </c>
      <c r="J2779" s="19">
        <v>4</v>
      </c>
      <c r="K2779" s="14">
        <v>11.328799999999999</v>
      </c>
    </row>
    <row r="2780" spans="1:11" x14ac:dyDescent="0.25">
      <c r="A2780" s="2">
        <v>43872</v>
      </c>
      <c r="B2780" s="18">
        <f t="shared" si="86"/>
        <v>2020</v>
      </c>
      <c r="C2780" s="18">
        <f t="shared" si="87"/>
        <v>2</v>
      </c>
      <c r="D2780" s="3" t="s">
        <v>2124</v>
      </c>
      <c r="E2780" s="3" t="s">
        <v>70</v>
      </c>
      <c r="F2780" s="3" t="s">
        <v>14</v>
      </c>
      <c r="G2780" s="3" t="s">
        <v>15</v>
      </c>
      <c r="H2780" s="3" t="s">
        <v>47</v>
      </c>
      <c r="I2780" s="11">
        <v>126.776</v>
      </c>
      <c r="J2780" s="18">
        <v>3</v>
      </c>
      <c r="K2780" s="12">
        <v>7.7679</v>
      </c>
    </row>
    <row r="2781" spans="1:11" x14ac:dyDescent="0.25">
      <c r="A2781" s="4">
        <v>43872</v>
      </c>
      <c r="B2781" s="19">
        <f t="shared" si="86"/>
        <v>2020</v>
      </c>
      <c r="C2781" s="19">
        <f t="shared" si="87"/>
        <v>2</v>
      </c>
      <c r="D2781" s="5" t="s">
        <v>1594</v>
      </c>
      <c r="E2781" s="5" t="s">
        <v>67</v>
      </c>
      <c r="F2781" s="5" t="s">
        <v>11</v>
      </c>
      <c r="G2781" s="5" t="s">
        <v>51</v>
      </c>
      <c r="H2781" s="5" t="s">
        <v>193</v>
      </c>
      <c r="I2781" s="13">
        <v>164.56800000000001</v>
      </c>
      <c r="J2781" s="19">
        <v>2</v>
      </c>
      <c r="K2781" s="14">
        <v>-3.6892</v>
      </c>
    </row>
    <row r="2782" spans="1:11" x14ac:dyDescent="0.25">
      <c r="A2782" s="2">
        <v>43872</v>
      </c>
      <c r="B2782" s="18">
        <f t="shared" si="86"/>
        <v>2020</v>
      </c>
      <c r="C2782" s="18">
        <f t="shared" si="87"/>
        <v>2</v>
      </c>
      <c r="D2782" s="3" t="s">
        <v>1741</v>
      </c>
      <c r="E2782" s="3" t="s">
        <v>18</v>
      </c>
      <c r="F2782" s="3" t="s">
        <v>19</v>
      </c>
      <c r="G2782" s="3" t="s">
        <v>32</v>
      </c>
      <c r="H2782" s="3" t="s">
        <v>2018</v>
      </c>
      <c r="I2782" s="11">
        <v>840.33600000000001</v>
      </c>
      <c r="J2782" s="18">
        <v>7</v>
      </c>
      <c r="K2782" s="12">
        <v>7.7343000000000002</v>
      </c>
    </row>
    <row r="2783" spans="1:11" x14ac:dyDescent="0.25">
      <c r="A2783" s="4">
        <v>43872</v>
      </c>
      <c r="B2783" s="19">
        <f t="shared" si="86"/>
        <v>2020</v>
      </c>
      <c r="C2783" s="19">
        <f t="shared" si="87"/>
        <v>2</v>
      </c>
      <c r="D2783" s="5" t="s">
        <v>1416</v>
      </c>
      <c r="E2783" s="5" t="s">
        <v>94</v>
      </c>
      <c r="F2783" s="5" t="s">
        <v>19</v>
      </c>
      <c r="G2783" s="5" t="s">
        <v>127</v>
      </c>
      <c r="H2783" s="5" t="s">
        <v>534</v>
      </c>
      <c r="I2783" s="13">
        <v>936.7</v>
      </c>
      <c r="J2783" s="19">
        <v>2</v>
      </c>
      <c r="K2783" s="14">
        <v>9.9359999999999999</v>
      </c>
    </row>
    <row r="2784" spans="1:11" x14ac:dyDescent="0.25">
      <c r="A2784" s="2">
        <v>43872</v>
      </c>
      <c r="B2784" s="18">
        <f t="shared" si="86"/>
        <v>2020</v>
      </c>
      <c r="C2784" s="18">
        <f t="shared" si="87"/>
        <v>2</v>
      </c>
      <c r="D2784" s="3" t="s">
        <v>2124</v>
      </c>
      <c r="E2784" s="3" t="s">
        <v>70</v>
      </c>
      <c r="F2784" s="3" t="s">
        <v>11</v>
      </c>
      <c r="G2784" s="3" t="s">
        <v>112</v>
      </c>
      <c r="H2784" s="3" t="s">
        <v>1856</v>
      </c>
      <c r="I2784" s="11">
        <v>986.13599999999997</v>
      </c>
      <c r="J2784" s="18">
        <v>4</v>
      </c>
      <c r="K2784" s="12">
        <v>108.3528</v>
      </c>
    </row>
    <row r="2785" spans="1:11" x14ac:dyDescent="0.25">
      <c r="A2785" s="4">
        <v>43874</v>
      </c>
      <c r="B2785" s="19">
        <f t="shared" si="86"/>
        <v>2020</v>
      </c>
      <c r="C2785" s="19">
        <f t="shared" si="87"/>
        <v>2</v>
      </c>
      <c r="D2785" s="5" t="s">
        <v>1928</v>
      </c>
      <c r="E2785" s="5" t="s">
        <v>387</v>
      </c>
      <c r="F2785" s="5" t="s">
        <v>19</v>
      </c>
      <c r="G2785" s="5" t="s">
        <v>121</v>
      </c>
      <c r="H2785" s="5" t="s">
        <v>2125</v>
      </c>
      <c r="I2785" s="13">
        <v>116.64</v>
      </c>
      <c r="J2785" s="19">
        <v>8</v>
      </c>
      <c r="K2785" s="14">
        <v>38.975200000000001</v>
      </c>
    </row>
    <row r="2786" spans="1:11" x14ac:dyDescent="0.25">
      <c r="A2786" s="2">
        <v>43874</v>
      </c>
      <c r="B2786" s="18">
        <f t="shared" si="86"/>
        <v>2020</v>
      </c>
      <c r="C2786" s="18">
        <f t="shared" si="87"/>
        <v>2</v>
      </c>
      <c r="D2786" s="3" t="s">
        <v>2126</v>
      </c>
      <c r="E2786" s="3" t="s">
        <v>70</v>
      </c>
      <c r="F2786" s="3" t="s">
        <v>11</v>
      </c>
      <c r="G2786" s="3" t="s">
        <v>51</v>
      </c>
      <c r="H2786" s="3" t="s">
        <v>105</v>
      </c>
      <c r="I2786" s="11">
        <v>120.53</v>
      </c>
      <c r="J2786" s="18">
        <v>1</v>
      </c>
      <c r="K2786" s="12">
        <v>21.506</v>
      </c>
    </row>
    <row r="2787" spans="1:11" x14ac:dyDescent="0.25">
      <c r="A2787" s="4">
        <v>43874</v>
      </c>
      <c r="B2787" s="19">
        <f t="shared" si="86"/>
        <v>2020</v>
      </c>
      <c r="C2787" s="19">
        <f t="shared" si="87"/>
        <v>2</v>
      </c>
      <c r="D2787" s="5" t="s">
        <v>2126</v>
      </c>
      <c r="E2787" s="5" t="s">
        <v>70</v>
      </c>
      <c r="F2787" s="5" t="s">
        <v>14</v>
      </c>
      <c r="G2787" s="5" t="s">
        <v>24</v>
      </c>
      <c r="H2787" s="5" t="s">
        <v>1751</v>
      </c>
      <c r="I2787" s="13">
        <v>835.96</v>
      </c>
      <c r="J2787" s="19">
        <v>4</v>
      </c>
      <c r="K2787" s="14">
        <v>343.9828</v>
      </c>
    </row>
    <row r="2788" spans="1:11" x14ac:dyDescent="0.25">
      <c r="A2788" s="2">
        <v>43874</v>
      </c>
      <c r="B2788" s="18">
        <f t="shared" si="86"/>
        <v>2020</v>
      </c>
      <c r="C2788" s="18">
        <f t="shared" si="87"/>
        <v>2</v>
      </c>
      <c r="D2788" s="3" t="s">
        <v>2126</v>
      </c>
      <c r="E2788" s="3" t="s">
        <v>70</v>
      </c>
      <c r="F2788" s="3" t="s">
        <v>19</v>
      </c>
      <c r="G2788" s="3" t="s">
        <v>40</v>
      </c>
      <c r="H2788" s="3" t="s">
        <v>1124</v>
      </c>
      <c r="I2788" s="11">
        <v>919.63</v>
      </c>
      <c r="J2788" s="18">
        <v>3</v>
      </c>
      <c r="K2788" s="12">
        <v>1.7901</v>
      </c>
    </row>
    <row r="2789" spans="1:11" x14ac:dyDescent="0.25">
      <c r="A2789" s="4">
        <v>43874</v>
      </c>
      <c r="B2789" s="19">
        <f t="shared" si="86"/>
        <v>2020</v>
      </c>
      <c r="C2789" s="19">
        <f t="shared" si="87"/>
        <v>2</v>
      </c>
      <c r="D2789" s="5" t="s">
        <v>1244</v>
      </c>
      <c r="E2789" s="5" t="s">
        <v>94</v>
      </c>
      <c r="F2789" s="5" t="s">
        <v>19</v>
      </c>
      <c r="G2789" s="5" t="s">
        <v>53</v>
      </c>
      <c r="H2789" s="5" t="s">
        <v>2127</v>
      </c>
      <c r="I2789" s="13">
        <v>96.94</v>
      </c>
      <c r="J2789" s="19">
        <v>3</v>
      </c>
      <c r="K2789" s="14">
        <v>8.7905999999999995</v>
      </c>
    </row>
    <row r="2790" spans="1:11" x14ac:dyDescent="0.25">
      <c r="A2790" s="2">
        <v>43874</v>
      </c>
      <c r="B2790" s="18">
        <f t="shared" si="86"/>
        <v>2020</v>
      </c>
      <c r="C2790" s="18">
        <f t="shared" si="87"/>
        <v>2</v>
      </c>
      <c r="D2790" s="3" t="s">
        <v>918</v>
      </c>
      <c r="E2790" s="3" t="s">
        <v>10</v>
      </c>
      <c r="F2790" s="3" t="s">
        <v>19</v>
      </c>
      <c r="G2790" s="3" t="s">
        <v>40</v>
      </c>
      <c r="H2790" s="3" t="s">
        <v>703</v>
      </c>
      <c r="I2790" s="11">
        <v>117.71</v>
      </c>
      <c r="J2790" s="18">
        <v>3</v>
      </c>
      <c r="K2790" s="12">
        <v>2.7846000000000002</v>
      </c>
    </row>
    <row r="2791" spans="1:11" x14ac:dyDescent="0.25">
      <c r="A2791" s="4">
        <v>43874</v>
      </c>
      <c r="B2791" s="19">
        <f t="shared" si="86"/>
        <v>2020</v>
      </c>
      <c r="C2791" s="19">
        <f t="shared" si="87"/>
        <v>2</v>
      </c>
      <c r="D2791" s="5" t="s">
        <v>918</v>
      </c>
      <c r="E2791" s="5" t="s">
        <v>10</v>
      </c>
      <c r="F2791" s="5" t="s">
        <v>19</v>
      </c>
      <c r="G2791" s="5" t="s">
        <v>265</v>
      </c>
      <c r="H2791" s="5" t="s">
        <v>1280</v>
      </c>
      <c r="I2791" s="13">
        <v>144.02000000000001</v>
      </c>
      <c r="J2791" s="19">
        <v>3</v>
      </c>
      <c r="K2791" s="14">
        <v>6.5052000000000003</v>
      </c>
    </row>
    <row r="2792" spans="1:11" x14ac:dyDescent="0.25">
      <c r="A2792" s="2">
        <v>43877</v>
      </c>
      <c r="B2792" s="18">
        <f t="shared" si="86"/>
        <v>2020</v>
      </c>
      <c r="C2792" s="18">
        <f t="shared" si="87"/>
        <v>2</v>
      </c>
      <c r="D2792" s="3" t="s">
        <v>2128</v>
      </c>
      <c r="E2792" s="3" t="s">
        <v>91</v>
      </c>
      <c r="F2792" s="3" t="s">
        <v>19</v>
      </c>
      <c r="G2792" s="3" t="s">
        <v>20</v>
      </c>
      <c r="H2792" s="3" t="s">
        <v>603</v>
      </c>
      <c r="I2792" s="11">
        <v>612.51</v>
      </c>
      <c r="J2792" s="18">
        <v>3</v>
      </c>
      <c r="K2792" s="12">
        <v>81.131399999999999</v>
      </c>
    </row>
    <row r="2793" spans="1:11" x14ac:dyDescent="0.25">
      <c r="A2793" s="4">
        <v>43877</v>
      </c>
      <c r="B2793" s="19">
        <f t="shared" si="86"/>
        <v>2020</v>
      </c>
      <c r="C2793" s="19">
        <f t="shared" si="87"/>
        <v>2</v>
      </c>
      <c r="D2793" s="5" t="s">
        <v>1250</v>
      </c>
      <c r="E2793" s="5" t="s">
        <v>164</v>
      </c>
      <c r="F2793" s="5" t="s">
        <v>11</v>
      </c>
      <c r="G2793" s="5" t="s">
        <v>112</v>
      </c>
      <c r="H2793" s="5" t="s">
        <v>1680</v>
      </c>
      <c r="I2793" s="13">
        <v>631.55799999999999</v>
      </c>
      <c r="J2793" s="19">
        <v>3</v>
      </c>
      <c r="K2793" s="14">
        <v>-8.5793999999999997</v>
      </c>
    </row>
    <row r="2794" spans="1:11" x14ac:dyDescent="0.25">
      <c r="A2794" s="2">
        <v>43877</v>
      </c>
      <c r="B2794" s="18">
        <f t="shared" si="86"/>
        <v>2020</v>
      </c>
      <c r="C2794" s="18">
        <f t="shared" si="87"/>
        <v>2</v>
      </c>
      <c r="D2794" s="3" t="s">
        <v>2128</v>
      </c>
      <c r="E2794" s="3" t="s">
        <v>91</v>
      </c>
      <c r="F2794" s="3" t="s">
        <v>14</v>
      </c>
      <c r="G2794" s="3" t="s">
        <v>15</v>
      </c>
      <c r="H2794" s="3" t="s">
        <v>1532</v>
      </c>
      <c r="I2794" s="11">
        <v>850.99</v>
      </c>
      <c r="J2794" s="18">
        <v>1</v>
      </c>
      <c r="K2794" s="12">
        <v>7.3451000000000004</v>
      </c>
    </row>
    <row r="2795" spans="1:11" x14ac:dyDescent="0.25">
      <c r="A2795" s="4">
        <v>43877</v>
      </c>
      <c r="B2795" s="19">
        <f t="shared" si="86"/>
        <v>2020</v>
      </c>
      <c r="C2795" s="19">
        <f t="shared" si="87"/>
        <v>2</v>
      </c>
      <c r="D2795" s="5" t="s">
        <v>1250</v>
      </c>
      <c r="E2795" s="5" t="s">
        <v>164</v>
      </c>
      <c r="F2795" s="5" t="s">
        <v>11</v>
      </c>
      <c r="G2795" s="5" t="s">
        <v>51</v>
      </c>
      <c r="H2795" s="5" t="s">
        <v>52</v>
      </c>
      <c r="I2795" s="13">
        <v>110.69199999999999</v>
      </c>
      <c r="J2795" s="19">
        <v>1</v>
      </c>
      <c r="K2795" s="14">
        <v>-3.6537000000000002</v>
      </c>
    </row>
    <row r="2796" spans="1:11" x14ac:dyDescent="0.25">
      <c r="A2796" s="2">
        <v>43877</v>
      </c>
      <c r="B2796" s="18">
        <f t="shared" si="86"/>
        <v>2020</v>
      </c>
      <c r="C2796" s="18">
        <f t="shared" si="87"/>
        <v>2</v>
      </c>
      <c r="D2796" s="3" t="s">
        <v>1250</v>
      </c>
      <c r="E2796" s="3" t="s">
        <v>164</v>
      </c>
      <c r="F2796" s="3" t="s">
        <v>19</v>
      </c>
      <c r="G2796" s="3" t="s">
        <v>116</v>
      </c>
      <c r="H2796" s="3" t="s">
        <v>2129</v>
      </c>
      <c r="I2796" s="11">
        <v>94.367999999999995</v>
      </c>
      <c r="J2796" s="18">
        <v>2</v>
      </c>
      <c r="K2796" s="12">
        <v>6.1992000000000003</v>
      </c>
    </row>
    <row r="2797" spans="1:11" x14ac:dyDescent="0.25">
      <c r="A2797" s="4">
        <v>43877</v>
      </c>
      <c r="B2797" s="19">
        <f t="shared" si="86"/>
        <v>2020</v>
      </c>
      <c r="C2797" s="19">
        <f t="shared" si="87"/>
        <v>2</v>
      </c>
      <c r="D2797" s="5" t="s">
        <v>1250</v>
      </c>
      <c r="E2797" s="5" t="s">
        <v>164</v>
      </c>
      <c r="F2797" s="5" t="s">
        <v>19</v>
      </c>
      <c r="G2797" s="5" t="s">
        <v>40</v>
      </c>
      <c r="H2797" s="5" t="s">
        <v>41</v>
      </c>
      <c r="I2797" s="13">
        <v>134.03200000000001</v>
      </c>
      <c r="J2797" s="19">
        <v>6</v>
      </c>
      <c r="K2797" s="14">
        <v>3.504</v>
      </c>
    </row>
    <row r="2798" spans="1:11" x14ac:dyDescent="0.25">
      <c r="A2798" s="2">
        <v>43877</v>
      </c>
      <c r="B2798" s="18">
        <f t="shared" si="86"/>
        <v>2020</v>
      </c>
      <c r="C2798" s="18">
        <f t="shared" si="87"/>
        <v>2</v>
      </c>
      <c r="D2798" s="3" t="s">
        <v>1734</v>
      </c>
      <c r="E2798" s="3" t="s">
        <v>94</v>
      </c>
      <c r="F2798" s="3" t="s">
        <v>19</v>
      </c>
      <c r="G2798" s="3" t="s">
        <v>53</v>
      </c>
      <c r="H2798" s="3" t="s">
        <v>225</v>
      </c>
      <c r="I2798" s="11">
        <v>140.94</v>
      </c>
      <c r="J2798" s="18">
        <v>2</v>
      </c>
      <c r="K2798" s="12">
        <v>18.211200000000002</v>
      </c>
    </row>
    <row r="2799" spans="1:11" x14ac:dyDescent="0.25">
      <c r="A2799" s="4">
        <v>43877</v>
      </c>
      <c r="B2799" s="19">
        <f t="shared" si="86"/>
        <v>2020</v>
      </c>
      <c r="C2799" s="19">
        <f t="shared" si="87"/>
        <v>2</v>
      </c>
      <c r="D2799" s="5" t="s">
        <v>1250</v>
      </c>
      <c r="E2799" s="5" t="s">
        <v>164</v>
      </c>
      <c r="F2799" s="5" t="s">
        <v>19</v>
      </c>
      <c r="G2799" s="5" t="s">
        <v>20</v>
      </c>
      <c r="H2799" s="5" t="s">
        <v>1631</v>
      </c>
      <c r="I2799" s="13">
        <v>156.352</v>
      </c>
      <c r="J2799" s="19">
        <v>3</v>
      </c>
      <c r="K2799" s="14">
        <v>-8.1821999999999999</v>
      </c>
    </row>
    <row r="2800" spans="1:11" x14ac:dyDescent="0.25">
      <c r="A2800" s="2">
        <v>43878</v>
      </c>
      <c r="B2800" s="18">
        <f t="shared" si="86"/>
        <v>2020</v>
      </c>
      <c r="C2800" s="18">
        <f t="shared" si="87"/>
        <v>2</v>
      </c>
      <c r="D2800" s="3" t="s">
        <v>588</v>
      </c>
      <c r="E2800" s="3" t="s">
        <v>67</v>
      </c>
      <c r="F2800" s="3" t="s">
        <v>14</v>
      </c>
      <c r="G2800" s="3" t="s">
        <v>15</v>
      </c>
      <c r="H2800" s="3" t="s">
        <v>2130</v>
      </c>
      <c r="I2800" s="11">
        <v>104.59399999999999</v>
      </c>
      <c r="J2800" s="18">
        <v>1</v>
      </c>
      <c r="K2800" s="12">
        <v>-11.518800000000001</v>
      </c>
    </row>
    <row r="2801" spans="1:11" x14ac:dyDescent="0.25">
      <c r="A2801" s="4">
        <v>43878</v>
      </c>
      <c r="B2801" s="19">
        <f t="shared" si="86"/>
        <v>2020</v>
      </c>
      <c r="C2801" s="19">
        <f t="shared" si="87"/>
        <v>2</v>
      </c>
      <c r="D2801" s="5" t="s">
        <v>2131</v>
      </c>
      <c r="E2801" s="5" t="s">
        <v>23</v>
      </c>
      <c r="F2801" s="5" t="s">
        <v>11</v>
      </c>
      <c r="G2801" s="5" t="s">
        <v>12</v>
      </c>
      <c r="H2801" s="5" t="s">
        <v>2132</v>
      </c>
      <c r="I2801" s="13">
        <v>132.06639999999999</v>
      </c>
      <c r="J2801" s="19">
        <v>1</v>
      </c>
      <c r="K2801" s="14">
        <v>-17.0274</v>
      </c>
    </row>
    <row r="2802" spans="1:11" x14ac:dyDescent="0.25">
      <c r="A2802" s="2">
        <v>43878</v>
      </c>
      <c r="B2802" s="18">
        <f t="shared" si="86"/>
        <v>2020</v>
      </c>
      <c r="C2802" s="18">
        <f t="shared" si="87"/>
        <v>2</v>
      </c>
      <c r="D2802" s="3" t="s">
        <v>636</v>
      </c>
      <c r="E2802" s="3" t="s">
        <v>164</v>
      </c>
      <c r="F2802" s="3" t="s">
        <v>14</v>
      </c>
      <c r="G2802" s="3" t="s">
        <v>15</v>
      </c>
      <c r="H2802" s="3" t="s">
        <v>521</v>
      </c>
      <c r="I2802" s="11">
        <v>165.792</v>
      </c>
      <c r="J2802" s="18">
        <v>1</v>
      </c>
      <c r="K2802" s="12">
        <v>10.9193</v>
      </c>
    </row>
    <row r="2803" spans="1:11" x14ac:dyDescent="0.25">
      <c r="A2803" s="4">
        <v>43878</v>
      </c>
      <c r="B2803" s="19">
        <f t="shared" si="86"/>
        <v>2020</v>
      </c>
      <c r="C2803" s="19">
        <f t="shared" si="87"/>
        <v>2</v>
      </c>
      <c r="D2803" s="5" t="s">
        <v>1348</v>
      </c>
      <c r="E2803" s="5" t="s">
        <v>85</v>
      </c>
      <c r="F2803" s="5" t="s">
        <v>19</v>
      </c>
      <c r="G2803" s="5" t="s">
        <v>20</v>
      </c>
      <c r="H2803" s="5" t="s">
        <v>1714</v>
      </c>
      <c r="I2803" s="13">
        <v>186.45</v>
      </c>
      <c r="J2803" s="19">
        <v>5</v>
      </c>
      <c r="K2803" s="14">
        <v>39.948</v>
      </c>
    </row>
    <row r="2804" spans="1:11" x14ac:dyDescent="0.25">
      <c r="A2804" s="2">
        <v>43878</v>
      </c>
      <c r="B2804" s="18">
        <f t="shared" si="86"/>
        <v>2020</v>
      </c>
      <c r="C2804" s="18">
        <f t="shared" si="87"/>
        <v>2</v>
      </c>
      <c r="D2804" s="3" t="s">
        <v>2131</v>
      </c>
      <c r="E2804" s="3" t="s">
        <v>23</v>
      </c>
      <c r="F2804" s="3" t="s">
        <v>19</v>
      </c>
      <c r="G2804" s="3" t="s">
        <v>40</v>
      </c>
      <c r="H2804" s="3" t="s">
        <v>2133</v>
      </c>
      <c r="I2804" s="11">
        <v>205.44</v>
      </c>
      <c r="J2804" s="18">
        <v>6</v>
      </c>
      <c r="K2804" s="12">
        <v>52.631999999999998</v>
      </c>
    </row>
    <row r="2805" spans="1:11" x14ac:dyDescent="0.25">
      <c r="A2805" s="4">
        <v>43878</v>
      </c>
      <c r="B2805" s="19">
        <f t="shared" si="86"/>
        <v>2020</v>
      </c>
      <c r="C2805" s="19">
        <f t="shared" si="87"/>
        <v>2</v>
      </c>
      <c r="D2805" s="5" t="s">
        <v>2131</v>
      </c>
      <c r="E2805" s="5" t="s">
        <v>23</v>
      </c>
      <c r="F2805" s="5" t="s">
        <v>14</v>
      </c>
      <c r="G2805" s="5" t="s">
        <v>15</v>
      </c>
      <c r="H2805" s="5" t="s">
        <v>2134</v>
      </c>
      <c r="I2805" s="13">
        <v>479.33600000000001</v>
      </c>
      <c r="J2805" s="19">
        <v>4</v>
      </c>
      <c r="K2805" s="14">
        <v>-87.667199999999994</v>
      </c>
    </row>
    <row r="2806" spans="1:11" x14ac:dyDescent="0.25">
      <c r="A2806" s="2">
        <v>43878</v>
      </c>
      <c r="B2806" s="18">
        <f t="shared" si="86"/>
        <v>2020</v>
      </c>
      <c r="C2806" s="18">
        <f t="shared" si="87"/>
        <v>2</v>
      </c>
      <c r="D2806" s="3" t="s">
        <v>588</v>
      </c>
      <c r="E2806" s="3" t="s">
        <v>67</v>
      </c>
      <c r="F2806" s="3" t="s">
        <v>11</v>
      </c>
      <c r="G2806" s="3" t="s">
        <v>30</v>
      </c>
      <c r="H2806" s="3" t="s">
        <v>2033</v>
      </c>
      <c r="I2806" s="11">
        <v>504.97</v>
      </c>
      <c r="J2806" s="18">
        <v>5</v>
      </c>
      <c r="K2806" s="12">
        <v>-106.393</v>
      </c>
    </row>
    <row r="2807" spans="1:11" x14ac:dyDescent="0.25">
      <c r="A2807" s="4">
        <v>43878</v>
      </c>
      <c r="B2807" s="19">
        <f t="shared" si="86"/>
        <v>2020</v>
      </c>
      <c r="C2807" s="19">
        <f t="shared" si="87"/>
        <v>2</v>
      </c>
      <c r="D2807" s="5" t="s">
        <v>636</v>
      </c>
      <c r="E2807" s="5" t="s">
        <v>164</v>
      </c>
      <c r="F2807" s="5" t="s">
        <v>11</v>
      </c>
      <c r="G2807" s="5" t="s">
        <v>30</v>
      </c>
      <c r="H2807" s="5" t="s">
        <v>1341</v>
      </c>
      <c r="I2807" s="13">
        <v>524.96</v>
      </c>
      <c r="J2807" s="19">
        <v>3</v>
      </c>
      <c r="K2807" s="14">
        <v>-269.33760000000001</v>
      </c>
    </row>
    <row r="2808" spans="1:11" x14ac:dyDescent="0.25">
      <c r="A2808" s="2">
        <v>43878</v>
      </c>
      <c r="B2808" s="18">
        <f t="shared" si="86"/>
        <v>2020</v>
      </c>
      <c r="C2808" s="18">
        <f t="shared" si="87"/>
        <v>2</v>
      </c>
      <c r="D2808" s="3" t="s">
        <v>588</v>
      </c>
      <c r="E2808" s="3" t="s">
        <v>67</v>
      </c>
      <c r="F2808" s="3" t="s">
        <v>11</v>
      </c>
      <c r="G2808" s="3" t="s">
        <v>112</v>
      </c>
      <c r="H2808" s="3" t="s">
        <v>1137</v>
      </c>
      <c r="I2808" s="11">
        <v>938.43</v>
      </c>
      <c r="J2808" s="18">
        <v>5</v>
      </c>
      <c r="K2808" s="12">
        <v>-12.849</v>
      </c>
    </row>
    <row r="2809" spans="1:11" x14ac:dyDescent="0.25">
      <c r="A2809" s="4">
        <v>43878</v>
      </c>
      <c r="B2809" s="19">
        <f t="shared" si="86"/>
        <v>2020</v>
      </c>
      <c r="C2809" s="19">
        <f t="shared" si="87"/>
        <v>2</v>
      </c>
      <c r="D2809" s="5" t="s">
        <v>588</v>
      </c>
      <c r="E2809" s="5" t="s">
        <v>67</v>
      </c>
      <c r="F2809" s="5" t="s">
        <v>19</v>
      </c>
      <c r="G2809" s="5" t="s">
        <v>32</v>
      </c>
      <c r="H2809" s="5" t="s">
        <v>1049</v>
      </c>
      <c r="I2809" s="13">
        <v>92.715000000000003</v>
      </c>
      <c r="J2809" s="19">
        <v>5</v>
      </c>
      <c r="K2809" s="14">
        <v>-4.7625000000000002</v>
      </c>
    </row>
    <row r="2810" spans="1:11" x14ac:dyDescent="0.25">
      <c r="A2810" s="2">
        <v>43878</v>
      </c>
      <c r="B2810" s="18">
        <f t="shared" si="86"/>
        <v>2020</v>
      </c>
      <c r="C2810" s="18">
        <f t="shared" si="87"/>
        <v>2</v>
      </c>
      <c r="D2810" s="3" t="s">
        <v>1348</v>
      </c>
      <c r="E2810" s="3" t="s">
        <v>85</v>
      </c>
      <c r="F2810" s="3" t="s">
        <v>19</v>
      </c>
      <c r="G2810" s="3" t="s">
        <v>53</v>
      </c>
      <c r="H2810" s="3" t="s">
        <v>500</v>
      </c>
      <c r="I2810" s="11">
        <v>128.76</v>
      </c>
      <c r="J2810" s="18">
        <v>2</v>
      </c>
      <c r="K2810" s="12">
        <v>5.7624000000000004</v>
      </c>
    </row>
    <row r="2811" spans="1:11" x14ac:dyDescent="0.25">
      <c r="A2811" s="4">
        <v>43878</v>
      </c>
      <c r="B2811" s="19">
        <f t="shared" si="86"/>
        <v>2020</v>
      </c>
      <c r="C2811" s="19">
        <f t="shared" si="87"/>
        <v>2</v>
      </c>
      <c r="D2811" s="5" t="s">
        <v>588</v>
      </c>
      <c r="E2811" s="5" t="s">
        <v>67</v>
      </c>
      <c r="F2811" s="5" t="s">
        <v>11</v>
      </c>
      <c r="G2811" s="5" t="s">
        <v>51</v>
      </c>
      <c r="H2811" s="5" t="s">
        <v>736</v>
      </c>
      <c r="I2811" s="13">
        <v>126.14400000000001</v>
      </c>
      <c r="J2811" s="19">
        <v>2</v>
      </c>
      <c r="K2811" s="14">
        <v>8.2896000000000001</v>
      </c>
    </row>
    <row r="2812" spans="1:11" x14ac:dyDescent="0.25">
      <c r="A2812" s="2">
        <v>43878</v>
      </c>
      <c r="B2812" s="18">
        <f t="shared" si="86"/>
        <v>2020</v>
      </c>
      <c r="C2812" s="18">
        <f t="shared" si="87"/>
        <v>2</v>
      </c>
      <c r="D2812" s="3" t="s">
        <v>2135</v>
      </c>
      <c r="E2812" s="3" t="s">
        <v>394</v>
      </c>
      <c r="F2812" s="3" t="s">
        <v>14</v>
      </c>
      <c r="G2812" s="3" t="s">
        <v>15</v>
      </c>
      <c r="H2812" s="3" t="s">
        <v>1034</v>
      </c>
      <c r="I2812" s="11">
        <v>125.16</v>
      </c>
      <c r="J2812" s="18">
        <v>3</v>
      </c>
      <c r="K2812" s="12">
        <v>8.4564000000000004</v>
      </c>
    </row>
    <row r="2813" spans="1:11" x14ac:dyDescent="0.25">
      <c r="A2813" s="4">
        <v>43879</v>
      </c>
      <c r="B2813" s="19">
        <f t="shared" si="86"/>
        <v>2020</v>
      </c>
      <c r="C2813" s="19">
        <f t="shared" si="87"/>
        <v>2</v>
      </c>
      <c r="D2813" s="5" t="s">
        <v>817</v>
      </c>
      <c r="E2813" s="5" t="s">
        <v>18</v>
      </c>
      <c r="F2813" s="5" t="s">
        <v>14</v>
      </c>
      <c r="G2813" s="5" t="s">
        <v>24</v>
      </c>
      <c r="H2813" s="5" t="s">
        <v>1947</v>
      </c>
      <c r="I2813" s="13">
        <v>146.53</v>
      </c>
      <c r="J2813" s="19">
        <v>3</v>
      </c>
      <c r="K2813" s="14">
        <v>47.097900000000003</v>
      </c>
    </row>
    <row r="2814" spans="1:11" x14ac:dyDescent="0.25">
      <c r="A2814" s="2">
        <v>43879</v>
      </c>
      <c r="B2814" s="18">
        <f t="shared" si="86"/>
        <v>2020</v>
      </c>
      <c r="C2814" s="18">
        <f t="shared" si="87"/>
        <v>2</v>
      </c>
      <c r="D2814" s="3" t="s">
        <v>817</v>
      </c>
      <c r="E2814" s="3" t="s">
        <v>18</v>
      </c>
      <c r="F2814" s="3" t="s">
        <v>14</v>
      </c>
      <c r="G2814" s="3" t="s">
        <v>15</v>
      </c>
      <c r="H2814" s="3" t="s">
        <v>1247</v>
      </c>
      <c r="I2814" s="11">
        <v>197.976</v>
      </c>
      <c r="J2814" s="18">
        <v>3</v>
      </c>
      <c r="K2814" s="12">
        <v>10.4985</v>
      </c>
    </row>
    <row r="2815" spans="1:11" x14ac:dyDescent="0.25">
      <c r="A2815" s="4">
        <v>43879</v>
      </c>
      <c r="B2815" s="19">
        <f t="shared" si="86"/>
        <v>2020</v>
      </c>
      <c r="C2815" s="19">
        <f t="shared" si="87"/>
        <v>2</v>
      </c>
      <c r="D2815" s="5" t="s">
        <v>817</v>
      </c>
      <c r="E2815" s="5" t="s">
        <v>18</v>
      </c>
      <c r="F2815" s="5" t="s">
        <v>19</v>
      </c>
      <c r="G2815" s="5" t="s">
        <v>127</v>
      </c>
      <c r="H2815" s="5" t="s">
        <v>728</v>
      </c>
      <c r="I2815" s="13">
        <v>84.82</v>
      </c>
      <c r="J2815" s="19">
        <v>2</v>
      </c>
      <c r="K2815" s="14">
        <v>4.8117999999999999</v>
      </c>
    </row>
    <row r="2816" spans="1:11" x14ac:dyDescent="0.25">
      <c r="A2816" s="2">
        <v>43880</v>
      </c>
      <c r="B2816" s="18">
        <f t="shared" si="86"/>
        <v>2020</v>
      </c>
      <c r="C2816" s="18">
        <f t="shared" si="87"/>
        <v>2</v>
      </c>
      <c r="D2816" s="3" t="s">
        <v>1366</v>
      </c>
      <c r="E2816" s="3" t="s">
        <v>70</v>
      </c>
      <c r="F2816" s="3" t="s">
        <v>19</v>
      </c>
      <c r="G2816" s="3" t="s">
        <v>116</v>
      </c>
      <c r="H2816" s="3" t="s">
        <v>355</v>
      </c>
      <c r="I2816" s="11">
        <v>831.22</v>
      </c>
      <c r="J2816" s="18">
        <v>3</v>
      </c>
      <c r="K2816" s="12">
        <v>0.22439999999999999</v>
      </c>
    </row>
    <row r="2817" spans="1:11" x14ac:dyDescent="0.25">
      <c r="A2817" s="4">
        <v>43880</v>
      </c>
      <c r="B2817" s="19">
        <f t="shared" si="86"/>
        <v>2020</v>
      </c>
      <c r="C2817" s="19">
        <f t="shared" si="87"/>
        <v>2</v>
      </c>
      <c r="D2817" s="5" t="s">
        <v>1637</v>
      </c>
      <c r="E2817" s="5" t="s">
        <v>109</v>
      </c>
      <c r="F2817" s="5" t="s">
        <v>19</v>
      </c>
      <c r="G2817" s="5" t="s">
        <v>121</v>
      </c>
      <c r="H2817" s="5" t="s">
        <v>1347</v>
      </c>
      <c r="I2817" s="13">
        <v>1259.8599999999999</v>
      </c>
      <c r="J2817" s="19">
        <v>7</v>
      </c>
      <c r="K2817" s="14">
        <v>361.29939999999999</v>
      </c>
    </row>
    <row r="2818" spans="1:11" x14ac:dyDescent="0.25">
      <c r="A2818" s="2">
        <v>43880</v>
      </c>
      <c r="B2818" s="18">
        <f t="shared" ref="B2818:B2881" si="88">YEAR(A2818)</f>
        <v>2020</v>
      </c>
      <c r="C2818" s="18">
        <f t="shared" ref="C2818:C2881" si="89">MONTH(A2818)</f>
        <v>2</v>
      </c>
      <c r="D2818" s="3" t="s">
        <v>1753</v>
      </c>
      <c r="E2818" s="3" t="s">
        <v>18</v>
      </c>
      <c r="F2818" s="3" t="s">
        <v>19</v>
      </c>
      <c r="G2818" s="3" t="s">
        <v>40</v>
      </c>
      <c r="H2818" s="3" t="s">
        <v>2136</v>
      </c>
      <c r="I2818" s="11">
        <v>133.84</v>
      </c>
      <c r="J2818" s="18">
        <v>3</v>
      </c>
      <c r="K2818" s="12">
        <v>3.4668000000000001</v>
      </c>
    </row>
    <row r="2819" spans="1:11" x14ac:dyDescent="0.25">
      <c r="A2819" s="4">
        <v>43880</v>
      </c>
      <c r="B2819" s="19">
        <f t="shared" si="88"/>
        <v>2020</v>
      </c>
      <c r="C2819" s="19">
        <f t="shared" si="89"/>
        <v>2</v>
      </c>
      <c r="D2819" s="5" t="s">
        <v>1753</v>
      </c>
      <c r="E2819" s="5" t="s">
        <v>18</v>
      </c>
      <c r="F2819" s="5" t="s">
        <v>11</v>
      </c>
      <c r="G2819" s="5" t="s">
        <v>51</v>
      </c>
      <c r="H2819" s="5" t="s">
        <v>2137</v>
      </c>
      <c r="I2819" s="13">
        <v>111.67</v>
      </c>
      <c r="J2819" s="19">
        <v>3</v>
      </c>
      <c r="K2819" s="14">
        <v>12.0609</v>
      </c>
    </row>
    <row r="2820" spans="1:11" x14ac:dyDescent="0.25">
      <c r="A2820" s="2">
        <v>43881</v>
      </c>
      <c r="B2820" s="18">
        <f t="shared" si="88"/>
        <v>2020</v>
      </c>
      <c r="C2820" s="18">
        <f t="shared" si="89"/>
        <v>2</v>
      </c>
      <c r="D2820" s="3" t="s">
        <v>1293</v>
      </c>
      <c r="E2820" s="3" t="s">
        <v>198</v>
      </c>
      <c r="F2820" s="3" t="s">
        <v>19</v>
      </c>
      <c r="G2820" s="3" t="s">
        <v>20</v>
      </c>
      <c r="H2820" s="3" t="s">
        <v>684</v>
      </c>
      <c r="I2820" s="11">
        <v>101.16800000000001</v>
      </c>
      <c r="J2820" s="18">
        <v>2</v>
      </c>
      <c r="K2820" s="12">
        <v>-6.3959999999999999</v>
      </c>
    </row>
    <row r="2821" spans="1:11" x14ac:dyDescent="0.25">
      <c r="A2821" s="4">
        <v>43881</v>
      </c>
      <c r="B2821" s="19">
        <f t="shared" si="88"/>
        <v>2020</v>
      </c>
      <c r="C2821" s="19">
        <f t="shared" si="89"/>
        <v>2</v>
      </c>
      <c r="D2821" s="5" t="s">
        <v>1293</v>
      </c>
      <c r="E2821" s="5" t="s">
        <v>198</v>
      </c>
      <c r="F2821" s="5" t="s">
        <v>11</v>
      </c>
      <c r="G2821" s="5" t="s">
        <v>51</v>
      </c>
      <c r="H2821" s="5" t="s">
        <v>756</v>
      </c>
      <c r="I2821" s="13">
        <v>118.70399999999999</v>
      </c>
      <c r="J2821" s="19">
        <v>2</v>
      </c>
      <c r="K2821" s="14">
        <v>16.3172</v>
      </c>
    </row>
    <row r="2822" spans="1:11" x14ac:dyDescent="0.25">
      <c r="A2822" s="2">
        <v>43881</v>
      </c>
      <c r="B2822" s="18">
        <f t="shared" si="88"/>
        <v>2020</v>
      </c>
      <c r="C2822" s="18">
        <f t="shared" si="89"/>
        <v>2</v>
      </c>
      <c r="D2822" s="3" t="s">
        <v>1378</v>
      </c>
      <c r="E2822" s="3" t="s">
        <v>18</v>
      </c>
      <c r="F2822" s="3" t="s">
        <v>14</v>
      </c>
      <c r="G2822" s="3" t="s">
        <v>15</v>
      </c>
      <c r="H2822" s="3" t="s">
        <v>1190</v>
      </c>
      <c r="I2822" s="11">
        <v>261.96800000000002</v>
      </c>
      <c r="J2822" s="18">
        <v>2</v>
      </c>
      <c r="K2822" s="12">
        <v>18.897200000000002</v>
      </c>
    </row>
    <row r="2823" spans="1:11" x14ac:dyDescent="0.25">
      <c r="A2823" s="4">
        <v>43881</v>
      </c>
      <c r="B2823" s="19">
        <f t="shared" si="88"/>
        <v>2020</v>
      </c>
      <c r="C2823" s="19">
        <f t="shared" si="89"/>
        <v>2</v>
      </c>
      <c r="D2823" s="5" t="s">
        <v>1293</v>
      </c>
      <c r="E2823" s="5" t="s">
        <v>198</v>
      </c>
      <c r="F2823" s="5" t="s">
        <v>14</v>
      </c>
      <c r="G2823" s="5" t="s">
        <v>15</v>
      </c>
      <c r="H2823" s="5" t="s">
        <v>2138</v>
      </c>
      <c r="I2823" s="13">
        <v>358.57600000000002</v>
      </c>
      <c r="J2823" s="19">
        <v>3</v>
      </c>
      <c r="K2823" s="14">
        <v>25.0182</v>
      </c>
    </row>
    <row r="2824" spans="1:11" x14ac:dyDescent="0.25">
      <c r="A2824" s="2">
        <v>43881</v>
      </c>
      <c r="B2824" s="18">
        <f t="shared" si="88"/>
        <v>2020</v>
      </c>
      <c r="C2824" s="18">
        <f t="shared" si="89"/>
        <v>2</v>
      </c>
      <c r="D2824" s="3" t="s">
        <v>1293</v>
      </c>
      <c r="E2824" s="3" t="s">
        <v>198</v>
      </c>
      <c r="F2824" s="3" t="s">
        <v>11</v>
      </c>
      <c r="G2824" s="3" t="s">
        <v>30</v>
      </c>
      <c r="H2824" s="3" t="s">
        <v>609</v>
      </c>
      <c r="I2824" s="11">
        <v>427.91</v>
      </c>
      <c r="J2824" s="18">
        <v>9</v>
      </c>
      <c r="K2824" s="12">
        <v>-185.71680000000001</v>
      </c>
    </row>
    <row r="2825" spans="1:11" x14ac:dyDescent="0.25">
      <c r="A2825" s="4">
        <v>43881</v>
      </c>
      <c r="B2825" s="19">
        <f t="shared" si="88"/>
        <v>2020</v>
      </c>
      <c r="C2825" s="19">
        <f t="shared" si="89"/>
        <v>2</v>
      </c>
      <c r="D2825" s="5" t="s">
        <v>1293</v>
      </c>
      <c r="E2825" s="5" t="s">
        <v>198</v>
      </c>
      <c r="F2825" s="5" t="s">
        <v>19</v>
      </c>
      <c r="G2825" s="5" t="s">
        <v>86</v>
      </c>
      <c r="H2825" s="5" t="s">
        <v>2139</v>
      </c>
      <c r="I2825" s="13">
        <v>838.64</v>
      </c>
      <c r="J2825" s="19">
        <v>5</v>
      </c>
      <c r="K2825" s="14">
        <v>3.8570000000000002</v>
      </c>
    </row>
    <row r="2826" spans="1:11" x14ac:dyDescent="0.25">
      <c r="A2826" s="2">
        <v>43881</v>
      </c>
      <c r="B2826" s="18">
        <f t="shared" si="88"/>
        <v>2020</v>
      </c>
      <c r="C2826" s="18">
        <f t="shared" si="89"/>
        <v>2</v>
      </c>
      <c r="D2826" s="3" t="s">
        <v>390</v>
      </c>
      <c r="E2826" s="3" t="s">
        <v>29</v>
      </c>
      <c r="F2826" s="3" t="s">
        <v>19</v>
      </c>
      <c r="G2826" s="3" t="s">
        <v>40</v>
      </c>
      <c r="H2826" s="3" t="s">
        <v>1667</v>
      </c>
      <c r="I2826" s="11">
        <v>1038.56</v>
      </c>
      <c r="J2826" s="18">
        <v>2</v>
      </c>
      <c r="K2826" s="12">
        <v>1.9024000000000001</v>
      </c>
    </row>
    <row r="2827" spans="1:11" x14ac:dyDescent="0.25">
      <c r="A2827" s="4">
        <v>43881</v>
      </c>
      <c r="B2827" s="19">
        <f t="shared" si="88"/>
        <v>2020</v>
      </c>
      <c r="C2827" s="19">
        <f t="shared" si="89"/>
        <v>2</v>
      </c>
      <c r="D2827" s="5" t="s">
        <v>390</v>
      </c>
      <c r="E2827" s="5" t="s">
        <v>29</v>
      </c>
      <c r="F2827" s="5" t="s">
        <v>19</v>
      </c>
      <c r="G2827" s="5" t="s">
        <v>121</v>
      </c>
      <c r="H2827" s="5" t="s">
        <v>1144</v>
      </c>
      <c r="I2827" s="13">
        <v>1233.1099999999999</v>
      </c>
      <c r="J2827" s="19">
        <v>3</v>
      </c>
      <c r="K2827" s="14">
        <v>3.4085999999999999</v>
      </c>
    </row>
    <row r="2828" spans="1:11" x14ac:dyDescent="0.25">
      <c r="A2828" s="2">
        <v>43881</v>
      </c>
      <c r="B2828" s="18">
        <f t="shared" si="88"/>
        <v>2020</v>
      </c>
      <c r="C2828" s="18">
        <f t="shared" si="89"/>
        <v>2</v>
      </c>
      <c r="D2828" s="3" t="s">
        <v>1757</v>
      </c>
      <c r="E2828" s="3" t="s">
        <v>306</v>
      </c>
      <c r="F2828" s="3" t="s">
        <v>19</v>
      </c>
      <c r="G2828" s="3" t="s">
        <v>116</v>
      </c>
      <c r="H2828" s="3" t="s">
        <v>301</v>
      </c>
      <c r="I2828" s="11">
        <v>92.432000000000002</v>
      </c>
      <c r="J2828" s="18">
        <v>3</v>
      </c>
      <c r="K2828" s="12">
        <v>3.0653999999999999</v>
      </c>
    </row>
    <row r="2829" spans="1:11" x14ac:dyDescent="0.25">
      <c r="A2829" s="4">
        <v>43881</v>
      </c>
      <c r="B2829" s="19">
        <f t="shared" si="88"/>
        <v>2020</v>
      </c>
      <c r="C2829" s="19">
        <f t="shared" si="89"/>
        <v>2</v>
      </c>
      <c r="D2829" s="5" t="s">
        <v>1378</v>
      </c>
      <c r="E2829" s="5" t="s">
        <v>18</v>
      </c>
      <c r="F2829" s="5" t="s">
        <v>11</v>
      </c>
      <c r="G2829" s="5" t="s">
        <v>51</v>
      </c>
      <c r="H2829" s="5" t="s">
        <v>262</v>
      </c>
      <c r="I2829" s="13">
        <v>115.23</v>
      </c>
      <c r="J2829" s="19">
        <v>1</v>
      </c>
      <c r="K2829" s="14">
        <v>7.3358999999999996</v>
      </c>
    </row>
    <row r="2830" spans="1:11" x14ac:dyDescent="0.25">
      <c r="A2830" s="2">
        <v>43881</v>
      </c>
      <c r="B2830" s="18">
        <f t="shared" si="88"/>
        <v>2020</v>
      </c>
      <c r="C2830" s="18">
        <f t="shared" si="89"/>
        <v>2</v>
      </c>
      <c r="D2830" s="3" t="s">
        <v>1293</v>
      </c>
      <c r="E2830" s="3" t="s">
        <v>198</v>
      </c>
      <c r="F2830" s="3" t="s">
        <v>14</v>
      </c>
      <c r="G2830" s="3" t="s">
        <v>24</v>
      </c>
      <c r="H2830" s="3" t="s">
        <v>2140</v>
      </c>
      <c r="I2830" s="11">
        <v>131.99199999999999</v>
      </c>
      <c r="J2830" s="18">
        <v>1</v>
      </c>
      <c r="K2830" s="12">
        <v>4.7988</v>
      </c>
    </row>
    <row r="2831" spans="1:11" x14ac:dyDescent="0.25">
      <c r="A2831" s="4">
        <v>43882</v>
      </c>
      <c r="B2831" s="19">
        <f t="shared" si="88"/>
        <v>2020</v>
      </c>
      <c r="C2831" s="19">
        <f t="shared" si="89"/>
        <v>2</v>
      </c>
      <c r="D2831" s="5" t="s">
        <v>240</v>
      </c>
      <c r="E2831" s="5" t="s">
        <v>23</v>
      </c>
      <c r="F2831" s="5" t="s">
        <v>14</v>
      </c>
      <c r="G2831" s="5" t="s">
        <v>24</v>
      </c>
      <c r="H2831" s="5" t="s">
        <v>2141</v>
      </c>
      <c r="I2831" s="13">
        <v>973.904</v>
      </c>
      <c r="J2831" s="19">
        <v>1</v>
      </c>
      <c r="K2831" s="14">
        <v>-2.9940000000000002</v>
      </c>
    </row>
    <row r="2832" spans="1:11" x14ac:dyDescent="0.25">
      <c r="A2832" s="2">
        <v>43884</v>
      </c>
      <c r="B2832" s="18">
        <f t="shared" si="88"/>
        <v>2020</v>
      </c>
      <c r="C2832" s="18">
        <f t="shared" si="89"/>
        <v>2</v>
      </c>
      <c r="D2832" s="3" t="s">
        <v>2142</v>
      </c>
      <c r="E2832" s="3" t="s">
        <v>70</v>
      </c>
      <c r="F2832" s="3" t="s">
        <v>19</v>
      </c>
      <c r="G2832" s="3" t="s">
        <v>116</v>
      </c>
      <c r="H2832" s="3" t="s">
        <v>2143</v>
      </c>
      <c r="I2832" s="11">
        <v>619.4</v>
      </c>
      <c r="J2832" s="18">
        <v>5</v>
      </c>
      <c r="K2832" s="12">
        <v>0.33600000000000002</v>
      </c>
    </row>
    <row r="2833" spans="1:11" x14ac:dyDescent="0.25">
      <c r="A2833" s="4">
        <v>43884</v>
      </c>
      <c r="B2833" s="19">
        <f t="shared" si="88"/>
        <v>2020</v>
      </c>
      <c r="C2833" s="19">
        <f t="shared" si="89"/>
        <v>2</v>
      </c>
      <c r="D2833" s="5" t="s">
        <v>2142</v>
      </c>
      <c r="E2833" s="5" t="s">
        <v>70</v>
      </c>
      <c r="F2833" s="5" t="s">
        <v>14</v>
      </c>
      <c r="G2833" s="5" t="s">
        <v>15</v>
      </c>
      <c r="H2833" s="5" t="s">
        <v>1257</v>
      </c>
      <c r="I2833" s="13">
        <v>884.96</v>
      </c>
      <c r="J2833" s="19">
        <v>5</v>
      </c>
      <c r="K2833" s="14">
        <v>25.186</v>
      </c>
    </row>
    <row r="2834" spans="1:11" x14ac:dyDescent="0.25">
      <c r="A2834" s="2">
        <v>43884</v>
      </c>
      <c r="B2834" s="18">
        <f t="shared" si="88"/>
        <v>2020</v>
      </c>
      <c r="C2834" s="18">
        <f t="shared" si="89"/>
        <v>2</v>
      </c>
      <c r="D2834" s="3" t="s">
        <v>395</v>
      </c>
      <c r="E2834" s="3" t="s">
        <v>18</v>
      </c>
      <c r="F2834" s="3" t="s">
        <v>19</v>
      </c>
      <c r="G2834" s="3" t="s">
        <v>53</v>
      </c>
      <c r="H2834" s="3" t="s">
        <v>1129</v>
      </c>
      <c r="I2834" s="11">
        <v>128.44</v>
      </c>
      <c r="J2834" s="18">
        <v>6</v>
      </c>
      <c r="K2834" s="12">
        <v>16.847999999999999</v>
      </c>
    </row>
    <row r="2835" spans="1:11" x14ac:dyDescent="0.25">
      <c r="A2835" s="4">
        <v>43885</v>
      </c>
      <c r="B2835" s="19">
        <f t="shared" si="88"/>
        <v>2020</v>
      </c>
      <c r="C2835" s="19">
        <f t="shared" si="89"/>
        <v>2</v>
      </c>
      <c r="D2835" s="5" t="s">
        <v>565</v>
      </c>
      <c r="E2835" s="5" t="s">
        <v>39</v>
      </c>
      <c r="F2835" s="5" t="s">
        <v>19</v>
      </c>
      <c r="G2835" s="5" t="s">
        <v>53</v>
      </c>
      <c r="H2835" s="5" t="s">
        <v>1999</v>
      </c>
      <c r="I2835" s="13">
        <v>152.91999999999999</v>
      </c>
      <c r="J2835" s="19">
        <v>5</v>
      </c>
      <c r="K2835" s="14">
        <v>38.725000000000001</v>
      </c>
    </row>
    <row r="2836" spans="1:11" x14ac:dyDescent="0.25">
      <c r="A2836" s="2">
        <v>43885</v>
      </c>
      <c r="B2836" s="18">
        <f t="shared" si="88"/>
        <v>2020</v>
      </c>
      <c r="C2836" s="18">
        <f t="shared" si="89"/>
        <v>2</v>
      </c>
      <c r="D2836" s="3" t="s">
        <v>565</v>
      </c>
      <c r="E2836" s="3" t="s">
        <v>39</v>
      </c>
      <c r="F2836" s="3" t="s">
        <v>14</v>
      </c>
      <c r="G2836" s="3" t="s">
        <v>24</v>
      </c>
      <c r="H2836" s="3" t="s">
        <v>954</v>
      </c>
      <c r="I2836" s="11">
        <v>1333.8</v>
      </c>
      <c r="J2836" s="18">
        <v>5</v>
      </c>
      <c r="K2836" s="12">
        <v>214.4675</v>
      </c>
    </row>
    <row r="2837" spans="1:11" x14ac:dyDescent="0.25">
      <c r="A2837" s="4">
        <v>43885</v>
      </c>
      <c r="B2837" s="19">
        <f t="shared" si="88"/>
        <v>2020</v>
      </c>
      <c r="C2837" s="19">
        <f t="shared" si="89"/>
        <v>2</v>
      </c>
      <c r="D2837" s="5" t="s">
        <v>135</v>
      </c>
      <c r="E2837" s="5" t="s">
        <v>39</v>
      </c>
      <c r="F2837" s="5" t="s">
        <v>19</v>
      </c>
      <c r="G2837" s="5" t="s">
        <v>32</v>
      </c>
      <c r="H2837" s="5" t="s">
        <v>1463</v>
      </c>
      <c r="I2837" s="13">
        <v>132.95599999999999</v>
      </c>
      <c r="J2837" s="19">
        <v>4</v>
      </c>
      <c r="K2837" s="14">
        <v>-3.7995999999999999</v>
      </c>
    </row>
    <row r="2838" spans="1:11" x14ac:dyDescent="0.25">
      <c r="A2838" s="2">
        <v>43886</v>
      </c>
      <c r="B2838" s="18">
        <f t="shared" si="88"/>
        <v>2020</v>
      </c>
      <c r="C2838" s="18">
        <f t="shared" si="89"/>
        <v>2</v>
      </c>
      <c r="D2838" s="3" t="s">
        <v>401</v>
      </c>
      <c r="E2838" s="3" t="s">
        <v>35</v>
      </c>
      <c r="F2838" s="3" t="s">
        <v>11</v>
      </c>
      <c r="G2838" s="3" t="s">
        <v>112</v>
      </c>
      <c r="H2838" s="3" t="s">
        <v>432</v>
      </c>
      <c r="I2838" s="11">
        <v>230.78399999999999</v>
      </c>
      <c r="J2838" s="18">
        <v>2</v>
      </c>
      <c r="K2838" s="12">
        <v>-22.138200000000001</v>
      </c>
    </row>
    <row r="2839" spans="1:11" x14ac:dyDescent="0.25">
      <c r="A2839" s="4">
        <v>43886</v>
      </c>
      <c r="B2839" s="19">
        <f t="shared" si="88"/>
        <v>2020</v>
      </c>
      <c r="C2839" s="19">
        <f t="shared" si="89"/>
        <v>2</v>
      </c>
      <c r="D2839" s="5" t="s">
        <v>401</v>
      </c>
      <c r="E2839" s="5" t="s">
        <v>35</v>
      </c>
      <c r="F2839" s="5" t="s">
        <v>11</v>
      </c>
      <c r="G2839" s="5" t="s">
        <v>12</v>
      </c>
      <c r="H2839" s="5" t="s">
        <v>13</v>
      </c>
      <c r="I2839" s="13">
        <v>245.92</v>
      </c>
      <c r="J2839" s="19">
        <v>5</v>
      </c>
      <c r="K2839" s="14">
        <v>5.798</v>
      </c>
    </row>
    <row r="2840" spans="1:11" x14ac:dyDescent="0.25">
      <c r="A2840" s="2">
        <v>43886</v>
      </c>
      <c r="B2840" s="18">
        <f t="shared" si="88"/>
        <v>2020</v>
      </c>
      <c r="C2840" s="18">
        <f t="shared" si="89"/>
        <v>2</v>
      </c>
      <c r="D2840" s="3" t="s">
        <v>2144</v>
      </c>
      <c r="E2840" s="3" t="s">
        <v>164</v>
      </c>
      <c r="F2840" s="3" t="s">
        <v>19</v>
      </c>
      <c r="G2840" s="3" t="s">
        <v>32</v>
      </c>
      <c r="H2840" s="3" t="s">
        <v>971</v>
      </c>
      <c r="I2840" s="11">
        <v>529.78800000000001</v>
      </c>
      <c r="J2840" s="18">
        <v>3</v>
      </c>
      <c r="K2840" s="12">
        <v>-3.0396000000000001</v>
      </c>
    </row>
    <row r="2841" spans="1:11" x14ac:dyDescent="0.25">
      <c r="A2841" s="4">
        <v>43887</v>
      </c>
      <c r="B2841" s="19">
        <f t="shared" si="88"/>
        <v>2020</v>
      </c>
      <c r="C2841" s="19">
        <f t="shared" si="89"/>
        <v>2</v>
      </c>
      <c r="D2841" s="5" t="s">
        <v>456</v>
      </c>
      <c r="E2841" s="5" t="s">
        <v>18</v>
      </c>
      <c r="F2841" s="5" t="s">
        <v>11</v>
      </c>
      <c r="G2841" s="5" t="s">
        <v>51</v>
      </c>
      <c r="H2841" s="5" t="s">
        <v>151</v>
      </c>
      <c r="I2841" s="13">
        <v>106.96</v>
      </c>
      <c r="J2841" s="19">
        <v>2</v>
      </c>
      <c r="K2841" s="14">
        <v>15.6332</v>
      </c>
    </row>
    <row r="2842" spans="1:11" x14ac:dyDescent="0.25">
      <c r="A2842" s="2">
        <v>43887</v>
      </c>
      <c r="B2842" s="18">
        <f t="shared" si="88"/>
        <v>2020</v>
      </c>
      <c r="C2842" s="18">
        <f t="shared" si="89"/>
        <v>2</v>
      </c>
      <c r="D2842" s="3" t="s">
        <v>130</v>
      </c>
      <c r="E2842" s="3" t="s">
        <v>18</v>
      </c>
      <c r="F2842" s="3" t="s">
        <v>19</v>
      </c>
      <c r="G2842" s="3" t="s">
        <v>121</v>
      </c>
      <c r="H2842" s="3" t="s">
        <v>1674</v>
      </c>
      <c r="I2842" s="11">
        <v>110.92</v>
      </c>
      <c r="J2842" s="18">
        <v>4</v>
      </c>
      <c r="K2842" s="12">
        <v>22.118400000000001</v>
      </c>
    </row>
    <row r="2843" spans="1:11" x14ac:dyDescent="0.25">
      <c r="A2843" s="4">
        <v>43887</v>
      </c>
      <c r="B2843" s="19">
        <f t="shared" si="88"/>
        <v>2020</v>
      </c>
      <c r="C2843" s="19">
        <f t="shared" si="89"/>
        <v>2</v>
      </c>
      <c r="D2843" s="5" t="s">
        <v>130</v>
      </c>
      <c r="E2843" s="5" t="s">
        <v>18</v>
      </c>
      <c r="F2843" s="5" t="s">
        <v>19</v>
      </c>
      <c r="G2843" s="5" t="s">
        <v>53</v>
      </c>
      <c r="H2843" s="5" t="s">
        <v>1037</v>
      </c>
      <c r="I2843" s="13">
        <v>249.92</v>
      </c>
      <c r="J2843" s="19">
        <v>4</v>
      </c>
      <c r="K2843" s="14">
        <v>109.7208</v>
      </c>
    </row>
    <row r="2844" spans="1:11" x14ac:dyDescent="0.25">
      <c r="A2844" s="2">
        <v>43887</v>
      </c>
      <c r="B2844" s="18">
        <f t="shared" si="88"/>
        <v>2020</v>
      </c>
      <c r="C2844" s="18">
        <f t="shared" si="89"/>
        <v>2</v>
      </c>
      <c r="D2844" s="3" t="s">
        <v>456</v>
      </c>
      <c r="E2844" s="3" t="s">
        <v>18</v>
      </c>
      <c r="F2844" s="3" t="s">
        <v>14</v>
      </c>
      <c r="G2844" s="3" t="s">
        <v>15</v>
      </c>
      <c r="H2844" s="3" t="s">
        <v>211</v>
      </c>
      <c r="I2844" s="11">
        <v>301.57600000000002</v>
      </c>
      <c r="J2844" s="18">
        <v>2</v>
      </c>
      <c r="K2844" s="12">
        <v>19.3932</v>
      </c>
    </row>
    <row r="2845" spans="1:11" x14ac:dyDescent="0.25">
      <c r="A2845" s="4">
        <v>43887</v>
      </c>
      <c r="B2845" s="19">
        <f t="shared" si="88"/>
        <v>2020</v>
      </c>
      <c r="C2845" s="19">
        <f t="shared" si="89"/>
        <v>2</v>
      </c>
      <c r="D2845" s="5" t="s">
        <v>1475</v>
      </c>
      <c r="E2845" s="5" t="s">
        <v>18</v>
      </c>
      <c r="F2845" s="5" t="s">
        <v>19</v>
      </c>
      <c r="G2845" s="5" t="s">
        <v>121</v>
      </c>
      <c r="H2845" s="5" t="s">
        <v>1367</v>
      </c>
      <c r="I2845" s="13">
        <v>380.79</v>
      </c>
      <c r="J2845" s="19">
        <v>7</v>
      </c>
      <c r="K2845" s="14">
        <v>99.901200000000003</v>
      </c>
    </row>
    <row r="2846" spans="1:11" x14ac:dyDescent="0.25">
      <c r="A2846" s="2">
        <v>43887</v>
      </c>
      <c r="B2846" s="18">
        <f t="shared" si="88"/>
        <v>2020</v>
      </c>
      <c r="C2846" s="18">
        <f t="shared" si="89"/>
        <v>2</v>
      </c>
      <c r="D2846" s="3" t="s">
        <v>130</v>
      </c>
      <c r="E2846" s="3" t="s">
        <v>18</v>
      </c>
      <c r="F2846" s="3" t="s">
        <v>14</v>
      </c>
      <c r="G2846" s="3" t="s">
        <v>15</v>
      </c>
      <c r="H2846" s="3" t="s">
        <v>2138</v>
      </c>
      <c r="I2846" s="11">
        <v>911.53599999999994</v>
      </c>
      <c r="J2846" s="18">
        <v>8</v>
      </c>
      <c r="K2846" s="12">
        <v>66.715199999999996</v>
      </c>
    </row>
    <row r="2847" spans="1:11" x14ac:dyDescent="0.25">
      <c r="A2847" s="4">
        <v>43887</v>
      </c>
      <c r="B2847" s="19">
        <f t="shared" si="88"/>
        <v>2020</v>
      </c>
      <c r="C2847" s="19">
        <f t="shared" si="89"/>
        <v>2</v>
      </c>
      <c r="D2847" s="5" t="s">
        <v>130</v>
      </c>
      <c r="E2847" s="5" t="s">
        <v>18</v>
      </c>
      <c r="F2847" s="5" t="s">
        <v>11</v>
      </c>
      <c r="G2847" s="5" t="s">
        <v>112</v>
      </c>
      <c r="H2847" s="5" t="s">
        <v>2145</v>
      </c>
      <c r="I2847" s="13">
        <v>940.22400000000005</v>
      </c>
      <c r="J2847" s="19">
        <v>3</v>
      </c>
      <c r="K2847" s="14">
        <v>89.222399999999993</v>
      </c>
    </row>
    <row r="2848" spans="1:11" x14ac:dyDescent="0.25">
      <c r="A2848" s="2">
        <v>43887</v>
      </c>
      <c r="B2848" s="18">
        <f t="shared" si="88"/>
        <v>2020</v>
      </c>
      <c r="C2848" s="18">
        <f t="shared" si="89"/>
        <v>2</v>
      </c>
      <c r="D2848" s="3" t="s">
        <v>130</v>
      </c>
      <c r="E2848" s="3" t="s">
        <v>18</v>
      </c>
      <c r="F2848" s="3" t="s">
        <v>19</v>
      </c>
      <c r="G2848" s="3" t="s">
        <v>53</v>
      </c>
      <c r="H2848" s="3" t="s">
        <v>1828</v>
      </c>
      <c r="I2848" s="11">
        <v>116.12</v>
      </c>
      <c r="J2848" s="18">
        <v>4</v>
      </c>
      <c r="K2848" s="12">
        <v>11.328799999999999</v>
      </c>
    </row>
    <row r="2849" spans="1:11" x14ac:dyDescent="0.25">
      <c r="A2849" s="4">
        <v>43887</v>
      </c>
      <c r="B2849" s="19">
        <f t="shared" si="88"/>
        <v>2020</v>
      </c>
      <c r="C2849" s="19">
        <f t="shared" si="89"/>
        <v>2</v>
      </c>
      <c r="D2849" s="5" t="s">
        <v>456</v>
      </c>
      <c r="E2849" s="5" t="s">
        <v>18</v>
      </c>
      <c r="F2849" s="5" t="s">
        <v>19</v>
      </c>
      <c r="G2849" s="5" t="s">
        <v>53</v>
      </c>
      <c r="H2849" s="5" t="s">
        <v>2061</v>
      </c>
      <c r="I2849" s="13">
        <v>152.6</v>
      </c>
      <c r="J2849" s="19">
        <v>4</v>
      </c>
      <c r="K2849" s="14">
        <v>13.32</v>
      </c>
    </row>
    <row r="2850" spans="1:11" x14ac:dyDescent="0.25">
      <c r="A2850" s="2">
        <v>43889</v>
      </c>
      <c r="B2850" s="18">
        <f t="shared" si="88"/>
        <v>2020</v>
      </c>
      <c r="C2850" s="18">
        <f t="shared" si="89"/>
        <v>2</v>
      </c>
      <c r="D2850" s="3" t="s">
        <v>2073</v>
      </c>
      <c r="E2850" s="3" t="s">
        <v>91</v>
      </c>
      <c r="F2850" s="3" t="s">
        <v>19</v>
      </c>
      <c r="G2850" s="3" t="s">
        <v>32</v>
      </c>
      <c r="H2850" s="3" t="s">
        <v>361</v>
      </c>
      <c r="I2850" s="11">
        <v>919.84</v>
      </c>
      <c r="J2850" s="18">
        <v>2</v>
      </c>
      <c r="K2850" s="12">
        <v>4.7232000000000003</v>
      </c>
    </row>
    <row r="2851" spans="1:11" x14ac:dyDescent="0.25">
      <c r="A2851" s="4">
        <v>43889</v>
      </c>
      <c r="B2851" s="19">
        <f t="shared" si="88"/>
        <v>2020</v>
      </c>
      <c r="C2851" s="19">
        <f t="shared" si="89"/>
        <v>2</v>
      </c>
      <c r="D2851" s="5" t="s">
        <v>2073</v>
      </c>
      <c r="E2851" s="5" t="s">
        <v>91</v>
      </c>
      <c r="F2851" s="5" t="s">
        <v>19</v>
      </c>
      <c r="G2851" s="5" t="s">
        <v>53</v>
      </c>
      <c r="H2851" s="5" t="s">
        <v>2146</v>
      </c>
      <c r="I2851" s="13">
        <v>943.78</v>
      </c>
      <c r="J2851" s="19">
        <v>1</v>
      </c>
      <c r="K2851" s="14">
        <v>3.5009999999999999</v>
      </c>
    </row>
    <row r="2852" spans="1:11" x14ac:dyDescent="0.25">
      <c r="A2852" s="2">
        <v>43892</v>
      </c>
      <c r="B2852" s="18">
        <f t="shared" si="88"/>
        <v>2020</v>
      </c>
      <c r="C2852" s="18">
        <f t="shared" si="89"/>
        <v>3</v>
      </c>
      <c r="D2852" s="3" t="s">
        <v>2147</v>
      </c>
      <c r="E2852" s="3" t="s">
        <v>309</v>
      </c>
      <c r="F2852" s="3" t="s">
        <v>19</v>
      </c>
      <c r="G2852" s="3" t="s">
        <v>53</v>
      </c>
      <c r="H2852" s="3" t="s">
        <v>172</v>
      </c>
      <c r="I2852" s="11">
        <v>109.04</v>
      </c>
      <c r="J2852" s="18">
        <v>6</v>
      </c>
      <c r="K2852" s="12">
        <v>33.339599999999997</v>
      </c>
    </row>
    <row r="2853" spans="1:11" x14ac:dyDescent="0.25">
      <c r="A2853" s="4">
        <v>43892</v>
      </c>
      <c r="B2853" s="19">
        <f t="shared" si="88"/>
        <v>2020</v>
      </c>
      <c r="C2853" s="19">
        <f t="shared" si="89"/>
        <v>3</v>
      </c>
      <c r="D2853" s="5" t="s">
        <v>737</v>
      </c>
      <c r="E2853" s="5" t="s">
        <v>18</v>
      </c>
      <c r="F2853" s="5" t="s">
        <v>19</v>
      </c>
      <c r="G2853" s="5" t="s">
        <v>32</v>
      </c>
      <c r="H2853" s="5" t="s">
        <v>583</v>
      </c>
      <c r="I2853" s="13">
        <v>128.648</v>
      </c>
      <c r="J2853" s="19">
        <v>2</v>
      </c>
      <c r="K2853" s="14">
        <v>33.64</v>
      </c>
    </row>
    <row r="2854" spans="1:11" x14ac:dyDescent="0.25">
      <c r="A2854" s="2">
        <v>43892</v>
      </c>
      <c r="B2854" s="18">
        <f t="shared" si="88"/>
        <v>2020</v>
      </c>
      <c r="C2854" s="18">
        <f t="shared" si="89"/>
        <v>3</v>
      </c>
      <c r="D2854" s="3" t="s">
        <v>946</v>
      </c>
      <c r="E2854" s="3" t="s">
        <v>18</v>
      </c>
      <c r="F2854" s="3" t="s">
        <v>14</v>
      </c>
      <c r="G2854" s="3" t="s">
        <v>15</v>
      </c>
      <c r="H2854" s="3" t="s">
        <v>2148</v>
      </c>
      <c r="I2854" s="11">
        <v>214.77600000000001</v>
      </c>
      <c r="J2854" s="18">
        <v>3</v>
      </c>
      <c r="K2854" s="12">
        <v>14.7582</v>
      </c>
    </row>
    <row r="2855" spans="1:11" x14ac:dyDescent="0.25">
      <c r="A2855" s="4">
        <v>43892</v>
      </c>
      <c r="B2855" s="19">
        <f t="shared" si="88"/>
        <v>2020</v>
      </c>
      <c r="C2855" s="19">
        <f t="shared" si="89"/>
        <v>3</v>
      </c>
      <c r="D2855" s="5" t="s">
        <v>2147</v>
      </c>
      <c r="E2855" s="5" t="s">
        <v>309</v>
      </c>
      <c r="F2855" s="5" t="s">
        <v>11</v>
      </c>
      <c r="G2855" s="5" t="s">
        <v>12</v>
      </c>
      <c r="H2855" s="5" t="s">
        <v>2149</v>
      </c>
      <c r="I2855" s="13">
        <v>460.96</v>
      </c>
      <c r="J2855" s="19">
        <v>2</v>
      </c>
      <c r="K2855" s="14">
        <v>101.6508</v>
      </c>
    </row>
    <row r="2856" spans="1:11" x14ac:dyDescent="0.25">
      <c r="A2856" s="2">
        <v>43892</v>
      </c>
      <c r="B2856" s="18">
        <f t="shared" si="88"/>
        <v>2020</v>
      </c>
      <c r="C2856" s="18">
        <f t="shared" si="89"/>
        <v>3</v>
      </c>
      <c r="D2856" s="3" t="s">
        <v>946</v>
      </c>
      <c r="E2856" s="3" t="s">
        <v>18</v>
      </c>
      <c r="F2856" s="3" t="s">
        <v>14</v>
      </c>
      <c r="G2856" s="3" t="s">
        <v>24</v>
      </c>
      <c r="H2856" s="3" t="s">
        <v>912</v>
      </c>
      <c r="I2856" s="11">
        <v>493.94</v>
      </c>
      <c r="J2856" s="18">
        <v>6</v>
      </c>
      <c r="K2856" s="12">
        <v>52.793399999999998</v>
      </c>
    </row>
    <row r="2857" spans="1:11" x14ac:dyDescent="0.25">
      <c r="A2857" s="4">
        <v>43892</v>
      </c>
      <c r="B2857" s="19">
        <f t="shared" si="88"/>
        <v>2020</v>
      </c>
      <c r="C2857" s="19">
        <f t="shared" si="89"/>
        <v>3</v>
      </c>
      <c r="D2857" s="5" t="s">
        <v>416</v>
      </c>
      <c r="E2857" s="5" t="s">
        <v>23</v>
      </c>
      <c r="F2857" s="5" t="s">
        <v>19</v>
      </c>
      <c r="G2857" s="5" t="s">
        <v>32</v>
      </c>
      <c r="H2857" s="5" t="s">
        <v>388</v>
      </c>
      <c r="I2857" s="13">
        <v>110.22199999999999</v>
      </c>
      <c r="J2857" s="19">
        <v>7</v>
      </c>
      <c r="K2857" s="14">
        <v>-20.1663</v>
      </c>
    </row>
    <row r="2858" spans="1:11" x14ac:dyDescent="0.25">
      <c r="A2858" s="2">
        <v>43892</v>
      </c>
      <c r="B2858" s="18">
        <f t="shared" si="88"/>
        <v>2020</v>
      </c>
      <c r="C2858" s="18">
        <f t="shared" si="89"/>
        <v>3</v>
      </c>
      <c r="D2858" s="3" t="s">
        <v>2150</v>
      </c>
      <c r="E2858" s="3" t="s">
        <v>23</v>
      </c>
      <c r="F2858" s="3" t="s">
        <v>19</v>
      </c>
      <c r="G2858" s="3" t="s">
        <v>32</v>
      </c>
      <c r="H2858" s="3" t="s">
        <v>1615</v>
      </c>
      <c r="I2858" s="11">
        <v>118.556</v>
      </c>
      <c r="J2858" s="18">
        <v>1</v>
      </c>
      <c r="K2858" s="12">
        <v>-0.94520000000000004</v>
      </c>
    </row>
    <row r="2859" spans="1:11" x14ac:dyDescent="0.25">
      <c r="A2859" s="4">
        <v>43892</v>
      </c>
      <c r="B2859" s="19">
        <f t="shared" si="88"/>
        <v>2020</v>
      </c>
      <c r="C2859" s="19">
        <f t="shared" si="89"/>
        <v>3</v>
      </c>
      <c r="D2859" s="5" t="s">
        <v>416</v>
      </c>
      <c r="E2859" s="5" t="s">
        <v>23</v>
      </c>
      <c r="F2859" s="5" t="s">
        <v>19</v>
      </c>
      <c r="G2859" s="5" t="s">
        <v>265</v>
      </c>
      <c r="H2859" s="5" t="s">
        <v>538</v>
      </c>
      <c r="I2859" s="13">
        <v>94.975999999999999</v>
      </c>
      <c r="J2859" s="19">
        <v>4</v>
      </c>
      <c r="K2859" s="14">
        <v>-1.3952</v>
      </c>
    </row>
    <row r="2860" spans="1:11" x14ac:dyDescent="0.25">
      <c r="A2860" s="2">
        <v>43892</v>
      </c>
      <c r="B2860" s="18">
        <f t="shared" si="88"/>
        <v>2020</v>
      </c>
      <c r="C2860" s="18">
        <f t="shared" si="89"/>
        <v>3</v>
      </c>
      <c r="D2860" s="3" t="s">
        <v>1458</v>
      </c>
      <c r="E2860" s="3" t="s">
        <v>67</v>
      </c>
      <c r="F2860" s="3" t="s">
        <v>19</v>
      </c>
      <c r="G2860" s="3" t="s">
        <v>32</v>
      </c>
      <c r="H2860" s="3" t="s">
        <v>422</v>
      </c>
      <c r="I2860" s="11">
        <v>93.528000000000006</v>
      </c>
      <c r="J2860" s="18">
        <v>4</v>
      </c>
      <c r="K2860" s="12">
        <v>-12.352</v>
      </c>
    </row>
    <row r="2861" spans="1:11" x14ac:dyDescent="0.25">
      <c r="A2861" s="4">
        <v>43892</v>
      </c>
      <c r="B2861" s="19">
        <f t="shared" si="88"/>
        <v>2020</v>
      </c>
      <c r="C2861" s="19">
        <f t="shared" si="89"/>
        <v>3</v>
      </c>
      <c r="D2861" s="5" t="s">
        <v>2147</v>
      </c>
      <c r="E2861" s="5" t="s">
        <v>309</v>
      </c>
      <c r="F2861" s="5" t="s">
        <v>19</v>
      </c>
      <c r="G2861" s="5" t="s">
        <v>86</v>
      </c>
      <c r="H2861" s="5" t="s">
        <v>176</v>
      </c>
      <c r="I2861" s="13">
        <v>156.96</v>
      </c>
      <c r="J2861" s="19">
        <v>7</v>
      </c>
      <c r="K2861" s="14">
        <v>27.241199999999999</v>
      </c>
    </row>
    <row r="2862" spans="1:11" x14ac:dyDescent="0.25">
      <c r="A2862" s="2">
        <v>43892</v>
      </c>
      <c r="B2862" s="18">
        <f t="shared" si="88"/>
        <v>2020</v>
      </c>
      <c r="C2862" s="18">
        <f t="shared" si="89"/>
        <v>3</v>
      </c>
      <c r="D2862" s="3" t="s">
        <v>2147</v>
      </c>
      <c r="E2862" s="3" t="s">
        <v>309</v>
      </c>
      <c r="F2862" s="3" t="s">
        <v>19</v>
      </c>
      <c r="G2862" s="3" t="s">
        <v>40</v>
      </c>
      <c r="H2862" s="3" t="s">
        <v>299</v>
      </c>
      <c r="I2862" s="11">
        <v>134.52000000000001</v>
      </c>
      <c r="J2862" s="18">
        <v>3</v>
      </c>
      <c r="K2862" s="12">
        <v>15.475199999999999</v>
      </c>
    </row>
    <row r="2863" spans="1:11" x14ac:dyDescent="0.25">
      <c r="A2863" s="4">
        <v>43893</v>
      </c>
      <c r="B2863" s="19">
        <f t="shared" si="88"/>
        <v>2020</v>
      </c>
      <c r="C2863" s="19">
        <f t="shared" si="89"/>
        <v>3</v>
      </c>
      <c r="D2863" s="5" t="s">
        <v>1006</v>
      </c>
      <c r="E2863" s="5" t="s">
        <v>195</v>
      </c>
      <c r="F2863" s="5" t="s">
        <v>19</v>
      </c>
      <c r="G2863" s="5" t="s">
        <v>121</v>
      </c>
      <c r="H2863" s="5" t="s">
        <v>993</v>
      </c>
      <c r="I2863" s="13">
        <v>110.8</v>
      </c>
      <c r="J2863" s="19">
        <v>5</v>
      </c>
      <c r="K2863" s="14">
        <v>19.655999999999999</v>
      </c>
    </row>
    <row r="2864" spans="1:11" x14ac:dyDescent="0.25">
      <c r="A2864" s="2">
        <v>43893</v>
      </c>
      <c r="B2864" s="18">
        <f t="shared" si="88"/>
        <v>2020</v>
      </c>
      <c r="C2864" s="18">
        <f t="shared" si="89"/>
        <v>3</v>
      </c>
      <c r="D2864" s="3" t="s">
        <v>1706</v>
      </c>
      <c r="E2864" s="3" t="s">
        <v>365</v>
      </c>
      <c r="F2864" s="3" t="s">
        <v>14</v>
      </c>
      <c r="G2864" s="3" t="s">
        <v>24</v>
      </c>
      <c r="H2864" s="3" t="s">
        <v>139</v>
      </c>
      <c r="I2864" s="11">
        <v>125.98</v>
      </c>
      <c r="J2864" s="18">
        <v>2</v>
      </c>
      <c r="K2864" s="12">
        <v>42.991399999999999</v>
      </c>
    </row>
    <row r="2865" spans="1:11" x14ac:dyDescent="0.25">
      <c r="A2865" s="4">
        <v>43893</v>
      </c>
      <c r="B2865" s="19">
        <f t="shared" si="88"/>
        <v>2020</v>
      </c>
      <c r="C2865" s="19">
        <f t="shared" si="89"/>
        <v>3</v>
      </c>
      <c r="D2865" s="5" t="s">
        <v>2151</v>
      </c>
      <c r="E2865" s="5" t="s">
        <v>18</v>
      </c>
      <c r="F2865" s="5" t="s">
        <v>11</v>
      </c>
      <c r="G2865" s="5" t="s">
        <v>112</v>
      </c>
      <c r="H2865" s="5" t="s">
        <v>1068</v>
      </c>
      <c r="I2865" s="13">
        <v>185.352</v>
      </c>
      <c r="J2865" s="19">
        <v>3</v>
      </c>
      <c r="K2865" s="14">
        <v>-17.0352</v>
      </c>
    </row>
    <row r="2866" spans="1:11" x14ac:dyDescent="0.25">
      <c r="A2866" s="2">
        <v>43893</v>
      </c>
      <c r="B2866" s="18">
        <f t="shared" si="88"/>
        <v>2020</v>
      </c>
      <c r="C2866" s="18">
        <f t="shared" si="89"/>
        <v>3</v>
      </c>
      <c r="D2866" s="3" t="s">
        <v>1706</v>
      </c>
      <c r="E2866" s="3" t="s">
        <v>365</v>
      </c>
      <c r="F2866" s="3" t="s">
        <v>11</v>
      </c>
      <c r="G2866" s="3" t="s">
        <v>112</v>
      </c>
      <c r="H2866" s="3" t="s">
        <v>114</v>
      </c>
      <c r="I2866" s="11">
        <v>227.98</v>
      </c>
      <c r="J2866" s="18">
        <v>1</v>
      </c>
      <c r="K2866" s="12">
        <v>47.0548</v>
      </c>
    </row>
    <row r="2867" spans="1:11" x14ac:dyDescent="0.25">
      <c r="A2867" s="4">
        <v>43893</v>
      </c>
      <c r="B2867" s="19">
        <f t="shared" si="88"/>
        <v>2020</v>
      </c>
      <c r="C2867" s="19">
        <f t="shared" si="89"/>
        <v>3</v>
      </c>
      <c r="D2867" s="5" t="s">
        <v>872</v>
      </c>
      <c r="E2867" s="5" t="s">
        <v>18</v>
      </c>
      <c r="F2867" s="5" t="s">
        <v>11</v>
      </c>
      <c r="G2867" s="5" t="s">
        <v>30</v>
      </c>
      <c r="H2867" s="5" t="s">
        <v>2093</v>
      </c>
      <c r="I2867" s="13">
        <v>426.67200000000003</v>
      </c>
      <c r="J2867" s="19">
        <v>7</v>
      </c>
      <c r="K2867" s="14">
        <v>-14.9877</v>
      </c>
    </row>
    <row r="2868" spans="1:11" x14ac:dyDescent="0.25">
      <c r="A2868" s="2">
        <v>43893</v>
      </c>
      <c r="B2868" s="18">
        <f t="shared" si="88"/>
        <v>2020</v>
      </c>
      <c r="C2868" s="18">
        <f t="shared" si="89"/>
        <v>3</v>
      </c>
      <c r="D2868" s="3" t="s">
        <v>2151</v>
      </c>
      <c r="E2868" s="3" t="s">
        <v>18</v>
      </c>
      <c r="F2868" s="3" t="s">
        <v>14</v>
      </c>
      <c r="G2868" s="3" t="s">
        <v>24</v>
      </c>
      <c r="H2868" s="3" t="s">
        <v>2152</v>
      </c>
      <c r="I2868" s="11">
        <v>1099.44</v>
      </c>
      <c r="J2868" s="18">
        <v>8</v>
      </c>
      <c r="K2868" s="12">
        <v>440.76479999999998</v>
      </c>
    </row>
    <row r="2869" spans="1:11" x14ac:dyDescent="0.25">
      <c r="A2869" s="4">
        <v>43893</v>
      </c>
      <c r="B2869" s="19">
        <f t="shared" si="88"/>
        <v>2020</v>
      </c>
      <c r="C2869" s="19">
        <f t="shared" si="89"/>
        <v>3</v>
      </c>
      <c r="D2869" s="5" t="s">
        <v>1213</v>
      </c>
      <c r="E2869" s="5" t="s">
        <v>23</v>
      </c>
      <c r="F2869" s="5" t="s">
        <v>19</v>
      </c>
      <c r="G2869" s="5" t="s">
        <v>53</v>
      </c>
      <c r="H2869" s="5" t="s">
        <v>2153</v>
      </c>
      <c r="I2869" s="13">
        <v>100.88</v>
      </c>
      <c r="J2869" s="19">
        <v>8</v>
      </c>
      <c r="K2869" s="14">
        <v>9.7439999999999998</v>
      </c>
    </row>
    <row r="2870" spans="1:11" x14ac:dyDescent="0.25">
      <c r="A2870" s="2">
        <v>43894</v>
      </c>
      <c r="B2870" s="18">
        <f t="shared" si="88"/>
        <v>2020</v>
      </c>
      <c r="C2870" s="18">
        <f t="shared" si="89"/>
        <v>3</v>
      </c>
      <c r="D2870" s="3" t="s">
        <v>699</v>
      </c>
      <c r="E2870" s="3" t="s">
        <v>23</v>
      </c>
      <c r="F2870" s="3" t="s">
        <v>11</v>
      </c>
      <c r="G2870" s="3" t="s">
        <v>51</v>
      </c>
      <c r="H2870" s="3" t="s">
        <v>514</v>
      </c>
      <c r="I2870" s="11">
        <v>117.5</v>
      </c>
      <c r="J2870" s="18">
        <v>5</v>
      </c>
      <c r="K2870" s="12">
        <v>-77.625</v>
      </c>
    </row>
    <row r="2871" spans="1:11" x14ac:dyDescent="0.25">
      <c r="A2871" s="4">
        <v>43894</v>
      </c>
      <c r="B2871" s="19">
        <f t="shared" si="88"/>
        <v>2020</v>
      </c>
      <c r="C2871" s="19">
        <f t="shared" si="89"/>
        <v>3</v>
      </c>
      <c r="D2871" s="5" t="s">
        <v>848</v>
      </c>
      <c r="E2871" s="5" t="s">
        <v>23</v>
      </c>
      <c r="F2871" s="5" t="s">
        <v>19</v>
      </c>
      <c r="G2871" s="5" t="s">
        <v>53</v>
      </c>
      <c r="H2871" s="5" t="s">
        <v>1072</v>
      </c>
      <c r="I2871" s="13">
        <v>134.56800000000001</v>
      </c>
      <c r="J2871" s="19">
        <v>2</v>
      </c>
      <c r="K2871" s="14">
        <v>32.468400000000003</v>
      </c>
    </row>
    <row r="2872" spans="1:11" x14ac:dyDescent="0.25">
      <c r="A2872" s="2">
        <v>43894</v>
      </c>
      <c r="B2872" s="18">
        <f t="shared" si="88"/>
        <v>2020</v>
      </c>
      <c r="C2872" s="18">
        <f t="shared" si="89"/>
        <v>3</v>
      </c>
      <c r="D2872" s="3" t="s">
        <v>1919</v>
      </c>
      <c r="E2872" s="3" t="s">
        <v>18</v>
      </c>
      <c r="F2872" s="3" t="s">
        <v>19</v>
      </c>
      <c r="G2872" s="3" t="s">
        <v>86</v>
      </c>
      <c r="H2872" s="3" t="s">
        <v>322</v>
      </c>
      <c r="I2872" s="11">
        <v>93.25</v>
      </c>
      <c r="J2872" s="18">
        <v>1</v>
      </c>
      <c r="K2872" s="12">
        <v>7.0149999999999997</v>
      </c>
    </row>
    <row r="2873" spans="1:11" x14ac:dyDescent="0.25">
      <c r="A2873" s="4">
        <v>43894</v>
      </c>
      <c r="B2873" s="19">
        <f t="shared" si="88"/>
        <v>2020</v>
      </c>
      <c r="C2873" s="19">
        <f t="shared" si="89"/>
        <v>3</v>
      </c>
      <c r="D2873" s="5" t="s">
        <v>699</v>
      </c>
      <c r="E2873" s="5" t="s">
        <v>23</v>
      </c>
      <c r="F2873" s="5" t="s">
        <v>19</v>
      </c>
      <c r="G2873" s="5" t="s">
        <v>127</v>
      </c>
      <c r="H2873" s="5" t="s">
        <v>2154</v>
      </c>
      <c r="I2873" s="13">
        <v>124.464</v>
      </c>
      <c r="J2873" s="19">
        <v>1</v>
      </c>
      <c r="K2873" s="14">
        <v>0.86240000000000006</v>
      </c>
    </row>
    <row r="2874" spans="1:11" x14ac:dyDescent="0.25">
      <c r="A2874" s="2">
        <v>43894</v>
      </c>
      <c r="B2874" s="18">
        <f t="shared" si="88"/>
        <v>2020</v>
      </c>
      <c r="C2874" s="18">
        <f t="shared" si="89"/>
        <v>3</v>
      </c>
      <c r="D2874" s="3" t="s">
        <v>699</v>
      </c>
      <c r="E2874" s="3" t="s">
        <v>23</v>
      </c>
      <c r="F2874" s="3" t="s">
        <v>19</v>
      </c>
      <c r="G2874" s="3" t="s">
        <v>20</v>
      </c>
      <c r="H2874" s="3" t="s">
        <v>1481</v>
      </c>
      <c r="I2874" s="11">
        <v>123.72</v>
      </c>
      <c r="J2874" s="18">
        <v>1</v>
      </c>
      <c r="K2874" s="12">
        <v>0.65400000000000003</v>
      </c>
    </row>
    <row r="2875" spans="1:11" x14ac:dyDescent="0.25">
      <c r="A2875" s="4">
        <v>43894</v>
      </c>
      <c r="B2875" s="19">
        <f t="shared" si="88"/>
        <v>2020</v>
      </c>
      <c r="C2875" s="19">
        <f t="shared" si="89"/>
        <v>3</v>
      </c>
      <c r="D2875" s="5" t="s">
        <v>1919</v>
      </c>
      <c r="E2875" s="5" t="s">
        <v>18</v>
      </c>
      <c r="F2875" s="5" t="s">
        <v>19</v>
      </c>
      <c r="G2875" s="5" t="s">
        <v>40</v>
      </c>
      <c r="H2875" s="5" t="s">
        <v>88</v>
      </c>
      <c r="I2875" s="13">
        <v>122.32</v>
      </c>
      <c r="J2875" s="19">
        <v>4</v>
      </c>
      <c r="K2875" s="14">
        <v>2.7027999999999999</v>
      </c>
    </row>
    <row r="2876" spans="1:11" x14ac:dyDescent="0.25">
      <c r="A2876" s="2">
        <v>43895</v>
      </c>
      <c r="B2876" s="18">
        <f t="shared" si="88"/>
        <v>2020</v>
      </c>
      <c r="C2876" s="18">
        <f t="shared" si="89"/>
        <v>3</v>
      </c>
      <c r="D2876" s="3" t="s">
        <v>2155</v>
      </c>
      <c r="E2876" s="3" t="s">
        <v>387</v>
      </c>
      <c r="F2876" s="3" t="s">
        <v>19</v>
      </c>
      <c r="G2876" s="3" t="s">
        <v>32</v>
      </c>
      <c r="H2876" s="3" t="s">
        <v>310</v>
      </c>
      <c r="I2876" s="11">
        <v>142.96</v>
      </c>
      <c r="J2876" s="18">
        <v>2</v>
      </c>
      <c r="K2876" s="12">
        <v>62.700400000000002</v>
      </c>
    </row>
    <row r="2877" spans="1:11" x14ac:dyDescent="0.25">
      <c r="A2877" s="4">
        <v>43895</v>
      </c>
      <c r="B2877" s="19">
        <f t="shared" si="88"/>
        <v>2020</v>
      </c>
      <c r="C2877" s="19">
        <f t="shared" si="89"/>
        <v>3</v>
      </c>
      <c r="D2877" s="5" t="s">
        <v>2155</v>
      </c>
      <c r="E2877" s="5" t="s">
        <v>387</v>
      </c>
      <c r="F2877" s="5" t="s">
        <v>19</v>
      </c>
      <c r="G2877" s="5" t="s">
        <v>20</v>
      </c>
      <c r="H2877" s="5" t="s">
        <v>2156</v>
      </c>
      <c r="I2877" s="13">
        <v>265.16000000000003</v>
      </c>
      <c r="J2877" s="19">
        <v>4</v>
      </c>
      <c r="K2877" s="14">
        <v>57.501600000000003</v>
      </c>
    </row>
    <row r="2878" spans="1:11" x14ac:dyDescent="0.25">
      <c r="A2878" s="2">
        <v>43895</v>
      </c>
      <c r="B2878" s="18">
        <f t="shared" si="88"/>
        <v>2020</v>
      </c>
      <c r="C2878" s="18">
        <f t="shared" si="89"/>
        <v>3</v>
      </c>
      <c r="D2878" s="3" t="s">
        <v>137</v>
      </c>
      <c r="E2878" s="3" t="s">
        <v>143</v>
      </c>
      <c r="F2878" s="3" t="s">
        <v>19</v>
      </c>
      <c r="G2878" s="3" t="s">
        <v>32</v>
      </c>
      <c r="H2878" s="3" t="s">
        <v>1653</v>
      </c>
      <c r="I2878" s="11">
        <v>271.36</v>
      </c>
      <c r="J2878" s="18">
        <v>6</v>
      </c>
      <c r="K2878" s="12">
        <v>112.4928</v>
      </c>
    </row>
    <row r="2879" spans="1:11" x14ac:dyDescent="0.25">
      <c r="A2879" s="4">
        <v>43895</v>
      </c>
      <c r="B2879" s="19">
        <f t="shared" si="88"/>
        <v>2020</v>
      </c>
      <c r="C2879" s="19">
        <f t="shared" si="89"/>
        <v>3</v>
      </c>
      <c r="D2879" s="5" t="s">
        <v>137</v>
      </c>
      <c r="E2879" s="5" t="s">
        <v>143</v>
      </c>
      <c r="F2879" s="5" t="s">
        <v>19</v>
      </c>
      <c r="G2879" s="5" t="s">
        <v>121</v>
      </c>
      <c r="H2879" s="5" t="s">
        <v>938</v>
      </c>
      <c r="I2879" s="13">
        <v>291.24</v>
      </c>
      <c r="J2879" s="19">
        <v>2</v>
      </c>
      <c r="K2879" s="14">
        <v>78.671999999999997</v>
      </c>
    </row>
    <row r="2880" spans="1:11" x14ac:dyDescent="0.25">
      <c r="A2880" s="2">
        <v>43895</v>
      </c>
      <c r="B2880" s="18">
        <f t="shared" si="88"/>
        <v>2020</v>
      </c>
      <c r="C2880" s="18">
        <f t="shared" si="89"/>
        <v>3</v>
      </c>
      <c r="D2880" s="3" t="s">
        <v>137</v>
      </c>
      <c r="E2880" s="3" t="s">
        <v>143</v>
      </c>
      <c r="F2880" s="3" t="s">
        <v>14</v>
      </c>
      <c r="G2880" s="3" t="s">
        <v>24</v>
      </c>
      <c r="H2880" s="3" t="s">
        <v>1415</v>
      </c>
      <c r="I2880" s="11">
        <v>339.97</v>
      </c>
      <c r="J2880" s="18">
        <v>3</v>
      </c>
      <c r="K2880" s="12">
        <v>125.98739999999999</v>
      </c>
    </row>
    <row r="2881" spans="1:11" x14ac:dyDescent="0.25">
      <c r="A2881" s="4">
        <v>43895</v>
      </c>
      <c r="B2881" s="19">
        <f t="shared" si="88"/>
        <v>2020</v>
      </c>
      <c r="C2881" s="19">
        <f t="shared" si="89"/>
        <v>3</v>
      </c>
      <c r="D2881" s="5" t="s">
        <v>2155</v>
      </c>
      <c r="E2881" s="5" t="s">
        <v>387</v>
      </c>
      <c r="F2881" s="5" t="s">
        <v>19</v>
      </c>
      <c r="G2881" s="5" t="s">
        <v>116</v>
      </c>
      <c r="H2881" s="5" t="s">
        <v>1506</v>
      </c>
      <c r="I2881" s="13">
        <v>112.9</v>
      </c>
      <c r="J2881" s="19">
        <v>2</v>
      </c>
      <c r="K2881" s="14">
        <v>2.528</v>
      </c>
    </row>
    <row r="2882" spans="1:11" x14ac:dyDescent="0.25">
      <c r="A2882" s="2">
        <v>43895</v>
      </c>
      <c r="B2882" s="18">
        <f t="shared" ref="B2882:B2945" si="90">YEAR(A2882)</f>
        <v>2020</v>
      </c>
      <c r="C2882" s="18">
        <f t="shared" ref="C2882:C2945" si="91">MONTH(A2882)</f>
        <v>3</v>
      </c>
      <c r="D2882" s="3" t="s">
        <v>646</v>
      </c>
      <c r="E2882" s="3" t="s">
        <v>56</v>
      </c>
      <c r="F2882" s="3" t="s">
        <v>19</v>
      </c>
      <c r="G2882" s="3" t="s">
        <v>127</v>
      </c>
      <c r="H2882" s="3" t="s">
        <v>1411</v>
      </c>
      <c r="I2882" s="11">
        <v>114.06</v>
      </c>
      <c r="J2882" s="18">
        <v>2</v>
      </c>
      <c r="K2882" s="12">
        <v>11.7782</v>
      </c>
    </row>
    <row r="2883" spans="1:11" x14ac:dyDescent="0.25">
      <c r="A2883" s="4">
        <v>43895</v>
      </c>
      <c r="B2883" s="19">
        <f t="shared" si="90"/>
        <v>2020</v>
      </c>
      <c r="C2883" s="19">
        <f t="shared" si="91"/>
        <v>3</v>
      </c>
      <c r="D2883" s="5" t="s">
        <v>2155</v>
      </c>
      <c r="E2883" s="5" t="s">
        <v>387</v>
      </c>
      <c r="F2883" s="5" t="s">
        <v>19</v>
      </c>
      <c r="G2883" s="5" t="s">
        <v>32</v>
      </c>
      <c r="H2883" s="5" t="s">
        <v>2157</v>
      </c>
      <c r="I2883" s="13">
        <v>148.69</v>
      </c>
      <c r="J2883" s="19">
        <v>3</v>
      </c>
      <c r="K2883" s="14">
        <v>9.1580999999999992</v>
      </c>
    </row>
    <row r="2884" spans="1:11" x14ac:dyDescent="0.25">
      <c r="A2884" s="2">
        <v>43895</v>
      </c>
      <c r="B2884" s="18">
        <f t="shared" si="90"/>
        <v>2020</v>
      </c>
      <c r="C2884" s="18">
        <f t="shared" si="91"/>
        <v>3</v>
      </c>
      <c r="D2884" s="3" t="s">
        <v>137</v>
      </c>
      <c r="E2884" s="3" t="s">
        <v>143</v>
      </c>
      <c r="F2884" s="3" t="s">
        <v>19</v>
      </c>
      <c r="G2884" s="3" t="s">
        <v>86</v>
      </c>
      <c r="H2884" s="3" t="s">
        <v>1682</v>
      </c>
      <c r="I2884" s="11">
        <v>130.68</v>
      </c>
      <c r="J2884" s="18">
        <v>4</v>
      </c>
      <c r="K2884" s="12">
        <v>19.6328</v>
      </c>
    </row>
    <row r="2885" spans="1:11" x14ac:dyDescent="0.25">
      <c r="A2885" s="4">
        <v>43896</v>
      </c>
      <c r="B2885" s="19">
        <f t="shared" si="90"/>
        <v>2020</v>
      </c>
      <c r="C2885" s="19">
        <f t="shared" si="91"/>
        <v>3</v>
      </c>
      <c r="D2885" s="5" t="s">
        <v>1731</v>
      </c>
      <c r="E2885" s="5" t="s">
        <v>18</v>
      </c>
      <c r="F2885" s="5" t="s">
        <v>14</v>
      </c>
      <c r="G2885" s="5" t="s">
        <v>15</v>
      </c>
      <c r="H2885" s="5" t="s">
        <v>891</v>
      </c>
      <c r="I2885" s="13">
        <v>253.38399999999999</v>
      </c>
      <c r="J2885" s="19">
        <v>2</v>
      </c>
      <c r="K2885" s="14">
        <v>23.2182</v>
      </c>
    </row>
    <row r="2886" spans="1:11" x14ac:dyDescent="0.25">
      <c r="A2886" s="2">
        <v>43896</v>
      </c>
      <c r="B2886" s="18">
        <f t="shared" si="90"/>
        <v>2020</v>
      </c>
      <c r="C2886" s="18">
        <f t="shared" si="91"/>
        <v>3</v>
      </c>
      <c r="D2886" s="3" t="s">
        <v>1731</v>
      </c>
      <c r="E2886" s="3" t="s">
        <v>18</v>
      </c>
      <c r="F2886" s="3" t="s">
        <v>19</v>
      </c>
      <c r="G2886" s="3" t="s">
        <v>53</v>
      </c>
      <c r="H2886" s="3" t="s">
        <v>99</v>
      </c>
      <c r="I2886" s="11">
        <v>327.93</v>
      </c>
      <c r="J2886" s="18">
        <v>7</v>
      </c>
      <c r="K2886" s="12">
        <v>140.59569999999999</v>
      </c>
    </row>
    <row r="2887" spans="1:11" x14ac:dyDescent="0.25">
      <c r="A2887" s="4">
        <v>43896</v>
      </c>
      <c r="B2887" s="19">
        <f t="shared" si="90"/>
        <v>2020</v>
      </c>
      <c r="C2887" s="19">
        <f t="shared" si="91"/>
        <v>3</v>
      </c>
      <c r="D2887" s="5" t="s">
        <v>296</v>
      </c>
      <c r="E2887" s="5" t="s">
        <v>23</v>
      </c>
      <c r="F2887" s="5" t="s">
        <v>19</v>
      </c>
      <c r="G2887" s="5" t="s">
        <v>127</v>
      </c>
      <c r="H2887" s="5" t="s">
        <v>1693</v>
      </c>
      <c r="I2887" s="13">
        <v>73.927999999999997</v>
      </c>
      <c r="J2887" s="19">
        <v>2</v>
      </c>
      <c r="K2887" s="14">
        <v>1.7248000000000001</v>
      </c>
    </row>
    <row r="2888" spans="1:11" x14ac:dyDescent="0.25">
      <c r="A2888" s="2">
        <v>43896</v>
      </c>
      <c r="B2888" s="18">
        <f t="shared" si="90"/>
        <v>2020</v>
      </c>
      <c r="C2888" s="18">
        <f t="shared" si="91"/>
        <v>3</v>
      </c>
      <c r="D2888" s="3" t="s">
        <v>1731</v>
      </c>
      <c r="E2888" s="3" t="s">
        <v>18</v>
      </c>
      <c r="F2888" s="3" t="s">
        <v>19</v>
      </c>
      <c r="G2888" s="3" t="s">
        <v>127</v>
      </c>
      <c r="H2888" s="3" t="s">
        <v>1386</v>
      </c>
      <c r="I2888" s="11">
        <v>127.52</v>
      </c>
      <c r="J2888" s="18">
        <v>4</v>
      </c>
      <c r="K2888" s="12">
        <v>5.6448</v>
      </c>
    </row>
    <row r="2889" spans="1:11" x14ac:dyDescent="0.25">
      <c r="A2889" s="4">
        <v>43896</v>
      </c>
      <c r="B2889" s="19">
        <f t="shared" si="90"/>
        <v>2020</v>
      </c>
      <c r="C2889" s="19">
        <f t="shared" si="91"/>
        <v>3</v>
      </c>
      <c r="D2889" s="5" t="s">
        <v>2158</v>
      </c>
      <c r="E2889" s="5" t="s">
        <v>94</v>
      </c>
      <c r="F2889" s="5" t="s">
        <v>19</v>
      </c>
      <c r="G2889" s="5" t="s">
        <v>53</v>
      </c>
      <c r="H2889" s="5" t="s">
        <v>184</v>
      </c>
      <c r="I2889" s="13">
        <v>132.38</v>
      </c>
      <c r="J2889" s="19">
        <v>1</v>
      </c>
      <c r="K2889" s="14">
        <v>12.1348</v>
      </c>
    </row>
    <row r="2890" spans="1:11" x14ac:dyDescent="0.25">
      <c r="A2890" s="2">
        <v>43896</v>
      </c>
      <c r="B2890" s="18">
        <f t="shared" si="90"/>
        <v>2020</v>
      </c>
      <c r="C2890" s="18">
        <f t="shared" si="91"/>
        <v>3</v>
      </c>
      <c r="D2890" s="3" t="s">
        <v>177</v>
      </c>
      <c r="E2890" s="3" t="s">
        <v>18</v>
      </c>
      <c r="F2890" s="3" t="s">
        <v>19</v>
      </c>
      <c r="G2890" s="3" t="s">
        <v>32</v>
      </c>
      <c r="H2890" s="3" t="s">
        <v>2159</v>
      </c>
      <c r="I2890" s="11">
        <v>112.976</v>
      </c>
      <c r="J2890" s="18">
        <v>9</v>
      </c>
      <c r="K2890" s="12">
        <v>5.4287999999999998</v>
      </c>
    </row>
    <row r="2891" spans="1:11" x14ac:dyDescent="0.25">
      <c r="A2891" s="4">
        <v>43896</v>
      </c>
      <c r="B2891" s="19">
        <f t="shared" si="90"/>
        <v>2020</v>
      </c>
      <c r="C2891" s="19">
        <f t="shared" si="91"/>
        <v>3</v>
      </c>
      <c r="D2891" s="5" t="s">
        <v>1731</v>
      </c>
      <c r="E2891" s="5" t="s">
        <v>18</v>
      </c>
      <c r="F2891" s="5" t="s">
        <v>19</v>
      </c>
      <c r="G2891" s="5" t="s">
        <v>40</v>
      </c>
      <c r="H2891" s="5" t="s">
        <v>2075</v>
      </c>
      <c r="I2891" s="13">
        <v>117.88</v>
      </c>
      <c r="J2891" s="19">
        <v>6</v>
      </c>
      <c r="K2891" s="14">
        <v>8.1191999999999993</v>
      </c>
    </row>
    <row r="2892" spans="1:11" x14ac:dyDescent="0.25">
      <c r="A2892" s="2">
        <v>43896</v>
      </c>
      <c r="B2892" s="18">
        <f t="shared" si="90"/>
        <v>2020</v>
      </c>
      <c r="C2892" s="18">
        <f t="shared" si="91"/>
        <v>3</v>
      </c>
      <c r="D2892" s="3" t="s">
        <v>296</v>
      </c>
      <c r="E2892" s="3" t="s">
        <v>23</v>
      </c>
      <c r="F2892" s="3" t="s">
        <v>19</v>
      </c>
      <c r="G2892" s="3" t="s">
        <v>40</v>
      </c>
      <c r="H2892" s="3" t="s">
        <v>153</v>
      </c>
      <c r="I2892" s="11">
        <v>165.488</v>
      </c>
      <c r="J2892" s="18">
        <v>4</v>
      </c>
      <c r="K2892" s="12">
        <v>4.7615999999999996</v>
      </c>
    </row>
    <row r="2893" spans="1:11" x14ac:dyDescent="0.25">
      <c r="A2893" s="4">
        <v>43896</v>
      </c>
      <c r="B2893" s="19">
        <f t="shared" si="90"/>
        <v>2020</v>
      </c>
      <c r="C2893" s="19">
        <f t="shared" si="91"/>
        <v>3</v>
      </c>
      <c r="D2893" s="5" t="s">
        <v>2158</v>
      </c>
      <c r="E2893" s="5" t="s">
        <v>94</v>
      </c>
      <c r="F2893" s="5" t="s">
        <v>11</v>
      </c>
      <c r="G2893" s="5" t="s">
        <v>51</v>
      </c>
      <c r="H2893" s="5" t="s">
        <v>2160</v>
      </c>
      <c r="I2893" s="13">
        <v>153.97</v>
      </c>
      <c r="J2893" s="19">
        <v>3</v>
      </c>
      <c r="K2893" s="14">
        <v>16.553100000000001</v>
      </c>
    </row>
    <row r="2894" spans="1:11" x14ac:dyDescent="0.25">
      <c r="A2894" s="2">
        <v>43896</v>
      </c>
      <c r="B2894" s="18">
        <f t="shared" si="90"/>
        <v>2020</v>
      </c>
      <c r="C2894" s="18">
        <f t="shared" si="91"/>
        <v>3</v>
      </c>
      <c r="D2894" s="3" t="s">
        <v>887</v>
      </c>
      <c r="E2894" s="3" t="s">
        <v>18</v>
      </c>
      <c r="F2894" s="3" t="s">
        <v>19</v>
      </c>
      <c r="G2894" s="3" t="s">
        <v>20</v>
      </c>
      <c r="H2894" s="3" t="s">
        <v>157</v>
      </c>
      <c r="I2894" s="11">
        <v>165.78</v>
      </c>
      <c r="J2894" s="18">
        <v>2</v>
      </c>
      <c r="K2894" s="12">
        <v>16.945</v>
      </c>
    </row>
    <row r="2895" spans="1:11" x14ac:dyDescent="0.25">
      <c r="A2895" s="4">
        <v>43897</v>
      </c>
      <c r="B2895" s="19">
        <f t="shared" si="90"/>
        <v>2020</v>
      </c>
      <c r="C2895" s="19">
        <f t="shared" si="91"/>
        <v>3</v>
      </c>
      <c r="D2895" s="5" t="s">
        <v>2022</v>
      </c>
      <c r="E2895" s="5" t="s">
        <v>94</v>
      </c>
      <c r="F2895" s="5" t="s">
        <v>19</v>
      </c>
      <c r="G2895" s="5" t="s">
        <v>127</v>
      </c>
      <c r="H2895" s="5" t="s">
        <v>1100</v>
      </c>
      <c r="I2895" s="13">
        <v>106.59</v>
      </c>
      <c r="J2895" s="19">
        <v>3</v>
      </c>
      <c r="K2895" s="14">
        <v>42.131399999999999</v>
      </c>
    </row>
    <row r="2896" spans="1:11" x14ac:dyDescent="0.25">
      <c r="A2896" s="2">
        <v>43897</v>
      </c>
      <c r="B2896" s="18">
        <f t="shared" si="90"/>
        <v>2020</v>
      </c>
      <c r="C2896" s="18">
        <f t="shared" si="91"/>
        <v>3</v>
      </c>
      <c r="D2896" s="3" t="s">
        <v>2022</v>
      </c>
      <c r="E2896" s="3" t="s">
        <v>94</v>
      </c>
      <c r="F2896" s="3" t="s">
        <v>19</v>
      </c>
      <c r="G2896" s="3" t="s">
        <v>32</v>
      </c>
      <c r="H2896" s="3" t="s">
        <v>2161</v>
      </c>
      <c r="I2896" s="11">
        <v>133.91999999999999</v>
      </c>
      <c r="J2896" s="18">
        <v>6</v>
      </c>
      <c r="K2896" s="12">
        <v>9.0719999999999992</v>
      </c>
    </row>
    <row r="2897" spans="1:11" x14ac:dyDescent="0.25">
      <c r="A2897" s="4">
        <v>43897</v>
      </c>
      <c r="B2897" s="19">
        <f t="shared" si="90"/>
        <v>2020</v>
      </c>
      <c r="C2897" s="19">
        <f t="shared" si="91"/>
        <v>3</v>
      </c>
      <c r="D2897" s="5" t="s">
        <v>331</v>
      </c>
      <c r="E2897" s="5" t="s">
        <v>10</v>
      </c>
      <c r="F2897" s="5" t="s">
        <v>14</v>
      </c>
      <c r="G2897" s="5" t="s">
        <v>24</v>
      </c>
      <c r="H2897" s="5" t="s">
        <v>789</v>
      </c>
      <c r="I2897" s="13">
        <v>134.08000000000001</v>
      </c>
      <c r="J2897" s="19">
        <v>3</v>
      </c>
      <c r="K2897" s="14">
        <v>4.9080000000000004</v>
      </c>
    </row>
    <row r="2898" spans="1:11" x14ac:dyDescent="0.25">
      <c r="A2898" s="2">
        <v>43898</v>
      </c>
      <c r="B2898" s="18">
        <f t="shared" si="90"/>
        <v>2020</v>
      </c>
      <c r="C2898" s="18">
        <f t="shared" si="91"/>
        <v>3</v>
      </c>
      <c r="D2898" s="3" t="s">
        <v>268</v>
      </c>
      <c r="E2898" s="3" t="s">
        <v>18</v>
      </c>
      <c r="F2898" s="3" t="s">
        <v>19</v>
      </c>
      <c r="G2898" s="3" t="s">
        <v>32</v>
      </c>
      <c r="H2898" s="3" t="s">
        <v>336</v>
      </c>
      <c r="I2898" s="11">
        <v>196.2</v>
      </c>
      <c r="J2898" s="18">
        <v>5</v>
      </c>
      <c r="K2898" s="12">
        <v>64.2</v>
      </c>
    </row>
    <row r="2899" spans="1:11" x14ac:dyDescent="0.25">
      <c r="A2899" s="4">
        <v>43898</v>
      </c>
      <c r="B2899" s="19">
        <f t="shared" si="90"/>
        <v>2020</v>
      </c>
      <c r="C2899" s="19">
        <f t="shared" si="91"/>
        <v>3</v>
      </c>
      <c r="D2899" s="5" t="s">
        <v>1770</v>
      </c>
      <c r="E2899" s="5" t="s">
        <v>109</v>
      </c>
      <c r="F2899" s="5" t="s">
        <v>19</v>
      </c>
      <c r="G2899" s="5" t="s">
        <v>121</v>
      </c>
      <c r="H2899" s="5" t="s">
        <v>2162</v>
      </c>
      <c r="I2899" s="13">
        <v>669.84</v>
      </c>
      <c r="J2899" s="19">
        <v>8</v>
      </c>
      <c r="K2899" s="14">
        <v>168.4384</v>
      </c>
    </row>
    <row r="2900" spans="1:11" x14ac:dyDescent="0.25">
      <c r="A2900" s="2">
        <v>43898</v>
      </c>
      <c r="B2900" s="18">
        <f t="shared" si="90"/>
        <v>2020</v>
      </c>
      <c r="C2900" s="18">
        <f t="shared" si="91"/>
        <v>3</v>
      </c>
      <c r="D2900" s="3" t="s">
        <v>268</v>
      </c>
      <c r="E2900" s="3" t="s">
        <v>18</v>
      </c>
      <c r="F2900" s="3" t="s">
        <v>19</v>
      </c>
      <c r="G2900" s="3" t="s">
        <v>40</v>
      </c>
      <c r="H2900" s="3" t="s">
        <v>2163</v>
      </c>
      <c r="I2900" s="11">
        <v>77.36</v>
      </c>
      <c r="J2900" s="18">
        <v>2</v>
      </c>
      <c r="K2900" s="12">
        <v>0.87360000000000004</v>
      </c>
    </row>
    <row r="2901" spans="1:11" x14ac:dyDescent="0.25">
      <c r="A2901" s="4">
        <v>43898</v>
      </c>
      <c r="B2901" s="19">
        <f t="shared" si="90"/>
        <v>2020</v>
      </c>
      <c r="C2901" s="19">
        <f t="shared" si="91"/>
        <v>3</v>
      </c>
      <c r="D2901" s="5" t="s">
        <v>1770</v>
      </c>
      <c r="E2901" s="5" t="s">
        <v>109</v>
      </c>
      <c r="F2901" s="5" t="s">
        <v>19</v>
      </c>
      <c r="G2901" s="5" t="s">
        <v>127</v>
      </c>
      <c r="H2901" s="5" t="s">
        <v>1616</v>
      </c>
      <c r="I2901" s="13">
        <v>111.7</v>
      </c>
      <c r="J2901" s="19">
        <v>2</v>
      </c>
      <c r="K2901" s="14">
        <v>9.9359999999999999</v>
      </c>
    </row>
    <row r="2902" spans="1:11" x14ac:dyDescent="0.25">
      <c r="A2902" s="2">
        <v>43899</v>
      </c>
      <c r="B2902" s="18">
        <f t="shared" si="90"/>
        <v>2020</v>
      </c>
      <c r="C2902" s="18">
        <f t="shared" si="91"/>
        <v>3</v>
      </c>
      <c r="D2902" s="3" t="s">
        <v>779</v>
      </c>
      <c r="E2902" s="3" t="s">
        <v>18</v>
      </c>
      <c r="F2902" s="3" t="s">
        <v>14</v>
      </c>
      <c r="G2902" s="3" t="s">
        <v>24</v>
      </c>
      <c r="H2902" s="3" t="s">
        <v>707</v>
      </c>
      <c r="I2902" s="11">
        <v>234.98</v>
      </c>
      <c r="J2902" s="18">
        <v>2</v>
      </c>
      <c r="K2902" s="12">
        <v>69.992999999999995</v>
      </c>
    </row>
    <row r="2903" spans="1:11" x14ac:dyDescent="0.25">
      <c r="A2903" s="4">
        <v>43899</v>
      </c>
      <c r="B2903" s="19">
        <f t="shared" si="90"/>
        <v>2020</v>
      </c>
      <c r="C2903" s="19">
        <f t="shared" si="91"/>
        <v>3</v>
      </c>
      <c r="D2903" s="5" t="s">
        <v>1524</v>
      </c>
      <c r="E2903" s="5" t="s">
        <v>18</v>
      </c>
      <c r="F2903" s="5" t="s">
        <v>14</v>
      </c>
      <c r="G2903" s="5" t="s">
        <v>36</v>
      </c>
      <c r="H2903" s="5" t="s">
        <v>37</v>
      </c>
      <c r="I2903" s="13">
        <v>521.98400000000004</v>
      </c>
      <c r="J2903" s="19">
        <v>2</v>
      </c>
      <c r="K2903" s="14">
        <v>59.997999999999998</v>
      </c>
    </row>
    <row r="2904" spans="1:11" x14ac:dyDescent="0.25">
      <c r="A2904" s="2">
        <v>43899</v>
      </c>
      <c r="B2904" s="18">
        <f t="shared" si="90"/>
        <v>2020</v>
      </c>
      <c r="C2904" s="18">
        <f t="shared" si="91"/>
        <v>3</v>
      </c>
      <c r="D2904" s="3" t="s">
        <v>1524</v>
      </c>
      <c r="E2904" s="3" t="s">
        <v>18</v>
      </c>
      <c r="F2904" s="3" t="s">
        <v>19</v>
      </c>
      <c r="G2904" s="3" t="s">
        <v>32</v>
      </c>
      <c r="H2904" s="3" t="s">
        <v>1032</v>
      </c>
      <c r="I2904" s="11">
        <v>112.84</v>
      </c>
      <c r="J2904" s="18">
        <v>5</v>
      </c>
      <c r="K2904" s="12">
        <v>9.6374999999999993</v>
      </c>
    </row>
    <row r="2905" spans="1:11" x14ac:dyDescent="0.25">
      <c r="A2905" s="4">
        <v>43900</v>
      </c>
      <c r="B2905" s="19">
        <f t="shared" si="90"/>
        <v>2020</v>
      </c>
      <c r="C2905" s="19">
        <f t="shared" si="91"/>
        <v>3</v>
      </c>
      <c r="D2905" s="5" t="s">
        <v>1624</v>
      </c>
      <c r="E2905" s="5" t="s">
        <v>18</v>
      </c>
      <c r="F2905" s="5" t="s">
        <v>14</v>
      </c>
      <c r="G2905" s="5" t="s">
        <v>24</v>
      </c>
      <c r="H2905" s="5" t="s">
        <v>2164</v>
      </c>
      <c r="I2905" s="13">
        <v>123.96</v>
      </c>
      <c r="J2905" s="19">
        <v>4</v>
      </c>
      <c r="K2905" s="14">
        <v>21.272400000000001</v>
      </c>
    </row>
    <row r="2906" spans="1:11" x14ac:dyDescent="0.25">
      <c r="A2906" s="2">
        <v>43900</v>
      </c>
      <c r="B2906" s="18">
        <f t="shared" si="90"/>
        <v>2020</v>
      </c>
      <c r="C2906" s="18">
        <f t="shared" si="91"/>
        <v>3</v>
      </c>
      <c r="D2906" s="3" t="s">
        <v>1515</v>
      </c>
      <c r="E2906" s="3" t="s">
        <v>23</v>
      </c>
      <c r="F2906" s="3" t="s">
        <v>11</v>
      </c>
      <c r="G2906" s="3" t="s">
        <v>30</v>
      </c>
      <c r="H2906" s="3" t="s">
        <v>1969</v>
      </c>
      <c r="I2906" s="11">
        <v>948.40800000000002</v>
      </c>
      <c r="J2906" s="18">
        <v>4</v>
      </c>
      <c r="K2906" s="12">
        <v>-173.34719999999999</v>
      </c>
    </row>
    <row r="2907" spans="1:11" x14ac:dyDescent="0.25">
      <c r="A2907" s="4">
        <v>43900</v>
      </c>
      <c r="B2907" s="19">
        <f t="shared" si="90"/>
        <v>2020</v>
      </c>
      <c r="C2907" s="19">
        <f t="shared" si="91"/>
        <v>3</v>
      </c>
      <c r="D2907" s="5" t="s">
        <v>1404</v>
      </c>
      <c r="E2907" s="5" t="s">
        <v>39</v>
      </c>
      <c r="F2907" s="5" t="s">
        <v>11</v>
      </c>
      <c r="G2907" s="5" t="s">
        <v>51</v>
      </c>
      <c r="H2907" s="5" t="s">
        <v>434</v>
      </c>
      <c r="I2907" s="13">
        <v>81.695999999999998</v>
      </c>
      <c r="J2907" s="19">
        <v>1</v>
      </c>
      <c r="K2907" s="14">
        <v>0.50219999999999998</v>
      </c>
    </row>
    <row r="2908" spans="1:11" x14ac:dyDescent="0.25">
      <c r="A2908" s="2">
        <v>43900</v>
      </c>
      <c r="B2908" s="18">
        <f t="shared" si="90"/>
        <v>2020</v>
      </c>
      <c r="C2908" s="18">
        <f t="shared" si="91"/>
        <v>3</v>
      </c>
      <c r="D2908" s="3" t="s">
        <v>2165</v>
      </c>
      <c r="E2908" s="3" t="s">
        <v>35</v>
      </c>
      <c r="F2908" s="3" t="s">
        <v>19</v>
      </c>
      <c r="G2908" s="3" t="s">
        <v>32</v>
      </c>
      <c r="H2908" s="3" t="s">
        <v>155</v>
      </c>
      <c r="I2908" s="11">
        <v>112.092</v>
      </c>
      <c r="J2908" s="18">
        <v>4</v>
      </c>
      <c r="K2908" s="12">
        <v>-10.0372</v>
      </c>
    </row>
    <row r="2909" spans="1:11" x14ac:dyDescent="0.25">
      <c r="A2909" s="4">
        <v>43900</v>
      </c>
      <c r="B2909" s="19">
        <f t="shared" si="90"/>
        <v>2020</v>
      </c>
      <c r="C2909" s="19">
        <f t="shared" si="91"/>
        <v>3</v>
      </c>
      <c r="D2909" s="5" t="s">
        <v>1404</v>
      </c>
      <c r="E2909" s="5" t="s">
        <v>39</v>
      </c>
      <c r="F2909" s="5" t="s">
        <v>19</v>
      </c>
      <c r="G2909" s="5" t="s">
        <v>40</v>
      </c>
      <c r="H2909" s="5" t="s">
        <v>46</v>
      </c>
      <c r="I2909" s="13">
        <v>128.24799999999999</v>
      </c>
      <c r="J2909" s="19">
        <v>2</v>
      </c>
      <c r="K2909" s="14">
        <v>0.59040000000000004</v>
      </c>
    </row>
    <row r="2910" spans="1:11" x14ac:dyDescent="0.25">
      <c r="A2910" s="2">
        <v>43900</v>
      </c>
      <c r="B2910" s="18">
        <f t="shared" si="90"/>
        <v>2020</v>
      </c>
      <c r="C2910" s="18">
        <f t="shared" si="91"/>
        <v>3</v>
      </c>
      <c r="D2910" s="3" t="s">
        <v>1404</v>
      </c>
      <c r="E2910" s="3" t="s">
        <v>39</v>
      </c>
      <c r="F2910" s="3" t="s">
        <v>14</v>
      </c>
      <c r="G2910" s="3" t="s">
        <v>15</v>
      </c>
      <c r="H2910" s="3" t="s">
        <v>1201</v>
      </c>
      <c r="I2910" s="11">
        <v>128.91</v>
      </c>
      <c r="J2910" s="18">
        <v>3</v>
      </c>
      <c r="K2910" s="12">
        <v>-8.3789999999999996</v>
      </c>
    </row>
    <row r="2911" spans="1:11" x14ac:dyDescent="0.25">
      <c r="A2911" s="4">
        <v>43900</v>
      </c>
      <c r="B2911" s="19">
        <f t="shared" si="90"/>
        <v>2020</v>
      </c>
      <c r="C2911" s="19">
        <f t="shared" si="91"/>
        <v>3</v>
      </c>
      <c r="D2911" s="5" t="s">
        <v>1677</v>
      </c>
      <c r="E2911" s="5" t="s">
        <v>39</v>
      </c>
      <c r="F2911" s="5" t="s">
        <v>14</v>
      </c>
      <c r="G2911" s="5" t="s">
        <v>15</v>
      </c>
      <c r="H2911" s="5" t="s">
        <v>1369</v>
      </c>
      <c r="I2911" s="13">
        <v>136.982</v>
      </c>
      <c r="J2911" s="19">
        <v>3</v>
      </c>
      <c r="K2911" s="14">
        <v>-10.7964</v>
      </c>
    </row>
    <row r="2912" spans="1:11" x14ac:dyDescent="0.25">
      <c r="A2912" s="2">
        <v>43900</v>
      </c>
      <c r="B2912" s="18">
        <f t="shared" si="90"/>
        <v>2020</v>
      </c>
      <c r="C2912" s="18">
        <f t="shared" si="91"/>
        <v>3</v>
      </c>
      <c r="D2912" s="3" t="s">
        <v>1404</v>
      </c>
      <c r="E2912" s="3" t="s">
        <v>39</v>
      </c>
      <c r="F2912" s="3" t="s">
        <v>11</v>
      </c>
      <c r="G2912" s="3" t="s">
        <v>51</v>
      </c>
      <c r="H2912" s="3" t="s">
        <v>1715</v>
      </c>
      <c r="I2912" s="11">
        <v>150.87200000000001</v>
      </c>
      <c r="J2912" s="18">
        <v>2</v>
      </c>
      <c r="K2912" s="12">
        <v>11.516400000000001</v>
      </c>
    </row>
    <row r="2913" spans="1:11" x14ac:dyDescent="0.25">
      <c r="A2913" s="4">
        <v>43900</v>
      </c>
      <c r="B2913" s="19">
        <f t="shared" si="90"/>
        <v>2020</v>
      </c>
      <c r="C2913" s="19">
        <f t="shared" si="91"/>
        <v>3</v>
      </c>
      <c r="D2913" s="5" t="s">
        <v>2165</v>
      </c>
      <c r="E2913" s="5" t="s">
        <v>35</v>
      </c>
      <c r="F2913" s="5" t="s">
        <v>19</v>
      </c>
      <c r="G2913" s="5" t="s">
        <v>121</v>
      </c>
      <c r="H2913" s="5" t="s">
        <v>820</v>
      </c>
      <c r="I2913" s="13">
        <v>141.78399999999999</v>
      </c>
      <c r="J2913" s="19">
        <v>1</v>
      </c>
      <c r="K2913" s="14">
        <v>3.6587999999999998</v>
      </c>
    </row>
    <row r="2914" spans="1:11" x14ac:dyDescent="0.25">
      <c r="A2914" s="2">
        <v>43901</v>
      </c>
      <c r="B2914" s="18">
        <f t="shared" si="90"/>
        <v>2020</v>
      </c>
      <c r="C2914" s="18">
        <f t="shared" si="91"/>
        <v>3</v>
      </c>
      <c r="D2914" s="3" t="s">
        <v>283</v>
      </c>
      <c r="E2914" s="3" t="s">
        <v>370</v>
      </c>
      <c r="F2914" s="3" t="s">
        <v>14</v>
      </c>
      <c r="G2914" s="3" t="s">
        <v>24</v>
      </c>
      <c r="H2914" s="3" t="s">
        <v>2016</v>
      </c>
      <c r="I2914" s="11">
        <v>108.88</v>
      </c>
      <c r="J2914" s="18">
        <v>4</v>
      </c>
      <c r="K2914" s="12">
        <v>24.9132</v>
      </c>
    </row>
    <row r="2915" spans="1:11" x14ac:dyDescent="0.25">
      <c r="A2915" s="4">
        <v>43901</v>
      </c>
      <c r="B2915" s="19">
        <f t="shared" si="90"/>
        <v>2020</v>
      </c>
      <c r="C2915" s="19">
        <f t="shared" si="91"/>
        <v>3</v>
      </c>
      <c r="D2915" s="5" t="s">
        <v>1056</v>
      </c>
      <c r="E2915" s="5" t="s">
        <v>39</v>
      </c>
      <c r="F2915" s="5" t="s">
        <v>11</v>
      </c>
      <c r="G2915" s="5" t="s">
        <v>30</v>
      </c>
      <c r="H2915" s="5" t="s">
        <v>609</v>
      </c>
      <c r="I2915" s="13">
        <v>167.76400000000001</v>
      </c>
      <c r="J2915" s="19">
        <v>3</v>
      </c>
      <c r="K2915" s="14">
        <v>-46.429200000000002</v>
      </c>
    </row>
    <row r="2916" spans="1:11" x14ac:dyDescent="0.25">
      <c r="A2916" s="2">
        <v>43901</v>
      </c>
      <c r="B2916" s="18">
        <f t="shared" si="90"/>
        <v>2020</v>
      </c>
      <c r="C2916" s="18">
        <f t="shared" si="91"/>
        <v>3</v>
      </c>
      <c r="D2916" s="3" t="s">
        <v>1056</v>
      </c>
      <c r="E2916" s="3" t="s">
        <v>39</v>
      </c>
      <c r="F2916" s="3" t="s">
        <v>14</v>
      </c>
      <c r="G2916" s="3" t="s">
        <v>15</v>
      </c>
      <c r="H2916" s="3" t="s">
        <v>559</v>
      </c>
      <c r="I2916" s="11">
        <v>799.85</v>
      </c>
      <c r="J2916" s="18">
        <v>5</v>
      </c>
      <c r="K2916" s="12">
        <v>-181.26499999999999</v>
      </c>
    </row>
    <row r="2917" spans="1:11" x14ac:dyDescent="0.25">
      <c r="A2917" s="4">
        <v>43901</v>
      </c>
      <c r="B2917" s="19">
        <f t="shared" si="90"/>
        <v>2020</v>
      </c>
      <c r="C2917" s="19">
        <f t="shared" si="91"/>
        <v>3</v>
      </c>
      <c r="D2917" s="5" t="s">
        <v>710</v>
      </c>
      <c r="E2917" s="5" t="s">
        <v>365</v>
      </c>
      <c r="F2917" s="5" t="s">
        <v>19</v>
      </c>
      <c r="G2917" s="5" t="s">
        <v>32</v>
      </c>
      <c r="H2917" s="5" t="s">
        <v>2166</v>
      </c>
      <c r="I2917" s="13">
        <v>924.92</v>
      </c>
      <c r="J2917" s="19">
        <v>4</v>
      </c>
      <c r="K2917" s="14">
        <v>421.08240000000001</v>
      </c>
    </row>
    <row r="2918" spans="1:11" x14ac:dyDescent="0.25">
      <c r="A2918" s="2">
        <v>43901</v>
      </c>
      <c r="B2918" s="18">
        <f t="shared" si="90"/>
        <v>2020</v>
      </c>
      <c r="C2918" s="18">
        <f t="shared" si="91"/>
        <v>3</v>
      </c>
      <c r="D2918" s="3" t="s">
        <v>1056</v>
      </c>
      <c r="E2918" s="3" t="s">
        <v>39</v>
      </c>
      <c r="F2918" s="3" t="s">
        <v>19</v>
      </c>
      <c r="G2918" s="3" t="s">
        <v>32</v>
      </c>
      <c r="H2918" s="3" t="s">
        <v>2167</v>
      </c>
      <c r="I2918" s="11">
        <v>107.294</v>
      </c>
      <c r="J2918" s="18">
        <v>1</v>
      </c>
      <c r="K2918" s="12">
        <v>-8.6058000000000003</v>
      </c>
    </row>
    <row r="2919" spans="1:11" x14ac:dyDescent="0.25">
      <c r="A2919" s="4">
        <v>43901</v>
      </c>
      <c r="B2919" s="19">
        <f t="shared" si="90"/>
        <v>2020</v>
      </c>
      <c r="C2919" s="19">
        <f t="shared" si="91"/>
        <v>3</v>
      </c>
      <c r="D2919" s="5" t="s">
        <v>283</v>
      </c>
      <c r="E2919" s="5" t="s">
        <v>370</v>
      </c>
      <c r="F2919" s="5" t="s">
        <v>11</v>
      </c>
      <c r="G2919" s="5" t="s">
        <v>51</v>
      </c>
      <c r="H2919" s="5" t="s">
        <v>968</v>
      </c>
      <c r="I2919" s="13">
        <v>132.72</v>
      </c>
      <c r="J2919" s="19">
        <v>1</v>
      </c>
      <c r="K2919" s="14">
        <v>11.7568</v>
      </c>
    </row>
    <row r="2920" spans="1:11" x14ac:dyDescent="0.25">
      <c r="A2920" s="2">
        <v>43901</v>
      </c>
      <c r="B2920" s="18">
        <f t="shared" si="90"/>
        <v>2020</v>
      </c>
      <c r="C2920" s="18">
        <f t="shared" si="91"/>
        <v>3</v>
      </c>
      <c r="D2920" s="3" t="s">
        <v>1056</v>
      </c>
      <c r="E2920" s="3" t="s">
        <v>39</v>
      </c>
      <c r="F2920" s="3" t="s">
        <v>19</v>
      </c>
      <c r="G2920" s="3" t="s">
        <v>20</v>
      </c>
      <c r="H2920" s="3" t="s">
        <v>2168</v>
      </c>
      <c r="I2920" s="11">
        <v>145.28</v>
      </c>
      <c r="J2920" s="18">
        <v>1</v>
      </c>
      <c r="K2920" s="12">
        <v>3.246</v>
      </c>
    </row>
    <row r="2921" spans="1:11" x14ac:dyDescent="0.25">
      <c r="A2921" s="4">
        <v>43902</v>
      </c>
      <c r="B2921" s="19">
        <f t="shared" si="90"/>
        <v>2020</v>
      </c>
      <c r="C2921" s="19">
        <f t="shared" si="91"/>
        <v>3</v>
      </c>
      <c r="D2921" s="5" t="s">
        <v>69</v>
      </c>
      <c r="E2921" s="5" t="s">
        <v>370</v>
      </c>
      <c r="F2921" s="5" t="s">
        <v>14</v>
      </c>
      <c r="G2921" s="5" t="s">
        <v>15</v>
      </c>
      <c r="H2921" s="5" t="s">
        <v>671</v>
      </c>
      <c r="I2921" s="13">
        <v>102.93</v>
      </c>
      <c r="J2921" s="19">
        <v>7</v>
      </c>
      <c r="K2921" s="14">
        <v>32.1678</v>
      </c>
    </row>
    <row r="2922" spans="1:11" x14ac:dyDescent="0.25">
      <c r="A2922" s="2">
        <v>43902</v>
      </c>
      <c r="B2922" s="18">
        <f t="shared" si="90"/>
        <v>2020</v>
      </c>
      <c r="C2922" s="18">
        <f t="shared" si="91"/>
        <v>3</v>
      </c>
      <c r="D2922" s="3" t="s">
        <v>2169</v>
      </c>
      <c r="E2922" s="3" t="s">
        <v>18</v>
      </c>
      <c r="F2922" s="3" t="s">
        <v>19</v>
      </c>
      <c r="G2922" s="3" t="s">
        <v>20</v>
      </c>
      <c r="H2922" s="3" t="s">
        <v>263</v>
      </c>
      <c r="I2922" s="11">
        <v>273.94</v>
      </c>
      <c r="J2922" s="18">
        <v>3</v>
      </c>
      <c r="K2922" s="12">
        <v>9.7175999999999991</v>
      </c>
    </row>
    <row r="2923" spans="1:11" x14ac:dyDescent="0.25">
      <c r="A2923" s="4">
        <v>43902</v>
      </c>
      <c r="B2923" s="19">
        <f t="shared" si="90"/>
        <v>2020</v>
      </c>
      <c r="C2923" s="19">
        <f t="shared" si="91"/>
        <v>3</v>
      </c>
      <c r="D2923" s="5" t="s">
        <v>2077</v>
      </c>
      <c r="E2923" s="5" t="s">
        <v>589</v>
      </c>
      <c r="F2923" s="5" t="s">
        <v>19</v>
      </c>
      <c r="G2923" s="5" t="s">
        <v>32</v>
      </c>
      <c r="H2923" s="5" t="s">
        <v>539</v>
      </c>
      <c r="I2923" s="13">
        <v>122.41</v>
      </c>
      <c r="J2923" s="19">
        <v>9</v>
      </c>
      <c r="K2923" s="14">
        <v>18.5886</v>
      </c>
    </row>
    <row r="2924" spans="1:11" x14ac:dyDescent="0.25">
      <c r="A2924" s="2">
        <v>43903</v>
      </c>
      <c r="B2924" s="18">
        <f t="shared" si="90"/>
        <v>2020</v>
      </c>
      <c r="C2924" s="18">
        <f t="shared" si="91"/>
        <v>3</v>
      </c>
      <c r="D2924" s="3" t="s">
        <v>1015</v>
      </c>
      <c r="E2924" s="3" t="s">
        <v>1868</v>
      </c>
      <c r="F2924" s="3" t="s">
        <v>19</v>
      </c>
      <c r="G2924" s="3" t="s">
        <v>20</v>
      </c>
      <c r="H2924" s="3" t="s">
        <v>1990</v>
      </c>
      <c r="I2924" s="11">
        <v>105.8</v>
      </c>
      <c r="J2924" s="18">
        <v>8</v>
      </c>
      <c r="K2924" s="12">
        <v>25.423999999999999</v>
      </c>
    </row>
    <row r="2925" spans="1:11" x14ac:dyDescent="0.25">
      <c r="A2925" s="4">
        <v>43903</v>
      </c>
      <c r="B2925" s="19">
        <f t="shared" si="90"/>
        <v>2020</v>
      </c>
      <c r="C2925" s="19">
        <f t="shared" si="91"/>
        <v>3</v>
      </c>
      <c r="D2925" s="5" t="s">
        <v>1157</v>
      </c>
      <c r="E2925" s="5" t="s">
        <v>164</v>
      </c>
      <c r="F2925" s="5" t="s">
        <v>11</v>
      </c>
      <c r="G2925" s="5" t="s">
        <v>112</v>
      </c>
      <c r="H2925" s="5" t="s">
        <v>1718</v>
      </c>
      <c r="I2925" s="13">
        <v>139.768</v>
      </c>
      <c r="J2925" s="19">
        <v>1</v>
      </c>
      <c r="K2925" s="14">
        <v>-2.5648</v>
      </c>
    </row>
    <row r="2926" spans="1:11" x14ac:dyDescent="0.25">
      <c r="A2926" s="2">
        <v>43903</v>
      </c>
      <c r="B2926" s="18">
        <f t="shared" si="90"/>
        <v>2020</v>
      </c>
      <c r="C2926" s="18">
        <f t="shared" si="91"/>
        <v>3</v>
      </c>
      <c r="D2926" s="3" t="s">
        <v>1015</v>
      </c>
      <c r="E2926" s="3" t="s">
        <v>1868</v>
      </c>
      <c r="F2926" s="3" t="s">
        <v>14</v>
      </c>
      <c r="G2926" s="3" t="s">
        <v>15</v>
      </c>
      <c r="H2926" s="3" t="s">
        <v>2170</v>
      </c>
      <c r="I2926" s="11">
        <v>190.73599999999999</v>
      </c>
      <c r="J2926" s="18">
        <v>8</v>
      </c>
      <c r="K2926" s="12">
        <v>49.257599999999996</v>
      </c>
    </row>
    <row r="2927" spans="1:11" x14ac:dyDescent="0.25">
      <c r="A2927" s="4">
        <v>43903</v>
      </c>
      <c r="B2927" s="19">
        <f t="shared" si="90"/>
        <v>2020</v>
      </c>
      <c r="C2927" s="19">
        <f t="shared" si="91"/>
        <v>3</v>
      </c>
      <c r="D2927" s="5" t="s">
        <v>73</v>
      </c>
      <c r="E2927" s="5" t="s">
        <v>10</v>
      </c>
      <c r="F2927" s="5" t="s">
        <v>19</v>
      </c>
      <c r="G2927" s="5" t="s">
        <v>32</v>
      </c>
      <c r="H2927" s="5" t="s">
        <v>42</v>
      </c>
      <c r="I2927" s="13">
        <v>211.3</v>
      </c>
      <c r="J2927" s="19">
        <v>3</v>
      </c>
      <c r="K2927" s="14">
        <v>81.921000000000006</v>
      </c>
    </row>
    <row r="2928" spans="1:11" x14ac:dyDescent="0.25">
      <c r="A2928" s="2">
        <v>43903</v>
      </c>
      <c r="B2928" s="18">
        <f t="shared" si="90"/>
        <v>2020</v>
      </c>
      <c r="C2928" s="18">
        <f t="shared" si="91"/>
        <v>3</v>
      </c>
      <c r="D2928" s="3" t="s">
        <v>1157</v>
      </c>
      <c r="E2928" s="3" t="s">
        <v>164</v>
      </c>
      <c r="F2928" s="3" t="s">
        <v>14</v>
      </c>
      <c r="G2928" s="3" t="s">
        <v>188</v>
      </c>
      <c r="H2928" s="3" t="s">
        <v>2119</v>
      </c>
      <c r="I2928" s="11">
        <v>228.98599999999999</v>
      </c>
      <c r="J2928" s="18">
        <v>2</v>
      </c>
      <c r="K2928" s="12">
        <v>8.9993999999999996</v>
      </c>
    </row>
    <row r="2929" spans="1:11" x14ac:dyDescent="0.25">
      <c r="A2929" s="4">
        <v>43903</v>
      </c>
      <c r="B2929" s="19">
        <f t="shared" si="90"/>
        <v>2020</v>
      </c>
      <c r="C2929" s="19">
        <f t="shared" si="91"/>
        <v>3</v>
      </c>
      <c r="D2929" s="5" t="s">
        <v>1015</v>
      </c>
      <c r="E2929" s="5" t="s">
        <v>1868</v>
      </c>
      <c r="F2929" s="5" t="s">
        <v>14</v>
      </c>
      <c r="G2929" s="5" t="s">
        <v>24</v>
      </c>
      <c r="H2929" s="5" t="s">
        <v>1797</v>
      </c>
      <c r="I2929" s="13">
        <v>232.95</v>
      </c>
      <c r="J2929" s="19">
        <v>5</v>
      </c>
      <c r="K2929" s="14">
        <v>88.129499999999993</v>
      </c>
    </row>
    <row r="2930" spans="1:11" x14ac:dyDescent="0.25">
      <c r="A2930" s="2">
        <v>43903</v>
      </c>
      <c r="B2930" s="18">
        <f t="shared" si="90"/>
        <v>2020</v>
      </c>
      <c r="C2930" s="18">
        <f t="shared" si="91"/>
        <v>3</v>
      </c>
      <c r="D2930" s="3" t="s">
        <v>1015</v>
      </c>
      <c r="E2930" s="3" t="s">
        <v>1868</v>
      </c>
      <c r="F2930" s="3" t="s">
        <v>19</v>
      </c>
      <c r="G2930" s="3" t="s">
        <v>53</v>
      </c>
      <c r="H2930" s="3" t="s">
        <v>1511</v>
      </c>
      <c r="I2930" s="11">
        <v>303.24</v>
      </c>
      <c r="J2930" s="18">
        <v>6</v>
      </c>
      <c r="K2930" s="12">
        <v>138.3552</v>
      </c>
    </row>
    <row r="2931" spans="1:11" x14ac:dyDescent="0.25">
      <c r="A2931" s="4">
        <v>43903</v>
      </c>
      <c r="B2931" s="19">
        <f t="shared" si="90"/>
        <v>2020</v>
      </c>
      <c r="C2931" s="19">
        <f t="shared" si="91"/>
        <v>3</v>
      </c>
      <c r="D2931" s="5" t="s">
        <v>1291</v>
      </c>
      <c r="E2931" s="5" t="s">
        <v>94</v>
      </c>
      <c r="F2931" s="5" t="s">
        <v>14</v>
      </c>
      <c r="G2931" s="5" t="s">
        <v>15</v>
      </c>
      <c r="H2931" s="5" t="s">
        <v>2171</v>
      </c>
      <c r="I2931" s="13">
        <v>339.9</v>
      </c>
      <c r="J2931" s="19">
        <v>2</v>
      </c>
      <c r="K2931" s="14">
        <v>74.974999999999994</v>
      </c>
    </row>
    <row r="2932" spans="1:11" x14ac:dyDescent="0.25">
      <c r="A2932" s="2">
        <v>43903</v>
      </c>
      <c r="B2932" s="18">
        <f t="shared" si="90"/>
        <v>2020</v>
      </c>
      <c r="C2932" s="18">
        <f t="shared" si="91"/>
        <v>3</v>
      </c>
      <c r="D2932" s="3" t="s">
        <v>379</v>
      </c>
      <c r="E2932" s="3" t="s">
        <v>18</v>
      </c>
      <c r="F2932" s="3" t="s">
        <v>19</v>
      </c>
      <c r="G2932" s="3" t="s">
        <v>53</v>
      </c>
      <c r="H2932" s="3" t="s">
        <v>1786</v>
      </c>
      <c r="I2932" s="11">
        <v>364.55</v>
      </c>
      <c r="J2932" s="18">
        <v>3</v>
      </c>
      <c r="K2932" s="12">
        <v>150.98400000000001</v>
      </c>
    </row>
    <row r="2933" spans="1:11" x14ac:dyDescent="0.25">
      <c r="A2933" s="4">
        <v>43903</v>
      </c>
      <c r="B2933" s="19">
        <f t="shared" si="90"/>
        <v>2020</v>
      </c>
      <c r="C2933" s="19">
        <f t="shared" si="91"/>
        <v>3</v>
      </c>
      <c r="D2933" s="5" t="s">
        <v>1652</v>
      </c>
      <c r="E2933" s="5" t="s">
        <v>91</v>
      </c>
      <c r="F2933" s="5" t="s">
        <v>19</v>
      </c>
      <c r="G2933" s="5" t="s">
        <v>121</v>
      </c>
      <c r="H2933" s="5" t="s">
        <v>1655</v>
      </c>
      <c r="I2933" s="13">
        <v>507.16</v>
      </c>
      <c r="J2933" s="19">
        <v>2</v>
      </c>
      <c r="K2933" s="14">
        <v>120.94159999999999</v>
      </c>
    </row>
    <row r="2934" spans="1:11" x14ac:dyDescent="0.25">
      <c r="A2934" s="2">
        <v>43903</v>
      </c>
      <c r="B2934" s="18">
        <f t="shared" si="90"/>
        <v>2020</v>
      </c>
      <c r="C2934" s="18">
        <f t="shared" si="91"/>
        <v>3</v>
      </c>
      <c r="D2934" s="3" t="s">
        <v>1157</v>
      </c>
      <c r="E2934" s="3" t="s">
        <v>164</v>
      </c>
      <c r="F2934" s="3" t="s">
        <v>14</v>
      </c>
      <c r="G2934" s="3" t="s">
        <v>36</v>
      </c>
      <c r="H2934" s="3" t="s">
        <v>1287</v>
      </c>
      <c r="I2934" s="11">
        <v>1004.984</v>
      </c>
      <c r="J2934" s="18">
        <v>2</v>
      </c>
      <c r="K2934" s="12">
        <v>335.99439999999998</v>
      </c>
    </row>
    <row r="2935" spans="1:11" x14ac:dyDescent="0.25">
      <c r="A2935" s="4">
        <v>43903</v>
      </c>
      <c r="B2935" s="19">
        <f t="shared" si="90"/>
        <v>2020</v>
      </c>
      <c r="C2935" s="19">
        <f t="shared" si="91"/>
        <v>3</v>
      </c>
      <c r="D2935" s="5" t="s">
        <v>187</v>
      </c>
      <c r="E2935" s="5" t="s">
        <v>306</v>
      </c>
      <c r="F2935" s="5" t="s">
        <v>19</v>
      </c>
      <c r="G2935" s="5" t="s">
        <v>265</v>
      </c>
      <c r="H2935" s="5" t="s">
        <v>2086</v>
      </c>
      <c r="I2935" s="13">
        <v>1346.4960000000001</v>
      </c>
      <c r="J2935" s="19">
        <v>2</v>
      </c>
      <c r="K2935" s="14">
        <v>-299.8116</v>
      </c>
    </row>
    <row r="2936" spans="1:11" x14ac:dyDescent="0.25">
      <c r="A2936" s="2">
        <v>43903</v>
      </c>
      <c r="B2936" s="18">
        <f t="shared" si="90"/>
        <v>2020</v>
      </c>
      <c r="C2936" s="18">
        <f t="shared" si="91"/>
        <v>3</v>
      </c>
      <c r="D2936" s="3" t="s">
        <v>1604</v>
      </c>
      <c r="E2936" s="3" t="s">
        <v>164</v>
      </c>
      <c r="F2936" s="3" t="s">
        <v>14</v>
      </c>
      <c r="G2936" s="3" t="s">
        <v>15</v>
      </c>
      <c r="H2936" s="3" t="s">
        <v>671</v>
      </c>
      <c r="I2936" s="11">
        <v>116.992</v>
      </c>
      <c r="J2936" s="18">
        <v>1</v>
      </c>
      <c r="K2936" s="12">
        <v>2.5973999999999999</v>
      </c>
    </row>
    <row r="2937" spans="1:11" x14ac:dyDescent="0.25">
      <c r="A2937" s="4">
        <v>43903</v>
      </c>
      <c r="B2937" s="19">
        <f t="shared" si="90"/>
        <v>2020</v>
      </c>
      <c r="C2937" s="19">
        <f t="shared" si="91"/>
        <v>3</v>
      </c>
      <c r="D2937" s="5" t="s">
        <v>1157</v>
      </c>
      <c r="E2937" s="5" t="s">
        <v>164</v>
      </c>
      <c r="F2937" s="5" t="s">
        <v>19</v>
      </c>
      <c r="G2937" s="5" t="s">
        <v>53</v>
      </c>
      <c r="H2937" s="5" t="s">
        <v>358</v>
      </c>
      <c r="I2937" s="13">
        <v>122.55200000000001</v>
      </c>
      <c r="J2937" s="19">
        <v>3</v>
      </c>
      <c r="K2937" s="14">
        <v>5.6375999999999999</v>
      </c>
    </row>
    <row r="2938" spans="1:11" x14ac:dyDescent="0.25">
      <c r="A2938" s="2">
        <v>43903</v>
      </c>
      <c r="B2938" s="18">
        <f t="shared" si="90"/>
        <v>2020</v>
      </c>
      <c r="C2938" s="18">
        <f t="shared" si="91"/>
        <v>3</v>
      </c>
      <c r="D2938" s="3" t="s">
        <v>1157</v>
      </c>
      <c r="E2938" s="3" t="s">
        <v>164</v>
      </c>
      <c r="F2938" s="3" t="s">
        <v>19</v>
      </c>
      <c r="G2938" s="3" t="s">
        <v>40</v>
      </c>
      <c r="H2938" s="3" t="s">
        <v>2172</v>
      </c>
      <c r="I2938" s="11">
        <v>134.45599999999999</v>
      </c>
      <c r="J2938" s="18">
        <v>4</v>
      </c>
      <c r="K2938" s="12">
        <v>2.1888000000000001</v>
      </c>
    </row>
    <row r="2939" spans="1:11" x14ac:dyDescent="0.25">
      <c r="A2939" s="4">
        <v>43903</v>
      </c>
      <c r="B2939" s="19">
        <f t="shared" si="90"/>
        <v>2020</v>
      </c>
      <c r="C2939" s="19">
        <f t="shared" si="91"/>
        <v>3</v>
      </c>
      <c r="D2939" s="5" t="s">
        <v>1157</v>
      </c>
      <c r="E2939" s="5" t="s">
        <v>164</v>
      </c>
      <c r="F2939" s="5" t="s">
        <v>14</v>
      </c>
      <c r="G2939" s="5" t="s">
        <v>15</v>
      </c>
      <c r="H2939" s="5" t="s">
        <v>2173</v>
      </c>
      <c r="I2939" s="13">
        <v>130.36000000000001</v>
      </c>
      <c r="J2939" s="19">
        <v>1</v>
      </c>
      <c r="K2939" s="14">
        <v>-7.3014999999999999</v>
      </c>
    </row>
    <row r="2940" spans="1:11" x14ac:dyDescent="0.25">
      <c r="A2940" s="2">
        <v>43903</v>
      </c>
      <c r="B2940" s="18">
        <f t="shared" si="90"/>
        <v>2020</v>
      </c>
      <c r="C2940" s="18">
        <f t="shared" si="91"/>
        <v>3</v>
      </c>
      <c r="D2940" s="3" t="s">
        <v>1157</v>
      </c>
      <c r="E2940" s="3" t="s">
        <v>164</v>
      </c>
      <c r="F2940" s="3" t="s">
        <v>19</v>
      </c>
      <c r="G2940" s="3" t="s">
        <v>40</v>
      </c>
      <c r="H2940" s="3" t="s">
        <v>1224</v>
      </c>
      <c r="I2940" s="11">
        <v>144.76</v>
      </c>
      <c r="J2940" s="18">
        <v>5</v>
      </c>
      <c r="K2940" s="12">
        <v>1.86</v>
      </c>
    </row>
    <row r="2941" spans="1:11" x14ac:dyDescent="0.25">
      <c r="A2941" s="4">
        <v>43903</v>
      </c>
      <c r="B2941" s="19">
        <f t="shared" si="90"/>
        <v>2020</v>
      </c>
      <c r="C2941" s="19">
        <f t="shared" si="91"/>
        <v>3</v>
      </c>
      <c r="D2941" s="5" t="s">
        <v>1015</v>
      </c>
      <c r="E2941" s="5" t="s">
        <v>1868</v>
      </c>
      <c r="F2941" s="5" t="s">
        <v>19</v>
      </c>
      <c r="G2941" s="5" t="s">
        <v>53</v>
      </c>
      <c r="H2941" s="5" t="s">
        <v>1000</v>
      </c>
      <c r="I2941" s="13">
        <v>124.36</v>
      </c>
      <c r="J2941" s="19">
        <v>7</v>
      </c>
      <c r="K2941" s="14">
        <v>21.7728</v>
      </c>
    </row>
    <row r="2942" spans="1:11" x14ac:dyDescent="0.25">
      <c r="A2942" s="2">
        <v>43903</v>
      </c>
      <c r="B2942" s="18">
        <f t="shared" si="90"/>
        <v>2020</v>
      </c>
      <c r="C2942" s="18">
        <f t="shared" si="91"/>
        <v>3</v>
      </c>
      <c r="D2942" s="3" t="s">
        <v>1652</v>
      </c>
      <c r="E2942" s="3" t="s">
        <v>91</v>
      </c>
      <c r="F2942" s="3" t="s">
        <v>19</v>
      </c>
      <c r="G2942" s="3" t="s">
        <v>32</v>
      </c>
      <c r="H2942" s="3" t="s">
        <v>422</v>
      </c>
      <c r="I2942" s="11">
        <v>139.88</v>
      </c>
      <c r="J2942" s="18">
        <v>2</v>
      </c>
      <c r="K2942" s="12">
        <v>15.44</v>
      </c>
    </row>
    <row r="2943" spans="1:11" x14ac:dyDescent="0.25">
      <c r="A2943" s="4">
        <v>43903</v>
      </c>
      <c r="B2943" s="19">
        <f t="shared" si="90"/>
        <v>2020</v>
      </c>
      <c r="C2943" s="19">
        <f t="shared" si="91"/>
        <v>3</v>
      </c>
      <c r="D2943" s="5" t="s">
        <v>1652</v>
      </c>
      <c r="E2943" s="5" t="s">
        <v>91</v>
      </c>
      <c r="F2943" s="5" t="s">
        <v>19</v>
      </c>
      <c r="G2943" s="5" t="s">
        <v>53</v>
      </c>
      <c r="H2943" s="5" t="s">
        <v>2037</v>
      </c>
      <c r="I2943" s="13">
        <v>160.12</v>
      </c>
      <c r="J2943" s="19">
        <v>4</v>
      </c>
      <c r="K2943" s="14">
        <v>12.475199999999999</v>
      </c>
    </row>
    <row r="2944" spans="1:11" x14ac:dyDescent="0.25">
      <c r="A2944" s="2">
        <v>43904</v>
      </c>
      <c r="B2944" s="18">
        <f t="shared" si="90"/>
        <v>2020</v>
      </c>
      <c r="C2944" s="18">
        <f t="shared" si="91"/>
        <v>3</v>
      </c>
      <c r="D2944" s="3" t="s">
        <v>2174</v>
      </c>
      <c r="E2944" s="3" t="s">
        <v>164</v>
      </c>
      <c r="F2944" s="3" t="s">
        <v>14</v>
      </c>
      <c r="G2944" s="3" t="s">
        <v>15</v>
      </c>
      <c r="H2944" s="3" t="s">
        <v>2175</v>
      </c>
      <c r="I2944" s="11">
        <v>121.616</v>
      </c>
      <c r="J2944" s="18">
        <v>2</v>
      </c>
      <c r="K2944" s="12">
        <v>4.9615999999999998</v>
      </c>
    </row>
    <row r="2945" spans="1:11" x14ac:dyDescent="0.25">
      <c r="A2945" s="4">
        <v>43906</v>
      </c>
      <c r="B2945" s="19">
        <f t="shared" si="90"/>
        <v>2020</v>
      </c>
      <c r="C2945" s="19">
        <f t="shared" si="91"/>
        <v>3</v>
      </c>
      <c r="D2945" s="5" t="s">
        <v>737</v>
      </c>
      <c r="E2945" s="5" t="s">
        <v>18</v>
      </c>
      <c r="F2945" s="5" t="s">
        <v>19</v>
      </c>
      <c r="G2945" s="5" t="s">
        <v>121</v>
      </c>
      <c r="H2945" s="5" t="s">
        <v>2176</v>
      </c>
      <c r="I2945" s="13">
        <v>186.67</v>
      </c>
      <c r="J2945" s="19">
        <v>3</v>
      </c>
      <c r="K2945" s="14">
        <v>54.8613</v>
      </c>
    </row>
    <row r="2946" spans="1:11" x14ac:dyDescent="0.25">
      <c r="A2946" s="2">
        <v>43906</v>
      </c>
      <c r="B2946" s="18">
        <f t="shared" ref="B2946:B3009" si="92">YEAR(A2946)</f>
        <v>2020</v>
      </c>
      <c r="C2946" s="18">
        <f t="shared" ref="C2946:C3009" si="93">MONTH(A2946)</f>
        <v>3</v>
      </c>
      <c r="D2946" s="3" t="s">
        <v>619</v>
      </c>
      <c r="E2946" s="3" t="s">
        <v>67</v>
      </c>
      <c r="F2946" s="3" t="s">
        <v>14</v>
      </c>
      <c r="G2946" s="3" t="s">
        <v>24</v>
      </c>
      <c r="H2946" s="3" t="s">
        <v>1415</v>
      </c>
      <c r="I2946" s="11">
        <v>197.98400000000001</v>
      </c>
      <c r="J2946" s="18">
        <v>2</v>
      </c>
      <c r="K2946" s="12">
        <v>43.995600000000003</v>
      </c>
    </row>
    <row r="2947" spans="1:11" x14ac:dyDescent="0.25">
      <c r="A2947" s="4">
        <v>43906</v>
      </c>
      <c r="B2947" s="19">
        <f t="shared" si="92"/>
        <v>2020</v>
      </c>
      <c r="C2947" s="19">
        <f t="shared" si="93"/>
        <v>3</v>
      </c>
      <c r="D2947" s="5" t="s">
        <v>737</v>
      </c>
      <c r="E2947" s="5" t="s">
        <v>18</v>
      </c>
      <c r="F2947" s="5" t="s">
        <v>19</v>
      </c>
      <c r="G2947" s="5" t="s">
        <v>20</v>
      </c>
      <c r="H2947" s="5" t="s">
        <v>1774</v>
      </c>
      <c r="I2947" s="13">
        <v>340.12</v>
      </c>
      <c r="J2947" s="19">
        <v>2</v>
      </c>
      <c r="K2947" s="14">
        <v>80.631200000000007</v>
      </c>
    </row>
    <row r="2948" spans="1:11" x14ac:dyDescent="0.25">
      <c r="A2948" s="2">
        <v>43906</v>
      </c>
      <c r="B2948" s="18">
        <f t="shared" si="92"/>
        <v>2020</v>
      </c>
      <c r="C2948" s="18">
        <f t="shared" si="93"/>
        <v>3</v>
      </c>
      <c r="D2948" s="3" t="s">
        <v>1909</v>
      </c>
      <c r="E2948" s="3" t="s">
        <v>67</v>
      </c>
      <c r="F2948" s="3" t="s">
        <v>14</v>
      </c>
      <c r="G2948" s="3" t="s">
        <v>15</v>
      </c>
      <c r="H2948" s="3" t="s">
        <v>1499</v>
      </c>
      <c r="I2948" s="11">
        <v>475.44</v>
      </c>
      <c r="J2948" s="18">
        <v>8</v>
      </c>
      <c r="K2948" s="12">
        <v>-81.664000000000001</v>
      </c>
    </row>
    <row r="2949" spans="1:11" x14ac:dyDescent="0.25">
      <c r="A2949" s="4">
        <v>43906</v>
      </c>
      <c r="B2949" s="19">
        <f t="shared" si="92"/>
        <v>2020</v>
      </c>
      <c r="C2949" s="19">
        <f t="shared" si="93"/>
        <v>3</v>
      </c>
      <c r="D2949" s="5" t="s">
        <v>558</v>
      </c>
      <c r="E2949" s="5" t="s">
        <v>70</v>
      </c>
      <c r="F2949" s="5" t="s">
        <v>14</v>
      </c>
      <c r="G2949" s="5" t="s">
        <v>15</v>
      </c>
      <c r="H2949" s="5" t="s">
        <v>896</v>
      </c>
      <c r="I2949" s="13">
        <v>673.976</v>
      </c>
      <c r="J2949" s="19">
        <v>3</v>
      </c>
      <c r="K2949" s="14">
        <v>49.498199999999997</v>
      </c>
    </row>
    <row r="2950" spans="1:11" x14ac:dyDescent="0.25">
      <c r="A2950" s="2">
        <v>43906</v>
      </c>
      <c r="B2950" s="18">
        <f t="shared" si="92"/>
        <v>2020</v>
      </c>
      <c r="C2950" s="18">
        <f t="shared" si="93"/>
        <v>3</v>
      </c>
      <c r="D2950" s="3" t="s">
        <v>737</v>
      </c>
      <c r="E2950" s="3" t="s">
        <v>18</v>
      </c>
      <c r="F2950" s="3" t="s">
        <v>19</v>
      </c>
      <c r="G2950" s="3" t="s">
        <v>32</v>
      </c>
      <c r="H2950" s="3" t="s">
        <v>361</v>
      </c>
      <c r="I2950" s="11">
        <v>85.68</v>
      </c>
      <c r="J2950" s="18">
        <v>5</v>
      </c>
      <c r="K2950" s="12">
        <v>6.8879999999999999</v>
      </c>
    </row>
    <row r="2951" spans="1:11" x14ac:dyDescent="0.25">
      <c r="A2951" s="4">
        <v>43906</v>
      </c>
      <c r="B2951" s="19">
        <f t="shared" si="92"/>
        <v>2020</v>
      </c>
      <c r="C2951" s="19">
        <f t="shared" si="93"/>
        <v>3</v>
      </c>
      <c r="D2951" s="5" t="s">
        <v>558</v>
      </c>
      <c r="E2951" s="5" t="s">
        <v>70</v>
      </c>
      <c r="F2951" s="5" t="s">
        <v>19</v>
      </c>
      <c r="G2951" s="5" t="s">
        <v>53</v>
      </c>
      <c r="H2951" s="5" t="s">
        <v>2026</v>
      </c>
      <c r="I2951" s="13">
        <v>116.48</v>
      </c>
      <c r="J2951" s="19">
        <v>1</v>
      </c>
      <c r="K2951" s="14">
        <v>3.1103999999999998</v>
      </c>
    </row>
    <row r="2952" spans="1:11" x14ac:dyDescent="0.25">
      <c r="A2952" s="2">
        <v>43906</v>
      </c>
      <c r="B2952" s="18">
        <f t="shared" si="92"/>
        <v>2020</v>
      </c>
      <c r="C2952" s="18">
        <f t="shared" si="93"/>
        <v>3</v>
      </c>
      <c r="D2952" s="3" t="s">
        <v>619</v>
      </c>
      <c r="E2952" s="3" t="s">
        <v>67</v>
      </c>
      <c r="F2952" s="3" t="s">
        <v>19</v>
      </c>
      <c r="G2952" s="3" t="s">
        <v>32</v>
      </c>
      <c r="H2952" s="3" t="s">
        <v>1590</v>
      </c>
      <c r="I2952" s="11">
        <v>125.193</v>
      </c>
      <c r="J2952" s="18">
        <v>3</v>
      </c>
      <c r="K2952" s="12">
        <v>-3.4620000000000002</v>
      </c>
    </row>
    <row r="2953" spans="1:11" x14ac:dyDescent="0.25">
      <c r="A2953" s="4">
        <v>43906</v>
      </c>
      <c r="B2953" s="19">
        <f t="shared" si="92"/>
        <v>2020</v>
      </c>
      <c r="C2953" s="19">
        <f t="shared" si="93"/>
        <v>3</v>
      </c>
      <c r="D2953" s="5" t="s">
        <v>558</v>
      </c>
      <c r="E2953" s="5" t="s">
        <v>70</v>
      </c>
      <c r="F2953" s="5" t="s">
        <v>19</v>
      </c>
      <c r="G2953" s="5" t="s">
        <v>20</v>
      </c>
      <c r="H2953" s="5" t="s">
        <v>202</v>
      </c>
      <c r="I2953" s="13">
        <v>141.51</v>
      </c>
      <c r="J2953" s="19">
        <v>1</v>
      </c>
      <c r="K2953" s="14">
        <v>1.8604000000000001</v>
      </c>
    </row>
    <row r="2954" spans="1:11" x14ac:dyDescent="0.25">
      <c r="A2954" s="2">
        <v>43906</v>
      </c>
      <c r="B2954" s="18">
        <f t="shared" si="92"/>
        <v>2020</v>
      </c>
      <c r="C2954" s="18">
        <f t="shared" si="93"/>
        <v>3</v>
      </c>
      <c r="D2954" s="3" t="s">
        <v>619</v>
      </c>
      <c r="E2954" s="3" t="s">
        <v>67</v>
      </c>
      <c r="F2954" s="3" t="s">
        <v>14</v>
      </c>
      <c r="G2954" s="3" t="s">
        <v>15</v>
      </c>
      <c r="H2954" s="3" t="s">
        <v>2177</v>
      </c>
      <c r="I2954" s="11">
        <v>128.376</v>
      </c>
      <c r="J2954" s="18">
        <v>2</v>
      </c>
      <c r="K2954" s="12">
        <v>-7.3959999999999999</v>
      </c>
    </row>
    <row r="2955" spans="1:11" x14ac:dyDescent="0.25">
      <c r="A2955" s="4">
        <v>43906</v>
      </c>
      <c r="B2955" s="19">
        <f t="shared" si="92"/>
        <v>2020</v>
      </c>
      <c r="C2955" s="19">
        <f t="shared" si="93"/>
        <v>3</v>
      </c>
      <c r="D2955" s="5" t="s">
        <v>619</v>
      </c>
      <c r="E2955" s="5" t="s">
        <v>67</v>
      </c>
      <c r="F2955" s="5" t="s">
        <v>19</v>
      </c>
      <c r="G2955" s="5" t="s">
        <v>20</v>
      </c>
      <c r="H2955" s="5" t="s">
        <v>157</v>
      </c>
      <c r="I2955" s="13">
        <v>169.22399999999999</v>
      </c>
      <c r="J2955" s="19">
        <v>2</v>
      </c>
      <c r="K2955" s="14">
        <v>3.3889999999999998</v>
      </c>
    </row>
    <row r="2956" spans="1:11" x14ac:dyDescent="0.25">
      <c r="A2956" s="2">
        <v>43906</v>
      </c>
      <c r="B2956" s="18">
        <f t="shared" si="92"/>
        <v>2020</v>
      </c>
      <c r="C2956" s="18">
        <f t="shared" si="93"/>
        <v>3</v>
      </c>
      <c r="D2956" s="3" t="s">
        <v>737</v>
      </c>
      <c r="E2956" s="3" t="s">
        <v>18</v>
      </c>
      <c r="F2956" s="3" t="s">
        <v>19</v>
      </c>
      <c r="G2956" s="3" t="s">
        <v>32</v>
      </c>
      <c r="H2956" s="3" t="s">
        <v>60</v>
      </c>
      <c r="I2956" s="11">
        <v>136.464</v>
      </c>
      <c r="J2956" s="18">
        <v>6</v>
      </c>
      <c r="K2956" s="12">
        <v>22.9008</v>
      </c>
    </row>
    <row r="2957" spans="1:11" x14ac:dyDescent="0.25">
      <c r="A2957" s="4">
        <v>43906</v>
      </c>
      <c r="B2957" s="19">
        <f t="shared" si="92"/>
        <v>2020</v>
      </c>
      <c r="C2957" s="19">
        <f t="shared" si="93"/>
        <v>3</v>
      </c>
      <c r="D2957" s="5" t="s">
        <v>619</v>
      </c>
      <c r="E2957" s="5" t="s">
        <v>67</v>
      </c>
      <c r="F2957" s="5" t="s">
        <v>11</v>
      </c>
      <c r="G2957" s="5" t="s">
        <v>51</v>
      </c>
      <c r="H2957" s="5" t="s">
        <v>1602</v>
      </c>
      <c r="I2957" s="13">
        <v>168.26400000000001</v>
      </c>
      <c r="J2957" s="19">
        <v>6</v>
      </c>
      <c r="K2957" s="14">
        <v>7.6896000000000004</v>
      </c>
    </row>
    <row r="2958" spans="1:11" x14ac:dyDescent="0.25">
      <c r="A2958" s="2">
        <v>43907</v>
      </c>
      <c r="B2958" s="18">
        <f t="shared" si="92"/>
        <v>2020</v>
      </c>
      <c r="C2958" s="18">
        <f t="shared" si="93"/>
        <v>3</v>
      </c>
      <c r="D2958" s="3" t="s">
        <v>2178</v>
      </c>
      <c r="E2958" s="3" t="s">
        <v>94</v>
      </c>
      <c r="F2958" s="3" t="s">
        <v>14</v>
      </c>
      <c r="G2958" s="3" t="s">
        <v>24</v>
      </c>
      <c r="H2958" s="3" t="s">
        <v>890</v>
      </c>
      <c r="I2958" s="11">
        <v>104.06</v>
      </c>
      <c r="J2958" s="18">
        <v>3</v>
      </c>
      <c r="K2958" s="12">
        <v>18.2592</v>
      </c>
    </row>
    <row r="2959" spans="1:11" x14ac:dyDescent="0.25">
      <c r="A2959" s="4">
        <v>43907</v>
      </c>
      <c r="B2959" s="19">
        <f t="shared" si="92"/>
        <v>2020</v>
      </c>
      <c r="C2959" s="19">
        <f t="shared" si="93"/>
        <v>3</v>
      </c>
      <c r="D2959" s="5" t="s">
        <v>2178</v>
      </c>
      <c r="E2959" s="5" t="s">
        <v>94</v>
      </c>
      <c r="F2959" s="5" t="s">
        <v>19</v>
      </c>
      <c r="G2959" s="5" t="s">
        <v>20</v>
      </c>
      <c r="H2959" s="5" t="s">
        <v>2179</v>
      </c>
      <c r="I2959" s="13">
        <v>127.44</v>
      </c>
      <c r="J2959" s="19">
        <v>8</v>
      </c>
      <c r="K2959" s="14">
        <v>27.9344</v>
      </c>
    </row>
    <row r="2960" spans="1:11" x14ac:dyDescent="0.25">
      <c r="A2960" s="2">
        <v>43907</v>
      </c>
      <c r="B2960" s="18">
        <f t="shared" si="92"/>
        <v>2020</v>
      </c>
      <c r="C2960" s="18">
        <f t="shared" si="93"/>
        <v>3</v>
      </c>
      <c r="D2960" s="3" t="s">
        <v>2178</v>
      </c>
      <c r="E2960" s="3" t="s">
        <v>94</v>
      </c>
      <c r="F2960" s="3" t="s">
        <v>14</v>
      </c>
      <c r="G2960" s="3" t="s">
        <v>15</v>
      </c>
      <c r="H2960" s="3" t="s">
        <v>1201</v>
      </c>
      <c r="I2960" s="11">
        <v>144.69999999999999</v>
      </c>
      <c r="J2960" s="18">
        <v>6</v>
      </c>
      <c r="K2960" s="12">
        <v>31.122</v>
      </c>
    </row>
    <row r="2961" spans="1:11" x14ac:dyDescent="0.25">
      <c r="A2961" s="4">
        <v>43907</v>
      </c>
      <c r="B2961" s="19">
        <f t="shared" si="92"/>
        <v>2020</v>
      </c>
      <c r="C2961" s="19">
        <f t="shared" si="93"/>
        <v>3</v>
      </c>
      <c r="D2961" s="5" t="s">
        <v>1035</v>
      </c>
      <c r="E2961" s="5" t="s">
        <v>23</v>
      </c>
      <c r="F2961" s="5" t="s">
        <v>19</v>
      </c>
      <c r="G2961" s="5" t="s">
        <v>53</v>
      </c>
      <c r="H2961" s="5" t="s">
        <v>1084</v>
      </c>
      <c r="I2961" s="13">
        <v>119.27200000000001</v>
      </c>
      <c r="J2961" s="19">
        <v>3</v>
      </c>
      <c r="K2961" s="14">
        <v>3.21</v>
      </c>
    </row>
    <row r="2962" spans="1:11" x14ac:dyDescent="0.25">
      <c r="A2962" s="2">
        <v>43907</v>
      </c>
      <c r="B2962" s="18">
        <f t="shared" si="92"/>
        <v>2020</v>
      </c>
      <c r="C2962" s="18">
        <f t="shared" si="93"/>
        <v>3</v>
      </c>
      <c r="D2962" s="3" t="s">
        <v>2178</v>
      </c>
      <c r="E2962" s="3" t="s">
        <v>94</v>
      </c>
      <c r="F2962" s="3" t="s">
        <v>19</v>
      </c>
      <c r="G2962" s="3" t="s">
        <v>127</v>
      </c>
      <c r="H2962" s="3" t="s">
        <v>1024</v>
      </c>
      <c r="I2962" s="11">
        <v>124.31</v>
      </c>
      <c r="J2962" s="18">
        <v>1</v>
      </c>
      <c r="K2962" s="12">
        <v>3.4357000000000002</v>
      </c>
    </row>
    <row r="2963" spans="1:11" x14ac:dyDescent="0.25">
      <c r="A2963" s="4">
        <v>43907</v>
      </c>
      <c r="B2963" s="19">
        <f t="shared" si="92"/>
        <v>2020</v>
      </c>
      <c r="C2963" s="19">
        <f t="shared" si="93"/>
        <v>3</v>
      </c>
      <c r="D2963" s="5" t="s">
        <v>1035</v>
      </c>
      <c r="E2963" s="5" t="s">
        <v>23</v>
      </c>
      <c r="F2963" s="5" t="s">
        <v>19</v>
      </c>
      <c r="G2963" s="5" t="s">
        <v>32</v>
      </c>
      <c r="H2963" s="5" t="s">
        <v>1472</v>
      </c>
      <c r="I2963" s="13">
        <v>119.776</v>
      </c>
      <c r="J2963" s="19">
        <v>6</v>
      </c>
      <c r="K2963" s="14">
        <v>-22.041599999999999</v>
      </c>
    </row>
    <row r="2964" spans="1:11" x14ac:dyDescent="0.25">
      <c r="A2964" s="2">
        <v>43907</v>
      </c>
      <c r="B2964" s="18">
        <f t="shared" si="92"/>
        <v>2020</v>
      </c>
      <c r="C2964" s="18">
        <f t="shared" si="93"/>
        <v>3</v>
      </c>
      <c r="D2964" s="3" t="s">
        <v>800</v>
      </c>
      <c r="E2964" s="3" t="s">
        <v>18</v>
      </c>
      <c r="F2964" s="3" t="s">
        <v>19</v>
      </c>
      <c r="G2964" s="3" t="s">
        <v>32</v>
      </c>
      <c r="H2964" s="3" t="s">
        <v>155</v>
      </c>
      <c r="I2964" s="11">
        <v>124.456</v>
      </c>
      <c r="J2964" s="18">
        <v>2</v>
      </c>
      <c r="K2964" s="12">
        <v>5.8914</v>
      </c>
    </row>
    <row r="2965" spans="1:11" x14ac:dyDescent="0.25">
      <c r="A2965" s="4">
        <v>43907</v>
      </c>
      <c r="B2965" s="19">
        <f t="shared" si="92"/>
        <v>2020</v>
      </c>
      <c r="C2965" s="19">
        <f t="shared" si="93"/>
        <v>3</v>
      </c>
      <c r="D2965" s="5" t="s">
        <v>1617</v>
      </c>
      <c r="E2965" s="5" t="s">
        <v>219</v>
      </c>
      <c r="F2965" s="5" t="s">
        <v>19</v>
      </c>
      <c r="G2965" s="5" t="s">
        <v>127</v>
      </c>
      <c r="H2965" s="5" t="s">
        <v>2019</v>
      </c>
      <c r="I2965" s="13">
        <v>127.608</v>
      </c>
      <c r="J2965" s="19">
        <v>2</v>
      </c>
      <c r="K2965" s="14">
        <v>1.6704000000000001</v>
      </c>
    </row>
    <row r="2966" spans="1:11" x14ac:dyDescent="0.25">
      <c r="A2966" s="2">
        <v>43907</v>
      </c>
      <c r="B2966" s="18">
        <f t="shared" si="92"/>
        <v>2020</v>
      </c>
      <c r="C2966" s="18">
        <f t="shared" si="93"/>
        <v>3</v>
      </c>
      <c r="D2966" s="3" t="s">
        <v>2178</v>
      </c>
      <c r="E2966" s="3" t="s">
        <v>94</v>
      </c>
      <c r="F2966" s="3" t="s">
        <v>19</v>
      </c>
      <c r="G2966" s="3" t="s">
        <v>127</v>
      </c>
      <c r="H2966" s="3" t="s">
        <v>765</v>
      </c>
      <c r="I2966" s="11">
        <v>98.75</v>
      </c>
      <c r="J2966" s="18">
        <v>5</v>
      </c>
      <c r="K2966" s="12">
        <v>9</v>
      </c>
    </row>
    <row r="2967" spans="1:11" x14ac:dyDescent="0.25">
      <c r="A2967" s="4">
        <v>43907</v>
      </c>
      <c r="B2967" s="19">
        <f t="shared" si="92"/>
        <v>2020</v>
      </c>
      <c r="C2967" s="19">
        <f t="shared" si="93"/>
        <v>3</v>
      </c>
      <c r="D2967" s="5" t="s">
        <v>2178</v>
      </c>
      <c r="E2967" s="5" t="s">
        <v>94</v>
      </c>
      <c r="F2967" s="5" t="s">
        <v>19</v>
      </c>
      <c r="G2967" s="5" t="s">
        <v>32</v>
      </c>
      <c r="H2967" s="5" t="s">
        <v>1904</v>
      </c>
      <c r="I2967" s="13">
        <v>146.14400000000001</v>
      </c>
      <c r="J2967" s="19">
        <v>3</v>
      </c>
      <c r="K2967" s="14">
        <v>3.0861000000000001</v>
      </c>
    </row>
    <row r="2968" spans="1:11" x14ac:dyDescent="0.25">
      <c r="A2968" s="2">
        <v>43907</v>
      </c>
      <c r="B2968" s="18">
        <f t="shared" si="92"/>
        <v>2020</v>
      </c>
      <c r="C2968" s="18">
        <f t="shared" si="93"/>
        <v>3</v>
      </c>
      <c r="D2968" s="3" t="s">
        <v>2178</v>
      </c>
      <c r="E2968" s="3" t="s">
        <v>94</v>
      </c>
      <c r="F2968" s="3" t="s">
        <v>19</v>
      </c>
      <c r="G2968" s="3" t="s">
        <v>20</v>
      </c>
      <c r="H2968" s="3" t="s">
        <v>552</v>
      </c>
      <c r="I2968" s="11">
        <v>137.53</v>
      </c>
      <c r="J2968" s="18">
        <v>3</v>
      </c>
      <c r="K2968" s="12">
        <v>12.097799999999999</v>
      </c>
    </row>
    <row r="2969" spans="1:11" x14ac:dyDescent="0.25">
      <c r="A2969" s="4">
        <v>43907</v>
      </c>
      <c r="B2969" s="19">
        <f t="shared" si="92"/>
        <v>2020</v>
      </c>
      <c r="C2969" s="19">
        <f t="shared" si="93"/>
        <v>3</v>
      </c>
      <c r="D2969" s="5" t="s">
        <v>2178</v>
      </c>
      <c r="E2969" s="5" t="s">
        <v>94</v>
      </c>
      <c r="F2969" s="5" t="s">
        <v>19</v>
      </c>
      <c r="G2969" s="5" t="s">
        <v>40</v>
      </c>
      <c r="H2969" s="5" t="s">
        <v>2180</v>
      </c>
      <c r="I2969" s="13">
        <v>125.1</v>
      </c>
      <c r="J2969" s="19">
        <v>6</v>
      </c>
      <c r="K2969" s="14">
        <v>22.457999999999998</v>
      </c>
    </row>
    <row r="2970" spans="1:11" x14ac:dyDescent="0.25">
      <c r="A2970" s="2">
        <v>43907</v>
      </c>
      <c r="B2970" s="18">
        <f t="shared" si="92"/>
        <v>2020</v>
      </c>
      <c r="C2970" s="18">
        <f t="shared" si="93"/>
        <v>3</v>
      </c>
      <c r="D2970" s="3" t="s">
        <v>2178</v>
      </c>
      <c r="E2970" s="3" t="s">
        <v>94</v>
      </c>
      <c r="F2970" s="3" t="s">
        <v>14</v>
      </c>
      <c r="G2970" s="3" t="s">
        <v>24</v>
      </c>
      <c r="H2970" s="3" t="s">
        <v>383</v>
      </c>
      <c r="I2970" s="11">
        <v>134.6</v>
      </c>
      <c r="J2970" s="18">
        <v>8</v>
      </c>
      <c r="K2970" s="12">
        <v>13.603999999999999</v>
      </c>
    </row>
    <row r="2971" spans="1:11" x14ac:dyDescent="0.25">
      <c r="A2971" s="4">
        <v>43908</v>
      </c>
      <c r="B2971" s="19">
        <f t="shared" si="92"/>
        <v>2020</v>
      </c>
      <c r="C2971" s="19">
        <f t="shared" si="93"/>
        <v>3</v>
      </c>
      <c r="D2971" s="5" t="s">
        <v>1917</v>
      </c>
      <c r="E2971" s="5" t="s">
        <v>23</v>
      </c>
      <c r="F2971" s="5" t="s">
        <v>11</v>
      </c>
      <c r="G2971" s="5" t="s">
        <v>51</v>
      </c>
      <c r="H2971" s="5" t="s">
        <v>1767</v>
      </c>
      <c r="I2971" s="13">
        <v>113.524</v>
      </c>
      <c r="J2971" s="19">
        <v>3</v>
      </c>
      <c r="K2971" s="14">
        <v>-41.262</v>
      </c>
    </row>
    <row r="2972" spans="1:11" x14ac:dyDescent="0.25">
      <c r="A2972" s="2">
        <v>43908</v>
      </c>
      <c r="B2972" s="18">
        <f t="shared" si="92"/>
        <v>2020</v>
      </c>
      <c r="C2972" s="18">
        <f t="shared" si="93"/>
        <v>3</v>
      </c>
      <c r="D2972" s="3" t="s">
        <v>175</v>
      </c>
      <c r="E2972" s="3" t="s">
        <v>18</v>
      </c>
      <c r="F2972" s="3" t="s">
        <v>19</v>
      </c>
      <c r="G2972" s="3" t="s">
        <v>121</v>
      </c>
      <c r="H2972" s="3" t="s">
        <v>1522</v>
      </c>
      <c r="I2972" s="11">
        <v>136.86000000000001</v>
      </c>
      <c r="J2972" s="18">
        <v>7</v>
      </c>
      <c r="K2972" s="12">
        <v>26.349399999999999</v>
      </c>
    </row>
    <row r="2973" spans="1:11" x14ac:dyDescent="0.25">
      <c r="A2973" s="4">
        <v>43908</v>
      </c>
      <c r="B2973" s="19">
        <f t="shared" si="92"/>
        <v>2020</v>
      </c>
      <c r="C2973" s="19">
        <f t="shared" si="93"/>
        <v>3</v>
      </c>
      <c r="D2973" s="5" t="s">
        <v>1917</v>
      </c>
      <c r="E2973" s="5" t="s">
        <v>23</v>
      </c>
      <c r="F2973" s="5" t="s">
        <v>19</v>
      </c>
      <c r="G2973" s="5" t="s">
        <v>32</v>
      </c>
      <c r="H2973" s="5" t="s">
        <v>1920</v>
      </c>
      <c r="I2973" s="13">
        <v>198.994</v>
      </c>
      <c r="J2973" s="19">
        <v>3</v>
      </c>
      <c r="K2973" s="14">
        <v>-320.23950000000002</v>
      </c>
    </row>
    <row r="2974" spans="1:11" x14ac:dyDescent="0.25">
      <c r="A2974" s="2">
        <v>43908</v>
      </c>
      <c r="B2974" s="18">
        <f t="shared" si="92"/>
        <v>2020</v>
      </c>
      <c r="C2974" s="18">
        <f t="shared" si="93"/>
        <v>3</v>
      </c>
      <c r="D2974" s="3" t="s">
        <v>846</v>
      </c>
      <c r="E2974" s="3" t="s">
        <v>23</v>
      </c>
      <c r="F2974" s="3" t="s">
        <v>14</v>
      </c>
      <c r="G2974" s="3" t="s">
        <v>15</v>
      </c>
      <c r="H2974" s="3" t="s">
        <v>311</v>
      </c>
      <c r="I2974" s="11">
        <v>556.54399999999998</v>
      </c>
      <c r="J2974" s="18">
        <v>7</v>
      </c>
      <c r="K2974" s="12">
        <v>47.0351</v>
      </c>
    </row>
    <row r="2975" spans="1:11" x14ac:dyDescent="0.25">
      <c r="A2975" s="4">
        <v>43908</v>
      </c>
      <c r="B2975" s="19">
        <f t="shared" si="92"/>
        <v>2020</v>
      </c>
      <c r="C2975" s="19">
        <f t="shared" si="93"/>
        <v>3</v>
      </c>
      <c r="D2975" s="5" t="s">
        <v>1917</v>
      </c>
      <c r="E2975" s="5" t="s">
        <v>23</v>
      </c>
      <c r="F2975" s="5" t="s">
        <v>19</v>
      </c>
      <c r="G2975" s="5" t="s">
        <v>121</v>
      </c>
      <c r="H2975" s="5" t="s">
        <v>2181</v>
      </c>
      <c r="I2975" s="13">
        <v>82.688000000000002</v>
      </c>
      <c r="J2975" s="19">
        <v>3</v>
      </c>
      <c r="K2975" s="14">
        <v>-7.3920000000000003</v>
      </c>
    </row>
    <row r="2976" spans="1:11" x14ac:dyDescent="0.25">
      <c r="A2976" s="2">
        <v>43908</v>
      </c>
      <c r="B2976" s="18">
        <f t="shared" si="92"/>
        <v>2020</v>
      </c>
      <c r="C2976" s="18">
        <f t="shared" si="93"/>
        <v>3</v>
      </c>
      <c r="D2976" s="3" t="s">
        <v>1924</v>
      </c>
      <c r="E2976" s="3" t="s">
        <v>18</v>
      </c>
      <c r="F2976" s="3" t="s">
        <v>19</v>
      </c>
      <c r="G2976" s="3" t="s">
        <v>40</v>
      </c>
      <c r="H2976" s="3" t="s">
        <v>366</v>
      </c>
      <c r="I2976" s="11">
        <v>108.9</v>
      </c>
      <c r="J2976" s="18">
        <v>5</v>
      </c>
      <c r="K2976" s="12">
        <v>3.7530000000000001</v>
      </c>
    </row>
    <row r="2977" spans="1:11" x14ac:dyDescent="0.25">
      <c r="A2977" s="4">
        <v>43908</v>
      </c>
      <c r="B2977" s="19">
        <f t="shared" si="92"/>
        <v>2020</v>
      </c>
      <c r="C2977" s="19">
        <f t="shared" si="93"/>
        <v>3</v>
      </c>
      <c r="D2977" s="5" t="s">
        <v>983</v>
      </c>
      <c r="E2977" s="5" t="s">
        <v>23</v>
      </c>
      <c r="F2977" s="5" t="s">
        <v>19</v>
      </c>
      <c r="G2977" s="5" t="s">
        <v>40</v>
      </c>
      <c r="H2977" s="5" t="s">
        <v>2182</v>
      </c>
      <c r="I2977" s="13">
        <v>119.83199999999999</v>
      </c>
      <c r="J2977" s="19">
        <v>3</v>
      </c>
      <c r="K2977" s="14">
        <v>6.5537999999999998</v>
      </c>
    </row>
    <row r="2978" spans="1:11" x14ac:dyDescent="0.25">
      <c r="A2978" s="2">
        <v>43908</v>
      </c>
      <c r="B2978" s="18">
        <f t="shared" si="92"/>
        <v>2020</v>
      </c>
      <c r="C2978" s="18">
        <f t="shared" si="93"/>
        <v>3</v>
      </c>
      <c r="D2978" s="3" t="s">
        <v>1924</v>
      </c>
      <c r="E2978" s="3" t="s">
        <v>18</v>
      </c>
      <c r="F2978" s="3" t="s">
        <v>19</v>
      </c>
      <c r="G2978" s="3" t="s">
        <v>86</v>
      </c>
      <c r="H2978" s="3" t="s">
        <v>2183</v>
      </c>
      <c r="I2978" s="11">
        <v>143.4</v>
      </c>
      <c r="J2978" s="18">
        <v>5</v>
      </c>
      <c r="K2978" s="12">
        <v>9.3119999999999994</v>
      </c>
    </row>
    <row r="2979" spans="1:11" x14ac:dyDescent="0.25">
      <c r="A2979" s="4">
        <v>43908</v>
      </c>
      <c r="B2979" s="19">
        <f t="shared" si="92"/>
        <v>2020</v>
      </c>
      <c r="C2979" s="19">
        <f t="shared" si="93"/>
        <v>3</v>
      </c>
      <c r="D2979" s="5" t="s">
        <v>1841</v>
      </c>
      <c r="E2979" s="5" t="s">
        <v>70</v>
      </c>
      <c r="F2979" s="5" t="s">
        <v>19</v>
      </c>
      <c r="G2979" s="5" t="s">
        <v>40</v>
      </c>
      <c r="H2979" s="5" t="s">
        <v>1882</v>
      </c>
      <c r="I2979" s="13">
        <v>112.2</v>
      </c>
      <c r="J2979" s="19">
        <v>4</v>
      </c>
      <c r="K2979" s="14">
        <v>21.251999999999999</v>
      </c>
    </row>
    <row r="2980" spans="1:11" x14ac:dyDescent="0.25">
      <c r="A2980" s="2">
        <v>43908</v>
      </c>
      <c r="B2980" s="18">
        <f t="shared" si="92"/>
        <v>2020</v>
      </c>
      <c r="C2980" s="18">
        <f t="shared" si="93"/>
        <v>3</v>
      </c>
      <c r="D2980" s="3" t="s">
        <v>1917</v>
      </c>
      <c r="E2980" s="3" t="s">
        <v>23</v>
      </c>
      <c r="F2980" s="3" t="s">
        <v>14</v>
      </c>
      <c r="G2980" s="3" t="s">
        <v>24</v>
      </c>
      <c r="H2980" s="3" t="s">
        <v>2184</v>
      </c>
      <c r="I2980" s="11">
        <v>153.816</v>
      </c>
      <c r="J2980" s="18">
        <v>3</v>
      </c>
      <c r="K2980" s="12">
        <v>4.5201000000000002</v>
      </c>
    </row>
    <row r="2981" spans="1:11" x14ac:dyDescent="0.25">
      <c r="A2981" s="4">
        <v>43909</v>
      </c>
      <c r="B2981" s="19">
        <f t="shared" si="92"/>
        <v>2020</v>
      </c>
      <c r="C2981" s="19">
        <f t="shared" si="93"/>
        <v>3</v>
      </c>
      <c r="D2981" s="5" t="s">
        <v>766</v>
      </c>
      <c r="E2981" s="5" t="s">
        <v>18</v>
      </c>
      <c r="F2981" s="5" t="s">
        <v>14</v>
      </c>
      <c r="G2981" s="5" t="s">
        <v>24</v>
      </c>
      <c r="H2981" s="5" t="s">
        <v>2185</v>
      </c>
      <c r="I2981" s="13">
        <v>147.54</v>
      </c>
      <c r="J2981" s="19">
        <v>2</v>
      </c>
      <c r="K2981" s="14">
        <v>10.949400000000001</v>
      </c>
    </row>
    <row r="2982" spans="1:11" x14ac:dyDescent="0.25">
      <c r="A2982" s="2">
        <v>43909</v>
      </c>
      <c r="B2982" s="18">
        <f t="shared" si="92"/>
        <v>2020</v>
      </c>
      <c r="C2982" s="18">
        <f t="shared" si="93"/>
        <v>3</v>
      </c>
      <c r="D2982" s="3" t="s">
        <v>766</v>
      </c>
      <c r="E2982" s="3" t="s">
        <v>18</v>
      </c>
      <c r="F2982" s="3" t="s">
        <v>14</v>
      </c>
      <c r="G2982" s="3" t="s">
        <v>24</v>
      </c>
      <c r="H2982" s="3" t="s">
        <v>139</v>
      </c>
      <c r="I2982" s="11">
        <v>238.96</v>
      </c>
      <c r="J2982" s="18">
        <v>4</v>
      </c>
      <c r="K2982" s="12">
        <v>85.982799999999997</v>
      </c>
    </row>
    <row r="2983" spans="1:11" x14ac:dyDescent="0.25">
      <c r="A2983" s="4">
        <v>43909</v>
      </c>
      <c r="B2983" s="19">
        <f t="shared" si="92"/>
        <v>2020</v>
      </c>
      <c r="C2983" s="19">
        <f t="shared" si="93"/>
        <v>3</v>
      </c>
      <c r="D2983" s="5" t="s">
        <v>2186</v>
      </c>
      <c r="E2983" s="5" t="s">
        <v>18</v>
      </c>
      <c r="F2983" s="5" t="s">
        <v>19</v>
      </c>
      <c r="G2983" s="5" t="s">
        <v>121</v>
      </c>
      <c r="H2983" s="5" t="s">
        <v>284</v>
      </c>
      <c r="I2983" s="13">
        <v>421.36</v>
      </c>
      <c r="J2983" s="19">
        <v>7</v>
      </c>
      <c r="K2983" s="14">
        <v>106.7808</v>
      </c>
    </row>
    <row r="2984" spans="1:11" x14ac:dyDescent="0.25">
      <c r="A2984" s="2">
        <v>43909</v>
      </c>
      <c r="B2984" s="18">
        <f t="shared" si="92"/>
        <v>2020</v>
      </c>
      <c r="C2984" s="18">
        <f t="shared" si="93"/>
        <v>3</v>
      </c>
      <c r="D2984" s="3" t="s">
        <v>766</v>
      </c>
      <c r="E2984" s="3" t="s">
        <v>18</v>
      </c>
      <c r="F2984" s="3" t="s">
        <v>14</v>
      </c>
      <c r="G2984" s="3" t="s">
        <v>15</v>
      </c>
      <c r="H2984" s="3" t="s">
        <v>2134</v>
      </c>
      <c r="I2984" s="11">
        <v>696.50400000000002</v>
      </c>
      <c r="J2984" s="18">
        <v>6</v>
      </c>
      <c r="K2984" s="12">
        <v>-131.5008</v>
      </c>
    </row>
    <row r="2985" spans="1:11" x14ac:dyDescent="0.25">
      <c r="A2985" s="4">
        <v>43909</v>
      </c>
      <c r="B2985" s="19">
        <f t="shared" si="92"/>
        <v>2020</v>
      </c>
      <c r="C2985" s="19">
        <f t="shared" si="93"/>
        <v>3</v>
      </c>
      <c r="D2985" s="5" t="s">
        <v>2038</v>
      </c>
      <c r="E2985" s="5" t="s">
        <v>18</v>
      </c>
      <c r="F2985" s="5" t="s">
        <v>11</v>
      </c>
      <c r="G2985" s="5" t="s">
        <v>30</v>
      </c>
      <c r="H2985" s="5" t="s">
        <v>150</v>
      </c>
      <c r="I2985" s="13">
        <v>737.16</v>
      </c>
      <c r="J2985" s="19">
        <v>5</v>
      </c>
      <c r="K2985" s="14">
        <v>8.7144999999999992</v>
      </c>
    </row>
    <row r="2986" spans="1:11" x14ac:dyDescent="0.25">
      <c r="A2986" s="2">
        <v>43909</v>
      </c>
      <c r="B2986" s="18">
        <f t="shared" si="92"/>
        <v>2020</v>
      </c>
      <c r="C2986" s="18">
        <f t="shared" si="93"/>
        <v>3</v>
      </c>
      <c r="D2986" s="3" t="s">
        <v>487</v>
      </c>
      <c r="E2986" s="3" t="s">
        <v>85</v>
      </c>
      <c r="F2986" s="3" t="s">
        <v>19</v>
      </c>
      <c r="G2986" s="3" t="s">
        <v>40</v>
      </c>
      <c r="H2986" s="3" t="s">
        <v>840</v>
      </c>
      <c r="I2986" s="11">
        <v>90.94</v>
      </c>
      <c r="J2986" s="18">
        <v>3</v>
      </c>
      <c r="K2986" s="12">
        <v>2.4138000000000002</v>
      </c>
    </row>
    <row r="2987" spans="1:11" x14ac:dyDescent="0.25">
      <c r="A2987" s="4">
        <v>43909</v>
      </c>
      <c r="B2987" s="19">
        <f t="shared" si="92"/>
        <v>2020</v>
      </c>
      <c r="C2987" s="19">
        <f t="shared" si="93"/>
        <v>3</v>
      </c>
      <c r="D2987" s="5" t="s">
        <v>2038</v>
      </c>
      <c r="E2987" s="5" t="s">
        <v>18</v>
      </c>
      <c r="F2987" s="5" t="s">
        <v>19</v>
      </c>
      <c r="G2987" s="5" t="s">
        <v>32</v>
      </c>
      <c r="H2987" s="5" t="s">
        <v>1097</v>
      </c>
      <c r="I2987" s="13">
        <v>128.624</v>
      </c>
      <c r="J2987" s="19">
        <v>2</v>
      </c>
      <c r="K2987" s="14">
        <v>5.1184000000000003</v>
      </c>
    </row>
    <row r="2988" spans="1:11" x14ac:dyDescent="0.25">
      <c r="A2988" s="2">
        <v>43909</v>
      </c>
      <c r="B2988" s="18">
        <f t="shared" si="92"/>
        <v>2020</v>
      </c>
      <c r="C2988" s="18">
        <f t="shared" si="93"/>
        <v>3</v>
      </c>
      <c r="D2988" s="3" t="s">
        <v>2038</v>
      </c>
      <c r="E2988" s="3" t="s">
        <v>18</v>
      </c>
      <c r="F2988" s="3" t="s">
        <v>11</v>
      </c>
      <c r="G2988" s="3" t="s">
        <v>51</v>
      </c>
      <c r="H2988" s="3" t="s">
        <v>1251</v>
      </c>
      <c r="I2988" s="11">
        <v>129.93</v>
      </c>
      <c r="J2988" s="18">
        <v>1</v>
      </c>
      <c r="K2988" s="12">
        <v>12.6813</v>
      </c>
    </row>
    <row r="2989" spans="1:11" x14ac:dyDescent="0.25">
      <c r="A2989" s="4">
        <v>43909</v>
      </c>
      <c r="B2989" s="19">
        <f t="shared" si="92"/>
        <v>2020</v>
      </c>
      <c r="C2989" s="19">
        <f t="shared" si="93"/>
        <v>3</v>
      </c>
      <c r="D2989" s="5" t="s">
        <v>766</v>
      </c>
      <c r="E2989" s="5" t="s">
        <v>18</v>
      </c>
      <c r="F2989" s="5" t="s">
        <v>19</v>
      </c>
      <c r="G2989" s="5" t="s">
        <v>32</v>
      </c>
      <c r="H2989" s="5" t="s">
        <v>1463</v>
      </c>
      <c r="I2989" s="13">
        <v>97.823999999999998</v>
      </c>
      <c r="J2989" s="19">
        <v>6</v>
      </c>
      <c r="K2989" s="14">
        <v>6.6905999999999999</v>
      </c>
    </row>
    <row r="2990" spans="1:11" x14ac:dyDescent="0.25">
      <c r="A2990" s="2">
        <v>43909</v>
      </c>
      <c r="B2990" s="18">
        <f t="shared" si="92"/>
        <v>2020</v>
      </c>
      <c r="C2990" s="18">
        <f t="shared" si="93"/>
        <v>3</v>
      </c>
      <c r="D2990" s="3" t="s">
        <v>2038</v>
      </c>
      <c r="E2990" s="3" t="s">
        <v>18</v>
      </c>
      <c r="F2990" s="3" t="s">
        <v>19</v>
      </c>
      <c r="G2990" s="3" t="s">
        <v>32</v>
      </c>
      <c r="H2990" s="3" t="s">
        <v>885</v>
      </c>
      <c r="I2990" s="11">
        <v>153.49600000000001</v>
      </c>
      <c r="J2990" s="18">
        <v>7</v>
      </c>
      <c r="K2990" s="12">
        <v>9.2798999999999996</v>
      </c>
    </row>
    <row r="2991" spans="1:11" x14ac:dyDescent="0.25">
      <c r="A2991" s="4">
        <v>43909</v>
      </c>
      <c r="B2991" s="19">
        <f t="shared" si="92"/>
        <v>2020</v>
      </c>
      <c r="C2991" s="19">
        <f t="shared" si="93"/>
        <v>3</v>
      </c>
      <c r="D2991" s="5" t="s">
        <v>1091</v>
      </c>
      <c r="E2991" s="5" t="s">
        <v>94</v>
      </c>
      <c r="F2991" s="5" t="s">
        <v>19</v>
      </c>
      <c r="G2991" s="5" t="s">
        <v>127</v>
      </c>
      <c r="H2991" s="5" t="s">
        <v>2187</v>
      </c>
      <c r="I2991" s="13">
        <v>153.91</v>
      </c>
      <c r="J2991" s="19">
        <v>7</v>
      </c>
      <c r="K2991" s="14">
        <v>13.2986</v>
      </c>
    </row>
    <row r="2992" spans="1:11" x14ac:dyDescent="0.25">
      <c r="A2992" s="2">
        <v>43910</v>
      </c>
      <c r="B2992" s="18">
        <f t="shared" si="92"/>
        <v>2020</v>
      </c>
      <c r="C2992" s="18">
        <f t="shared" si="93"/>
        <v>3</v>
      </c>
      <c r="D2992" s="3" t="s">
        <v>821</v>
      </c>
      <c r="E2992" s="3" t="s">
        <v>91</v>
      </c>
      <c r="F2992" s="3" t="s">
        <v>14</v>
      </c>
      <c r="G2992" s="3" t="s">
        <v>24</v>
      </c>
      <c r="H2992" s="3" t="s">
        <v>1406</v>
      </c>
      <c r="I2992" s="11">
        <v>252</v>
      </c>
      <c r="J2992" s="18">
        <v>2</v>
      </c>
      <c r="K2992" s="12">
        <v>38.08</v>
      </c>
    </row>
    <row r="2993" spans="1:11" x14ac:dyDescent="0.25">
      <c r="A2993" s="4">
        <v>43910</v>
      </c>
      <c r="B2993" s="19">
        <f t="shared" si="92"/>
        <v>2020</v>
      </c>
      <c r="C2993" s="19">
        <f t="shared" si="93"/>
        <v>3</v>
      </c>
      <c r="D2993" s="5" t="s">
        <v>2188</v>
      </c>
      <c r="E2993" s="5" t="s">
        <v>23</v>
      </c>
      <c r="F2993" s="5" t="s">
        <v>19</v>
      </c>
      <c r="G2993" s="5" t="s">
        <v>53</v>
      </c>
      <c r="H2993" s="5" t="s">
        <v>1720</v>
      </c>
      <c r="I2993" s="13">
        <v>284.06400000000002</v>
      </c>
      <c r="J2993" s="19">
        <v>7</v>
      </c>
      <c r="K2993" s="14">
        <v>102.774</v>
      </c>
    </row>
    <row r="2994" spans="1:11" x14ac:dyDescent="0.25">
      <c r="A2994" s="2">
        <v>43910</v>
      </c>
      <c r="B2994" s="18">
        <f t="shared" si="92"/>
        <v>2020</v>
      </c>
      <c r="C2994" s="18">
        <f t="shared" si="93"/>
        <v>3</v>
      </c>
      <c r="D2994" s="3" t="s">
        <v>1378</v>
      </c>
      <c r="E2994" s="3" t="s">
        <v>70</v>
      </c>
      <c r="F2994" s="3" t="s">
        <v>14</v>
      </c>
      <c r="G2994" s="3" t="s">
        <v>24</v>
      </c>
      <c r="H2994" s="3" t="s">
        <v>1225</v>
      </c>
      <c r="I2994" s="11">
        <v>302.93</v>
      </c>
      <c r="J2994" s="18">
        <v>7</v>
      </c>
      <c r="K2994" s="12">
        <v>63.8232</v>
      </c>
    </row>
    <row r="2995" spans="1:11" x14ac:dyDescent="0.25">
      <c r="A2995" s="4">
        <v>43910</v>
      </c>
      <c r="B2995" s="19">
        <f t="shared" si="92"/>
        <v>2020</v>
      </c>
      <c r="C2995" s="19">
        <f t="shared" si="93"/>
        <v>3</v>
      </c>
      <c r="D2995" s="5" t="s">
        <v>516</v>
      </c>
      <c r="E2995" s="5" t="s">
        <v>317</v>
      </c>
      <c r="F2995" s="5" t="s">
        <v>11</v>
      </c>
      <c r="G2995" s="5" t="s">
        <v>51</v>
      </c>
      <c r="H2995" s="5" t="s">
        <v>650</v>
      </c>
      <c r="I2995" s="13">
        <v>134.91</v>
      </c>
      <c r="J2995" s="19">
        <v>1</v>
      </c>
      <c r="K2995" s="14">
        <v>1.3676999999999999</v>
      </c>
    </row>
    <row r="2996" spans="1:11" x14ac:dyDescent="0.25">
      <c r="A2996" s="2">
        <v>43910</v>
      </c>
      <c r="B2996" s="18">
        <f t="shared" si="92"/>
        <v>2020</v>
      </c>
      <c r="C2996" s="18">
        <f t="shared" si="93"/>
        <v>3</v>
      </c>
      <c r="D2996" s="3" t="s">
        <v>821</v>
      </c>
      <c r="E2996" s="3" t="s">
        <v>91</v>
      </c>
      <c r="F2996" s="3" t="s">
        <v>19</v>
      </c>
      <c r="G2996" s="3" t="s">
        <v>53</v>
      </c>
      <c r="H2996" s="3" t="s">
        <v>1999</v>
      </c>
      <c r="I2996" s="11">
        <v>145.96</v>
      </c>
      <c r="J2996" s="18">
        <v>2</v>
      </c>
      <c r="K2996" s="12">
        <v>27.882000000000001</v>
      </c>
    </row>
    <row r="2997" spans="1:11" x14ac:dyDescent="0.25">
      <c r="A2997" s="4">
        <v>43910</v>
      </c>
      <c r="B2997" s="19">
        <f t="shared" si="92"/>
        <v>2020</v>
      </c>
      <c r="C2997" s="19">
        <f t="shared" si="93"/>
        <v>3</v>
      </c>
      <c r="D2997" s="5" t="s">
        <v>2188</v>
      </c>
      <c r="E2997" s="5" t="s">
        <v>23</v>
      </c>
      <c r="F2997" s="5" t="s">
        <v>19</v>
      </c>
      <c r="G2997" s="5" t="s">
        <v>53</v>
      </c>
      <c r="H2997" s="5" t="s">
        <v>172</v>
      </c>
      <c r="I2997" s="13">
        <v>169.70400000000001</v>
      </c>
      <c r="J2997" s="19">
        <v>2</v>
      </c>
      <c r="K2997" s="14">
        <v>19.137599999999999</v>
      </c>
    </row>
    <row r="2998" spans="1:11" x14ac:dyDescent="0.25">
      <c r="A2998" s="2">
        <v>43911</v>
      </c>
      <c r="B2998" s="18">
        <f t="shared" si="92"/>
        <v>2020</v>
      </c>
      <c r="C2998" s="18">
        <f t="shared" si="93"/>
        <v>3</v>
      </c>
      <c r="D2998" s="3" t="s">
        <v>1403</v>
      </c>
      <c r="E2998" s="3" t="s">
        <v>44</v>
      </c>
      <c r="F2998" s="3" t="s">
        <v>19</v>
      </c>
      <c r="G2998" s="3" t="s">
        <v>121</v>
      </c>
      <c r="H2998" s="3" t="s">
        <v>1043</v>
      </c>
      <c r="I2998" s="11">
        <v>100.384</v>
      </c>
      <c r="J2998" s="18">
        <v>1</v>
      </c>
      <c r="K2998" s="12">
        <v>8.048</v>
      </c>
    </row>
    <row r="2999" spans="1:11" x14ac:dyDescent="0.25">
      <c r="A2999" s="4">
        <v>43911</v>
      </c>
      <c r="B2999" s="19">
        <f t="shared" si="92"/>
        <v>2020</v>
      </c>
      <c r="C2999" s="19">
        <f t="shared" si="93"/>
        <v>3</v>
      </c>
      <c r="D2999" s="5" t="s">
        <v>949</v>
      </c>
      <c r="E2999" s="5" t="s">
        <v>317</v>
      </c>
      <c r="F2999" s="5" t="s">
        <v>19</v>
      </c>
      <c r="G2999" s="5" t="s">
        <v>53</v>
      </c>
      <c r="H2999" s="5" t="s">
        <v>1229</v>
      </c>
      <c r="I2999" s="13">
        <v>300.39999999999998</v>
      </c>
      <c r="J2999" s="19">
        <v>5</v>
      </c>
      <c r="K2999" s="14">
        <v>133.15199999999999</v>
      </c>
    </row>
    <row r="3000" spans="1:11" x14ac:dyDescent="0.25">
      <c r="A3000" s="2">
        <v>43911</v>
      </c>
      <c r="B3000" s="18">
        <f t="shared" si="92"/>
        <v>2020</v>
      </c>
      <c r="C3000" s="18">
        <f t="shared" si="93"/>
        <v>3</v>
      </c>
      <c r="D3000" s="3" t="s">
        <v>810</v>
      </c>
      <c r="E3000" s="3" t="s">
        <v>70</v>
      </c>
      <c r="F3000" s="3" t="s">
        <v>19</v>
      </c>
      <c r="G3000" s="3" t="s">
        <v>20</v>
      </c>
      <c r="H3000" s="3" t="s">
        <v>273</v>
      </c>
      <c r="I3000" s="11">
        <v>397.32</v>
      </c>
      <c r="J3000" s="18">
        <v>4</v>
      </c>
      <c r="K3000" s="12">
        <v>7.1863999999999999</v>
      </c>
    </row>
    <row r="3001" spans="1:11" x14ac:dyDescent="0.25">
      <c r="A3001" s="4">
        <v>43911</v>
      </c>
      <c r="B3001" s="19">
        <f t="shared" si="92"/>
        <v>2020</v>
      </c>
      <c r="C3001" s="19">
        <f t="shared" si="93"/>
        <v>3</v>
      </c>
      <c r="D3001" s="5" t="s">
        <v>156</v>
      </c>
      <c r="E3001" s="5" t="s">
        <v>18</v>
      </c>
      <c r="F3001" s="5" t="s">
        <v>19</v>
      </c>
      <c r="G3001" s="5" t="s">
        <v>20</v>
      </c>
      <c r="H3001" s="5" t="s">
        <v>303</v>
      </c>
      <c r="I3001" s="13">
        <v>770.84</v>
      </c>
      <c r="J3001" s="19">
        <v>4</v>
      </c>
      <c r="K3001" s="14">
        <v>210.49359999999999</v>
      </c>
    </row>
    <row r="3002" spans="1:11" x14ac:dyDescent="0.25">
      <c r="A3002" s="2">
        <v>43911</v>
      </c>
      <c r="B3002" s="18">
        <f t="shared" si="92"/>
        <v>2020</v>
      </c>
      <c r="C3002" s="18">
        <f t="shared" si="93"/>
        <v>3</v>
      </c>
      <c r="D3002" s="3" t="s">
        <v>800</v>
      </c>
      <c r="E3002" s="3" t="s">
        <v>29</v>
      </c>
      <c r="F3002" s="3" t="s">
        <v>11</v>
      </c>
      <c r="G3002" s="3" t="s">
        <v>112</v>
      </c>
      <c r="H3002" s="3" t="s">
        <v>1856</v>
      </c>
      <c r="I3002" s="11">
        <v>1839.88</v>
      </c>
      <c r="J3002" s="18">
        <v>6</v>
      </c>
      <c r="K3002" s="12">
        <v>523.70519999999999</v>
      </c>
    </row>
    <row r="3003" spans="1:11" x14ac:dyDescent="0.25">
      <c r="A3003" s="4">
        <v>43911</v>
      </c>
      <c r="B3003" s="19">
        <f t="shared" si="92"/>
        <v>2020</v>
      </c>
      <c r="C3003" s="19">
        <f t="shared" si="93"/>
        <v>3</v>
      </c>
      <c r="D3003" s="5" t="s">
        <v>949</v>
      </c>
      <c r="E3003" s="5" t="s">
        <v>317</v>
      </c>
      <c r="F3003" s="5" t="s">
        <v>19</v>
      </c>
      <c r="G3003" s="5" t="s">
        <v>53</v>
      </c>
      <c r="H3003" s="5" t="s">
        <v>854</v>
      </c>
      <c r="I3003" s="13">
        <v>108.78</v>
      </c>
      <c r="J3003" s="19">
        <v>1</v>
      </c>
      <c r="K3003" s="14">
        <v>2.8321999999999998</v>
      </c>
    </row>
    <row r="3004" spans="1:11" x14ac:dyDescent="0.25">
      <c r="A3004" s="2">
        <v>43911</v>
      </c>
      <c r="B3004" s="18">
        <f t="shared" si="92"/>
        <v>2020</v>
      </c>
      <c r="C3004" s="18">
        <f t="shared" si="93"/>
        <v>3</v>
      </c>
      <c r="D3004" s="3" t="s">
        <v>156</v>
      </c>
      <c r="E3004" s="3" t="s">
        <v>18</v>
      </c>
      <c r="F3004" s="3" t="s">
        <v>19</v>
      </c>
      <c r="G3004" s="3" t="s">
        <v>32</v>
      </c>
      <c r="H3004" s="3" t="s">
        <v>1208</v>
      </c>
      <c r="I3004" s="11">
        <v>116.544</v>
      </c>
      <c r="J3004" s="18">
        <v>2</v>
      </c>
      <c r="K3004" s="12">
        <v>2.8835999999999999</v>
      </c>
    </row>
    <row r="3005" spans="1:11" x14ac:dyDescent="0.25">
      <c r="A3005" s="4">
        <v>43911</v>
      </c>
      <c r="B3005" s="19">
        <f t="shared" si="92"/>
        <v>2020</v>
      </c>
      <c r="C3005" s="19">
        <f t="shared" si="93"/>
        <v>3</v>
      </c>
      <c r="D3005" s="5" t="s">
        <v>810</v>
      </c>
      <c r="E3005" s="5" t="s">
        <v>70</v>
      </c>
      <c r="F3005" s="5" t="s">
        <v>19</v>
      </c>
      <c r="G3005" s="5" t="s">
        <v>116</v>
      </c>
      <c r="H3005" s="5" t="s">
        <v>2189</v>
      </c>
      <c r="I3005" s="13">
        <v>106.02</v>
      </c>
      <c r="J3005" s="19">
        <v>7</v>
      </c>
      <c r="K3005" s="14">
        <v>0.3906</v>
      </c>
    </row>
    <row r="3006" spans="1:11" x14ac:dyDescent="0.25">
      <c r="A3006" s="2">
        <v>43911</v>
      </c>
      <c r="B3006" s="18">
        <f t="shared" si="92"/>
        <v>2020</v>
      </c>
      <c r="C3006" s="18">
        <f t="shared" si="93"/>
        <v>3</v>
      </c>
      <c r="D3006" s="3" t="s">
        <v>810</v>
      </c>
      <c r="E3006" s="3" t="s">
        <v>70</v>
      </c>
      <c r="F3006" s="3" t="s">
        <v>11</v>
      </c>
      <c r="G3006" s="3" t="s">
        <v>51</v>
      </c>
      <c r="H3006" s="3" t="s">
        <v>1122</v>
      </c>
      <c r="I3006" s="11">
        <v>119.14</v>
      </c>
      <c r="J3006" s="18">
        <v>3</v>
      </c>
      <c r="K3006" s="12">
        <v>6.4206000000000003</v>
      </c>
    </row>
    <row r="3007" spans="1:11" x14ac:dyDescent="0.25">
      <c r="A3007" s="4">
        <v>43911</v>
      </c>
      <c r="B3007" s="19">
        <f t="shared" si="92"/>
        <v>2020</v>
      </c>
      <c r="C3007" s="19">
        <f t="shared" si="93"/>
        <v>3</v>
      </c>
      <c r="D3007" s="5" t="s">
        <v>156</v>
      </c>
      <c r="E3007" s="5" t="s">
        <v>18</v>
      </c>
      <c r="F3007" s="5" t="s">
        <v>19</v>
      </c>
      <c r="G3007" s="5" t="s">
        <v>32</v>
      </c>
      <c r="H3007" s="5" t="s">
        <v>1730</v>
      </c>
      <c r="I3007" s="13">
        <v>129.89599999999999</v>
      </c>
      <c r="J3007" s="19">
        <v>3</v>
      </c>
      <c r="K3007" s="14">
        <v>3.9498000000000002</v>
      </c>
    </row>
    <row r="3008" spans="1:11" x14ac:dyDescent="0.25">
      <c r="A3008" s="2">
        <v>43911</v>
      </c>
      <c r="B3008" s="18">
        <f t="shared" si="92"/>
        <v>2020</v>
      </c>
      <c r="C3008" s="18">
        <f t="shared" si="93"/>
        <v>3</v>
      </c>
      <c r="D3008" s="3" t="s">
        <v>1066</v>
      </c>
      <c r="E3008" s="3" t="s">
        <v>39</v>
      </c>
      <c r="F3008" s="3" t="s">
        <v>19</v>
      </c>
      <c r="G3008" s="3" t="s">
        <v>86</v>
      </c>
      <c r="H3008" s="3" t="s">
        <v>2190</v>
      </c>
      <c r="I3008" s="11">
        <v>118.85599999999999</v>
      </c>
      <c r="J3008" s="18">
        <v>3</v>
      </c>
      <c r="K3008" s="12">
        <v>2.8782000000000001</v>
      </c>
    </row>
    <row r="3009" spans="1:11" x14ac:dyDescent="0.25">
      <c r="A3009" s="4">
        <v>43911</v>
      </c>
      <c r="B3009" s="19">
        <f t="shared" si="92"/>
        <v>2020</v>
      </c>
      <c r="C3009" s="19">
        <f t="shared" si="93"/>
        <v>3</v>
      </c>
      <c r="D3009" s="5" t="s">
        <v>810</v>
      </c>
      <c r="E3009" s="5" t="s">
        <v>70</v>
      </c>
      <c r="F3009" s="5" t="s">
        <v>19</v>
      </c>
      <c r="G3009" s="5" t="s">
        <v>32</v>
      </c>
      <c r="H3009" s="5" t="s">
        <v>1502</v>
      </c>
      <c r="I3009" s="13">
        <v>127.57599999999999</v>
      </c>
      <c r="J3009" s="19">
        <v>6</v>
      </c>
      <c r="K3009" s="14">
        <v>10.3194</v>
      </c>
    </row>
    <row r="3010" spans="1:11" x14ac:dyDescent="0.25">
      <c r="A3010" s="2">
        <v>43913</v>
      </c>
      <c r="B3010" s="18">
        <f t="shared" ref="B3010:B3073" si="94">YEAR(A3010)</f>
        <v>2020</v>
      </c>
      <c r="C3010" s="18">
        <f t="shared" ref="C3010:C3073" si="95">MONTH(A3010)</f>
        <v>3</v>
      </c>
      <c r="D3010" s="3" t="s">
        <v>452</v>
      </c>
      <c r="E3010" s="3" t="s">
        <v>23</v>
      </c>
      <c r="F3010" s="3" t="s">
        <v>19</v>
      </c>
      <c r="G3010" s="3" t="s">
        <v>20</v>
      </c>
      <c r="H3010" s="3" t="s">
        <v>273</v>
      </c>
      <c r="I3010" s="11">
        <v>155.72800000000001</v>
      </c>
      <c r="J3010" s="18">
        <v>2</v>
      </c>
      <c r="K3010" s="12">
        <v>-32.338799999999999</v>
      </c>
    </row>
    <row r="3011" spans="1:11" x14ac:dyDescent="0.25">
      <c r="A3011" s="4">
        <v>43913</v>
      </c>
      <c r="B3011" s="19">
        <f t="shared" si="94"/>
        <v>2020</v>
      </c>
      <c r="C3011" s="19">
        <f t="shared" si="95"/>
        <v>3</v>
      </c>
      <c r="D3011" s="5" t="s">
        <v>98</v>
      </c>
      <c r="E3011" s="5" t="s">
        <v>18</v>
      </c>
      <c r="F3011" s="5" t="s">
        <v>11</v>
      </c>
      <c r="G3011" s="5" t="s">
        <v>51</v>
      </c>
      <c r="H3011" s="5" t="s">
        <v>1827</v>
      </c>
      <c r="I3011" s="13">
        <v>225.84</v>
      </c>
      <c r="J3011" s="19">
        <v>8</v>
      </c>
      <c r="K3011" s="14">
        <v>76.2624</v>
      </c>
    </row>
    <row r="3012" spans="1:11" x14ac:dyDescent="0.25">
      <c r="A3012" s="2">
        <v>43913</v>
      </c>
      <c r="B3012" s="18">
        <f t="shared" si="94"/>
        <v>2020</v>
      </c>
      <c r="C3012" s="18">
        <f t="shared" si="95"/>
        <v>3</v>
      </c>
      <c r="D3012" s="3" t="s">
        <v>1019</v>
      </c>
      <c r="E3012" s="3" t="s">
        <v>94</v>
      </c>
      <c r="F3012" s="3" t="s">
        <v>19</v>
      </c>
      <c r="G3012" s="3" t="s">
        <v>265</v>
      </c>
      <c r="H3012" s="3" t="s">
        <v>695</v>
      </c>
      <c r="I3012" s="11">
        <v>366.58</v>
      </c>
      <c r="J3012" s="18">
        <v>3</v>
      </c>
      <c r="K3012" s="12">
        <v>17.379000000000001</v>
      </c>
    </row>
    <row r="3013" spans="1:11" x14ac:dyDescent="0.25">
      <c r="A3013" s="4">
        <v>43913</v>
      </c>
      <c r="B3013" s="19">
        <f t="shared" si="94"/>
        <v>2020</v>
      </c>
      <c r="C3013" s="19">
        <f t="shared" si="95"/>
        <v>3</v>
      </c>
      <c r="D3013" s="5" t="s">
        <v>525</v>
      </c>
      <c r="E3013" s="5" t="s">
        <v>70</v>
      </c>
      <c r="F3013" s="5" t="s">
        <v>14</v>
      </c>
      <c r="G3013" s="5" t="s">
        <v>36</v>
      </c>
      <c r="H3013" s="5" t="s">
        <v>901</v>
      </c>
      <c r="I3013" s="13">
        <v>3445.96</v>
      </c>
      <c r="J3013" s="19">
        <v>4</v>
      </c>
      <c r="K3013" s="14">
        <v>6719.9808000000003</v>
      </c>
    </row>
    <row r="3014" spans="1:11" x14ac:dyDescent="0.25">
      <c r="A3014" s="2">
        <v>43913</v>
      </c>
      <c r="B3014" s="18">
        <f t="shared" si="94"/>
        <v>2020</v>
      </c>
      <c r="C3014" s="18">
        <f t="shared" si="95"/>
        <v>3</v>
      </c>
      <c r="D3014" s="3" t="s">
        <v>525</v>
      </c>
      <c r="E3014" s="3" t="s">
        <v>70</v>
      </c>
      <c r="F3014" s="3" t="s">
        <v>19</v>
      </c>
      <c r="G3014" s="3" t="s">
        <v>53</v>
      </c>
      <c r="H3014" s="3" t="s">
        <v>802</v>
      </c>
      <c r="I3014" s="11">
        <v>126.04</v>
      </c>
      <c r="J3014" s="18">
        <v>3</v>
      </c>
      <c r="K3014" s="12">
        <v>9.6191999999999993</v>
      </c>
    </row>
    <row r="3015" spans="1:11" x14ac:dyDescent="0.25">
      <c r="A3015" s="4">
        <v>43913</v>
      </c>
      <c r="B3015" s="19">
        <f t="shared" si="94"/>
        <v>2020</v>
      </c>
      <c r="C3015" s="19">
        <f t="shared" si="95"/>
        <v>3</v>
      </c>
      <c r="D3015" s="5" t="s">
        <v>2012</v>
      </c>
      <c r="E3015" s="5" t="s">
        <v>94</v>
      </c>
      <c r="F3015" s="5" t="s">
        <v>19</v>
      </c>
      <c r="G3015" s="5" t="s">
        <v>53</v>
      </c>
      <c r="H3015" s="5" t="s">
        <v>2191</v>
      </c>
      <c r="I3015" s="13">
        <v>134.68</v>
      </c>
      <c r="J3015" s="19">
        <v>6</v>
      </c>
      <c r="K3015" s="14">
        <v>11.555999999999999</v>
      </c>
    </row>
    <row r="3016" spans="1:11" x14ac:dyDescent="0.25">
      <c r="A3016" s="2">
        <v>43913</v>
      </c>
      <c r="B3016" s="18">
        <f t="shared" si="94"/>
        <v>2020</v>
      </c>
      <c r="C3016" s="18">
        <f t="shared" si="95"/>
        <v>3</v>
      </c>
      <c r="D3016" s="3" t="s">
        <v>525</v>
      </c>
      <c r="E3016" s="3" t="s">
        <v>70</v>
      </c>
      <c r="F3016" s="3" t="s">
        <v>19</v>
      </c>
      <c r="G3016" s="3" t="s">
        <v>20</v>
      </c>
      <c r="H3016" s="3" t="s">
        <v>341</v>
      </c>
      <c r="I3016" s="11">
        <v>139.47999999999999</v>
      </c>
      <c r="J3016" s="18">
        <v>2</v>
      </c>
      <c r="K3016" s="12">
        <v>4.8719999999999999</v>
      </c>
    </row>
    <row r="3017" spans="1:11" x14ac:dyDescent="0.25">
      <c r="A3017" s="4">
        <v>43913</v>
      </c>
      <c r="B3017" s="19">
        <f t="shared" si="94"/>
        <v>2020</v>
      </c>
      <c r="C3017" s="19">
        <f t="shared" si="95"/>
        <v>3</v>
      </c>
      <c r="D3017" s="5" t="s">
        <v>360</v>
      </c>
      <c r="E3017" s="5" t="s">
        <v>70</v>
      </c>
      <c r="F3017" s="5" t="s">
        <v>19</v>
      </c>
      <c r="G3017" s="5" t="s">
        <v>32</v>
      </c>
      <c r="H3017" s="5" t="s">
        <v>1567</v>
      </c>
      <c r="I3017" s="13">
        <v>145.76</v>
      </c>
      <c r="J3017" s="19">
        <v>5</v>
      </c>
      <c r="K3017" s="14">
        <v>11.297000000000001</v>
      </c>
    </row>
    <row r="3018" spans="1:11" x14ac:dyDescent="0.25">
      <c r="A3018" s="2">
        <v>43914</v>
      </c>
      <c r="B3018" s="18">
        <f t="shared" si="94"/>
        <v>2020</v>
      </c>
      <c r="C3018" s="18">
        <f t="shared" si="95"/>
        <v>3</v>
      </c>
      <c r="D3018" s="3" t="s">
        <v>1659</v>
      </c>
      <c r="E3018" s="3" t="s">
        <v>94</v>
      </c>
      <c r="F3018" s="3" t="s">
        <v>19</v>
      </c>
      <c r="G3018" s="3" t="s">
        <v>53</v>
      </c>
      <c r="H3018" s="3" t="s">
        <v>2192</v>
      </c>
      <c r="I3018" s="11">
        <v>234.92</v>
      </c>
      <c r="J3018" s="18">
        <v>4</v>
      </c>
      <c r="K3018" s="12">
        <v>106.52160000000001</v>
      </c>
    </row>
    <row r="3019" spans="1:11" x14ac:dyDescent="0.25">
      <c r="A3019" s="4">
        <v>43914</v>
      </c>
      <c r="B3019" s="19">
        <f t="shared" si="94"/>
        <v>2020</v>
      </c>
      <c r="C3019" s="19">
        <f t="shared" si="95"/>
        <v>3</v>
      </c>
      <c r="D3019" s="5" t="s">
        <v>2193</v>
      </c>
      <c r="E3019" s="5" t="s">
        <v>94</v>
      </c>
      <c r="F3019" s="5" t="s">
        <v>11</v>
      </c>
      <c r="G3019" s="5" t="s">
        <v>112</v>
      </c>
      <c r="H3019" s="5" t="s">
        <v>1629</v>
      </c>
      <c r="I3019" s="13">
        <v>235.846</v>
      </c>
      <c r="J3019" s="19">
        <v>3</v>
      </c>
      <c r="K3019" s="14">
        <v>2.3094000000000001</v>
      </c>
    </row>
    <row r="3020" spans="1:11" x14ac:dyDescent="0.25">
      <c r="A3020" s="2">
        <v>43914</v>
      </c>
      <c r="B3020" s="18">
        <f t="shared" si="94"/>
        <v>2020</v>
      </c>
      <c r="C3020" s="18">
        <f t="shared" si="95"/>
        <v>3</v>
      </c>
      <c r="D3020" s="3" t="s">
        <v>498</v>
      </c>
      <c r="E3020" s="3" t="s">
        <v>94</v>
      </c>
      <c r="F3020" s="3" t="s">
        <v>11</v>
      </c>
      <c r="G3020" s="3" t="s">
        <v>112</v>
      </c>
      <c r="H3020" s="3" t="s">
        <v>477</v>
      </c>
      <c r="I3020" s="11">
        <v>305.76400000000001</v>
      </c>
      <c r="J3020" s="18">
        <v>2</v>
      </c>
      <c r="K3020" s="12">
        <v>60.392000000000003</v>
      </c>
    </row>
    <row r="3021" spans="1:11" x14ac:dyDescent="0.25">
      <c r="A3021" s="4">
        <v>43914</v>
      </c>
      <c r="B3021" s="19">
        <f t="shared" si="94"/>
        <v>2020</v>
      </c>
      <c r="C3021" s="19">
        <f t="shared" si="95"/>
        <v>3</v>
      </c>
      <c r="D3021" s="5" t="s">
        <v>2193</v>
      </c>
      <c r="E3021" s="5" t="s">
        <v>94</v>
      </c>
      <c r="F3021" s="5" t="s">
        <v>14</v>
      </c>
      <c r="G3021" s="5" t="s">
        <v>15</v>
      </c>
      <c r="H3021" s="5" t="s">
        <v>228</v>
      </c>
      <c r="I3021" s="13">
        <v>479.99</v>
      </c>
      <c r="J3021" s="19">
        <v>1</v>
      </c>
      <c r="K3021" s="14">
        <v>136.2971</v>
      </c>
    </row>
    <row r="3022" spans="1:11" x14ac:dyDescent="0.25">
      <c r="A3022" s="2">
        <v>43914</v>
      </c>
      <c r="B3022" s="18">
        <f t="shared" si="94"/>
        <v>2020</v>
      </c>
      <c r="C3022" s="18">
        <f t="shared" si="95"/>
        <v>3</v>
      </c>
      <c r="D3022" s="3" t="s">
        <v>2142</v>
      </c>
      <c r="E3022" s="3" t="s">
        <v>23</v>
      </c>
      <c r="F3022" s="3" t="s">
        <v>19</v>
      </c>
      <c r="G3022" s="3" t="s">
        <v>20</v>
      </c>
      <c r="H3022" s="3" t="s">
        <v>2194</v>
      </c>
      <c r="I3022" s="11">
        <v>113.768</v>
      </c>
      <c r="J3022" s="18">
        <v>2</v>
      </c>
      <c r="K3022" s="12">
        <v>0.95760000000000001</v>
      </c>
    </row>
    <row r="3023" spans="1:11" x14ac:dyDescent="0.25">
      <c r="A3023" s="4">
        <v>43914</v>
      </c>
      <c r="B3023" s="19">
        <f t="shared" si="94"/>
        <v>2020</v>
      </c>
      <c r="C3023" s="19">
        <f t="shared" si="95"/>
        <v>3</v>
      </c>
      <c r="D3023" s="5" t="s">
        <v>1659</v>
      </c>
      <c r="E3023" s="5" t="s">
        <v>94</v>
      </c>
      <c r="F3023" s="5" t="s">
        <v>14</v>
      </c>
      <c r="G3023" s="5" t="s">
        <v>24</v>
      </c>
      <c r="H3023" s="5" t="s">
        <v>1934</v>
      </c>
      <c r="I3023" s="13">
        <v>106</v>
      </c>
      <c r="J3023" s="19">
        <v>2</v>
      </c>
      <c r="K3023" s="14">
        <v>11.7</v>
      </c>
    </row>
    <row r="3024" spans="1:11" x14ac:dyDescent="0.25">
      <c r="A3024" s="2">
        <v>43914</v>
      </c>
      <c r="B3024" s="18">
        <f t="shared" si="94"/>
        <v>2020</v>
      </c>
      <c r="C3024" s="18">
        <f t="shared" si="95"/>
        <v>3</v>
      </c>
      <c r="D3024" s="3" t="s">
        <v>2193</v>
      </c>
      <c r="E3024" s="3" t="s">
        <v>94</v>
      </c>
      <c r="F3024" s="3" t="s">
        <v>19</v>
      </c>
      <c r="G3024" s="3" t="s">
        <v>86</v>
      </c>
      <c r="H3024" s="3" t="s">
        <v>179</v>
      </c>
      <c r="I3024" s="11">
        <v>152.01</v>
      </c>
      <c r="J3024" s="18">
        <v>3</v>
      </c>
      <c r="K3024" s="12">
        <v>22.0947</v>
      </c>
    </row>
    <row r="3025" spans="1:11" x14ac:dyDescent="0.25">
      <c r="A3025" s="4">
        <v>43915</v>
      </c>
      <c r="B3025" s="19">
        <f t="shared" si="94"/>
        <v>2020</v>
      </c>
      <c r="C3025" s="19">
        <f t="shared" si="95"/>
        <v>3</v>
      </c>
      <c r="D3025" s="5" t="s">
        <v>1568</v>
      </c>
      <c r="E3025" s="5" t="s">
        <v>56</v>
      </c>
      <c r="F3025" s="5" t="s">
        <v>11</v>
      </c>
      <c r="G3025" s="5" t="s">
        <v>112</v>
      </c>
      <c r="H3025" s="5" t="s">
        <v>970</v>
      </c>
      <c r="I3025" s="13">
        <v>140.99</v>
      </c>
      <c r="J3025" s="19">
        <v>1</v>
      </c>
      <c r="K3025" s="14">
        <v>14.558400000000001</v>
      </c>
    </row>
    <row r="3026" spans="1:11" x14ac:dyDescent="0.25">
      <c r="A3026" s="2">
        <v>43915</v>
      </c>
      <c r="B3026" s="18">
        <f t="shared" si="94"/>
        <v>2020</v>
      </c>
      <c r="C3026" s="18">
        <f t="shared" si="95"/>
        <v>3</v>
      </c>
      <c r="D3026" s="3" t="s">
        <v>1486</v>
      </c>
      <c r="E3026" s="3" t="s">
        <v>18</v>
      </c>
      <c r="F3026" s="3" t="s">
        <v>19</v>
      </c>
      <c r="G3026" s="3" t="s">
        <v>32</v>
      </c>
      <c r="H3026" s="3" t="s">
        <v>42</v>
      </c>
      <c r="I3026" s="11">
        <v>205.92</v>
      </c>
      <c r="J3026" s="18">
        <v>4</v>
      </c>
      <c r="K3026" s="12">
        <v>62.747999999999998</v>
      </c>
    </row>
    <row r="3027" spans="1:11" x14ac:dyDescent="0.25">
      <c r="A3027" s="4">
        <v>43915</v>
      </c>
      <c r="B3027" s="19">
        <f t="shared" si="94"/>
        <v>2020</v>
      </c>
      <c r="C3027" s="19">
        <f t="shared" si="95"/>
        <v>3</v>
      </c>
      <c r="D3027" s="5" t="s">
        <v>1486</v>
      </c>
      <c r="E3027" s="5" t="s">
        <v>18</v>
      </c>
      <c r="F3027" s="5" t="s">
        <v>19</v>
      </c>
      <c r="G3027" s="5" t="s">
        <v>121</v>
      </c>
      <c r="H3027" s="5" t="s">
        <v>758</v>
      </c>
      <c r="I3027" s="13">
        <v>223.04</v>
      </c>
      <c r="J3027" s="19">
        <v>4</v>
      </c>
      <c r="K3027" s="14">
        <v>45.770400000000002</v>
      </c>
    </row>
    <row r="3028" spans="1:11" x14ac:dyDescent="0.25">
      <c r="A3028" s="2">
        <v>43915</v>
      </c>
      <c r="B3028" s="18">
        <f t="shared" si="94"/>
        <v>2020</v>
      </c>
      <c r="C3028" s="18">
        <f t="shared" si="95"/>
        <v>3</v>
      </c>
      <c r="D3028" s="3" t="s">
        <v>1486</v>
      </c>
      <c r="E3028" s="3" t="s">
        <v>18</v>
      </c>
      <c r="F3028" s="3" t="s">
        <v>14</v>
      </c>
      <c r="G3028" s="3" t="s">
        <v>15</v>
      </c>
      <c r="H3028" s="3" t="s">
        <v>517</v>
      </c>
      <c r="I3028" s="11">
        <v>234.16800000000001</v>
      </c>
      <c r="J3028" s="18">
        <v>4</v>
      </c>
      <c r="K3028" s="12">
        <v>15.8376</v>
      </c>
    </row>
    <row r="3029" spans="1:11" x14ac:dyDescent="0.25">
      <c r="A3029" s="4">
        <v>43915</v>
      </c>
      <c r="B3029" s="19">
        <f t="shared" si="94"/>
        <v>2020</v>
      </c>
      <c r="C3029" s="19">
        <f t="shared" si="95"/>
        <v>3</v>
      </c>
      <c r="D3029" s="5" t="s">
        <v>1568</v>
      </c>
      <c r="E3029" s="5" t="s">
        <v>56</v>
      </c>
      <c r="F3029" s="5" t="s">
        <v>11</v>
      </c>
      <c r="G3029" s="5" t="s">
        <v>112</v>
      </c>
      <c r="H3029" s="5" t="s">
        <v>432</v>
      </c>
      <c r="I3029" s="13">
        <v>406.97</v>
      </c>
      <c r="J3029" s="19">
        <v>3</v>
      </c>
      <c r="K3029" s="14">
        <v>40.5867</v>
      </c>
    </row>
    <row r="3030" spans="1:11" x14ac:dyDescent="0.25">
      <c r="A3030" s="2">
        <v>43915</v>
      </c>
      <c r="B3030" s="18">
        <f t="shared" si="94"/>
        <v>2020</v>
      </c>
      <c r="C3030" s="18">
        <f t="shared" si="95"/>
        <v>3</v>
      </c>
      <c r="D3030" s="3" t="s">
        <v>1370</v>
      </c>
      <c r="E3030" s="3" t="s">
        <v>23</v>
      </c>
      <c r="F3030" s="3" t="s">
        <v>14</v>
      </c>
      <c r="G3030" s="3" t="s">
        <v>15</v>
      </c>
      <c r="H3030" s="3" t="s">
        <v>943</v>
      </c>
      <c r="I3030" s="11">
        <v>511.37599999999998</v>
      </c>
      <c r="J3030" s="18">
        <v>3</v>
      </c>
      <c r="K3030" s="12">
        <v>47.037599999999998</v>
      </c>
    </row>
    <row r="3031" spans="1:11" x14ac:dyDescent="0.25">
      <c r="A3031" s="4">
        <v>43915</v>
      </c>
      <c r="B3031" s="19">
        <f t="shared" si="94"/>
        <v>2020</v>
      </c>
      <c r="C3031" s="19">
        <f t="shared" si="95"/>
        <v>3</v>
      </c>
      <c r="D3031" s="5" t="s">
        <v>1486</v>
      </c>
      <c r="E3031" s="5" t="s">
        <v>18</v>
      </c>
      <c r="F3031" s="5" t="s">
        <v>14</v>
      </c>
      <c r="G3031" s="5" t="s">
        <v>36</v>
      </c>
      <c r="H3031" s="5" t="s">
        <v>37</v>
      </c>
      <c r="I3031" s="13">
        <v>527.98400000000004</v>
      </c>
      <c r="J3031" s="19">
        <v>2</v>
      </c>
      <c r="K3031" s="14">
        <v>59.997999999999998</v>
      </c>
    </row>
    <row r="3032" spans="1:11" x14ac:dyDescent="0.25">
      <c r="A3032" s="2">
        <v>43915</v>
      </c>
      <c r="B3032" s="18">
        <f t="shared" si="94"/>
        <v>2020</v>
      </c>
      <c r="C3032" s="18">
        <f t="shared" si="95"/>
        <v>3</v>
      </c>
      <c r="D3032" s="3" t="s">
        <v>1568</v>
      </c>
      <c r="E3032" s="3" t="s">
        <v>56</v>
      </c>
      <c r="F3032" s="3" t="s">
        <v>11</v>
      </c>
      <c r="G3032" s="3" t="s">
        <v>112</v>
      </c>
      <c r="H3032" s="3" t="s">
        <v>1598</v>
      </c>
      <c r="I3032" s="11">
        <v>1568.56</v>
      </c>
      <c r="J3032" s="18">
        <v>7</v>
      </c>
      <c r="K3032" s="12">
        <v>427.43680000000001</v>
      </c>
    </row>
    <row r="3033" spans="1:11" x14ac:dyDescent="0.25">
      <c r="A3033" s="4">
        <v>43915</v>
      </c>
      <c r="B3033" s="19">
        <f t="shared" si="94"/>
        <v>2020</v>
      </c>
      <c r="C3033" s="19">
        <f t="shared" si="95"/>
        <v>3</v>
      </c>
      <c r="D3033" s="5" t="s">
        <v>2073</v>
      </c>
      <c r="E3033" s="5" t="s">
        <v>23</v>
      </c>
      <c r="F3033" s="5" t="s">
        <v>19</v>
      </c>
      <c r="G3033" s="5" t="s">
        <v>53</v>
      </c>
      <c r="H3033" s="5" t="s">
        <v>2195</v>
      </c>
      <c r="I3033" s="13">
        <v>89.847999999999999</v>
      </c>
      <c r="J3033" s="19">
        <v>2</v>
      </c>
      <c r="K3033" s="14">
        <v>2.14</v>
      </c>
    </row>
    <row r="3034" spans="1:11" x14ac:dyDescent="0.25">
      <c r="A3034" s="2">
        <v>43915</v>
      </c>
      <c r="B3034" s="18">
        <f t="shared" si="94"/>
        <v>2020</v>
      </c>
      <c r="C3034" s="18">
        <f t="shared" si="95"/>
        <v>3</v>
      </c>
      <c r="D3034" s="3" t="s">
        <v>734</v>
      </c>
      <c r="E3034" s="3" t="s">
        <v>94</v>
      </c>
      <c r="F3034" s="3" t="s">
        <v>19</v>
      </c>
      <c r="G3034" s="3" t="s">
        <v>40</v>
      </c>
      <c r="H3034" s="3" t="s">
        <v>1124</v>
      </c>
      <c r="I3034" s="11">
        <v>123.05</v>
      </c>
      <c r="J3034" s="18">
        <v>5</v>
      </c>
      <c r="K3034" s="12">
        <v>2.9834999999999998</v>
      </c>
    </row>
    <row r="3035" spans="1:11" x14ac:dyDescent="0.25">
      <c r="A3035" s="4">
        <v>43915</v>
      </c>
      <c r="B3035" s="19">
        <f t="shared" si="94"/>
        <v>2020</v>
      </c>
      <c r="C3035" s="19">
        <f t="shared" si="95"/>
        <v>3</v>
      </c>
      <c r="D3035" s="5" t="s">
        <v>599</v>
      </c>
      <c r="E3035" s="5" t="s">
        <v>70</v>
      </c>
      <c r="F3035" s="5" t="s">
        <v>19</v>
      </c>
      <c r="G3035" s="5" t="s">
        <v>40</v>
      </c>
      <c r="H3035" s="5" t="s">
        <v>1708</v>
      </c>
      <c r="I3035" s="13">
        <v>102.1</v>
      </c>
      <c r="J3035" s="19">
        <v>2</v>
      </c>
      <c r="K3035" s="14">
        <v>6.93</v>
      </c>
    </row>
    <row r="3036" spans="1:11" x14ac:dyDescent="0.25">
      <c r="A3036" s="2">
        <v>43915</v>
      </c>
      <c r="B3036" s="18">
        <f t="shared" si="94"/>
        <v>2020</v>
      </c>
      <c r="C3036" s="18">
        <f t="shared" si="95"/>
        <v>3</v>
      </c>
      <c r="D3036" s="3" t="s">
        <v>1486</v>
      </c>
      <c r="E3036" s="3" t="s">
        <v>18</v>
      </c>
      <c r="F3036" s="3" t="s">
        <v>19</v>
      </c>
      <c r="G3036" s="3" t="s">
        <v>40</v>
      </c>
      <c r="H3036" s="3" t="s">
        <v>1672</v>
      </c>
      <c r="I3036" s="11">
        <v>117.02</v>
      </c>
      <c r="J3036" s="18">
        <v>9</v>
      </c>
      <c r="K3036" s="12">
        <v>4.4855999999999998</v>
      </c>
    </row>
    <row r="3037" spans="1:11" x14ac:dyDescent="0.25">
      <c r="A3037" s="4">
        <v>43916</v>
      </c>
      <c r="B3037" s="19">
        <f t="shared" si="94"/>
        <v>2020</v>
      </c>
      <c r="C3037" s="19">
        <f t="shared" si="95"/>
        <v>3</v>
      </c>
      <c r="D3037" s="5" t="s">
        <v>2196</v>
      </c>
      <c r="E3037" s="5" t="s">
        <v>365</v>
      </c>
      <c r="F3037" s="5" t="s">
        <v>11</v>
      </c>
      <c r="G3037" s="5" t="s">
        <v>51</v>
      </c>
      <c r="H3037" s="5" t="s">
        <v>2197</v>
      </c>
      <c r="I3037" s="13">
        <v>105.84</v>
      </c>
      <c r="J3037" s="19">
        <v>3</v>
      </c>
      <c r="K3037" s="14">
        <v>23.119199999999999</v>
      </c>
    </row>
    <row r="3038" spans="1:11" x14ac:dyDescent="0.25">
      <c r="A3038" s="2">
        <v>43916</v>
      </c>
      <c r="B3038" s="18">
        <f t="shared" si="94"/>
        <v>2020</v>
      </c>
      <c r="C3038" s="18">
        <f t="shared" si="95"/>
        <v>3</v>
      </c>
      <c r="D3038" s="3" t="s">
        <v>708</v>
      </c>
      <c r="E3038" s="3" t="s">
        <v>23</v>
      </c>
      <c r="F3038" s="3" t="s">
        <v>19</v>
      </c>
      <c r="G3038" s="3" t="s">
        <v>121</v>
      </c>
      <c r="H3038" s="3" t="s">
        <v>284</v>
      </c>
      <c r="I3038" s="11">
        <v>114.16800000000001</v>
      </c>
      <c r="J3038" s="18">
        <v>8</v>
      </c>
      <c r="K3038" s="12">
        <v>-226.63679999999999</v>
      </c>
    </row>
    <row r="3039" spans="1:11" x14ac:dyDescent="0.25">
      <c r="A3039" s="4">
        <v>43916</v>
      </c>
      <c r="B3039" s="19">
        <f t="shared" si="94"/>
        <v>2020</v>
      </c>
      <c r="C3039" s="19">
        <f t="shared" si="95"/>
        <v>3</v>
      </c>
      <c r="D3039" s="5" t="s">
        <v>708</v>
      </c>
      <c r="E3039" s="5" t="s">
        <v>23</v>
      </c>
      <c r="F3039" s="5" t="s">
        <v>19</v>
      </c>
      <c r="G3039" s="5" t="s">
        <v>53</v>
      </c>
      <c r="H3039" s="5" t="s">
        <v>786</v>
      </c>
      <c r="I3039" s="13">
        <v>116.352</v>
      </c>
      <c r="J3039" s="19">
        <v>3</v>
      </c>
      <c r="K3039" s="14">
        <v>23.234999999999999</v>
      </c>
    </row>
    <row r="3040" spans="1:11" x14ac:dyDescent="0.25">
      <c r="A3040" s="2">
        <v>43916</v>
      </c>
      <c r="B3040" s="18">
        <f t="shared" si="94"/>
        <v>2020</v>
      </c>
      <c r="C3040" s="18">
        <f t="shared" si="95"/>
        <v>3</v>
      </c>
      <c r="D3040" s="3" t="s">
        <v>1967</v>
      </c>
      <c r="E3040" s="3" t="s">
        <v>94</v>
      </c>
      <c r="F3040" s="3" t="s">
        <v>14</v>
      </c>
      <c r="G3040" s="3" t="s">
        <v>15</v>
      </c>
      <c r="H3040" s="3" t="s">
        <v>1369</v>
      </c>
      <c r="I3040" s="11">
        <v>167.96</v>
      </c>
      <c r="J3040" s="18">
        <v>4</v>
      </c>
      <c r="K3040" s="12">
        <v>33.588799999999999</v>
      </c>
    </row>
    <row r="3041" spans="1:11" x14ac:dyDescent="0.25">
      <c r="A3041" s="4">
        <v>43916</v>
      </c>
      <c r="B3041" s="19">
        <f t="shared" si="94"/>
        <v>2020</v>
      </c>
      <c r="C3041" s="19">
        <f t="shared" si="95"/>
        <v>3</v>
      </c>
      <c r="D3041" s="5" t="s">
        <v>708</v>
      </c>
      <c r="E3041" s="5" t="s">
        <v>23</v>
      </c>
      <c r="F3041" s="5" t="s">
        <v>14</v>
      </c>
      <c r="G3041" s="5" t="s">
        <v>24</v>
      </c>
      <c r="H3041" s="5" t="s">
        <v>1358</v>
      </c>
      <c r="I3041" s="13">
        <v>168.96</v>
      </c>
      <c r="J3041" s="19">
        <v>5</v>
      </c>
      <c r="K3041" s="14">
        <v>1.7995000000000001</v>
      </c>
    </row>
    <row r="3042" spans="1:11" x14ac:dyDescent="0.25">
      <c r="A3042" s="2">
        <v>43916</v>
      </c>
      <c r="B3042" s="18">
        <f t="shared" si="94"/>
        <v>2020</v>
      </c>
      <c r="C3042" s="18">
        <f t="shared" si="95"/>
        <v>3</v>
      </c>
      <c r="D3042" s="3" t="s">
        <v>1967</v>
      </c>
      <c r="E3042" s="3" t="s">
        <v>94</v>
      </c>
      <c r="F3042" s="3" t="s">
        <v>11</v>
      </c>
      <c r="G3042" s="3" t="s">
        <v>12</v>
      </c>
      <c r="H3042" s="3" t="s">
        <v>1574</v>
      </c>
      <c r="I3042" s="11">
        <v>280.56799999999998</v>
      </c>
      <c r="J3042" s="18">
        <v>2</v>
      </c>
      <c r="K3042" s="12">
        <v>-28.976400000000002</v>
      </c>
    </row>
    <row r="3043" spans="1:11" x14ac:dyDescent="0.25">
      <c r="A3043" s="4">
        <v>43916</v>
      </c>
      <c r="B3043" s="19">
        <f t="shared" si="94"/>
        <v>2020</v>
      </c>
      <c r="C3043" s="19">
        <f t="shared" si="95"/>
        <v>3</v>
      </c>
      <c r="D3043" s="5" t="s">
        <v>708</v>
      </c>
      <c r="E3043" s="5" t="s">
        <v>23</v>
      </c>
      <c r="F3043" s="5" t="s">
        <v>14</v>
      </c>
      <c r="G3043" s="5" t="s">
        <v>36</v>
      </c>
      <c r="H3043" s="5" t="s">
        <v>2198</v>
      </c>
      <c r="I3043" s="13">
        <v>2412.96</v>
      </c>
      <c r="J3043" s="19">
        <v>5</v>
      </c>
      <c r="K3043" s="14">
        <v>569.9905</v>
      </c>
    </row>
    <row r="3044" spans="1:11" x14ac:dyDescent="0.25">
      <c r="A3044" s="2">
        <v>43916</v>
      </c>
      <c r="B3044" s="18">
        <f t="shared" si="94"/>
        <v>2020</v>
      </c>
      <c r="C3044" s="18">
        <f t="shared" si="95"/>
        <v>3</v>
      </c>
      <c r="D3044" s="3" t="s">
        <v>1703</v>
      </c>
      <c r="E3044" s="3" t="s">
        <v>70</v>
      </c>
      <c r="F3044" s="3" t="s">
        <v>19</v>
      </c>
      <c r="G3044" s="3" t="s">
        <v>40</v>
      </c>
      <c r="H3044" s="3" t="s">
        <v>2199</v>
      </c>
      <c r="I3044" s="11">
        <v>103.83</v>
      </c>
      <c r="J3044" s="18">
        <v>1</v>
      </c>
      <c r="K3044" s="12">
        <v>5.9489999999999998</v>
      </c>
    </row>
    <row r="3045" spans="1:11" x14ac:dyDescent="0.25">
      <c r="A3045" s="4">
        <v>43916</v>
      </c>
      <c r="B3045" s="19">
        <f t="shared" si="94"/>
        <v>2020</v>
      </c>
      <c r="C3045" s="19">
        <f t="shared" si="95"/>
        <v>3</v>
      </c>
      <c r="D3045" s="5" t="s">
        <v>2200</v>
      </c>
      <c r="E3045" s="5" t="s">
        <v>181</v>
      </c>
      <c r="F3045" s="5" t="s">
        <v>19</v>
      </c>
      <c r="G3045" s="5" t="s">
        <v>116</v>
      </c>
      <c r="H3045" s="5" t="s">
        <v>301</v>
      </c>
      <c r="I3045" s="13">
        <v>106.76</v>
      </c>
      <c r="J3045" s="19">
        <v>2</v>
      </c>
      <c r="K3045" s="14">
        <v>1.3160000000000001</v>
      </c>
    </row>
    <row r="3046" spans="1:11" x14ac:dyDescent="0.25">
      <c r="A3046" s="2">
        <v>43916</v>
      </c>
      <c r="B3046" s="18">
        <f t="shared" si="94"/>
        <v>2020</v>
      </c>
      <c r="C3046" s="18">
        <f t="shared" si="95"/>
        <v>3</v>
      </c>
      <c r="D3046" s="3" t="s">
        <v>2200</v>
      </c>
      <c r="E3046" s="3" t="s">
        <v>181</v>
      </c>
      <c r="F3046" s="3" t="s">
        <v>14</v>
      </c>
      <c r="G3046" s="3" t="s">
        <v>24</v>
      </c>
      <c r="H3046" s="3" t="s">
        <v>1296</v>
      </c>
      <c r="I3046" s="11">
        <v>120.25</v>
      </c>
      <c r="J3046" s="18">
        <v>3</v>
      </c>
      <c r="K3046" s="12">
        <v>20.767499999999998</v>
      </c>
    </row>
    <row r="3047" spans="1:11" x14ac:dyDescent="0.25">
      <c r="A3047" s="4">
        <v>43916</v>
      </c>
      <c r="B3047" s="19">
        <f t="shared" si="94"/>
        <v>2020</v>
      </c>
      <c r="C3047" s="19">
        <f t="shared" si="95"/>
        <v>3</v>
      </c>
      <c r="D3047" s="5" t="s">
        <v>708</v>
      </c>
      <c r="E3047" s="5" t="s">
        <v>23</v>
      </c>
      <c r="F3047" s="5" t="s">
        <v>19</v>
      </c>
      <c r="G3047" s="5" t="s">
        <v>20</v>
      </c>
      <c r="H3047" s="5" t="s">
        <v>2179</v>
      </c>
      <c r="I3047" s="13">
        <v>133.232</v>
      </c>
      <c r="J3047" s="19">
        <v>3</v>
      </c>
      <c r="K3047" s="14">
        <v>2.4174000000000002</v>
      </c>
    </row>
    <row r="3048" spans="1:11" x14ac:dyDescent="0.25">
      <c r="A3048" s="2">
        <v>43917</v>
      </c>
      <c r="B3048" s="18">
        <f t="shared" si="94"/>
        <v>2020</v>
      </c>
      <c r="C3048" s="18">
        <f t="shared" si="95"/>
        <v>3</v>
      </c>
      <c r="D3048" s="3" t="s">
        <v>2201</v>
      </c>
      <c r="E3048" s="3" t="s">
        <v>18</v>
      </c>
      <c r="F3048" s="3" t="s">
        <v>19</v>
      </c>
      <c r="G3048" s="3" t="s">
        <v>53</v>
      </c>
      <c r="H3048" s="3" t="s">
        <v>2202</v>
      </c>
      <c r="I3048" s="11">
        <v>121.96</v>
      </c>
      <c r="J3048" s="18">
        <v>2</v>
      </c>
      <c r="K3048" s="12">
        <v>53.260800000000003</v>
      </c>
    </row>
    <row r="3049" spans="1:11" x14ac:dyDescent="0.25">
      <c r="A3049" s="4">
        <v>43917</v>
      </c>
      <c r="B3049" s="19">
        <f t="shared" si="94"/>
        <v>2020</v>
      </c>
      <c r="C3049" s="19">
        <f t="shared" si="95"/>
        <v>3</v>
      </c>
      <c r="D3049" s="5" t="s">
        <v>298</v>
      </c>
      <c r="E3049" s="5" t="s">
        <v>181</v>
      </c>
      <c r="F3049" s="5" t="s">
        <v>14</v>
      </c>
      <c r="G3049" s="5" t="s">
        <v>15</v>
      </c>
      <c r="H3049" s="5" t="s">
        <v>2203</v>
      </c>
      <c r="I3049" s="13">
        <v>227.1</v>
      </c>
      <c r="J3049" s="19">
        <v>5</v>
      </c>
      <c r="K3049" s="14">
        <v>55.646999999999998</v>
      </c>
    </row>
    <row r="3050" spans="1:11" x14ac:dyDescent="0.25">
      <c r="A3050" s="2">
        <v>43917</v>
      </c>
      <c r="B3050" s="18">
        <f t="shared" si="94"/>
        <v>2020</v>
      </c>
      <c r="C3050" s="18">
        <f t="shared" si="95"/>
        <v>3</v>
      </c>
      <c r="D3050" s="3" t="s">
        <v>375</v>
      </c>
      <c r="E3050" s="3" t="s">
        <v>23</v>
      </c>
      <c r="F3050" s="3" t="s">
        <v>11</v>
      </c>
      <c r="G3050" s="3" t="s">
        <v>112</v>
      </c>
      <c r="H3050" s="3" t="s">
        <v>2064</v>
      </c>
      <c r="I3050" s="11">
        <v>233.24600000000001</v>
      </c>
      <c r="J3050" s="18">
        <v>2</v>
      </c>
      <c r="K3050" s="12">
        <v>-66.391599999999997</v>
      </c>
    </row>
    <row r="3051" spans="1:11" x14ac:dyDescent="0.25">
      <c r="A3051" s="4">
        <v>43917</v>
      </c>
      <c r="B3051" s="19">
        <f t="shared" si="94"/>
        <v>2020</v>
      </c>
      <c r="C3051" s="19">
        <f t="shared" si="95"/>
        <v>3</v>
      </c>
      <c r="D3051" s="5" t="s">
        <v>298</v>
      </c>
      <c r="E3051" s="5" t="s">
        <v>181</v>
      </c>
      <c r="F3051" s="5" t="s">
        <v>11</v>
      </c>
      <c r="G3051" s="5" t="s">
        <v>30</v>
      </c>
      <c r="H3051" s="5" t="s">
        <v>1352</v>
      </c>
      <c r="I3051" s="13">
        <v>332.1</v>
      </c>
      <c r="J3051" s="19">
        <v>2</v>
      </c>
      <c r="K3051" s="14">
        <v>58.42</v>
      </c>
    </row>
    <row r="3052" spans="1:11" x14ac:dyDescent="0.25">
      <c r="A3052" s="2">
        <v>43917</v>
      </c>
      <c r="B3052" s="18">
        <f t="shared" si="94"/>
        <v>2020</v>
      </c>
      <c r="C3052" s="18">
        <f t="shared" si="95"/>
        <v>3</v>
      </c>
      <c r="D3052" s="3" t="s">
        <v>298</v>
      </c>
      <c r="E3052" s="3" t="s">
        <v>181</v>
      </c>
      <c r="F3052" s="3" t="s">
        <v>19</v>
      </c>
      <c r="G3052" s="3" t="s">
        <v>20</v>
      </c>
      <c r="H3052" s="3" t="s">
        <v>1777</v>
      </c>
      <c r="I3052" s="11">
        <v>362.94</v>
      </c>
      <c r="J3052" s="18">
        <v>3</v>
      </c>
      <c r="K3052" s="12">
        <v>9.9882000000000009</v>
      </c>
    </row>
    <row r="3053" spans="1:11" x14ac:dyDescent="0.25">
      <c r="A3053" s="4">
        <v>43917</v>
      </c>
      <c r="B3053" s="19">
        <f t="shared" si="94"/>
        <v>2020</v>
      </c>
      <c r="C3053" s="19">
        <f t="shared" si="95"/>
        <v>3</v>
      </c>
      <c r="D3053" s="5" t="s">
        <v>375</v>
      </c>
      <c r="E3053" s="5" t="s">
        <v>23</v>
      </c>
      <c r="F3053" s="5" t="s">
        <v>11</v>
      </c>
      <c r="G3053" s="5" t="s">
        <v>112</v>
      </c>
      <c r="H3053" s="5" t="s">
        <v>1680</v>
      </c>
      <c r="I3053" s="13">
        <v>634.55799999999999</v>
      </c>
      <c r="J3053" s="19">
        <v>3</v>
      </c>
      <c r="K3053" s="14">
        <v>-8.5793999999999997</v>
      </c>
    </row>
    <row r="3054" spans="1:11" x14ac:dyDescent="0.25">
      <c r="A3054" s="2">
        <v>43917</v>
      </c>
      <c r="B3054" s="18">
        <f t="shared" si="94"/>
        <v>2020</v>
      </c>
      <c r="C3054" s="18">
        <f t="shared" si="95"/>
        <v>3</v>
      </c>
      <c r="D3054" s="3" t="s">
        <v>375</v>
      </c>
      <c r="E3054" s="3" t="s">
        <v>23</v>
      </c>
      <c r="F3054" s="3" t="s">
        <v>11</v>
      </c>
      <c r="G3054" s="3" t="s">
        <v>12</v>
      </c>
      <c r="H3054" s="3" t="s">
        <v>1174</v>
      </c>
      <c r="I3054" s="11">
        <v>1058.3320000000001</v>
      </c>
      <c r="J3054" s="18">
        <v>5</v>
      </c>
      <c r="K3054" s="12">
        <v>-30.097999999999999</v>
      </c>
    </row>
    <row r="3055" spans="1:11" x14ac:dyDescent="0.25">
      <c r="A3055" s="4">
        <v>43917</v>
      </c>
      <c r="B3055" s="19">
        <f t="shared" si="94"/>
        <v>2020</v>
      </c>
      <c r="C3055" s="19">
        <f t="shared" si="95"/>
        <v>3</v>
      </c>
      <c r="D3055" s="5" t="s">
        <v>1559</v>
      </c>
      <c r="E3055" s="5" t="s">
        <v>39</v>
      </c>
      <c r="F3055" s="5" t="s">
        <v>11</v>
      </c>
      <c r="G3055" s="5" t="s">
        <v>51</v>
      </c>
      <c r="H3055" s="5" t="s">
        <v>1537</v>
      </c>
      <c r="I3055" s="13">
        <v>117.008</v>
      </c>
      <c r="J3055" s="19">
        <v>2</v>
      </c>
      <c r="K3055" s="14">
        <v>1.5007999999999999</v>
      </c>
    </row>
    <row r="3056" spans="1:11" x14ac:dyDescent="0.25">
      <c r="A3056" s="2">
        <v>43917</v>
      </c>
      <c r="B3056" s="18">
        <f t="shared" si="94"/>
        <v>2020</v>
      </c>
      <c r="C3056" s="18">
        <f t="shared" si="95"/>
        <v>3</v>
      </c>
      <c r="D3056" s="3" t="s">
        <v>298</v>
      </c>
      <c r="E3056" s="3" t="s">
        <v>181</v>
      </c>
      <c r="F3056" s="3" t="s">
        <v>19</v>
      </c>
      <c r="G3056" s="3" t="s">
        <v>127</v>
      </c>
      <c r="H3056" s="3" t="s">
        <v>2204</v>
      </c>
      <c r="I3056" s="11">
        <v>117.26</v>
      </c>
      <c r="J3056" s="18">
        <v>2</v>
      </c>
      <c r="K3056" s="12">
        <v>3.7995999999999999</v>
      </c>
    </row>
    <row r="3057" spans="1:11" x14ac:dyDescent="0.25">
      <c r="A3057" s="4">
        <v>43917</v>
      </c>
      <c r="B3057" s="19">
        <f t="shared" si="94"/>
        <v>2020</v>
      </c>
      <c r="C3057" s="19">
        <f t="shared" si="95"/>
        <v>3</v>
      </c>
      <c r="D3057" s="5" t="s">
        <v>298</v>
      </c>
      <c r="E3057" s="5" t="s">
        <v>181</v>
      </c>
      <c r="F3057" s="5" t="s">
        <v>19</v>
      </c>
      <c r="G3057" s="5" t="s">
        <v>53</v>
      </c>
      <c r="H3057" s="5" t="s">
        <v>1435</v>
      </c>
      <c r="I3057" s="13">
        <v>121.64</v>
      </c>
      <c r="J3057" s="19">
        <v>4</v>
      </c>
      <c r="K3057" s="14">
        <v>8.1143999999999998</v>
      </c>
    </row>
    <row r="3058" spans="1:11" x14ac:dyDescent="0.25">
      <c r="A3058" s="2">
        <v>43917</v>
      </c>
      <c r="B3058" s="18">
        <f t="shared" si="94"/>
        <v>2020</v>
      </c>
      <c r="C3058" s="18">
        <f t="shared" si="95"/>
        <v>3</v>
      </c>
      <c r="D3058" s="3" t="s">
        <v>2201</v>
      </c>
      <c r="E3058" s="3" t="s">
        <v>18</v>
      </c>
      <c r="F3058" s="3" t="s">
        <v>19</v>
      </c>
      <c r="G3058" s="3" t="s">
        <v>53</v>
      </c>
      <c r="H3058" s="3" t="s">
        <v>2205</v>
      </c>
      <c r="I3058" s="11">
        <v>111.94</v>
      </c>
      <c r="J3058" s="18">
        <v>3</v>
      </c>
      <c r="K3058" s="12">
        <v>5.97</v>
      </c>
    </row>
    <row r="3059" spans="1:11" x14ac:dyDescent="0.25">
      <c r="A3059" s="4">
        <v>43917</v>
      </c>
      <c r="B3059" s="19">
        <f t="shared" si="94"/>
        <v>2020</v>
      </c>
      <c r="C3059" s="19">
        <f t="shared" si="95"/>
        <v>3</v>
      </c>
      <c r="D3059" s="5" t="s">
        <v>298</v>
      </c>
      <c r="E3059" s="5" t="s">
        <v>181</v>
      </c>
      <c r="F3059" s="5" t="s">
        <v>19</v>
      </c>
      <c r="G3059" s="5" t="s">
        <v>32</v>
      </c>
      <c r="H3059" s="5" t="s">
        <v>2206</v>
      </c>
      <c r="I3059" s="13">
        <v>146.76</v>
      </c>
      <c r="J3059" s="19">
        <v>2</v>
      </c>
      <c r="K3059" s="14">
        <v>8.8800000000000008</v>
      </c>
    </row>
    <row r="3060" spans="1:11" x14ac:dyDescent="0.25">
      <c r="A3060" s="2">
        <v>43917</v>
      </c>
      <c r="B3060" s="18">
        <f t="shared" si="94"/>
        <v>2020</v>
      </c>
      <c r="C3060" s="18">
        <f t="shared" si="95"/>
        <v>3</v>
      </c>
      <c r="D3060" s="3" t="s">
        <v>375</v>
      </c>
      <c r="E3060" s="3" t="s">
        <v>23</v>
      </c>
      <c r="F3060" s="3" t="s">
        <v>14</v>
      </c>
      <c r="G3060" s="3" t="s">
        <v>24</v>
      </c>
      <c r="H3060" s="3" t="s">
        <v>1830</v>
      </c>
      <c r="I3060" s="11">
        <v>139.99199999999999</v>
      </c>
      <c r="J3060" s="18">
        <v>1</v>
      </c>
      <c r="K3060" s="12">
        <v>6.9985999999999997</v>
      </c>
    </row>
    <row r="3061" spans="1:11" x14ac:dyDescent="0.25">
      <c r="A3061" s="4">
        <v>43917</v>
      </c>
      <c r="B3061" s="19">
        <f t="shared" si="94"/>
        <v>2020</v>
      </c>
      <c r="C3061" s="19">
        <f t="shared" si="95"/>
        <v>3</v>
      </c>
      <c r="D3061" s="5" t="s">
        <v>2201</v>
      </c>
      <c r="E3061" s="5" t="s">
        <v>18</v>
      </c>
      <c r="F3061" s="5" t="s">
        <v>19</v>
      </c>
      <c r="G3061" s="5" t="s">
        <v>53</v>
      </c>
      <c r="H3061" s="5" t="s">
        <v>1722</v>
      </c>
      <c r="I3061" s="13">
        <v>130.68</v>
      </c>
      <c r="J3061" s="19">
        <v>2</v>
      </c>
      <c r="K3061" s="14">
        <v>21.012799999999999</v>
      </c>
    </row>
    <row r="3062" spans="1:11" x14ac:dyDescent="0.25">
      <c r="A3062" s="2">
        <v>43918</v>
      </c>
      <c r="B3062" s="18">
        <f t="shared" si="94"/>
        <v>2020</v>
      </c>
      <c r="C3062" s="18">
        <f t="shared" si="95"/>
        <v>3</v>
      </c>
      <c r="D3062" s="3" t="s">
        <v>180</v>
      </c>
      <c r="E3062" s="3" t="s">
        <v>44</v>
      </c>
      <c r="F3062" s="3" t="s">
        <v>19</v>
      </c>
      <c r="G3062" s="3" t="s">
        <v>32</v>
      </c>
      <c r="H3062" s="3" t="s">
        <v>1768</v>
      </c>
      <c r="I3062" s="11">
        <v>105.742</v>
      </c>
      <c r="J3062" s="18">
        <v>9</v>
      </c>
      <c r="K3062" s="12">
        <v>-48.119399999999999</v>
      </c>
    </row>
    <row r="3063" spans="1:11" x14ac:dyDescent="0.25">
      <c r="A3063" s="4">
        <v>43918</v>
      </c>
      <c r="B3063" s="19">
        <f t="shared" si="94"/>
        <v>2020</v>
      </c>
      <c r="C3063" s="19">
        <f t="shared" si="95"/>
        <v>3</v>
      </c>
      <c r="D3063" s="5" t="s">
        <v>1114</v>
      </c>
      <c r="E3063" s="5" t="s">
        <v>18</v>
      </c>
      <c r="F3063" s="5" t="s">
        <v>14</v>
      </c>
      <c r="G3063" s="5" t="s">
        <v>188</v>
      </c>
      <c r="H3063" s="5" t="s">
        <v>2207</v>
      </c>
      <c r="I3063" s="13">
        <v>555.72</v>
      </c>
      <c r="J3063" s="19">
        <v>2</v>
      </c>
      <c r="K3063" s="14">
        <v>53.271999999999998</v>
      </c>
    </row>
    <row r="3064" spans="1:11" x14ac:dyDescent="0.25">
      <c r="A3064" s="2">
        <v>43918</v>
      </c>
      <c r="B3064" s="18">
        <f t="shared" si="94"/>
        <v>2020</v>
      </c>
      <c r="C3064" s="18">
        <f t="shared" si="95"/>
        <v>3</v>
      </c>
      <c r="D3064" s="3" t="s">
        <v>1114</v>
      </c>
      <c r="E3064" s="3" t="s">
        <v>18</v>
      </c>
      <c r="F3064" s="3" t="s">
        <v>19</v>
      </c>
      <c r="G3064" s="3" t="s">
        <v>20</v>
      </c>
      <c r="H3064" s="3" t="s">
        <v>1405</v>
      </c>
      <c r="I3064" s="11">
        <v>830.48</v>
      </c>
      <c r="J3064" s="18">
        <v>7</v>
      </c>
      <c r="K3064" s="12">
        <v>7.9547999999999996</v>
      </c>
    </row>
    <row r="3065" spans="1:11" x14ac:dyDescent="0.25">
      <c r="A3065" s="4">
        <v>43918</v>
      </c>
      <c r="B3065" s="19">
        <f t="shared" si="94"/>
        <v>2020</v>
      </c>
      <c r="C3065" s="19">
        <f t="shared" si="95"/>
        <v>3</v>
      </c>
      <c r="D3065" s="5" t="s">
        <v>1114</v>
      </c>
      <c r="E3065" s="5" t="s">
        <v>18</v>
      </c>
      <c r="F3065" s="5" t="s">
        <v>19</v>
      </c>
      <c r="G3065" s="5" t="s">
        <v>53</v>
      </c>
      <c r="H3065" s="5" t="s">
        <v>1046</v>
      </c>
      <c r="I3065" s="13">
        <v>90.96</v>
      </c>
      <c r="J3065" s="19">
        <v>2</v>
      </c>
      <c r="K3065" s="14">
        <v>6.3503999999999996</v>
      </c>
    </row>
    <row r="3066" spans="1:11" x14ac:dyDescent="0.25">
      <c r="A3066" s="2">
        <v>43918</v>
      </c>
      <c r="B3066" s="18">
        <f t="shared" si="94"/>
        <v>2020</v>
      </c>
      <c r="C3066" s="18">
        <f t="shared" si="95"/>
        <v>3</v>
      </c>
      <c r="D3066" s="3" t="s">
        <v>1114</v>
      </c>
      <c r="E3066" s="3" t="s">
        <v>18</v>
      </c>
      <c r="F3066" s="3" t="s">
        <v>11</v>
      </c>
      <c r="G3066" s="3" t="s">
        <v>51</v>
      </c>
      <c r="H3066" s="3" t="s">
        <v>2208</v>
      </c>
      <c r="I3066" s="11">
        <v>127.56</v>
      </c>
      <c r="J3066" s="18">
        <v>7</v>
      </c>
      <c r="K3066" s="12">
        <v>6.8992000000000004</v>
      </c>
    </row>
    <row r="3067" spans="1:11" x14ac:dyDescent="0.25">
      <c r="A3067" s="4">
        <v>43918</v>
      </c>
      <c r="B3067" s="19">
        <f t="shared" si="94"/>
        <v>2020</v>
      </c>
      <c r="C3067" s="19">
        <f t="shared" si="95"/>
        <v>3</v>
      </c>
      <c r="D3067" s="5" t="s">
        <v>1114</v>
      </c>
      <c r="E3067" s="5" t="s">
        <v>18</v>
      </c>
      <c r="F3067" s="5" t="s">
        <v>19</v>
      </c>
      <c r="G3067" s="5" t="s">
        <v>53</v>
      </c>
      <c r="H3067" s="5" t="s">
        <v>1565</v>
      </c>
      <c r="I3067" s="13">
        <v>139.72</v>
      </c>
      <c r="J3067" s="19">
        <v>4</v>
      </c>
      <c r="K3067" s="14">
        <v>12.8256</v>
      </c>
    </row>
    <row r="3068" spans="1:11" x14ac:dyDescent="0.25">
      <c r="A3068" s="2">
        <v>43918</v>
      </c>
      <c r="B3068" s="18">
        <f t="shared" si="94"/>
        <v>2020</v>
      </c>
      <c r="C3068" s="18">
        <f t="shared" si="95"/>
        <v>3</v>
      </c>
      <c r="D3068" s="3" t="s">
        <v>1114</v>
      </c>
      <c r="E3068" s="3" t="s">
        <v>18</v>
      </c>
      <c r="F3068" s="3" t="s">
        <v>11</v>
      </c>
      <c r="G3068" s="3" t="s">
        <v>51</v>
      </c>
      <c r="H3068" s="3" t="s">
        <v>2209</v>
      </c>
      <c r="I3068" s="11">
        <v>153.47999999999999</v>
      </c>
      <c r="J3068" s="18">
        <v>1</v>
      </c>
      <c r="K3068" s="12">
        <v>10.0624</v>
      </c>
    </row>
    <row r="3069" spans="1:11" x14ac:dyDescent="0.25">
      <c r="A3069" s="4">
        <v>43918</v>
      </c>
      <c r="B3069" s="19">
        <f t="shared" si="94"/>
        <v>2020</v>
      </c>
      <c r="C3069" s="19">
        <f t="shared" si="95"/>
        <v>3</v>
      </c>
      <c r="D3069" s="5" t="s">
        <v>1114</v>
      </c>
      <c r="E3069" s="5" t="s">
        <v>18</v>
      </c>
      <c r="F3069" s="5" t="s">
        <v>19</v>
      </c>
      <c r="G3069" s="5" t="s">
        <v>53</v>
      </c>
      <c r="H3069" s="5" t="s">
        <v>1984</v>
      </c>
      <c r="I3069" s="13">
        <v>150.04</v>
      </c>
      <c r="J3069" s="19">
        <v>3</v>
      </c>
      <c r="K3069" s="14">
        <v>9.6191999999999993</v>
      </c>
    </row>
    <row r="3070" spans="1:11" x14ac:dyDescent="0.25">
      <c r="A3070" s="2">
        <v>43919</v>
      </c>
      <c r="B3070" s="18">
        <f t="shared" si="94"/>
        <v>2020</v>
      </c>
      <c r="C3070" s="18">
        <f t="shared" si="95"/>
        <v>3</v>
      </c>
      <c r="D3070" s="3" t="s">
        <v>821</v>
      </c>
      <c r="E3070" s="3" t="s">
        <v>317</v>
      </c>
      <c r="F3070" s="3" t="s">
        <v>19</v>
      </c>
      <c r="G3070" s="3" t="s">
        <v>20</v>
      </c>
      <c r="H3070" s="3" t="s">
        <v>2210</v>
      </c>
      <c r="I3070" s="11">
        <v>163.4</v>
      </c>
      <c r="J3070" s="18">
        <v>5</v>
      </c>
      <c r="K3070" s="12">
        <v>21.164000000000001</v>
      </c>
    </row>
    <row r="3071" spans="1:11" x14ac:dyDescent="0.25">
      <c r="A3071" s="4">
        <v>43920</v>
      </c>
      <c r="B3071" s="19">
        <f t="shared" si="94"/>
        <v>2020</v>
      </c>
      <c r="C3071" s="19">
        <f t="shared" si="95"/>
        <v>3</v>
      </c>
      <c r="D3071" s="5" t="s">
        <v>2211</v>
      </c>
      <c r="E3071" s="5" t="s">
        <v>18</v>
      </c>
      <c r="F3071" s="5" t="s">
        <v>11</v>
      </c>
      <c r="G3071" s="5" t="s">
        <v>51</v>
      </c>
      <c r="H3071" s="5" t="s">
        <v>736</v>
      </c>
      <c r="I3071" s="13">
        <v>121.2</v>
      </c>
      <c r="J3071" s="19">
        <v>5</v>
      </c>
      <c r="K3071" s="14">
        <v>39.564</v>
      </c>
    </row>
    <row r="3072" spans="1:11" x14ac:dyDescent="0.25">
      <c r="A3072" s="2">
        <v>43920</v>
      </c>
      <c r="B3072" s="18">
        <f t="shared" si="94"/>
        <v>2020</v>
      </c>
      <c r="C3072" s="18">
        <f t="shared" si="95"/>
        <v>3</v>
      </c>
      <c r="D3072" s="3" t="s">
        <v>625</v>
      </c>
      <c r="E3072" s="3" t="s">
        <v>18</v>
      </c>
      <c r="F3072" s="3" t="s">
        <v>14</v>
      </c>
      <c r="G3072" s="3" t="s">
        <v>15</v>
      </c>
      <c r="H3072" s="3" t="s">
        <v>1526</v>
      </c>
      <c r="I3072" s="11">
        <v>188.792</v>
      </c>
      <c r="J3072" s="18">
        <v>1</v>
      </c>
      <c r="K3072" s="12">
        <v>18.539100000000001</v>
      </c>
    </row>
    <row r="3073" spans="1:11" x14ac:dyDescent="0.25">
      <c r="A3073" s="4">
        <v>43920</v>
      </c>
      <c r="B3073" s="19">
        <f t="shared" si="94"/>
        <v>2020</v>
      </c>
      <c r="C3073" s="19">
        <f t="shared" si="95"/>
        <v>3</v>
      </c>
      <c r="D3073" s="5" t="s">
        <v>2212</v>
      </c>
      <c r="E3073" s="5" t="s">
        <v>29</v>
      </c>
      <c r="F3073" s="5" t="s">
        <v>19</v>
      </c>
      <c r="G3073" s="5" t="s">
        <v>86</v>
      </c>
      <c r="H3073" s="5" t="s">
        <v>2213</v>
      </c>
      <c r="I3073" s="13">
        <v>370.86</v>
      </c>
      <c r="J3073" s="19">
        <v>2</v>
      </c>
      <c r="K3073" s="14">
        <v>149.8956</v>
      </c>
    </row>
    <row r="3074" spans="1:11" x14ac:dyDescent="0.25">
      <c r="A3074" s="2">
        <v>43920</v>
      </c>
      <c r="B3074" s="18">
        <f t="shared" ref="B3074:B3137" si="96">YEAR(A3074)</f>
        <v>2020</v>
      </c>
      <c r="C3074" s="18">
        <f t="shared" ref="C3074:C3137" si="97">MONTH(A3074)</f>
        <v>3</v>
      </c>
      <c r="D3074" s="3" t="s">
        <v>625</v>
      </c>
      <c r="E3074" s="3" t="s">
        <v>18</v>
      </c>
      <c r="F3074" s="3" t="s">
        <v>19</v>
      </c>
      <c r="G3074" s="3" t="s">
        <v>40</v>
      </c>
      <c r="H3074" s="3" t="s">
        <v>1640</v>
      </c>
      <c r="I3074" s="11">
        <v>70.08</v>
      </c>
      <c r="J3074" s="18">
        <v>2</v>
      </c>
      <c r="K3074" s="12">
        <v>2.0672000000000001</v>
      </c>
    </row>
    <row r="3075" spans="1:11" x14ac:dyDescent="0.25">
      <c r="A3075" s="4">
        <v>43920</v>
      </c>
      <c r="B3075" s="19">
        <f t="shared" si="96"/>
        <v>2020</v>
      </c>
      <c r="C3075" s="19">
        <f t="shared" si="97"/>
        <v>3</v>
      </c>
      <c r="D3075" s="5" t="s">
        <v>1142</v>
      </c>
      <c r="E3075" s="5" t="s">
        <v>39</v>
      </c>
      <c r="F3075" s="5" t="s">
        <v>19</v>
      </c>
      <c r="G3075" s="5" t="s">
        <v>32</v>
      </c>
      <c r="H3075" s="5" t="s">
        <v>1049</v>
      </c>
      <c r="I3075" s="13">
        <v>115.715</v>
      </c>
      <c r="J3075" s="19">
        <v>5</v>
      </c>
      <c r="K3075" s="14">
        <v>-4.7625000000000002</v>
      </c>
    </row>
    <row r="3076" spans="1:11" x14ac:dyDescent="0.25">
      <c r="A3076" s="2">
        <v>43920</v>
      </c>
      <c r="B3076" s="18">
        <f t="shared" si="96"/>
        <v>2020</v>
      </c>
      <c r="C3076" s="18">
        <f t="shared" si="97"/>
        <v>3</v>
      </c>
      <c r="D3076" s="3" t="s">
        <v>508</v>
      </c>
      <c r="E3076" s="3" t="s">
        <v>109</v>
      </c>
      <c r="F3076" s="3" t="s">
        <v>19</v>
      </c>
      <c r="G3076" s="3" t="s">
        <v>20</v>
      </c>
      <c r="H3076" s="3" t="s">
        <v>2214</v>
      </c>
      <c r="I3076" s="11">
        <v>154.76</v>
      </c>
      <c r="J3076" s="18">
        <v>1</v>
      </c>
      <c r="K3076" s="12">
        <v>16.732800000000001</v>
      </c>
    </row>
    <row r="3077" spans="1:11" x14ac:dyDescent="0.25">
      <c r="A3077" s="4">
        <v>43921</v>
      </c>
      <c r="B3077" s="19">
        <f t="shared" si="96"/>
        <v>2020</v>
      </c>
      <c r="C3077" s="19">
        <f t="shared" si="97"/>
        <v>3</v>
      </c>
      <c r="D3077" s="5" t="s">
        <v>540</v>
      </c>
      <c r="E3077" s="5" t="s">
        <v>195</v>
      </c>
      <c r="F3077" s="5" t="s">
        <v>11</v>
      </c>
      <c r="G3077" s="5" t="s">
        <v>51</v>
      </c>
      <c r="H3077" s="5" t="s">
        <v>1328</v>
      </c>
      <c r="I3077" s="13">
        <v>103</v>
      </c>
      <c r="J3077" s="19">
        <v>5</v>
      </c>
      <c r="K3077" s="14">
        <v>25.62</v>
      </c>
    </row>
    <row r="3078" spans="1:11" x14ac:dyDescent="0.25">
      <c r="A3078" s="2">
        <v>43921</v>
      </c>
      <c r="B3078" s="18">
        <f t="shared" si="96"/>
        <v>2020</v>
      </c>
      <c r="C3078" s="18">
        <f t="shared" si="97"/>
        <v>3</v>
      </c>
      <c r="D3078" s="3" t="s">
        <v>853</v>
      </c>
      <c r="E3078" s="3" t="s">
        <v>94</v>
      </c>
      <c r="F3078" s="3" t="s">
        <v>14</v>
      </c>
      <c r="G3078" s="3" t="s">
        <v>15</v>
      </c>
      <c r="H3078" s="3" t="s">
        <v>2215</v>
      </c>
      <c r="I3078" s="11">
        <v>124.95</v>
      </c>
      <c r="J3078" s="18">
        <v>5</v>
      </c>
      <c r="K3078" s="12">
        <v>22.087</v>
      </c>
    </row>
    <row r="3079" spans="1:11" x14ac:dyDescent="0.25">
      <c r="A3079" s="4">
        <v>43921</v>
      </c>
      <c r="B3079" s="19">
        <f t="shared" si="96"/>
        <v>2020</v>
      </c>
      <c r="C3079" s="19">
        <f t="shared" si="97"/>
        <v>3</v>
      </c>
      <c r="D3079" s="5" t="s">
        <v>502</v>
      </c>
      <c r="E3079" s="5" t="s">
        <v>23</v>
      </c>
      <c r="F3079" s="5" t="s">
        <v>11</v>
      </c>
      <c r="G3079" s="5" t="s">
        <v>12</v>
      </c>
      <c r="H3079" s="5" t="s">
        <v>2216</v>
      </c>
      <c r="I3079" s="13">
        <v>242.33279999999999</v>
      </c>
      <c r="J3079" s="19">
        <v>2</v>
      </c>
      <c r="K3079" s="14">
        <v>-36.235199999999999</v>
      </c>
    </row>
    <row r="3080" spans="1:11" x14ac:dyDescent="0.25">
      <c r="A3080" s="2">
        <v>43921</v>
      </c>
      <c r="B3080" s="18">
        <f t="shared" si="96"/>
        <v>2020</v>
      </c>
      <c r="C3080" s="18">
        <f t="shared" si="97"/>
        <v>3</v>
      </c>
      <c r="D3080" s="3" t="s">
        <v>540</v>
      </c>
      <c r="E3080" s="3" t="s">
        <v>195</v>
      </c>
      <c r="F3080" s="3" t="s">
        <v>14</v>
      </c>
      <c r="G3080" s="3" t="s">
        <v>15</v>
      </c>
      <c r="H3080" s="3" t="s">
        <v>2130</v>
      </c>
      <c r="I3080" s="11">
        <v>706.93</v>
      </c>
      <c r="J3080" s="18">
        <v>7</v>
      </c>
      <c r="K3080" s="12">
        <v>188.1404</v>
      </c>
    </row>
    <row r="3081" spans="1:11" x14ac:dyDescent="0.25">
      <c r="A3081" s="4">
        <v>43921</v>
      </c>
      <c r="B3081" s="19">
        <f t="shared" si="96"/>
        <v>2020</v>
      </c>
      <c r="C3081" s="19">
        <f t="shared" si="97"/>
        <v>3</v>
      </c>
      <c r="D3081" s="5" t="s">
        <v>2217</v>
      </c>
      <c r="E3081" s="5" t="s">
        <v>94</v>
      </c>
      <c r="F3081" s="5" t="s">
        <v>14</v>
      </c>
      <c r="G3081" s="5" t="s">
        <v>15</v>
      </c>
      <c r="H3081" s="5" t="s">
        <v>1867</v>
      </c>
      <c r="I3081" s="13">
        <v>720.58</v>
      </c>
      <c r="J3081" s="19">
        <v>3</v>
      </c>
      <c r="K3081" s="14">
        <v>176.17080000000001</v>
      </c>
    </row>
    <row r="3082" spans="1:11" x14ac:dyDescent="0.25">
      <c r="A3082" s="2">
        <v>43921</v>
      </c>
      <c r="B3082" s="18">
        <f t="shared" si="96"/>
        <v>2020</v>
      </c>
      <c r="C3082" s="18">
        <f t="shared" si="97"/>
        <v>3</v>
      </c>
      <c r="D3082" s="3" t="s">
        <v>892</v>
      </c>
      <c r="E3082" s="3" t="s">
        <v>109</v>
      </c>
      <c r="F3082" s="3" t="s">
        <v>14</v>
      </c>
      <c r="G3082" s="3" t="s">
        <v>36</v>
      </c>
      <c r="H3082" s="3" t="s">
        <v>1287</v>
      </c>
      <c r="I3082" s="11">
        <v>3013.95</v>
      </c>
      <c r="J3082" s="18">
        <v>5</v>
      </c>
      <c r="K3082" s="12">
        <v>1439.9760000000001</v>
      </c>
    </row>
    <row r="3083" spans="1:11" x14ac:dyDescent="0.25">
      <c r="A3083" s="4">
        <v>43921</v>
      </c>
      <c r="B3083" s="19">
        <f t="shared" si="96"/>
        <v>2020</v>
      </c>
      <c r="C3083" s="19">
        <f t="shared" si="97"/>
        <v>3</v>
      </c>
      <c r="D3083" s="5" t="s">
        <v>1968</v>
      </c>
      <c r="E3083" s="5" t="s">
        <v>164</v>
      </c>
      <c r="F3083" s="5" t="s">
        <v>19</v>
      </c>
      <c r="G3083" s="5" t="s">
        <v>32</v>
      </c>
      <c r="H3083" s="5" t="s">
        <v>2218</v>
      </c>
      <c r="I3083" s="13">
        <v>95.468000000000004</v>
      </c>
      <c r="J3083" s="19">
        <v>13</v>
      </c>
      <c r="K3083" s="14">
        <v>-22.895600000000002</v>
      </c>
    </row>
    <row r="3084" spans="1:11" x14ac:dyDescent="0.25">
      <c r="A3084" s="2">
        <v>43921</v>
      </c>
      <c r="B3084" s="18">
        <f t="shared" si="96"/>
        <v>2020</v>
      </c>
      <c r="C3084" s="18">
        <f t="shared" si="97"/>
        <v>3</v>
      </c>
      <c r="D3084" s="3" t="s">
        <v>142</v>
      </c>
      <c r="E3084" s="3" t="s">
        <v>18</v>
      </c>
      <c r="F3084" s="3" t="s">
        <v>19</v>
      </c>
      <c r="G3084" s="3" t="s">
        <v>265</v>
      </c>
      <c r="H3084" s="3" t="s">
        <v>1870</v>
      </c>
      <c r="I3084" s="11">
        <v>104.7</v>
      </c>
      <c r="J3084" s="18">
        <v>3</v>
      </c>
      <c r="K3084" s="12">
        <v>8.0190000000000001</v>
      </c>
    </row>
    <row r="3085" spans="1:11" x14ac:dyDescent="0.25">
      <c r="A3085" s="4">
        <v>43921</v>
      </c>
      <c r="B3085" s="19">
        <f t="shared" si="96"/>
        <v>2020</v>
      </c>
      <c r="C3085" s="19">
        <f t="shared" si="97"/>
        <v>3</v>
      </c>
      <c r="D3085" s="5" t="s">
        <v>892</v>
      </c>
      <c r="E3085" s="5" t="s">
        <v>109</v>
      </c>
      <c r="F3085" s="5" t="s">
        <v>19</v>
      </c>
      <c r="G3085" s="5" t="s">
        <v>32</v>
      </c>
      <c r="H3085" s="5" t="s">
        <v>464</v>
      </c>
      <c r="I3085" s="13">
        <v>118.54</v>
      </c>
      <c r="J3085" s="19">
        <v>1</v>
      </c>
      <c r="K3085" s="14">
        <v>17.27</v>
      </c>
    </row>
    <row r="3086" spans="1:11" x14ac:dyDescent="0.25">
      <c r="A3086" s="2">
        <v>43921</v>
      </c>
      <c r="B3086" s="18">
        <f t="shared" si="96"/>
        <v>2020</v>
      </c>
      <c r="C3086" s="18">
        <f t="shared" si="97"/>
        <v>3</v>
      </c>
      <c r="D3086" s="3" t="s">
        <v>2217</v>
      </c>
      <c r="E3086" s="3" t="s">
        <v>94</v>
      </c>
      <c r="F3086" s="3" t="s">
        <v>11</v>
      </c>
      <c r="G3086" s="3" t="s">
        <v>51</v>
      </c>
      <c r="H3086" s="3" t="s">
        <v>2137</v>
      </c>
      <c r="I3086" s="11">
        <v>160.78</v>
      </c>
      <c r="J3086" s="18">
        <v>2</v>
      </c>
      <c r="K3086" s="12">
        <v>8.0405999999999995</v>
      </c>
    </row>
    <row r="3087" spans="1:11" x14ac:dyDescent="0.25">
      <c r="A3087" s="4">
        <v>43921</v>
      </c>
      <c r="B3087" s="19">
        <f t="shared" si="96"/>
        <v>2020</v>
      </c>
      <c r="C3087" s="19">
        <f t="shared" si="97"/>
        <v>3</v>
      </c>
      <c r="D3087" s="5" t="s">
        <v>2219</v>
      </c>
      <c r="E3087" s="5" t="s">
        <v>23</v>
      </c>
      <c r="F3087" s="5" t="s">
        <v>19</v>
      </c>
      <c r="G3087" s="5" t="s">
        <v>121</v>
      </c>
      <c r="H3087" s="5" t="s">
        <v>2220</v>
      </c>
      <c r="I3087" s="13">
        <v>161.62</v>
      </c>
      <c r="J3087" s="19">
        <v>5</v>
      </c>
      <c r="K3087" s="14">
        <v>-90.774000000000001</v>
      </c>
    </row>
    <row r="3088" spans="1:11" x14ac:dyDescent="0.25">
      <c r="A3088" s="2">
        <v>43921</v>
      </c>
      <c r="B3088" s="18">
        <f t="shared" si="96"/>
        <v>2020</v>
      </c>
      <c r="C3088" s="18">
        <f t="shared" si="97"/>
        <v>3</v>
      </c>
      <c r="D3088" s="3" t="s">
        <v>892</v>
      </c>
      <c r="E3088" s="3" t="s">
        <v>109</v>
      </c>
      <c r="F3088" s="3" t="s">
        <v>19</v>
      </c>
      <c r="G3088" s="3" t="s">
        <v>32</v>
      </c>
      <c r="H3088" s="3" t="s">
        <v>1889</v>
      </c>
      <c r="I3088" s="11">
        <v>156.12</v>
      </c>
      <c r="J3088" s="18">
        <v>4</v>
      </c>
      <c r="K3088" s="12">
        <v>30.7776</v>
      </c>
    </row>
    <row r="3089" spans="1:11" x14ac:dyDescent="0.25">
      <c r="A3089" s="4">
        <v>43921</v>
      </c>
      <c r="B3089" s="19">
        <f t="shared" si="96"/>
        <v>2020</v>
      </c>
      <c r="C3089" s="19">
        <f t="shared" si="97"/>
        <v>3</v>
      </c>
      <c r="D3089" s="5" t="s">
        <v>2217</v>
      </c>
      <c r="E3089" s="5" t="s">
        <v>94</v>
      </c>
      <c r="F3089" s="5" t="s">
        <v>19</v>
      </c>
      <c r="G3089" s="5" t="s">
        <v>53</v>
      </c>
      <c r="H3089" s="5" t="s">
        <v>1373</v>
      </c>
      <c r="I3089" s="13">
        <v>182.04</v>
      </c>
      <c r="J3089" s="19">
        <v>8</v>
      </c>
      <c r="K3089" s="14">
        <v>36.019199999999998</v>
      </c>
    </row>
    <row r="3090" spans="1:11" x14ac:dyDescent="0.25">
      <c r="A3090" s="2">
        <v>43922</v>
      </c>
      <c r="B3090" s="18">
        <f t="shared" si="96"/>
        <v>2020</v>
      </c>
      <c r="C3090" s="18">
        <f t="shared" si="97"/>
        <v>4</v>
      </c>
      <c r="D3090" s="3" t="s">
        <v>747</v>
      </c>
      <c r="E3090" s="3" t="s">
        <v>472</v>
      </c>
      <c r="F3090" s="3" t="s">
        <v>19</v>
      </c>
      <c r="G3090" s="3" t="s">
        <v>20</v>
      </c>
      <c r="H3090" s="3" t="s">
        <v>505</v>
      </c>
      <c r="I3090" s="11">
        <v>111.2</v>
      </c>
      <c r="J3090" s="18">
        <v>6</v>
      </c>
      <c r="K3090" s="12">
        <v>23.55</v>
      </c>
    </row>
    <row r="3091" spans="1:11" x14ac:dyDescent="0.25">
      <c r="A3091" s="4">
        <v>43922</v>
      </c>
      <c r="B3091" s="19">
        <f t="shared" si="96"/>
        <v>2020</v>
      </c>
      <c r="C3091" s="19">
        <f t="shared" si="97"/>
        <v>4</v>
      </c>
      <c r="D3091" s="5" t="s">
        <v>798</v>
      </c>
      <c r="E3091" s="5" t="s">
        <v>1148</v>
      </c>
      <c r="F3091" s="5" t="s">
        <v>11</v>
      </c>
      <c r="G3091" s="5" t="s">
        <v>51</v>
      </c>
      <c r="H3091" s="5" t="s">
        <v>353</v>
      </c>
      <c r="I3091" s="13">
        <v>158.94999999999999</v>
      </c>
      <c r="J3091" s="19">
        <v>3</v>
      </c>
      <c r="K3091" s="14">
        <v>21.7515</v>
      </c>
    </row>
    <row r="3092" spans="1:11" x14ac:dyDescent="0.25">
      <c r="A3092" s="2">
        <v>43922</v>
      </c>
      <c r="B3092" s="18">
        <f t="shared" si="96"/>
        <v>2020</v>
      </c>
      <c r="C3092" s="18">
        <f t="shared" si="97"/>
        <v>4</v>
      </c>
      <c r="D3092" s="3" t="s">
        <v>200</v>
      </c>
      <c r="E3092" s="3" t="s">
        <v>18</v>
      </c>
      <c r="F3092" s="3" t="s">
        <v>19</v>
      </c>
      <c r="G3092" s="3" t="s">
        <v>32</v>
      </c>
      <c r="H3092" s="3" t="s">
        <v>1809</v>
      </c>
      <c r="I3092" s="11">
        <v>166.68</v>
      </c>
      <c r="J3092" s="18">
        <v>13</v>
      </c>
      <c r="K3092" s="12">
        <v>38.024999999999999</v>
      </c>
    </row>
    <row r="3093" spans="1:11" x14ac:dyDescent="0.25">
      <c r="A3093" s="4">
        <v>43922</v>
      </c>
      <c r="B3093" s="19">
        <f t="shared" si="96"/>
        <v>2020</v>
      </c>
      <c r="C3093" s="19">
        <f t="shared" si="97"/>
        <v>4</v>
      </c>
      <c r="D3093" s="5" t="s">
        <v>1180</v>
      </c>
      <c r="E3093" s="5" t="s">
        <v>44</v>
      </c>
      <c r="F3093" s="5" t="s">
        <v>11</v>
      </c>
      <c r="G3093" s="5" t="s">
        <v>112</v>
      </c>
      <c r="H3093" s="5" t="s">
        <v>1847</v>
      </c>
      <c r="I3093" s="13">
        <v>234.352</v>
      </c>
      <c r="J3093" s="19">
        <v>3</v>
      </c>
      <c r="K3093" s="14">
        <v>-19.105799999999999</v>
      </c>
    </row>
    <row r="3094" spans="1:11" x14ac:dyDescent="0.25">
      <c r="A3094" s="2">
        <v>43922</v>
      </c>
      <c r="B3094" s="18">
        <f t="shared" si="96"/>
        <v>2020</v>
      </c>
      <c r="C3094" s="18">
        <f t="shared" si="97"/>
        <v>4</v>
      </c>
      <c r="D3094" s="3" t="s">
        <v>1946</v>
      </c>
      <c r="E3094" s="3" t="s">
        <v>18</v>
      </c>
      <c r="F3094" s="3" t="s">
        <v>11</v>
      </c>
      <c r="G3094" s="3" t="s">
        <v>12</v>
      </c>
      <c r="H3094" s="3" t="s">
        <v>1483</v>
      </c>
      <c r="I3094" s="11">
        <v>527.66399999999999</v>
      </c>
      <c r="J3094" s="18">
        <v>8</v>
      </c>
      <c r="K3094" s="12">
        <v>85.176000000000002</v>
      </c>
    </row>
    <row r="3095" spans="1:11" x14ac:dyDescent="0.25">
      <c r="A3095" s="4">
        <v>43922</v>
      </c>
      <c r="B3095" s="19">
        <f t="shared" si="96"/>
        <v>2020</v>
      </c>
      <c r="C3095" s="19">
        <f t="shared" si="97"/>
        <v>4</v>
      </c>
      <c r="D3095" s="5" t="s">
        <v>1946</v>
      </c>
      <c r="E3095" s="5" t="s">
        <v>18</v>
      </c>
      <c r="F3095" s="5" t="s">
        <v>14</v>
      </c>
      <c r="G3095" s="5" t="s">
        <v>188</v>
      </c>
      <c r="H3095" s="5" t="s">
        <v>1926</v>
      </c>
      <c r="I3095" s="13">
        <v>4823.9840000000004</v>
      </c>
      <c r="J3095" s="19">
        <v>2</v>
      </c>
      <c r="K3095" s="14">
        <v>359.99880000000002</v>
      </c>
    </row>
    <row r="3096" spans="1:11" x14ac:dyDescent="0.25">
      <c r="A3096" s="2">
        <v>43922</v>
      </c>
      <c r="B3096" s="18">
        <f t="shared" si="96"/>
        <v>2020</v>
      </c>
      <c r="C3096" s="18">
        <f t="shared" si="97"/>
        <v>4</v>
      </c>
      <c r="D3096" s="3" t="s">
        <v>1180</v>
      </c>
      <c r="E3096" s="3" t="s">
        <v>44</v>
      </c>
      <c r="F3096" s="3" t="s">
        <v>19</v>
      </c>
      <c r="G3096" s="3" t="s">
        <v>127</v>
      </c>
      <c r="H3096" s="3" t="s">
        <v>1261</v>
      </c>
      <c r="I3096" s="11">
        <v>116.264</v>
      </c>
      <c r="J3096" s="18">
        <v>3</v>
      </c>
      <c r="K3096" s="12">
        <v>2.0358000000000001</v>
      </c>
    </row>
    <row r="3097" spans="1:11" x14ac:dyDescent="0.25">
      <c r="A3097" s="4">
        <v>43922</v>
      </c>
      <c r="B3097" s="19">
        <f t="shared" si="96"/>
        <v>2020</v>
      </c>
      <c r="C3097" s="19">
        <f t="shared" si="97"/>
        <v>4</v>
      </c>
      <c r="D3097" s="5" t="s">
        <v>1180</v>
      </c>
      <c r="E3097" s="5" t="s">
        <v>44</v>
      </c>
      <c r="F3097" s="5" t="s">
        <v>14</v>
      </c>
      <c r="G3097" s="5" t="s">
        <v>15</v>
      </c>
      <c r="H3097" s="5" t="s">
        <v>234</v>
      </c>
      <c r="I3097" s="13">
        <v>111.976</v>
      </c>
      <c r="J3097" s="19">
        <v>3</v>
      </c>
      <c r="K3097" s="14">
        <v>-5.6943000000000001</v>
      </c>
    </row>
    <row r="3098" spans="1:11" x14ac:dyDescent="0.25">
      <c r="A3098" s="2">
        <v>43922</v>
      </c>
      <c r="B3098" s="18">
        <f t="shared" si="96"/>
        <v>2020</v>
      </c>
      <c r="C3098" s="18">
        <f t="shared" si="97"/>
        <v>4</v>
      </c>
      <c r="D3098" s="3" t="s">
        <v>200</v>
      </c>
      <c r="E3098" s="3" t="s">
        <v>18</v>
      </c>
      <c r="F3098" s="3" t="s">
        <v>19</v>
      </c>
      <c r="G3098" s="3" t="s">
        <v>127</v>
      </c>
      <c r="H3098" s="3" t="s">
        <v>1312</v>
      </c>
      <c r="I3098" s="11">
        <v>105.78</v>
      </c>
      <c r="J3098" s="18">
        <v>2</v>
      </c>
      <c r="K3098" s="12">
        <v>2.7166000000000001</v>
      </c>
    </row>
    <row r="3099" spans="1:11" x14ac:dyDescent="0.25">
      <c r="A3099" s="4">
        <v>43922</v>
      </c>
      <c r="B3099" s="19">
        <f t="shared" si="96"/>
        <v>2020</v>
      </c>
      <c r="C3099" s="19">
        <f t="shared" si="97"/>
        <v>4</v>
      </c>
      <c r="D3099" s="5" t="s">
        <v>1370</v>
      </c>
      <c r="E3099" s="5" t="s">
        <v>94</v>
      </c>
      <c r="F3099" s="5" t="s">
        <v>19</v>
      </c>
      <c r="G3099" s="5" t="s">
        <v>53</v>
      </c>
      <c r="H3099" s="5" t="s">
        <v>241</v>
      </c>
      <c r="I3099" s="13">
        <v>117.93</v>
      </c>
      <c r="J3099" s="19">
        <v>9</v>
      </c>
      <c r="K3099" s="14">
        <v>19.3185</v>
      </c>
    </row>
    <row r="3100" spans="1:11" x14ac:dyDescent="0.25">
      <c r="A3100" s="2">
        <v>43922</v>
      </c>
      <c r="B3100" s="18">
        <f t="shared" si="96"/>
        <v>2020</v>
      </c>
      <c r="C3100" s="18">
        <f t="shared" si="97"/>
        <v>4</v>
      </c>
      <c r="D3100" s="3" t="s">
        <v>747</v>
      </c>
      <c r="E3100" s="3" t="s">
        <v>472</v>
      </c>
      <c r="F3100" s="3" t="s">
        <v>19</v>
      </c>
      <c r="G3100" s="3" t="s">
        <v>86</v>
      </c>
      <c r="H3100" s="3" t="s">
        <v>176</v>
      </c>
      <c r="I3100" s="11">
        <v>118.4</v>
      </c>
      <c r="J3100" s="18">
        <v>5</v>
      </c>
      <c r="K3100" s="12">
        <v>13.348000000000001</v>
      </c>
    </row>
    <row r="3101" spans="1:11" x14ac:dyDescent="0.25">
      <c r="A3101" s="4">
        <v>43922</v>
      </c>
      <c r="B3101" s="19">
        <f t="shared" si="96"/>
        <v>2020</v>
      </c>
      <c r="C3101" s="19">
        <f t="shared" si="97"/>
        <v>4</v>
      </c>
      <c r="D3101" s="5" t="s">
        <v>1180</v>
      </c>
      <c r="E3101" s="5" t="s">
        <v>44</v>
      </c>
      <c r="F3101" s="5" t="s">
        <v>19</v>
      </c>
      <c r="G3101" s="5" t="s">
        <v>121</v>
      </c>
      <c r="H3101" s="5" t="s">
        <v>832</v>
      </c>
      <c r="I3101" s="13">
        <v>148.80799999999999</v>
      </c>
      <c r="J3101" s="19">
        <v>3</v>
      </c>
      <c r="K3101" s="14">
        <v>1.8207</v>
      </c>
    </row>
    <row r="3102" spans="1:11" x14ac:dyDescent="0.25">
      <c r="A3102" s="2">
        <v>43923</v>
      </c>
      <c r="B3102" s="18">
        <f t="shared" si="96"/>
        <v>2020</v>
      </c>
      <c r="C3102" s="18">
        <f t="shared" si="97"/>
        <v>4</v>
      </c>
      <c r="D3102" s="3" t="s">
        <v>1401</v>
      </c>
      <c r="E3102" s="3" t="s">
        <v>109</v>
      </c>
      <c r="F3102" s="3" t="s">
        <v>14</v>
      </c>
      <c r="G3102" s="3" t="s">
        <v>24</v>
      </c>
      <c r="H3102" s="3" t="s">
        <v>1754</v>
      </c>
      <c r="I3102" s="11">
        <v>404</v>
      </c>
      <c r="J3102" s="18">
        <v>4</v>
      </c>
      <c r="K3102" s="12">
        <v>129.6</v>
      </c>
    </row>
    <row r="3103" spans="1:11" x14ac:dyDescent="0.25">
      <c r="A3103" s="4">
        <v>43923</v>
      </c>
      <c r="B3103" s="19">
        <f t="shared" si="96"/>
        <v>2020</v>
      </c>
      <c r="C3103" s="19">
        <f t="shared" si="97"/>
        <v>4</v>
      </c>
      <c r="D3103" s="5" t="s">
        <v>1401</v>
      </c>
      <c r="E3103" s="5" t="s">
        <v>109</v>
      </c>
      <c r="F3103" s="5" t="s">
        <v>11</v>
      </c>
      <c r="G3103" s="5" t="s">
        <v>30</v>
      </c>
      <c r="H3103" s="5" t="s">
        <v>740</v>
      </c>
      <c r="I3103" s="13">
        <v>439.8</v>
      </c>
      <c r="J3103" s="19">
        <v>2</v>
      </c>
      <c r="K3103" s="14">
        <v>70.006</v>
      </c>
    </row>
    <row r="3104" spans="1:11" x14ac:dyDescent="0.25">
      <c r="A3104" s="2">
        <v>43923</v>
      </c>
      <c r="B3104" s="18">
        <f t="shared" si="96"/>
        <v>2020</v>
      </c>
      <c r="C3104" s="18">
        <f t="shared" si="97"/>
        <v>4</v>
      </c>
      <c r="D3104" s="3" t="s">
        <v>777</v>
      </c>
      <c r="E3104" s="3" t="s">
        <v>898</v>
      </c>
      <c r="F3104" s="3" t="s">
        <v>19</v>
      </c>
      <c r="G3104" s="3" t="s">
        <v>127</v>
      </c>
      <c r="H3104" s="3" t="s">
        <v>739</v>
      </c>
      <c r="I3104" s="11">
        <v>90.94</v>
      </c>
      <c r="J3104" s="18">
        <v>3</v>
      </c>
      <c r="K3104" s="12">
        <v>6.8723999999999998</v>
      </c>
    </row>
    <row r="3105" spans="1:11" x14ac:dyDescent="0.25">
      <c r="A3105" s="4">
        <v>43923</v>
      </c>
      <c r="B3105" s="19">
        <f t="shared" si="96"/>
        <v>2020</v>
      </c>
      <c r="C3105" s="19">
        <f t="shared" si="97"/>
        <v>4</v>
      </c>
      <c r="D3105" s="5" t="s">
        <v>1913</v>
      </c>
      <c r="E3105" s="5" t="s">
        <v>91</v>
      </c>
      <c r="F3105" s="5" t="s">
        <v>19</v>
      </c>
      <c r="G3105" s="5" t="s">
        <v>40</v>
      </c>
      <c r="H3105" s="5" t="s">
        <v>1994</v>
      </c>
      <c r="I3105" s="13">
        <v>108.12</v>
      </c>
      <c r="J3105" s="19">
        <v>4</v>
      </c>
      <c r="K3105" s="14">
        <v>2.8912</v>
      </c>
    </row>
    <row r="3106" spans="1:11" x14ac:dyDescent="0.25">
      <c r="A3106" s="2">
        <v>43923</v>
      </c>
      <c r="B3106" s="18">
        <f t="shared" si="96"/>
        <v>2020</v>
      </c>
      <c r="C3106" s="18">
        <f t="shared" si="97"/>
        <v>4</v>
      </c>
      <c r="D3106" s="3" t="s">
        <v>1959</v>
      </c>
      <c r="E3106" s="3" t="s">
        <v>18</v>
      </c>
      <c r="F3106" s="3" t="s">
        <v>11</v>
      </c>
      <c r="G3106" s="3" t="s">
        <v>51</v>
      </c>
      <c r="H3106" s="3" t="s">
        <v>434</v>
      </c>
      <c r="I3106" s="11">
        <v>147.11000000000001</v>
      </c>
      <c r="J3106" s="18">
        <v>3</v>
      </c>
      <c r="K3106" s="12">
        <v>6.5286</v>
      </c>
    </row>
    <row r="3107" spans="1:11" x14ac:dyDescent="0.25">
      <c r="A3107" s="4">
        <v>43924</v>
      </c>
      <c r="B3107" s="19">
        <f t="shared" si="96"/>
        <v>2020</v>
      </c>
      <c r="C3107" s="19">
        <f t="shared" si="97"/>
        <v>4</v>
      </c>
      <c r="D3107" s="5" t="s">
        <v>2038</v>
      </c>
      <c r="E3107" s="5" t="s">
        <v>164</v>
      </c>
      <c r="F3107" s="5" t="s">
        <v>19</v>
      </c>
      <c r="G3107" s="5" t="s">
        <v>40</v>
      </c>
      <c r="H3107" s="5" t="s">
        <v>1119</v>
      </c>
      <c r="I3107" s="13">
        <v>80.055999999999997</v>
      </c>
      <c r="J3107" s="19">
        <v>3</v>
      </c>
      <c r="K3107" s="14">
        <v>2.2050000000000001</v>
      </c>
    </row>
    <row r="3108" spans="1:11" x14ac:dyDescent="0.25">
      <c r="A3108" s="2">
        <v>43924</v>
      </c>
      <c r="B3108" s="18">
        <f t="shared" si="96"/>
        <v>2020</v>
      </c>
      <c r="C3108" s="18">
        <f t="shared" si="97"/>
        <v>4</v>
      </c>
      <c r="D3108" s="3" t="s">
        <v>1164</v>
      </c>
      <c r="E3108" s="3" t="s">
        <v>39</v>
      </c>
      <c r="F3108" s="3" t="s">
        <v>11</v>
      </c>
      <c r="G3108" s="3" t="s">
        <v>51</v>
      </c>
      <c r="H3108" s="3" t="s">
        <v>797</v>
      </c>
      <c r="I3108" s="11">
        <v>112.47199999999999</v>
      </c>
      <c r="J3108" s="18">
        <v>4</v>
      </c>
      <c r="K3108" s="12">
        <v>7.6416000000000004</v>
      </c>
    </row>
    <row r="3109" spans="1:11" x14ac:dyDescent="0.25">
      <c r="A3109" s="4">
        <v>43925</v>
      </c>
      <c r="B3109" s="19">
        <f t="shared" si="96"/>
        <v>2020</v>
      </c>
      <c r="C3109" s="19">
        <f t="shared" si="97"/>
        <v>4</v>
      </c>
      <c r="D3109" s="5" t="s">
        <v>2099</v>
      </c>
      <c r="E3109" s="5" t="s">
        <v>94</v>
      </c>
      <c r="F3109" s="5" t="s">
        <v>14</v>
      </c>
      <c r="G3109" s="5" t="s">
        <v>15</v>
      </c>
      <c r="H3109" s="5" t="s">
        <v>1202</v>
      </c>
      <c r="I3109" s="13">
        <v>145.02000000000001</v>
      </c>
      <c r="J3109" s="19">
        <v>2</v>
      </c>
      <c r="K3109" s="14">
        <v>33.325600000000001</v>
      </c>
    </row>
    <row r="3110" spans="1:11" x14ac:dyDescent="0.25">
      <c r="A3110" s="2">
        <v>43925</v>
      </c>
      <c r="B3110" s="18">
        <f t="shared" si="96"/>
        <v>2020</v>
      </c>
      <c r="C3110" s="18">
        <f t="shared" si="97"/>
        <v>4</v>
      </c>
      <c r="D3110" s="3" t="s">
        <v>2099</v>
      </c>
      <c r="E3110" s="3" t="s">
        <v>94</v>
      </c>
      <c r="F3110" s="3" t="s">
        <v>19</v>
      </c>
      <c r="G3110" s="3" t="s">
        <v>265</v>
      </c>
      <c r="H3110" s="3" t="s">
        <v>557</v>
      </c>
      <c r="I3110" s="11">
        <v>254.37</v>
      </c>
      <c r="J3110" s="18">
        <v>1</v>
      </c>
      <c r="K3110" s="12">
        <v>7.2111000000000001</v>
      </c>
    </row>
    <row r="3111" spans="1:11" x14ac:dyDescent="0.25">
      <c r="A3111" s="4">
        <v>43925</v>
      </c>
      <c r="B3111" s="19">
        <f t="shared" si="96"/>
        <v>2020</v>
      </c>
      <c r="C3111" s="19">
        <f t="shared" si="97"/>
        <v>4</v>
      </c>
      <c r="D3111" s="5" t="s">
        <v>1591</v>
      </c>
      <c r="E3111" s="5" t="s">
        <v>164</v>
      </c>
      <c r="F3111" s="5" t="s">
        <v>14</v>
      </c>
      <c r="G3111" s="5" t="s">
        <v>15</v>
      </c>
      <c r="H3111" s="5" t="s">
        <v>1188</v>
      </c>
      <c r="I3111" s="13">
        <v>400.84</v>
      </c>
      <c r="J3111" s="19">
        <v>4</v>
      </c>
      <c r="K3111" s="14">
        <v>47.98</v>
      </c>
    </row>
    <row r="3112" spans="1:11" x14ac:dyDescent="0.25">
      <c r="A3112" s="2">
        <v>43925</v>
      </c>
      <c r="B3112" s="18">
        <f t="shared" si="96"/>
        <v>2020</v>
      </c>
      <c r="C3112" s="18">
        <f t="shared" si="97"/>
        <v>4</v>
      </c>
      <c r="D3112" s="3" t="s">
        <v>1811</v>
      </c>
      <c r="E3112" s="3" t="s">
        <v>94</v>
      </c>
      <c r="F3112" s="3" t="s">
        <v>19</v>
      </c>
      <c r="G3112" s="3" t="s">
        <v>86</v>
      </c>
      <c r="H3112" s="3" t="s">
        <v>1921</v>
      </c>
      <c r="I3112" s="11">
        <v>123.98</v>
      </c>
      <c r="J3112" s="18">
        <v>1</v>
      </c>
      <c r="K3112" s="12">
        <v>8.49</v>
      </c>
    </row>
    <row r="3113" spans="1:11" x14ac:dyDescent="0.25">
      <c r="A3113" s="4">
        <v>43925</v>
      </c>
      <c r="B3113" s="19">
        <f t="shared" si="96"/>
        <v>2020</v>
      </c>
      <c r="C3113" s="19">
        <f t="shared" si="97"/>
        <v>4</v>
      </c>
      <c r="D3113" s="5" t="s">
        <v>1466</v>
      </c>
      <c r="E3113" s="5" t="s">
        <v>94</v>
      </c>
      <c r="F3113" s="5" t="s">
        <v>19</v>
      </c>
      <c r="G3113" s="5" t="s">
        <v>40</v>
      </c>
      <c r="H3113" s="5" t="s">
        <v>1054</v>
      </c>
      <c r="I3113" s="13">
        <v>105.04</v>
      </c>
      <c r="J3113" s="19">
        <v>4</v>
      </c>
      <c r="K3113" s="14">
        <v>2.0415999999999999</v>
      </c>
    </row>
    <row r="3114" spans="1:11" x14ac:dyDescent="0.25">
      <c r="A3114" s="2">
        <v>43925</v>
      </c>
      <c r="B3114" s="18">
        <f t="shared" si="96"/>
        <v>2020</v>
      </c>
      <c r="C3114" s="18">
        <f t="shared" si="97"/>
        <v>4</v>
      </c>
      <c r="D3114" s="3" t="s">
        <v>2099</v>
      </c>
      <c r="E3114" s="3" t="s">
        <v>94</v>
      </c>
      <c r="F3114" s="3" t="s">
        <v>14</v>
      </c>
      <c r="G3114" s="3" t="s">
        <v>15</v>
      </c>
      <c r="H3114" s="3" t="s">
        <v>2203</v>
      </c>
      <c r="I3114" s="11">
        <v>133.22</v>
      </c>
      <c r="J3114" s="18">
        <v>1</v>
      </c>
      <c r="K3114" s="12">
        <v>11.1294</v>
      </c>
    </row>
    <row r="3115" spans="1:11" x14ac:dyDescent="0.25">
      <c r="A3115" s="4">
        <v>43927</v>
      </c>
      <c r="B3115" s="19">
        <f t="shared" si="96"/>
        <v>2020</v>
      </c>
      <c r="C3115" s="19">
        <f t="shared" si="97"/>
        <v>4</v>
      </c>
      <c r="D3115" s="5" t="s">
        <v>1326</v>
      </c>
      <c r="E3115" s="5" t="s">
        <v>1350</v>
      </c>
      <c r="F3115" s="5" t="s">
        <v>19</v>
      </c>
      <c r="G3115" s="5" t="s">
        <v>53</v>
      </c>
      <c r="H3115" s="5" t="s">
        <v>172</v>
      </c>
      <c r="I3115" s="13">
        <v>147.32</v>
      </c>
      <c r="J3115" s="19">
        <v>3</v>
      </c>
      <c r="K3115" s="14">
        <v>49.970399999999998</v>
      </c>
    </row>
    <row r="3116" spans="1:11" x14ac:dyDescent="0.25">
      <c r="A3116" s="2">
        <v>43927</v>
      </c>
      <c r="B3116" s="18">
        <f t="shared" si="96"/>
        <v>2020</v>
      </c>
      <c r="C3116" s="18">
        <f t="shared" si="97"/>
        <v>4</v>
      </c>
      <c r="D3116" s="3" t="s">
        <v>655</v>
      </c>
      <c r="E3116" s="3" t="s">
        <v>219</v>
      </c>
      <c r="F3116" s="3" t="s">
        <v>19</v>
      </c>
      <c r="G3116" s="3" t="s">
        <v>32</v>
      </c>
      <c r="H3116" s="3" t="s">
        <v>2161</v>
      </c>
      <c r="I3116" s="11">
        <v>114.1</v>
      </c>
      <c r="J3116" s="18">
        <v>5</v>
      </c>
      <c r="K3116" s="12">
        <v>-5.94</v>
      </c>
    </row>
    <row r="3117" spans="1:11" x14ac:dyDescent="0.25">
      <c r="A3117" s="4">
        <v>43928</v>
      </c>
      <c r="B3117" s="19">
        <f t="shared" si="96"/>
        <v>2020</v>
      </c>
      <c r="C3117" s="19">
        <f t="shared" si="97"/>
        <v>4</v>
      </c>
      <c r="D3117" s="5" t="s">
        <v>2088</v>
      </c>
      <c r="E3117" s="5" t="s">
        <v>44</v>
      </c>
      <c r="F3117" s="5" t="s">
        <v>14</v>
      </c>
      <c r="G3117" s="5" t="s">
        <v>15</v>
      </c>
      <c r="H3117" s="5" t="s">
        <v>2221</v>
      </c>
      <c r="I3117" s="13">
        <v>247.184</v>
      </c>
      <c r="J3117" s="19">
        <v>2</v>
      </c>
      <c r="K3117" s="14">
        <v>19.178599999999999</v>
      </c>
    </row>
    <row r="3118" spans="1:11" x14ac:dyDescent="0.25">
      <c r="A3118" s="2">
        <v>43928</v>
      </c>
      <c r="B3118" s="18">
        <f t="shared" si="96"/>
        <v>2020</v>
      </c>
      <c r="C3118" s="18">
        <f t="shared" si="97"/>
        <v>4</v>
      </c>
      <c r="D3118" s="3" t="s">
        <v>822</v>
      </c>
      <c r="E3118" s="3" t="s">
        <v>44</v>
      </c>
      <c r="F3118" s="3" t="s">
        <v>11</v>
      </c>
      <c r="G3118" s="3" t="s">
        <v>30</v>
      </c>
      <c r="H3118" s="3" t="s">
        <v>2222</v>
      </c>
      <c r="I3118" s="11">
        <v>255.86</v>
      </c>
      <c r="J3118" s="18">
        <v>2</v>
      </c>
      <c r="K3118" s="12">
        <v>-102.048</v>
      </c>
    </row>
    <row r="3119" spans="1:11" x14ac:dyDescent="0.25">
      <c r="A3119" s="4">
        <v>43928</v>
      </c>
      <c r="B3119" s="19">
        <f t="shared" si="96"/>
        <v>2020</v>
      </c>
      <c r="C3119" s="19">
        <f t="shared" si="97"/>
        <v>4</v>
      </c>
      <c r="D3119" s="5" t="s">
        <v>822</v>
      </c>
      <c r="E3119" s="5" t="s">
        <v>44</v>
      </c>
      <c r="F3119" s="5" t="s">
        <v>11</v>
      </c>
      <c r="G3119" s="5" t="s">
        <v>51</v>
      </c>
      <c r="H3119" s="5" t="s">
        <v>105</v>
      </c>
      <c r="I3119" s="13">
        <v>275.072</v>
      </c>
      <c r="J3119" s="19">
        <v>3</v>
      </c>
      <c r="K3119" s="14">
        <v>0</v>
      </c>
    </row>
    <row r="3120" spans="1:11" x14ac:dyDescent="0.25">
      <c r="A3120" s="2">
        <v>43928</v>
      </c>
      <c r="B3120" s="18">
        <f t="shared" si="96"/>
        <v>2020</v>
      </c>
      <c r="C3120" s="18">
        <f t="shared" si="97"/>
        <v>4</v>
      </c>
      <c r="D3120" s="3" t="s">
        <v>822</v>
      </c>
      <c r="E3120" s="3" t="s">
        <v>44</v>
      </c>
      <c r="F3120" s="3" t="s">
        <v>11</v>
      </c>
      <c r="G3120" s="3" t="s">
        <v>30</v>
      </c>
      <c r="H3120" s="3" t="s">
        <v>1027</v>
      </c>
      <c r="I3120" s="11">
        <v>648.61450000000002</v>
      </c>
      <c r="J3120" s="18">
        <v>3</v>
      </c>
      <c r="K3120" s="12">
        <v>-248.2458</v>
      </c>
    </row>
    <row r="3121" spans="1:11" x14ac:dyDescent="0.25">
      <c r="A3121" s="4">
        <v>43928</v>
      </c>
      <c r="B3121" s="19">
        <f t="shared" si="96"/>
        <v>2020</v>
      </c>
      <c r="C3121" s="19">
        <f t="shared" si="97"/>
        <v>4</v>
      </c>
      <c r="D3121" s="5" t="s">
        <v>822</v>
      </c>
      <c r="E3121" s="5" t="s">
        <v>44</v>
      </c>
      <c r="F3121" s="5" t="s">
        <v>14</v>
      </c>
      <c r="G3121" s="5" t="s">
        <v>24</v>
      </c>
      <c r="H3121" s="5" t="s">
        <v>492</v>
      </c>
      <c r="I3121" s="13">
        <v>654.976</v>
      </c>
      <c r="J3121" s="19">
        <v>3</v>
      </c>
      <c r="K3121" s="14">
        <v>-7.7247000000000003</v>
      </c>
    </row>
    <row r="3122" spans="1:11" x14ac:dyDescent="0.25">
      <c r="A3122" s="2">
        <v>43928</v>
      </c>
      <c r="B3122" s="18">
        <f t="shared" si="96"/>
        <v>2020</v>
      </c>
      <c r="C3122" s="18">
        <f t="shared" si="97"/>
        <v>4</v>
      </c>
      <c r="D3122" s="3" t="s">
        <v>822</v>
      </c>
      <c r="E3122" s="3" t="s">
        <v>44</v>
      </c>
      <c r="F3122" s="3" t="s">
        <v>19</v>
      </c>
      <c r="G3122" s="3" t="s">
        <v>32</v>
      </c>
      <c r="H3122" s="3" t="s">
        <v>2206</v>
      </c>
      <c r="I3122" s="11">
        <v>106.328</v>
      </c>
      <c r="J3122" s="18">
        <v>2</v>
      </c>
      <c r="K3122" s="12">
        <v>-3.552</v>
      </c>
    </row>
    <row r="3123" spans="1:11" x14ac:dyDescent="0.25">
      <c r="A3123" s="4">
        <v>43928</v>
      </c>
      <c r="B3123" s="19">
        <f t="shared" si="96"/>
        <v>2020</v>
      </c>
      <c r="C3123" s="19">
        <f t="shared" si="97"/>
        <v>4</v>
      </c>
      <c r="D3123" s="5" t="s">
        <v>2088</v>
      </c>
      <c r="E3123" s="5" t="s">
        <v>44</v>
      </c>
      <c r="F3123" s="5" t="s">
        <v>19</v>
      </c>
      <c r="G3123" s="5" t="s">
        <v>40</v>
      </c>
      <c r="H3123" s="5" t="s">
        <v>528</v>
      </c>
      <c r="I3123" s="13">
        <v>90.256</v>
      </c>
      <c r="J3123" s="19">
        <v>2</v>
      </c>
      <c r="K3123" s="14">
        <v>1.2192000000000001</v>
      </c>
    </row>
    <row r="3124" spans="1:11" x14ac:dyDescent="0.25">
      <c r="A3124" s="2">
        <v>43929</v>
      </c>
      <c r="B3124" s="18">
        <f t="shared" si="96"/>
        <v>2020</v>
      </c>
      <c r="C3124" s="18">
        <f t="shared" si="97"/>
        <v>4</v>
      </c>
      <c r="D3124" s="3" t="s">
        <v>1152</v>
      </c>
      <c r="E3124" s="3" t="s">
        <v>18</v>
      </c>
      <c r="F3124" s="3" t="s">
        <v>19</v>
      </c>
      <c r="G3124" s="3" t="s">
        <v>53</v>
      </c>
      <c r="H3124" s="3" t="s">
        <v>713</v>
      </c>
      <c r="I3124" s="11">
        <v>235.76</v>
      </c>
      <c r="J3124" s="18">
        <v>4</v>
      </c>
      <c r="K3124" s="12">
        <v>97.88</v>
      </c>
    </row>
    <row r="3125" spans="1:11" x14ac:dyDescent="0.25">
      <c r="A3125" s="4">
        <v>43929</v>
      </c>
      <c r="B3125" s="19">
        <f t="shared" si="96"/>
        <v>2020</v>
      </c>
      <c r="C3125" s="19">
        <f t="shared" si="97"/>
        <v>4</v>
      </c>
      <c r="D3125" s="5" t="s">
        <v>1152</v>
      </c>
      <c r="E3125" s="5" t="s">
        <v>18</v>
      </c>
      <c r="F3125" s="5" t="s">
        <v>19</v>
      </c>
      <c r="G3125" s="5" t="s">
        <v>53</v>
      </c>
      <c r="H3125" s="5" t="s">
        <v>1681</v>
      </c>
      <c r="I3125" s="13">
        <v>284.55</v>
      </c>
      <c r="J3125" s="19">
        <v>5</v>
      </c>
      <c r="K3125" s="14">
        <v>114.9385</v>
      </c>
    </row>
    <row r="3126" spans="1:11" x14ac:dyDescent="0.25">
      <c r="A3126" s="2">
        <v>43929</v>
      </c>
      <c r="B3126" s="18">
        <f t="shared" si="96"/>
        <v>2020</v>
      </c>
      <c r="C3126" s="18">
        <f t="shared" si="97"/>
        <v>4</v>
      </c>
      <c r="D3126" s="3" t="s">
        <v>1637</v>
      </c>
      <c r="E3126" s="3" t="s">
        <v>365</v>
      </c>
      <c r="F3126" s="3" t="s">
        <v>11</v>
      </c>
      <c r="G3126" s="3" t="s">
        <v>51</v>
      </c>
      <c r="H3126" s="3" t="s">
        <v>1806</v>
      </c>
      <c r="I3126" s="11">
        <v>308.95999999999998</v>
      </c>
      <c r="J3126" s="18">
        <v>2</v>
      </c>
      <c r="K3126" s="12">
        <v>71.229600000000005</v>
      </c>
    </row>
    <row r="3127" spans="1:11" x14ac:dyDescent="0.25">
      <c r="A3127" s="4">
        <v>43929</v>
      </c>
      <c r="B3127" s="19">
        <f t="shared" si="96"/>
        <v>2020</v>
      </c>
      <c r="C3127" s="19">
        <f t="shared" si="97"/>
        <v>4</v>
      </c>
      <c r="D3127" s="5" t="s">
        <v>1637</v>
      </c>
      <c r="E3127" s="5" t="s">
        <v>365</v>
      </c>
      <c r="F3127" s="5" t="s">
        <v>11</v>
      </c>
      <c r="G3127" s="5" t="s">
        <v>51</v>
      </c>
      <c r="H3127" s="5" t="s">
        <v>2223</v>
      </c>
      <c r="I3127" s="13">
        <v>343.9</v>
      </c>
      <c r="J3127" s="19">
        <v>3</v>
      </c>
      <c r="K3127" s="14">
        <v>79.793999999999997</v>
      </c>
    </row>
    <row r="3128" spans="1:11" x14ac:dyDescent="0.25">
      <c r="A3128" s="2">
        <v>43929</v>
      </c>
      <c r="B3128" s="18">
        <f t="shared" si="96"/>
        <v>2020</v>
      </c>
      <c r="C3128" s="18">
        <f t="shared" si="97"/>
        <v>4</v>
      </c>
      <c r="D3128" s="3" t="s">
        <v>379</v>
      </c>
      <c r="E3128" s="3" t="s">
        <v>85</v>
      </c>
      <c r="F3128" s="3" t="s">
        <v>19</v>
      </c>
      <c r="G3128" s="3" t="s">
        <v>20</v>
      </c>
      <c r="H3128" s="3" t="s">
        <v>664</v>
      </c>
      <c r="I3128" s="11">
        <v>2602.56</v>
      </c>
      <c r="J3128" s="18">
        <v>4</v>
      </c>
      <c r="K3128" s="12">
        <v>621.97439999999995</v>
      </c>
    </row>
    <row r="3129" spans="1:11" x14ac:dyDescent="0.25">
      <c r="A3129" s="4">
        <v>43929</v>
      </c>
      <c r="B3129" s="19">
        <f t="shared" si="96"/>
        <v>2020</v>
      </c>
      <c r="C3129" s="19">
        <f t="shared" si="97"/>
        <v>4</v>
      </c>
      <c r="D3129" s="5" t="s">
        <v>1081</v>
      </c>
      <c r="E3129" s="5" t="s">
        <v>109</v>
      </c>
      <c r="F3129" s="5" t="s">
        <v>19</v>
      </c>
      <c r="G3129" s="5" t="s">
        <v>32</v>
      </c>
      <c r="H3129" s="5" t="s">
        <v>2027</v>
      </c>
      <c r="I3129" s="13">
        <v>2704.97</v>
      </c>
      <c r="J3129" s="19">
        <v>3</v>
      </c>
      <c r="K3129" s="14">
        <v>1264.7559000000001</v>
      </c>
    </row>
    <row r="3130" spans="1:11" x14ac:dyDescent="0.25">
      <c r="A3130" s="2">
        <v>43929</v>
      </c>
      <c r="B3130" s="18">
        <f t="shared" si="96"/>
        <v>2020</v>
      </c>
      <c r="C3130" s="18">
        <f t="shared" si="97"/>
        <v>4</v>
      </c>
      <c r="D3130" s="3" t="s">
        <v>1081</v>
      </c>
      <c r="E3130" s="3" t="s">
        <v>109</v>
      </c>
      <c r="F3130" s="3" t="s">
        <v>11</v>
      </c>
      <c r="G3130" s="3" t="s">
        <v>51</v>
      </c>
      <c r="H3130" s="3" t="s">
        <v>1537</v>
      </c>
      <c r="I3130" s="11">
        <v>126.28</v>
      </c>
      <c r="J3130" s="18">
        <v>6</v>
      </c>
      <c r="K3130" s="12">
        <v>15.7584</v>
      </c>
    </row>
    <row r="3131" spans="1:11" x14ac:dyDescent="0.25">
      <c r="A3131" s="4">
        <v>43929</v>
      </c>
      <c r="B3131" s="19">
        <f t="shared" si="96"/>
        <v>2020</v>
      </c>
      <c r="C3131" s="19">
        <f t="shared" si="97"/>
        <v>4</v>
      </c>
      <c r="D3131" s="5" t="s">
        <v>379</v>
      </c>
      <c r="E3131" s="5" t="s">
        <v>85</v>
      </c>
      <c r="F3131" s="5" t="s">
        <v>19</v>
      </c>
      <c r="G3131" s="5" t="s">
        <v>121</v>
      </c>
      <c r="H3131" s="5" t="s">
        <v>2224</v>
      </c>
      <c r="I3131" s="13">
        <v>142.94999999999999</v>
      </c>
      <c r="J3131" s="19">
        <v>5</v>
      </c>
      <c r="K3131" s="14">
        <v>10.487500000000001</v>
      </c>
    </row>
    <row r="3132" spans="1:11" x14ac:dyDescent="0.25">
      <c r="A3132" s="2">
        <v>43930</v>
      </c>
      <c r="B3132" s="18">
        <f t="shared" si="96"/>
        <v>2020</v>
      </c>
      <c r="C3132" s="18">
        <f t="shared" si="97"/>
        <v>4</v>
      </c>
      <c r="D3132" s="3" t="s">
        <v>1711</v>
      </c>
      <c r="E3132" s="3" t="s">
        <v>39</v>
      </c>
      <c r="F3132" s="3" t="s">
        <v>19</v>
      </c>
      <c r="G3132" s="3" t="s">
        <v>53</v>
      </c>
      <c r="H3132" s="3" t="s">
        <v>99</v>
      </c>
      <c r="I3132" s="11">
        <v>115.584</v>
      </c>
      <c r="J3132" s="18">
        <v>2</v>
      </c>
      <c r="K3132" s="12">
        <v>23.7742</v>
      </c>
    </row>
    <row r="3133" spans="1:11" x14ac:dyDescent="0.25">
      <c r="A3133" s="4">
        <v>43930</v>
      </c>
      <c r="B3133" s="19">
        <f t="shared" si="96"/>
        <v>2020</v>
      </c>
      <c r="C3133" s="19">
        <f t="shared" si="97"/>
        <v>4</v>
      </c>
      <c r="D3133" s="5" t="s">
        <v>2225</v>
      </c>
      <c r="E3133" s="5" t="s">
        <v>94</v>
      </c>
      <c r="F3133" s="5" t="s">
        <v>19</v>
      </c>
      <c r="G3133" s="5" t="s">
        <v>53</v>
      </c>
      <c r="H3133" s="5" t="s">
        <v>2226</v>
      </c>
      <c r="I3133" s="13">
        <v>211.6</v>
      </c>
      <c r="J3133" s="19">
        <v>4</v>
      </c>
      <c r="K3133" s="14">
        <v>91.968000000000004</v>
      </c>
    </row>
    <row r="3134" spans="1:11" x14ac:dyDescent="0.25">
      <c r="A3134" s="2">
        <v>43930</v>
      </c>
      <c r="B3134" s="18">
        <f t="shared" si="96"/>
        <v>2020</v>
      </c>
      <c r="C3134" s="18">
        <f t="shared" si="97"/>
        <v>4</v>
      </c>
      <c r="D3134" s="3" t="s">
        <v>2038</v>
      </c>
      <c r="E3134" s="3" t="s">
        <v>44</v>
      </c>
      <c r="F3134" s="3" t="s">
        <v>19</v>
      </c>
      <c r="G3134" s="3" t="s">
        <v>53</v>
      </c>
      <c r="H3134" s="3" t="s">
        <v>927</v>
      </c>
      <c r="I3134" s="11">
        <v>266.64</v>
      </c>
      <c r="J3134" s="18">
        <v>3</v>
      </c>
      <c r="K3134" s="12">
        <v>88.073999999999998</v>
      </c>
    </row>
    <row r="3135" spans="1:11" x14ac:dyDescent="0.25">
      <c r="A3135" s="4">
        <v>43930</v>
      </c>
      <c r="B3135" s="19">
        <f t="shared" si="96"/>
        <v>2020</v>
      </c>
      <c r="C3135" s="19">
        <f t="shared" si="97"/>
        <v>4</v>
      </c>
      <c r="D3135" s="5" t="s">
        <v>895</v>
      </c>
      <c r="E3135" s="5" t="s">
        <v>365</v>
      </c>
      <c r="F3135" s="5" t="s">
        <v>19</v>
      </c>
      <c r="G3135" s="5" t="s">
        <v>32</v>
      </c>
      <c r="H3135" s="5" t="s">
        <v>2227</v>
      </c>
      <c r="I3135" s="13">
        <v>493.24</v>
      </c>
      <c r="J3135" s="19">
        <v>8</v>
      </c>
      <c r="K3135" s="14">
        <v>219.99039999999999</v>
      </c>
    </row>
    <row r="3136" spans="1:11" x14ac:dyDescent="0.25">
      <c r="A3136" s="2">
        <v>43930</v>
      </c>
      <c r="B3136" s="18">
        <f t="shared" si="96"/>
        <v>2020</v>
      </c>
      <c r="C3136" s="18">
        <f t="shared" si="97"/>
        <v>4</v>
      </c>
      <c r="D3136" s="3" t="s">
        <v>2225</v>
      </c>
      <c r="E3136" s="3" t="s">
        <v>94</v>
      </c>
      <c r="F3136" s="3" t="s">
        <v>19</v>
      </c>
      <c r="G3136" s="3" t="s">
        <v>20</v>
      </c>
      <c r="H3136" s="3" t="s">
        <v>2228</v>
      </c>
      <c r="I3136" s="11">
        <v>520.80999999999995</v>
      </c>
      <c r="J3136" s="18">
        <v>3</v>
      </c>
      <c r="K3136" s="12">
        <v>0</v>
      </c>
    </row>
    <row r="3137" spans="1:11" x14ac:dyDescent="0.25">
      <c r="A3137" s="4">
        <v>43930</v>
      </c>
      <c r="B3137" s="19">
        <f t="shared" si="96"/>
        <v>2020</v>
      </c>
      <c r="C3137" s="19">
        <f t="shared" si="97"/>
        <v>4</v>
      </c>
      <c r="D3137" s="5" t="s">
        <v>2038</v>
      </c>
      <c r="E3137" s="5" t="s">
        <v>44</v>
      </c>
      <c r="F3137" s="5" t="s">
        <v>19</v>
      </c>
      <c r="G3137" s="5" t="s">
        <v>32</v>
      </c>
      <c r="H3137" s="5" t="s">
        <v>42</v>
      </c>
      <c r="I3137" s="13">
        <v>87.43</v>
      </c>
      <c r="J3137" s="19">
        <v>1</v>
      </c>
      <c r="K3137" s="14">
        <v>-13.363</v>
      </c>
    </row>
    <row r="3138" spans="1:11" x14ac:dyDescent="0.25">
      <c r="A3138" s="2">
        <v>43930</v>
      </c>
      <c r="B3138" s="18">
        <f t="shared" ref="B3138:B3201" si="98">YEAR(A3138)</f>
        <v>2020</v>
      </c>
      <c r="C3138" s="18">
        <f t="shared" ref="C3138:C3201" si="99">MONTH(A3138)</f>
        <v>4</v>
      </c>
      <c r="D3138" s="3" t="s">
        <v>2225</v>
      </c>
      <c r="E3138" s="3" t="s">
        <v>94</v>
      </c>
      <c r="F3138" s="3" t="s">
        <v>19</v>
      </c>
      <c r="G3138" s="3" t="s">
        <v>127</v>
      </c>
      <c r="H3138" s="3" t="s">
        <v>2229</v>
      </c>
      <c r="I3138" s="11">
        <v>127.82</v>
      </c>
      <c r="J3138" s="18">
        <v>2</v>
      </c>
      <c r="K3138" s="12">
        <v>4.8117999999999999</v>
      </c>
    </row>
    <row r="3139" spans="1:11" x14ac:dyDescent="0.25">
      <c r="A3139" s="4">
        <v>43930</v>
      </c>
      <c r="B3139" s="19">
        <f t="shared" si="98"/>
        <v>2020</v>
      </c>
      <c r="C3139" s="19">
        <f t="shared" si="99"/>
        <v>4</v>
      </c>
      <c r="D3139" s="5" t="s">
        <v>2225</v>
      </c>
      <c r="E3139" s="5" t="s">
        <v>94</v>
      </c>
      <c r="F3139" s="5" t="s">
        <v>19</v>
      </c>
      <c r="G3139" s="5" t="s">
        <v>127</v>
      </c>
      <c r="H3139" s="5" t="s">
        <v>1825</v>
      </c>
      <c r="I3139" s="13">
        <v>96.64</v>
      </c>
      <c r="J3139" s="19">
        <v>3</v>
      </c>
      <c r="K3139" s="14">
        <v>4.2336</v>
      </c>
    </row>
    <row r="3140" spans="1:11" x14ac:dyDescent="0.25">
      <c r="A3140" s="2">
        <v>43930</v>
      </c>
      <c r="B3140" s="18">
        <f t="shared" si="98"/>
        <v>2020</v>
      </c>
      <c r="C3140" s="18">
        <f t="shared" si="99"/>
        <v>4</v>
      </c>
      <c r="D3140" s="3" t="s">
        <v>2038</v>
      </c>
      <c r="E3140" s="3" t="s">
        <v>44</v>
      </c>
      <c r="F3140" s="3" t="s">
        <v>19</v>
      </c>
      <c r="G3140" s="3" t="s">
        <v>127</v>
      </c>
      <c r="H3140" s="3" t="s">
        <v>2230</v>
      </c>
      <c r="I3140" s="11">
        <v>126.12</v>
      </c>
      <c r="J3140" s="18">
        <v>3</v>
      </c>
      <c r="K3140" s="12">
        <v>4.9139999999999997</v>
      </c>
    </row>
    <row r="3141" spans="1:11" x14ac:dyDescent="0.25">
      <c r="A3141" s="4">
        <v>43930</v>
      </c>
      <c r="B3141" s="19">
        <f t="shared" si="98"/>
        <v>2020</v>
      </c>
      <c r="C3141" s="19">
        <f t="shared" si="99"/>
        <v>4</v>
      </c>
      <c r="D3141" s="5" t="s">
        <v>2225</v>
      </c>
      <c r="E3141" s="5" t="s">
        <v>94</v>
      </c>
      <c r="F3141" s="5" t="s">
        <v>19</v>
      </c>
      <c r="G3141" s="5" t="s">
        <v>53</v>
      </c>
      <c r="H3141" s="5" t="s">
        <v>54</v>
      </c>
      <c r="I3141" s="13">
        <v>144.96</v>
      </c>
      <c r="J3141" s="19">
        <v>2</v>
      </c>
      <c r="K3141" s="14">
        <v>6.2207999999999997</v>
      </c>
    </row>
    <row r="3142" spans="1:11" x14ac:dyDescent="0.25">
      <c r="A3142" s="2">
        <v>43930</v>
      </c>
      <c r="B3142" s="18">
        <f t="shared" si="98"/>
        <v>2020</v>
      </c>
      <c r="C3142" s="18">
        <f t="shared" si="99"/>
        <v>4</v>
      </c>
      <c r="D3142" s="3" t="s">
        <v>2225</v>
      </c>
      <c r="E3142" s="3" t="s">
        <v>94</v>
      </c>
      <c r="F3142" s="3" t="s">
        <v>19</v>
      </c>
      <c r="G3142" s="3" t="s">
        <v>40</v>
      </c>
      <c r="H3142" s="3" t="s">
        <v>1150</v>
      </c>
      <c r="I3142" s="11">
        <v>132.97</v>
      </c>
      <c r="J3142" s="18">
        <v>3</v>
      </c>
      <c r="K3142" s="12">
        <v>9.7119</v>
      </c>
    </row>
    <row r="3143" spans="1:11" x14ac:dyDescent="0.25">
      <c r="A3143" s="4">
        <v>43930</v>
      </c>
      <c r="B3143" s="19">
        <f t="shared" si="98"/>
        <v>2020</v>
      </c>
      <c r="C3143" s="19">
        <f t="shared" si="99"/>
        <v>4</v>
      </c>
      <c r="D3143" s="5" t="s">
        <v>1711</v>
      </c>
      <c r="E3143" s="5" t="s">
        <v>39</v>
      </c>
      <c r="F3143" s="5" t="s">
        <v>19</v>
      </c>
      <c r="G3143" s="5" t="s">
        <v>32</v>
      </c>
      <c r="H3143" s="5" t="s">
        <v>2231</v>
      </c>
      <c r="I3143" s="13">
        <v>160.89599999999999</v>
      </c>
      <c r="J3143" s="19">
        <v>4</v>
      </c>
      <c r="K3143" s="14">
        <v>-29.053599999999999</v>
      </c>
    </row>
    <row r="3144" spans="1:11" x14ac:dyDescent="0.25">
      <c r="A3144" s="2">
        <v>43931</v>
      </c>
      <c r="B3144" s="18">
        <f t="shared" si="98"/>
        <v>2020</v>
      </c>
      <c r="C3144" s="18">
        <f t="shared" si="99"/>
        <v>4</v>
      </c>
      <c r="D3144" s="3" t="s">
        <v>425</v>
      </c>
      <c r="E3144" s="3" t="s">
        <v>91</v>
      </c>
      <c r="F3144" s="3" t="s">
        <v>14</v>
      </c>
      <c r="G3144" s="3" t="s">
        <v>24</v>
      </c>
      <c r="H3144" s="3" t="s">
        <v>1415</v>
      </c>
      <c r="I3144" s="11">
        <v>120.99</v>
      </c>
      <c r="J3144" s="18">
        <v>1</v>
      </c>
      <c r="K3144" s="12">
        <v>41.995800000000003</v>
      </c>
    </row>
    <row r="3145" spans="1:11" x14ac:dyDescent="0.25">
      <c r="A3145" s="4">
        <v>43931</v>
      </c>
      <c r="B3145" s="19">
        <f t="shared" si="98"/>
        <v>2020</v>
      </c>
      <c r="C3145" s="19">
        <f t="shared" si="99"/>
        <v>4</v>
      </c>
      <c r="D3145" s="5" t="s">
        <v>2232</v>
      </c>
      <c r="E3145" s="5" t="s">
        <v>23</v>
      </c>
      <c r="F3145" s="5" t="s">
        <v>14</v>
      </c>
      <c r="G3145" s="5" t="s">
        <v>24</v>
      </c>
      <c r="H3145" s="5" t="s">
        <v>45</v>
      </c>
      <c r="I3145" s="13">
        <v>126.736</v>
      </c>
      <c r="J3145" s="19">
        <v>3</v>
      </c>
      <c r="K3145" s="14">
        <v>20.343900000000001</v>
      </c>
    </row>
    <row r="3146" spans="1:11" x14ac:dyDescent="0.25">
      <c r="A3146" s="2">
        <v>43931</v>
      </c>
      <c r="B3146" s="18">
        <f t="shared" si="98"/>
        <v>2020</v>
      </c>
      <c r="C3146" s="18">
        <f t="shared" si="99"/>
        <v>4</v>
      </c>
      <c r="D3146" s="3" t="s">
        <v>1948</v>
      </c>
      <c r="E3146" s="3" t="s">
        <v>39</v>
      </c>
      <c r="F3146" s="3" t="s">
        <v>19</v>
      </c>
      <c r="G3146" s="3" t="s">
        <v>121</v>
      </c>
      <c r="H3146" s="3" t="s">
        <v>1289</v>
      </c>
      <c r="I3146" s="11">
        <v>240.10400000000001</v>
      </c>
      <c r="J3146" s="18">
        <v>4</v>
      </c>
      <c r="K3146" s="12">
        <v>21.949200000000001</v>
      </c>
    </row>
    <row r="3147" spans="1:11" x14ac:dyDescent="0.25">
      <c r="A3147" s="4">
        <v>43931</v>
      </c>
      <c r="B3147" s="19">
        <f t="shared" si="98"/>
        <v>2020</v>
      </c>
      <c r="C3147" s="19">
        <f t="shared" si="99"/>
        <v>4</v>
      </c>
      <c r="D3147" s="5" t="s">
        <v>425</v>
      </c>
      <c r="E3147" s="5" t="s">
        <v>91</v>
      </c>
      <c r="F3147" s="5" t="s">
        <v>19</v>
      </c>
      <c r="G3147" s="5" t="s">
        <v>20</v>
      </c>
      <c r="H3147" s="5" t="s">
        <v>21</v>
      </c>
      <c r="I3147" s="13">
        <v>335.15</v>
      </c>
      <c r="J3147" s="19">
        <v>5</v>
      </c>
      <c r="K3147" s="14">
        <v>71.537499999999994</v>
      </c>
    </row>
    <row r="3148" spans="1:11" x14ac:dyDescent="0.25">
      <c r="A3148" s="2">
        <v>43931</v>
      </c>
      <c r="B3148" s="18">
        <f t="shared" si="98"/>
        <v>2020</v>
      </c>
      <c r="C3148" s="18">
        <f t="shared" si="99"/>
        <v>4</v>
      </c>
      <c r="D3148" s="3" t="s">
        <v>360</v>
      </c>
      <c r="E3148" s="3" t="s">
        <v>85</v>
      </c>
      <c r="F3148" s="3" t="s">
        <v>19</v>
      </c>
      <c r="G3148" s="3" t="s">
        <v>53</v>
      </c>
      <c r="H3148" s="3" t="s">
        <v>1543</v>
      </c>
      <c r="I3148" s="11">
        <v>96.61</v>
      </c>
      <c r="J3148" s="18">
        <v>1</v>
      </c>
      <c r="K3148" s="12">
        <v>3.5767000000000002</v>
      </c>
    </row>
    <row r="3149" spans="1:11" x14ac:dyDescent="0.25">
      <c r="A3149" s="4">
        <v>43931</v>
      </c>
      <c r="B3149" s="19">
        <f t="shared" si="98"/>
        <v>2020</v>
      </c>
      <c r="C3149" s="19">
        <f t="shared" si="99"/>
        <v>4</v>
      </c>
      <c r="D3149" s="5" t="s">
        <v>2233</v>
      </c>
      <c r="E3149" s="5" t="s">
        <v>44</v>
      </c>
      <c r="F3149" s="5" t="s">
        <v>11</v>
      </c>
      <c r="G3149" s="5" t="s">
        <v>51</v>
      </c>
      <c r="H3149" s="5" t="s">
        <v>2208</v>
      </c>
      <c r="I3149" s="13">
        <v>95.32</v>
      </c>
      <c r="J3149" s="19">
        <v>5</v>
      </c>
      <c r="K3149" s="14">
        <v>1.8480000000000001</v>
      </c>
    </row>
    <row r="3150" spans="1:11" x14ac:dyDescent="0.25">
      <c r="A3150" s="2">
        <v>43931</v>
      </c>
      <c r="B3150" s="18">
        <f t="shared" si="98"/>
        <v>2020</v>
      </c>
      <c r="C3150" s="18">
        <f t="shared" si="99"/>
        <v>4</v>
      </c>
      <c r="D3150" s="3" t="s">
        <v>360</v>
      </c>
      <c r="E3150" s="3" t="s">
        <v>85</v>
      </c>
      <c r="F3150" s="3" t="s">
        <v>19</v>
      </c>
      <c r="G3150" s="3" t="s">
        <v>116</v>
      </c>
      <c r="H3150" s="3" t="s">
        <v>1128</v>
      </c>
      <c r="I3150" s="11">
        <v>106.16</v>
      </c>
      <c r="J3150" s="18">
        <v>2</v>
      </c>
      <c r="K3150" s="12">
        <v>3.58</v>
      </c>
    </row>
    <row r="3151" spans="1:11" x14ac:dyDescent="0.25">
      <c r="A3151" s="4">
        <v>43931</v>
      </c>
      <c r="B3151" s="19">
        <f t="shared" si="98"/>
        <v>2020</v>
      </c>
      <c r="C3151" s="19">
        <f t="shared" si="99"/>
        <v>4</v>
      </c>
      <c r="D3151" s="5" t="s">
        <v>2233</v>
      </c>
      <c r="E3151" s="5" t="s">
        <v>44</v>
      </c>
      <c r="F3151" s="5" t="s">
        <v>19</v>
      </c>
      <c r="G3151" s="5" t="s">
        <v>32</v>
      </c>
      <c r="H3151" s="5" t="s">
        <v>593</v>
      </c>
      <c r="I3151" s="13">
        <v>97.418999999999997</v>
      </c>
      <c r="J3151" s="19">
        <v>3</v>
      </c>
      <c r="K3151" s="14">
        <v>-3.0933000000000002</v>
      </c>
    </row>
    <row r="3152" spans="1:11" x14ac:dyDescent="0.25">
      <c r="A3152" s="2">
        <v>43931</v>
      </c>
      <c r="B3152" s="18">
        <f t="shared" si="98"/>
        <v>2020</v>
      </c>
      <c r="C3152" s="18">
        <f t="shared" si="99"/>
        <v>4</v>
      </c>
      <c r="D3152" s="3" t="s">
        <v>2232</v>
      </c>
      <c r="E3152" s="3" t="s">
        <v>23</v>
      </c>
      <c r="F3152" s="3" t="s">
        <v>19</v>
      </c>
      <c r="G3152" s="3" t="s">
        <v>53</v>
      </c>
      <c r="H3152" s="3" t="s">
        <v>468</v>
      </c>
      <c r="I3152" s="11">
        <v>118.36799999999999</v>
      </c>
      <c r="J3152" s="18">
        <v>2</v>
      </c>
      <c r="K3152" s="12">
        <v>3.6288</v>
      </c>
    </row>
    <row r="3153" spans="1:11" x14ac:dyDescent="0.25">
      <c r="A3153" s="4">
        <v>43931</v>
      </c>
      <c r="B3153" s="19">
        <f t="shared" si="98"/>
        <v>2020</v>
      </c>
      <c r="C3153" s="19">
        <f t="shared" si="99"/>
        <v>4</v>
      </c>
      <c r="D3153" s="5" t="s">
        <v>1948</v>
      </c>
      <c r="E3153" s="5" t="s">
        <v>39</v>
      </c>
      <c r="F3153" s="5" t="s">
        <v>11</v>
      </c>
      <c r="G3153" s="5" t="s">
        <v>51</v>
      </c>
      <c r="H3153" s="5" t="s">
        <v>986</v>
      </c>
      <c r="I3153" s="13">
        <v>133.672</v>
      </c>
      <c r="J3153" s="19">
        <v>3</v>
      </c>
      <c r="K3153" s="14">
        <v>6.4176000000000002</v>
      </c>
    </row>
    <row r="3154" spans="1:11" x14ac:dyDescent="0.25">
      <c r="A3154" s="2">
        <v>43932</v>
      </c>
      <c r="B3154" s="18">
        <f t="shared" si="98"/>
        <v>2020</v>
      </c>
      <c r="C3154" s="18">
        <f t="shared" si="99"/>
        <v>4</v>
      </c>
      <c r="D3154" s="3" t="s">
        <v>862</v>
      </c>
      <c r="E3154" s="3" t="s">
        <v>18</v>
      </c>
      <c r="F3154" s="3" t="s">
        <v>14</v>
      </c>
      <c r="G3154" s="3" t="s">
        <v>24</v>
      </c>
      <c r="H3154" s="3" t="s">
        <v>796</v>
      </c>
      <c r="I3154" s="11">
        <v>225.95</v>
      </c>
      <c r="J3154" s="18">
        <v>5</v>
      </c>
      <c r="K3154" s="12">
        <v>21.994499999999999</v>
      </c>
    </row>
    <row r="3155" spans="1:11" x14ac:dyDescent="0.25">
      <c r="A3155" s="4">
        <v>43932</v>
      </c>
      <c r="B3155" s="19">
        <f t="shared" si="98"/>
        <v>2020</v>
      </c>
      <c r="C3155" s="19">
        <f t="shared" si="99"/>
        <v>4</v>
      </c>
      <c r="D3155" s="5" t="s">
        <v>1589</v>
      </c>
      <c r="E3155" s="5" t="s">
        <v>35</v>
      </c>
      <c r="F3155" s="5" t="s">
        <v>19</v>
      </c>
      <c r="G3155" s="5" t="s">
        <v>40</v>
      </c>
      <c r="H3155" s="5" t="s">
        <v>2234</v>
      </c>
      <c r="I3155" s="13">
        <v>97.992000000000004</v>
      </c>
      <c r="J3155" s="19">
        <v>8</v>
      </c>
      <c r="K3155" s="14">
        <v>2.3616000000000001</v>
      </c>
    </row>
    <row r="3156" spans="1:11" x14ac:dyDescent="0.25">
      <c r="A3156" s="2">
        <v>43932</v>
      </c>
      <c r="B3156" s="18">
        <f t="shared" si="98"/>
        <v>2020</v>
      </c>
      <c r="C3156" s="18">
        <f t="shared" si="99"/>
        <v>4</v>
      </c>
      <c r="D3156" s="3" t="s">
        <v>1589</v>
      </c>
      <c r="E3156" s="3" t="s">
        <v>35</v>
      </c>
      <c r="F3156" s="3" t="s">
        <v>19</v>
      </c>
      <c r="G3156" s="3" t="s">
        <v>40</v>
      </c>
      <c r="H3156" s="3" t="s">
        <v>2235</v>
      </c>
      <c r="I3156" s="11">
        <v>108.752</v>
      </c>
      <c r="J3156" s="18">
        <v>1</v>
      </c>
      <c r="K3156" s="12">
        <v>0.15329999999999999</v>
      </c>
    </row>
    <row r="3157" spans="1:11" x14ac:dyDescent="0.25">
      <c r="A3157" s="4">
        <v>43932</v>
      </c>
      <c r="B3157" s="19">
        <f t="shared" si="98"/>
        <v>2020</v>
      </c>
      <c r="C3157" s="19">
        <f t="shared" si="99"/>
        <v>4</v>
      </c>
      <c r="D3157" s="5" t="s">
        <v>718</v>
      </c>
      <c r="E3157" s="5" t="s">
        <v>67</v>
      </c>
      <c r="F3157" s="5" t="s">
        <v>14</v>
      </c>
      <c r="G3157" s="5" t="s">
        <v>24</v>
      </c>
      <c r="H3157" s="5" t="s">
        <v>1942</v>
      </c>
      <c r="I3157" s="13">
        <v>115.12</v>
      </c>
      <c r="J3157" s="19">
        <v>2</v>
      </c>
      <c r="K3157" s="14">
        <v>-4.7460000000000004</v>
      </c>
    </row>
    <row r="3158" spans="1:11" x14ac:dyDescent="0.25">
      <c r="A3158" s="2">
        <v>43932</v>
      </c>
      <c r="B3158" s="18">
        <f t="shared" si="98"/>
        <v>2020</v>
      </c>
      <c r="C3158" s="18">
        <f t="shared" si="99"/>
        <v>4</v>
      </c>
      <c r="D3158" s="3" t="s">
        <v>718</v>
      </c>
      <c r="E3158" s="3" t="s">
        <v>67</v>
      </c>
      <c r="F3158" s="3" t="s">
        <v>19</v>
      </c>
      <c r="G3158" s="3" t="s">
        <v>20</v>
      </c>
      <c r="H3158" s="3" t="s">
        <v>1197</v>
      </c>
      <c r="I3158" s="11">
        <v>92.768000000000001</v>
      </c>
      <c r="J3158" s="18">
        <v>2</v>
      </c>
      <c r="K3158" s="12">
        <v>1.4672000000000001</v>
      </c>
    </row>
    <row r="3159" spans="1:11" x14ac:dyDescent="0.25">
      <c r="A3159" s="4">
        <v>43932</v>
      </c>
      <c r="B3159" s="19">
        <f t="shared" si="98"/>
        <v>2020</v>
      </c>
      <c r="C3159" s="19">
        <f t="shared" si="99"/>
        <v>4</v>
      </c>
      <c r="D3159" s="5" t="s">
        <v>170</v>
      </c>
      <c r="E3159" s="5" t="s">
        <v>23</v>
      </c>
      <c r="F3159" s="5" t="s">
        <v>19</v>
      </c>
      <c r="G3159" s="5" t="s">
        <v>32</v>
      </c>
      <c r="H3159" s="5" t="s">
        <v>295</v>
      </c>
      <c r="I3159" s="13">
        <v>142.364</v>
      </c>
      <c r="J3159" s="19">
        <v>3</v>
      </c>
      <c r="K3159" s="14">
        <v>-17.045999999999999</v>
      </c>
    </row>
    <row r="3160" spans="1:11" x14ac:dyDescent="0.25">
      <c r="A3160" s="2">
        <v>43932</v>
      </c>
      <c r="B3160" s="18">
        <f t="shared" si="98"/>
        <v>2020</v>
      </c>
      <c r="C3160" s="18">
        <f t="shared" si="99"/>
        <v>4</v>
      </c>
      <c r="D3160" s="3" t="s">
        <v>862</v>
      </c>
      <c r="E3160" s="3" t="s">
        <v>18</v>
      </c>
      <c r="F3160" s="3" t="s">
        <v>19</v>
      </c>
      <c r="G3160" s="3" t="s">
        <v>40</v>
      </c>
      <c r="H3160" s="3" t="s">
        <v>634</v>
      </c>
      <c r="I3160" s="11">
        <v>145.86000000000001</v>
      </c>
      <c r="J3160" s="18">
        <v>7</v>
      </c>
      <c r="K3160" s="12">
        <v>14.2324</v>
      </c>
    </row>
    <row r="3161" spans="1:11" x14ac:dyDescent="0.25">
      <c r="A3161" s="4">
        <v>43933</v>
      </c>
      <c r="B3161" s="19">
        <f t="shared" si="98"/>
        <v>2020</v>
      </c>
      <c r="C3161" s="19">
        <f t="shared" si="99"/>
        <v>4</v>
      </c>
      <c r="D3161" s="5" t="s">
        <v>632</v>
      </c>
      <c r="E3161" s="5" t="s">
        <v>883</v>
      </c>
      <c r="F3161" s="5" t="s">
        <v>19</v>
      </c>
      <c r="G3161" s="5" t="s">
        <v>32</v>
      </c>
      <c r="H3161" s="5" t="s">
        <v>33</v>
      </c>
      <c r="I3161" s="13">
        <v>145.69999999999999</v>
      </c>
      <c r="J3161" s="19">
        <v>5</v>
      </c>
      <c r="K3161" s="14">
        <v>13.365</v>
      </c>
    </row>
    <row r="3162" spans="1:11" x14ac:dyDescent="0.25">
      <c r="A3162" s="2">
        <v>43933</v>
      </c>
      <c r="B3162" s="18">
        <f t="shared" si="98"/>
        <v>2020</v>
      </c>
      <c r="C3162" s="18">
        <f t="shared" si="99"/>
        <v>4</v>
      </c>
      <c r="D3162" s="3" t="s">
        <v>632</v>
      </c>
      <c r="E3162" s="3" t="s">
        <v>883</v>
      </c>
      <c r="F3162" s="3" t="s">
        <v>19</v>
      </c>
      <c r="G3162" s="3" t="s">
        <v>53</v>
      </c>
      <c r="H3162" s="3" t="s">
        <v>2236</v>
      </c>
      <c r="I3162" s="11">
        <v>160.96</v>
      </c>
      <c r="J3162" s="18">
        <v>4</v>
      </c>
      <c r="K3162" s="12">
        <v>17.981999999999999</v>
      </c>
    </row>
    <row r="3163" spans="1:11" x14ac:dyDescent="0.25">
      <c r="A3163" s="4">
        <v>43934</v>
      </c>
      <c r="B3163" s="19">
        <f t="shared" si="98"/>
        <v>2020</v>
      </c>
      <c r="C3163" s="19">
        <f t="shared" si="99"/>
        <v>4</v>
      </c>
      <c r="D3163" s="5" t="s">
        <v>2237</v>
      </c>
      <c r="E3163" s="5" t="s">
        <v>18</v>
      </c>
      <c r="F3163" s="5" t="s">
        <v>11</v>
      </c>
      <c r="G3163" s="5" t="s">
        <v>112</v>
      </c>
      <c r="H3163" s="5" t="s">
        <v>1847</v>
      </c>
      <c r="I3163" s="13">
        <v>456.70400000000001</v>
      </c>
      <c r="J3163" s="19">
        <v>6</v>
      </c>
      <c r="K3163" s="14">
        <v>-38.211599999999997</v>
      </c>
    </row>
    <row r="3164" spans="1:11" x14ac:dyDescent="0.25">
      <c r="A3164" s="2">
        <v>43934</v>
      </c>
      <c r="B3164" s="18">
        <f t="shared" si="98"/>
        <v>2020</v>
      </c>
      <c r="C3164" s="18">
        <f t="shared" si="99"/>
        <v>4</v>
      </c>
      <c r="D3164" s="3" t="s">
        <v>339</v>
      </c>
      <c r="E3164" s="3" t="s">
        <v>70</v>
      </c>
      <c r="F3164" s="3" t="s">
        <v>19</v>
      </c>
      <c r="G3164" s="3" t="s">
        <v>32</v>
      </c>
      <c r="H3164" s="3" t="s">
        <v>2166</v>
      </c>
      <c r="I3164" s="11">
        <v>925.92</v>
      </c>
      <c r="J3164" s="18">
        <v>5</v>
      </c>
      <c r="K3164" s="12">
        <v>302.37299999999999</v>
      </c>
    </row>
    <row r="3165" spans="1:11" x14ac:dyDescent="0.25">
      <c r="A3165" s="4">
        <v>43934</v>
      </c>
      <c r="B3165" s="19">
        <f t="shared" si="98"/>
        <v>2020</v>
      </c>
      <c r="C3165" s="19">
        <f t="shared" si="99"/>
        <v>4</v>
      </c>
      <c r="D3165" s="5" t="s">
        <v>339</v>
      </c>
      <c r="E3165" s="5" t="s">
        <v>70</v>
      </c>
      <c r="F3165" s="5" t="s">
        <v>19</v>
      </c>
      <c r="G3165" s="5" t="s">
        <v>53</v>
      </c>
      <c r="H3165" s="5" t="s">
        <v>1862</v>
      </c>
      <c r="I3165" s="13">
        <v>103.28</v>
      </c>
      <c r="J3165" s="19">
        <v>1</v>
      </c>
      <c r="K3165" s="14">
        <v>2.3759999999999999</v>
      </c>
    </row>
    <row r="3166" spans="1:11" x14ac:dyDescent="0.25">
      <c r="A3166" s="2">
        <v>43934</v>
      </c>
      <c r="B3166" s="18">
        <f t="shared" si="98"/>
        <v>2020</v>
      </c>
      <c r="C3166" s="18">
        <f t="shared" si="99"/>
        <v>4</v>
      </c>
      <c r="D3166" s="3" t="s">
        <v>1088</v>
      </c>
      <c r="E3166" s="3" t="s">
        <v>39</v>
      </c>
      <c r="F3166" s="3" t="s">
        <v>19</v>
      </c>
      <c r="G3166" s="3" t="s">
        <v>116</v>
      </c>
      <c r="H3166" s="3" t="s">
        <v>1103</v>
      </c>
      <c r="I3166" s="11">
        <v>99.92</v>
      </c>
      <c r="J3166" s="18">
        <v>5</v>
      </c>
      <c r="K3166" s="12">
        <v>1.6830000000000001</v>
      </c>
    </row>
    <row r="3167" spans="1:11" x14ac:dyDescent="0.25">
      <c r="A3167" s="4">
        <v>43935</v>
      </c>
      <c r="B3167" s="19">
        <f t="shared" si="98"/>
        <v>2020</v>
      </c>
      <c r="C3167" s="19">
        <f t="shared" si="99"/>
        <v>4</v>
      </c>
      <c r="D3167" s="5" t="s">
        <v>2211</v>
      </c>
      <c r="E3167" s="5" t="s">
        <v>67</v>
      </c>
      <c r="F3167" s="5" t="s">
        <v>19</v>
      </c>
      <c r="G3167" s="5" t="s">
        <v>40</v>
      </c>
      <c r="H3167" s="5" t="s">
        <v>2238</v>
      </c>
      <c r="I3167" s="13">
        <v>121.85599999999999</v>
      </c>
      <c r="J3167" s="19">
        <v>3</v>
      </c>
      <c r="K3167" s="14">
        <v>21.340800000000002</v>
      </c>
    </row>
    <row r="3168" spans="1:11" x14ac:dyDescent="0.25">
      <c r="A3168" s="2">
        <v>43935</v>
      </c>
      <c r="B3168" s="18">
        <f t="shared" si="98"/>
        <v>2020</v>
      </c>
      <c r="C3168" s="18">
        <f t="shared" si="99"/>
        <v>4</v>
      </c>
      <c r="D3168" s="3" t="s">
        <v>1336</v>
      </c>
      <c r="E3168" s="3" t="s">
        <v>35</v>
      </c>
      <c r="F3168" s="3" t="s">
        <v>11</v>
      </c>
      <c r="G3168" s="3" t="s">
        <v>12</v>
      </c>
      <c r="H3168" s="3" t="s">
        <v>2239</v>
      </c>
      <c r="I3168" s="11">
        <v>210.27199999999999</v>
      </c>
      <c r="J3168" s="18">
        <v>8</v>
      </c>
      <c r="K3168" s="12">
        <v>-32.219200000000001</v>
      </c>
    </row>
    <row r="3169" spans="1:11" x14ac:dyDescent="0.25">
      <c r="A3169" s="4">
        <v>43935</v>
      </c>
      <c r="B3169" s="19">
        <f t="shared" si="98"/>
        <v>2020</v>
      </c>
      <c r="C3169" s="19">
        <f t="shared" si="99"/>
        <v>4</v>
      </c>
      <c r="D3169" s="5" t="s">
        <v>444</v>
      </c>
      <c r="E3169" s="5" t="s">
        <v>94</v>
      </c>
      <c r="F3169" s="5" t="s">
        <v>11</v>
      </c>
      <c r="G3169" s="5" t="s">
        <v>12</v>
      </c>
      <c r="H3169" s="5" t="s">
        <v>654</v>
      </c>
      <c r="I3169" s="13">
        <v>280.35199999999998</v>
      </c>
      <c r="J3169" s="19">
        <v>3</v>
      </c>
      <c r="K3169" s="14">
        <v>9.0882000000000005</v>
      </c>
    </row>
    <row r="3170" spans="1:11" x14ac:dyDescent="0.25">
      <c r="A3170" s="2">
        <v>43935</v>
      </c>
      <c r="B3170" s="18">
        <f t="shared" si="98"/>
        <v>2020</v>
      </c>
      <c r="C3170" s="18">
        <f t="shared" si="99"/>
        <v>4</v>
      </c>
      <c r="D3170" s="3" t="s">
        <v>720</v>
      </c>
      <c r="E3170" s="3" t="s">
        <v>472</v>
      </c>
      <c r="F3170" s="3" t="s">
        <v>19</v>
      </c>
      <c r="G3170" s="3" t="s">
        <v>32</v>
      </c>
      <c r="H3170" s="3" t="s">
        <v>1888</v>
      </c>
      <c r="I3170" s="11">
        <v>96.76</v>
      </c>
      <c r="J3170" s="18">
        <v>2</v>
      </c>
      <c r="K3170" s="12">
        <v>4.2047999999999996</v>
      </c>
    </row>
    <row r="3171" spans="1:11" x14ac:dyDescent="0.25">
      <c r="A3171" s="4">
        <v>43935</v>
      </c>
      <c r="B3171" s="19">
        <f t="shared" si="98"/>
        <v>2020</v>
      </c>
      <c r="C3171" s="19">
        <f t="shared" si="99"/>
        <v>4</v>
      </c>
      <c r="D3171" s="5" t="s">
        <v>2211</v>
      </c>
      <c r="E3171" s="5" t="s">
        <v>67</v>
      </c>
      <c r="F3171" s="5" t="s">
        <v>19</v>
      </c>
      <c r="G3171" s="5" t="s">
        <v>40</v>
      </c>
      <c r="H3171" s="5" t="s">
        <v>1469</v>
      </c>
      <c r="I3171" s="13">
        <v>95.591999999999999</v>
      </c>
      <c r="J3171" s="19">
        <v>3</v>
      </c>
      <c r="K3171" s="14">
        <v>2.5535999999999999</v>
      </c>
    </row>
    <row r="3172" spans="1:11" x14ac:dyDescent="0.25">
      <c r="A3172" s="2">
        <v>43935</v>
      </c>
      <c r="B3172" s="18">
        <f t="shared" si="98"/>
        <v>2020</v>
      </c>
      <c r="C3172" s="18">
        <f t="shared" si="99"/>
        <v>4</v>
      </c>
      <c r="D3172" s="3" t="s">
        <v>444</v>
      </c>
      <c r="E3172" s="3" t="s">
        <v>94</v>
      </c>
      <c r="F3172" s="3" t="s">
        <v>19</v>
      </c>
      <c r="G3172" s="3" t="s">
        <v>32</v>
      </c>
      <c r="H3172" s="3" t="s">
        <v>539</v>
      </c>
      <c r="I3172" s="11">
        <v>110.776</v>
      </c>
      <c r="J3172" s="18">
        <v>3</v>
      </c>
      <c r="K3172" s="12">
        <v>3.5022000000000002</v>
      </c>
    </row>
    <row r="3173" spans="1:11" x14ac:dyDescent="0.25">
      <c r="A3173" s="4">
        <v>43935</v>
      </c>
      <c r="B3173" s="19">
        <f t="shared" si="98"/>
        <v>2020</v>
      </c>
      <c r="C3173" s="19">
        <f t="shared" si="99"/>
        <v>4</v>
      </c>
      <c r="D3173" s="5" t="s">
        <v>2211</v>
      </c>
      <c r="E3173" s="5" t="s">
        <v>67</v>
      </c>
      <c r="F3173" s="5" t="s">
        <v>19</v>
      </c>
      <c r="G3173" s="5" t="s">
        <v>53</v>
      </c>
      <c r="H3173" s="5" t="s">
        <v>854</v>
      </c>
      <c r="I3173" s="13">
        <v>117.872</v>
      </c>
      <c r="J3173" s="19">
        <v>3</v>
      </c>
      <c r="K3173" s="14">
        <v>5.0286</v>
      </c>
    </row>
    <row r="3174" spans="1:11" x14ac:dyDescent="0.25">
      <c r="A3174" s="2">
        <v>43935</v>
      </c>
      <c r="B3174" s="18">
        <f t="shared" si="98"/>
        <v>2020</v>
      </c>
      <c r="C3174" s="18">
        <f t="shared" si="99"/>
        <v>4</v>
      </c>
      <c r="D3174" s="3" t="s">
        <v>828</v>
      </c>
      <c r="E3174" s="3" t="s">
        <v>85</v>
      </c>
      <c r="F3174" s="3" t="s">
        <v>11</v>
      </c>
      <c r="G3174" s="3" t="s">
        <v>51</v>
      </c>
      <c r="H3174" s="3" t="s">
        <v>2137</v>
      </c>
      <c r="I3174" s="11">
        <v>166.45</v>
      </c>
      <c r="J3174" s="18">
        <v>5</v>
      </c>
      <c r="K3174" s="12">
        <v>20.101500000000001</v>
      </c>
    </row>
    <row r="3175" spans="1:11" x14ac:dyDescent="0.25">
      <c r="A3175" s="4">
        <v>43936</v>
      </c>
      <c r="B3175" s="19">
        <f t="shared" si="98"/>
        <v>2020</v>
      </c>
      <c r="C3175" s="19">
        <f t="shared" si="99"/>
        <v>4</v>
      </c>
      <c r="D3175" s="5" t="s">
        <v>192</v>
      </c>
      <c r="E3175" s="5" t="s">
        <v>18</v>
      </c>
      <c r="F3175" s="5" t="s">
        <v>19</v>
      </c>
      <c r="G3175" s="5" t="s">
        <v>53</v>
      </c>
      <c r="H3175" s="5" t="s">
        <v>184</v>
      </c>
      <c r="I3175" s="13">
        <v>100.14</v>
      </c>
      <c r="J3175" s="19">
        <v>3</v>
      </c>
      <c r="K3175" s="14">
        <v>36.404400000000003</v>
      </c>
    </row>
    <row r="3176" spans="1:11" x14ac:dyDescent="0.25">
      <c r="A3176" s="2">
        <v>43936</v>
      </c>
      <c r="B3176" s="18">
        <f t="shared" si="98"/>
        <v>2020</v>
      </c>
      <c r="C3176" s="18">
        <f t="shared" si="99"/>
        <v>4</v>
      </c>
      <c r="D3176" s="3" t="s">
        <v>1127</v>
      </c>
      <c r="E3176" s="3" t="s">
        <v>483</v>
      </c>
      <c r="F3176" s="3" t="s">
        <v>11</v>
      </c>
      <c r="G3176" s="3" t="s">
        <v>51</v>
      </c>
      <c r="H3176" s="3" t="s">
        <v>2240</v>
      </c>
      <c r="I3176" s="11">
        <v>225.45</v>
      </c>
      <c r="J3176" s="18">
        <v>5</v>
      </c>
      <c r="K3176" s="12">
        <v>70.721999999999994</v>
      </c>
    </row>
    <row r="3177" spans="1:11" x14ac:dyDescent="0.25">
      <c r="A3177" s="4">
        <v>43936</v>
      </c>
      <c r="B3177" s="19">
        <f t="shared" si="98"/>
        <v>2020</v>
      </c>
      <c r="C3177" s="19">
        <f t="shared" si="99"/>
        <v>4</v>
      </c>
      <c r="D3177" s="5" t="s">
        <v>2022</v>
      </c>
      <c r="E3177" s="5" t="s">
        <v>181</v>
      </c>
      <c r="F3177" s="5" t="s">
        <v>19</v>
      </c>
      <c r="G3177" s="5" t="s">
        <v>40</v>
      </c>
      <c r="H3177" s="5" t="s">
        <v>1485</v>
      </c>
      <c r="I3177" s="13">
        <v>98.89</v>
      </c>
      <c r="J3177" s="19">
        <v>1</v>
      </c>
      <c r="K3177" s="14">
        <v>2.0049000000000001</v>
      </c>
    </row>
    <row r="3178" spans="1:11" x14ac:dyDescent="0.25">
      <c r="A3178" s="2">
        <v>43936</v>
      </c>
      <c r="B3178" s="18">
        <f t="shared" si="98"/>
        <v>2020</v>
      </c>
      <c r="C3178" s="18">
        <f t="shared" si="99"/>
        <v>4</v>
      </c>
      <c r="D3178" s="3" t="s">
        <v>1757</v>
      </c>
      <c r="E3178" s="3" t="s">
        <v>44</v>
      </c>
      <c r="F3178" s="3" t="s">
        <v>19</v>
      </c>
      <c r="G3178" s="3" t="s">
        <v>32</v>
      </c>
      <c r="H3178" s="3" t="s">
        <v>1536</v>
      </c>
      <c r="I3178" s="11">
        <v>107.57</v>
      </c>
      <c r="J3178" s="18">
        <v>3</v>
      </c>
      <c r="K3178" s="12">
        <v>-11.936999999999999</v>
      </c>
    </row>
    <row r="3179" spans="1:11" x14ac:dyDescent="0.25">
      <c r="A3179" s="4">
        <v>43936</v>
      </c>
      <c r="B3179" s="19">
        <f t="shared" si="98"/>
        <v>2020</v>
      </c>
      <c r="C3179" s="19">
        <f t="shared" si="99"/>
        <v>4</v>
      </c>
      <c r="D3179" s="5" t="s">
        <v>1599</v>
      </c>
      <c r="E3179" s="5" t="s">
        <v>23</v>
      </c>
      <c r="F3179" s="5" t="s">
        <v>19</v>
      </c>
      <c r="G3179" s="5" t="s">
        <v>53</v>
      </c>
      <c r="H3179" s="5" t="s">
        <v>2241</v>
      </c>
      <c r="I3179" s="13">
        <v>97.736000000000004</v>
      </c>
      <c r="J3179" s="19">
        <v>4</v>
      </c>
      <c r="K3179" s="14">
        <v>7.2576000000000001</v>
      </c>
    </row>
    <row r="3180" spans="1:11" x14ac:dyDescent="0.25">
      <c r="A3180" s="2">
        <v>43936</v>
      </c>
      <c r="B3180" s="18">
        <f t="shared" si="98"/>
        <v>2020</v>
      </c>
      <c r="C3180" s="18">
        <f t="shared" si="99"/>
        <v>4</v>
      </c>
      <c r="D3180" s="3" t="s">
        <v>1230</v>
      </c>
      <c r="E3180" s="3" t="s">
        <v>35</v>
      </c>
      <c r="F3180" s="3" t="s">
        <v>19</v>
      </c>
      <c r="G3180" s="3" t="s">
        <v>53</v>
      </c>
      <c r="H3180" s="3" t="s">
        <v>2242</v>
      </c>
      <c r="I3180" s="11">
        <v>114.55200000000001</v>
      </c>
      <c r="J3180" s="18">
        <v>3</v>
      </c>
      <c r="K3180" s="12">
        <v>5.4432</v>
      </c>
    </row>
    <row r="3181" spans="1:11" x14ac:dyDescent="0.25">
      <c r="A3181" s="4">
        <v>43937</v>
      </c>
      <c r="B3181" s="19">
        <f t="shared" si="98"/>
        <v>2020</v>
      </c>
      <c r="C3181" s="19">
        <f t="shared" si="99"/>
        <v>4</v>
      </c>
      <c r="D3181" s="5" t="s">
        <v>1697</v>
      </c>
      <c r="E3181" s="5" t="s">
        <v>18</v>
      </c>
      <c r="F3181" s="5" t="s">
        <v>11</v>
      </c>
      <c r="G3181" s="5" t="s">
        <v>12</v>
      </c>
      <c r="H3181" s="5" t="s">
        <v>1356</v>
      </c>
      <c r="I3181" s="13">
        <v>128.833</v>
      </c>
      <c r="J3181" s="19">
        <v>1</v>
      </c>
      <c r="K3181" s="14">
        <v>-6.0490000000000004</v>
      </c>
    </row>
    <row r="3182" spans="1:11" x14ac:dyDescent="0.25">
      <c r="A3182" s="2">
        <v>43937</v>
      </c>
      <c r="B3182" s="18">
        <f t="shared" si="98"/>
        <v>2020</v>
      </c>
      <c r="C3182" s="18">
        <f t="shared" si="99"/>
        <v>4</v>
      </c>
      <c r="D3182" s="3" t="s">
        <v>1697</v>
      </c>
      <c r="E3182" s="3" t="s">
        <v>18</v>
      </c>
      <c r="F3182" s="3" t="s">
        <v>19</v>
      </c>
      <c r="G3182" s="3" t="s">
        <v>20</v>
      </c>
      <c r="H3182" s="3" t="s">
        <v>213</v>
      </c>
      <c r="I3182" s="11">
        <v>235.92</v>
      </c>
      <c r="J3182" s="18">
        <v>4</v>
      </c>
      <c r="K3182" s="12">
        <v>2.0592000000000001</v>
      </c>
    </row>
    <row r="3183" spans="1:11" x14ac:dyDescent="0.25">
      <c r="A3183" s="4">
        <v>43937</v>
      </c>
      <c r="B3183" s="19">
        <f t="shared" si="98"/>
        <v>2020</v>
      </c>
      <c r="C3183" s="19">
        <f t="shared" si="99"/>
        <v>4</v>
      </c>
      <c r="D3183" s="5" t="s">
        <v>592</v>
      </c>
      <c r="E3183" s="5" t="s">
        <v>898</v>
      </c>
      <c r="F3183" s="5" t="s">
        <v>19</v>
      </c>
      <c r="G3183" s="5" t="s">
        <v>265</v>
      </c>
      <c r="H3183" s="5" t="s">
        <v>1105</v>
      </c>
      <c r="I3183" s="13">
        <v>517.24</v>
      </c>
      <c r="J3183" s="19">
        <v>4</v>
      </c>
      <c r="K3183" s="14">
        <v>9.5448000000000004</v>
      </c>
    </row>
    <row r="3184" spans="1:11" x14ac:dyDescent="0.25">
      <c r="A3184" s="2">
        <v>43937</v>
      </c>
      <c r="B3184" s="18">
        <f t="shared" si="98"/>
        <v>2020</v>
      </c>
      <c r="C3184" s="18">
        <f t="shared" si="99"/>
        <v>4</v>
      </c>
      <c r="D3184" s="3" t="s">
        <v>435</v>
      </c>
      <c r="E3184" s="3" t="s">
        <v>164</v>
      </c>
      <c r="F3184" s="3" t="s">
        <v>19</v>
      </c>
      <c r="G3184" s="3" t="s">
        <v>40</v>
      </c>
      <c r="H3184" s="3" t="s">
        <v>1295</v>
      </c>
      <c r="I3184" s="11">
        <v>80.52</v>
      </c>
      <c r="J3184" s="18">
        <v>5</v>
      </c>
      <c r="K3184" s="12">
        <v>2.0649999999999999</v>
      </c>
    </row>
    <row r="3185" spans="1:11" x14ac:dyDescent="0.25">
      <c r="A3185" s="4">
        <v>43937</v>
      </c>
      <c r="B3185" s="19">
        <f t="shared" si="98"/>
        <v>2020</v>
      </c>
      <c r="C3185" s="19">
        <f t="shared" si="99"/>
        <v>4</v>
      </c>
      <c r="D3185" s="5" t="s">
        <v>766</v>
      </c>
      <c r="E3185" s="5" t="s">
        <v>23</v>
      </c>
      <c r="F3185" s="5" t="s">
        <v>19</v>
      </c>
      <c r="G3185" s="5" t="s">
        <v>32</v>
      </c>
      <c r="H3185" s="5" t="s">
        <v>359</v>
      </c>
      <c r="I3185" s="13">
        <v>120.04600000000001</v>
      </c>
      <c r="J3185" s="19">
        <v>3</v>
      </c>
      <c r="K3185" s="14">
        <v>-44.278199999999998</v>
      </c>
    </row>
    <row r="3186" spans="1:11" x14ac:dyDescent="0.25">
      <c r="A3186" s="2">
        <v>43937</v>
      </c>
      <c r="B3186" s="18">
        <f t="shared" si="98"/>
        <v>2020</v>
      </c>
      <c r="C3186" s="18">
        <f t="shared" si="99"/>
        <v>4</v>
      </c>
      <c r="D3186" s="3" t="s">
        <v>766</v>
      </c>
      <c r="E3186" s="3" t="s">
        <v>23</v>
      </c>
      <c r="F3186" s="3" t="s">
        <v>19</v>
      </c>
      <c r="G3186" s="3" t="s">
        <v>32</v>
      </c>
      <c r="H3186" s="3" t="s">
        <v>1961</v>
      </c>
      <c r="I3186" s="11">
        <v>130.89599999999999</v>
      </c>
      <c r="J3186" s="18">
        <v>1</v>
      </c>
      <c r="K3186" s="12">
        <v>-4.7784000000000004</v>
      </c>
    </row>
    <row r="3187" spans="1:11" x14ac:dyDescent="0.25">
      <c r="A3187" s="4">
        <v>43937</v>
      </c>
      <c r="B3187" s="19">
        <f t="shared" si="98"/>
        <v>2020</v>
      </c>
      <c r="C3187" s="19">
        <f t="shared" si="99"/>
        <v>4</v>
      </c>
      <c r="D3187" s="5" t="s">
        <v>660</v>
      </c>
      <c r="E3187" s="5" t="s">
        <v>67</v>
      </c>
      <c r="F3187" s="5" t="s">
        <v>19</v>
      </c>
      <c r="G3187" s="5" t="s">
        <v>32</v>
      </c>
      <c r="H3187" s="5" t="s">
        <v>1097</v>
      </c>
      <c r="I3187" s="13">
        <v>111.71</v>
      </c>
      <c r="J3187" s="19">
        <v>5</v>
      </c>
      <c r="K3187" s="14">
        <v>-10.054</v>
      </c>
    </row>
    <row r="3188" spans="1:11" x14ac:dyDescent="0.25">
      <c r="A3188" s="2">
        <v>43937</v>
      </c>
      <c r="B3188" s="18">
        <f t="shared" si="98"/>
        <v>2020</v>
      </c>
      <c r="C3188" s="18">
        <f t="shared" si="99"/>
        <v>4</v>
      </c>
      <c r="D3188" s="3" t="s">
        <v>592</v>
      </c>
      <c r="E3188" s="3" t="s">
        <v>898</v>
      </c>
      <c r="F3188" s="3" t="s">
        <v>14</v>
      </c>
      <c r="G3188" s="3" t="s">
        <v>24</v>
      </c>
      <c r="H3188" s="3" t="s">
        <v>271</v>
      </c>
      <c r="I3188" s="11">
        <v>109.98</v>
      </c>
      <c r="J3188" s="18">
        <v>2</v>
      </c>
      <c r="K3188" s="12">
        <v>1.5588</v>
      </c>
    </row>
    <row r="3189" spans="1:11" x14ac:dyDescent="0.25">
      <c r="A3189" s="4">
        <v>43937</v>
      </c>
      <c r="B3189" s="19">
        <f t="shared" si="98"/>
        <v>2020</v>
      </c>
      <c r="C3189" s="19">
        <f t="shared" si="99"/>
        <v>4</v>
      </c>
      <c r="D3189" s="5" t="s">
        <v>2243</v>
      </c>
      <c r="E3189" s="5" t="s">
        <v>18</v>
      </c>
      <c r="F3189" s="5" t="s">
        <v>19</v>
      </c>
      <c r="G3189" s="5" t="s">
        <v>121</v>
      </c>
      <c r="H3189" s="5" t="s">
        <v>2078</v>
      </c>
      <c r="I3189" s="13">
        <v>115.74</v>
      </c>
      <c r="J3189" s="19">
        <v>3</v>
      </c>
      <c r="K3189" s="14">
        <v>12.222</v>
      </c>
    </row>
    <row r="3190" spans="1:11" x14ac:dyDescent="0.25">
      <c r="A3190" s="2">
        <v>43937</v>
      </c>
      <c r="B3190" s="18">
        <f t="shared" si="98"/>
        <v>2020</v>
      </c>
      <c r="C3190" s="18">
        <f t="shared" si="99"/>
        <v>4</v>
      </c>
      <c r="D3190" s="3" t="s">
        <v>766</v>
      </c>
      <c r="E3190" s="3" t="s">
        <v>23</v>
      </c>
      <c r="F3190" s="3" t="s">
        <v>19</v>
      </c>
      <c r="G3190" s="3" t="s">
        <v>20</v>
      </c>
      <c r="H3190" s="3" t="s">
        <v>1945</v>
      </c>
      <c r="I3190" s="11">
        <v>154.54400000000001</v>
      </c>
      <c r="J3190" s="18">
        <v>2</v>
      </c>
      <c r="K3190" s="12">
        <v>-7.7291999999999996</v>
      </c>
    </row>
    <row r="3191" spans="1:11" x14ac:dyDescent="0.25">
      <c r="A3191" s="4">
        <v>43938</v>
      </c>
      <c r="B3191" s="19">
        <f t="shared" si="98"/>
        <v>2020</v>
      </c>
      <c r="C3191" s="19">
        <f t="shared" si="99"/>
        <v>4</v>
      </c>
      <c r="D3191" s="5" t="s">
        <v>1453</v>
      </c>
      <c r="E3191" s="5" t="s">
        <v>39</v>
      </c>
      <c r="F3191" s="5" t="s">
        <v>11</v>
      </c>
      <c r="G3191" s="5" t="s">
        <v>51</v>
      </c>
      <c r="H3191" s="5" t="s">
        <v>2244</v>
      </c>
      <c r="I3191" s="13">
        <v>109.312</v>
      </c>
      <c r="J3191" s="19">
        <v>3</v>
      </c>
      <c r="K3191" s="14">
        <v>5.2773000000000003</v>
      </c>
    </row>
    <row r="3192" spans="1:11" x14ac:dyDescent="0.25">
      <c r="A3192" s="2">
        <v>43938</v>
      </c>
      <c r="B3192" s="18">
        <f t="shared" si="98"/>
        <v>2020</v>
      </c>
      <c r="C3192" s="18">
        <f t="shared" si="99"/>
        <v>4</v>
      </c>
      <c r="D3192" s="3" t="s">
        <v>9</v>
      </c>
      <c r="E3192" s="3" t="s">
        <v>164</v>
      </c>
      <c r="F3192" s="3" t="s">
        <v>19</v>
      </c>
      <c r="G3192" s="3" t="s">
        <v>20</v>
      </c>
      <c r="H3192" s="3" t="s">
        <v>1974</v>
      </c>
      <c r="I3192" s="11">
        <v>212.136</v>
      </c>
      <c r="J3192" s="18">
        <v>4</v>
      </c>
      <c r="K3192" s="12">
        <v>-43.9056</v>
      </c>
    </row>
    <row r="3193" spans="1:11" x14ac:dyDescent="0.25">
      <c r="A3193" s="4">
        <v>43938</v>
      </c>
      <c r="B3193" s="19">
        <f t="shared" si="98"/>
        <v>2020</v>
      </c>
      <c r="C3193" s="19">
        <f t="shared" si="99"/>
        <v>4</v>
      </c>
      <c r="D3193" s="5" t="s">
        <v>369</v>
      </c>
      <c r="E3193" s="5" t="s">
        <v>18</v>
      </c>
      <c r="F3193" s="5" t="s">
        <v>11</v>
      </c>
      <c r="G3193" s="5" t="s">
        <v>112</v>
      </c>
      <c r="H3193" s="5" t="s">
        <v>1847</v>
      </c>
      <c r="I3193" s="13">
        <v>265.35199999999998</v>
      </c>
      <c r="J3193" s="19">
        <v>3</v>
      </c>
      <c r="K3193" s="14">
        <v>-19.105799999999999</v>
      </c>
    </row>
    <row r="3194" spans="1:11" x14ac:dyDescent="0.25">
      <c r="A3194" s="2">
        <v>43938</v>
      </c>
      <c r="B3194" s="18">
        <f t="shared" si="98"/>
        <v>2020</v>
      </c>
      <c r="C3194" s="18">
        <f t="shared" si="99"/>
        <v>4</v>
      </c>
      <c r="D3194" s="3" t="s">
        <v>369</v>
      </c>
      <c r="E3194" s="3" t="s">
        <v>18</v>
      </c>
      <c r="F3194" s="3" t="s">
        <v>14</v>
      </c>
      <c r="G3194" s="3" t="s">
        <v>24</v>
      </c>
      <c r="H3194" s="3" t="s">
        <v>2245</v>
      </c>
      <c r="I3194" s="11">
        <v>290.89</v>
      </c>
      <c r="J3194" s="18">
        <v>11</v>
      </c>
      <c r="K3194" s="12">
        <v>46.731299999999997</v>
      </c>
    </row>
    <row r="3195" spans="1:11" x14ac:dyDescent="0.25">
      <c r="A3195" s="4">
        <v>43938</v>
      </c>
      <c r="B3195" s="19">
        <f t="shared" si="98"/>
        <v>2020</v>
      </c>
      <c r="C3195" s="19">
        <f t="shared" si="99"/>
        <v>4</v>
      </c>
      <c r="D3195" s="5" t="s">
        <v>2246</v>
      </c>
      <c r="E3195" s="5" t="s">
        <v>306</v>
      </c>
      <c r="F3195" s="5" t="s">
        <v>14</v>
      </c>
      <c r="G3195" s="5" t="s">
        <v>188</v>
      </c>
      <c r="H3195" s="5" t="s">
        <v>2081</v>
      </c>
      <c r="I3195" s="13">
        <v>2579.9850000000001</v>
      </c>
      <c r="J3195" s="19">
        <v>5</v>
      </c>
      <c r="K3195" s="14">
        <v>-3399.98</v>
      </c>
    </row>
    <row r="3196" spans="1:11" x14ac:dyDescent="0.25">
      <c r="A3196" s="2">
        <v>43938</v>
      </c>
      <c r="B3196" s="18">
        <f t="shared" si="98"/>
        <v>2020</v>
      </c>
      <c r="C3196" s="18">
        <f t="shared" si="99"/>
        <v>4</v>
      </c>
      <c r="D3196" s="3" t="s">
        <v>369</v>
      </c>
      <c r="E3196" s="3" t="s">
        <v>18</v>
      </c>
      <c r="F3196" s="3" t="s">
        <v>19</v>
      </c>
      <c r="G3196" s="3" t="s">
        <v>116</v>
      </c>
      <c r="H3196" s="3" t="s">
        <v>1783</v>
      </c>
      <c r="I3196" s="11">
        <v>114.9</v>
      </c>
      <c r="J3196" s="18">
        <v>5</v>
      </c>
      <c r="K3196" s="12">
        <v>3.597</v>
      </c>
    </row>
    <row r="3197" spans="1:11" x14ac:dyDescent="0.25">
      <c r="A3197" s="4">
        <v>43938</v>
      </c>
      <c r="B3197" s="19">
        <f t="shared" si="98"/>
        <v>2020</v>
      </c>
      <c r="C3197" s="19">
        <f t="shared" si="99"/>
        <v>4</v>
      </c>
      <c r="D3197" s="5" t="s">
        <v>2246</v>
      </c>
      <c r="E3197" s="5" t="s">
        <v>306</v>
      </c>
      <c r="F3197" s="5" t="s">
        <v>19</v>
      </c>
      <c r="G3197" s="5" t="s">
        <v>32</v>
      </c>
      <c r="H3197" s="5" t="s">
        <v>719</v>
      </c>
      <c r="I3197" s="13">
        <v>100.964</v>
      </c>
      <c r="J3197" s="19">
        <v>6</v>
      </c>
      <c r="K3197" s="14">
        <v>-6.5735999999999999</v>
      </c>
    </row>
    <row r="3198" spans="1:11" x14ac:dyDescent="0.25">
      <c r="A3198" s="2">
        <v>43938</v>
      </c>
      <c r="B3198" s="18">
        <f t="shared" si="98"/>
        <v>2020</v>
      </c>
      <c r="C3198" s="18">
        <f t="shared" si="99"/>
        <v>4</v>
      </c>
      <c r="D3198" s="3" t="s">
        <v>369</v>
      </c>
      <c r="E3198" s="3" t="s">
        <v>18</v>
      </c>
      <c r="F3198" s="3" t="s">
        <v>19</v>
      </c>
      <c r="G3198" s="3" t="s">
        <v>53</v>
      </c>
      <c r="H3198" s="3" t="s">
        <v>1373</v>
      </c>
      <c r="I3198" s="11">
        <v>130.13999999999999</v>
      </c>
      <c r="J3198" s="18">
        <v>3</v>
      </c>
      <c r="K3198" s="12">
        <v>13.507199999999999</v>
      </c>
    </row>
    <row r="3199" spans="1:11" x14ac:dyDescent="0.25">
      <c r="A3199" s="4">
        <v>43938</v>
      </c>
      <c r="B3199" s="19">
        <f t="shared" si="98"/>
        <v>2020</v>
      </c>
      <c r="C3199" s="19">
        <f t="shared" si="99"/>
        <v>4</v>
      </c>
      <c r="D3199" s="5" t="s">
        <v>2246</v>
      </c>
      <c r="E3199" s="5" t="s">
        <v>306</v>
      </c>
      <c r="F3199" s="5" t="s">
        <v>19</v>
      </c>
      <c r="G3199" s="5" t="s">
        <v>53</v>
      </c>
      <c r="H3199" s="5" t="s">
        <v>466</v>
      </c>
      <c r="I3199" s="13">
        <v>131.73599999999999</v>
      </c>
      <c r="J3199" s="19">
        <v>4</v>
      </c>
      <c r="K3199" s="14">
        <v>7.2576000000000001</v>
      </c>
    </row>
    <row r="3200" spans="1:11" x14ac:dyDescent="0.25">
      <c r="A3200" s="2">
        <v>43938</v>
      </c>
      <c r="B3200" s="18">
        <f t="shared" si="98"/>
        <v>2020</v>
      </c>
      <c r="C3200" s="18">
        <f t="shared" si="99"/>
        <v>4</v>
      </c>
      <c r="D3200" s="3" t="s">
        <v>2246</v>
      </c>
      <c r="E3200" s="3" t="s">
        <v>306</v>
      </c>
      <c r="F3200" s="3" t="s">
        <v>19</v>
      </c>
      <c r="G3200" s="3" t="s">
        <v>32</v>
      </c>
      <c r="H3200" s="3" t="s">
        <v>1817</v>
      </c>
      <c r="I3200" s="11">
        <v>138.59399999999999</v>
      </c>
      <c r="J3200" s="18">
        <v>2</v>
      </c>
      <c r="K3200" s="12">
        <v>-15.835599999999999</v>
      </c>
    </row>
    <row r="3201" spans="1:11" x14ac:dyDescent="0.25">
      <c r="A3201" s="4">
        <v>43938</v>
      </c>
      <c r="B3201" s="19">
        <f t="shared" si="98"/>
        <v>2020</v>
      </c>
      <c r="C3201" s="19">
        <f t="shared" si="99"/>
        <v>4</v>
      </c>
      <c r="D3201" s="5" t="s">
        <v>2246</v>
      </c>
      <c r="E3201" s="5" t="s">
        <v>306</v>
      </c>
      <c r="F3201" s="5" t="s">
        <v>19</v>
      </c>
      <c r="G3201" s="5" t="s">
        <v>32</v>
      </c>
      <c r="H3201" s="5" t="s">
        <v>788</v>
      </c>
      <c r="I3201" s="13">
        <v>127.03</v>
      </c>
      <c r="J3201" s="19">
        <v>5</v>
      </c>
      <c r="K3201" s="14">
        <v>-9.2230000000000008</v>
      </c>
    </row>
    <row r="3202" spans="1:11" x14ac:dyDescent="0.25">
      <c r="A3202" s="2">
        <v>43938</v>
      </c>
      <c r="B3202" s="18">
        <f t="shared" ref="B3202:B3265" si="100">YEAR(A3202)</f>
        <v>2020</v>
      </c>
      <c r="C3202" s="18">
        <f t="shared" ref="C3202:C3265" si="101">MONTH(A3202)</f>
        <v>4</v>
      </c>
      <c r="D3202" s="3" t="s">
        <v>369</v>
      </c>
      <c r="E3202" s="3" t="s">
        <v>18</v>
      </c>
      <c r="F3202" s="3" t="s">
        <v>19</v>
      </c>
      <c r="G3202" s="3" t="s">
        <v>127</v>
      </c>
      <c r="H3202" s="3" t="s">
        <v>1996</v>
      </c>
      <c r="I3202" s="11">
        <v>114.38</v>
      </c>
      <c r="J3202" s="18">
        <v>2</v>
      </c>
      <c r="K3202" s="12">
        <v>3.4685999999999999</v>
      </c>
    </row>
    <row r="3203" spans="1:11" x14ac:dyDescent="0.25">
      <c r="A3203" s="4">
        <v>43938</v>
      </c>
      <c r="B3203" s="19">
        <f t="shared" si="100"/>
        <v>2020</v>
      </c>
      <c r="C3203" s="19">
        <f t="shared" si="101"/>
        <v>4</v>
      </c>
      <c r="D3203" s="5" t="s">
        <v>369</v>
      </c>
      <c r="E3203" s="5" t="s">
        <v>18</v>
      </c>
      <c r="F3203" s="5" t="s">
        <v>19</v>
      </c>
      <c r="G3203" s="5" t="s">
        <v>127</v>
      </c>
      <c r="H3203" s="5" t="s">
        <v>2019</v>
      </c>
      <c r="I3203" s="13">
        <v>159.04</v>
      </c>
      <c r="J3203" s="19">
        <v>8</v>
      </c>
      <c r="K3203" s="14">
        <v>11.2896</v>
      </c>
    </row>
    <row r="3204" spans="1:11" x14ac:dyDescent="0.25">
      <c r="A3204" s="2">
        <v>43941</v>
      </c>
      <c r="B3204" s="18">
        <f t="shared" si="100"/>
        <v>2020</v>
      </c>
      <c r="C3204" s="18">
        <f t="shared" si="101"/>
        <v>4</v>
      </c>
      <c r="D3204" s="3" t="s">
        <v>784</v>
      </c>
      <c r="E3204" s="3" t="s">
        <v>67</v>
      </c>
      <c r="F3204" s="3" t="s">
        <v>14</v>
      </c>
      <c r="G3204" s="3" t="s">
        <v>15</v>
      </c>
      <c r="H3204" s="3" t="s">
        <v>62</v>
      </c>
      <c r="I3204" s="11">
        <v>152.38200000000001</v>
      </c>
      <c r="J3204" s="18">
        <v>3</v>
      </c>
      <c r="K3204" s="12">
        <v>-24.476400000000002</v>
      </c>
    </row>
    <row r="3205" spans="1:11" x14ac:dyDescent="0.25">
      <c r="A3205" s="4">
        <v>43941</v>
      </c>
      <c r="B3205" s="19">
        <f t="shared" si="100"/>
        <v>2020</v>
      </c>
      <c r="C3205" s="19">
        <f t="shared" si="101"/>
        <v>4</v>
      </c>
      <c r="D3205" s="5" t="s">
        <v>1486</v>
      </c>
      <c r="E3205" s="5" t="s">
        <v>365</v>
      </c>
      <c r="F3205" s="5" t="s">
        <v>19</v>
      </c>
      <c r="G3205" s="5" t="s">
        <v>32</v>
      </c>
      <c r="H3205" s="5" t="s">
        <v>1053</v>
      </c>
      <c r="I3205" s="13">
        <v>195.86</v>
      </c>
      <c r="J3205" s="19">
        <v>7</v>
      </c>
      <c r="K3205" s="14">
        <v>70.492800000000003</v>
      </c>
    </row>
    <row r="3206" spans="1:11" x14ac:dyDescent="0.25">
      <c r="A3206" s="2">
        <v>43941</v>
      </c>
      <c r="B3206" s="18">
        <f t="shared" si="100"/>
        <v>2020</v>
      </c>
      <c r="C3206" s="18">
        <f t="shared" si="101"/>
        <v>4</v>
      </c>
      <c r="D3206" s="3" t="s">
        <v>1669</v>
      </c>
      <c r="E3206" s="3" t="s">
        <v>164</v>
      </c>
      <c r="F3206" s="3" t="s">
        <v>11</v>
      </c>
      <c r="G3206" s="3" t="s">
        <v>112</v>
      </c>
      <c r="H3206" s="3" t="s">
        <v>1286</v>
      </c>
      <c r="I3206" s="11">
        <v>344.05799999999999</v>
      </c>
      <c r="J3206" s="18">
        <v>3</v>
      </c>
      <c r="K3206" s="12">
        <v>-18.117599999999999</v>
      </c>
    </row>
    <row r="3207" spans="1:11" x14ac:dyDescent="0.25">
      <c r="A3207" s="4">
        <v>43941</v>
      </c>
      <c r="B3207" s="19">
        <f t="shared" si="100"/>
        <v>2020</v>
      </c>
      <c r="C3207" s="19">
        <f t="shared" si="101"/>
        <v>4</v>
      </c>
      <c r="D3207" s="5" t="s">
        <v>817</v>
      </c>
      <c r="E3207" s="5" t="s">
        <v>39</v>
      </c>
      <c r="F3207" s="5" t="s">
        <v>19</v>
      </c>
      <c r="G3207" s="5" t="s">
        <v>20</v>
      </c>
      <c r="H3207" s="5" t="s">
        <v>1957</v>
      </c>
      <c r="I3207" s="13">
        <v>348.70400000000001</v>
      </c>
      <c r="J3207" s="19">
        <v>1</v>
      </c>
      <c r="K3207" s="14">
        <v>33.270400000000002</v>
      </c>
    </row>
    <row r="3208" spans="1:11" x14ac:dyDescent="0.25">
      <c r="A3208" s="2">
        <v>43941</v>
      </c>
      <c r="B3208" s="18">
        <f t="shared" si="100"/>
        <v>2020</v>
      </c>
      <c r="C3208" s="18">
        <f t="shared" si="101"/>
        <v>4</v>
      </c>
      <c r="D3208" s="3" t="s">
        <v>784</v>
      </c>
      <c r="E3208" s="3" t="s">
        <v>67</v>
      </c>
      <c r="F3208" s="3" t="s">
        <v>19</v>
      </c>
      <c r="G3208" s="3" t="s">
        <v>20</v>
      </c>
      <c r="H3208" s="3" t="s">
        <v>1232</v>
      </c>
      <c r="I3208" s="11">
        <v>874.54399999999998</v>
      </c>
      <c r="J3208" s="18">
        <v>4</v>
      </c>
      <c r="K3208" s="12">
        <v>-21.2136</v>
      </c>
    </row>
    <row r="3209" spans="1:11" x14ac:dyDescent="0.25">
      <c r="A3209" s="4">
        <v>43941</v>
      </c>
      <c r="B3209" s="19">
        <f t="shared" si="100"/>
        <v>2020</v>
      </c>
      <c r="C3209" s="19">
        <f t="shared" si="101"/>
        <v>4</v>
      </c>
      <c r="D3209" s="5" t="s">
        <v>1669</v>
      </c>
      <c r="E3209" s="5" t="s">
        <v>164</v>
      </c>
      <c r="F3209" s="5" t="s">
        <v>11</v>
      </c>
      <c r="G3209" s="5" t="s">
        <v>51</v>
      </c>
      <c r="H3209" s="5" t="s">
        <v>1265</v>
      </c>
      <c r="I3209" s="13">
        <v>120.56</v>
      </c>
      <c r="J3209" s="19">
        <v>5</v>
      </c>
      <c r="K3209" s="14">
        <v>-6.1879999999999997</v>
      </c>
    </row>
    <row r="3210" spans="1:11" x14ac:dyDescent="0.25">
      <c r="A3210" s="2">
        <v>43941</v>
      </c>
      <c r="B3210" s="18">
        <f t="shared" si="100"/>
        <v>2020</v>
      </c>
      <c r="C3210" s="18">
        <f t="shared" si="101"/>
        <v>4</v>
      </c>
      <c r="D3210" s="3" t="s">
        <v>1669</v>
      </c>
      <c r="E3210" s="3" t="s">
        <v>164</v>
      </c>
      <c r="F3210" s="3" t="s">
        <v>19</v>
      </c>
      <c r="G3210" s="3" t="s">
        <v>40</v>
      </c>
      <c r="H3210" s="3" t="s">
        <v>2180</v>
      </c>
      <c r="I3210" s="11">
        <v>93.76</v>
      </c>
      <c r="J3210" s="18">
        <v>2</v>
      </c>
      <c r="K3210" s="12">
        <v>3.5459999999999998</v>
      </c>
    </row>
    <row r="3211" spans="1:11" x14ac:dyDescent="0.25">
      <c r="A3211" s="4">
        <v>43941</v>
      </c>
      <c r="B3211" s="19">
        <f t="shared" si="100"/>
        <v>2020</v>
      </c>
      <c r="C3211" s="19">
        <f t="shared" si="101"/>
        <v>4</v>
      </c>
      <c r="D3211" s="5" t="s">
        <v>784</v>
      </c>
      <c r="E3211" s="5" t="s">
        <v>67</v>
      </c>
      <c r="F3211" s="5" t="s">
        <v>19</v>
      </c>
      <c r="G3211" s="5" t="s">
        <v>32</v>
      </c>
      <c r="H3211" s="5" t="s">
        <v>272</v>
      </c>
      <c r="I3211" s="13">
        <v>89.7</v>
      </c>
      <c r="J3211" s="19">
        <v>5</v>
      </c>
      <c r="K3211" s="14">
        <v>-6.38</v>
      </c>
    </row>
    <row r="3212" spans="1:11" x14ac:dyDescent="0.25">
      <c r="A3212" s="2">
        <v>43941</v>
      </c>
      <c r="B3212" s="18">
        <f t="shared" si="100"/>
        <v>2020</v>
      </c>
      <c r="C3212" s="18">
        <f t="shared" si="101"/>
        <v>4</v>
      </c>
      <c r="D3212" s="3" t="s">
        <v>817</v>
      </c>
      <c r="E3212" s="3" t="s">
        <v>39</v>
      </c>
      <c r="F3212" s="3" t="s">
        <v>19</v>
      </c>
      <c r="G3212" s="3" t="s">
        <v>20</v>
      </c>
      <c r="H3212" s="3" t="s">
        <v>1619</v>
      </c>
      <c r="I3212" s="11">
        <v>133.33600000000001</v>
      </c>
      <c r="J3212" s="18">
        <v>3</v>
      </c>
      <c r="K3212" s="12">
        <v>5.7752999999999997</v>
      </c>
    </row>
    <row r="3213" spans="1:11" x14ac:dyDescent="0.25">
      <c r="A3213" s="4">
        <v>43941</v>
      </c>
      <c r="B3213" s="19">
        <f t="shared" si="100"/>
        <v>2020</v>
      </c>
      <c r="C3213" s="19">
        <f t="shared" si="101"/>
        <v>4</v>
      </c>
      <c r="D3213" s="5" t="s">
        <v>1486</v>
      </c>
      <c r="E3213" s="5" t="s">
        <v>365</v>
      </c>
      <c r="F3213" s="5" t="s">
        <v>19</v>
      </c>
      <c r="G3213" s="5" t="s">
        <v>32</v>
      </c>
      <c r="H3213" s="5" t="s">
        <v>426</v>
      </c>
      <c r="I3213" s="13">
        <v>128.56</v>
      </c>
      <c r="J3213" s="19">
        <v>4</v>
      </c>
      <c r="K3213" s="14">
        <v>18.28</v>
      </c>
    </row>
    <row r="3214" spans="1:11" x14ac:dyDescent="0.25">
      <c r="A3214" s="2">
        <v>43941</v>
      </c>
      <c r="B3214" s="18">
        <f t="shared" si="100"/>
        <v>2020</v>
      </c>
      <c r="C3214" s="18">
        <f t="shared" si="101"/>
        <v>4</v>
      </c>
      <c r="D3214" s="3" t="s">
        <v>360</v>
      </c>
      <c r="E3214" s="3" t="s">
        <v>164</v>
      </c>
      <c r="F3214" s="3" t="s">
        <v>11</v>
      </c>
      <c r="G3214" s="3" t="s">
        <v>51</v>
      </c>
      <c r="H3214" s="3" t="s">
        <v>2121</v>
      </c>
      <c r="I3214" s="11">
        <v>136.4</v>
      </c>
      <c r="J3214" s="18">
        <v>2</v>
      </c>
      <c r="K3214" s="12">
        <v>-52.17</v>
      </c>
    </row>
    <row r="3215" spans="1:11" x14ac:dyDescent="0.25">
      <c r="A3215" s="4">
        <v>43941</v>
      </c>
      <c r="B3215" s="19">
        <f t="shared" si="100"/>
        <v>2020</v>
      </c>
      <c r="C3215" s="19">
        <f t="shared" si="101"/>
        <v>4</v>
      </c>
      <c r="D3215" s="5" t="s">
        <v>817</v>
      </c>
      <c r="E3215" s="5" t="s">
        <v>39</v>
      </c>
      <c r="F3215" s="5" t="s">
        <v>11</v>
      </c>
      <c r="G3215" s="5" t="s">
        <v>51</v>
      </c>
      <c r="H3215" s="5" t="s">
        <v>1517</v>
      </c>
      <c r="I3215" s="13">
        <v>137.40799999999999</v>
      </c>
      <c r="J3215" s="19">
        <v>3</v>
      </c>
      <c r="K3215" s="14">
        <v>9.5418000000000003</v>
      </c>
    </row>
    <row r="3216" spans="1:11" x14ac:dyDescent="0.25">
      <c r="A3216" s="2">
        <v>43941</v>
      </c>
      <c r="B3216" s="18">
        <f t="shared" si="100"/>
        <v>2020</v>
      </c>
      <c r="C3216" s="18">
        <f t="shared" si="101"/>
        <v>4</v>
      </c>
      <c r="D3216" s="3" t="s">
        <v>817</v>
      </c>
      <c r="E3216" s="3" t="s">
        <v>39</v>
      </c>
      <c r="F3216" s="3" t="s">
        <v>11</v>
      </c>
      <c r="G3216" s="3" t="s">
        <v>51</v>
      </c>
      <c r="H3216" s="3" t="s">
        <v>762</v>
      </c>
      <c r="I3216" s="11">
        <v>149.96799999999999</v>
      </c>
      <c r="J3216" s="18">
        <v>2</v>
      </c>
      <c r="K3216" s="12">
        <v>10.393599999999999</v>
      </c>
    </row>
    <row r="3217" spans="1:11" x14ac:dyDescent="0.25">
      <c r="A3217" s="4">
        <v>43942</v>
      </c>
      <c r="B3217" s="19">
        <f t="shared" si="100"/>
        <v>2020</v>
      </c>
      <c r="C3217" s="19">
        <f t="shared" si="101"/>
        <v>4</v>
      </c>
      <c r="D3217" s="5" t="s">
        <v>1895</v>
      </c>
      <c r="E3217" s="5" t="s">
        <v>23</v>
      </c>
      <c r="F3217" s="5" t="s">
        <v>19</v>
      </c>
      <c r="G3217" s="5" t="s">
        <v>121</v>
      </c>
      <c r="H3217" s="5" t="s">
        <v>959</v>
      </c>
      <c r="I3217" s="13">
        <v>114.264</v>
      </c>
      <c r="J3217" s="19">
        <v>4</v>
      </c>
      <c r="K3217" s="14">
        <v>-243.16</v>
      </c>
    </row>
    <row r="3218" spans="1:11" x14ac:dyDescent="0.25">
      <c r="A3218" s="2">
        <v>43942</v>
      </c>
      <c r="B3218" s="18">
        <f t="shared" si="100"/>
        <v>2020</v>
      </c>
      <c r="C3218" s="18">
        <f t="shared" si="101"/>
        <v>4</v>
      </c>
      <c r="D3218" s="3" t="s">
        <v>2062</v>
      </c>
      <c r="E3218" s="3" t="s">
        <v>70</v>
      </c>
      <c r="F3218" s="3" t="s">
        <v>11</v>
      </c>
      <c r="G3218" s="3" t="s">
        <v>51</v>
      </c>
      <c r="H3218" s="3" t="s">
        <v>2247</v>
      </c>
      <c r="I3218" s="11">
        <v>185.6</v>
      </c>
      <c r="J3218" s="18">
        <v>3</v>
      </c>
      <c r="K3218" s="12">
        <v>34.146000000000001</v>
      </c>
    </row>
    <row r="3219" spans="1:11" x14ac:dyDescent="0.25">
      <c r="A3219" s="4">
        <v>43942</v>
      </c>
      <c r="B3219" s="19">
        <f t="shared" si="100"/>
        <v>2020</v>
      </c>
      <c r="C3219" s="19">
        <f t="shared" si="101"/>
        <v>4</v>
      </c>
      <c r="D3219" s="5" t="s">
        <v>511</v>
      </c>
      <c r="E3219" s="5" t="s">
        <v>10</v>
      </c>
      <c r="F3219" s="5" t="s">
        <v>11</v>
      </c>
      <c r="G3219" s="5" t="s">
        <v>112</v>
      </c>
      <c r="H3219" s="5" t="s">
        <v>1641</v>
      </c>
      <c r="I3219" s="13">
        <v>938.82</v>
      </c>
      <c r="J3219" s="19">
        <v>9</v>
      </c>
      <c r="K3219" s="14">
        <v>227.20500000000001</v>
      </c>
    </row>
    <row r="3220" spans="1:11" x14ac:dyDescent="0.25">
      <c r="A3220" s="2">
        <v>43942</v>
      </c>
      <c r="B3220" s="18">
        <f t="shared" si="100"/>
        <v>2020</v>
      </c>
      <c r="C3220" s="18">
        <f t="shared" si="101"/>
        <v>4</v>
      </c>
      <c r="D3220" s="3" t="s">
        <v>2062</v>
      </c>
      <c r="E3220" s="3" t="s">
        <v>70</v>
      </c>
      <c r="F3220" s="3" t="s">
        <v>14</v>
      </c>
      <c r="G3220" s="3" t="s">
        <v>24</v>
      </c>
      <c r="H3220" s="3" t="s">
        <v>1060</v>
      </c>
      <c r="I3220" s="11">
        <v>118.54</v>
      </c>
      <c r="J3220" s="18">
        <v>1</v>
      </c>
      <c r="K3220" s="12">
        <v>3.4620000000000002</v>
      </c>
    </row>
    <row r="3221" spans="1:11" x14ac:dyDescent="0.25">
      <c r="A3221" s="4">
        <v>43942</v>
      </c>
      <c r="B3221" s="19">
        <f t="shared" si="100"/>
        <v>2020</v>
      </c>
      <c r="C3221" s="19">
        <f t="shared" si="101"/>
        <v>4</v>
      </c>
      <c r="D3221" s="5" t="s">
        <v>2248</v>
      </c>
      <c r="E3221" s="5" t="s">
        <v>23</v>
      </c>
      <c r="F3221" s="5" t="s">
        <v>19</v>
      </c>
      <c r="G3221" s="5" t="s">
        <v>53</v>
      </c>
      <c r="H3221" s="5" t="s">
        <v>1000</v>
      </c>
      <c r="I3221" s="13">
        <v>91.736000000000004</v>
      </c>
      <c r="J3221" s="19">
        <v>4</v>
      </c>
      <c r="K3221" s="14">
        <v>7.2576000000000001</v>
      </c>
    </row>
    <row r="3222" spans="1:11" x14ac:dyDescent="0.25">
      <c r="A3222" s="2">
        <v>43942</v>
      </c>
      <c r="B3222" s="18">
        <f t="shared" si="100"/>
        <v>2020</v>
      </c>
      <c r="C3222" s="18">
        <f t="shared" si="101"/>
        <v>4</v>
      </c>
      <c r="D3222" s="3" t="s">
        <v>1384</v>
      </c>
      <c r="E3222" s="3" t="s">
        <v>23</v>
      </c>
      <c r="F3222" s="3" t="s">
        <v>19</v>
      </c>
      <c r="G3222" s="3" t="s">
        <v>32</v>
      </c>
      <c r="H3222" s="3" t="s">
        <v>539</v>
      </c>
      <c r="I3222" s="11">
        <v>119.694</v>
      </c>
      <c r="J3222" s="18">
        <v>3</v>
      </c>
      <c r="K3222" s="12">
        <v>-4.7145000000000001</v>
      </c>
    </row>
    <row r="3223" spans="1:11" x14ac:dyDescent="0.25">
      <c r="A3223" s="4">
        <v>43942</v>
      </c>
      <c r="B3223" s="19">
        <f t="shared" si="100"/>
        <v>2020</v>
      </c>
      <c r="C3223" s="19">
        <f t="shared" si="101"/>
        <v>4</v>
      </c>
      <c r="D3223" s="5" t="s">
        <v>1384</v>
      </c>
      <c r="E3223" s="5" t="s">
        <v>23</v>
      </c>
      <c r="F3223" s="5" t="s">
        <v>19</v>
      </c>
      <c r="G3223" s="5" t="s">
        <v>32</v>
      </c>
      <c r="H3223" s="5" t="s">
        <v>2249</v>
      </c>
      <c r="I3223" s="13">
        <v>99.933999999999997</v>
      </c>
      <c r="J3223" s="19">
        <v>3</v>
      </c>
      <c r="K3223" s="14">
        <v>-4.9878</v>
      </c>
    </row>
    <row r="3224" spans="1:11" x14ac:dyDescent="0.25">
      <c r="A3224" s="2">
        <v>43942</v>
      </c>
      <c r="B3224" s="18">
        <f t="shared" si="100"/>
        <v>2020</v>
      </c>
      <c r="C3224" s="18">
        <f t="shared" si="101"/>
        <v>4</v>
      </c>
      <c r="D3224" s="3" t="s">
        <v>2248</v>
      </c>
      <c r="E3224" s="3" t="s">
        <v>23</v>
      </c>
      <c r="F3224" s="3" t="s">
        <v>14</v>
      </c>
      <c r="G3224" s="3" t="s">
        <v>24</v>
      </c>
      <c r="H3224" s="3" t="s">
        <v>2250</v>
      </c>
      <c r="I3224" s="11">
        <v>116.976</v>
      </c>
      <c r="J3224" s="18">
        <v>3</v>
      </c>
      <c r="K3224" s="12">
        <v>8.3957999999999995</v>
      </c>
    </row>
    <row r="3225" spans="1:11" x14ac:dyDescent="0.25">
      <c r="A3225" s="4">
        <v>43943</v>
      </c>
      <c r="B3225" s="19">
        <f t="shared" si="100"/>
        <v>2020</v>
      </c>
      <c r="C3225" s="19">
        <f t="shared" si="101"/>
        <v>4</v>
      </c>
      <c r="D3225" s="5" t="s">
        <v>1448</v>
      </c>
      <c r="E3225" s="5" t="s">
        <v>39</v>
      </c>
      <c r="F3225" s="5" t="s">
        <v>11</v>
      </c>
      <c r="G3225" s="5" t="s">
        <v>51</v>
      </c>
      <c r="H3225" s="5" t="s">
        <v>799</v>
      </c>
      <c r="I3225" s="13">
        <v>265.35199999999998</v>
      </c>
      <c r="J3225" s="19">
        <v>3</v>
      </c>
      <c r="K3225" s="14">
        <v>0</v>
      </c>
    </row>
    <row r="3226" spans="1:11" x14ac:dyDescent="0.25">
      <c r="A3226" s="2">
        <v>43943</v>
      </c>
      <c r="B3226" s="18">
        <f t="shared" si="100"/>
        <v>2020</v>
      </c>
      <c r="C3226" s="18">
        <f t="shared" si="101"/>
        <v>4</v>
      </c>
      <c r="D3226" s="3" t="s">
        <v>291</v>
      </c>
      <c r="E3226" s="3" t="s">
        <v>109</v>
      </c>
      <c r="F3226" s="3" t="s">
        <v>19</v>
      </c>
      <c r="G3226" s="3" t="s">
        <v>20</v>
      </c>
      <c r="H3226" s="3" t="s">
        <v>236</v>
      </c>
      <c r="I3226" s="11">
        <v>689.06</v>
      </c>
      <c r="J3226" s="18">
        <v>3</v>
      </c>
      <c r="K3226" s="12">
        <v>87.757800000000003</v>
      </c>
    </row>
    <row r="3227" spans="1:11" x14ac:dyDescent="0.25">
      <c r="A3227" s="4">
        <v>43943</v>
      </c>
      <c r="B3227" s="19">
        <f t="shared" si="100"/>
        <v>2020</v>
      </c>
      <c r="C3227" s="19">
        <f t="shared" si="101"/>
        <v>4</v>
      </c>
      <c r="D3227" s="5" t="s">
        <v>1967</v>
      </c>
      <c r="E3227" s="5" t="s">
        <v>18</v>
      </c>
      <c r="F3227" s="5" t="s">
        <v>11</v>
      </c>
      <c r="G3227" s="5" t="s">
        <v>51</v>
      </c>
      <c r="H3227" s="5" t="s">
        <v>1272</v>
      </c>
      <c r="I3227" s="13">
        <v>109.28</v>
      </c>
      <c r="J3227" s="19">
        <v>2</v>
      </c>
      <c r="K3227" s="14">
        <v>6.2152000000000003</v>
      </c>
    </row>
    <row r="3228" spans="1:11" x14ac:dyDescent="0.25">
      <c r="A3228" s="2">
        <v>43944</v>
      </c>
      <c r="B3228" s="18">
        <f t="shared" si="100"/>
        <v>2020</v>
      </c>
      <c r="C3228" s="18">
        <f t="shared" si="101"/>
        <v>4</v>
      </c>
      <c r="D3228" s="3" t="s">
        <v>1538</v>
      </c>
      <c r="E3228" s="3" t="s">
        <v>219</v>
      </c>
      <c r="F3228" s="3" t="s">
        <v>11</v>
      </c>
      <c r="G3228" s="3" t="s">
        <v>51</v>
      </c>
      <c r="H3228" s="3" t="s">
        <v>2251</v>
      </c>
      <c r="I3228" s="11">
        <v>109.952</v>
      </c>
      <c r="J3228" s="18">
        <v>3</v>
      </c>
      <c r="K3228" s="12">
        <v>-11.6928</v>
      </c>
    </row>
    <row r="3229" spans="1:11" x14ac:dyDescent="0.25">
      <c r="A3229" s="4">
        <v>43944</v>
      </c>
      <c r="B3229" s="19">
        <f t="shared" si="100"/>
        <v>2020</v>
      </c>
      <c r="C3229" s="19">
        <f t="shared" si="101"/>
        <v>4</v>
      </c>
      <c r="D3229" s="5" t="s">
        <v>1153</v>
      </c>
      <c r="E3229" s="5" t="s">
        <v>18</v>
      </c>
      <c r="F3229" s="5" t="s">
        <v>11</v>
      </c>
      <c r="G3229" s="5" t="s">
        <v>51</v>
      </c>
      <c r="H3229" s="5" t="s">
        <v>68</v>
      </c>
      <c r="I3229" s="13">
        <v>112.36</v>
      </c>
      <c r="J3229" s="19">
        <v>7</v>
      </c>
      <c r="K3229" s="14">
        <v>26.544</v>
      </c>
    </row>
    <row r="3230" spans="1:11" x14ac:dyDescent="0.25">
      <c r="A3230" s="2">
        <v>43944</v>
      </c>
      <c r="B3230" s="18">
        <f t="shared" si="100"/>
        <v>2020</v>
      </c>
      <c r="C3230" s="18">
        <f t="shared" si="101"/>
        <v>4</v>
      </c>
      <c r="D3230" s="3" t="s">
        <v>1153</v>
      </c>
      <c r="E3230" s="3" t="s">
        <v>18</v>
      </c>
      <c r="F3230" s="3" t="s">
        <v>19</v>
      </c>
      <c r="G3230" s="3" t="s">
        <v>32</v>
      </c>
      <c r="H3230" s="3" t="s">
        <v>878</v>
      </c>
      <c r="I3230" s="11">
        <v>113.88</v>
      </c>
      <c r="J3230" s="18">
        <v>6</v>
      </c>
      <c r="K3230" s="12">
        <v>30.186</v>
      </c>
    </row>
    <row r="3231" spans="1:11" x14ac:dyDescent="0.25">
      <c r="A3231" s="4">
        <v>43944</v>
      </c>
      <c r="B3231" s="19">
        <f t="shared" si="100"/>
        <v>2020</v>
      </c>
      <c r="C3231" s="19">
        <f t="shared" si="101"/>
        <v>4</v>
      </c>
      <c r="D3231" s="5" t="s">
        <v>1939</v>
      </c>
      <c r="E3231" s="5" t="s">
        <v>94</v>
      </c>
      <c r="F3231" s="5" t="s">
        <v>19</v>
      </c>
      <c r="G3231" s="5" t="s">
        <v>265</v>
      </c>
      <c r="H3231" s="5" t="s">
        <v>1327</v>
      </c>
      <c r="I3231" s="13">
        <v>139.71</v>
      </c>
      <c r="J3231" s="19">
        <v>7</v>
      </c>
      <c r="K3231" s="14">
        <v>36.813000000000002</v>
      </c>
    </row>
    <row r="3232" spans="1:11" x14ac:dyDescent="0.25">
      <c r="A3232" s="2">
        <v>43944</v>
      </c>
      <c r="B3232" s="18">
        <f t="shared" si="100"/>
        <v>2020</v>
      </c>
      <c r="C3232" s="18">
        <f t="shared" si="101"/>
        <v>4</v>
      </c>
      <c r="D3232" s="3" t="s">
        <v>1939</v>
      </c>
      <c r="E3232" s="3" t="s">
        <v>94</v>
      </c>
      <c r="F3232" s="3" t="s">
        <v>19</v>
      </c>
      <c r="G3232" s="3" t="s">
        <v>121</v>
      </c>
      <c r="H3232" s="3" t="s">
        <v>1289</v>
      </c>
      <c r="I3232" s="11">
        <v>163.94</v>
      </c>
      <c r="J3232" s="18">
        <v>2</v>
      </c>
      <c r="K3232" s="12">
        <v>35.3626</v>
      </c>
    </row>
    <row r="3233" spans="1:11" x14ac:dyDescent="0.25">
      <c r="A3233" s="4">
        <v>43944</v>
      </c>
      <c r="B3233" s="19">
        <f t="shared" si="100"/>
        <v>2020</v>
      </c>
      <c r="C3233" s="19">
        <f t="shared" si="101"/>
        <v>4</v>
      </c>
      <c r="D3233" s="5" t="s">
        <v>2047</v>
      </c>
      <c r="E3233" s="5" t="s">
        <v>317</v>
      </c>
      <c r="F3233" s="5" t="s">
        <v>14</v>
      </c>
      <c r="G3233" s="5" t="s">
        <v>24</v>
      </c>
      <c r="H3233" s="5" t="s">
        <v>2252</v>
      </c>
      <c r="I3233" s="13">
        <v>178.34</v>
      </c>
      <c r="J3233" s="19">
        <v>6</v>
      </c>
      <c r="K3233" s="14">
        <v>55.922400000000003</v>
      </c>
    </row>
    <row r="3234" spans="1:11" x14ac:dyDescent="0.25">
      <c r="A3234" s="2">
        <v>43944</v>
      </c>
      <c r="B3234" s="18">
        <f t="shared" si="100"/>
        <v>2020</v>
      </c>
      <c r="C3234" s="18">
        <f t="shared" si="101"/>
        <v>4</v>
      </c>
      <c r="D3234" s="3" t="s">
        <v>1538</v>
      </c>
      <c r="E3234" s="3" t="s">
        <v>219</v>
      </c>
      <c r="F3234" s="3" t="s">
        <v>11</v>
      </c>
      <c r="G3234" s="3" t="s">
        <v>12</v>
      </c>
      <c r="H3234" s="3" t="s">
        <v>2253</v>
      </c>
      <c r="I3234" s="11">
        <v>415.13600000000002</v>
      </c>
      <c r="J3234" s="18">
        <v>4</v>
      </c>
      <c r="K3234" s="12">
        <v>-14.5176</v>
      </c>
    </row>
    <row r="3235" spans="1:11" x14ac:dyDescent="0.25">
      <c r="A3235" s="4">
        <v>43944</v>
      </c>
      <c r="B3235" s="19">
        <f t="shared" si="100"/>
        <v>2020</v>
      </c>
      <c r="C3235" s="19">
        <f t="shared" si="101"/>
        <v>4</v>
      </c>
      <c r="D3235" s="5" t="s">
        <v>1380</v>
      </c>
      <c r="E3235" s="5" t="s">
        <v>67</v>
      </c>
      <c r="F3235" s="5" t="s">
        <v>19</v>
      </c>
      <c r="G3235" s="5" t="s">
        <v>32</v>
      </c>
      <c r="H3235" s="5" t="s">
        <v>144</v>
      </c>
      <c r="I3235" s="13">
        <v>107.76</v>
      </c>
      <c r="J3235" s="19">
        <v>5</v>
      </c>
      <c r="K3235" s="14">
        <v>-7.84</v>
      </c>
    </row>
    <row r="3236" spans="1:11" x14ac:dyDescent="0.25">
      <c r="A3236" s="2">
        <v>43944</v>
      </c>
      <c r="B3236" s="18">
        <f t="shared" si="100"/>
        <v>2020</v>
      </c>
      <c r="C3236" s="18">
        <f t="shared" si="101"/>
        <v>4</v>
      </c>
      <c r="D3236" s="3" t="s">
        <v>1380</v>
      </c>
      <c r="E3236" s="3" t="s">
        <v>67</v>
      </c>
      <c r="F3236" s="3" t="s">
        <v>19</v>
      </c>
      <c r="G3236" s="3" t="s">
        <v>53</v>
      </c>
      <c r="H3236" s="3" t="s">
        <v>1709</v>
      </c>
      <c r="I3236" s="11">
        <v>112.34399999999999</v>
      </c>
      <c r="J3236" s="18">
        <v>1</v>
      </c>
      <c r="K3236" s="12">
        <v>1.8704000000000001</v>
      </c>
    </row>
    <row r="3237" spans="1:11" x14ac:dyDescent="0.25">
      <c r="A3237" s="4">
        <v>43944</v>
      </c>
      <c r="B3237" s="19">
        <f t="shared" si="100"/>
        <v>2020</v>
      </c>
      <c r="C3237" s="19">
        <f t="shared" si="101"/>
        <v>4</v>
      </c>
      <c r="D3237" s="5" t="s">
        <v>1538</v>
      </c>
      <c r="E3237" s="5" t="s">
        <v>219</v>
      </c>
      <c r="F3237" s="5" t="s">
        <v>19</v>
      </c>
      <c r="G3237" s="5" t="s">
        <v>127</v>
      </c>
      <c r="H3237" s="5" t="s">
        <v>765</v>
      </c>
      <c r="I3237" s="13">
        <v>97</v>
      </c>
      <c r="J3237" s="19">
        <v>1</v>
      </c>
      <c r="K3237" s="14">
        <v>1.05</v>
      </c>
    </row>
    <row r="3238" spans="1:11" x14ac:dyDescent="0.25">
      <c r="A3238" s="2">
        <v>43944</v>
      </c>
      <c r="B3238" s="18">
        <f t="shared" si="100"/>
        <v>2020</v>
      </c>
      <c r="C3238" s="18">
        <f t="shared" si="101"/>
        <v>4</v>
      </c>
      <c r="D3238" s="3" t="s">
        <v>2087</v>
      </c>
      <c r="E3238" s="3" t="s">
        <v>306</v>
      </c>
      <c r="F3238" s="3" t="s">
        <v>19</v>
      </c>
      <c r="G3238" s="3" t="s">
        <v>86</v>
      </c>
      <c r="H3238" s="3" t="s">
        <v>176</v>
      </c>
      <c r="I3238" s="11">
        <v>131.68799999999999</v>
      </c>
      <c r="J3238" s="18">
        <v>2</v>
      </c>
      <c r="K3238" s="12">
        <v>7.008</v>
      </c>
    </row>
    <row r="3239" spans="1:11" x14ac:dyDescent="0.25">
      <c r="A3239" s="4">
        <v>43944</v>
      </c>
      <c r="B3239" s="19">
        <f t="shared" si="100"/>
        <v>2020</v>
      </c>
      <c r="C3239" s="19">
        <f t="shared" si="101"/>
        <v>4</v>
      </c>
      <c r="D3239" s="5" t="s">
        <v>2087</v>
      </c>
      <c r="E3239" s="5" t="s">
        <v>306</v>
      </c>
      <c r="F3239" s="5" t="s">
        <v>11</v>
      </c>
      <c r="G3239" s="5" t="s">
        <v>51</v>
      </c>
      <c r="H3239" s="5" t="s">
        <v>2254</v>
      </c>
      <c r="I3239" s="13">
        <v>114.664</v>
      </c>
      <c r="J3239" s="19">
        <v>3</v>
      </c>
      <c r="K3239" s="14">
        <v>3.3534000000000002</v>
      </c>
    </row>
    <row r="3240" spans="1:11" x14ac:dyDescent="0.25">
      <c r="A3240" s="2">
        <v>43944</v>
      </c>
      <c r="B3240" s="18">
        <f t="shared" si="100"/>
        <v>2020</v>
      </c>
      <c r="C3240" s="18">
        <f t="shared" si="101"/>
        <v>4</v>
      </c>
      <c r="D3240" s="3" t="s">
        <v>1153</v>
      </c>
      <c r="E3240" s="3" t="s">
        <v>18</v>
      </c>
      <c r="F3240" s="3" t="s">
        <v>11</v>
      </c>
      <c r="G3240" s="3" t="s">
        <v>51</v>
      </c>
      <c r="H3240" s="3" t="s">
        <v>1321</v>
      </c>
      <c r="I3240" s="11">
        <v>149.13999999999999</v>
      </c>
      <c r="J3240" s="18">
        <v>2</v>
      </c>
      <c r="K3240" s="12">
        <v>7.9661999999999997</v>
      </c>
    </row>
    <row r="3241" spans="1:11" x14ac:dyDescent="0.25">
      <c r="A3241" s="4">
        <v>43944</v>
      </c>
      <c r="B3241" s="19">
        <f t="shared" si="100"/>
        <v>2020</v>
      </c>
      <c r="C3241" s="19">
        <f t="shared" si="101"/>
        <v>4</v>
      </c>
      <c r="D3241" s="5" t="s">
        <v>1538</v>
      </c>
      <c r="E3241" s="5" t="s">
        <v>219</v>
      </c>
      <c r="F3241" s="5" t="s">
        <v>14</v>
      </c>
      <c r="G3241" s="5" t="s">
        <v>24</v>
      </c>
      <c r="H3241" s="5" t="s">
        <v>1719</v>
      </c>
      <c r="I3241" s="13">
        <v>132.40799999999999</v>
      </c>
      <c r="J3241" s="19">
        <v>2</v>
      </c>
      <c r="K3241" s="14">
        <v>11.919600000000001</v>
      </c>
    </row>
    <row r="3242" spans="1:11" x14ac:dyDescent="0.25">
      <c r="A3242" s="2">
        <v>43944</v>
      </c>
      <c r="B3242" s="18">
        <f t="shared" si="100"/>
        <v>2020</v>
      </c>
      <c r="C3242" s="18">
        <f t="shared" si="101"/>
        <v>4</v>
      </c>
      <c r="D3242" s="3" t="s">
        <v>111</v>
      </c>
      <c r="E3242" s="3" t="s">
        <v>94</v>
      </c>
      <c r="F3242" s="3" t="s">
        <v>19</v>
      </c>
      <c r="G3242" s="3" t="s">
        <v>265</v>
      </c>
      <c r="H3242" s="3" t="s">
        <v>683</v>
      </c>
      <c r="I3242" s="11">
        <v>150.9</v>
      </c>
      <c r="J3242" s="18">
        <v>5</v>
      </c>
      <c r="K3242" s="12">
        <v>15.372</v>
      </c>
    </row>
    <row r="3243" spans="1:11" x14ac:dyDescent="0.25">
      <c r="A3243" s="4">
        <v>43945</v>
      </c>
      <c r="B3243" s="19">
        <f t="shared" si="100"/>
        <v>2020</v>
      </c>
      <c r="C3243" s="19">
        <f t="shared" si="101"/>
        <v>4</v>
      </c>
      <c r="D3243" s="5" t="s">
        <v>1240</v>
      </c>
      <c r="E3243" s="5" t="s">
        <v>883</v>
      </c>
      <c r="F3243" s="5" t="s">
        <v>14</v>
      </c>
      <c r="G3243" s="5" t="s">
        <v>24</v>
      </c>
      <c r="H3243" s="5" t="s">
        <v>436</v>
      </c>
      <c r="I3243" s="13">
        <v>100.98</v>
      </c>
      <c r="J3243" s="19">
        <v>2</v>
      </c>
      <c r="K3243" s="14">
        <v>4.8986000000000001</v>
      </c>
    </row>
    <row r="3244" spans="1:11" x14ac:dyDescent="0.25">
      <c r="A3244" s="2">
        <v>43945</v>
      </c>
      <c r="B3244" s="18">
        <f t="shared" si="100"/>
        <v>2020</v>
      </c>
      <c r="C3244" s="18">
        <f t="shared" si="101"/>
        <v>4</v>
      </c>
      <c r="D3244" s="3" t="s">
        <v>714</v>
      </c>
      <c r="E3244" s="3" t="s">
        <v>164</v>
      </c>
      <c r="F3244" s="3" t="s">
        <v>19</v>
      </c>
      <c r="G3244" s="3" t="s">
        <v>20</v>
      </c>
      <c r="H3244" s="3" t="s">
        <v>870</v>
      </c>
      <c r="I3244" s="11">
        <v>121.78400000000001</v>
      </c>
      <c r="J3244" s="18">
        <v>1</v>
      </c>
      <c r="K3244" s="12">
        <v>-18.196000000000002</v>
      </c>
    </row>
    <row r="3245" spans="1:11" x14ac:dyDescent="0.25">
      <c r="A3245" s="4">
        <v>43945</v>
      </c>
      <c r="B3245" s="19">
        <f t="shared" si="100"/>
        <v>2020</v>
      </c>
      <c r="C3245" s="19">
        <f t="shared" si="101"/>
        <v>4</v>
      </c>
      <c r="D3245" s="5" t="s">
        <v>493</v>
      </c>
      <c r="E3245" s="5" t="s">
        <v>39</v>
      </c>
      <c r="F3245" s="5" t="s">
        <v>19</v>
      </c>
      <c r="G3245" s="5" t="s">
        <v>121</v>
      </c>
      <c r="H3245" s="5" t="s">
        <v>2255</v>
      </c>
      <c r="I3245" s="13">
        <v>139.28</v>
      </c>
      <c r="J3245" s="19">
        <v>2</v>
      </c>
      <c r="K3245" s="14">
        <v>12.41</v>
      </c>
    </row>
    <row r="3246" spans="1:11" x14ac:dyDescent="0.25">
      <c r="A3246" s="2">
        <v>43945</v>
      </c>
      <c r="B3246" s="18">
        <f t="shared" si="100"/>
        <v>2020</v>
      </c>
      <c r="C3246" s="18">
        <f t="shared" si="101"/>
        <v>4</v>
      </c>
      <c r="D3246" s="3" t="s">
        <v>882</v>
      </c>
      <c r="E3246" s="3" t="s">
        <v>44</v>
      </c>
      <c r="F3246" s="3" t="s">
        <v>19</v>
      </c>
      <c r="G3246" s="3" t="s">
        <v>20</v>
      </c>
      <c r="H3246" s="3" t="s">
        <v>1635</v>
      </c>
      <c r="I3246" s="11">
        <v>147.56800000000001</v>
      </c>
      <c r="J3246" s="18">
        <v>2</v>
      </c>
      <c r="K3246" s="12">
        <v>-21.294</v>
      </c>
    </row>
    <row r="3247" spans="1:11" x14ac:dyDescent="0.25">
      <c r="A3247" s="4">
        <v>43945</v>
      </c>
      <c r="B3247" s="19">
        <f t="shared" si="100"/>
        <v>2020</v>
      </c>
      <c r="C3247" s="19">
        <f t="shared" si="101"/>
        <v>4</v>
      </c>
      <c r="D3247" s="5" t="s">
        <v>460</v>
      </c>
      <c r="E3247" s="5" t="s">
        <v>198</v>
      </c>
      <c r="F3247" s="5" t="s">
        <v>14</v>
      </c>
      <c r="G3247" s="5" t="s">
        <v>15</v>
      </c>
      <c r="H3247" s="5" t="s">
        <v>724</v>
      </c>
      <c r="I3247" s="13">
        <v>601</v>
      </c>
      <c r="J3247" s="19">
        <v>10</v>
      </c>
      <c r="K3247" s="14">
        <v>34.5</v>
      </c>
    </row>
    <row r="3248" spans="1:11" x14ac:dyDescent="0.25">
      <c r="A3248" s="2">
        <v>43945</v>
      </c>
      <c r="B3248" s="18">
        <f t="shared" si="100"/>
        <v>2020</v>
      </c>
      <c r="C3248" s="18">
        <f t="shared" si="101"/>
        <v>4</v>
      </c>
      <c r="D3248" s="3" t="s">
        <v>331</v>
      </c>
      <c r="E3248" s="3" t="s">
        <v>18</v>
      </c>
      <c r="F3248" s="3" t="s">
        <v>19</v>
      </c>
      <c r="G3248" s="3" t="s">
        <v>116</v>
      </c>
      <c r="H3248" s="3" t="s">
        <v>1462</v>
      </c>
      <c r="I3248" s="11">
        <v>81.81</v>
      </c>
      <c r="J3248" s="18">
        <v>1</v>
      </c>
      <c r="K3248" s="12">
        <v>0.65159999999999996</v>
      </c>
    </row>
    <row r="3249" spans="1:11" x14ac:dyDescent="0.25">
      <c r="A3249" s="4">
        <v>43945</v>
      </c>
      <c r="B3249" s="19">
        <f t="shared" si="100"/>
        <v>2020</v>
      </c>
      <c r="C3249" s="19">
        <f t="shared" si="101"/>
        <v>4</v>
      </c>
      <c r="D3249" s="5" t="s">
        <v>493</v>
      </c>
      <c r="E3249" s="5" t="s">
        <v>39</v>
      </c>
      <c r="F3249" s="5" t="s">
        <v>19</v>
      </c>
      <c r="G3249" s="5" t="s">
        <v>32</v>
      </c>
      <c r="H3249" s="5" t="s">
        <v>1739</v>
      </c>
      <c r="I3249" s="13">
        <v>92.188000000000002</v>
      </c>
      <c r="J3249" s="19">
        <v>2</v>
      </c>
      <c r="K3249" s="14">
        <v>-0.99</v>
      </c>
    </row>
    <row r="3250" spans="1:11" x14ac:dyDescent="0.25">
      <c r="A3250" s="2">
        <v>43945</v>
      </c>
      <c r="B3250" s="18">
        <f t="shared" si="100"/>
        <v>2020</v>
      </c>
      <c r="C3250" s="18">
        <f t="shared" si="101"/>
        <v>4</v>
      </c>
      <c r="D3250" s="3" t="s">
        <v>493</v>
      </c>
      <c r="E3250" s="3" t="s">
        <v>39</v>
      </c>
      <c r="F3250" s="3" t="s">
        <v>19</v>
      </c>
      <c r="G3250" s="3" t="s">
        <v>32</v>
      </c>
      <c r="H3250" s="3" t="s">
        <v>627</v>
      </c>
      <c r="I3250" s="11">
        <v>110.518</v>
      </c>
      <c r="J3250" s="18">
        <v>2</v>
      </c>
      <c r="K3250" s="12">
        <v>-5.7637999999999998</v>
      </c>
    </row>
    <row r="3251" spans="1:11" x14ac:dyDescent="0.25">
      <c r="A3251" s="4">
        <v>43945</v>
      </c>
      <c r="B3251" s="19">
        <f t="shared" si="100"/>
        <v>2020</v>
      </c>
      <c r="C3251" s="19">
        <f t="shared" si="101"/>
        <v>4</v>
      </c>
      <c r="D3251" s="5" t="s">
        <v>714</v>
      </c>
      <c r="E3251" s="5" t="s">
        <v>164</v>
      </c>
      <c r="F3251" s="5" t="s">
        <v>19</v>
      </c>
      <c r="G3251" s="5" t="s">
        <v>32</v>
      </c>
      <c r="H3251" s="5" t="s">
        <v>1724</v>
      </c>
      <c r="I3251" s="13">
        <v>104.43</v>
      </c>
      <c r="J3251" s="19">
        <v>5</v>
      </c>
      <c r="K3251" s="14">
        <v>-18.252500000000001</v>
      </c>
    </row>
    <row r="3252" spans="1:11" x14ac:dyDescent="0.25">
      <c r="A3252" s="2">
        <v>43946</v>
      </c>
      <c r="B3252" s="18">
        <f t="shared" si="100"/>
        <v>2020</v>
      </c>
      <c r="C3252" s="18">
        <f t="shared" si="101"/>
        <v>4</v>
      </c>
      <c r="D3252" s="3" t="s">
        <v>2256</v>
      </c>
      <c r="E3252" s="3" t="s">
        <v>18</v>
      </c>
      <c r="F3252" s="3" t="s">
        <v>14</v>
      </c>
      <c r="G3252" s="3" t="s">
        <v>24</v>
      </c>
      <c r="H3252" s="3" t="s">
        <v>1358</v>
      </c>
      <c r="I3252" s="11">
        <v>133.97</v>
      </c>
      <c r="J3252" s="18">
        <v>3</v>
      </c>
      <c r="K3252" s="12">
        <v>22.6737</v>
      </c>
    </row>
    <row r="3253" spans="1:11" x14ac:dyDescent="0.25">
      <c r="A3253" s="4">
        <v>43946</v>
      </c>
      <c r="B3253" s="19">
        <f t="shared" si="100"/>
        <v>2020</v>
      </c>
      <c r="C3253" s="19">
        <f t="shared" si="101"/>
        <v>4</v>
      </c>
      <c r="D3253" s="5" t="s">
        <v>942</v>
      </c>
      <c r="E3253" s="5" t="s">
        <v>18</v>
      </c>
      <c r="F3253" s="5" t="s">
        <v>11</v>
      </c>
      <c r="G3253" s="5" t="s">
        <v>12</v>
      </c>
      <c r="H3253" s="5" t="s">
        <v>13</v>
      </c>
      <c r="I3253" s="13">
        <v>367.98099999999999</v>
      </c>
      <c r="J3253" s="19">
        <v>7</v>
      </c>
      <c r="K3253" s="14">
        <v>28.4102</v>
      </c>
    </row>
    <row r="3254" spans="1:11" x14ac:dyDescent="0.25">
      <c r="A3254" s="2">
        <v>43946</v>
      </c>
      <c r="B3254" s="18">
        <f t="shared" si="100"/>
        <v>2020</v>
      </c>
      <c r="C3254" s="18">
        <f t="shared" si="101"/>
        <v>4</v>
      </c>
      <c r="D3254" s="3" t="s">
        <v>2257</v>
      </c>
      <c r="E3254" s="3" t="s">
        <v>198</v>
      </c>
      <c r="F3254" s="3" t="s">
        <v>19</v>
      </c>
      <c r="G3254" s="3" t="s">
        <v>40</v>
      </c>
      <c r="H3254" s="3" t="s">
        <v>1994</v>
      </c>
      <c r="I3254" s="11">
        <v>85.896000000000001</v>
      </c>
      <c r="J3254" s="18">
        <v>4</v>
      </c>
      <c r="K3254" s="12">
        <v>0.66720000000000002</v>
      </c>
    </row>
    <row r="3255" spans="1:11" x14ac:dyDescent="0.25">
      <c r="A3255" s="4">
        <v>43946</v>
      </c>
      <c r="B3255" s="19">
        <f t="shared" si="100"/>
        <v>2020</v>
      </c>
      <c r="C3255" s="19">
        <f t="shared" si="101"/>
        <v>4</v>
      </c>
      <c r="D3255" s="5" t="s">
        <v>389</v>
      </c>
      <c r="E3255" s="5" t="s">
        <v>18</v>
      </c>
      <c r="F3255" s="5" t="s">
        <v>19</v>
      </c>
      <c r="G3255" s="5" t="s">
        <v>32</v>
      </c>
      <c r="H3255" s="5" t="s">
        <v>1567</v>
      </c>
      <c r="I3255" s="13">
        <v>104.904</v>
      </c>
      <c r="J3255" s="19">
        <v>2</v>
      </c>
      <c r="K3255" s="14">
        <v>4.5187999999999997</v>
      </c>
    </row>
    <row r="3256" spans="1:11" x14ac:dyDescent="0.25">
      <c r="A3256" s="2">
        <v>43946</v>
      </c>
      <c r="B3256" s="18">
        <f t="shared" si="100"/>
        <v>2020</v>
      </c>
      <c r="C3256" s="18">
        <f t="shared" si="101"/>
        <v>4</v>
      </c>
      <c r="D3256" s="3" t="s">
        <v>1538</v>
      </c>
      <c r="E3256" s="3" t="s">
        <v>219</v>
      </c>
      <c r="F3256" s="3" t="s">
        <v>19</v>
      </c>
      <c r="G3256" s="3" t="s">
        <v>40</v>
      </c>
      <c r="H3256" s="3" t="s">
        <v>41</v>
      </c>
      <c r="I3256" s="11">
        <v>116.048</v>
      </c>
      <c r="J3256" s="18">
        <v>9</v>
      </c>
      <c r="K3256" s="12">
        <v>5.2560000000000002</v>
      </c>
    </row>
    <row r="3257" spans="1:11" x14ac:dyDescent="0.25">
      <c r="A3257" s="4">
        <v>43946</v>
      </c>
      <c r="B3257" s="19">
        <f t="shared" si="100"/>
        <v>2020</v>
      </c>
      <c r="C3257" s="19">
        <f t="shared" si="101"/>
        <v>4</v>
      </c>
      <c r="D3257" s="5" t="s">
        <v>2135</v>
      </c>
      <c r="E3257" s="5" t="s">
        <v>18</v>
      </c>
      <c r="F3257" s="5" t="s">
        <v>19</v>
      </c>
      <c r="G3257" s="5" t="s">
        <v>53</v>
      </c>
      <c r="H3257" s="5" t="s">
        <v>915</v>
      </c>
      <c r="I3257" s="13">
        <v>136.05000000000001</v>
      </c>
      <c r="J3257" s="19">
        <v>3</v>
      </c>
      <c r="K3257" s="14">
        <v>8.7629999999999999</v>
      </c>
    </row>
    <row r="3258" spans="1:11" x14ac:dyDescent="0.25">
      <c r="A3258" s="2">
        <v>43946</v>
      </c>
      <c r="B3258" s="18">
        <f t="shared" si="100"/>
        <v>2020</v>
      </c>
      <c r="C3258" s="18">
        <f t="shared" si="101"/>
        <v>4</v>
      </c>
      <c r="D3258" s="3" t="s">
        <v>2135</v>
      </c>
      <c r="E3258" s="3" t="s">
        <v>18</v>
      </c>
      <c r="F3258" s="3" t="s">
        <v>19</v>
      </c>
      <c r="G3258" s="3" t="s">
        <v>32</v>
      </c>
      <c r="H3258" s="3" t="s">
        <v>1385</v>
      </c>
      <c r="I3258" s="11">
        <v>164.34399999999999</v>
      </c>
      <c r="J3258" s="18">
        <v>3</v>
      </c>
      <c r="K3258" s="12">
        <v>27.504000000000001</v>
      </c>
    </row>
    <row r="3259" spans="1:11" x14ac:dyDescent="0.25">
      <c r="A3259" s="4">
        <v>43946</v>
      </c>
      <c r="B3259" s="19">
        <f t="shared" si="100"/>
        <v>2020</v>
      </c>
      <c r="C3259" s="19">
        <f t="shared" si="101"/>
        <v>4</v>
      </c>
      <c r="D3259" s="5" t="s">
        <v>1538</v>
      </c>
      <c r="E3259" s="5" t="s">
        <v>219</v>
      </c>
      <c r="F3259" s="5" t="s">
        <v>19</v>
      </c>
      <c r="G3259" s="5" t="s">
        <v>40</v>
      </c>
      <c r="H3259" s="5" t="s">
        <v>1676</v>
      </c>
      <c r="I3259" s="13">
        <v>174.92</v>
      </c>
      <c r="J3259" s="19">
        <v>5</v>
      </c>
      <c r="K3259" s="14">
        <v>6.7919999999999998</v>
      </c>
    </row>
    <row r="3260" spans="1:11" x14ac:dyDescent="0.25">
      <c r="A3260" s="2">
        <v>43947</v>
      </c>
      <c r="B3260" s="18">
        <f t="shared" si="100"/>
        <v>2020</v>
      </c>
      <c r="C3260" s="18">
        <f t="shared" si="101"/>
        <v>4</v>
      </c>
      <c r="D3260" s="3" t="s">
        <v>1288</v>
      </c>
      <c r="E3260" s="3" t="s">
        <v>23</v>
      </c>
      <c r="F3260" s="3" t="s">
        <v>11</v>
      </c>
      <c r="G3260" s="3" t="s">
        <v>51</v>
      </c>
      <c r="H3260" s="3" t="s">
        <v>74</v>
      </c>
      <c r="I3260" s="11">
        <v>87.988</v>
      </c>
      <c r="J3260" s="18">
        <v>1</v>
      </c>
      <c r="K3260" s="12">
        <v>-1.4413</v>
      </c>
    </row>
    <row r="3261" spans="1:11" x14ac:dyDescent="0.25">
      <c r="A3261" s="4">
        <v>43947</v>
      </c>
      <c r="B3261" s="19">
        <f t="shared" si="100"/>
        <v>2020</v>
      </c>
      <c r="C3261" s="19">
        <f t="shared" si="101"/>
        <v>4</v>
      </c>
      <c r="D3261" s="5" t="s">
        <v>1035</v>
      </c>
      <c r="E3261" s="5" t="s">
        <v>70</v>
      </c>
      <c r="F3261" s="5" t="s">
        <v>19</v>
      </c>
      <c r="G3261" s="5" t="s">
        <v>53</v>
      </c>
      <c r="H3261" s="5" t="s">
        <v>2037</v>
      </c>
      <c r="I3261" s="13">
        <v>122.34</v>
      </c>
      <c r="J3261" s="19">
        <v>3</v>
      </c>
      <c r="K3261" s="14">
        <v>9.3564000000000007</v>
      </c>
    </row>
    <row r="3262" spans="1:11" x14ac:dyDescent="0.25">
      <c r="A3262" s="2">
        <v>43947</v>
      </c>
      <c r="B3262" s="18">
        <f t="shared" si="100"/>
        <v>2020</v>
      </c>
      <c r="C3262" s="18">
        <f t="shared" si="101"/>
        <v>4</v>
      </c>
      <c r="D3262" s="3" t="s">
        <v>1035</v>
      </c>
      <c r="E3262" s="3" t="s">
        <v>70</v>
      </c>
      <c r="F3262" s="3" t="s">
        <v>19</v>
      </c>
      <c r="G3262" s="3" t="s">
        <v>127</v>
      </c>
      <c r="H3262" s="3" t="s">
        <v>1329</v>
      </c>
      <c r="I3262" s="11">
        <v>125.28</v>
      </c>
      <c r="J3262" s="18">
        <v>8</v>
      </c>
      <c r="K3262" s="12">
        <v>19.247199999999999</v>
      </c>
    </row>
    <row r="3263" spans="1:11" x14ac:dyDescent="0.25">
      <c r="A3263" s="4">
        <v>43948</v>
      </c>
      <c r="B3263" s="19">
        <f t="shared" si="100"/>
        <v>2020</v>
      </c>
      <c r="C3263" s="19">
        <f t="shared" si="101"/>
        <v>4</v>
      </c>
      <c r="D3263" s="5" t="s">
        <v>1589</v>
      </c>
      <c r="E3263" s="5" t="s">
        <v>70</v>
      </c>
      <c r="F3263" s="5" t="s">
        <v>11</v>
      </c>
      <c r="G3263" s="5" t="s">
        <v>51</v>
      </c>
      <c r="H3263" s="5" t="s">
        <v>1903</v>
      </c>
      <c r="I3263" s="13">
        <v>152.58000000000001</v>
      </c>
      <c r="J3263" s="19">
        <v>7</v>
      </c>
      <c r="K3263" s="14">
        <v>39.0824</v>
      </c>
    </row>
    <row r="3264" spans="1:11" x14ac:dyDescent="0.25">
      <c r="A3264" s="2">
        <v>43948</v>
      </c>
      <c r="B3264" s="18">
        <f t="shared" si="100"/>
        <v>2020</v>
      </c>
      <c r="C3264" s="18">
        <f t="shared" si="101"/>
        <v>4</v>
      </c>
      <c r="D3264" s="3" t="s">
        <v>638</v>
      </c>
      <c r="E3264" s="3" t="s">
        <v>18</v>
      </c>
      <c r="F3264" s="3" t="s">
        <v>19</v>
      </c>
      <c r="G3264" s="3" t="s">
        <v>40</v>
      </c>
      <c r="H3264" s="3" t="s">
        <v>934</v>
      </c>
      <c r="I3264" s="11">
        <v>169.92</v>
      </c>
      <c r="J3264" s="18">
        <v>4</v>
      </c>
      <c r="K3264" s="12">
        <v>33.458399999999997</v>
      </c>
    </row>
    <row r="3265" spans="1:11" x14ac:dyDescent="0.25">
      <c r="A3265" s="4">
        <v>43948</v>
      </c>
      <c r="B3265" s="19">
        <f t="shared" si="100"/>
        <v>2020</v>
      </c>
      <c r="C3265" s="19">
        <f t="shared" si="101"/>
        <v>4</v>
      </c>
      <c r="D3265" s="5" t="s">
        <v>817</v>
      </c>
      <c r="E3265" s="5" t="s">
        <v>23</v>
      </c>
      <c r="F3265" s="5" t="s">
        <v>11</v>
      </c>
      <c r="G3265" s="5" t="s">
        <v>12</v>
      </c>
      <c r="H3265" s="5" t="s">
        <v>571</v>
      </c>
      <c r="I3265" s="13">
        <v>269.26560000000001</v>
      </c>
      <c r="J3265" s="19">
        <v>4</v>
      </c>
      <c r="K3265" s="14">
        <v>-42.1096</v>
      </c>
    </row>
    <row r="3266" spans="1:11" x14ac:dyDescent="0.25">
      <c r="A3266" s="2">
        <v>43948</v>
      </c>
      <c r="B3266" s="18">
        <f t="shared" ref="B3266:B3329" si="102">YEAR(A3266)</f>
        <v>2020</v>
      </c>
      <c r="C3266" s="18">
        <f t="shared" ref="C3266:C3329" si="103">MONTH(A3266)</f>
        <v>4</v>
      </c>
      <c r="D3266" s="3" t="s">
        <v>638</v>
      </c>
      <c r="E3266" s="3" t="s">
        <v>18</v>
      </c>
      <c r="F3266" s="3" t="s">
        <v>19</v>
      </c>
      <c r="G3266" s="3" t="s">
        <v>40</v>
      </c>
      <c r="H3266" s="3" t="s">
        <v>1419</v>
      </c>
      <c r="I3266" s="11">
        <v>87.39</v>
      </c>
      <c r="J3266" s="18">
        <v>3</v>
      </c>
      <c r="K3266" s="12">
        <v>5.6993999999999998</v>
      </c>
    </row>
    <row r="3267" spans="1:11" x14ac:dyDescent="0.25">
      <c r="A3267" s="4">
        <v>43948</v>
      </c>
      <c r="B3267" s="19">
        <f t="shared" si="102"/>
        <v>2020</v>
      </c>
      <c r="C3267" s="19">
        <f t="shared" si="103"/>
        <v>4</v>
      </c>
      <c r="D3267" s="5" t="s">
        <v>817</v>
      </c>
      <c r="E3267" s="5" t="s">
        <v>23</v>
      </c>
      <c r="F3267" s="5" t="s">
        <v>19</v>
      </c>
      <c r="G3267" s="5" t="s">
        <v>127</v>
      </c>
      <c r="H3267" s="5" t="s">
        <v>1616</v>
      </c>
      <c r="I3267" s="13">
        <v>171.12</v>
      </c>
      <c r="J3267" s="19">
        <v>4</v>
      </c>
      <c r="K3267" s="14">
        <v>11.592000000000001</v>
      </c>
    </row>
    <row r="3268" spans="1:11" x14ac:dyDescent="0.25">
      <c r="A3268" s="2">
        <v>43948</v>
      </c>
      <c r="B3268" s="18">
        <f t="shared" si="102"/>
        <v>2020</v>
      </c>
      <c r="C3268" s="18">
        <f t="shared" si="103"/>
        <v>4</v>
      </c>
      <c r="D3268" s="3" t="s">
        <v>638</v>
      </c>
      <c r="E3268" s="3" t="s">
        <v>18</v>
      </c>
      <c r="F3268" s="3" t="s">
        <v>19</v>
      </c>
      <c r="G3268" s="3" t="s">
        <v>40</v>
      </c>
      <c r="H3268" s="3" t="s">
        <v>1866</v>
      </c>
      <c r="I3268" s="11">
        <v>148.30000000000001</v>
      </c>
      <c r="J3268" s="18">
        <v>2</v>
      </c>
      <c r="K3268" s="12">
        <v>12.298</v>
      </c>
    </row>
    <row r="3269" spans="1:11" x14ac:dyDescent="0.25">
      <c r="A3269" s="4">
        <v>43949</v>
      </c>
      <c r="B3269" s="19">
        <f t="shared" si="102"/>
        <v>2020</v>
      </c>
      <c r="C3269" s="19">
        <f t="shared" si="103"/>
        <v>4</v>
      </c>
      <c r="D3269" s="5" t="s">
        <v>989</v>
      </c>
      <c r="E3269" s="5" t="s">
        <v>44</v>
      </c>
      <c r="F3269" s="5" t="s">
        <v>14</v>
      </c>
      <c r="G3269" s="5" t="s">
        <v>15</v>
      </c>
      <c r="H3269" s="5" t="s">
        <v>228</v>
      </c>
      <c r="I3269" s="13">
        <v>773.98400000000004</v>
      </c>
      <c r="J3269" s="19">
        <v>2</v>
      </c>
      <c r="K3269" s="14">
        <v>84.598200000000006</v>
      </c>
    </row>
    <row r="3270" spans="1:11" x14ac:dyDescent="0.25">
      <c r="A3270" s="2">
        <v>43949</v>
      </c>
      <c r="B3270" s="18">
        <f t="shared" si="102"/>
        <v>2020</v>
      </c>
      <c r="C3270" s="18">
        <f t="shared" si="103"/>
        <v>4</v>
      </c>
      <c r="D3270" s="3" t="s">
        <v>1893</v>
      </c>
      <c r="E3270" s="3" t="s">
        <v>39</v>
      </c>
      <c r="F3270" s="3" t="s">
        <v>19</v>
      </c>
      <c r="G3270" s="3" t="s">
        <v>20</v>
      </c>
      <c r="H3270" s="3" t="s">
        <v>1197</v>
      </c>
      <c r="I3270" s="11">
        <v>117.384</v>
      </c>
      <c r="J3270" s="18">
        <v>1</v>
      </c>
      <c r="K3270" s="12">
        <v>0.73360000000000003</v>
      </c>
    </row>
    <row r="3271" spans="1:11" x14ac:dyDescent="0.25">
      <c r="A3271" s="4">
        <v>43949</v>
      </c>
      <c r="B3271" s="19">
        <f t="shared" si="102"/>
        <v>2020</v>
      </c>
      <c r="C3271" s="19">
        <f t="shared" si="103"/>
        <v>4</v>
      </c>
      <c r="D3271" s="5" t="s">
        <v>1893</v>
      </c>
      <c r="E3271" s="5" t="s">
        <v>39</v>
      </c>
      <c r="F3271" s="5" t="s">
        <v>19</v>
      </c>
      <c r="G3271" s="5" t="s">
        <v>40</v>
      </c>
      <c r="H3271" s="5" t="s">
        <v>639</v>
      </c>
      <c r="I3271" s="13">
        <v>133.84800000000001</v>
      </c>
      <c r="J3271" s="19">
        <v>2</v>
      </c>
      <c r="K3271" s="14">
        <v>0.77039999999999997</v>
      </c>
    </row>
    <row r="3272" spans="1:11" x14ac:dyDescent="0.25">
      <c r="A3272" s="2">
        <v>43949</v>
      </c>
      <c r="B3272" s="18">
        <f t="shared" si="102"/>
        <v>2020</v>
      </c>
      <c r="C3272" s="18">
        <f t="shared" si="103"/>
        <v>4</v>
      </c>
      <c r="D3272" s="3" t="s">
        <v>718</v>
      </c>
      <c r="E3272" s="3" t="s">
        <v>35</v>
      </c>
      <c r="F3272" s="3" t="s">
        <v>19</v>
      </c>
      <c r="G3272" s="3" t="s">
        <v>121</v>
      </c>
      <c r="H3272" s="3" t="s">
        <v>2001</v>
      </c>
      <c r="I3272" s="11">
        <v>116.08</v>
      </c>
      <c r="J3272" s="18">
        <v>3</v>
      </c>
      <c r="K3272" s="12">
        <v>5.2649999999999997</v>
      </c>
    </row>
    <row r="3273" spans="1:11" x14ac:dyDescent="0.25">
      <c r="A3273" s="4">
        <v>43950</v>
      </c>
      <c r="B3273" s="19">
        <f t="shared" si="102"/>
        <v>2020</v>
      </c>
      <c r="C3273" s="19">
        <f t="shared" si="103"/>
        <v>4</v>
      </c>
      <c r="D3273" s="5" t="s">
        <v>599</v>
      </c>
      <c r="E3273" s="5" t="s">
        <v>67</v>
      </c>
      <c r="F3273" s="5" t="s">
        <v>11</v>
      </c>
      <c r="G3273" s="5" t="s">
        <v>30</v>
      </c>
      <c r="H3273" s="5" t="s">
        <v>1437</v>
      </c>
      <c r="I3273" s="13">
        <v>1088.3499999999999</v>
      </c>
      <c r="J3273" s="19">
        <v>5</v>
      </c>
      <c r="K3273" s="14">
        <v>-69.89</v>
      </c>
    </row>
    <row r="3274" spans="1:11" x14ac:dyDescent="0.25">
      <c r="A3274" s="2">
        <v>43950</v>
      </c>
      <c r="B3274" s="18">
        <f t="shared" si="102"/>
        <v>2020</v>
      </c>
      <c r="C3274" s="18">
        <f t="shared" si="103"/>
        <v>4</v>
      </c>
      <c r="D3274" s="3" t="s">
        <v>1540</v>
      </c>
      <c r="E3274" s="3" t="s">
        <v>85</v>
      </c>
      <c r="F3274" s="3" t="s">
        <v>19</v>
      </c>
      <c r="G3274" s="3" t="s">
        <v>127</v>
      </c>
      <c r="H3274" s="3" t="s">
        <v>2229</v>
      </c>
      <c r="I3274" s="11">
        <v>106.91</v>
      </c>
      <c r="J3274" s="18">
        <v>1</v>
      </c>
      <c r="K3274" s="12">
        <v>2.4058999999999999</v>
      </c>
    </row>
    <row r="3275" spans="1:11" x14ac:dyDescent="0.25">
      <c r="A3275" s="4">
        <v>43951</v>
      </c>
      <c r="B3275" s="19">
        <f t="shared" si="102"/>
        <v>2020</v>
      </c>
      <c r="C3275" s="19">
        <f t="shared" si="103"/>
        <v>4</v>
      </c>
      <c r="D3275" s="5" t="s">
        <v>108</v>
      </c>
      <c r="E3275" s="5" t="s">
        <v>94</v>
      </c>
      <c r="F3275" s="5" t="s">
        <v>19</v>
      </c>
      <c r="G3275" s="5" t="s">
        <v>86</v>
      </c>
      <c r="H3275" s="5" t="s">
        <v>2258</v>
      </c>
      <c r="I3275" s="13">
        <v>109.96</v>
      </c>
      <c r="J3275" s="19">
        <v>4</v>
      </c>
      <c r="K3275" s="14">
        <v>28.332000000000001</v>
      </c>
    </row>
    <row r="3276" spans="1:11" x14ac:dyDescent="0.25">
      <c r="A3276" s="2">
        <v>43951</v>
      </c>
      <c r="B3276" s="18">
        <f t="shared" si="102"/>
        <v>2020</v>
      </c>
      <c r="C3276" s="18">
        <f t="shared" si="103"/>
        <v>4</v>
      </c>
      <c r="D3276" s="3" t="s">
        <v>2103</v>
      </c>
      <c r="E3276" s="3" t="s">
        <v>18</v>
      </c>
      <c r="F3276" s="3" t="s">
        <v>19</v>
      </c>
      <c r="G3276" s="3" t="s">
        <v>53</v>
      </c>
      <c r="H3276" s="3" t="s">
        <v>1436</v>
      </c>
      <c r="I3276" s="11">
        <v>175.96</v>
      </c>
      <c r="J3276" s="18">
        <v>4</v>
      </c>
      <c r="K3276" s="12">
        <v>80.340400000000002</v>
      </c>
    </row>
    <row r="3277" spans="1:11" x14ac:dyDescent="0.25">
      <c r="A3277" s="4">
        <v>43951</v>
      </c>
      <c r="B3277" s="19">
        <f t="shared" si="102"/>
        <v>2020</v>
      </c>
      <c r="C3277" s="19">
        <f t="shared" si="103"/>
        <v>4</v>
      </c>
      <c r="D3277" s="5" t="s">
        <v>1404</v>
      </c>
      <c r="E3277" s="5" t="s">
        <v>44</v>
      </c>
      <c r="F3277" s="5" t="s">
        <v>11</v>
      </c>
      <c r="G3277" s="5" t="s">
        <v>51</v>
      </c>
      <c r="H3277" s="5" t="s">
        <v>151</v>
      </c>
      <c r="I3277" s="13">
        <v>256.70400000000001</v>
      </c>
      <c r="J3277" s="19">
        <v>6</v>
      </c>
      <c r="K3277" s="14">
        <v>-8.2764000000000006</v>
      </c>
    </row>
    <row r="3278" spans="1:11" x14ac:dyDescent="0.25">
      <c r="A3278" s="2">
        <v>43951</v>
      </c>
      <c r="B3278" s="18">
        <f t="shared" si="102"/>
        <v>2020</v>
      </c>
      <c r="C3278" s="18">
        <f t="shared" si="103"/>
        <v>4</v>
      </c>
      <c r="D3278" s="3" t="s">
        <v>606</v>
      </c>
      <c r="E3278" s="3" t="s">
        <v>39</v>
      </c>
      <c r="F3278" s="3" t="s">
        <v>14</v>
      </c>
      <c r="G3278" s="3" t="s">
        <v>15</v>
      </c>
      <c r="H3278" s="3" t="s">
        <v>1867</v>
      </c>
      <c r="I3278" s="11">
        <v>719.58</v>
      </c>
      <c r="J3278" s="18">
        <v>5</v>
      </c>
      <c r="K3278" s="12">
        <v>-158.102</v>
      </c>
    </row>
    <row r="3279" spans="1:11" x14ac:dyDescent="0.25">
      <c r="A3279" s="4">
        <v>43951</v>
      </c>
      <c r="B3279" s="19">
        <f t="shared" si="102"/>
        <v>2020</v>
      </c>
      <c r="C3279" s="19">
        <f t="shared" si="103"/>
        <v>4</v>
      </c>
      <c r="D3279" s="5" t="s">
        <v>606</v>
      </c>
      <c r="E3279" s="5" t="s">
        <v>39</v>
      </c>
      <c r="F3279" s="5" t="s">
        <v>19</v>
      </c>
      <c r="G3279" s="5" t="s">
        <v>32</v>
      </c>
      <c r="H3279" s="5" t="s">
        <v>422</v>
      </c>
      <c r="I3279" s="13">
        <v>108.896</v>
      </c>
      <c r="J3279" s="19">
        <v>3</v>
      </c>
      <c r="K3279" s="14">
        <v>-9.2639999999999993</v>
      </c>
    </row>
    <row r="3280" spans="1:11" x14ac:dyDescent="0.25">
      <c r="A3280" s="2">
        <v>43951</v>
      </c>
      <c r="B3280" s="18">
        <f t="shared" si="102"/>
        <v>2020</v>
      </c>
      <c r="C3280" s="18">
        <f t="shared" si="103"/>
        <v>4</v>
      </c>
      <c r="D3280" s="3" t="s">
        <v>1617</v>
      </c>
      <c r="E3280" s="3" t="s">
        <v>44</v>
      </c>
      <c r="F3280" s="3" t="s">
        <v>19</v>
      </c>
      <c r="G3280" s="3" t="s">
        <v>40</v>
      </c>
      <c r="H3280" s="3" t="s">
        <v>1672</v>
      </c>
      <c r="I3280" s="11">
        <v>108.52800000000001</v>
      </c>
      <c r="J3280" s="18">
        <v>3</v>
      </c>
      <c r="K3280" s="12">
        <v>4.8525</v>
      </c>
    </row>
    <row r="3281" spans="1:11" x14ac:dyDescent="0.25">
      <c r="A3281" s="4">
        <v>43951</v>
      </c>
      <c r="B3281" s="19">
        <f t="shared" si="102"/>
        <v>2020</v>
      </c>
      <c r="C3281" s="19">
        <f t="shared" si="103"/>
        <v>4</v>
      </c>
      <c r="D3281" s="5" t="s">
        <v>1617</v>
      </c>
      <c r="E3281" s="5" t="s">
        <v>44</v>
      </c>
      <c r="F3281" s="5" t="s">
        <v>19</v>
      </c>
      <c r="G3281" s="5" t="s">
        <v>127</v>
      </c>
      <c r="H3281" s="5" t="s">
        <v>2019</v>
      </c>
      <c r="I3281" s="13">
        <v>119.608</v>
      </c>
      <c r="J3281" s="19">
        <v>2</v>
      </c>
      <c r="K3281" s="14">
        <v>1.6704000000000001</v>
      </c>
    </row>
    <row r="3282" spans="1:11" x14ac:dyDescent="0.25">
      <c r="A3282" s="2">
        <v>43951</v>
      </c>
      <c r="B3282" s="18">
        <f t="shared" si="102"/>
        <v>2020</v>
      </c>
      <c r="C3282" s="18">
        <f t="shared" si="103"/>
        <v>4</v>
      </c>
      <c r="D3282" s="3" t="s">
        <v>1161</v>
      </c>
      <c r="E3282" s="3" t="s">
        <v>18</v>
      </c>
      <c r="F3282" s="3" t="s">
        <v>19</v>
      </c>
      <c r="G3282" s="3" t="s">
        <v>32</v>
      </c>
      <c r="H3282" s="3" t="s">
        <v>1450</v>
      </c>
      <c r="I3282" s="11">
        <v>116.24</v>
      </c>
      <c r="J3282" s="18">
        <v>5</v>
      </c>
      <c r="K3282" s="12">
        <v>7.5529999999999999</v>
      </c>
    </row>
    <row r="3283" spans="1:11" x14ac:dyDescent="0.25">
      <c r="A3283" s="4">
        <v>43951</v>
      </c>
      <c r="B3283" s="19">
        <f t="shared" si="102"/>
        <v>2020</v>
      </c>
      <c r="C3283" s="19">
        <f t="shared" si="103"/>
        <v>4</v>
      </c>
      <c r="D3283" s="5" t="s">
        <v>50</v>
      </c>
      <c r="E3283" s="5" t="s">
        <v>91</v>
      </c>
      <c r="F3283" s="5" t="s">
        <v>19</v>
      </c>
      <c r="G3283" s="5" t="s">
        <v>127</v>
      </c>
      <c r="H3283" s="5" t="s">
        <v>2259</v>
      </c>
      <c r="I3283" s="13">
        <v>94.76</v>
      </c>
      <c r="J3283" s="19">
        <v>2</v>
      </c>
      <c r="K3283" s="14">
        <v>2.8224</v>
      </c>
    </row>
    <row r="3284" spans="1:11" x14ac:dyDescent="0.25">
      <c r="A3284" s="2">
        <v>43951</v>
      </c>
      <c r="B3284" s="18">
        <f t="shared" si="102"/>
        <v>2020</v>
      </c>
      <c r="C3284" s="18">
        <f t="shared" si="103"/>
        <v>4</v>
      </c>
      <c r="D3284" s="3" t="s">
        <v>250</v>
      </c>
      <c r="E3284" s="3" t="s">
        <v>18</v>
      </c>
      <c r="F3284" s="3" t="s">
        <v>19</v>
      </c>
      <c r="G3284" s="3" t="s">
        <v>40</v>
      </c>
      <c r="H3284" s="3" t="s">
        <v>1485</v>
      </c>
      <c r="I3284" s="11">
        <v>117.78</v>
      </c>
      <c r="J3284" s="18">
        <v>2</v>
      </c>
      <c r="K3284" s="12">
        <v>4.0098000000000003</v>
      </c>
    </row>
    <row r="3285" spans="1:11" x14ac:dyDescent="0.25">
      <c r="A3285" s="4">
        <v>43951</v>
      </c>
      <c r="B3285" s="19">
        <f t="shared" si="102"/>
        <v>2020</v>
      </c>
      <c r="C3285" s="19">
        <f t="shared" si="103"/>
        <v>4</v>
      </c>
      <c r="D3285" s="5" t="s">
        <v>1416</v>
      </c>
      <c r="E3285" s="5" t="s">
        <v>18</v>
      </c>
      <c r="F3285" s="5" t="s">
        <v>19</v>
      </c>
      <c r="G3285" s="5" t="s">
        <v>86</v>
      </c>
      <c r="H3285" s="5" t="s">
        <v>1955</v>
      </c>
      <c r="I3285" s="13">
        <v>94.56</v>
      </c>
      <c r="J3285" s="19">
        <v>4</v>
      </c>
      <c r="K3285" s="14">
        <v>14.974399999999999</v>
      </c>
    </row>
    <row r="3286" spans="1:11" x14ac:dyDescent="0.25">
      <c r="A3286" s="2">
        <v>43951</v>
      </c>
      <c r="B3286" s="18">
        <f t="shared" si="102"/>
        <v>2020</v>
      </c>
      <c r="C3286" s="18">
        <f t="shared" si="103"/>
        <v>4</v>
      </c>
      <c r="D3286" s="3" t="s">
        <v>2055</v>
      </c>
      <c r="E3286" s="3" t="s">
        <v>44</v>
      </c>
      <c r="F3286" s="3" t="s">
        <v>14</v>
      </c>
      <c r="G3286" s="3" t="s">
        <v>24</v>
      </c>
      <c r="H3286" s="3" t="s">
        <v>1412</v>
      </c>
      <c r="I3286" s="11">
        <v>124.376</v>
      </c>
      <c r="J3286" s="18">
        <v>3</v>
      </c>
      <c r="K3286" s="12">
        <v>0.74250000000000005</v>
      </c>
    </row>
    <row r="3287" spans="1:11" x14ac:dyDescent="0.25">
      <c r="A3287" s="4">
        <v>43951</v>
      </c>
      <c r="B3287" s="19">
        <f t="shared" si="102"/>
        <v>2020</v>
      </c>
      <c r="C3287" s="19">
        <f t="shared" si="103"/>
        <v>4</v>
      </c>
      <c r="D3287" s="5" t="s">
        <v>2055</v>
      </c>
      <c r="E3287" s="5" t="s">
        <v>44</v>
      </c>
      <c r="F3287" s="5" t="s">
        <v>11</v>
      </c>
      <c r="G3287" s="5" t="s">
        <v>51</v>
      </c>
      <c r="H3287" s="5" t="s">
        <v>2009</v>
      </c>
      <c r="I3287" s="13">
        <v>103.68</v>
      </c>
      <c r="J3287" s="19">
        <v>8</v>
      </c>
      <c r="K3287" s="14">
        <v>6.2160000000000002</v>
      </c>
    </row>
    <row r="3288" spans="1:11" x14ac:dyDescent="0.25">
      <c r="A3288" s="2">
        <v>43951</v>
      </c>
      <c r="B3288" s="18">
        <f t="shared" si="102"/>
        <v>2020</v>
      </c>
      <c r="C3288" s="18">
        <f t="shared" si="103"/>
        <v>4</v>
      </c>
      <c r="D3288" s="3" t="s">
        <v>154</v>
      </c>
      <c r="E3288" s="3" t="s">
        <v>67</v>
      </c>
      <c r="F3288" s="3" t="s">
        <v>19</v>
      </c>
      <c r="G3288" s="3" t="s">
        <v>53</v>
      </c>
      <c r="H3288" s="3" t="s">
        <v>803</v>
      </c>
      <c r="I3288" s="11">
        <v>119.36799999999999</v>
      </c>
      <c r="J3288" s="18">
        <v>2</v>
      </c>
      <c r="K3288" s="12">
        <v>3.6288</v>
      </c>
    </row>
    <row r="3289" spans="1:11" x14ac:dyDescent="0.25">
      <c r="A3289" s="4">
        <v>43951</v>
      </c>
      <c r="B3289" s="19">
        <f t="shared" si="102"/>
        <v>2020</v>
      </c>
      <c r="C3289" s="19">
        <f t="shared" si="103"/>
        <v>4</v>
      </c>
      <c r="D3289" s="5" t="s">
        <v>1404</v>
      </c>
      <c r="E3289" s="5" t="s">
        <v>44</v>
      </c>
      <c r="F3289" s="5" t="s">
        <v>19</v>
      </c>
      <c r="G3289" s="5" t="s">
        <v>32</v>
      </c>
      <c r="H3289" s="5" t="s">
        <v>1912</v>
      </c>
      <c r="I3289" s="13">
        <v>126.842</v>
      </c>
      <c r="J3289" s="19">
        <v>3</v>
      </c>
      <c r="K3289" s="14">
        <v>-3.5508000000000002</v>
      </c>
    </row>
    <row r="3290" spans="1:11" x14ac:dyDescent="0.25">
      <c r="A3290" s="2">
        <v>43951</v>
      </c>
      <c r="B3290" s="18">
        <f t="shared" si="102"/>
        <v>2020</v>
      </c>
      <c r="C3290" s="18">
        <f t="shared" si="103"/>
        <v>4</v>
      </c>
      <c r="D3290" s="3" t="s">
        <v>1617</v>
      </c>
      <c r="E3290" s="3" t="s">
        <v>44</v>
      </c>
      <c r="F3290" s="3" t="s">
        <v>19</v>
      </c>
      <c r="G3290" s="3" t="s">
        <v>127</v>
      </c>
      <c r="H3290" s="3" t="s">
        <v>739</v>
      </c>
      <c r="I3290" s="11">
        <v>119.952</v>
      </c>
      <c r="J3290" s="18">
        <v>3</v>
      </c>
      <c r="K3290" s="12">
        <v>3.8843999999999999</v>
      </c>
    </row>
    <row r="3291" spans="1:11" x14ac:dyDescent="0.25">
      <c r="A3291" s="4">
        <v>43951</v>
      </c>
      <c r="B3291" s="19">
        <f t="shared" si="102"/>
        <v>2020</v>
      </c>
      <c r="C3291" s="19">
        <f t="shared" si="103"/>
        <v>4</v>
      </c>
      <c r="D3291" s="5" t="s">
        <v>1401</v>
      </c>
      <c r="E3291" s="5" t="s">
        <v>164</v>
      </c>
      <c r="F3291" s="5" t="s">
        <v>19</v>
      </c>
      <c r="G3291" s="5" t="s">
        <v>32</v>
      </c>
      <c r="H3291" s="5" t="s">
        <v>2049</v>
      </c>
      <c r="I3291" s="13">
        <v>123.372</v>
      </c>
      <c r="J3291" s="19">
        <v>7</v>
      </c>
      <c r="K3291" s="14">
        <v>-69.395200000000003</v>
      </c>
    </row>
    <row r="3292" spans="1:11" x14ac:dyDescent="0.25">
      <c r="A3292" s="2">
        <v>43951</v>
      </c>
      <c r="B3292" s="18">
        <f t="shared" si="102"/>
        <v>2020</v>
      </c>
      <c r="C3292" s="18">
        <f t="shared" si="103"/>
        <v>4</v>
      </c>
      <c r="D3292" s="3" t="s">
        <v>1416</v>
      </c>
      <c r="E3292" s="3" t="s">
        <v>18</v>
      </c>
      <c r="F3292" s="3" t="s">
        <v>11</v>
      </c>
      <c r="G3292" s="3" t="s">
        <v>51</v>
      </c>
      <c r="H3292" s="3" t="s">
        <v>2260</v>
      </c>
      <c r="I3292" s="11">
        <v>151.96</v>
      </c>
      <c r="J3292" s="18">
        <v>2</v>
      </c>
      <c r="K3292" s="12">
        <v>21.436800000000002</v>
      </c>
    </row>
    <row r="3293" spans="1:11" x14ac:dyDescent="0.25">
      <c r="A3293" s="4">
        <v>43952</v>
      </c>
      <c r="B3293" s="19">
        <f t="shared" si="102"/>
        <v>2020</v>
      </c>
      <c r="C3293" s="19">
        <f t="shared" si="103"/>
        <v>5</v>
      </c>
      <c r="D3293" s="5" t="s">
        <v>859</v>
      </c>
      <c r="E3293" s="5" t="s">
        <v>44</v>
      </c>
      <c r="F3293" s="5" t="s">
        <v>19</v>
      </c>
      <c r="G3293" s="5" t="s">
        <v>127</v>
      </c>
      <c r="H3293" s="5" t="s">
        <v>2261</v>
      </c>
      <c r="I3293" s="13">
        <v>215.608</v>
      </c>
      <c r="J3293" s="19">
        <v>2</v>
      </c>
      <c r="K3293" s="14">
        <v>1.4976</v>
      </c>
    </row>
    <row r="3294" spans="1:11" x14ac:dyDescent="0.25">
      <c r="A3294" s="2">
        <v>43952</v>
      </c>
      <c r="B3294" s="18">
        <f t="shared" si="102"/>
        <v>2020</v>
      </c>
      <c r="C3294" s="18">
        <f t="shared" si="103"/>
        <v>5</v>
      </c>
      <c r="D3294" s="3" t="s">
        <v>859</v>
      </c>
      <c r="E3294" s="3" t="s">
        <v>44</v>
      </c>
      <c r="F3294" s="3" t="s">
        <v>11</v>
      </c>
      <c r="G3294" s="3" t="s">
        <v>12</v>
      </c>
      <c r="H3294" s="3" t="s">
        <v>597</v>
      </c>
      <c r="I3294" s="11">
        <v>335.35199999999998</v>
      </c>
      <c r="J3294" s="18">
        <v>3</v>
      </c>
      <c r="K3294" s="12">
        <v>-15.717599999999999</v>
      </c>
    </row>
    <row r="3295" spans="1:11" x14ac:dyDescent="0.25">
      <c r="A3295" s="4">
        <v>43952</v>
      </c>
      <c r="B3295" s="19">
        <f t="shared" si="102"/>
        <v>2020</v>
      </c>
      <c r="C3295" s="19">
        <f t="shared" si="103"/>
        <v>5</v>
      </c>
      <c r="D3295" s="5" t="s">
        <v>375</v>
      </c>
      <c r="E3295" s="5" t="s">
        <v>44</v>
      </c>
      <c r="F3295" s="5" t="s">
        <v>11</v>
      </c>
      <c r="G3295" s="5" t="s">
        <v>30</v>
      </c>
      <c r="H3295" s="5" t="s">
        <v>693</v>
      </c>
      <c r="I3295" s="13">
        <v>952.26199999999994</v>
      </c>
      <c r="J3295" s="19">
        <v>4</v>
      </c>
      <c r="K3295" s="14">
        <v>-458.14679999999998</v>
      </c>
    </row>
    <row r="3296" spans="1:11" x14ac:dyDescent="0.25">
      <c r="A3296" s="2">
        <v>43952</v>
      </c>
      <c r="B3296" s="18">
        <f t="shared" si="102"/>
        <v>2020</v>
      </c>
      <c r="C3296" s="18">
        <f t="shared" si="103"/>
        <v>5</v>
      </c>
      <c r="D3296" s="3" t="s">
        <v>360</v>
      </c>
      <c r="E3296" s="3" t="s">
        <v>589</v>
      </c>
      <c r="F3296" s="3" t="s">
        <v>14</v>
      </c>
      <c r="G3296" s="3" t="s">
        <v>24</v>
      </c>
      <c r="H3296" s="3" t="s">
        <v>2090</v>
      </c>
      <c r="I3296" s="11">
        <v>997.9</v>
      </c>
      <c r="J3296" s="18">
        <v>5</v>
      </c>
      <c r="K3296" s="12">
        <v>18.093</v>
      </c>
    </row>
    <row r="3297" spans="1:11" x14ac:dyDescent="0.25">
      <c r="A3297" s="4">
        <v>43952</v>
      </c>
      <c r="B3297" s="19">
        <f t="shared" si="102"/>
        <v>2020</v>
      </c>
      <c r="C3297" s="19">
        <f t="shared" si="103"/>
        <v>5</v>
      </c>
      <c r="D3297" s="5" t="s">
        <v>375</v>
      </c>
      <c r="E3297" s="5" t="s">
        <v>44</v>
      </c>
      <c r="F3297" s="5" t="s">
        <v>11</v>
      </c>
      <c r="G3297" s="5" t="s">
        <v>112</v>
      </c>
      <c r="H3297" s="5" t="s">
        <v>633</v>
      </c>
      <c r="I3297" s="13">
        <v>2821.92</v>
      </c>
      <c r="J3297" s="19">
        <v>5</v>
      </c>
      <c r="K3297" s="14">
        <v>0</v>
      </c>
    </row>
    <row r="3298" spans="1:11" x14ac:dyDescent="0.25">
      <c r="A3298" s="2">
        <v>43952</v>
      </c>
      <c r="B3298" s="18">
        <f t="shared" si="102"/>
        <v>2020</v>
      </c>
      <c r="C3298" s="18">
        <f t="shared" si="103"/>
        <v>5</v>
      </c>
      <c r="D3298" s="3" t="s">
        <v>375</v>
      </c>
      <c r="E3298" s="3" t="s">
        <v>44</v>
      </c>
      <c r="F3298" s="3" t="s">
        <v>19</v>
      </c>
      <c r="G3298" s="3" t="s">
        <v>265</v>
      </c>
      <c r="H3298" s="3" t="s">
        <v>1603</v>
      </c>
      <c r="I3298" s="11">
        <v>92.328000000000003</v>
      </c>
      <c r="J3298" s="18">
        <v>2</v>
      </c>
      <c r="K3298" s="12">
        <v>0.41599999999999998</v>
      </c>
    </row>
    <row r="3299" spans="1:11" x14ac:dyDescent="0.25">
      <c r="A3299" s="4">
        <v>43953</v>
      </c>
      <c r="B3299" s="19">
        <f t="shared" si="102"/>
        <v>2020</v>
      </c>
      <c r="C3299" s="19">
        <f t="shared" si="103"/>
        <v>5</v>
      </c>
      <c r="D3299" s="5" t="s">
        <v>1336</v>
      </c>
      <c r="E3299" s="5" t="s">
        <v>85</v>
      </c>
      <c r="F3299" s="5" t="s">
        <v>11</v>
      </c>
      <c r="G3299" s="5" t="s">
        <v>51</v>
      </c>
      <c r="H3299" s="5" t="s">
        <v>698</v>
      </c>
      <c r="I3299" s="13">
        <v>159.93</v>
      </c>
      <c r="J3299" s="19">
        <v>3</v>
      </c>
      <c r="K3299" s="14">
        <v>12.993</v>
      </c>
    </row>
    <row r="3300" spans="1:11" x14ac:dyDescent="0.25">
      <c r="A3300" s="2">
        <v>43953</v>
      </c>
      <c r="B3300" s="18">
        <f t="shared" si="102"/>
        <v>2020</v>
      </c>
      <c r="C3300" s="18">
        <f t="shared" si="103"/>
        <v>5</v>
      </c>
      <c r="D3300" s="3" t="s">
        <v>1440</v>
      </c>
      <c r="E3300" s="3" t="s">
        <v>18</v>
      </c>
      <c r="F3300" s="3" t="s">
        <v>14</v>
      </c>
      <c r="G3300" s="3" t="s">
        <v>24</v>
      </c>
      <c r="H3300" s="3" t="s">
        <v>45</v>
      </c>
      <c r="I3300" s="11">
        <v>193.56</v>
      </c>
      <c r="J3300" s="18">
        <v>4</v>
      </c>
      <c r="K3300" s="12">
        <v>59.037199999999999</v>
      </c>
    </row>
    <row r="3301" spans="1:11" x14ac:dyDescent="0.25">
      <c r="A3301" s="4">
        <v>43953</v>
      </c>
      <c r="B3301" s="19">
        <f t="shared" si="102"/>
        <v>2020</v>
      </c>
      <c r="C3301" s="19">
        <f t="shared" si="103"/>
        <v>5</v>
      </c>
      <c r="D3301" s="5" t="s">
        <v>1397</v>
      </c>
      <c r="E3301" s="5" t="s">
        <v>18</v>
      </c>
      <c r="F3301" s="5" t="s">
        <v>19</v>
      </c>
      <c r="G3301" s="5" t="s">
        <v>53</v>
      </c>
      <c r="H3301" s="5" t="s">
        <v>2262</v>
      </c>
      <c r="I3301" s="13">
        <v>95.7</v>
      </c>
      <c r="J3301" s="19">
        <v>5</v>
      </c>
      <c r="K3301" s="14">
        <v>7.0650000000000004</v>
      </c>
    </row>
    <row r="3302" spans="1:11" x14ac:dyDescent="0.25">
      <c r="A3302" s="2">
        <v>43953</v>
      </c>
      <c r="B3302" s="18">
        <f t="shared" si="102"/>
        <v>2020</v>
      </c>
      <c r="C3302" s="18">
        <f t="shared" si="103"/>
        <v>5</v>
      </c>
      <c r="D3302" s="3" t="s">
        <v>1397</v>
      </c>
      <c r="E3302" s="3" t="s">
        <v>18</v>
      </c>
      <c r="F3302" s="3" t="s">
        <v>19</v>
      </c>
      <c r="G3302" s="3" t="s">
        <v>53</v>
      </c>
      <c r="H3302" s="3" t="s">
        <v>573</v>
      </c>
      <c r="I3302" s="11">
        <v>142.4</v>
      </c>
      <c r="J3302" s="18">
        <v>5</v>
      </c>
      <c r="K3302" s="12">
        <v>15.824</v>
      </c>
    </row>
    <row r="3303" spans="1:11" x14ac:dyDescent="0.25">
      <c r="A3303" s="4">
        <v>43953</v>
      </c>
      <c r="B3303" s="19">
        <f t="shared" si="102"/>
        <v>2020</v>
      </c>
      <c r="C3303" s="19">
        <f t="shared" si="103"/>
        <v>5</v>
      </c>
      <c r="D3303" s="5" t="s">
        <v>1397</v>
      </c>
      <c r="E3303" s="5" t="s">
        <v>18</v>
      </c>
      <c r="F3303" s="5" t="s">
        <v>19</v>
      </c>
      <c r="G3303" s="5" t="s">
        <v>40</v>
      </c>
      <c r="H3303" s="5" t="s">
        <v>299</v>
      </c>
      <c r="I3303" s="13">
        <v>146.52000000000001</v>
      </c>
      <c r="J3303" s="19">
        <v>3</v>
      </c>
      <c r="K3303" s="14">
        <v>15.475199999999999</v>
      </c>
    </row>
    <row r="3304" spans="1:11" x14ac:dyDescent="0.25">
      <c r="A3304" s="2">
        <v>43954</v>
      </c>
      <c r="B3304" s="18">
        <f t="shared" si="102"/>
        <v>2020</v>
      </c>
      <c r="C3304" s="18">
        <f t="shared" si="103"/>
        <v>5</v>
      </c>
      <c r="D3304" s="3" t="s">
        <v>28</v>
      </c>
      <c r="E3304" s="3" t="s">
        <v>39</v>
      </c>
      <c r="F3304" s="3" t="s">
        <v>11</v>
      </c>
      <c r="G3304" s="3" t="s">
        <v>30</v>
      </c>
      <c r="H3304" s="3" t="s">
        <v>775</v>
      </c>
      <c r="I3304" s="11">
        <v>394.47</v>
      </c>
      <c r="J3304" s="18">
        <v>5</v>
      </c>
      <c r="K3304" s="12">
        <v>-112.041</v>
      </c>
    </row>
    <row r="3305" spans="1:11" x14ac:dyDescent="0.25">
      <c r="A3305" s="4">
        <v>43954</v>
      </c>
      <c r="B3305" s="19">
        <f t="shared" si="102"/>
        <v>2020</v>
      </c>
      <c r="C3305" s="19">
        <f t="shared" si="103"/>
        <v>5</v>
      </c>
      <c r="D3305" s="5" t="s">
        <v>1283</v>
      </c>
      <c r="E3305" s="5" t="s">
        <v>18</v>
      </c>
      <c r="F3305" s="5" t="s">
        <v>19</v>
      </c>
      <c r="G3305" s="5" t="s">
        <v>20</v>
      </c>
      <c r="H3305" s="5" t="s">
        <v>2263</v>
      </c>
      <c r="I3305" s="13">
        <v>790.44</v>
      </c>
      <c r="J3305" s="19">
        <v>8</v>
      </c>
      <c r="K3305" s="14">
        <v>45.806399999999996</v>
      </c>
    </row>
    <row r="3306" spans="1:11" x14ac:dyDescent="0.25">
      <c r="A3306" s="2">
        <v>43954</v>
      </c>
      <c r="B3306" s="18">
        <f t="shared" si="102"/>
        <v>2020</v>
      </c>
      <c r="C3306" s="18">
        <f t="shared" si="103"/>
        <v>5</v>
      </c>
      <c r="D3306" s="3" t="s">
        <v>28</v>
      </c>
      <c r="E3306" s="3" t="s">
        <v>39</v>
      </c>
      <c r="F3306" s="3" t="s">
        <v>19</v>
      </c>
      <c r="G3306" s="3" t="s">
        <v>116</v>
      </c>
      <c r="H3306" s="3" t="s">
        <v>590</v>
      </c>
      <c r="I3306" s="11">
        <v>121</v>
      </c>
      <c r="J3306" s="18">
        <v>2</v>
      </c>
      <c r="K3306" s="12">
        <v>2.8</v>
      </c>
    </row>
    <row r="3307" spans="1:11" x14ac:dyDescent="0.25">
      <c r="A3307" s="4">
        <v>43954</v>
      </c>
      <c r="B3307" s="19">
        <f t="shared" si="102"/>
        <v>2020</v>
      </c>
      <c r="C3307" s="19">
        <f t="shared" si="103"/>
        <v>5</v>
      </c>
      <c r="D3307" s="5" t="s">
        <v>28</v>
      </c>
      <c r="E3307" s="5" t="s">
        <v>39</v>
      </c>
      <c r="F3307" s="5" t="s">
        <v>19</v>
      </c>
      <c r="G3307" s="5" t="s">
        <v>32</v>
      </c>
      <c r="H3307" s="5" t="s">
        <v>2264</v>
      </c>
      <c r="I3307" s="13">
        <v>112.38800000000001</v>
      </c>
      <c r="J3307" s="19">
        <v>4</v>
      </c>
      <c r="K3307" s="14">
        <v>-17.591999999999999</v>
      </c>
    </row>
    <row r="3308" spans="1:11" x14ac:dyDescent="0.25">
      <c r="A3308" s="2">
        <v>43954</v>
      </c>
      <c r="B3308" s="18">
        <f t="shared" si="102"/>
        <v>2020</v>
      </c>
      <c r="C3308" s="18">
        <f t="shared" si="103"/>
        <v>5</v>
      </c>
      <c r="D3308" s="3" t="s">
        <v>1964</v>
      </c>
      <c r="E3308" s="3" t="s">
        <v>18</v>
      </c>
      <c r="F3308" s="3" t="s">
        <v>19</v>
      </c>
      <c r="G3308" s="3" t="s">
        <v>40</v>
      </c>
      <c r="H3308" s="3" t="s">
        <v>2265</v>
      </c>
      <c r="I3308" s="11">
        <v>149.96</v>
      </c>
      <c r="J3308" s="18">
        <v>7</v>
      </c>
      <c r="K3308" s="12">
        <v>6.6584000000000003</v>
      </c>
    </row>
    <row r="3309" spans="1:11" x14ac:dyDescent="0.25">
      <c r="A3309" s="4">
        <v>43954</v>
      </c>
      <c r="B3309" s="19">
        <f t="shared" si="102"/>
        <v>2020</v>
      </c>
      <c r="C3309" s="19">
        <f t="shared" si="103"/>
        <v>5</v>
      </c>
      <c r="D3309" s="5" t="s">
        <v>1964</v>
      </c>
      <c r="E3309" s="5" t="s">
        <v>18</v>
      </c>
      <c r="F3309" s="5" t="s">
        <v>19</v>
      </c>
      <c r="G3309" s="5" t="s">
        <v>53</v>
      </c>
      <c r="H3309" s="5" t="s">
        <v>76</v>
      </c>
      <c r="I3309" s="13">
        <v>143.91999999999999</v>
      </c>
      <c r="J3309" s="19">
        <v>4</v>
      </c>
      <c r="K3309" s="14">
        <v>12.441599999999999</v>
      </c>
    </row>
    <row r="3310" spans="1:11" x14ac:dyDescent="0.25">
      <c r="A3310" s="2">
        <v>43954</v>
      </c>
      <c r="B3310" s="18">
        <f t="shared" si="102"/>
        <v>2020</v>
      </c>
      <c r="C3310" s="18">
        <f t="shared" si="103"/>
        <v>5</v>
      </c>
      <c r="D3310" s="3" t="s">
        <v>28</v>
      </c>
      <c r="E3310" s="3" t="s">
        <v>39</v>
      </c>
      <c r="F3310" s="3" t="s">
        <v>11</v>
      </c>
      <c r="G3310" s="3" t="s">
        <v>51</v>
      </c>
      <c r="H3310" s="3" t="s">
        <v>2197</v>
      </c>
      <c r="I3310" s="11">
        <v>149.44800000000001</v>
      </c>
      <c r="J3310" s="18">
        <v>2</v>
      </c>
      <c r="K3310" s="12">
        <v>7.3007999999999997</v>
      </c>
    </row>
    <row r="3311" spans="1:11" x14ac:dyDescent="0.25">
      <c r="A3311" s="4">
        <v>43954</v>
      </c>
      <c r="B3311" s="19">
        <f t="shared" si="102"/>
        <v>2020</v>
      </c>
      <c r="C3311" s="19">
        <f t="shared" si="103"/>
        <v>5</v>
      </c>
      <c r="D3311" s="5" t="s">
        <v>1283</v>
      </c>
      <c r="E3311" s="5" t="s">
        <v>18</v>
      </c>
      <c r="F3311" s="5" t="s">
        <v>19</v>
      </c>
      <c r="G3311" s="5" t="s">
        <v>20</v>
      </c>
      <c r="H3311" s="5" t="s">
        <v>2120</v>
      </c>
      <c r="I3311" s="13">
        <v>150.52000000000001</v>
      </c>
      <c r="J3311" s="19">
        <v>2</v>
      </c>
      <c r="K3311" s="14">
        <v>19.465599999999998</v>
      </c>
    </row>
    <row r="3312" spans="1:11" x14ac:dyDescent="0.25">
      <c r="A3312" s="2">
        <v>43954</v>
      </c>
      <c r="B3312" s="18">
        <f t="shared" si="102"/>
        <v>2020</v>
      </c>
      <c r="C3312" s="18">
        <f t="shared" si="103"/>
        <v>5</v>
      </c>
      <c r="D3312" s="3" t="s">
        <v>28</v>
      </c>
      <c r="E3312" s="3" t="s">
        <v>39</v>
      </c>
      <c r="F3312" s="3" t="s">
        <v>19</v>
      </c>
      <c r="G3312" s="3" t="s">
        <v>32</v>
      </c>
      <c r="H3312" s="3" t="s">
        <v>1896</v>
      </c>
      <c r="I3312" s="11">
        <v>155.19999999999999</v>
      </c>
      <c r="J3312" s="18">
        <v>5</v>
      </c>
      <c r="K3312" s="12">
        <v>-44.94</v>
      </c>
    </row>
    <row r="3313" spans="1:11" x14ac:dyDescent="0.25">
      <c r="A3313" s="4">
        <v>43955</v>
      </c>
      <c r="B3313" s="19">
        <f t="shared" si="102"/>
        <v>2020</v>
      </c>
      <c r="C3313" s="19">
        <f t="shared" si="103"/>
        <v>5</v>
      </c>
      <c r="D3313" s="5" t="s">
        <v>779</v>
      </c>
      <c r="E3313" s="5" t="s">
        <v>18</v>
      </c>
      <c r="F3313" s="5" t="s">
        <v>14</v>
      </c>
      <c r="G3313" s="5" t="s">
        <v>15</v>
      </c>
      <c r="H3313" s="5" t="s">
        <v>649</v>
      </c>
      <c r="I3313" s="13">
        <v>232.96</v>
      </c>
      <c r="J3313" s="19">
        <v>5</v>
      </c>
      <c r="K3313" s="14">
        <v>20.695499999999999</v>
      </c>
    </row>
    <row r="3314" spans="1:11" x14ac:dyDescent="0.25">
      <c r="A3314" s="2">
        <v>43955</v>
      </c>
      <c r="B3314" s="18">
        <f t="shared" si="102"/>
        <v>2020</v>
      </c>
      <c r="C3314" s="18">
        <f t="shared" si="103"/>
        <v>5</v>
      </c>
      <c r="D3314" s="3" t="s">
        <v>319</v>
      </c>
      <c r="E3314" s="3" t="s">
        <v>18</v>
      </c>
      <c r="F3314" s="3" t="s">
        <v>19</v>
      </c>
      <c r="G3314" s="3" t="s">
        <v>121</v>
      </c>
      <c r="H3314" s="3" t="s">
        <v>959</v>
      </c>
      <c r="I3314" s="11">
        <v>260.16000000000003</v>
      </c>
      <c r="J3314" s="18">
        <v>2</v>
      </c>
      <c r="K3314" s="12">
        <v>72.947999999999993</v>
      </c>
    </row>
    <row r="3315" spans="1:11" x14ac:dyDescent="0.25">
      <c r="A3315" s="4">
        <v>43955</v>
      </c>
      <c r="B3315" s="19">
        <f t="shared" si="102"/>
        <v>2020</v>
      </c>
      <c r="C3315" s="19">
        <f t="shared" si="103"/>
        <v>5</v>
      </c>
      <c r="D3315" s="5" t="s">
        <v>779</v>
      </c>
      <c r="E3315" s="5" t="s">
        <v>18</v>
      </c>
      <c r="F3315" s="5" t="s">
        <v>11</v>
      </c>
      <c r="G3315" s="5" t="s">
        <v>30</v>
      </c>
      <c r="H3315" s="5" t="s">
        <v>1027</v>
      </c>
      <c r="I3315" s="13">
        <v>329.904</v>
      </c>
      <c r="J3315" s="19">
        <v>1</v>
      </c>
      <c r="K3315" s="14">
        <v>11.283899999999999</v>
      </c>
    </row>
    <row r="3316" spans="1:11" x14ac:dyDescent="0.25">
      <c r="A3316" s="2">
        <v>43955</v>
      </c>
      <c r="B3316" s="18">
        <f t="shared" si="102"/>
        <v>2020</v>
      </c>
      <c r="C3316" s="18">
        <f t="shared" si="103"/>
        <v>5</v>
      </c>
      <c r="D3316" s="3" t="s">
        <v>1964</v>
      </c>
      <c r="E3316" s="3" t="s">
        <v>181</v>
      </c>
      <c r="F3316" s="3" t="s">
        <v>19</v>
      </c>
      <c r="G3316" s="3" t="s">
        <v>20</v>
      </c>
      <c r="H3316" s="3" t="s">
        <v>996</v>
      </c>
      <c r="I3316" s="11">
        <v>621.44000000000005</v>
      </c>
      <c r="J3316" s="18">
        <v>4</v>
      </c>
      <c r="K3316" s="12">
        <v>165.7176</v>
      </c>
    </row>
    <row r="3317" spans="1:11" x14ac:dyDescent="0.25">
      <c r="A3317" s="4">
        <v>43955</v>
      </c>
      <c r="B3317" s="19">
        <f t="shared" si="102"/>
        <v>2020</v>
      </c>
      <c r="C3317" s="19">
        <f t="shared" si="103"/>
        <v>5</v>
      </c>
      <c r="D3317" s="5" t="s">
        <v>441</v>
      </c>
      <c r="E3317" s="5" t="s">
        <v>39</v>
      </c>
      <c r="F3317" s="5" t="s">
        <v>19</v>
      </c>
      <c r="G3317" s="5" t="s">
        <v>32</v>
      </c>
      <c r="H3317" s="5" t="s">
        <v>2011</v>
      </c>
      <c r="I3317" s="13">
        <v>92.201999999999998</v>
      </c>
      <c r="J3317" s="19">
        <v>2</v>
      </c>
      <c r="K3317" s="14">
        <v>-1.5414000000000001</v>
      </c>
    </row>
    <row r="3318" spans="1:11" x14ac:dyDescent="0.25">
      <c r="A3318" s="2">
        <v>43955</v>
      </c>
      <c r="B3318" s="18">
        <f t="shared" si="102"/>
        <v>2020</v>
      </c>
      <c r="C3318" s="18">
        <f t="shared" si="103"/>
        <v>5</v>
      </c>
      <c r="D3318" s="3" t="s">
        <v>2022</v>
      </c>
      <c r="E3318" s="3" t="s">
        <v>67</v>
      </c>
      <c r="F3318" s="3" t="s">
        <v>19</v>
      </c>
      <c r="G3318" s="3" t="s">
        <v>32</v>
      </c>
      <c r="H3318" s="3" t="s">
        <v>1032</v>
      </c>
      <c r="I3318" s="11">
        <v>87.313000000000002</v>
      </c>
      <c r="J3318" s="18">
        <v>1</v>
      </c>
      <c r="K3318" s="12">
        <v>-1.9275</v>
      </c>
    </row>
    <row r="3319" spans="1:11" x14ac:dyDescent="0.25">
      <c r="A3319" s="4">
        <v>43955</v>
      </c>
      <c r="B3319" s="19">
        <f t="shared" si="102"/>
        <v>2020</v>
      </c>
      <c r="C3319" s="19">
        <f t="shared" si="103"/>
        <v>5</v>
      </c>
      <c r="D3319" s="5" t="s">
        <v>441</v>
      </c>
      <c r="E3319" s="5" t="s">
        <v>39</v>
      </c>
      <c r="F3319" s="5" t="s">
        <v>19</v>
      </c>
      <c r="G3319" s="5" t="s">
        <v>32</v>
      </c>
      <c r="H3319" s="5" t="s">
        <v>1294</v>
      </c>
      <c r="I3319" s="13">
        <v>93.396000000000001</v>
      </c>
      <c r="J3319" s="19">
        <v>3</v>
      </c>
      <c r="K3319" s="14">
        <v>-7.5167999999999999</v>
      </c>
    </row>
    <row r="3320" spans="1:11" x14ac:dyDescent="0.25">
      <c r="A3320" s="2">
        <v>43955</v>
      </c>
      <c r="B3320" s="18">
        <f t="shared" si="102"/>
        <v>2020</v>
      </c>
      <c r="C3320" s="18">
        <f t="shared" si="103"/>
        <v>5</v>
      </c>
      <c r="D3320" s="3" t="s">
        <v>779</v>
      </c>
      <c r="E3320" s="3" t="s">
        <v>18</v>
      </c>
      <c r="F3320" s="3" t="s">
        <v>19</v>
      </c>
      <c r="G3320" s="3" t="s">
        <v>53</v>
      </c>
      <c r="H3320" s="3" t="s">
        <v>1561</v>
      </c>
      <c r="I3320" s="11">
        <v>103.61</v>
      </c>
      <c r="J3320" s="18">
        <v>3</v>
      </c>
      <c r="K3320" s="12">
        <v>8.4527999999999999</v>
      </c>
    </row>
    <row r="3321" spans="1:11" x14ac:dyDescent="0.25">
      <c r="A3321" s="4">
        <v>43955</v>
      </c>
      <c r="B3321" s="19">
        <f t="shared" si="102"/>
        <v>2020</v>
      </c>
      <c r="C3321" s="19">
        <f t="shared" si="103"/>
        <v>5</v>
      </c>
      <c r="D3321" s="5" t="s">
        <v>1964</v>
      </c>
      <c r="E3321" s="5" t="s">
        <v>181</v>
      </c>
      <c r="F3321" s="5" t="s">
        <v>19</v>
      </c>
      <c r="G3321" s="5" t="s">
        <v>53</v>
      </c>
      <c r="H3321" s="5" t="s">
        <v>837</v>
      </c>
      <c r="I3321" s="13">
        <v>130.4</v>
      </c>
      <c r="J3321" s="19">
        <v>5</v>
      </c>
      <c r="K3321" s="14">
        <v>15.552</v>
      </c>
    </row>
    <row r="3322" spans="1:11" x14ac:dyDescent="0.25">
      <c r="A3322" s="2">
        <v>43955</v>
      </c>
      <c r="B3322" s="18">
        <f t="shared" si="102"/>
        <v>2020</v>
      </c>
      <c r="C3322" s="18">
        <f t="shared" si="103"/>
        <v>5</v>
      </c>
      <c r="D3322" s="3" t="s">
        <v>1964</v>
      </c>
      <c r="E3322" s="3" t="s">
        <v>181</v>
      </c>
      <c r="F3322" s="3" t="s">
        <v>19</v>
      </c>
      <c r="G3322" s="3" t="s">
        <v>53</v>
      </c>
      <c r="H3322" s="3" t="s">
        <v>1736</v>
      </c>
      <c r="I3322" s="11">
        <v>97.11</v>
      </c>
      <c r="J3322" s="18">
        <v>1</v>
      </c>
      <c r="K3322" s="12">
        <v>4.0994999999999999</v>
      </c>
    </row>
    <row r="3323" spans="1:11" x14ac:dyDescent="0.25">
      <c r="A3323" s="4">
        <v>43955</v>
      </c>
      <c r="B3323" s="19">
        <f t="shared" si="102"/>
        <v>2020</v>
      </c>
      <c r="C3323" s="19">
        <f t="shared" si="103"/>
        <v>5</v>
      </c>
      <c r="D3323" s="5" t="s">
        <v>1964</v>
      </c>
      <c r="E3323" s="5" t="s">
        <v>181</v>
      </c>
      <c r="F3323" s="5" t="s">
        <v>19</v>
      </c>
      <c r="G3323" s="5" t="s">
        <v>20</v>
      </c>
      <c r="H3323" s="5" t="s">
        <v>496</v>
      </c>
      <c r="I3323" s="13">
        <v>123.91</v>
      </c>
      <c r="J3323" s="19">
        <v>1</v>
      </c>
      <c r="K3323" s="14">
        <v>4.5656999999999996</v>
      </c>
    </row>
    <row r="3324" spans="1:11" x14ac:dyDescent="0.25">
      <c r="A3324" s="2">
        <v>43956</v>
      </c>
      <c r="B3324" s="18">
        <f t="shared" si="102"/>
        <v>2020</v>
      </c>
      <c r="C3324" s="18">
        <f t="shared" si="103"/>
        <v>5</v>
      </c>
      <c r="D3324" s="3" t="s">
        <v>1790</v>
      </c>
      <c r="E3324" s="3" t="s">
        <v>306</v>
      </c>
      <c r="F3324" s="3" t="s">
        <v>11</v>
      </c>
      <c r="G3324" s="3" t="s">
        <v>12</v>
      </c>
      <c r="H3324" s="3" t="s">
        <v>1648</v>
      </c>
      <c r="I3324" s="11">
        <v>136.99100000000001</v>
      </c>
      <c r="J3324" s="18">
        <v>3</v>
      </c>
      <c r="K3324" s="12">
        <v>-152.9847</v>
      </c>
    </row>
    <row r="3325" spans="1:11" x14ac:dyDescent="0.25">
      <c r="A3325" s="4">
        <v>43956</v>
      </c>
      <c r="B3325" s="19">
        <f t="shared" si="102"/>
        <v>2020</v>
      </c>
      <c r="C3325" s="19">
        <f t="shared" si="103"/>
        <v>5</v>
      </c>
      <c r="D3325" s="5" t="s">
        <v>1833</v>
      </c>
      <c r="E3325" s="5" t="s">
        <v>94</v>
      </c>
      <c r="F3325" s="5" t="s">
        <v>19</v>
      </c>
      <c r="G3325" s="5" t="s">
        <v>53</v>
      </c>
      <c r="H3325" s="5" t="s">
        <v>575</v>
      </c>
      <c r="I3325" s="13">
        <v>117.68</v>
      </c>
      <c r="J3325" s="19">
        <v>1</v>
      </c>
      <c r="K3325" s="14">
        <v>3.2063999999999999</v>
      </c>
    </row>
    <row r="3326" spans="1:11" x14ac:dyDescent="0.25">
      <c r="A3326" s="2">
        <v>43956</v>
      </c>
      <c r="B3326" s="18">
        <f t="shared" si="102"/>
        <v>2020</v>
      </c>
      <c r="C3326" s="18">
        <f t="shared" si="103"/>
        <v>5</v>
      </c>
      <c r="D3326" s="3" t="s">
        <v>2266</v>
      </c>
      <c r="E3326" s="3" t="s">
        <v>18</v>
      </c>
      <c r="F3326" s="3" t="s">
        <v>19</v>
      </c>
      <c r="G3326" s="3" t="s">
        <v>86</v>
      </c>
      <c r="H3326" s="3" t="s">
        <v>2069</v>
      </c>
      <c r="I3326" s="11">
        <v>111.16</v>
      </c>
      <c r="J3326" s="18">
        <v>2</v>
      </c>
      <c r="K3326" s="12">
        <v>11.58</v>
      </c>
    </row>
    <row r="3327" spans="1:11" x14ac:dyDescent="0.25">
      <c r="A3327" s="4">
        <v>43956</v>
      </c>
      <c r="B3327" s="19">
        <f t="shared" si="102"/>
        <v>2020</v>
      </c>
      <c r="C3327" s="19">
        <f t="shared" si="103"/>
        <v>5</v>
      </c>
      <c r="D3327" s="5" t="s">
        <v>1790</v>
      </c>
      <c r="E3327" s="5" t="s">
        <v>306</v>
      </c>
      <c r="F3327" s="5" t="s">
        <v>19</v>
      </c>
      <c r="G3327" s="5" t="s">
        <v>32</v>
      </c>
      <c r="H3327" s="5" t="s">
        <v>237</v>
      </c>
      <c r="I3327" s="13">
        <v>120.55200000000001</v>
      </c>
      <c r="J3327" s="19">
        <v>8</v>
      </c>
      <c r="K3327" s="14">
        <v>-7.3231999999999999</v>
      </c>
    </row>
    <row r="3328" spans="1:11" x14ac:dyDescent="0.25">
      <c r="A3328" s="2">
        <v>43956</v>
      </c>
      <c r="B3328" s="18">
        <f t="shared" si="102"/>
        <v>2020</v>
      </c>
      <c r="C3328" s="18">
        <f t="shared" si="103"/>
        <v>5</v>
      </c>
      <c r="D3328" s="3" t="s">
        <v>2237</v>
      </c>
      <c r="E3328" s="3" t="s">
        <v>109</v>
      </c>
      <c r="F3328" s="3" t="s">
        <v>19</v>
      </c>
      <c r="G3328" s="3" t="s">
        <v>32</v>
      </c>
      <c r="H3328" s="3" t="s">
        <v>413</v>
      </c>
      <c r="I3328" s="11">
        <v>150.5</v>
      </c>
      <c r="J3328" s="18">
        <v>3</v>
      </c>
      <c r="K3328" s="12">
        <v>15.525</v>
      </c>
    </row>
    <row r="3329" spans="1:11" x14ac:dyDescent="0.25">
      <c r="A3329" s="4">
        <v>43956</v>
      </c>
      <c r="B3329" s="19">
        <f t="shared" si="102"/>
        <v>2020</v>
      </c>
      <c r="C3329" s="19">
        <f t="shared" si="103"/>
        <v>5</v>
      </c>
      <c r="D3329" s="5" t="s">
        <v>1790</v>
      </c>
      <c r="E3329" s="5" t="s">
        <v>306</v>
      </c>
      <c r="F3329" s="5" t="s">
        <v>19</v>
      </c>
      <c r="G3329" s="5" t="s">
        <v>86</v>
      </c>
      <c r="H3329" s="5" t="s">
        <v>964</v>
      </c>
      <c r="I3329" s="13">
        <v>147.24</v>
      </c>
      <c r="J3329" s="19">
        <v>9</v>
      </c>
      <c r="K3329" s="14">
        <v>7.4340000000000002</v>
      </c>
    </row>
    <row r="3330" spans="1:11" x14ac:dyDescent="0.25">
      <c r="A3330" s="2">
        <v>43957</v>
      </c>
      <c r="B3330" s="18">
        <f t="shared" ref="B3330:B3393" si="104">YEAR(A3330)</f>
        <v>2020</v>
      </c>
      <c r="C3330" s="18">
        <f t="shared" ref="C3330:C3393" si="105">MONTH(A3330)</f>
        <v>5</v>
      </c>
      <c r="D3330" s="3" t="s">
        <v>1012</v>
      </c>
      <c r="E3330" s="3" t="s">
        <v>94</v>
      </c>
      <c r="F3330" s="3" t="s">
        <v>19</v>
      </c>
      <c r="G3330" s="3" t="s">
        <v>127</v>
      </c>
      <c r="H3330" s="3" t="s">
        <v>2267</v>
      </c>
      <c r="I3330" s="11">
        <v>108.2</v>
      </c>
      <c r="J3330" s="18">
        <v>4</v>
      </c>
      <c r="K3330" s="12">
        <v>29.6</v>
      </c>
    </row>
    <row r="3331" spans="1:11" x14ac:dyDescent="0.25">
      <c r="A3331" s="4">
        <v>43957</v>
      </c>
      <c r="B3331" s="19">
        <f t="shared" si="104"/>
        <v>2020</v>
      </c>
      <c r="C3331" s="19">
        <f t="shared" si="105"/>
        <v>5</v>
      </c>
      <c r="D3331" s="5" t="s">
        <v>1699</v>
      </c>
      <c r="E3331" s="5" t="s">
        <v>198</v>
      </c>
      <c r="F3331" s="5" t="s">
        <v>19</v>
      </c>
      <c r="G3331" s="5" t="s">
        <v>53</v>
      </c>
      <c r="H3331" s="5" t="s">
        <v>184</v>
      </c>
      <c r="I3331" s="13">
        <v>122.416</v>
      </c>
      <c r="J3331" s="19">
        <v>4</v>
      </c>
      <c r="K3331" s="14">
        <v>27.435199999999998</v>
      </c>
    </row>
    <row r="3332" spans="1:11" x14ac:dyDescent="0.25">
      <c r="A3332" s="2">
        <v>43957</v>
      </c>
      <c r="B3332" s="18">
        <f t="shared" si="104"/>
        <v>2020</v>
      </c>
      <c r="C3332" s="18">
        <f t="shared" si="105"/>
        <v>5</v>
      </c>
      <c r="D3332" s="3" t="s">
        <v>389</v>
      </c>
      <c r="E3332" s="3" t="s">
        <v>35</v>
      </c>
      <c r="F3332" s="3" t="s">
        <v>19</v>
      </c>
      <c r="G3332" s="3" t="s">
        <v>127</v>
      </c>
      <c r="H3332" s="3" t="s">
        <v>1100</v>
      </c>
      <c r="I3332" s="11">
        <v>155.12</v>
      </c>
      <c r="J3332" s="18">
        <v>5</v>
      </c>
      <c r="K3332" s="12">
        <v>39.689</v>
      </c>
    </row>
    <row r="3333" spans="1:11" x14ac:dyDescent="0.25">
      <c r="A3333" s="4">
        <v>43957</v>
      </c>
      <c r="B3333" s="19">
        <f t="shared" si="104"/>
        <v>2020</v>
      </c>
      <c r="C3333" s="19">
        <f t="shared" si="105"/>
        <v>5</v>
      </c>
      <c r="D3333" s="5" t="s">
        <v>2051</v>
      </c>
      <c r="E3333" s="5" t="s">
        <v>18</v>
      </c>
      <c r="F3333" s="5" t="s">
        <v>19</v>
      </c>
      <c r="G3333" s="5" t="s">
        <v>121</v>
      </c>
      <c r="H3333" s="5" t="s">
        <v>661</v>
      </c>
      <c r="I3333" s="13">
        <v>188.94</v>
      </c>
      <c r="J3333" s="19">
        <v>3</v>
      </c>
      <c r="K3333" s="14">
        <v>41.293799999999997</v>
      </c>
    </row>
    <row r="3334" spans="1:11" x14ac:dyDescent="0.25">
      <c r="A3334" s="2">
        <v>43957</v>
      </c>
      <c r="B3334" s="18">
        <f t="shared" si="104"/>
        <v>2020</v>
      </c>
      <c r="C3334" s="18">
        <f t="shared" si="105"/>
        <v>5</v>
      </c>
      <c r="D3334" s="3" t="s">
        <v>154</v>
      </c>
      <c r="E3334" s="3" t="s">
        <v>164</v>
      </c>
      <c r="F3334" s="3" t="s">
        <v>14</v>
      </c>
      <c r="G3334" s="3" t="s">
        <v>24</v>
      </c>
      <c r="H3334" s="3" t="s">
        <v>578</v>
      </c>
      <c r="I3334" s="11">
        <v>231.96799999999999</v>
      </c>
      <c r="J3334" s="18">
        <v>4</v>
      </c>
      <c r="K3334" s="12">
        <v>28.795200000000001</v>
      </c>
    </row>
    <row r="3335" spans="1:11" x14ac:dyDescent="0.25">
      <c r="A3335" s="4">
        <v>43957</v>
      </c>
      <c r="B3335" s="19">
        <f t="shared" si="104"/>
        <v>2020</v>
      </c>
      <c r="C3335" s="19">
        <f t="shared" si="105"/>
        <v>5</v>
      </c>
      <c r="D3335" s="5" t="s">
        <v>1326</v>
      </c>
      <c r="E3335" s="5" t="s">
        <v>164</v>
      </c>
      <c r="F3335" s="5" t="s">
        <v>14</v>
      </c>
      <c r="G3335" s="5" t="s">
        <v>24</v>
      </c>
      <c r="H3335" s="5" t="s">
        <v>630</v>
      </c>
      <c r="I3335" s="13">
        <v>454.74400000000003</v>
      </c>
      <c r="J3335" s="19">
        <v>7</v>
      </c>
      <c r="K3335" s="14">
        <v>76.639499999999998</v>
      </c>
    </row>
    <row r="3336" spans="1:11" x14ac:dyDescent="0.25">
      <c r="A3336" s="2">
        <v>43957</v>
      </c>
      <c r="B3336" s="18">
        <f t="shared" si="104"/>
        <v>2020</v>
      </c>
      <c r="C3336" s="18">
        <f t="shared" si="105"/>
        <v>5</v>
      </c>
      <c r="D3336" s="3" t="s">
        <v>2147</v>
      </c>
      <c r="E3336" s="3" t="s">
        <v>23</v>
      </c>
      <c r="F3336" s="3" t="s">
        <v>11</v>
      </c>
      <c r="G3336" s="3" t="s">
        <v>12</v>
      </c>
      <c r="H3336" s="3" t="s">
        <v>2132</v>
      </c>
      <c r="I3336" s="11">
        <v>650.46479999999997</v>
      </c>
      <c r="J3336" s="18">
        <v>7</v>
      </c>
      <c r="K3336" s="12">
        <v>-119.1918</v>
      </c>
    </row>
    <row r="3337" spans="1:11" x14ac:dyDescent="0.25">
      <c r="A3337" s="4">
        <v>43957</v>
      </c>
      <c r="B3337" s="19">
        <f t="shared" si="104"/>
        <v>2020</v>
      </c>
      <c r="C3337" s="19">
        <f t="shared" si="105"/>
        <v>5</v>
      </c>
      <c r="D3337" s="5" t="s">
        <v>389</v>
      </c>
      <c r="E3337" s="5" t="s">
        <v>35</v>
      </c>
      <c r="F3337" s="5" t="s">
        <v>14</v>
      </c>
      <c r="G3337" s="5" t="s">
        <v>15</v>
      </c>
      <c r="H3337" s="5" t="s">
        <v>1988</v>
      </c>
      <c r="I3337" s="13">
        <v>672.16800000000001</v>
      </c>
      <c r="J3337" s="19">
        <v>4</v>
      </c>
      <c r="K3337" s="14">
        <v>70.556399999999996</v>
      </c>
    </row>
    <row r="3338" spans="1:11" x14ac:dyDescent="0.25">
      <c r="A3338" s="2">
        <v>43957</v>
      </c>
      <c r="B3338" s="18">
        <f t="shared" si="104"/>
        <v>2020</v>
      </c>
      <c r="C3338" s="18">
        <f t="shared" si="105"/>
        <v>5</v>
      </c>
      <c r="D3338" s="3" t="s">
        <v>2147</v>
      </c>
      <c r="E3338" s="3" t="s">
        <v>23</v>
      </c>
      <c r="F3338" s="3" t="s">
        <v>19</v>
      </c>
      <c r="G3338" s="3" t="s">
        <v>20</v>
      </c>
      <c r="H3338" s="3" t="s">
        <v>603</v>
      </c>
      <c r="I3338" s="11">
        <v>803.68</v>
      </c>
      <c r="J3338" s="18">
        <v>5</v>
      </c>
      <c r="K3338" s="12">
        <v>-57.951000000000001</v>
      </c>
    </row>
    <row r="3339" spans="1:11" x14ac:dyDescent="0.25">
      <c r="A3339" s="4">
        <v>43957</v>
      </c>
      <c r="B3339" s="19">
        <f t="shared" si="104"/>
        <v>2020</v>
      </c>
      <c r="C3339" s="19">
        <f t="shared" si="105"/>
        <v>5</v>
      </c>
      <c r="D3339" s="5" t="s">
        <v>1326</v>
      </c>
      <c r="E3339" s="5" t="s">
        <v>164</v>
      </c>
      <c r="F3339" s="5" t="s">
        <v>19</v>
      </c>
      <c r="G3339" s="5" t="s">
        <v>40</v>
      </c>
      <c r="H3339" s="5" t="s">
        <v>1476</v>
      </c>
      <c r="I3339" s="13">
        <v>94.408000000000001</v>
      </c>
      <c r="J3339" s="19">
        <v>3</v>
      </c>
      <c r="K3339" s="14">
        <v>0.64080000000000004</v>
      </c>
    </row>
    <row r="3340" spans="1:11" x14ac:dyDescent="0.25">
      <c r="A3340" s="2">
        <v>43957</v>
      </c>
      <c r="B3340" s="18">
        <f t="shared" si="104"/>
        <v>2020</v>
      </c>
      <c r="C3340" s="18">
        <f t="shared" si="105"/>
        <v>5</v>
      </c>
      <c r="D3340" s="3" t="s">
        <v>2147</v>
      </c>
      <c r="E3340" s="3" t="s">
        <v>23</v>
      </c>
      <c r="F3340" s="3" t="s">
        <v>19</v>
      </c>
      <c r="G3340" s="3" t="s">
        <v>32</v>
      </c>
      <c r="H3340" s="3" t="s">
        <v>1395</v>
      </c>
      <c r="I3340" s="11">
        <v>110.06</v>
      </c>
      <c r="J3340" s="18">
        <v>10</v>
      </c>
      <c r="K3340" s="12">
        <v>-18.802</v>
      </c>
    </row>
    <row r="3341" spans="1:11" x14ac:dyDescent="0.25">
      <c r="A3341" s="4">
        <v>43957</v>
      </c>
      <c r="B3341" s="19">
        <f t="shared" si="104"/>
        <v>2020</v>
      </c>
      <c r="C3341" s="19">
        <f t="shared" si="105"/>
        <v>5</v>
      </c>
      <c r="D3341" s="5" t="s">
        <v>448</v>
      </c>
      <c r="E3341" s="5" t="s">
        <v>181</v>
      </c>
      <c r="F3341" s="5" t="s">
        <v>19</v>
      </c>
      <c r="G3341" s="5" t="s">
        <v>40</v>
      </c>
      <c r="H3341" s="5" t="s">
        <v>2268</v>
      </c>
      <c r="I3341" s="13">
        <v>153.66</v>
      </c>
      <c r="J3341" s="19">
        <v>6</v>
      </c>
      <c r="K3341" s="14">
        <v>18.037800000000001</v>
      </c>
    </row>
    <row r="3342" spans="1:11" x14ac:dyDescent="0.25">
      <c r="A3342" s="2">
        <v>43957</v>
      </c>
      <c r="B3342" s="18">
        <f t="shared" si="104"/>
        <v>2020</v>
      </c>
      <c r="C3342" s="18">
        <f t="shared" si="105"/>
        <v>5</v>
      </c>
      <c r="D3342" s="3" t="s">
        <v>389</v>
      </c>
      <c r="E3342" s="3" t="s">
        <v>35</v>
      </c>
      <c r="F3342" s="3" t="s">
        <v>19</v>
      </c>
      <c r="G3342" s="3" t="s">
        <v>32</v>
      </c>
      <c r="H3342" s="3" t="s">
        <v>1832</v>
      </c>
      <c r="I3342" s="11">
        <v>144.541</v>
      </c>
      <c r="J3342" s="18">
        <v>11</v>
      </c>
      <c r="K3342" s="12">
        <v>-52.548099999999998</v>
      </c>
    </row>
    <row r="3343" spans="1:11" x14ac:dyDescent="0.25">
      <c r="A3343" s="4">
        <v>43958</v>
      </c>
      <c r="B3343" s="19">
        <f t="shared" si="104"/>
        <v>2020</v>
      </c>
      <c r="C3343" s="19">
        <f t="shared" si="105"/>
        <v>5</v>
      </c>
      <c r="D3343" s="5" t="s">
        <v>520</v>
      </c>
      <c r="E3343" s="5" t="s">
        <v>18</v>
      </c>
      <c r="F3343" s="5" t="s">
        <v>14</v>
      </c>
      <c r="G3343" s="5" t="s">
        <v>15</v>
      </c>
      <c r="H3343" s="5" t="s">
        <v>1209</v>
      </c>
      <c r="I3343" s="13">
        <v>462.94400000000002</v>
      </c>
      <c r="J3343" s="19">
        <v>7</v>
      </c>
      <c r="K3343" s="14">
        <v>52.493000000000002</v>
      </c>
    </row>
    <row r="3344" spans="1:11" x14ac:dyDescent="0.25">
      <c r="A3344" s="2">
        <v>43958</v>
      </c>
      <c r="B3344" s="18">
        <f t="shared" si="104"/>
        <v>2020</v>
      </c>
      <c r="C3344" s="18">
        <f t="shared" si="105"/>
        <v>5</v>
      </c>
      <c r="D3344" s="3" t="s">
        <v>2269</v>
      </c>
      <c r="E3344" s="3" t="s">
        <v>365</v>
      </c>
      <c r="F3344" s="3" t="s">
        <v>11</v>
      </c>
      <c r="G3344" s="3" t="s">
        <v>112</v>
      </c>
      <c r="H3344" s="3" t="s">
        <v>2270</v>
      </c>
      <c r="I3344" s="11">
        <v>517.79999999999995</v>
      </c>
      <c r="J3344" s="18">
        <v>2</v>
      </c>
      <c r="K3344" s="12">
        <v>119.2</v>
      </c>
    </row>
    <row r="3345" spans="1:11" x14ac:dyDescent="0.25">
      <c r="A3345" s="4">
        <v>43958</v>
      </c>
      <c r="B3345" s="19">
        <f t="shared" si="104"/>
        <v>2020</v>
      </c>
      <c r="C3345" s="19">
        <f t="shared" si="105"/>
        <v>5</v>
      </c>
      <c r="D3345" s="5" t="s">
        <v>2269</v>
      </c>
      <c r="E3345" s="5" t="s">
        <v>365</v>
      </c>
      <c r="F3345" s="5" t="s">
        <v>11</v>
      </c>
      <c r="G3345" s="5" t="s">
        <v>112</v>
      </c>
      <c r="H3345" s="5" t="s">
        <v>623</v>
      </c>
      <c r="I3345" s="13">
        <v>1495.65</v>
      </c>
      <c r="J3345" s="19">
        <v>5</v>
      </c>
      <c r="K3345" s="14">
        <v>423.00850000000003</v>
      </c>
    </row>
    <row r="3346" spans="1:11" x14ac:dyDescent="0.25">
      <c r="A3346" s="2">
        <v>43958</v>
      </c>
      <c r="B3346" s="18">
        <f t="shared" si="104"/>
        <v>2020</v>
      </c>
      <c r="C3346" s="18">
        <f t="shared" si="105"/>
        <v>5</v>
      </c>
      <c r="D3346" s="3" t="s">
        <v>2269</v>
      </c>
      <c r="E3346" s="3" t="s">
        <v>365</v>
      </c>
      <c r="F3346" s="3" t="s">
        <v>11</v>
      </c>
      <c r="G3346" s="3" t="s">
        <v>112</v>
      </c>
      <c r="H3346" s="3" t="s">
        <v>2271</v>
      </c>
      <c r="I3346" s="11">
        <v>131.63999999999999</v>
      </c>
      <c r="J3346" s="18">
        <v>1</v>
      </c>
      <c r="K3346" s="12">
        <v>7.4592000000000001</v>
      </c>
    </row>
    <row r="3347" spans="1:11" x14ac:dyDescent="0.25">
      <c r="A3347" s="4">
        <v>43958</v>
      </c>
      <c r="B3347" s="19">
        <f t="shared" si="104"/>
        <v>2020</v>
      </c>
      <c r="C3347" s="19">
        <f t="shared" si="105"/>
        <v>5</v>
      </c>
      <c r="D3347" s="5" t="s">
        <v>2269</v>
      </c>
      <c r="E3347" s="5" t="s">
        <v>365</v>
      </c>
      <c r="F3347" s="5" t="s">
        <v>19</v>
      </c>
      <c r="G3347" s="5" t="s">
        <v>121</v>
      </c>
      <c r="H3347" s="5" t="s">
        <v>869</v>
      </c>
      <c r="I3347" s="13">
        <v>165.44399999999999</v>
      </c>
      <c r="J3347" s="19">
        <v>2</v>
      </c>
      <c r="K3347" s="14">
        <v>18.4604</v>
      </c>
    </row>
    <row r="3348" spans="1:11" x14ac:dyDescent="0.25">
      <c r="A3348" s="2">
        <v>43958</v>
      </c>
      <c r="B3348" s="18">
        <f t="shared" si="104"/>
        <v>2020</v>
      </c>
      <c r="C3348" s="18">
        <f t="shared" si="105"/>
        <v>5</v>
      </c>
      <c r="D3348" s="3" t="s">
        <v>410</v>
      </c>
      <c r="E3348" s="3" t="s">
        <v>18</v>
      </c>
      <c r="F3348" s="3" t="s">
        <v>14</v>
      </c>
      <c r="G3348" s="3" t="s">
        <v>24</v>
      </c>
      <c r="H3348" s="3" t="s">
        <v>2272</v>
      </c>
      <c r="I3348" s="11">
        <v>171.99</v>
      </c>
      <c r="J3348" s="18">
        <v>1</v>
      </c>
      <c r="K3348" s="12">
        <v>28.796399999999998</v>
      </c>
    </row>
    <row r="3349" spans="1:11" x14ac:dyDescent="0.25">
      <c r="A3349" s="4">
        <v>43959</v>
      </c>
      <c r="B3349" s="19">
        <f t="shared" si="104"/>
        <v>2020</v>
      </c>
      <c r="C3349" s="19">
        <f t="shared" si="105"/>
        <v>5</v>
      </c>
      <c r="D3349" s="5" t="s">
        <v>2273</v>
      </c>
      <c r="E3349" s="5" t="s">
        <v>18</v>
      </c>
      <c r="F3349" s="5" t="s">
        <v>19</v>
      </c>
      <c r="G3349" s="5" t="s">
        <v>121</v>
      </c>
      <c r="H3349" s="5" t="s">
        <v>122</v>
      </c>
      <c r="I3349" s="13">
        <v>114.08</v>
      </c>
      <c r="J3349" s="19">
        <v>4</v>
      </c>
      <c r="K3349" s="14">
        <v>22.702400000000001</v>
      </c>
    </row>
    <row r="3350" spans="1:11" x14ac:dyDescent="0.25">
      <c r="A3350" s="2">
        <v>43959</v>
      </c>
      <c r="B3350" s="18">
        <f t="shared" si="104"/>
        <v>2020</v>
      </c>
      <c r="C3350" s="18">
        <f t="shared" si="105"/>
        <v>5</v>
      </c>
      <c r="D3350" s="3" t="s">
        <v>1416</v>
      </c>
      <c r="E3350" s="3" t="s">
        <v>39</v>
      </c>
      <c r="F3350" s="3" t="s">
        <v>11</v>
      </c>
      <c r="G3350" s="3" t="s">
        <v>112</v>
      </c>
      <c r="H3350" s="3" t="s">
        <v>1143</v>
      </c>
      <c r="I3350" s="11">
        <v>141.05799999999999</v>
      </c>
      <c r="J3350" s="18">
        <v>3</v>
      </c>
      <c r="K3350" s="12">
        <v>-23.7822</v>
      </c>
    </row>
    <row r="3351" spans="1:11" x14ac:dyDescent="0.25">
      <c r="A3351" s="4">
        <v>43959</v>
      </c>
      <c r="B3351" s="19">
        <f t="shared" si="104"/>
        <v>2020</v>
      </c>
      <c r="C3351" s="19">
        <f t="shared" si="105"/>
        <v>5</v>
      </c>
      <c r="D3351" s="5" t="s">
        <v>1811</v>
      </c>
      <c r="E3351" s="5" t="s">
        <v>18</v>
      </c>
      <c r="F3351" s="5" t="s">
        <v>14</v>
      </c>
      <c r="G3351" s="5" t="s">
        <v>36</v>
      </c>
      <c r="H3351" s="5" t="s">
        <v>952</v>
      </c>
      <c r="I3351" s="13">
        <v>3409.9520000000002</v>
      </c>
      <c r="J3351" s="19">
        <v>6</v>
      </c>
      <c r="K3351" s="14">
        <v>1049.9849999999999</v>
      </c>
    </row>
    <row r="3352" spans="1:11" x14ac:dyDescent="0.25">
      <c r="A3352" s="2">
        <v>43959</v>
      </c>
      <c r="B3352" s="18">
        <f t="shared" si="104"/>
        <v>2020</v>
      </c>
      <c r="C3352" s="18">
        <f t="shared" si="105"/>
        <v>5</v>
      </c>
      <c r="D3352" s="3" t="s">
        <v>1515</v>
      </c>
      <c r="E3352" s="3" t="s">
        <v>67</v>
      </c>
      <c r="F3352" s="3" t="s">
        <v>11</v>
      </c>
      <c r="G3352" s="3" t="s">
        <v>112</v>
      </c>
      <c r="H3352" s="3" t="s">
        <v>579</v>
      </c>
      <c r="I3352" s="11">
        <v>157.99199999999999</v>
      </c>
      <c r="J3352" s="18">
        <v>2</v>
      </c>
      <c r="K3352" s="12">
        <v>-2.0568</v>
      </c>
    </row>
    <row r="3353" spans="1:11" x14ac:dyDescent="0.25">
      <c r="A3353" s="4">
        <v>43959</v>
      </c>
      <c r="B3353" s="19">
        <f t="shared" si="104"/>
        <v>2020</v>
      </c>
      <c r="C3353" s="19">
        <f t="shared" si="105"/>
        <v>5</v>
      </c>
      <c r="D3353" s="5" t="s">
        <v>349</v>
      </c>
      <c r="E3353" s="5" t="s">
        <v>23</v>
      </c>
      <c r="F3353" s="5" t="s">
        <v>19</v>
      </c>
      <c r="G3353" s="5" t="s">
        <v>53</v>
      </c>
      <c r="H3353" s="5" t="s">
        <v>1390</v>
      </c>
      <c r="I3353" s="13">
        <v>163.47200000000001</v>
      </c>
      <c r="J3353" s="19">
        <v>8</v>
      </c>
      <c r="K3353" s="14">
        <v>14.5152</v>
      </c>
    </row>
    <row r="3354" spans="1:11" x14ac:dyDescent="0.25">
      <c r="A3354" s="2">
        <v>43960</v>
      </c>
      <c r="B3354" s="18">
        <f t="shared" si="104"/>
        <v>2020</v>
      </c>
      <c r="C3354" s="18">
        <f t="shared" si="105"/>
        <v>5</v>
      </c>
      <c r="D3354" s="3" t="s">
        <v>1460</v>
      </c>
      <c r="E3354" s="3" t="s">
        <v>70</v>
      </c>
      <c r="F3354" s="3" t="s">
        <v>19</v>
      </c>
      <c r="G3354" s="3" t="s">
        <v>20</v>
      </c>
      <c r="H3354" s="3" t="s">
        <v>604</v>
      </c>
      <c r="I3354" s="11">
        <v>116.96</v>
      </c>
      <c r="J3354" s="18">
        <v>4</v>
      </c>
      <c r="K3354" s="12">
        <v>2.6783999999999999</v>
      </c>
    </row>
    <row r="3355" spans="1:11" x14ac:dyDescent="0.25">
      <c r="A3355" s="4">
        <v>43960</v>
      </c>
      <c r="B3355" s="19">
        <f t="shared" si="104"/>
        <v>2020</v>
      </c>
      <c r="C3355" s="19">
        <f t="shared" si="105"/>
        <v>5</v>
      </c>
      <c r="D3355" s="5" t="s">
        <v>1460</v>
      </c>
      <c r="E3355" s="5" t="s">
        <v>70</v>
      </c>
      <c r="F3355" s="5" t="s">
        <v>19</v>
      </c>
      <c r="G3355" s="5" t="s">
        <v>20</v>
      </c>
      <c r="H3355" s="5" t="s">
        <v>865</v>
      </c>
      <c r="I3355" s="13">
        <v>139.28</v>
      </c>
      <c r="J3355" s="19">
        <v>3</v>
      </c>
      <c r="K3355" s="14">
        <v>26.07</v>
      </c>
    </row>
    <row r="3356" spans="1:11" x14ac:dyDescent="0.25">
      <c r="A3356" s="2">
        <v>43960</v>
      </c>
      <c r="B3356" s="18">
        <f t="shared" si="104"/>
        <v>2020</v>
      </c>
      <c r="C3356" s="18">
        <f t="shared" si="105"/>
        <v>5</v>
      </c>
      <c r="D3356" s="3" t="s">
        <v>1460</v>
      </c>
      <c r="E3356" s="3" t="s">
        <v>70</v>
      </c>
      <c r="F3356" s="3" t="s">
        <v>19</v>
      </c>
      <c r="G3356" s="3" t="s">
        <v>32</v>
      </c>
      <c r="H3356" s="3" t="s">
        <v>543</v>
      </c>
      <c r="I3356" s="11">
        <v>188.92</v>
      </c>
      <c r="J3356" s="18">
        <v>5</v>
      </c>
      <c r="K3356" s="12">
        <v>46.225000000000001</v>
      </c>
    </row>
    <row r="3357" spans="1:11" x14ac:dyDescent="0.25">
      <c r="A3357" s="4">
        <v>43960</v>
      </c>
      <c r="B3357" s="19">
        <f t="shared" si="104"/>
        <v>2020</v>
      </c>
      <c r="C3357" s="19">
        <f t="shared" si="105"/>
        <v>5</v>
      </c>
      <c r="D3357" s="5" t="s">
        <v>1460</v>
      </c>
      <c r="E3357" s="5" t="s">
        <v>70</v>
      </c>
      <c r="F3357" s="5" t="s">
        <v>14</v>
      </c>
      <c r="G3357" s="5" t="s">
        <v>24</v>
      </c>
      <c r="H3357" s="5" t="s">
        <v>2274</v>
      </c>
      <c r="I3357" s="13">
        <v>217.98</v>
      </c>
      <c r="J3357" s="19">
        <v>2</v>
      </c>
      <c r="K3357" s="14">
        <v>87.991200000000006</v>
      </c>
    </row>
    <row r="3358" spans="1:11" x14ac:dyDescent="0.25">
      <c r="A3358" s="2">
        <v>43960</v>
      </c>
      <c r="B3358" s="18">
        <f t="shared" si="104"/>
        <v>2020</v>
      </c>
      <c r="C3358" s="18">
        <f t="shared" si="105"/>
        <v>5</v>
      </c>
      <c r="D3358" s="3" t="s">
        <v>1893</v>
      </c>
      <c r="E3358" s="3" t="s">
        <v>35</v>
      </c>
      <c r="F3358" s="3" t="s">
        <v>11</v>
      </c>
      <c r="G3358" s="3" t="s">
        <v>112</v>
      </c>
      <c r="H3358" s="3" t="s">
        <v>230</v>
      </c>
      <c r="I3358" s="11">
        <v>240</v>
      </c>
      <c r="J3358" s="18">
        <v>3</v>
      </c>
      <c r="K3358" s="12">
        <v>25.875</v>
      </c>
    </row>
    <row r="3359" spans="1:11" x14ac:dyDescent="0.25">
      <c r="A3359" s="4">
        <v>43960</v>
      </c>
      <c r="B3359" s="19">
        <f t="shared" si="104"/>
        <v>2020</v>
      </c>
      <c r="C3359" s="19">
        <f t="shared" si="105"/>
        <v>5</v>
      </c>
      <c r="D3359" s="5" t="s">
        <v>1460</v>
      </c>
      <c r="E3359" s="5" t="s">
        <v>70</v>
      </c>
      <c r="F3359" s="5" t="s">
        <v>11</v>
      </c>
      <c r="G3359" s="5" t="s">
        <v>30</v>
      </c>
      <c r="H3359" s="5" t="s">
        <v>2275</v>
      </c>
      <c r="I3359" s="13">
        <v>300.85000000000002</v>
      </c>
      <c r="J3359" s="19">
        <v>1</v>
      </c>
      <c r="K3359" s="14">
        <v>63.106999999999999</v>
      </c>
    </row>
    <row r="3360" spans="1:11" x14ac:dyDescent="0.25">
      <c r="A3360" s="2">
        <v>43960</v>
      </c>
      <c r="B3360" s="18">
        <f t="shared" si="104"/>
        <v>2020</v>
      </c>
      <c r="C3360" s="18">
        <f t="shared" si="105"/>
        <v>5</v>
      </c>
      <c r="D3360" s="3" t="s">
        <v>1893</v>
      </c>
      <c r="E3360" s="3" t="s">
        <v>35</v>
      </c>
      <c r="F3360" s="3" t="s">
        <v>19</v>
      </c>
      <c r="G3360" s="3" t="s">
        <v>86</v>
      </c>
      <c r="H3360" s="3" t="s">
        <v>1324</v>
      </c>
      <c r="I3360" s="11">
        <v>134.232</v>
      </c>
      <c r="J3360" s="18">
        <v>3</v>
      </c>
      <c r="K3360" s="12">
        <v>22.015799999999999</v>
      </c>
    </row>
    <row r="3361" spans="1:11" x14ac:dyDescent="0.25">
      <c r="A3361" s="4">
        <v>43962</v>
      </c>
      <c r="B3361" s="19">
        <f t="shared" si="104"/>
        <v>2020</v>
      </c>
      <c r="C3361" s="19">
        <f t="shared" si="105"/>
        <v>5</v>
      </c>
      <c r="D3361" s="5" t="s">
        <v>636</v>
      </c>
      <c r="E3361" s="5" t="s">
        <v>23</v>
      </c>
      <c r="F3361" s="5" t="s">
        <v>19</v>
      </c>
      <c r="G3361" s="5" t="s">
        <v>20</v>
      </c>
      <c r="H3361" s="5" t="s">
        <v>202</v>
      </c>
      <c r="I3361" s="13">
        <v>100.416</v>
      </c>
      <c r="J3361" s="19">
        <v>2</v>
      </c>
      <c r="K3361" s="14">
        <v>-14.8832</v>
      </c>
    </row>
    <row r="3362" spans="1:11" x14ac:dyDescent="0.25">
      <c r="A3362" s="2">
        <v>43962</v>
      </c>
      <c r="B3362" s="18">
        <f t="shared" si="104"/>
        <v>2020</v>
      </c>
      <c r="C3362" s="18">
        <f t="shared" si="105"/>
        <v>5</v>
      </c>
      <c r="D3362" s="3" t="s">
        <v>2276</v>
      </c>
      <c r="E3362" s="3" t="s">
        <v>198</v>
      </c>
      <c r="F3362" s="3" t="s">
        <v>11</v>
      </c>
      <c r="G3362" s="3" t="s">
        <v>12</v>
      </c>
      <c r="H3362" s="3" t="s">
        <v>1648</v>
      </c>
      <c r="I3362" s="11">
        <v>233.97900000000001</v>
      </c>
      <c r="J3362" s="18">
        <v>7</v>
      </c>
      <c r="K3362" s="12">
        <v>-356.96429999999998</v>
      </c>
    </row>
    <row r="3363" spans="1:11" x14ac:dyDescent="0.25">
      <c r="A3363" s="4">
        <v>43962</v>
      </c>
      <c r="B3363" s="19">
        <f t="shared" si="104"/>
        <v>2020</v>
      </c>
      <c r="C3363" s="19">
        <f t="shared" si="105"/>
        <v>5</v>
      </c>
      <c r="D3363" s="5" t="s">
        <v>636</v>
      </c>
      <c r="E3363" s="5" t="s">
        <v>23</v>
      </c>
      <c r="F3363" s="5" t="s">
        <v>19</v>
      </c>
      <c r="G3363" s="5" t="s">
        <v>40</v>
      </c>
      <c r="H3363" s="5" t="s">
        <v>1613</v>
      </c>
      <c r="I3363" s="13">
        <v>89.248000000000005</v>
      </c>
      <c r="J3363" s="19">
        <v>2</v>
      </c>
      <c r="K3363" s="14">
        <v>0.59040000000000004</v>
      </c>
    </row>
    <row r="3364" spans="1:11" x14ac:dyDescent="0.25">
      <c r="A3364" s="2">
        <v>43962</v>
      </c>
      <c r="B3364" s="18">
        <f t="shared" si="104"/>
        <v>2020</v>
      </c>
      <c r="C3364" s="18">
        <f t="shared" si="105"/>
        <v>5</v>
      </c>
      <c r="D3364" s="3" t="s">
        <v>636</v>
      </c>
      <c r="E3364" s="3" t="s">
        <v>23</v>
      </c>
      <c r="F3364" s="3" t="s">
        <v>19</v>
      </c>
      <c r="G3364" s="3" t="s">
        <v>53</v>
      </c>
      <c r="H3364" s="3" t="s">
        <v>2277</v>
      </c>
      <c r="I3364" s="11">
        <v>90.847999999999999</v>
      </c>
      <c r="J3364" s="18">
        <v>2</v>
      </c>
      <c r="K3364" s="12">
        <v>2.14</v>
      </c>
    </row>
    <row r="3365" spans="1:11" x14ac:dyDescent="0.25">
      <c r="A3365" s="4">
        <v>43962</v>
      </c>
      <c r="B3365" s="19">
        <f t="shared" si="104"/>
        <v>2020</v>
      </c>
      <c r="C3365" s="19">
        <f t="shared" si="105"/>
        <v>5</v>
      </c>
      <c r="D3365" s="5" t="s">
        <v>1848</v>
      </c>
      <c r="E3365" s="5" t="s">
        <v>70</v>
      </c>
      <c r="F3365" s="5" t="s">
        <v>19</v>
      </c>
      <c r="G3365" s="5" t="s">
        <v>32</v>
      </c>
      <c r="H3365" s="5" t="s">
        <v>447</v>
      </c>
      <c r="I3365" s="13">
        <v>87.031999999999996</v>
      </c>
      <c r="J3365" s="19">
        <v>2</v>
      </c>
      <c r="K3365" s="14">
        <v>9.4366000000000003</v>
      </c>
    </row>
    <row r="3366" spans="1:11" x14ac:dyDescent="0.25">
      <c r="A3366" s="2">
        <v>43962</v>
      </c>
      <c r="B3366" s="18">
        <f t="shared" si="104"/>
        <v>2020</v>
      </c>
      <c r="C3366" s="18">
        <f t="shared" si="105"/>
        <v>5</v>
      </c>
      <c r="D3366" s="3" t="s">
        <v>636</v>
      </c>
      <c r="E3366" s="3" t="s">
        <v>23</v>
      </c>
      <c r="F3366" s="3" t="s">
        <v>11</v>
      </c>
      <c r="G3366" s="3" t="s">
        <v>51</v>
      </c>
      <c r="H3366" s="3" t="s">
        <v>1461</v>
      </c>
      <c r="I3366" s="11">
        <v>118.996</v>
      </c>
      <c r="J3366" s="18">
        <v>1</v>
      </c>
      <c r="K3366" s="12">
        <v>-6.9965000000000002</v>
      </c>
    </row>
    <row r="3367" spans="1:11" x14ac:dyDescent="0.25">
      <c r="A3367" s="4">
        <v>43962</v>
      </c>
      <c r="B3367" s="19">
        <f t="shared" si="104"/>
        <v>2020</v>
      </c>
      <c r="C3367" s="19">
        <f t="shared" si="105"/>
        <v>5</v>
      </c>
      <c r="D3367" s="5" t="s">
        <v>1848</v>
      </c>
      <c r="E3367" s="5" t="s">
        <v>70</v>
      </c>
      <c r="F3367" s="5" t="s">
        <v>19</v>
      </c>
      <c r="G3367" s="5" t="s">
        <v>53</v>
      </c>
      <c r="H3367" s="5" t="s">
        <v>1129</v>
      </c>
      <c r="I3367" s="13">
        <v>113.44</v>
      </c>
      <c r="J3367" s="19">
        <v>6</v>
      </c>
      <c r="K3367" s="14">
        <v>16.847999999999999</v>
      </c>
    </row>
    <row r="3368" spans="1:11" x14ac:dyDescent="0.25">
      <c r="A3368" s="2">
        <v>43962</v>
      </c>
      <c r="B3368" s="18">
        <f t="shared" si="104"/>
        <v>2020</v>
      </c>
      <c r="C3368" s="18">
        <f t="shared" si="105"/>
        <v>5</v>
      </c>
      <c r="D3368" s="3" t="s">
        <v>1848</v>
      </c>
      <c r="E3368" s="3" t="s">
        <v>70</v>
      </c>
      <c r="F3368" s="3" t="s">
        <v>19</v>
      </c>
      <c r="G3368" s="3" t="s">
        <v>127</v>
      </c>
      <c r="H3368" s="3" t="s">
        <v>1513</v>
      </c>
      <c r="I3368" s="11">
        <v>129.59</v>
      </c>
      <c r="J3368" s="18">
        <v>3</v>
      </c>
      <c r="K3368" s="12">
        <v>17.667300000000001</v>
      </c>
    </row>
    <row r="3369" spans="1:11" x14ac:dyDescent="0.25">
      <c r="A3369" s="4">
        <v>43962</v>
      </c>
      <c r="B3369" s="19">
        <f t="shared" si="104"/>
        <v>2020</v>
      </c>
      <c r="C3369" s="19">
        <f t="shared" si="105"/>
        <v>5</v>
      </c>
      <c r="D3369" s="5" t="s">
        <v>351</v>
      </c>
      <c r="E3369" s="5" t="s">
        <v>94</v>
      </c>
      <c r="F3369" s="5" t="s">
        <v>19</v>
      </c>
      <c r="G3369" s="5" t="s">
        <v>40</v>
      </c>
      <c r="H3369" s="5" t="s">
        <v>673</v>
      </c>
      <c r="I3369" s="13">
        <v>149.91999999999999</v>
      </c>
      <c r="J3369" s="19">
        <v>3</v>
      </c>
      <c r="K3369" s="14">
        <v>12.736800000000001</v>
      </c>
    </row>
    <row r="3370" spans="1:11" x14ac:dyDescent="0.25">
      <c r="A3370" s="2">
        <v>43963</v>
      </c>
      <c r="B3370" s="18">
        <f t="shared" si="104"/>
        <v>2020</v>
      </c>
      <c r="C3370" s="18">
        <f t="shared" si="105"/>
        <v>5</v>
      </c>
      <c r="D3370" s="3" t="s">
        <v>992</v>
      </c>
      <c r="E3370" s="3" t="s">
        <v>370</v>
      </c>
      <c r="F3370" s="3" t="s">
        <v>19</v>
      </c>
      <c r="G3370" s="3" t="s">
        <v>53</v>
      </c>
      <c r="H3370" s="3" t="s">
        <v>407</v>
      </c>
      <c r="I3370" s="11">
        <v>133.6</v>
      </c>
      <c r="J3370" s="18">
        <v>5</v>
      </c>
      <c r="K3370" s="12">
        <v>42.048000000000002</v>
      </c>
    </row>
    <row r="3371" spans="1:11" x14ac:dyDescent="0.25">
      <c r="A3371" s="4">
        <v>43963</v>
      </c>
      <c r="B3371" s="19">
        <f t="shared" si="104"/>
        <v>2020</v>
      </c>
      <c r="C3371" s="19">
        <f t="shared" si="105"/>
        <v>5</v>
      </c>
      <c r="D3371" s="5" t="s">
        <v>2010</v>
      </c>
      <c r="E3371" s="5" t="s">
        <v>85</v>
      </c>
      <c r="F3371" s="5" t="s">
        <v>14</v>
      </c>
      <c r="G3371" s="5" t="s">
        <v>24</v>
      </c>
      <c r="H3371" s="5" t="s">
        <v>2278</v>
      </c>
      <c r="I3371" s="13">
        <v>137.4</v>
      </c>
      <c r="J3371" s="19">
        <v>5</v>
      </c>
      <c r="K3371" s="14">
        <v>34.96</v>
      </c>
    </row>
    <row r="3372" spans="1:11" x14ac:dyDescent="0.25">
      <c r="A3372" s="2">
        <v>43963</v>
      </c>
      <c r="B3372" s="18">
        <f t="shared" si="104"/>
        <v>2020</v>
      </c>
      <c r="C3372" s="18">
        <f t="shared" si="105"/>
        <v>5</v>
      </c>
      <c r="D3372" s="3" t="s">
        <v>289</v>
      </c>
      <c r="E3372" s="3" t="s">
        <v>23</v>
      </c>
      <c r="F3372" s="3" t="s">
        <v>19</v>
      </c>
      <c r="G3372" s="3" t="s">
        <v>20</v>
      </c>
      <c r="H3372" s="3" t="s">
        <v>684</v>
      </c>
      <c r="I3372" s="11">
        <v>173.92</v>
      </c>
      <c r="J3372" s="18">
        <v>5</v>
      </c>
      <c r="K3372" s="12">
        <v>-15.99</v>
      </c>
    </row>
    <row r="3373" spans="1:11" x14ac:dyDescent="0.25">
      <c r="A3373" s="4">
        <v>43963</v>
      </c>
      <c r="B3373" s="19">
        <f t="shared" si="104"/>
        <v>2020</v>
      </c>
      <c r="C3373" s="19">
        <f t="shared" si="105"/>
        <v>5</v>
      </c>
      <c r="D3373" s="5" t="s">
        <v>655</v>
      </c>
      <c r="E3373" s="5" t="s">
        <v>18</v>
      </c>
      <c r="F3373" s="5" t="s">
        <v>19</v>
      </c>
      <c r="G3373" s="5" t="s">
        <v>265</v>
      </c>
      <c r="H3373" s="5" t="s">
        <v>1105</v>
      </c>
      <c r="I3373" s="13">
        <v>266.62</v>
      </c>
      <c r="J3373" s="19">
        <v>2</v>
      </c>
      <c r="K3373" s="14">
        <v>4.7724000000000002</v>
      </c>
    </row>
    <row r="3374" spans="1:11" x14ac:dyDescent="0.25">
      <c r="A3374" s="2">
        <v>43963</v>
      </c>
      <c r="B3374" s="18">
        <f t="shared" si="104"/>
        <v>2020</v>
      </c>
      <c r="C3374" s="18">
        <f t="shared" si="105"/>
        <v>5</v>
      </c>
      <c r="D3374" s="3" t="s">
        <v>655</v>
      </c>
      <c r="E3374" s="3" t="s">
        <v>18</v>
      </c>
      <c r="F3374" s="3" t="s">
        <v>11</v>
      </c>
      <c r="G3374" s="3" t="s">
        <v>30</v>
      </c>
      <c r="H3374" s="3" t="s">
        <v>2093</v>
      </c>
      <c r="I3374" s="11">
        <v>306.48</v>
      </c>
      <c r="J3374" s="18">
        <v>5</v>
      </c>
      <c r="K3374" s="12">
        <v>-10.705500000000001</v>
      </c>
    </row>
    <row r="3375" spans="1:11" x14ac:dyDescent="0.25">
      <c r="A3375" s="4">
        <v>43963</v>
      </c>
      <c r="B3375" s="19">
        <f t="shared" si="104"/>
        <v>2020</v>
      </c>
      <c r="C3375" s="19">
        <f t="shared" si="105"/>
        <v>5</v>
      </c>
      <c r="D3375" s="5" t="s">
        <v>390</v>
      </c>
      <c r="E3375" s="5" t="s">
        <v>67</v>
      </c>
      <c r="F3375" s="5" t="s">
        <v>19</v>
      </c>
      <c r="G3375" s="5" t="s">
        <v>40</v>
      </c>
      <c r="H3375" s="5" t="s">
        <v>2092</v>
      </c>
      <c r="I3375" s="13">
        <v>96.272000000000006</v>
      </c>
      <c r="J3375" s="19">
        <v>3</v>
      </c>
      <c r="K3375" s="14">
        <v>1.1556</v>
      </c>
    </row>
    <row r="3376" spans="1:11" x14ac:dyDescent="0.25">
      <c r="A3376" s="2">
        <v>43963</v>
      </c>
      <c r="B3376" s="18">
        <f t="shared" si="104"/>
        <v>2020</v>
      </c>
      <c r="C3376" s="18">
        <f t="shared" si="105"/>
        <v>5</v>
      </c>
      <c r="D3376" s="3" t="s">
        <v>2010</v>
      </c>
      <c r="E3376" s="3" t="s">
        <v>85</v>
      </c>
      <c r="F3376" s="3" t="s">
        <v>19</v>
      </c>
      <c r="G3376" s="3" t="s">
        <v>127</v>
      </c>
      <c r="H3376" s="3" t="s">
        <v>1679</v>
      </c>
      <c r="I3376" s="11">
        <v>83.16</v>
      </c>
      <c r="J3376" s="18">
        <v>2</v>
      </c>
      <c r="K3376" s="12">
        <v>2.9567999999999999</v>
      </c>
    </row>
    <row r="3377" spans="1:11" x14ac:dyDescent="0.25">
      <c r="A3377" s="4">
        <v>43963</v>
      </c>
      <c r="B3377" s="19">
        <f t="shared" si="104"/>
        <v>2020</v>
      </c>
      <c r="C3377" s="19">
        <f t="shared" si="105"/>
        <v>5</v>
      </c>
      <c r="D3377" s="5" t="s">
        <v>655</v>
      </c>
      <c r="E3377" s="5" t="s">
        <v>18</v>
      </c>
      <c r="F3377" s="5" t="s">
        <v>19</v>
      </c>
      <c r="G3377" s="5" t="s">
        <v>121</v>
      </c>
      <c r="H3377" s="5" t="s">
        <v>2279</v>
      </c>
      <c r="I3377" s="13">
        <v>101.77</v>
      </c>
      <c r="J3377" s="19">
        <v>1</v>
      </c>
      <c r="K3377" s="14">
        <v>2.0979000000000001</v>
      </c>
    </row>
    <row r="3378" spans="1:11" x14ac:dyDescent="0.25">
      <c r="A3378" s="2">
        <v>43963</v>
      </c>
      <c r="B3378" s="18">
        <f t="shared" si="104"/>
        <v>2020</v>
      </c>
      <c r="C3378" s="18">
        <f t="shared" si="105"/>
        <v>5</v>
      </c>
      <c r="D3378" s="3" t="s">
        <v>1688</v>
      </c>
      <c r="E3378" s="3" t="s">
        <v>67</v>
      </c>
      <c r="F3378" s="3" t="s">
        <v>19</v>
      </c>
      <c r="G3378" s="3" t="s">
        <v>127</v>
      </c>
      <c r="H3378" s="3" t="s">
        <v>2280</v>
      </c>
      <c r="I3378" s="11">
        <v>90.903999999999996</v>
      </c>
      <c r="J3378" s="18">
        <v>2</v>
      </c>
      <c r="K3378" s="12">
        <v>1.9925999999999999</v>
      </c>
    </row>
    <row r="3379" spans="1:11" x14ac:dyDescent="0.25">
      <c r="A3379" s="4">
        <v>43963</v>
      </c>
      <c r="B3379" s="19">
        <f t="shared" si="104"/>
        <v>2020</v>
      </c>
      <c r="C3379" s="19">
        <f t="shared" si="105"/>
        <v>5</v>
      </c>
      <c r="D3379" s="5" t="s">
        <v>2010</v>
      </c>
      <c r="E3379" s="5" t="s">
        <v>85</v>
      </c>
      <c r="F3379" s="5" t="s">
        <v>19</v>
      </c>
      <c r="G3379" s="5" t="s">
        <v>265</v>
      </c>
      <c r="H3379" s="5" t="s">
        <v>2281</v>
      </c>
      <c r="I3379" s="13">
        <v>118</v>
      </c>
      <c r="J3379" s="19">
        <v>2</v>
      </c>
      <c r="K3379" s="14">
        <v>4.42</v>
      </c>
    </row>
    <row r="3380" spans="1:11" x14ac:dyDescent="0.25">
      <c r="A3380" s="2">
        <v>43963</v>
      </c>
      <c r="B3380" s="18">
        <f t="shared" si="104"/>
        <v>2020</v>
      </c>
      <c r="C3380" s="18">
        <f t="shared" si="105"/>
        <v>5</v>
      </c>
      <c r="D3380" s="3" t="s">
        <v>655</v>
      </c>
      <c r="E3380" s="3" t="s">
        <v>18</v>
      </c>
      <c r="F3380" s="3" t="s">
        <v>19</v>
      </c>
      <c r="G3380" s="3" t="s">
        <v>32</v>
      </c>
      <c r="H3380" s="3" t="s">
        <v>2282</v>
      </c>
      <c r="I3380" s="11">
        <v>119.16800000000001</v>
      </c>
      <c r="J3380" s="18">
        <v>4</v>
      </c>
      <c r="K3380" s="12">
        <v>6.4691999999999998</v>
      </c>
    </row>
    <row r="3381" spans="1:11" x14ac:dyDescent="0.25">
      <c r="A3381" s="4">
        <v>43963</v>
      </c>
      <c r="B3381" s="19">
        <f t="shared" si="104"/>
        <v>2020</v>
      </c>
      <c r="C3381" s="19">
        <f t="shared" si="105"/>
        <v>5</v>
      </c>
      <c r="D3381" s="5" t="s">
        <v>2010</v>
      </c>
      <c r="E3381" s="5" t="s">
        <v>85</v>
      </c>
      <c r="F3381" s="5" t="s">
        <v>11</v>
      </c>
      <c r="G3381" s="5" t="s">
        <v>51</v>
      </c>
      <c r="H3381" s="5" t="s">
        <v>136</v>
      </c>
      <c r="I3381" s="13">
        <v>131.85</v>
      </c>
      <c r="J3381" s="19">
        <v>5</v>
      </c>
      <c r="K3381" s="14">
        <v>15.426</v>
      </c>
    </row>
    <row r="3382" spans="1:11" x14ac:dyDescent="0.25">
      <c r="A3382" s="2">
        <v>43963</v>
      </c>
      <c r="B3382" s="18">
        <f t="shared" si="104"/>
        <v>2020</v>
      </c>
      <c r="C3382" s="18">
        <f t="shared" si="105"/>
        <v>5</v>
      </c>
      <c r="D3382" s="3" t="s">
        <v>289</v>
      </c>
      <c r="E3382" s="3" t="s">
        <v>23</v>
      </c>
      <c r="F3382" s="3" t="s">
        <v>19</v>
      </c>
      <c r="G3382" s="3" t="s">
        <v>32</v>
      </c>
      <c r="H3382" s="3" t="s">
        <v>1896</v>
      </c>
      <c r="I3382" s="11">
        <v>131.24</v>
      </c>
      <c r="J3382" s="18">
        <v>4</v>
      </c>
      <c r="K3382" s="12">
        <v>-53.072000000000003</v>
      </c>
    </row>
    <row r="3383" spans="1:11" x14ac:dyDescent="0.25">
      <c r="A3383" s="4">
        <v>43964</v>
      </c>
      <c r="B3383" s="19">
        <f t="shared" si="104"/>
        <v>2020</v>
      </c>
      <c r="C3383" s="19">
        <f t="shared" si="105"/>
        <v>5</v>
      </c>
      <c r="D3383" s="5" t="s">
        <v>1659</v>
      </c>
      <c r="E3383" s="5" t="s">
        <v>317</v>
      </c>
      <c r="F3383" s="5" t="s">
        <v>19</v>
      </c>
      <c r="G3383" s="5" t="s">
        <v>86</v>
      </c>
      <c r="H3383" s="5" t="s">
        <v>1998</v>
      </c>
      <c r="I3383" s="13">
        <v>218.96</v>
      </c>
      <c r="J3383" s="19">
        <v>2</v>
      </c>
      <c r="K3383" s="14">
        <v>81.432000000000002</v>
      </c>
    </row>
    <row r="3384" spans="1:11" x14ac:dyDescent="0.25">
      <c r="A3384" s="2">
        <v>43964</v>
      </c>
      <c r="B3384" s="18">
        <f t="shared" si="104"/>
        <v>2020</v>
      </c>
      <c r="C3384" s="18">
        <f t="shared" si="105"/>
        <v>5</v>
      </c>
      <c r="D3384" s="3" t="s">
        <v>1793</v>
      </c>
      <c r="E3384" s="3" t="s">
        <v>309</v>
      </c>
      <c r="F3384" s="3" t="s">
        <v>19</v>
      </c>
      <c r="G3384" s="3" t="s">
        <v>32</v>
      </c>
      <c r="H3384" s="3" t="s">
        <v>1059</v>
      </c>
      <c r="I3384" s="11">
        <v>323.52</v>
      </c>
      <c r="J3384" s="18">
        <v>9</v>
      </c>
      <c r="K3384" s="12">
        <v>149.76</v>
      </c>
    </row>
    <row r="3385" spans="1:11" x14ac:dyDescent="0.25">
      <c r="A3385" s="4">
        <v>43964</v>
      </c>
      <c r="B3385" s="19">
        <f t="shared" si="104"/>
        <v>2020</v>
      </c>
      <c r="C3385" s="19">
        <f t="shared" si="105"/>
        <v>5</v>
      </c>
      <c r="D3385" s="5" t="s">
        <v>1404</v>
      </c>
      <c r="E3385" s="5" t="s">
        <v>39</v>
      </c>
      <c r="F3385" s="5" t="s">
        <v>11</v>
      </c>
      <c r="G3385" s="5" t="s">
        <v>112</v>
      </c>
      <c r="H3385" s="5" t="s">
        <v>2283</v>
      </c>
      <c r="I3385" s="13">
        <v>504.43</v>
      </c>
      <c r="J3385" s="19">
        <v>5</v>
      </c>
      <c r="K3385" s="14">
        <v>-124.431</v>
      </c>
    </row>
    <row r="3386" spans="1:11" x14ac:dyDescent="0.25">
      <c r="A3386" s="2">
        <v>43964</v>
      </c>
      <c r="B3386" s="18">
        <f t="shared" si="104"/>
        <v>2020</v>
      </c>
      <c r="C3386" s="18">
        <f t="shared" si="105"/>
        <v>5</v>
      </c>
      <c r="D3386" s="3" t="s">
        <v>1659</v>
      </c>
      <c r="E3386" s="3" t="s">
        <v>317</v>
      </c>
      <c r="F3386" s="3" t="s">
        <v>19</v>
      </c>
      <c r="G3386" s="3" t="s">
        <v>20</v>
      </c>
      <c r="H3386" s="3" t="s">
        <v>1232</v>
      </c>
      <c r="I3386" s="11">
        <v>549.34</v>
      </c>
      <c r="J3386" s="18">
        <v>2</v>
      </c>
      <c r="K3386" s="12">
        <v>95.461200000000005</v>
      </c>
    </row>
    <row r="3387" spans="1:11" x14ac:dyDescent="0.25">
      <c r="A3387" s="4">
        <v>43964</v>
      </c>
      <c r="B3387" s="19">
        <f t="shared" si="104"/>
        <v>2020</v>
      </c>
      <c r="C3387" s="19">
        <f t="shared" si="105"/>
        <v>5</v>
      </c>
      <c r="D3387" s="5" t="s">
        <v>1659</v>
      </c>
      <c r="E3387" s="5" t="s">
        <v>317</v>
      </c>
      <c r="F3387" s="5" t="s">
        <v>14</v>
      </c>
      <c r="G3387" s="5" t="s">
        <v>15</v>
      </c>
      <c r="H3387" s="5" t="s">
        <v>1982</v>
      </c>
      <c r="I3387" s="13">
        <v>611.97</v>
      </c>
      <c r="J3387" s="19">
        <v>3</v>
      </c>
      <c r="K3387" s="14">
        <v>158.75190000000001</v>
      </c>
    </row>
    <row r="3388" spans="1:11" x14ac:dyDescent="0.25">
      <c r="A3388" s="2">
        <v>43964</v>
      </c>
      <c r="B3388" s="18">
        <f t="shared" si="104"/>
        <v>2020</v>
      </c>
      <c r="C3388" s="18">
        <f t="shared" si="105"/>
        <v>5</v>
      </c>
      <c r="D3388" s="3" t="s">
        <v>1659</v>
      </c>
      <c r="E3388" s="3" t="s">
        <v>317</v>
      </c>
      <c r="F3388" s="3" t="s">
        <v>19</v>
      </c>
      <c r="G3388" s="3" t="s">
        <v>32</v>
      </c>
      <c r="H3388" s="3" t="s">
        <v>1920</v>
      </c>
      <c r="I3388" s="11">
        <v>935.97</v>
      </c>
      <c r="J3388" s="18">
        <v>3</v>
      </c>
      <c r="K3388" s="12">
        <v>411.73649999999998</v>
      </c>
    </row>
    <row r="3389" spans="1:11" x14ac:dyDescent="0.25">
      <c r="A3389" s="4">
        <v>43964</v>
      </c>
      <c r="B3389" s="19">
        <f t="shared" si="104"/>
        <v>2020</v>
      </c>
      <c r="C3389" s="19">
        <f t="shared" si="105"/>
        <v>5</v>
      </c>
      <c r="D3389" s="5" t="s">
        <v>1659</v>
      </c>
      <c r="E3389" s="5" t="s">
        <v>317</v>
      </c>
      <c r="F3389" s="5" t="s">
        <v>19</v>
      </c>
      <c r="G3389" s="5" t="s">
        <v>53</v>
      </c>
      <c r="H3389" s="5" t="s">
        <v>2284</v>
      </c>
      <c r="I3389" s="13">
        <v>88.94</v>
      </c>
      <c r="J3389" s="19">
        <v>3</v>
      </c>
      <c r="K3389" s="14">
        <v>7.3205999999999998</v>
      </c>
    </row>
    <row r="3390" spans="1:11" x14ac:dyDescent="0.25">
      <c r="A3390" s="2">
        <v>43964</v>
      </c>
      <c r="B3390" s="18">
        <f t="shared" si="104"/>
        <v>2020</v>
      </c>
      <c r="C3390" s="18">
        <f t="shared" si="105"/>
        <v>5</v>
      </c>
      <c r="D3390" s="3" t="s">
        <v>1604</v>
      </c>
      <c r="E3390" s="3" t="s">
        <v>219</v>
      </c>
      <c r="F3390" s="3" t="s">
        <v>19</v>
      </c>
      <c r="G3390" s="3" t="s">
        <v>121</v>
      </c>
      <c r="H3390" s="3" t="s">
        <v>1522</v>
      </c>
      <c r="I3390" s="11">
        <v>104.768</v>
      </c>
      <c r="J3390" s="18">
        <v>2</v>
      </c>
      <c r="K3390" s="12">
        <v>2.3363999999999998</v>
      </c>
    </row>
    <row r="3391" spans="1:11" x14ac:dyDescent="0.25">
      <c r="A3391" s="4">
        <v>43964</v>
      </c>
      <c r="B3391" s="19">
        <f t="shared" si="104"/>
        <v>2020</v>
      </c>
      <c r="C3391" s="19">
        <f t="shared" si="105"/>
        <v>5</v>
      </c>
      <c r="D3391" s="5" t="s">
        <v>628</v>
      </c>
      <c r="E3391" s="5" t="s">
        <v>18</v>
      </c>
      <c r="F3391" s="5" t="s">
        <v>19</v>
      </c>
      <c r="G3391" s="5" t="s">
        <v>127</v>
      </c>
      <c r="H3391" s="5" t="s">
        <v>1029</v>
      </c>
      <c r="I3391" s="13">
        <v>142.47999999999999</v>
      </c>
      <c r="J3391" s="19">
        <v>8</v>
      </c>
      <c r="K3391" s="14">
        <v>27.485600000000002</v>
      </c>
    </row>
    <row r="3392" spans="1:11" x14ac:dyDescent="0.25">
      <c r="A3392" s="2">
        <v>43965</v>
      </c>
      <c r="B3392" s="18">
        <f t="shared" si="104"/>
        <v>2020</v>
      </c>
      <c r="C3392" s="18">
        <f t="shared" si="105"/>
        <v>5</v>
      </c>
      <c r="D3392" s="3" t="s">
        <v>261</v>
      </c>
      <c r="E3392" s="3" t="s">
        <v>23</v>
      </c>
      <c r="F3392" s="3" t="s">
        <v>19</v>
      </c>
      <c r="G3392" s="3" t="s">
        <v>53</v>
      </c>
      <c r="H3392" s="3" t="s">
        <v>1083</v>
      </c>
      <c r="I3392" s="11">
        <v>100.864</v>
      </c>
      <c r="J3392" s="18">
        <v>2</v>
      </c>
      <c r="K3392" s="12">
        <v>26.9024</v>
      </c>
    </row>
    <row r="3393" spans="1:11" x14ac:dyDescent="0.25">
      <c r="A3393" s="4">
        <v>43965</v>
      </c>
      <c r="B3393" s="19">
        <f t="shared" si="104"/>
        <v>2020</v>
      </c>
      <c r="C3393" s="19">
        <f t="shared" si="105"/>
        <v>5</v>
      </c>
      <c r="D3393" s="5" t="s">
        <v>1940</v>
      </c>
      <c r="E3393" s="5" t="s">
        <v>10</v>
      </c>
      <c r="F3393" s="5" t="s">
        <v>14</v>
      </c>
      <c r="G3393" s="5" t="s">
        <v>24</v>
      </c>
      <c r="H3393" s="5" t="s">
        <v>1844</v>
      </c>
      <c r="I3393" s="13">
        <v>111.97</v>
      </c>
      <c r="J3393" s="19">
        <v>3</v>
      </c>
      <c r="K3393" s="14">
        <v>18.893699999999999</v>
      </c>
    </row>
    <row r="3394" spans="1:11" x14ac:dyDescent="0.25">
      <c r="A3394" s="2">
        <v>43965</v>
      </c>
      <c r="B3394" s="18">
        <f t="shared" ref="B3394:B3457" si="106">YEAR(A3394)</f>
        <v>2020</v>
      </c>
      <c r="C3394" s="18">
        <f t="shared" ref="C3394:C3457" si="107">MONTH(A3394)</f>
        <v>5</v>
      </c>
      <c r="D3394" s="3" t="s">
        <v>1940</v>
      </c>
      <c r="E3394" s="3" t="s">
        <v>10</v>
      </c>
      <c r="F3394" s="3" t="s">
        <v>11</v>
      </c>
      <c r="G3394" s="3" t="s">
        <v>112</v>
      </c>
      <c r="H3394" s="3" t="s">
        <v>752</v>
      </c>
      <c r="I3394" s="11">
        <v>298.95999999999998</v>
      </c>
      <c r="J3394" s="18">
        <v>2</v>
      </c>
      <c r="K3394" s="12">
        <v>23.5764</v>
      </c>
    </row>
    <row r="3395" spans="1:11" x14ac:dyDescent="0.25">
      <c r="A3395" s="4">
        <v>43965</v>
      </c>
      <c r="B3395" s="19">
        <f t="shared" si="106"/>
        <v>2020</v>
      </c>
      <c r="C3395" s="19">
        <f t="shared" si="107"/>
        <v>5</v>
      </c>
      <c r="D3395" s="5" t="s">
        <v>69</v>
      </c>
      <c r="E3395" s="5" t="s">
        <v>70</v>
      </c>
      <c r="F3395" s="5" t="s">
        <v>19</v>
      </c>
      <c r="G3395" s="5" t="s">
        <v>53</v>
      </c>
      <c r="H3395" s="5" t="s">
        <v>2285</v>
      </c>
      <c r="I3395" s="13">
        <v>485.19</v>
      </c>
      <c r="J3395" s="19">
        <v>9</v>
      </c>
      <c r="K3395" s="14">
        <v>206.88929999999999</v>
      </c>
    </row>
    <row r="3396" spans="1:11" x14ac:dyDescent="0.25">
      <c r="A3396" s="2">
        <v>43965</v>
      </c>
      <c r="B3396" s="18">
        <f t="shared" si="106"/>
        <v>2020</v>
      </c>
      <c r="C3396" s="18">
        <f t="shared" si="107"/>
        <v>5</v>
      </c>
      <c r="D3396" s="3" t="s">
        <v>777</v>
      </c>
      <c r="E3396" s="3" t="s">
        <v>94</v>
      </c>
      <c r="F3396" s="3" t="s">
        <v>14</v>
      </c>
      <c r="G3396" s="3" t="s">
        <v>15</v>
      </c>
      <c r="H3396" s="3" t="s">
        <v>1981</v>
      </c>
      <c r="I3396" s="11">
        <v>564.97</v>
      </c>
      <c r="J3396" s="18">
        <v>3</v>
      </c>
      <c r="K3396" s="12">
        <v>134.99250000000001</v>
      </c>
    </row>
    <row r="3397" spans="1:11" x14ac:dyDescent="0.25">
      <c r="A3397" s="4">
        <v>43965</v>
      </c>
      <c r="B3397" s="19">
        <f t="shared" si="106"/>
        <v>2020</v>
      </c>
      <c r="C3397" s="19">
        <f t="shared" si="107"/>
        <v>5</v>
      </c>
      <c r="D3397" s="5" t="s">
        <v>261</v>
      </c>
      <c r="E3397" s="5" t="s">
        <v>23</v>
      </c>
      <c r="F3397" s="5" t="s">
        <v>11</v>
      </c>
      <c r="G3397" s="5" t="s">
        <v>112</v>
      </c>
      <c r="H3397" s="5" t="s">
        <v>1137</v>
      </c>
      <c r="I3397" s="13">
        <v>911.43</v>
      </c>
      <c r="J3397" s="19">
        <v>5</v>
      </c>
      <c r="K3397" s="14">
        <v>-12.849</v>
      </c>
    </row>
    <row r="3398" spans="1:11" x14ac:dyDescent="0.25">
      <c r="A3398" s="2">
        <v>43965</v>
      </c>
      <c r="B3398" s="18">
        <f t="shared" si="106"/>
        <v>2020</v>
      </c>
      <c r="C3398" s="18">
        <f t="shared" si="107"/>
        <v>5</v>
      </c>
      <c r="D3398" s="3" t="s">
        <v>1256</v>
      </c>
      <c r="E3398" s="3" t="s">
        <v>18</v>
      </c>
      <c r="F3398" s="3" t="s">
        <v>14</v>
      </c>
      <c r="G3398" s="3" t="s">
        <v>24</v>
      </c>
      <c r="H3398" s="3" t="s">
        <v>1751</v>
      </c>
      <c r="I3398" s="11">
        <v>1433.93</v>
      </c>
      <c r="J3398" s="18">
        <v>7</v>
      </c>
      <c r="K3398" s="12">
        <v>601.96990000000005</v>
      </c>
    </row>
    <row r="3399" spans="1:11" x14ac:dyDescent="0.25">
      <c r="A3399" s="4">
        <v>43965</v>
      </c>
      <c r="B3399" s="19">
        <f t="shared" si="106"/>
        <v>2020</v>
      </c>
      <c r="C3399" s="19">
        <f t="shared" si="107"/>
        <v>5</v>
      </c>
      <c r="D3399" s="5" t="s">
        <v>1940</v>
      </c>
      <c r="E3399" s="5" t="s">
        <v>10</v>
      </c>
      <c r="F3399" s="5" t="s">
        <v>19</v>
      </c>
      <c r="G3399" s="5" t="s">
        <v>40</v>
      </c>
      <c r="H3399" s="5" t="s">
        <v>916</v>
      </c>
      <c r="I3399" s="13">
        <v>83.76</v>
      </c>
      <c r="J3399" s="19">
        <v>2</v>
      </c>
      <c r="K3399" s="14">
        <v>1.0904</v>
      </c>
    </row>
    <row r="3400" spans="1:11" x14ac:dyDescent="0.25">
      <c r="A3400" s="2">
        <v>43965</v>
      </c>
      <c r="B3400" s="18">
        <f t="shared" si="106"/>
        <v>2020</v>
      </c>
      <c r="C3400" s="18">
        <f t="shared" si="107"/>
        <v>5</v>
      </c>
      <c r="D3400" s="3" t="s">
        <v>848</v>
      </c>
      <c r="E3400" s="3" t="s">
        <v>67</v>
      </c>
      <c r="F3400" s="3" t="s">
        <v>19</v>
      </c>
      <c r="G3400" s="3" t="s">
        <v>127</v>
      </c>
      <c r="H3400" s="3" t="s">
        <v>750</v>
      </c>
      <c r="I3400" s="11">
        <v>106.04</v>
      </c>
      <c r="J3400" s="18">
        <v>2</v>
      </c>
      <c r="K3400" s="12">
        <v>1.764</v>
      </c>
    </row>
    <row r="3401" spans="1:11" x14ac:dyDescent="0.25">
      <c r="A3401" s="4">
        <v>43965</v>
      </c>
      <c r="B3401" s="19">
        <f t="shared" si="106"/>
        <v>2020</v>
      </c>
      <c r="C3401" s="19">
        <f t="shared" si="107"/>
        <v>5</v>
      </c>
      <c r="D3401" s="5" t="s">
        <v>1940</v>
      </c>
      <c r="E3401" s="5" t="s">
        <v>10</v>
      </c>
      <c r="F3401" s="5" t="s">
        <v>19</v>
      </c>
      <c r="G3401" s="5" t="s">
        <v>40</v>
      </c>
      <c r="H3401" s="5" t="s">
        <v>1119</v>
      </c>
      <c r="I3401" s="13">
        <v>112.7</v>
      </c>
      <c r="J3401" s="19">
        <v>5</v>
      </c>
      <c r="K3401" s="14">
        <v>6.6150000000000002</v>
      </c>
    </row>
    <row r="3402" spans="1:11" x14ac:dyDescent="0.25">
      <c r="A3402" s="2">
        <v>43965</v>
      </c>
      <c r="B3402" s="18">
        <f t="shared" si="106"/>
        <v>2020</v>
      </c>
      <c r="C3402" s="18">
        <f t="shared" si="107"/>
        <v>5</v>
      </c>
      <c r="D3402" s="3" t="s">
        <v>1256</v>
      </c>
      <c r="E3402" s="3" t="s">
        <v>18</v>
      </c>
      <c r="F3402" s="3" t="s">
        <v>11</v>
      </c>
      <c r="G3402" s="3" t="s">
        <v>51</v>
      </c>
      <c r="H3402" s="3" t="s">
        <v>1272</v>
      </c>
      <c r="I3402" s="11">
        <v>98.28</v>
      </c>
      <c r="J3402" s="18">
        <v>2</v>
      </c>
      <c r="K3402" s="12">
        <v>6.2152000000000003</v>
      </c>
    </row>
    <row r="3403" spans="1:11" x14ac:dyDescent="0.25">
      <c r="A3403" s="4">
        <v>43965</v>
      </c>
      <c r="B3403" s="19">
        <f t="shared" si="106"/>
        <v>2020</v>
      </c>
      <c r="C3403" s="19">
        <f t="shared" si="107"/>
        <v>5</v>
      </c>
      <c r="D3403" s="5" t="s">
        <v>261</v>
      </c>
      <c r="E3403" s="5" t="s">
        <v>23</v>
      </c>
      <c r="F3403" s="5" t="s">
        <v>14</v>
      </c>
      <c r="G3403" s="5" t="s">
        <v>15</v>
      </c>
      <c r="H3403" s="5" t="s">
        <v>1612</v>
      </c>
      <c r="I3403" s="13">
        <v>128.99199999999999</v>
      </c>
      <c r="J3403" s="19">
        <v>1</v>
      </c>
      <c r="K3403" s="14">
        <v>0.69930000000000003</v>
      </c>
    </row>
    <row r="3404" spans="1:11" x14ac:dyDescent="0.25">
      <c r="A3404" s="2">
        <v>43965</v>
      </c>
      <c r="B3404" s="18">
        <f t="shared" si="106"/>
        <v>2020</v>
      </c>
      <c r="C3404" s="18">
        <f t="shared" si="107"/>
        <v>5</v>
      </c>
      <c r="D3404" s="3" t="s">
        <v>777</v>
      </c>
      <c r="E3404" s="3" t="s">
        <v>94</v>
      </c>
      <c r="F3404" s="3" t="s">
        <v>19</v>
      </c>
      <c r="G3404" s="3" t="s">
        <v>20</v>
      </c>
      <c r="H3404" s="3" t="s">
        <v>182</v>
      </c>
      <c r="I3404" s="11">
        <v>143.58000000000001</v>
      </c>
      <c r="J3404" s="18">
        <v>2</v>
      </c>
      <c r="K3404" s="12">
        <v>5.8708</v>
      </c>
    </row>
    <row r="3405" spans="1:11" x14ac:dyDescent="0.25">
      <c r="A3405" s="4">
        <v>43965</v>
      </c>
      <c r="B3405" s="19">
        <f t="shared" si="106"/>
        <v>2020</v>
      </c>
      <c r="C3405" s="19">
        <f t="shared" si="107"/>
        <v>5</v>
      </c>
      <c r="D3405" s="5" t="s">
        <v>261</v>
      </c>
      <c r="E3405" s="5" t="s">
        <v>23</v>
      </c>
      <c r="F3405" s="5" t="s">
        <v>19</v>
      </c>
      <c r="G3405" s="5" t="s">
        <v>53</v>
      </c>
      <c r="H3405" s="5" t="s">
        <v>2286</v>
      </c>
      <c r="I3405" s="13">
        <v>152.952</v>
      </c>
      <c r="J3405" s="19">
        <v>3</v>
      </c>
      <c r="K3405" s="14">
        <v>16.183800000000002</v>
      </c>
    </row>
    <row r="3406" spans="1:11" x14ac:dyDescent="0.25">
      <c r="A3406" s="2">
        <v>43965</v>
      </c>
      <c r="B3406" s="18">
        <f t="shared" si="106"/>
        <v>2020</v>
      </c>
      <c r="C3406" s="18">
        <f t="shared" si="107"/>
        <v>5</v>
      </c>
      <c r="D3406" s="3" t="s">
        <v>848</v>
      </c>
      <c r="E3406" s="3" t="s">
        <v>67</v>
      </c>
      <c r="F3406" s="3" t="s">
        <v>19</v>
      </c>
      <c r="G3406" s="3" t="s">
        <v>53</v>
      </c>
      <c r="H3406" s="3" t="s">
        <v>1062</v>
      </c>
      <c r="I3406" s="11">
        <v>149.78399999999999</v>
      </c>
      <c r="J3406" s="18">
        <v>1</v>
      </c>
      <c r="K3406" s="12">
        <v>7.7450000000000001</v>
      </c>
    </row>
    <row r="3407" spans="1:11" x14ac:dyDescent="0.25">
      <c r="A3407" s="4">
        <v>43965</v>
      </c>
      <c r="B3407" s="19">
        <f t="shared" si="106"/>
        <v>2020</v>
      </c>
      <c r="C3407" s="19">
        <f t="shared" si="107"/>
        <v>5</v>
      </c>
      <c r="D3407" s="5" t="s">
        <v>1949</v>
      </c>
      <c r="E3407" s="5" t="s">
        <v>143</v>
      </c>
      <c r="F3407" s="5" t="s">
        <v>19</v>
      </c>
      <c r="G3407" s="5" t="s">
        <v>86</v>
      </c>
      <c r="H3407" s="5" t="s">
        <v>2287</v>
      </c>
      <c r="I3407" s="13">
        <v>130.69</v>
      </c>
      <c r="J3407" s="19">
        <v>9</v>
      </c>
      <c r="K3407" s="14">
        <v>23.8581</v>
      </c>
    </row>
    <row r="3408" spans="1:11" x14ac:dyDescent="0.25">
      <c r="A3408" s="2">
        <v>43965</v>
      </c>
      <c r="B3408" s="18">
        <f t="shared" si="106"/>
        <v>2020</v>
      </c>
      <c r="C3408" s="18">
        <f t="shared" si="107"/>
        <v>5</v>
      </c>
      <c r="D3408" s="3" t="s">
        <v>1940</v>
      </c>
      <c r="E3408" s="3" t="s">
        <v>10</v>
      </c>
      <c r="F3408" s="3" t="s">
        <v>19</v>
      </c>
      <c r="G3408" s="3" t="s">
        <v>40</v>
      </c>
      <c r="H3408" s="3" t="s">
        <v>1224</v>
      </c>
      <c r="I3408" s="11">
        <v>135.19999999999999</v>
      </c>
      <c r="J3408" s="18">
        <v>5</v>
      </c>
      <c r="K3408" s="12">
        <v>9.3000000000000007</v>
      </c>
    </row>
    <row r="3409" spans="1:11" x14ac:dyDescent="0.25">
      <c r="A3409" s="4">
        <v>43965</v>
      </c>
      <c r="B3409" s="19">
        <f t="shared" si="106"/>
        <v>2020</v>
      </c>
      <c r="C3409" s="19">
        <f t="shared" si="107"/>
        <v>5</v>
      </c>
      <c r="D3409" s="5" t="s">
        <v>848</v>
      </c>
      <c r="E3409" s="5" t="s">
        <v>67</v>
      </c>
      <c r="F3409" s="5" t="s">
        <v>19</v>
      </c>
      <c r="G3409" s="5" t="s">
        <v>32</v>
      </c>
      <c r="H3409" s="5" t="s">
        <v>1098</v>
      </c>
      <c r="I3409" s="13">
        <v>132.16999999999999</v>
      </c>
      <c r="J3409" s="19">
        <v>5</v>
      </c>
      <c r="K3409" s="14">
        <v>-46.536000000000001</v>
      </c>
    </row>
    <row r="3410" spans="1:11" x14ac:dyDescent="0.25">
      <c r="A3410" s="2">
        <v>43965</v>
      </c>
      <c r="B3410" s="18">
        <f t="shared" si="106"/>
        <v>2020</v>
      </c>
      <c r="C3410" s="18">
        <f t="shared" si="107"/>
        <v>5</v>
      </c>
      <c r="D3410" s="3" t="s">
        <v>261</v>
      </c>
      <c r="E3410" s="3" t="s">
        <v>23</v>
      </c>
      <c r="F3410" s="3" t="s">
        <v>19</v>
      </c>
      <c r="G3410" s="3" t="s">
        <v>40</v>
      </c>
      <c r="H3410" s="3" t="s">
        <v>1708</v>
      </c>
      <c r="I3410" s="11">
        <v>133.19999999999999</v>
      </c>
      <c r="J3410" s="18">
        <v>5</v>
      </c>
      <c r="K3410" s="12">
        <v>5.7750000000000004</v>
      </c>
    </row>
    <row r="3411" spans="1:11" x14ac:dyDescent="0.25">
      <c r="A3411" s="4">
        <v>43965</v>
      </c>
      <c r="B3411" s="19">
        <f t="shared" si="106"/>
        <v>2020</v>
      </c>
      <c r="C3411" s="19">
        <f t="shared" si="107"/>
        <v>5</v>
      </c>
      <c r="D3411" s="5" t="s">
        <v>69</v>
      </c>
      <c r="E3411" s="5" t="s">
        <v>70</v>
      </c>
      <c r="F3411" s="5" t="s">
        <v>19</v>
      </c>
      <c r="G3411" s="5" t="s">
        <v>265</v>
      </c>
      <c r="H3411" s="5" t="s">
        <v>1434</v>
      </c>
      <c r="I3411" s="13">
        <v>151.4</v>
      </c>
      <c r="J3411" s="19">
        <v>5</v>
      </c>
      <c r="K3411" s="14">
        <v>1.9319999999999999</v>
      </c>
    </row>
    <row r="3412" spans="1:11" x14ac:dyDescent="0.25">
      <c r="A3412" s="2">
        <v>43965</v>
      </c>
      <c r="B3412" s="18">
        <f t="shared" si="106"/>
        <v>2020</v>
      </c>
      <c r="C3412" s="18">
        <f t="shared" si="107"/>
        <v>5</v>
      </c>
      <c r="D3412" s="3" t="s">
        <v>1940</v>
      </c>
      <c r="E3412" s="3" t="s">
        <v>10</v>
      </c>
      <c r="F3412" s="3" t="s">
        <v>19</v>
      </c>
      <c r="G3412" s="3" t="s">
        <v>127</v>
      </c>
      <c r="H3412" s="3" t="s">
        <v>2267</v>
      </c>
      <c r="I3412" s="11">
        <v>171</v>
      </c>
      <c r="J3412" s="18">
        <v>5</v>
      </c>
      <c r="K3412" s="12">
        <v>37</v>
      </c>
    </row>
    <row r="3413" spans="1:11" x14ac:dyDescent="0.25">
      <c r="A3413" s="4">
        <v>43966</v>
      </c>
      <c r="B3413" s="19">
        <f t="shared" si="106"/>
        <v>2020</v>
      </c>
      <c r="C3413" s="19">
        <f t="shared" si="107"/>
        <v>5</v>
      </c>
      <c r="D3413" s="5" t="s">
        <v>614</v>
      </c>
      <c r="E3413" s="5" t="s">
        <v>70</v>
      </c>
      <c r="F3413" s="5" t="s">
        <v>11</v>
      </c>
      <c r="G3413" s="5" t="s">
        <v>112</v>
      </c>
      <c r="H3413" s="5" t="s">
        <v>417</v>
      </c>
      <c r="I3413" s="13">
        <v>265.95999999999998</v>
      </c>
      <c r="J3413" s="19">
        <v>1</v>
      </c>
      <c r="K3413" s="14">
        <v>24.858000000000001</v>
      </c>
    </row>
    <row r="3414" spans="1:11" x14ac:dyDescent="0.25">
      <c r="A3414" s="2">
        <v>43966</v>
      </c>
      <c r="B3414" s="18">
        <f t="shared" si="106"/>
        <v>2020</v>
      </c>
      <c r="C3414" s="18">
        <f t="shared" si="107"/>
        <v>5</v>
      </c>
      <c r="D3414" s="3" t="s">
        <v>1458</v>
      </c>
      <c r="E3414" s="3" t="s">
        <v>198</v>
      </c>
      <c r="F3414" s="3" t="s">
        <v>19</v>
      </c>
      <c r="G3414" s="3" t="s">
        <v>53</v>
      </c>
      <c r="H3414" s="3" t="s">
        <v>2288</v>
      </c>
      <c r="I3414" s="11">
        <v>108.55200000000001</v>
      </c>
      <c r="J3414" s="18">
        <v>3</v>
      </c>
      <c r="K3414" s="12">
        <v>5.6375999999999999</v>
      </c>
    </row>
    <row r="3415" spans="1:11" x14ac:dyDescent="0.25">
      <c r="A3415" s="4">
        <v>43966</v>
      </c>
      <c r="B3415" s="19">
        <f t="shared" si="106"/>
        <v>2020</v>
      </c>
      <c r="C3415" s="19">
        <f t="shared" si="107"/>
        <v>5</v>
      </c>
      <c r="D3415" s="5" t="s">
        <v>2289</v>
      </c>
      <c r="E3415" s="5" t="s">
        <v>164</v>
      </c>
      <c r="F3415" s="5" t="s">
        <v>14</v>
      </c>
      <c r="G3415" s="5" t="s">
        <v>15</v>
      </c>
      <c r="H3415" s="5" t="s">
        <v>2290</v>
      </c>
      <c r="I3415" s="13">
        <v>86.12</v>
      </c>
      <c r="J3415" s="19">
        <v>2</v>
      </c>
      <c r="K3415" s="14">
        <v>3.4750000000000001</v>
      </c>
    </row>
    <row r="3416" spans="1:11" x14ac:dyDescent="0.25">
      <c r="A3416" s="2">
        <v>43966</v>
      </c>
      <c r="B3416" s="18">
        <f t="shared" si="106"/>
        <v>2020</v>
      </c>
      <c r="C3416" s="18">
        <f t="shared" si="107"/>
        <v>5</v>
      </c>
      <c r="D3416" s="3" t="s">
        <v>1458</v>
      </c>
      <c r="E3416" s="3" t="s">
        <v>198</v>
      </c>
      <c r="F3416" s="3" t="s">
        <v>19</v>
      </c>
      <c r="G3416" s="3" t="s">
        <v>32</v>
      </c>
      <c r="H3416" s="3" t="s">
        <v>476</v>
      </c>
      <c r="I3416" s="11">
        <v>114.752</v>
      </c>
      <c r="J3416" s="18">
        <v>2</v>
      </c>
      <c r="K3416" s="12">
        <v>-3.1680000000000001</v>
      </c>
    </row>
    <row r="3417" spans="1:11" x14ac:dyDescent="0.25">
      <c r="A3417" s="4">
        <v>43966</v>
      </c>
      <c r="B3417" s="19">
        <f t="shared" si="106"/>
        <v>2020</v>
      </c>
      <c r="C3417" s="19">
        <f t="shared" si="107"/>
        <v>5</v>
      </c>
      <c r="D3417" s="5" t="s">
        <v>1458</v>
      </c>
      <c r="E3417" s="5" t="s">
        <v>198</v>
      </c>
      <c r="F3417" s="5" t="s">
        <v>14</v>
      </c>
      <c r="G3417" s="5" t="s">
        <v>15</v>
      </c>
      <c r="H3417" s="5" t="s">
        <v>47</v>
      </c>
      <c r="I3417" s="13">
        <v>117.592</v>
      </c>
      <c r="J3417" s="19">
        <v>1</v>
      </c>
      <c r="K3417" s="14">
        <v>2.5893000000000002</v>
      </c>
    </row>
    <row r="3418" spans="1:11" x14ac:dyDescent="0.25">
      <c r="A3418" s="2">
        <v>43966</v>
      </c>
      <c r="B3418" s="18">
        <f t="shared" si="106"/>
        <v>2020</v>
      </c>
      <c r="C3418" s="18">
        <f t="shared" si="107"/>
        <v>5</v>
      </c>
      <c r="D3418" s="3" t="s">
        <v>614</v>
      </c>
      <c r="E3418" s="3" t="s">
        <v>70</v>
      </c>
      <c r="F3418" s="3" t="s">
        <v>11</v>
      </c>
      <c r="G3418" s="3" t="s">
        <v>51</v>
      </c>
      <c r="H3418" s="3" t="s">
        <v>71</v>
      </c>
      <c r="I3418" s="11">
        <v>141.96</v>
      </c>
      <c r="J3418" s="18">
        <v>2</v>
      </c>
      <c r="K3418" s="12">
        <v>17.1828</v>
      </c>
    </row>
    <row r="3419" spans="1:11" x14ac:dyDescent="0.25">
      <c r="A3419" s="4">
        <v>43966</v>
      </c>
      <c r="B3419" s="19">
        <f t="shared" si="106"/>
        <v>2020</v>
      </c>
      <c r="C3419" s="19">
        <f t="shared" si="107"/>
        <v>5</v>
      </c>
      <c r="D3419" s="5" t="s">
        <v>614</v>
      </c>
      <c r="E3419" s="5" t="s">
        <v>70</v>
      </c>
      <c r="F3419" s="5" t="s">
        <v>11</v>
      </c>
      <c r="G3419" s="5" t="s">
        <v>112</v>
      </c>
      <c r="H3419" s="5" t="s">
        <v>2271</v>
      </c>
      <c r="I3419" s="13">
        <v>152.624</v>
      </c>
      <c r="J3419" s="19">
        <v>2</v>
      </c>
      <c r="K3419" s="14">
        <v>4.2624000000000004</v>
      </c>
    </row>
    <row r="3420" spans="1:11" x14ac:dyDescent="0.25">
      <c r="A3420" s="2">
        <v>43966</v>
      </c>
      <c r="B3420" s="18">
        <f t="shared" si="106"/>
        <v>2020</v>
      </c>
      <c r="C3420" s="18">
        <f t="shared" si="107"/>
        <v>5</v>
      </c>
      <c r="D3420" s="3" t="s">
        <v>2289</v>
      </c>
      <c r="E3420" s="3" t="s">
        <v>164</v>
      </c>
      <c r="F3420" s="3" t="s">
        <v>19</v>
      </c>
      <c r="G3420" s="3" t="s">
        <v>53</v>
      </c>
      <c r="H3420" s="3" t="s">
        <v>267</v>
      </c>
      <c r="I3420" s="11">
        <v>179.70400000000001</v>
      </c>
      <c r="J3420" s="18">
        <v>2</v>
      </c>
      <c r="K3420" s="12">
        <v>19.137599999999999</v>
      </c>
    </row>
    <row r="3421" spans="1:11" x14ac:dyDescent="0.25">
      <c r="A3421" s="4">
        <v>43967</v>
      </c>
      <c r="B3421" s="19">
        <f t="shared" si="106"/>
        <v>2020</v>
      </c>
      <c r="C3421" s="19">
        <f t="shared" si="107"/>
        <v>5</v>
      </c>
      <c r="D3421" s="5" t="s">
        <v>1950</v>
      </c>
      <c r="E3421" s="5" t="s">
        <v>67</v>
      </c>
      <c r="F3421" s="5" t="s">
        <v>19</v>
      </c>
      <c r="G3421" s="5" t="s">
        <v>20</v>
      </c>
      <c r="H3421" s="5" t="s">
        <v>421</v>
      </c>
      <c r="I3421" s="13">
        <v>237.024</v>
      </c>
      <c r="J3421" s="19">
        <v>2</v>
      </c>
      <c r="K3421" s="14">
        <v>-55.256</v>
      </c>
    </row>
    <row r="3422" spans="1:11" x14ac:dyDescent="0.25">
      <c r="A3422" s="2">
        <v>43969</v>
      </c>
      <c r="B3422" s="18">
        <f t="shared" si="106"/>
        <v>2020</v>
      </c>
      <c r="C3422" s="18">
        <f t="shared" si="107"/>
        <v>5</v>
      </c>
      <c r="D3422" s="3" t="s">
        <v>145</v>
      </c>
      <c r="E3422" s="3" t="s">
        <v>109</v>
      </c>
      <c r="F3422" s="3" t="s">
        <v>19</v>
      </c>
      <c r="G3422" s="3" t="s">
        <v>32</v>
      </c>
      <c r="H3422" s="3" t="s">
        <v>694</v>
      </c>
      <c r="I3422" s="11">
        <v>138.94</v>
      </c>
      <c r="J3422" s="18">
        <v>6</v>
      </c>
      <c r="K3422" s="12">
        <v>54.691200000000002</v>
      </c>
    </row>
    <row r="3423" spans="1:11" x14ac:dyDescent="0.25">
      <c r="A3423" s="4">
        <v>43969</v>
      </c>
      <c r="B3423" s="19">
        <f t="shared" si="106"/>
        <v>2020</v>
      </c>
      <c r="C3423" s="19">
        <f t="shared" si="107"/>
        <v>5</v>
      </c>
      <c r="D3423" s="5" t="s">
        <v>203</v>
      </c>
      <c r="E3423" s="5" t="s">
        <v>472</v>
      </c>
      <c r="F3423" s="5" t="s">
        <v>14</v>
      </c>
      <c r="G3423" s="5" t="s">
        <v>15</v>
      </c>
      <c r="H3423" s="5" t="s">
        <v>879</v>
      </c>
      <c r="I3423" s="13">
        <v>156.94999999999999</v>
      </c>
      <c r="J3423" s="19">
        <v>5</v>
      </c>
      <c r="K3423" s="14">
        <v>2.2989999999999999</v>
      </c>
    </row>
    <row r="3424" spans="1:11" x14ac:dyDescent="0.25">
      <c r="A3424" s="2">
        <v>43969</v>
      </c>
      <c r="B3424" s="18">
        <f t="shared" si="106"/>
        <v>2020</v>
      </c>
      <c r="C3424" s="18">
        <f t="shared" si="107"/>
        <v>5</v>
      </c>
      <c r="D3424" s="3" t="s">
        <v>145</v>
      </c>
      <c r="E3424" s="3" t="s">
        <v>109</v>
      </c>
      <c r="F3424" s="3" t="s">
        <v>11</v>
      </c>
      <c r="G3424" s="3" t="s">
        <v>12</v>
      </c>
      <c r="H3424" s="3" t="s">
        <v>1253</v>
      </c>
      <c r="I3424" s="11">
        <v>350.94</v>
      </c>
      <c r="J3424" s="18">
        <v>3</v>
      </c>
      <c r="K3424" s="12">
        <v>75.734999999999999</v>
      </c>
    </row>
    <row r="3425" spans="1:11" x14ac:dyDescent="0.25">
      <c r="A3425" s="4">
        <v>43969</v>
      </c>
      <c r="B3425" s="19">
        <f t="shared" si="106"/>
        <v>2020</v>
      </c>
      <c r="C3425" s="19">
        <f t="shared" si="107"/>
        <v>5</v>
      </c>
      <c r="D3425" s="5" t="s">
        <v>185</v>
      </c>
      <c r="E3425" s="5" t="s">
        <v>465</v>
      </c>
      <c r="F3425" s="5" t="s">
        <v>14</v>
      </c>
      <c r="G3425" s="5" t="s">
        <v>15</v>
      </c>
      <c r="H3425" s="5" t="s">
        <v>2291</v>
      </c>
      <c r="I3425" s="13">
        <v>364.70400000000001</v>
      </c>
      <c r="J3425" s="19">
        <v>2</v>
      </c>
      <c r="K3425" s="14">
        <v>38.779200000000003</v>
      </c>
    </row>
    <row r="3426" spans="1:11" x14ac:dyDescent="0.25">
      <c r="A3426" s="2">
        <v>43969</v>
      </c>
      <c r="B3426" s="18">
        <f t="shared" si="106"/>
        <v>2020</v>
      </c>
      <c r="C3426" s="18">
        <f t="shared" si="107"/>
        <v>5</v>
      </c>
      <c r="D3426" s="3" t="s">
        <v>203</v>
      </c>
      <c r="E3426" s="3" t="s">
        <v>472</v>
      </c>
      <c r="F3426" s="3" t="s">
        <v>19</v>
      </c>
      <c r="G3426" s="3" t="s">
        <v>121</v>
      </c>
      <c r="H3426" s="3" t="s">
        <v>1170</v>
      </c>
      <c r="I3426" s="11">
        <v>725.86</v>
      </c>
      <c r="J3426" s="18">
        <v>7</v>
      </c>
      <c r="K3426" s="12">
        <v>197.92080000000001</v>
      </c>
    </row>
    <row r="3427" spans="1:11" x14ac:dyDescent="0.25">
      <c r="A3427" s="4">
        <v>43969</v>
      </c>
      <c r="B3427" s="19">
        <f t="shared" si="106"/>
        <v>2020</v>
      </c>
      <c r="C3427" s="19">
        <f t="shared" si="107"/>
        <v>5</v>
      </c>
      <c r="D3427" s="5" t="s">
        <v>1319</v>
      </c>
      <c r="E3427" s="5" t="s">
        <v>23</v>
      </c>
      <c r="F3427" s="5" t="s">
        <v>19</v>
      </c>
      <c r="G3427" s="5" t="s">
        <v>32</v>
      </c>
      <c r="H3427" s="5" t="s">
        <v>1690</v>
      </c>
      <c r="I3427" s="13">
        <v>80.995999999999995</v>
      </c>
      <c r="J3427" s="19">
        <v>1</v>
      </c>
      <c r="K3427" s="14">
        <v>-3.2934000000000001</v>
      </c>
    </row>
    <row r="3428" spans="1:11" x14ac:dyDescent="0.25">
      <c r="A3428" s="2">
        <v>43969</v>
      </c>
      <c r="B3428" s="18">
        <f t="shared" si="106"/>
        <v>2020</v>
      </c>
      <c r="C3428" s="18">
        <f t="shared" si="107"/>
        <v>5</v>
      </c>
      <c r="D3428" s="3" t="s">
        <v>1319</v>
      </c>
      <c r="E3428" s="3" t="s">
        <v>23</v>
      </c>
      <c r="F3428" s="3" t="s">
        <v>19</v>
      </c>
      <c r="G3428" s="3" t="s">
        <v>20</v>
      </c>
      <c r="H3428" s="3" t="s">
        <v>2292</v>
      </c>
      <c r="I3428" s="11">
        <v>89.927999999999997</v>
      </c>
      <c r="J3428" s="18">
        <v>2</v>
      </c>
      <c r="K3428" s="12">
        <v>0.66959999999999997</v>
      </c>
    </row>
    <row r="3429" spans="1:11" x14ac:dyDescent="0.25">
      <c r="A3429" s="4">
        <v>43969</v>
      </c>
      <c r="B3429" s="19">
        <f t="shared" si="106"/>
        <v>2020</v>
      </c>
      <c r="C3429" s="19">
        <f t="shared" si="107"/>
        <v>5</v>
      </c>
      <c r="D3429" s="5" t="s">
        <v>1319</v>
      </c>
      <c r="E3429" s="5" t="s">
        <v>23</v>
      </c>
      <c r="F3429" s="5" t="s">
        <v>19</v>
      </c>
      <c r="G3429" s="5" t="s">
        <v>32</v>
      </c>
      <c r="H3429" s="5" t="s">
        <v>593</v>
      </c>
      <c r="I3429" s="13">
        <v>105.874</v>
      </c>
      <c r="J3429" s="19">
        <v>7</v>
      </c>
      <c r="K3429" s="14">
        <v>-10.6547</v>
      </c>
    </row>
    <row r="3430" spans="1:11" x14ac:dyDescent="0.25">
      <c r="A3430" s="2">
        <v>43969</v>
      </c>
      <c r="B3430" s="18">
        <f t="shared" si="106"/>
        <v>2020</v>
      </c>
      <c r="C3430" s="18">
        <f t="shared" si="107"/>
        <v>5</v>
      </c>
      <c r="D3430" s="3" t="s">
        <v>2293</v>
      </c>
      <c r="E3430" s="3" t="s">
        <v>94</v>
      </c>
      <c r="F3430" s="3" t="s">
        <v>19</v>
      </c>
      <c r="G3430" s="3" t="s">
        <v>32</v>
      </c>
      <c r="H3430" s="3" t="s">
        <v>1904</v>
      </c>
      <c r="I3430" s="11">
        <v>102.048</v>
      </c>
      <c r="J3430" s="18">
        <v>1</v>
      </c>
      <c r="K3430" s="12">
        <v>1.0286999999999999</v>
      </c>
    </row>
    <row r="3431" spans="1:11" x14ac:dyDescent="0.25">
      <c r="A3431" s="4">
        <v>43969</v>
      </c>
      <c r="B3431" s="19">
        <f t="shared" si="106"/>
        <v>2020</v>
      </c>
      <c r="C3431" s="19">
        <f t="shared" si="107"/>
        <v>5</v>
      </c>
      <c r="D3431" s="5" t="s">
        <v>145</v>
      </c>
      <c r="E3431" s="5" t="s">
        <v>109</v>
      </c>
      <c r="F3431" s="5" t="s">
        <v>19</v>
      </c>
      <c r="G3431" s="5" t="s">
        <v>121</v>
      </c>
      <c r="H3431" s="5" t="s">
        <v>1408</v>
      </c>
      <c r="I3431" s="13">
        <v>103.24</v>
      </c>
      <c r="J3431" s="19">
        <v>2</v>
      </c>
      <c r="K3431" s="14">
        <v>4.4824000000000002</v>
      </c>
    </row>
    <row r="3432" spans="1:11" x14ac:dyDescent="0.25">
      <c r="A3432" s="2">
        <v>43969</v>
      </c>
      <c r="B3432" s="18">
        <f t="shared" si="106"/>
        <v>2020</v>
      </c>
      <c r="C3432" s="18">
        <f t="shared" si="107"/>
        <v>5</v>
      </c>
      <c r="D3432" s="3" t="s">
        <v>9</v>
      </c>
      <c r="E3432" s="3" t="s">
        <v>164</v>
      </c>
      <c r="F3432" s="3" t="s">
        <v>11</v>
      </c>
      <c r="G3432" s="3" t="s">
        <v>51</v>
      </c>
      <c r="H3432" s="3" t="s">
        <v>1554</v>
      </c>
      <c r="I3432" s="11">
        <v>105.892</v>
      </c>
      <c r="J3432" s="18">
        <v>1</v>
      </c>
      <c r="K3432" s="12">
        <v>-0.99329999999999996</v>
      </c>
    </row>
    <row r="3433" spans="1:11" x14ac:dyDescent="0.25">
      <c r="A3433" s="4">
        <v>43969</v>
      </c>
      <c r="B3433" s="19">
        <f t="shared" si="106"/>
        <v>2020</v>
      </c>
      <c r="C3433" s="19">
        <f t="shared" si="107"/>
        <v>5</v>
      </c>
      <c r="D3433" s="5" t="s">
        <v>9</v>
      </c>
      <c r="E3433" s="5" t="s">
        <v>164</v>
      </c>
      <c r="F3433" s="5" t="s">
        <v>11</v>
      </c>
      <c r="G3433" s="5" t="s">
        <v>51</v>
      </c>
      <c r="H3433" s="5" t="s">
        <v>736</v>
      </c>
      <c r="I3433" s="13">
        <v>146.608</v>
      </c>
      <c r="J3433" s="19">
        <v>3</v>
      </c>
      <c r="K3433" s="14">
        <v>-10.1736</v>
      </c>
    </row>
    <row r="3434" spans="1:11" x14ac:dyDescent="0.25">
      <c r="A3434" s="2">
        <v>43969</v>
      </c>
      <c r="B3434" s="18">
        <f t="shared" si="106"/>
        <v>2020</v>
      </c>
      <c r="C3434" s="18">
        <f t="shared" si="107"/>
        <v>5</v>
      </c>
      <c r="D3434" s="3" t="s">
        <v>2293</v>
      </c>
      <c r="E3434" s="3" t="s">
        <v>94</v>
      </c>
      <c r="F3434" s="3" t="s">
        <v>11</v>
      </c>
      <c r="G3434" s="3" t="s">
        <v>51</v>
      </c>
      <c r="H3434" s="3" t="s">
        <v>1265</v>
      </c>
      <c r="I3434" s="11">
        <v>112.56</v>
      </c>
      <c r="J3434" s="18">
        <v>2</v>
      </c>
      <c r="K3434" s="12">
        <v>6.2607999999999997</v>
      </c>
    </row>
    <row r="3435" spans="1:11" x14ac:dyDescent="0.25">
      <c r="A3435" s="4">
        <v>43969</v>
      </c>
      <c r="B3435" s="19">
        <f t="shared" si="106"/>
        <v>2020</v>
      </c>
      <c r="C3435" s="19">
        <f t="shared" si="107"/>
        <v>5</v>
      </c>
      <c r="D3435" s="5" t="s">
        <v>145</v>
      </c>
      <c r="E3435" s="5" t="s">
        <v>109</v>
      </c>
      <c r="F3435" s="5" t="s">
        <v>14</v>
      </c>
      <c r="G3435" s="5" t="s">
        <v>15</v>
      </c>
      <c r="H3435" s="5" t="s">
        <v>1346</v>
      </c>
      <c r="I3435" s="13">
        <v>149.97999999999999</v>
      </c>
      <c r="J3435" s="19">
        <v>2</v>
      </c>
      <c r="K3435" s="14">
        <v>15.6744</v>
      </c>
    </row>
    <row r="3436" spans="1:11" x14ac:dyDescent="0.25">
      <c r="A3436" s="2">
        <v>43969</v>
      </c>
      <c r="B3436" s="18">
        <f t="shared" si="106"/>
        <v>2020</v>
      </c>
      <c r="C3436" s="18">
        <f t="shared" si="107"/>
        <v>5</v>
      </c>
      <c r="D3436" s="3" t="s">
        <v>308</v>
      </c>
      <c r="E3436" s="3" t="s">
        <v>39</v>
      </c>
      <c r="F3436" s="3" t="s">
        <v>14</v>
      </c>
      <c r="G3436" s="3" t="s">
        <v>24</v>
      </c>
      <c r="H3436" s="3" t="s">
        <v>1906</v>
      </c>
      <c r="I3436" s="11">
        <v>133.048</v>
      </c>
      <c r="J3436" s="18">
        <v>3</v>
      </c>
      <c r="K3436" s="12">
        <v>-0.9012</v>
      </c>
    </row>
    <row r="3437" spans="1:11" x14ac:dyDescent="0.25">
      <c r="A3437" s="4">
        <v>43969</v>
      </c>
      <c r="B3437" s="19">
        <f t="shared" si="106"/>
        <v>2020</v>
      </c>
      <c r="C3437" s="19">
        <f t="shared" si="107"/>
        <v>5</v>
      </c>
      <c r="D3437" s="5" t="s">
        <v>145</v>
      </c>
      <c r="E3437" s="5" t="s">
        <v>109</v>
      </c>
      <c r="F3437" s="5" t="s">
        <v>14</v>
      </c>
      <c r="G3437" s="5" t="s">
        <v>15</v>
      </c>
      <c r="H3437" s="5" t="s">
        <v>2290</v>
      </c>
      <c r="I3437" s="13">
        <v>129.75</v>
      </c>
      <c r="J3437" s="19">
        <v>5</v>
      </c>
      <c r="K3437" s="14">
        <v>15.637499999999999</v>
      </c>
    </row>
    <row r="3438" spans="1:11" x14ac:dyDescent="0.25">
      <c r="A3438" s="2">
        <v>43969</v>
      </c>
      <c r="B3438" s="18">
        <f t="shared" si="106"/>
        <v>2020</v>
      </c>
      <c r="C3438" s="18">
        <f t="shared" si="107"/>
        <v>5</v>
      </c>
      <c r="D3438" s="3" t="s">
        <v>203</v>
      </c>
      <c r="E3438" s="3" t="s">
        <v>472</v>
      </c>
      <c r="F3438" s="3" t="s">
        <v>19</v>
      </c>
      <c r="G3438" s="3" t="s">
        <v>32</v>
      </c>
      <c r="H3438" s="3" t="s">
        <v>1991</v>
      </c>
      <c r="I3438" s="11">
        <v>160.19</v>
      </c>
      <c r="J3438" s="18">
        <v>7</v>
      </c>
      <c r="K3438" s="12">
        <v>20.731200000000001</v>
      </c>
    </row>
    <row r="3439" spans="1:11" x14ac:dyDescent="0.25">
      <c r="A3439" s="4">
        <v>43970</v>
      </c>
      <c r="B3439" s="19">
        <f t="shared" si="106"/>
        <v>2020</v>
      </c>
      <c r="C3439" s="19">
        <f t="shared" si="107"/>
        <v>5</v>
      </c>
      <c r="D3439" s="5" t="s">
        <v>614</v>
      </c>
      <c r="E3439" s="5" t="s">
        <v>23</v>
      </c>
      <c r="F3439" s="5" t="s">
        <v>14</v>
      </c>
      <c r="G3439" s="5" t="s">
        <v>15</v>
      </c>
      <c r="H3439" s="5" t="s">
        <v>1814</v>
      </c>
      <c r="I3439" s="13">
        <v>105.992</v>
      </c>
      <c r="J3439" s="19">
        <v>1</v>
      </c>
      <c r="K3439" s="14">
        <v>9.5991999999999997</v>
      </c>
    </row>
    <row r="3440" spans="1:11" x14ac:dyDescent="0.25">
      <c r="A3440" s="2">
        <v>43970</v>
      </c>
      <c r="B3440" s="18">
        <f t="shared" si="106"/>
        <v>2020</v>
      </c>
      <c r="C3440" s="18">
        <f t="shared" si="107"/>
        <v>5</v>
      </c>
      <c r="D3440" s="3" t="s">
        <v>966</v>
      </c>
      <c r="E3440" s="3" t="s">
        <v>70</v>
      </c>
      <c r="F3440" s="3" t="s">
        <v>19</v>
      </c>
      <c r="G3440" s="3" t="s">
        <v>121</v>
      </c>
      <c r="H3440" s="3" t="s">
        <v>869</v>
      </c>
      <c r="I3440" s="11">
        <v>139.16</v>
      </c>
      <c r="J3440" s="18">
        <v>2</v>
      </c>
      <c r="K3440" s="12">
        <v>28.176400000000001</v>
      </c>
    </row>
    <row r="3441" spans="1:11" x14ac:dyDescent="0.25">
      <c r="A3441" s="4">
        <v>43970</v>
      </c>
      <c r="B3441" s="19">
        <f t="shared" si="106"/>
        <v>2020</v>
      </c>
      <c r="C3441" s="19">
        <f t="shared" si="107"/>
        <v>5</v>
      </c>
      <c r="D3441" s="5" t="s">
        <v>2038</v>
      </c>
      <c r="E3441" s="5" t="s">
        <v>18</v>
      </c>
      <c r="F3441" s="5" t="s">
        <v>19</v>
      </c>
      <c r="G3441" s="5" t="s">
        <v>32</v>
      </c>
      <c r="H3441" s="5" t="s">
        <v>1059</v>
      </c>
      <c r="I3441" s="13">
        <v>172.12</v>
      </c>
      <c r="J3441" s="19">
        <v>5</v>
      </c>
      <c r="K3441" s="14">
        <v>49.92</v>
      </c>
    </row>
    <row r="3442" spans="1:11" x14ac:dyDescent="0.25">
      <c r="A3442" s="2">
        <v>43970</v>
      </c>
      <c r="B3442" s="18">
        <f t="shared" si="106"/>
        <v>2020</v>
      </c>
      <c r="C3442" s="18">
        <f t="shared" si="107"/>
        <v>5</v>
      </c>
      <c r="D3442" s="3" t="s">
        <v>1370</v>
      </c>
      <c r="E3442" s="3" t="s">
        <v>109</v>
      </c>
      <c r="F3442" s="3" t="s">
        <v>19</v>
      </c>
      <c r="G3442" s="3" t="s">
        <v>53</v>
      </c>
      <c r="H3442" s="3" t="s">
        <v>1102</v>
      </c>
      <c r="I3442" s="11">
        <v>206.64</v>
      </c>
      <c r="J3442" s="18">
        <v>4</v>
      </c>
      <c r="K3442" s="12">
        <v>91.950800000000001</v>
      </c>
    </row>
    <row r="3443" spans="1:11" x14ac:dyDescent="0.25">
      <c r="A3443" s="4">
        <v>43970</v>
      </c>
      <c r="B3443" s="19">
        <f t="shared" si="106"/>
        <v>2020</v>
      </c>
      <c r="C3443" s="19">
        <f t="shared" si="107"/>
        <v>5</v>
      </c>
      <c r="D3443" s="5" t="s">
        <v>1652</v>
      </c>
      <c r="E3443" s="5" t="s">
        <v>109</v>
      </c>
      <c r="F3443" s="5" t="s">
        <v>19</v>
      </c>
      <c r="G3443" s="5" t="s">
        <v>53</v>
      </c>
      <c r="H3443" s="5" t="s">
        <v>610</v>
      </c>
      <c r="I3443" s="13">
        <v>298.93</v>
      </c>
      <c r="J3443" s="19">
        <v>7</v>
      </c>
      <c r="K3443" s="14">
        <v>140.59569999999999</v>
      </c>
    </row>
    <row r="3444" spans="1:11" x14ac:dyDescent="0.25">
      <c r="A3444" s="2">
        <v>43970</v>
      </c>
      <c r="B3444" s="18">
        <f t="shared" si="106"/>
        <v>2020</v>
      </c>
      <c r="C3444" s="18">
        <f t="shared" si="107"/>
        <v>5</v>
      </c>
      <c r="D3444" s="3" t="s">
        <v>2150</v>
      </c>
      <c r="E3444" s="3" t="s">
        <v>94</v>
      </c>
      <c r="F3444" s="3" t="s">
        <v>14</v>
      </c>
      <c r="G3444" s="3" t="s">
        <v>24</v>
      </c>
      <c r="H3444" s="3" t="s">
        <v>2294</v>
      </c>
      <c r="I3444" s="11">
        <v>311.97000000000003</v>
      </c>
      <c r="J3444" s="18">
        <v>3</v>
      </c>
      <c r="K3444" s="12">
        <v>113.98860000000001</v>
      </c>
    </row>
    <row r="3445" spans="1:11" x14ac:dyDescent="0.25">
      <c r="A3445" s="4">
        <v>43970</v>
      </c>
      <c r="B3445" s="19">
        <f t="shared" si="106"/>
        <v>2020</v>
      </c>
      <c r="C3445" s="19">
        <f t="shared" si="107"/>
        <v>5</v>
      </c>
      <c r="D3445" s="5" t="s">
        <v>2150</v>
      </c>
      <c r="E3445" s="5" t="s">
        <v>94</v>
      </c>
      <c r="F3445" s="5" t="s">
        <v>19</v>
      </c>
      <c r="G3445" s="5" t="s">
        <v>121</v>
      </c>
      <c r="H3445" s="5" t="s">
        <v>2176</v>
      </c>
      <c r="I3445" s="13">
        <v>323.33999999999997</v>
      </c>
      <c r="J3445" s="19">
        <v>6</v>
      </c>
      <c r="K3445" s="14">
        <v>109.7226</v>
      </c>
    </row>
    <row r="3446" spans="1:11" x14ac:dyDescent="0.25">
      <c r="A3446" s="2">
        <v>43970</v>
      </c>
      <c r="B3446" s="18">
        <f t="shared" si="106"/>
        <v>2020</v>
      </c>
      <c r="C3446" s="18">
        <f t="shared" si="107"/>
        <v>5</v>
      </c>
      <c r="D3446" s="3" t="s">
        <v>1127</v>
      </c>
      <c r="E3446" s="3" t="s">
        <v>219</v>
      </c>
      <c r="F3446" s="3" t="s">
        <v>11</v>
      </c>
      <c r="G3446" s="3" t="s">
        <v>112</v>
      </c>
      <c r="H3446" s="3" t="s">
        <v>2283</v>
      </c>
      <c r="I3446" s="11">
        <v>325.35199999999998</v>
      </c>
      <c r="J3446" s="18">
        <v>3</v>
      </c>
      <c r="K3446" s="12">
        <v>-35.364600000000003</v>
      </c>
    </row>
    <row r="3447" spans="1:11" x14ac:dyDescent="0.25">
      <c r="A3447" s="4">
        <v>43970</v>
      </c>
      <c r="B3447" s="19">
        <f t="shared" si="106"/>
        <v>2020</v>
      </c>
      <c r="C3447" s="19">
        <f t="shared" si="107"/>
        <v>5</v>
      </c>
      <c r="D3447" s="5" t="s">
        <v>2150</v>
      </c>
      <c r="E3447" s="5" t="s">
        <v>94</v>
      </c>
      <c r="F3447" s="5" t="s">
        <v>14</v>
      </c>
      <c r="G3447" s="5" t="s">
        <v>15</v>
      </c>
      <c r="H3447" s="5" t="s">
        <v>727</v>
      </c>
      <c r="I3447" s="13">
        <v>326.98</v>
      </c>
      <c r="J3447" s="19">
        <v>2</v>
      </c>
      <c r="K3447" s="14">
        <v>89.3142</v>
      </c>
    </row>
    <row r="3448" spans="1:11" x14ac:dyDescent="0.25">
      <c r="A3448" s="2">
        <v>43970</v>
      </c>
      <c r="B3448" s="18">
        <f t="shared" si="106"/>
        <v>2020</v>
      </c>
      <c r="C3448" s="18">
        <f t="shared" si="107"/>
        <v>5</v>
      </c>
      <c r="D3448" s="3" t="s">
        <v>1652</v>
      </c>
      <c r="E3448" s="3" t="s">
        <v>109</v>
      </c>
      <c r="F3448" s="3" t="s">
        <v>14</v>
      </c>
      <c r="G3448" s="3" t="s">
        <v>15</v>
      </c>
      <c r="H3448" s="3" t="s">
        <v>2295</v>
      </c>
      <c r="I3448" s="11">
        <v>404.97</v>
      </c>
      <c r="J3448" s="18">
        <v>3</v>
      </c>
      <c r="K3448" s="12">
        <v>98.272199999999998</v>
      </c>
    </row>
    <row r="3449" spans="1:11" x14ac:dyDescent="0.25">
      <c r="A3449" s="4">
        <v>43970</v>
      </c>
      <c r="B3449" s="19">
        <f t="shared" si="106"/>
        <v>2020</v>
      </c>
      <c r="C3449" s="19">
        <f t="shared" si="107"/>
        <v>5</v>
      </c>
      <c r="D3449" s="5" t="s">
        <v>551</v>
      </c>
      <c r="E3449" s="5" t="s">
        <v>18</v>
      </c>
      <c r="F3449" s="5" t="s">
        <v>11</v>
      </c>
      <c r="G3449" s="5" t="s">
        <v>112</v>
      </c>
      <c r="H3449" s="5" t="s">
        <v>372</v>
      </c>
      <c r="I3449" s="13">
        <v>704.40800000000002</v>
      </c>
      <c r="J3449" s="19">
        <v>12</v>
      </c>
      <c r="K3449" s="14">
        <v>42.588000000000001</v>
      </c>
    </row>
    <row r="3450" spans="1:11" x14ac:dyDescent="0.25">
      <c r="A3450" s="2">
        <v>43970</v>
      </c>
      <c r="B3450" s="18">
        <f t="shared" si="106"/>
        <v>2020</v>
      </c>
      <c r="C3450" s="18">
        <f t="shared" si="107"/>
        <v>5</v>
      </c>
      <c r="D3450" s="3" t="s">
        <v>1652</v>
      </c>
      <c r="E3450" s="3" t="s">
        <v>109</v>
      </c>
      <c r="F3450" s="3" t="s">
        <v>11</v>
      </c>
      <c r="G3450" s="3" t="s">
        <v>12</v>
      </c>
      <c r="H3450" s="3" t="s">
        <v>1151</v>
      </c>
      <c r="I3450" s="11">
        <v>1652.82</v>
      </c>
      <c r="J3450" s="18">
        <v>9</v>
      </c>
      <c r="K3450" s="12">
        <v>374.62860000000001</v>
      </c>
    </row>
    <row r="3451" spans="1:11" x14ac:dyDescent="0.25">
      <c r="A3451" s="4">
        <v>43970</v>
      </c>
      <c r="B3451" s="19">
        <f t="shared" si="106"/>
        <v>2020</v>
      </c>
      <c r="C3451" s="19">
        <f t="shared" si="107"/>
        <v>5</v>
      </c>
      <c r="D3451" s="5" t="s">
        <v>551</v>
      </c>
      <c r="E3451" s="5" t="s">
        <v>18</v>
      </c>
      <c r="F3451" s="5" t="s">
        <v>19</v>
      </c>
      <c r="G3451" s="5" t="s">
        <v>40</v>
      </c>
      <c r="H3451" s="5" t="s">
        <v>1704</v>
      </c>
      <c r="I3451" s="13">
        <v>102.52</v>
      </c>
      <c r="J3451" s="19">
        <v>2</v>
      </c>
      <c r="K3451" s="14">
        <v>1.0207999999999999</v>
      </c>
    </row>
    <row r="3452" spans="1:11" x14ac:dyDescent="0.25">
      <c r="A3452" s="2">
        <v>43970</v>
      </c>
      <c r="B3452" s="18">
        <f t="shared" si="106"/>
        <v>2020</v>
      </c>
      <c r="C3452" s="18">
        <f t="shared" si="107"/>
        <v>5</v>
      </c>
      <c r="D3452" s="3" t="s">
        <v>614</v>
      </c>
      <c r="E3452" s="3" t="s">
        <v>23</v>
      </c>
      <c r="F3452" s="3" t="s">
        <v>19</v>
      </c>
      <c r="G3452" s="3" t="s">
        <v>127</v>
      </c>
      <c r="H3452" s="3" t="s">
        <v>2296</v>
      </c>
      <c r="I3452" s="11">
        <v>92.215999999999994</v>
      </c>
      <c r="J3452" s="18">
        <v>4</v>
      </c>
      <c r="K3452" s="12">
        <v>4.2952000000000004</v>
      </c>
    </row>
    <row r="3453" spans="1:11" x14ac:dyDescent="0.25">
      <c r="A3453" s="4">
        <v>43970</v>
      </c>
      <c r="B3453" s="19">
        <f t="shared" si="106"/>
        <v>2020</v>
      </c>
      <c r="C3453" s="19">
        <f t="shared" si="107"/>
        <v>5</v>
      </c>
      <c r="D3453" s="5" t="s">
        <v>551</v>
      </c>
      <c r="E3453" s="5" t="s">
        <v>18</v>
      </c>
      <c r="F3453" s="5" t="s">
        <v>19</v>
      </c>
      <c r="G3453" s="5" t="s">
        <v>40</v>
      </c>
      <c r="H3453" s="5" t="s">
        <v>990</v>
      </c>
      <c r="I3453" s="13">
        <v>95.58</v>
      </c>
      <c r="J3453" s="19">
        <v>1</v>
      </c>
      <c r="K3453" s="14">
        <v>1.395</v>
      </c>
    </row>
    <row r="3454" spans="1:11" x14ac:dyDescent="0.25">
      <c r="A3454" s="2">
        <v>43970</v>
      </c>
      <c r="B3454" s="18">
        <f t="shared" si="106"/>
        <v>2020</v>
      </c>
      <c r="C3454" s="18">
        <f t="shared" si="107"/>
        <v>5</v>
      </c>
      <c r="D3454" s="3" t="s">
        <v>1127</v>
      </c>
      <c r="E3454" s="3" t="s">
        <v>219</v>
      </c>
      <c r="F3454" s="3" t="s">
        <v>19</v>
      </c>
      <c r="G3454" s="3" t="s">
        <v>53</v>
      </c>
      <c r="H3454" s="3" t="s">
        <v>899</v>
      </c>
      <c r="I3454" s="11">
        <v>124.88800000000001</v>
      </c>
      <c r="J3454" s="18">
        <v>7</v>
      </c>
      <c r="K3454" s="12">
        <v>10.109400000000001</v>
      </c>
    </row>
    <row r="3455" spans="1:11" x14ac:dyDescent="0.25">
      <c r="A3455" s="4">
        <v>43970</v>
      </c>
      <c r="B3455" s="19">
        <f t="shared" si="106"/>
        <v>2020</v>
      </c>
      <c r="C3455" s="19">
        <f t="shared" si="107"/>
        <v>5</v>
      </c>
      <c r="D3455" s="5" t="s">
        <v>551</v>
      </c>
      <c r="E3455" s="5" t="s">
        <v>18</v>
      </c>
      <c r="F3455" s="5" t="s">
        <v>14</v>
      </c>
      <c r="G3455" s="5" t="s">
        <v>24</v>
      </c>
      <c r="H3455" s="5" t="s">
        <v>804</v>
      </c>
      <c r="I3455" s="13">
        <v>117.32</v>
      </c>
      <c r="J3455" s="19">
        <v>1</v>
      </c>
      <c r="K3455" s="14">
        <v>10.896000000000001</v>
      </c>
    </row>
    <row r="3456" spans="1:11" x14ac:dyDescent="0.25">
      <c r="A3456" s="2">
        <v>43970</v>
      </c>
      <c r="B3456" s="18">
        <f t="shared" si="106"/>
        <v>2020</v>
      </c>
      <c r="C3456" s="18">
        <f t="shared" si="107"/>
        <v>5</v>
      </c>
      <c r="D3456" s="3" t="s">
        <v>2297</v>
      </c>
      <c r="E3456" s="3" t="s">
        <v>898</v>
      </c>
      <c r="F3456" s="3" t="s">
        <v>19</v>
      </c>
      <c r="G3456" s="3" t="s">
        <v>32</v>
      </c>
      <c r="H3456" s="3" t="s">
        <v>2298</v>
      </c>
      <c r="I3456" s="11">
        <v>131.16</v>
      </c>
      <c r="J3456" s="18">
        <v>4</v>
      </c>
      <c r="K3456" s="12">
        <v>12.8184</v>
      </c>
    </row>
    <row r="3457" spans="1:11" x14ac:dyDescent="0.25">
      <c r="A3457" s="4">
        <v>43970</v>
      </c>
      <c r="B3457" s="19">
        <f t="shared" si="106"/>
        <v>2020</v>
      </c>
      <c r="C3457" s="19">
        <f t="shared" si="107"/>
        <v>5</v>
      </c>
      <c r="D3457" s="5" t="s">
        <v>768</v>
      </c>
      <c r="E3457" s="5" t="s">
        <v>164</v>
      </c>
      <c r="F3457" s="5" t="s">
        <v>19</v>
      </c>
      <c r="G3457" s="5" t="s">
        <v>53</v>
      </c>
      <c r="H3457" s="5" t="s">
        <v>2299</v>
      </c>
      <c r="I3457" s="13">
        <v>145.01599999999999</v>
      </c>
      <c r="J3457" s="19">
        <v>6</v>
      </c>
      <c r="K3457" s="14">
        <v>13.780799999999999</v>
      </c>
    </row>
    <row r="3458" spans="1:11" x14ac:dyDescent="0.25">
      <c r="A3458" s="2">
        <v>43970</v>
      </c>
      <c r="B3458" s="18">
        <f t="shared" ref="B3458:B3521" si="108">YEAR(A3458)</f>
        <v>2020</v>
      </c>
      <c r="C3458" s="18">
        <f t="shared" ref="C3458:C3521" si="109">MONTH(A3458)</f>
        <v>5</v>
      </c>
      <c r="D3458" s="3" t="s">
        <v>1652</v>
      </c>
      <c r="E3458" s="3" t="s">
        <v>109</v>
      </c>
      <c r="F3458" s="3" t="s">
        <v>14</v>
      </c>
      <c r="G3458" s="3" t="s">
        <v>24</v>
      </c>
      <c r="H3458" s="3" t="s">
        <v>1942</v>
      </c>
      <c r="I3458" s="11">
        <v>179.8</v>
      </c>
      <c r="J3458" s="18">
        <v>4</v>
      </c>
      <c r="K3458" s="12">
        <v>4.0679999999999996</v>
      </c>
    </row>
    <row r="3459" spans="1:11" x14ac:dyDescent="0.25">
      <c r="A3459" s="4">
        <v>43971</v>
      </c>
      <c r="B3459" s="19">
        <f t="shared" si="108"/>
        <v>2020</v>
      </c>
      <c r="C3459" s="19">
        <f t="shared" si="109"/>
        <v>5</v>
      </c>
      <c r="D3459" s="5" t="s">
        <v>1911</v>
      </c>
      <c r="E3459" s="5" t="s">
        <v>2300</v>
      </c>
      <c r="F3459" s="5" t="s">
        <v>19</v>
      </c>
      <c r="G3459" s="5" t="s">
        <v>40</v>
      </c>
      <c r="H3459" s="5" t="s">
        <v>527</v>
      </c>
      <c r="I3459" s="13">
        <v>174.94</v>
      </c>
      <c r="J3459" s="19">
        <v>3</v>
      </c>
      <c r="K3459" s="14">
        <v>35.623800000000003</v>
      </c>
    </row>
    <row r="3460" spans="1:11" x14ac:dyDescent="0.25">
      <c r="A3460" s="2">
        <v>43971</v>
      </c>
      <c r="B3460" s="18">
        <f t="shared" si="108"/>
        <v>2020</v>
      </c>
      <c r="C3460" s="18">
        <f t="shared" si="109"/>
        <v>5</v>
      </c>
      <c r="D3460" s="3" t="s">
        <v>103</v>
      </c>
      <c r="E3460" s="3" t="s">
        <v>18</v>
      </c>
      <c r="F3460" s="3" t="s">
        <v>14</v>
      </c>
      <c r="G3460" s="3" t="s">
        <v>188</v>
      </c>
      <c r="H3460" s="3" t="s">
        <v>1796</v>
      </c>
      <c r="I3460" s="11">
        <v>383.2</v>
      </c>
      <c r="J3460" s="18">
        <v>1</v>
      </c>
      <c r="K3460" s="12">
        <v>38.61</v>
      </c>
    </row>
    <row r="3461" spans="1:11" x14ac:dyDescent="0.25">
      <c r="A3461" s="4">
        <v>43971</v>
      </c>
      <c r="B3461" s="19">
        <f t="shared" si="108"/>
        <v>2020</v>
      </c>
      <c r="C3461" s="19">
        <f t="shared" si="109"/>
        <v>5</v>
      </c>
      <c r="D3461" s="5" t="s">
        <v>103</v>
      </c>
      <c r="E3461" s="5" t="s">
        <v>18</v>
      </c>
      <c r="F3461" s="5" t="s">
        <v>11</v>
      </c>
      <c r="G3461" s="5" t="s">
        <v>112</v>
      </c>
      <c r="H3461" s="5" t="s">
        <v>615</v>
      </c>
      <c r="I3461" s="13">
        <v>552.27200000000005</v>
      </c>
      <c r="J3461" s="19">
        <v>8</v>
      </c>
      <c r="K3461" s="14">
        <v>-97.176000000000002</v>
      </c>
    </row>
    <row r="3462" spans="1:11" x14ac:dyDescent="0.25">
      <c r="A3462" s="2">
        <v>43971</v>
      </c>
      <c r="B3462" s="18">
        <f t="shared" si="108"/>
        <v>2020</v>
      </c>
      <c r="C3462" s="18">
        <f t="shared" si="109"/>
        <v>5</v>
      </c>
      <c r="D3462" s="3" t="s">
        <v>1911</v>
      </c>
      <c r="E3462" s="3" t="s">
        <v>2300</v>
      </c>
      <c r="F3462" s="3" t="s">
        <v>19</v>
      </c>
      <c r="G3462" s="3" t="s">
        <v>20</v>
      </c>
      <c r="H3462" s="3" t="s">
        <v>1309</v>
      </c>
      <c r="I3462" s="11">
        <v>725.76</v>
      </c>
      <c r="J3462" s="18">
        <v>4</v>
      </c>
      <c r="K3462" s="12">
        <v>162.09479999999999</v>
      </c>
    </row>
    <row r="3463" spans="1:11" x14ac:dyDescent="0.25">
      <c r="A3463" s="4">
        <v>43971</v>
      </c>
      <c r="B3463" s="19">
        <f t="shared" si="108"/>
        <v>2020</v>
      </c>
      <c r="C3463" s="19">
        <f t="shared" si="109"/>
        <v>5</v>
      </c>
      <c r="D3463" s="5" t="s">
        <v>335</v>
      </c>
      <c r="E3463" s="5" t="s">
        <v>483</v>
      </c>
      <c r="F3463" s="5" t="s">
        <v>14</v>
      </c>
      <c r="G3463" s="5" t="s">
        <v>15</v>
      </c>
      <c r="H3463" s="5" t="s">
        <v>226</v>
      </c>
      <c r="I3463" s="13">
        <v>1159.1279999999999</v>
      </c>
      <c r="J3463" s="19">
        <v>9</v>
      </c>
      <c r="K3463" s="14">
        <v>70.195499999999996</v>
      </c>
    </row>
    <row r="3464" spans="1:11" x14ac:dyDescent="0.25">
      <c r="A3464" s="2">
        <v>43971</v>
      </c>
      <c r="B3464" s="18">
        <f t="shared" si="108"/>
        <v>2020</v>
      </c>
      <c r="C3464" s="18">
        <f t="shared" si="109"/>
        <v>5</v>
      </c>
      <c r="D3464" s="3" t="s">
        <v>1911</v>
      </c>
      <c r="E3464" s="3" t="s">
        <v>2300</v>
      </c>
      <c r="F3464" s="3" t="s">
        <v>19</v>
      </c>
      <c r="G3464" s="3" t="s">
        <v>116</v>
      </c>
      <c r="H3464" s="3" t="s">
        <v>301</v>
      </c>
      <c r="I3464" s="11">
        <v>95.41</v>
      </c>
      <c r="J3464" s="18">
        <v>3</v>
      </c>
      <c r="K3464" s="12">
        <v>3.4826999999999999</v>
      </c>
    </row>
    <row r="3465" spans="1:11" x14ac:dyDescent="0.25">
      <c r="A3465" s="4">
        <v>43971</v>
      </c>
      <c r="B3465" s="19">
        <f t="shared" si="108"/>
        <v>2020</v>
      </c>
      <c r="C3465" s="19">
        <f t="shared" si="109"/>
        <v>5</v>
      </c>
      <c r="D3465" s="5" t="s">
        <v>103</v>
      </c>
      <c r="E3465" s="5" t="s">
        <v>18</v>
      </c>
      <c r="F3465" s="5" t="s">
        <v>11</v>
      </c>
      <c r="G3465" s="5" t="s">
        <v>51</v>
      </c>
      <c r="H3465" s="5" t="s">
        <v>930</v>
      </c>
      <c r="I3465" s="13">
        <v>119.98</v>
      </c>
      <c r="J3465" s="19">
        <v>1</v>
      </c>
      <c r="K3465" s="14">
        <v>3.3504</v>
      </c>
    </row>
    <row r="3466" spans="1:11" x14ac:dyDescent="0.25">
      <c r="A3466" s="2">
        <v>43971</v>
      </c>
      <c r="B3466" s="18">
        <f t="shared" si="108"/>
        <v>2020</v>
      </c>
      <c r="C3466" s="18">
        <f t="shared" si="109"/>
        <v>5</v>
      </c>
      <c r="D3466" s="3" t="s">
        <v>335</v>
      </c>
      <c r="E3466" s="3" t="s">
        <v>483</v>
      </c>
      <c r="F3466" s="3" t="s">
        <v>19</v>
      </c>
      <c r="G3466" s="3" t="s">
        <v>32</v>
      </c>
      <c r="H3466" s="3" t="s">
        <v>722</v>
      </c>
      <c r="I3466" s="11">
        <v>110.288</v>
      </c>
      <c r="J3466" s="18">
        <v>2</v>
      </c>
      <c r="K3466" s="12">
        <v>3.0044</v>
      </c>
    </row>
    <row r="3467" spans="1:11" x14ac:dyDescent="0.25">
      <c r="A3467" s="4">
        <v>43971</v>
      </c>
      <c r="B3467" s="19">
        <f t="shared" si="108"/>
        <v>2020</v>
      </c>
      <c r="C3467" s="19">
        <f t="shared" si="109"/>
        <v>5</v>
      </c>
      <c r="D3467" s="5" t="s">
        <v>1911</v>
      </c>
      <c r="E3467" s="5" t="s">
        <v>2300</v>
      </c>
      <c r="F3467" s="5" t="s">
        <v>19</v>
      </c>
      <c r="G3467" s="5" t="s">
        <v>40</v>
      </c>
      <c r="H3467" s="5" t="s">
        <v>2301</v>
      </c>
      <c r="I3467" s="13">
        <v>137.91999999999999</v>
      </c>
      <c r="J3467" s="19">
        <v>4</v>
      </c>
      <c r="K3467" s="14">
        <v>8.2943999999999996</v>
      </c>
    </row>
    <row r="3468" spans="1:11" x14ac:dyDescent="0.25">
      <c r="A3468" s="2">
        <v>43971</v>
      </c>
      <c r="B3468" s="18">
        <f t="shared" si="108"/>
        <v>2020</v>
      </c>
      <c r="C3468" s="18">
        <f t="shared" si="109"/>
        <v>5</v>
      </c>
      <c r="D3468" s="3" t="s">
        <v>1911</v>
      </c>
      <c r="E3468" s="3" t="s">
        <v>2300</v>
      </c>
      <c r="F3468" s="3" t="s">
        <v>19</v>
      </c>
      <c r="G3468" s="3" t="s">
        <v>40</v>
      </c>
      <c r="H3468" s="3" t="s">
        <v>2302</v>
      </c>
      <c r="I3468" s="11">
        <v>148.5</v>
      </c>
      <c r="J3468" s="18">
        <v>10</v>
      </c>
      <c r="K3468" s="12">
        <v>7.0949999999999998</v>
      </c>
    </row>
    <row r="3469" spans="1:11" x14ac:dyDescent="0.25">
      <c r="A3469" s="4">
        <v>43971</v>
      </c>
      <c r="B3469" s="19">
        <f t="shared" si="108"/>
        <v>2020</v>
      </c>
      <c r="C3469" s="19">
        <f t="shared" si="109"/>
        <v>5</v>
      </c>
      <c r="D3469" s="5" t="s">
        <v>2303</v>
      </c>
      <c r="E3469" s="5" t="s">
        <v>365</v>
      </c>
      <c r="F3469" s="5" t="s">
        <v>19</v>
      </c>
      <c r="G3469" s="5" t="s">
        <v>32</v>
      </c>
      <c r="H3469" s="5" t="s">
        <v>97</v>
      </c>
      <c r="I3469" s="13">
        <v>115.28</v>
      </c>
      <c r="J3469" s="19">
        <v>2</v>
      </c>
      <c r="K3469" s="14">
        <v>19.814399999999999</v>
      </c>
    </row>
    <row r="3470" spans="1:11" x14ac:dyDescent="0.25">
      <c r="A3470" s="2">
        <v>43971</v>
      </c>
      <c r="B3470" s="18">
        <f t="shared" si="108"/>
        <v>2020</v>
      </c>
      <c r="C3470" s="18">
        <f t="shared" si="109"/>
        <v>5</v>
      </c>
      <c r="D3470" s="3" t="s">
        <v>335</v>
      </c>
      <c r="E3470" s="3" t="s">
        <v>483</v>
      </c>
      <c r="F3470" s="3" t="s">
        <v>19</v>
      </c>
      <c r="G3470" s="3" t="s">
        <v>121</v>
      </c>
      <c r="H3470" s="3" t="s">
        <v>1522</v>
      </c>
      <c r="I3470" s="11">
        <v>158.9</v>
      </c>
      <c r="J3470" s="18">
        <v>5</v>
      </c>
      <c r="K3470" s="12">
        <v>18.821000000000002</v>
      </c>
    </row>
    <row r="3471" spans="1:11" x14ac:dyDescent="0.25">
      <c r="A3471" s="4">
        <v>43972</v>
      </c>
      <c r="B3471" s="19">
        <f t="shared" si="108"/>
        <v>2020</v>
      </c>
      <c r="C3471" s="19">
        <f t="shared" si="109"/>
        <v>5</v>
      </c>
      <c r="D3471" s="5" t="s">
        <v>1118</v>
      </c>
      <c r="E3471" s="5" t="s">
        <v>94</v>
      </c>
      <c r="F3471" s="5" t="s">
        <v>11</v>
      </c>
      <c r="G3471" s="5" t="s">
        <v>51</v>
      </c>
      <c r="H3471" s="5" t="s">
        <v>1372</v>
      </c>
      <c r="I3471" s="13">
        <v>541.04999999999995</v>
      </c>
      <c r="J3471" s="19">
        <v>5</v>
      </c>
      <c r="K3471" s="14">
        <v>72.807000000000002</v>
      </c>
    </row>
    <row r="3472" spans="1:11" x14ac:dyDescent="0.25">
      <c r="A3472" s="2">
        <v>43972</v>
      </c>
      <c r="B3472" s="18">
        <f t="shared" si="108"/>
        <v>2020</v>
      </c>
      <c r="C3472" s="18">
        <f t="shared" si="109"/>
        <v>5</v>
      </c>
      <c r="D3472" s="3" t="s">
        <v>1118</v>
      </c>
      <c r="E3472" s="3" t="s">
        <v>94</v>
      </c>
      <c r="F3472" s="3" t="s">
        <v>19</v>
      </c>
      <c r="G3472" s="3" t="s">
        <v>40</v>
      </c>
      <c r="H3472" s="3" t="s">
        <v>2304</v>
      </c>
      <c r="I3472" s="11">
        <v>94.97</v>
      </c>
      <c r="J3472" s="18">
        <v>3</v>
      </c>
      <c r="K3472" s="12">
        <v>5.2112999999999996</v>
      </c>
    </row>
    <row r="3473" spans="1:11" x14ac:dyDescent="0.25">
      <c r="A3473" s="4">
        <v>43973</v>
      </c>
      <c r="B3473" s="19">
        <f t="shared" si="108"/>
        <v>2020</v>
      </c>
      <c r="C3473" s="19">
        <f t="shared" si="109"/>
        <v>5</v>
      </c>
      <c r="D3473" s="5" t="s">
        <v>100</v>
      </c>
      <c r="E3473" s="5" t="s">
        <v>18</v>
      </c>
      <c r="F3473" s="5" t="s">
        <v>14</v>
      </c>
      <c r="G3473" s="5" t="s">
        <v>24</v>
      </c>
      <c r="H3473" s="5" t="s">
        <v>2090</v>
      </c>
      <c r="I3473" s="13">
        <v>113.46</v>
      </c>
      <c r="J3473" s="19">
        <v>7</v>
      </c>
      <c r="K3473" s="14">
        <v>25.330200000000001</v>
      </c>
    </row>
    <row r="3474" spans="1:11" x14ac:dyDescent="0.25">
      <c r="A3474" s="2">
        <v>43973</v>
      </c>
      <c r="B3474" s="18">
        <f t="shared" si="108"/>
        <v>2020</v>
      </c>
      <c r="C3474" s="18">
        <f t="shared" si="109"/>
        <v>5</v>
      </c>
      <c r="D3474" s="3" t="s">
        <v>867</v>
      </c>
      <c r="E3474" s="3" t="s">
        <v>164</v>
      </c>
      <c r="F3474" s="3" t="s">
        <v>11</v>
      </c>
      <c r="G3474" s="3" t="s">
        <v>112</v>
      </c>
      <c r="H3474" s="3" t="s">
        <v>1656</v>
      </c>
      <c r="I3474" s="11">
        <v>219.98599999999999</v>
      </c>
      <c r="J3474" s="18">
        <v>2</v>
      </c>
      <c r="K3474" s="12">
        <v>-54.595799999999997</v>
      </c>
    </row>
    <row r="3475" spans="1:11" x14ac:dyDescent="0.25">
      <c r="A3475" s="4">
        <v>43973</v>
      </c>
      <c r="B3475" s="19">
        <f t="shared" si="108"/>
        <v>2020</v>
      </c>
      <c r="C3475" s="19">
        <f t="shared" si="109"/>
        <v>5</v>
      </c>
      <c r="D3475" s="5" t="s">
        <v>867</v>
      </c>
      <c r="E3475" s="5" t="s">
        <v>164</v>
      </c>
      <c r="F3475" s="5" t="s">
        <v>19</v>
      </c>
      <c r="G3475" s="5" t="s">
        <v>265</v>
      </c>
      <c r="H3475" s="5" t="s">
        <v>860</v>
      </c>
      <c r="I3475" s="13">
        <v>116.34399999999999</v>
      </c>
      <c r="J3475" s="19">
        <v>3</v>
      </c>
      <c r="K3475" s="14">
        <v>2.5137</v>
      </c>
    </row>
    <row r="3476" spans="1:11" x14ac:dyDescent="0.25">
      <c r="A3476" s="2">
        <v>43973</v>
      </c>
      <c r="B3476" s="18">
        <f t="shared" si="108"/>
        <v>2020</v>
      </c>
      <c r="C3476" s="18">
        <f t="shared" si="109"/>
        <v>5</v>
      </c>
      <c r="D3476" s="3" t="s">
        <v>2305</v>
      </c>
      <c r="E3476" s="3" t="s">
        <v>18</v>
      </c>
      <c r="F3476" s="3" t="s">
        <v>19</v>
      </c>
      <c r="G3476" s="3" t="s">
        <v>40</v>
      </c>
      <c r="H3476" s="3" t="s">
        <v>944</v>
      </c>
      <c r="I3476" s="11">
        <v>116.78</v>
      </c>
      <c r="J3476" s="18">
        <v>1</v>
      </c>
      <c r="K3476" s="12">
        <v>0.7228</v>
      </c>
    </row>
    <row r="3477" spans="1:11" x14ac:dyDescent="0.25">
      <c r="A3477" s="4">
        <v>43973</v>
      </c>
      <c r="B3477" s="19">
        <f t="shared" si="108"/>
        <v>2020</v>
      </c>
      <c r="C3477" s="19">
        <f t="shared" si="109"/>
        <v>5</v>
      </c>
      <c r="D3477" s="5" t="s">
        <v>867</v>
      </c>
      <c r="E3477" s="5" t="s">
        <v>164</v>
      </c>
      <c r="F3477" s="5" t="s">
        <v>19</v>
      </c>
      <c r="G3477" s="5" t="s">
        <v>32</v>
      </c>
      <c r="H3477" s="5" t="s">
        <v>237</v>
      </c>
      <c r="I3477" s="13">
        <v>96.591999999999999</v>
      </c>
      <c r="J3477" s="19">
        <v>2</v>
      </c>
      <c r="K3477" s="14">
        <v>-2.6267999999999998</v>
      </c>
    </row>
    <row r="3478" spans="1:11" x14ac:dyDescent="0.25">
      <c r="A3478" s="2">
        <v>43973</v>
      </c>
      <c r="B3478" s="18">
        <f t="shared" si="108"/>
        <v>2020</v>
      </c>
      <c r="C3478" s="18">
        <f t="shared" si="109"/>
        <v>5</v>
      </c>
      <c r="D3478" s="3" t="s">
        <v>2305</v>
      </c>
      <c r="E3478" s="3" t="s">
        <v>18</v>
      </c>
      <c r="F3478" s="3" t="s">
        <v>19</v>
      </c>
      <c r="G3478" s="3" t="s">
        <v>40</v>
      </c>
      <c r="H3478" s="3" t="s">
        <v>2265</v>
      </c>
      <c r="I3478" s="11">
        <v>102.84</v>
      </c>
      <c r="J3478" s="18">
        <v>3</v>
      </c>
      <c r="K3478" s="12">
        <v>2.8536000000000001</v>
      </c>
    </row>
    <row r="3479" spans="1:11" x14ac:dyDescent="0.25">
      <c r="A3479" s="4">
        <v>43973</v>
      </c>
      <c r="B3479" s="19">
        <f t="shared" si="108"/>
        <v>2020</v>
      </c>
      <c r="C3479" s="19">
        <f t="shared" si="109"/>
        <v>5</v>
      </c>
      <c r="D3479" s="5" t="s">
        <v>942</v>
      </c>
      <c r="E3479" s="5" t="s">
        <v>18</v>
      </c>
      <c r="F3479" s="5" t="s">
        <v>19</v>
      </c>
      <c r="G3479" s="5" t="s">
        <v>40</v>
      </c>
      <c r="H3479" s="5" t="s">
        <v>1571</v>
      </c>
      <c r="I3479" s="13">
        <v>155.56</v>
      </c>
      <c r="J3479" s="19">
        <v>7</v>
      </c>
      <c r="K3479" s="14">
        <v>18.832799999999999</v>
      </c>
    </row>
    <row r="3480" spans="1:11" x14ac:dyDescent="0.25">
      <c r="A3480" s="2">
        <v>43974</v>
      </c>
      <c r="B3480" s="18">
        <f t="shared" si="108"/>
        <v>2020</v>
      </c>
      <c r="C3480" s="18">
        <f t="shared" si="109"/>
        <v>5</v>
      </c>
      <c r="D3480" s="3" t="s">
        <v>59</v>
      </c>
      <c r="E3480" s="3" t="s">
        <v>18</v>
      </c>
      <c r="F3480" s="3" t="s">
        <v>11</v>
      </c>
      <c r="G3480" s="3" t="s">
        <v>30</v>
      </c>
      <c r="H3480" s="3" t="s">
        <v>2093</v>
      </c>
      <c r="I3480" s="11">
        <v>220.28800000000001</v>
      </c>
      <c r="J3480" s="18">
        <v>3</v>
      </c>
      <c r="K3480" s="12">
        <v>-6.4233000000000002</v>
      </c>
    </row>
    <row r="3481" spans="1:11" x14ac:dyDescent="0.25">
      <c r="A3481" s="4">
        <v>43974</v>
      </c>
      <c r="B3481" s="19">
        <f t="shared" si="108"/>
        <v>2020</v>
      </c>
      <c r="C3481" s="19">
        <f t="shared" si="109"/>
        <v>5</v>
      </c>
      <c r="D3481" s="5" t="s">
        <v>895</v>
      </c>
      <c r="E3481" s="5" t="s">
        <v>23</v>
      </c>
      <c r="F3481" s="5" t="s">
        <v>19</v>
      </c>
      <c r="G3481" s="5" t="s">
        <v>116</v>
      </c>
      <c r="H3481" s="5" t="s">
        <v>2306</v>
      </c>
      <c r="I3481" s="13">
        <v>71.823999999999998</v>
      </c>
      <c r="J3481" s="19">
        <v>2</v>
      </c>
      <c r="K3481" s="14">
        <v>0.61560000000000004</v>
      </c>
    </row>
    <row r="3482" spans="1:11" x14ac:dyDescent="0.25">
      <c r="A3482" s="2">
        <v>43974</v>
      </c>
      <c r="B3482" s="18">
        <f t="shared" si="108"/>
        <v>2020</v>
      </c>
      <c r="C3482" s="18">
        <f t="shared" si="109"/>
        <v>5</v>
      </c>
      <c r="D3482" s="3" t="s">
        <v>895</v>
      </c>
      <c r="E3482" s="3" t="s">
        <v>23</v>
      </c>
      <c r="F3482" s="3" t="s">
        <v>19</v>
      </c>
      <c r="G3482" s="3" t="s">
        <v>32</v>
      </c>
      <c r="H3482" s="3" t="s">
        <v>33</v>
      </c>
      <c r="I3482" s="11">
        <v>100.188</v>
      </c>
      <c r="J3482" s="18">
        <v>1</v>
      </c>
      <c r="K3482" s="12">
        <v>-1.9601999999999999</v>
      </c>
    </row>
    <row r="3483" spans="1:11" x14ac:dyDescent="0.25">
      <c r="A3483" s="4">
        <v>43974</v>
      </c>
      <c r="B3483" s="19">
        <f t="shared" si="108"/>
        <v>2020</v>
      </c>
      <c r="C3483" s="19">
        <f t="shared" si="109"/>
        <v>5</v>
      </c>
      <c r="D3483" s="5" t="s">
        <v>895</v>
      </c>
      <c r="E3483" s="5" t="s">
        <v>23</v>
      </c>
      <c r="F3483" s="5" t="s">
        <v>19</v>
      </c>
      <c r="G3483" s="5" t="s">
        <v>121</v>
      </c>
      <c r="H3483" s="5" t="s">
        <v>1881</v>
      </c>
      <c r="I3483" s="13">
        <v>132.32</v>
      </c>
      <c r="J3483" s="19">
        <v>5</v>
      </c>
      <c r="K3483" s="14">
        <v>-46.716000000000001</v>
      </c>
    </row>
    <row r="3484" spans="1:11" x14ac:dyDescent="0.25">
      <c r="A3484" s="2">
        <v>43974</v>
      </c>
      <c r="B3484" s="18">
        <f t="shared" si="108"/>
        <v>2020</v>
      </c>
      <c r="C3484" s="18">
        <f t="shared" si="109"/>
        <v>5</v>
      </c>
      <c r="D3484" s="3" t="s">
        <v>895</v>
      </c>
      <c r="E3484" s="3" t="s">
        <v>23</v>
      </c>
      <c r="F3484" s="3" t="s">
        <v>19</v>
      </c>
      <c r="G3484" s="3" t="s">
        <v>20</v>
      </c>
      <c r="H3484" s="3" t="s">
        <v>1945</v>
      </c>
      <c r="I3484" s="11">
        <v>161.816</v>
      </c>
      <c r="J3484" s="18">
        <v>3</v>
      </c>
      <c r="K3484" s="12">
        <v>-11.5938</v>
      </c>
    </row>
    <row r="3485" spans="1:11" x14ac:dyDescent="0.25">
      <c r="A3485" s="4">
        <v>43976</v>
      </c>
      <c r="B3485" s="19">
        <f t="shared" si="108"/>
        <v>2020</v>
      </c>
      <c r="C3485" s="19">
        <f t="shared" si="109"/>
        <v>5</v>
      </c>
      <c r="D3485" s="5" t="s">
        <v>805</v>
      </c>
      <c r="E3485" s="5" t="s">
        <v>94</v>
      </c>
      <c r="F3485" s="5" t="s">
        <v>14</v>
      </c>
      <c r="G3485" s="5" t="s">
        <v>24</v>
      </c>
      <c r="H3485" s="5" t="s">
        <v>1070</v>
      </c>
      <c r="I3485" s="13">
        <v>139</v>
      </c>
      <c r="J3485" s="19">
        <v>8</v>
      </c>
      <c r="K3485" s="14">
        <v>13.2</v>
      </c>
    </row>
    <row r="3486" spans="1:11" x14ac:dyDescent="0.25">
      <c r="A3486" s="2">
        <v>43976</v>
      </c>
      <c r="B3486" s="18">
        <f t="shared" si="108"/>
        <v>2020</v>
      </c>
      <c r="C3486" s="18">
        <f t="shared" si="109"/>
        <v>5</v>
      </c>
      <c r="D3486" s="3" t="s">
        <v>805</v>
      </c>
      <c r="E3486" s="3" t="s">
        <v>94</v>
      </c>
      <c r="F3486" s="3" t="s">
        <v>19</v>
      </c>
      <c r="G3486" s="3" t="s">
        <v>32</v>
      </c>
      <c r="H3486" s="3" t="s">
        <v>248</v>
      </c>
      <c r="I3486" s="11">
        <v>697.92</v>
      </c>
      <c r="J3486" s="18">
        <v>5</v>
      </c>
      <c r="K3486" s="12">
        <v>207.47499999999999</v>
      </c>
    </row>
    <row r="3487" spans="1:11" x14ac:dyDescent="0.25">
      <c r="A3487" s="4">
        <v>43976</v>
      </c>
      <c r="B3487" s="19">
        <f t="shared" si="108"/>
        <v>2020</v>
      </c>
      <c r="C3487" s="19">
        <f t="shared" si="109"/>
        <v>5</v>
      </c>
      <c r="D3487" s="5" t="s">
        <v>805</v>
      </c>
      <c r="E3487" s="5" t="s">
        <v>94</v>
      </c>
      <c r="F3487" s="5" t="s">
        <v>19</v>
      </c>
      <c r="G3487" s="5" t="s">
        <v>116</v>
      </c>
      <c r="H3487" s="5" t="s">
        <v>864</v>
      </c>
      <c r="I3487" s="13">
        <v>103.29</v>
      </c>
      <c r="J3487" s="19">
        <v>1</v>
      </c>
      <c r="K3487" s="14">
        <v>1.4804999999999999</v>
      </c>
    </row>
    <row r="3488" spans="1:11" x14ac:dyDescent="0.25">
      <c r="A3488" s="2">
        <v>43976</v>
      </c>
      <c r="B3488" s="18">
        <f t="shared" si="108"/>
        <v>2020</v>
      </c>
      <c r="C3488" s="18">
        <f t="shared" si="109"/>
        <v>5</v>
      </c>
      <c r="D3488" s="3" t="s">
        <v>570</v>
      </c>
      <c r="E3488" s="3" t="s">
        <v>23</v>
      </c>
      <c r="F3488" s="3" t="s">
        <v>19</v>
      </c>
      <c r="G3488" s="3" t="s">
        <v>20</v>
      </c>
      <c r="H3488" s="3" t="s">
        <v>2307</v>
      </c>
      <c r="I3488" s="11">
        <v>113.136</v>
      </c>
      <c r="J3488" s="18">
        <v>3</v>
      </c>
      <c r="K3488" s="12">
        <v>-11.2806</v>
      </c>
    </row>
    <row r="3489" spans="1:11" x14ac:dyDescent="0.25">
      <c r="A3489" s="4">
        <v>43976</v>
      </c>
      <c r="B3489" s="19">
        <f t="shared" si="108"/>
        <v>2020</v>
      </c>
      <c r="C3489" s="19">
        <f t="shared" si="109"/>
        <v>5</v>
      </c>
      <c r="D3489" s="5" t="s">
        <v>805</v>
      </c>
      <c r="E3489" s="5" t="s">
        <v>94</v>
      </c>
      <c r="F3489" s="5" t="s">
        <v>11</v>
      </c>
      <c r="G3489" s="5" t="s">
        <v>51</v>
      </c>
      <c r="H3489" s="5" t="s">
        <v>753</v>
      </c>
      <c r="I3489" s="13">
        <v>142.84</v>
      </c>
      <c r="J3489" s="19">
        <v>3</v>
      </c>
      <c r="K3489" s="14">
        <v>6.0288000000000004</v>
      </c>
    </row>
    <row r="3490" spans="1:11" x14ac:dyDescent="0.25">
      <c r="A3490" s="2">
        <v>43976</v>
      </c>
      <c r="B3490" s="18">
        <f t="shared" si="108"/>
        <v>2020</v>
      </c>
      <c r="C3490" s="18">
        <f t="shared" si="109"/>
        <v>5</v>
      </c>
      <c r="D3490" s="3" t="s">
        <v>1404</v>
      </c>
      <c r="E3490" s="3" t="s">
        <v>109</v>
      </c>
      <c r="F3490" s="3" t="s">
        <v>19</v>
      </c>
      <c r="G3490" s="3" t="s">
        <v>32</v>
      </c>
      <c r="H3490" s="3" t="s">
        <v>871</v>
      </c>
      <c r="I3490" s="11">
        <v>145.84</v>
      </c>
      <c r="J3490" s="18">
        <v>2</v>
      </c>
      <c r="K3490" s="12">
        <v>13.428000000000001</v>
      </c>
    </row>
    <row r="3491" spans="1:11" x14ac:dyDescent="0.25">
      <c r="A3491" s="4">
        <v>43977</v>
      </c>
      <c r="B3491" s="19">
        <f t="shared" si="108"/>
        <v>2020</v>
      </c>
      <c r="C3491" s="19">
        <f t="shared" si="109"/>
        <v>5</v>
      </c>
      <c r="D3491" s="5" t="s">
        <v>935</v>
      </c>
      <c r="E3491" s="5" t="s">
        <v>195</v>
      </c>
      <c r="F3491" s="5" t="s">
        <v>19</v>
      </c>
      <c r="G3491" s="5" t="s">
        <v>121</v>
      </c>
      <c r="H3491" s="5" t="s">
        <v>2308</v>
      </c>
      <c r="I3491" s="13">
        <v>248.44</v>
      </c>
      <c r="J3491" s="19">
        <v>3</v>
      </c>
      <c r="K3491" s="14">
        <v>62.531999999999996</v>
      </c>
    </row>
    <row r="3492" spans="1:11" x14ac:dyDescent="0.25">
      <c r="A3492" s="2">
        <v>43977</v>
      </c>
      <c r="B3492" s="18">
        <f t="shared" si="108"/>
        <v>2020</v>
      </c>
      <c r="C3492" s="18">
        <f t="shared" si="109"/>
        <v>5</v>
      </c>
      <c r="D3492" s="3" t="s">
        <v>2066</v>
      </c>
      <c r="E3492" s="3" t="s">
        <v>18</v>
      </c>
      <c r="F3492" s="3" t="s">
        <v>19</v>
      </c>
      <c r="G3492" s="3" t="s">
        <v>53</v>
      </c>
      <c r="H3492" s="3" t="s">
        <v>1166</v>
      </c>
      <c r="I3492" s="11">
        <v>77.959999999999994</v>
      </c>
      <c r="J3492" s="18">
        <v>2</v>
      </c>
      <c r="K3492" s="12">
        <v>6.2207999999999997</v>
      </c>
    </row>
    <row r="3493" spans="1:11" x14ac:dyDescent="0.25">
      <c r="A3493" s="4">
        <v>43977</v>
      </c>
      <c r="B3493" s="19">
        <f t="shared" si="108"/>
        <v>2020</v>
      </c>
      <c r="C3493" s="19">
        <f t="shared" si="109"/>
        <v>5</v>
      </c>
      <c r="D3493" s="5" t="s">
        <v>935</v>
      </c>
      <c r="E3493" s="5" t="s">
        <v>195</v>
      </c>
      <c r="F3493" s="5" t="s">
        <v>19</v>
      </c>
      <c r="G3493" s="5" t="s">
        <v>265</v>
      </c>
      <c r="H3493" s="5" t="s">
        <v>1434</v>
      </c>
      <c r="I3493" s="13">
        <v>126.76</v>
      </c>
      <c r="J3493" s="19">
        <v>2</v>
      </c>
      <c r="K3493" s="14">
        <v>0.77280000000000004</v>
      </c>
    </row>
    <row r="3494" spans="1:11" x14ac:dyDescent="0.25">
      <c r="A3494" s="2">
        <v>43977</v>
      </c>
      <c r="B3494" s="18">
        <f t="shared" si="108"/>
        <v>2020</v>
      </c>
      <c r="C3494" s="18">
        <f t="shared" si="109"/>
        <v>5</v>
      </c>
      <c r="D3494" s="3" t="s">
        <v>644</v>
      </c>
      <c r="E3494" s="3" t="s">
        <v>181</v>
      </c>
      <c r="F3494" s="3" t="s">
        <v>14</v>
      </c>
      <c r="G3494" s="3" t="s">
        <v>24</v>
      </c>
      <c r="H3494" s="3" t="s">
        <v>1060</v>
      </c>
      <c r="I3494" s="11">
        <v>130.08000000000001</v>
      </c>
      <c r="J3494" s="18">
        <v>2</v>
      </c>
      <c r="K3494" s="12">
        <v>6.9240000000000004</v>
      </c>
    </row>
    <row r="3495" spans="1:11" x14ac:dyDescent="0.25">
      <c r="A3495" s="4">
        <v>43978</v>
      </c>
      <c r="B3495" s="19">
        <f t="shared" si="108"/>
        <v>2020</v>
      </c>
      <c r="C3495" s="19">
        <f t="shared" si="109"/>
        <v>5</v>
      </c>
      <c r="D3495" s="5" t="s">
        <v>858</v>
      </c>
      <c r="E3495" s="5" t="s">
        <v>70</v>
      </c>
      <c r="F3495" s="5" t="s">
        <v>14</v>
      </c>
      <c r="G3495" s="5" t="s">
        <v>24</v>
      </c>
      <c r="H3495" s="5" t="s">
        <v>789</v>
      </c>
      <c r="I3495" s="13">
        <v>125.16</v>
      </c>
      <c r="J3495" s="19">
        <v>6</v>
      </c>
      <c r="K3495" s="14">
        <v>9.8160000000000007</v>
      </c>
    </row>
    <row r="3496" spans="1:11" x14ac:dyDescent="0.25">
      <c r="A3496" s="2">
        <v>43978</v>
      </c>
      <c r="B3496" s="18">
        <f t="shared" si="108"/>
        <v>2020</v>
      </c>
      <c r="C3496" s="18">
        <f t="shared" si="109"/>
        <v>5</v>
      </c>
      <c r="D3496" s="3" t="s">
        <v>1285</v>
      </c>
      <c r="E3496" s="3" t="s">
        <v>499</v>
      </c>
      <c r="F3496" s="3" t="s">
        <v>14</v>
      </c>
      <c r="G3496" s="3" t="s">
        <v>15</v>
      </c>
      <c r="H3496" s="3" t="s">
        <v>2295</v>
      </c>
      <c r="I3496" s="11">
        <v>342.37599999999998</v>
      </c>
      <c r="J3496" s="18">
        <v>3</v>
      </c>
      <c r="K3496" s="12">
        <v>22.6782</v>
      </c>
    </row>
    <row r="3497" spans="1:11" x14ac:dyDescent="0.25">
      <c r="A3497" s="4">
        <v>43978</v>
      </c>
      <c r="B3497" s="19">
        <f t="shared" si="108"/>
        <v>2020</v>
      </c>
      <c r="C3497" s="19">
        <f t="shared" si="109"/>
        <v>5</v>
      </c>
      <c r="D3497" s="5" t="s">
        <v>1285</v>
      </c>
      <c r="E3497" s="5" t="s">
        <v>499</v>
      </c>
      <c r="F3497" s="5" t="s">
        <v>19</v>
      </c>
      <c r="G3497" s="5" t="s">
        <v>20</v>
      </c>
      <c r="H3497" s="5" t="s">
        <v>2263</v>
      </c>
      <c r="I3497" s="13">
        <v>515.15</v>
      </c>
      <c r="J3497" s="19">
        <v>5</v>
      </c>
      <c r="K3497" s="14">
        <v>28.629000000000001</v>
      </c>
    </row>
    <row r="3498" spans="1:11" x14ac:dyDescent="0.25">
      <c r="A3498" s="2">
        <v>43978</v>
      </c>
      <c r="B3498" s="18">
        <f t="shared" si="108"/>
        <v>2020</v>
      </c>
      <c r="C3498" s="18">
        <f t="shared" si="109"/>
        <v>5</v>
      </c>
      <c r="D3498" s="3" t="s">
        <v>687</v>
      </c>
      <c r="E3498" s="3" t="s">
        <v>29</v>
      </c>
      <c r="F3498" s="3" t="s">
        <v>11</v>
      </c>
      <c r="G3498" s="3" t="s">
        <v>51</v>
      </c>
      <c r="H3498" s="3" t="s">
        <v>1562</v>
      </c>
      <c r="I3498" s="11">
        <v>521.29999999999995</v>
      </c>
      <c r="J3498" s="18">
        <v>5</v>
      </c>
      <c r="K3498" s="12">
        <v>138.417</v>
      </c>
    </row>
    <row r="3499" spans="1:11" x14ac:dyDescent="0.25">
      <c r="A3499" s="4">
        <v>43978</v>
      </c>
      <c r="B3499" s="19">
        <f t="shared" si="108"/>
        <v>2020</v>
      </c>
      <c r="C3499" s="19">
        <f t="shared" si="109"/>
        <v>5</v>
      </c>
      <c r="D3499" s="5" t="s">
        <v>48</v>
      </c>
      <c r="E3499" s="5" t="s">
        <v>195</v>
      </c>
      <c r="F3499" s="5" t="s">
        <v>14</v>
      </c>
      <c r="G3499" s="5" t="s">
        <v>15</v>
      </c>
      <c r="H3499" s="5" t="s">
        <v>1981</v>
      </c>
      <c r="I3499" s="13">
        <v>560.97</v>
      </c>
      <c r="J3499" s="19">
        <v>3</v>
      </c>
      <c r="K3499" s="14">
        <v>134.99250000000001</v>
      </c>
    </row>
    <row r="3500" spans="1:11" x14ac:dyDescent="0.25">
      <c r="A3500" s="2">
        <v>43978</v>
      </c>
      <c r="B3500" s="18">
        <f t="shared" si="108"/>
        <v>2020</v>
      </c>
      <c r="C3500" s="18">
        <f t="shared" si="109"/>
        <v>5</v>
      </c>
      <c r="D3500" s="3" t="s">
        <v>1695</v>
      </c>
      <c r="E3500" s="3" t="s">
        <v>35</v>
      </c>
      <c r="F3500" s="3" t="s">
        <v>14</v>
      </c>
      <c r="G3500" s="3" t="s">
        <v>24</v>
      </c>
      <c r="H3500" s="3" t="s">
        <v>2309</v>
      </c>
      <c r="I3500" s="11">
        <v>103.19199999999999</v>
      </c>
      <c r="J3500" s="18">
        <v>3</v>
      </c>
      <c r="K3500" s="12">
        <v>0.33989999999999998</v>
      </c>
    </row>
    <row r="3501" spans="1:11" x14ac:dyDescent="0.25">
      <c r="A3501" s="4">
        <v>43978</v>
      </c>
      <c r="B3501" s="19">
        <f t="shared" si="108"/>
        <v>2020</v>
      </c>
      <c r="C3501" s="19">
        <f t="shared" si="109"/>
        <v>5</v>
      </c>
      <c r="D3501" s="5" t="s">
        <v>1695</v>
      </c>
      <c r="E3501" s="5" t="s">
        <v>35</v>
      </c>
      <c r="F3501" s="5" t="s">
        <v>19</v>
      </c>
      <c r="G3501" s="5" t="s">
        <v>32</v>
      </c>
      <c r="H3501" s="5" t="s">
        <v>1191</v>
      </c>
      <c r="I3501" s="13">
        <v>115.06</v>
      </c>
      <c r="J3501" s="19">
        <v>5</v>
      </c>
      <c r="K3501" s="14">
        <v>-10.050000000000001</v>
      </c>
    </row>
    <row r="3502" spans="1:11" x14ac:dyDescent="0.25">
      <c r="A3502" s="2">
        <v>43978</v>
      </c>
      <c r="B3502" s="18">
        <f t="shared" si="108"/>
        <v>2020</v>
      </c>
      <c r="C3502" s="18">
        <f t="shared" si="109"/>
        <v>5</v>
      </c>
      <c r="D3502" s="3" t="s">
        <v>858</v>
      </c>
      <c r="E3502" s="3" t="s">
        <v>70</v>
      </c>
      <c r="F3502" s="3" t="s">
        <v>19</v>
      </c>
      <c r="G3502" s="3" t="s">
        <v>40</v>
      </c>
      <c r="H3502" s="3" t="s">
        <v>1672</v>
      </c>
      <c r="I3502" s="11">
        <v>136.44</v>
      </c>
      <c r="J3502" s="18">
        <v>3</v>
      </c>
      <c r="K3502" s="12">
        <v>7.86</v>
      </c>
    </row>
    <row r="3503" spans="1:11" x14ac:dyDescent="0.25">
      <c r="A3503" s="4">
        <v>43978</v>
      </c>
      <c r="B3503" s="19">
        <f t="shared" si="108"/>
        <v>2020</v>
      </c>
      <c r="C3503" s="19">
        <f t="shared" si="109"/>
        <v>5</v>
      </c>
      <c r="D3503" s="5" t="s">
        <v>1285</v>
      </c>
      <c r="E3503" s="5" t="s">
        <v>499</v>
      </c>
      <c r="F3503" s="5" t="s">
        <v>11</v>
      </c>
      <c r="G3503" s="5" t="s">
        <v>51</v>
      </c>
      <c r="H3503" s="5" t="s">
        <v>1628</v>
      </c>
      <c r="I3503" s="13">
        <v>138</v>
      </c>
      <c r="J3503" s="19">
        <v>4</v>
      </c>
      <c r="K3503" s="14">
        <v>14.7</v>
      </c>
    </row>
    <row r="3504" spans="1:11" x14ac:dyDescent="0.25">
      <c r="A3504" s="2">
        <v>43978</v>
      </c>
      <c r="B3504" s="18">
        <f t="shared" si="108"/>
        <v>2020</v>
      </c>
      <c r="C3504" s="18">
        <f t="shared" si="109"/>
        <v>5</v>
      </c>
      <c r="D3504" s="3" t="s">
        <v>100</v>
      </c>
      <c r="E3504" s="3" t="s">
        <v>219</v>
      </c>
      <c r="F3504" s="3" t="s">
        <v>19</v>
      </c>
      <c r="G3504" s="3" t="s">
        <v>53</v>
      </c>
      <c r="H3504" s="3" t="s">
        <v>76</v>
      </c>
      <c r="I3504" s="11">
        <v>146.91999999999999</v>
      </c>
      <c r="J3504" s="18">
        <v>5</v>
      </c>
      <c r="K3504" s="12">
        <v>9.0719999999999992</v>
      </c>
    </row>
    <row r="3505" spans="1:11" x14ac:dyDescent="0.25">
      <c r="A3505" s="4">
        <v>43978</v>
      </c>
      <c r="B3505" s="19">
        <f t="shared" si="108"/>
        <v>2020</v>
      </c>
      <c r="C3505" s="19">
        <f t="shared" si="109"/>
        <v>5</v>
      </c>
      <c r="D3505" s="5" t="s">
        <v>48</v>
      </c>
      <c r="E3505" s="5" t="s">
        <v>195</v>
      </c>
      <c r="F3505" s="5" t="s">
        <v>19</v>
      </c>
      <c r="G3505" s="5" t="s">
        <v>32</v>
      </c>
      <c r="H3505" s="5" t="s">
        <v>1155</v>
      </c>
      <c r="I3505" s="13">
        <v>165.34</v>
      </c>
      <c r="J3505" s="19">
        <v>2</v>
      </c>
      <c r="K3505" s="14">
        <v>28.0032</v>
      </c>
    </row>
    <row r="3506" spans="1:11" x14ac:dyDescent="0.25">
      <c r="A3506" s="2">
        <v>43979</v>
      </c>
      <c r="B3506" s="18">
        <f t="shared" si="108"/>
        <v>2020</v>
      </c>
      <c r="C3506" s="18">
        <f t="shared" si="109"/>
        <v>5</v>
      </c>
      <c r="D3506" s="3" t="s">
        <v>842</v>
      </c>
      <c r="E3506" s="3" t="s">
        <v>164</v>
      </c>
      <c r="F3506" s="3" t="s">
        <v>11</v>
      </c>
      <c r="G3506" s="3" t="s">
        <v>112</v>
      </c>
      <c r="H3506" s="3" t="s">
        <v>1518</v>
      </c>
      <c r="I3506" s="11">
        <v>117.869</v>
      </c>
      <c r="J3506" s="18">
        <v>3</v>
      </c>
      <c r="K3506" s="12">
        <v>-29.007300000000001</v>
      </c>
    </row>
    <row r="3507" spans="1:11" x14ac:dyDescent="0.25">
      <c r="A3507" s="4">
        <v>43979</v>
      </c>
      <c r="B3507" s="19">
        <f t="shared" si="108"/>
        <v>2020</v>
      </c>
      <c r="C3507" s="19">
        <f t="shared" si="109"/>
        <v>5</v>
      </c>
      <c r="D3507" s="5" t="s">
        <v>2310</v>
      </c>
      <c r="E3507" s="5" t="s">
        <v>10</v>
      </c>
      <c r="F3507" s="5" t="s">
        <v>19</v>
      </c>
      <c r="G3507" s="5" t="s">
        <v>121</v>
      </c>
      <c r="H3507" s="5" t="s">
        <v>2008</v>
      </c>
      <c r="I3507" s="13">
        <v>137.13</v>
      </c>
      <c r="J3507" s="19">
        <v>3</v>
      </c>
      <c r="K3507" s="14">
        <v>36.287700000000001</v>
      </c>
    </row>
    <row r="3508" spans="1:11" x14ac:dyDescent="0.25">
      <c r="A3508" s="2">
        <v>43979</v>
      </c>
      <c r="B3508" s="18">
        <f t="shared" si="108"/>
        <v>2020</v>
      </c>
      <c r="C3508" s="18">
        <f t="shared" si="109"/>
        <v>5</v>
      </c>
      <c r="D3508" s="3" t="s">
        <v>1220</v>
      </c>
      <c r="E3508" s="3" t="s">
        <v>67</v>
      </c>
      <c r="F3508" s="3" t="s">
        <v>11</v>
      </c>
      <c r="G3508" s="3" t="s">
        <v>12</v>
      </c>
      <c r="H3508" s="3" t="s">
        <v>13</v>
      </c>
      <c r="I3508" s="11">
        <v>156.96</v>
      </c>
      <c r="J3508" s="18">
        <v>4</v>
      </c>
      <c r="K3508" s="12">
        <v>-64.937600000000003</v>
      </c>
    </row>
    <row r="3509" spans="1:11" x14ac:dyDescent="0.25">
      <c r="A3509" s="4">
        <v>43979</v>
      </c>
      <c r="B3509" s="19">
        <f t="shared" si="108"/>
        <v>2020</v>
      </c>
      <c r="C3509" s="19">
        <f t="shared" si="109"/>
        <v>5</v>
      </c>
      <c r="D3509" s="5" t="s">
        <v>1624</v>
      </c>
      <c r="E3509" s="5" t="s">
        <v>198</v>
      </c>
      <c r="F3509" s="5" t="s">
        <v>14</v>
      </c>
      <c r="G3509" s="5" t="s">
        <v>15</v>
      </c>
      <c r="H3509" s="5" t="s">
        <v>1113</v>
      </c>
      <c r="I3509" s="13">
        <v>219.96</v>
      </c>
      <c r="J3509" s="19">
        <v>5</v>
      </c>
      <c r="K3509" s="14">
        <v>19.596</v>
      </c>
    </row>
    <row r="3510" spans="1:11" x14ac:dyDescent="0.25">
      <c r="A3510" s="2">
        <v>43979</v>
      </c>
      <c r="B3510" s="18">
        <f t="shared" si="108"/>
        <v>2020</v>
      </c>
      <c r="C3510" s="18">
        <f t="shared" si="109"/>
        <v>5</v>
      </c>
      <c r="D3510" s="3" t="s">
        <v>2311</v>
      </c>
      <c r="E3510" s="3" t="s">
        <v>104</v>
      </c>
      <c r="F3510" s="3" t="s">
        <v>11</v>
      </c>
      <c r="G3510" s="3" t="s">
        <v>51</v>
      </c>
      <c r="H3510" s="3" t="s">
        <v>1251</v>
      </c>
      <c r="I3510" s="11">
        <v>270.44</v>
      </c>
      <c r="J3510" s="18">
        <v>8</v>
      </c>
      <c r="K3510" s="12">
        <v>101.4504</v>
      </c>
    </row>
    <row r="3511" spans="1:11" x14ac:dyDescent="0.25">
      <c r="A3511" s="4">
        <v>43979</v>
      </c>
      <c r="B3511" s="19">
        <f t="shared" si="108"/>
        <v>2020</v>
      </c>
      <c r="C3511" s="19">
        <f t="shared" si="109"/>
        <v>5</v>
      </c>
      <c r="D3511" s="5" t="s">
        <v>1624</v>
      </c>
      <c r="E3511" s="5" t="s">
        <v>198</v>
      </c>
      <c r="F3511" s="5" t="s">
        <v>14</v>
      </c>
      <c r="G3511" s="5" t="s">
        <v>24</v>
      </c>
      <c r="H3511" s="5" t="s">
        <v>89</v>
      </c>
      <c r="I3511" s="13">
        <v>291.96800000000002</v>
      </c>
      <c r="J3511" s="19">
        <v>4</v>
      </c>
      <c r="K3511" s="14">
        <v>54.393599999999999</v>
      </c>
    </row>
    <row r="3512" spans="1:11" x14ac:dyDescent="0.25">
      <c r="A3512" s="2">
        <v>43979</v>
      </c>
      <c r="B3512" s="18">
        <f t="shared" si="108"/>
        <v>2020</v>
      </c>
      <c r="C3512" s="18">
        <f t="shared" si="109"/>
        <v>5</v>
      </c>
      <c r="D3512" s="3" t="s">
        <v>1587</v>
      </c>
      <c r="E3512" s="3" t="s">
        <v>1148</v>
      </c>
      <c r="F3512" s="3" t="s">
        <v>11</v>
      </c>
      <c r="G3512" s="3" t="s">
        <v>112</v>
      </c>
      <c r="H3512" s="3" t="s">
        <v>442</v>
      </c>
      <c r="I3512" s="11">
        <v>323.95999999999998</v>
      </c>
      <c r="J3512" s="18">
        <v>2</v>
      </c>
      <c r="K3512" s="12">
        <v>33.215600000000002</v>
      </c>
    </row>
    <row r="3513" spans="1:11" x14ac:dyDescent="0.25">
      <c r="A3513" s="4">
        <v>43979</v>
      </c>
      <c r="B3513" s="19">
        <f t="shared" si="108"/>
        <v>2020</v>
      </c>
      <c r="C3513" s="19">
        <f t="shared" si="109"/>
        <v>5</v>
      </c>
      <c r="D3513" s="5" t="s">
        <v>1220</v>
      </c>
      <c r="E3513" s="5" t="s">
        <v>67</v>
      </c>
      <c r="F3513" s="5" t="s">
        <v>19</v>
      </c>
      <c r="G3513" s="5" t="s">
        <v>53</v>
      </c>
      <c r="H3513" s="5" t="s">
        <v>1965</v>
      </c>
      <c r="I3513" s="13">
        <v>101.872</v>
      </c>
      <c r="J3513" s="19">
        <v>3</v>
      </c>
      <c r="K3513" s="14">
        <v>5.0286</v>
      </c>
    </row>
    <row r="3514" spans="1:11" x14ac:dyDescent="0.25">
      <c r="A3514" s="2">
        <v>43979</v>
      </c>
      <c r="B3514" s="18">
        <f t="shared" si="108"/>
        <v>2020</v>
      </c>
      <c r="C3514" s="18">
        <f t="shared" si="109"/>
        <v>5</v>
      </c>
      <c r="D3514" s="3" t="s">
        <v>842</v>
      </c>
      <c r="E3514" s="3" t="s">
        <v>164</v>
      </c>
      <c r="F3514" s="3" t="s">
        <v>19</v>
      </c>
      <c r="G3514" s="3" t="s">
        <v>32</v>
      </c>
      <c r="H3514" s="3" t="s">
        <v>33</v>
      </c>
      <c r="I3514" s="11">
        <v>94.563999999999993</v>
      </c>
      <c r="J3514" s="18">
        <v>3</v>
      </c>
      <c r="K3514" s="12">
        <v>-6.2370000000000001</v>
      </c>
    </row>
    <row r="3515" spans="1:11" x14ac:dyDescent="0.25">
      <c r="A3515" s="4">
        <v>43979</v>
      </c>
      <c r="B3515" s="19">
        <f t="shared" si="108"/>
        <v>2020</v>
      </c>
      <c r="C3515" s="19">
        <f t="shared" si="109"/>
        <v>5</v>
      </c>
      <c r="D3515" s="5" t="s">
        <v>1624</v>
      </c>
      <c r="E3515" s="5" t="s">
        <v>198</v>
      </c>
      <c r="F3515" s="5" t="s">
        <v>19</v>
      </c>
      <c r="G3515" s="5" t="s">
        <v>53</v>
      </c>
      <c r="H3515" s="5" t="s">
        <v>1000</v>
      </c>
      <c r="I3515" s="13">
        <v>130.55199999999999</v>
      </c>
      <c r="J3515" s="19">
        <v>3</v>
      </c>
      <c r="K3515" s="14">
        <v>5.4432</v>
      </c>
    </row>
    <row r="3516" spans="1:11" x14ac:dyDescent="0.25">
      <c r="A3516" s="2">
        <v>43979</v>
      </c>
      <c r="B3516" s="18">
        <f t="shared" si="108"/>
        <v>2020</v>
      </c>
      <c r="C3516" s="18">
        <f t="shared" si="109"/>
        <v>5</v>
      </c>
      <c r="D3516" s="3" t="s">
        <v>2310</v>
      </c>
      <c r="E3516" s="3" t="s">
        <v>10</v>
      </c>
      <c r="F3516" s="3" t="s">
        <v>11</v>
      </c>
      <c r="G3516" s="3" t="s">
        <v>51</v>
      </c>
      <c r="H3516" s="3" t="s">
        <v>2312</v>
      </c>
      <c r="I3516" s="11">
        <v>123.46</v>
      </c>
      <c r="J3516" s="18">
        <v>2</v>
      </c>
      <c r="K3516" s="12">
        <v>9.8856000000000002</v>
      </c>
    </row>
    <row r="3517" spans="1:11" x14ac:dyDescent="0.25">
      <c r="A3517" s="4">
        <v>43979</v>
      </c>
      <c r="B3517" s="19">
        <f t="shared" si="108"/>
        <v>2020</v>
      </c>
      <c r="C3517" s="19">
        <f t="shared" si="109"/>
        <v>5</v>
      </c>
      <c r="D3517" s="5" t="s">
        <v>1688</v>
      </c>
      <c r="E3517" s="5" t="s">
        <v>23</v>
      </c>
      <c r="F3517" s="5" t="s">
        <v>14</v>
      </c>
      <c r="G3517" s="5" t="s">
        <v>15</v>
      </c>
      <c r="H3517" s="5" t="s">
        <v>2215</v>
      </c>
      <c r="I3517" s="13">
        <v>128.36799999999999</v>
      </c>
      <c r="J3517" s="19">
        <v>4</v>
      </c>
      <c r="K3517" s="14">
        <v>4.0776000000000003</v>
      </c>
    </row>
    <row r="3518" spans="1:11" x14ac:dyDescent="0.25">
      <c r="A3518" s="2">
        <v>43980</v>
      </c>
      <c r="B3518" s="18">
        <f t="shared" si="108"/>
        <v>2020</v>
      </c>
      <c r="C3518" s="18">
        <f t="shared" si="109"/>
        <v>5</v>
      </c>
      <c r="D3518" s="3" t="s">
        <v>1668</v>
      </c>
      <c r="E3518" s="3" t="s">
        <v>317</v>
      </c>
      <c r="F3518" s="3" t="s">
        <v>19</v>
      </c>
      <c r="G3518" s="3" t="s">
        <v>121</v>
      </c>
      <c r="H3518" s="3" t="s">
        <v>1655</v>
      </c>
      <c r="I3518" s="11">
        <v>480.16</v>
      </c>
      <c r="J3518" s="18">
        <v>2</v>
      </c>
      <c r="K3518" s="12">
        <v>120.94159999999999</v>
      </c>
    </row>
    <row r="3519" spans="1:11" x14ac:dyDescent="0.25">
      <c r="A3519" s="4">
        <v>43980</v>
      </c>
      <c r="B3519" s="19">
        <f t="shared" si="108"/>
        <v>2020</v>
      </c>
      <c r="C3519" s="19">
        <f t="shared" si="109"/>
        <v>5</v>
      </c>
      <c r="D3519" s="5" t="s">
        <v>427</v>
      </c>
      <c r="E3519" s="5" t="s">
        <v>23</v>
      </c>
      <c r="F3519" s="5" t="s">
        <v>11</v>
      </c>
      <c r="G3519" s="5" t="s">
        <v>51</v>
      </c>
      <c r="H3519" s="5" t="s">
        <v>1117</v>
      </c>
      <c r="I3519" s="13">
        <v>2112.424</v>
      </c>
      <c r="J3519" s="19">
        <v>4</v>
      </c>
      <c r="K3519" s="14">
        <v>-52.339199999999998</v>
      </c>
    </row>
    <row r="3520" spans="1:11" x14ac:dyDescent="0.25">
      <c r="A3520" s="2">
        <v>43980</v>
      </c>
      <c r="B3520" s="18">
        <f t="shared" si="108"/>
        <v>2020</v>
      </c>
      <c r="C3520" s="18">
        <f t="shared" si="109"/>
        <v>5</v>
      </c>
      <c r="D3520" s="3" t="s">
        <v>1668</v>
      </c>
      <c r="E3520" s="3" t="s">
        <v>317</v>
      </c>
      <c r="F3520" s="3" t="s">
        <v>11</v>
      </c>
      <c r="G3520" s="3" t="s">
        <v>51</v>
      </c>
      <c r="H3520" s="3" t="s">
        <v>692</v>
      </c>
      <c r="I3520" s="11">
        <v>113.24</v>
      </c>
      <c r="J3520" s="18">
        <v>3</v>
      </c>
      <c r="K3520" s="12">
        <v>2.6208</v>
      </c>
    </row>
    <row r="3521" spans="1:11" x14ac:dyDescent="0.25">
      <c r="A3521" s="4">
        <v>43980</v>
      </c>
      <c r="B3521" s="19">
        <f t="shared" si="108"/>
        <v>2020</v>
      </c>
      <c r="C3521" s="19">
        <f t="shared" si="109"/>
        <v>5</v>
      </c>
      <c r="D3521" s="5" t="s">
        <v>1668</v>
      </c>
      <c r="E3521" s="5" t="s">
        <v>317</v>
      </c>
      <c r="F3521" s="5" t="s">
        <v>19</v>
      </c>
      <c r="G3521" s="5" t="s">
        <v>53</v>
      </c>
      <c r="H3521" s="5" t="s">
        <v>2313</v>
      </c>
      <c r="I3521" s="13">
        <v>120.98</v>
      </c>
      <c r="J3521" s="19">
        <v>1</v>
      </c>
      <c r="K3521" s="14">
        <v>3.99</v>
      </c>
    </row>
    <row r="3522" spans="1:11" x14ac:dyDescent="0.25">
      <c r="A3522" s="2">
        <v>43980</v>
      </c>
      <c r="B3522" s="18">
        <f t="shared" ref="B3522:B3585" si="110">YEAR(A3522)</f>
        <v>2020</v>
      </c>
      <c r="C3522" s="18">
        <f t="shared" ref="C3522:C3585" si="111">MONTH(A3522)</f>
        <v>5</v>
      </c>
      <c r="D3522" s="3" t="s">
        <v>2243</v>
      </c>
      <c r="E3522" s="3" t="s">
        <v>651</v>
      </c>
      <c r="F3522" s="3" t="s">
        <v>19</v>
      </c>
      <c r="G3522" s="3" t="s">
        <v>116</v>
      </c>
      <c r="H3522" s="3" t="s">
        <v>2314</v>
      </c>
      <c r="I3522" s="11">
        <v>122.55</v>
      </c>
      <c r="J3522" s="18">
        <v>5</v>
      </c>
      <c r="K3522" s="12">
        <v>1.1775</v>
      </c>
    </row>
    <row r="3523" spans="1:11" x14ac:dyDescent="0.25">
      <c r="A3523" s="4">
        <v>43980</v>
      </c>
      <c r="B3523" s="19">
        <f t="shared" si="110"/>
        <v>2020</v>
      </c>
      <c r="C3523" s="19">
        <f t="shared" si="111"/>
        <v>5</v>
      </c>
      <c r="D3523" s="5" t="s">
        <v>1167</v>
      </c>
      <c r="E3523" s="5" t="s">
        <v>23</v>
      </c>
      <c r="F3523" s="5" t="s">
        <v>19</v>
      </c>
      <c r="G3523" s="5" t="s">
        <v>53</v>
      </c>
      <c r="H3523" s="5" t="s">
        <v>1510</v>
      </c>
      <c r="I3523" s="13">
        <v>125.92</v>
      </c>
      <c r="J3523" s="19">
        <v>5</v>
      </c>
      <c r="K3523" s="14">
        <v>9.3960000000000008</v>
      </c>
    </row>
    <row r="3524" spans="1:11" x14ac:dyDescent="0.25">
      <c r="A3524" s="2">
        <v>43980</v>
      </c>
      <c r="B3524" s="18">
        <f t="shared" si="110"/>
        <v>2020</v>
      </c>
      <c r="C3524" s="18">
        <f t="shared" si="111"/>
        <v>5</v>
      </c>
      <c r="D3524" s="3" t="s">
        <v>1668</v>
      </c>
      <c r="E3524" s="3" t="s">
        <v>317</v>
      </c>
      <c r="F3524" s="3" t="s">
        <v>19</v>
      </c>
      <c r="G3524" s="3" t="s">
        <v>32</v>
      </c>
      <c r="H3524" s="3" t="s">
        <v>359</v>
      </c>
      <c r="I3524" s="11">
        <v>130.41</v>
      </c>
      <c r="J3524" s="18">
        <v>1</v>
      </c>
      <c r="K3524" s="12">
        <v>19.968599999999999</v>
      </c>
    </row>
    <row r="3525" spans="1:11" x14ac:dyDescent="0.25">
      <c r="A3525" s="4">
        <v>43980</v>
      </c>
      <c r="B3525" s="19">
        <f t="shared" si="110"/>
        <v>2020</v>
      </c>
      <c r="C3525" s="19">
        <f t="shared" si="111"/>
        <v>5</v>
      </c>
      <c r="D3525" s="5" t="s">
        <v>1167</v>
      </c>
      <c r="E3525" s="5" t="s">
        <v>23</v>
      </c>
      <c r="F3525" s="5" t="s">
        <v>19</v>
      </c>
      <c r="G3525" s="5" t="s">
        <v>20</v>
      </c>
      <c r="H3525" s="5" t="s">
        <v>1821</v>
      </c>
      <c r="I3525" s="13">
        <v>132.42400000000001</v>
      </c>
      <c r="J3525" s="19">
        <v>3</v>
      </c>
      <c r="K3525" s="14">
        <v>4.6745999999999999</v>
      </c>
    </row>
    <row r="3526" spans="1:11" x14ac:dyDescent="0.25">
      <c r="A3526" s="2">
        <v>43981</v>
      </c>
      <c r="B3526" s="18">
        <f t="shared" si="110"/>
        <v>2020</v>
      </c>
      <c r="C3526" s="18">
        <f t="shared" si="111"/>
        <v>5</v>
      </c>
      <c r="D3526" s="3" t="s">
        <v>331</v>
      </c>
      <c r="E3526" s="3" t="s">
        <v>465</v>
      </c>
      <c r="F3526" s="3" t="s">
        <v>14</v>
      </c>
      <c r="G3526" s="3" t="s">
        <v>15</v>
      </c>
      <c r="H3526" s="3" t="s">
        <v>2315</v>
      </c>
      <c r="I3526" s="11">
        <v>180.792</v>
      </c>
      <c r="J3526" s="18">
        <v>1</v>
      </c>
      <c r="K3526" s="12">
        <v>17.639099999999999</v>
      </c>
    </row>
    <row r="3527" spans="1:11" x14ac:dyDescent="0.25">
      <c r="A3527" s="4">
        <v>43981</v>
      </c>
      <c r="B3527" s="19">
        <f t="shared" si="110"/>
        <v>2020</v>
      </c>
      <c r="C3527" s="19">
        <f t="shared" si="111"/>
        <v>5</v>
      </c>
      <c r="D3527" s="5" t="s">
        <v>1540</v>
      </c>
      <c r="E3527" s="5" t="s">
        <v>23</v>
      </c>
      <c r="F3527" s="5" t="s">
        <v>11</v>
      </c>
      <c r="G3527" s="5" t="s">
        <v>12</v>
      </c>
      <c r="H3527" s="5" t="s">
        <v>1174</v>
      </c>
      <c r="I3527" s="13">
        <v>221.66640000000001</v>
      </c>
      <c r="J3527" s="19">
        <v>1</v>
      </c>
      <c r="K3527" s="14">
        <v>-6.0195999999999996</v>
      </c>
    </row>
    <row r="3528" spans="1:11" x14ac:dyDescent="0.25">
      <c r="A3528" s="2">
        <v>43981</v>
      </c>
      <c r="B3528" s="18">
        <f t="shared" si="110"/>
        <v>2020</v>
      </c>
      <c r="C3528" s="18">
        <f t="shared" si="111"/>
        <v>5</v>
      </c>
      <c r="D3528" s="3" t="s">
        <v>291</v>
      </c>
      <c r="E3528" s="3" t="s">
        <v>394</v>
      </c>
      <c r="F3528" s="3" t="s">
        <v>11</v>
      </c>
      <c r="G3528" s="3" t="s">
        <v>12</v>
      </c>
      <c r="H3528" s="3" t="s">
        <v>2316</v>
      </c>
      <c r="I3528" s="11">
        <v>276.95999999999998</v>
      </c>
      <c r="J3528" s="18">
        <v>2</v>
      </c>
      <c r="K3528" s="12">
        <v>33.874400000000001</v>
      </c>
    </row>
    <row r="3529" spans="1:11" x14ac:dyDescent="0.25">
      <c r="A3529" s="4">
        <v>43981</v>
      </c>
      <c r="B3529" s="19">
        <f t="shared" si="110"/>
        <v>2020</v>
      </c>
      <c r="C3529" s="19">
        <f t="shared" si="111"/>
        <v>5</v>
      </c>
      <c r="D3529" s="5" t="s">
        <v>291</v>
      </c>
      <c r="E3529" s="5" t="s">
        <v>394</v>
      </c>
      <c r="F3529" s="5" t="s">
        <v>11</v>
      </c>
      <c r="G3529" s="5" t="s">
        <v>51</v>
      </c>
      <c r="H3529" s="5" t="s">
        <v>191</v>
      </c>
      <c r="I3529" s="13">
        <v>1027.01</v>
      </c>
      <c r="J3529" s="19">
        <v>3</v>
      </c>
      <c r="K3529" s="14">
        <v>3.0438000000000001</v>
      </c>
    </row>
    <row r="3530" spans="1:11" x14ac:dyDescent="0.25">
      <c r="A3530" s="2">
        <v>43981</v>
      </c>
      <c r="B3530" s="18">
        <f t="shared" si="110"/>
        <v>2020</v>
      </c>
      <c r="C3530" s="18">
        <f t="shared" si="111"/>
        <v>5</v>
      </c>
      <c r="D3530" s="3" t="s">
        <v>2065</v>
      </c>
      <c r="E3530" s="3" t="s">
        <v>18</v>
      </c>
      <c r="F3530" s="3" t="s">
        <v>19</v>
      </c>
      <c r="G3530" s="3" t="s">
        <v>40</v>
      </c>
      <c r="H3530" s="3" t="s">
        <v>1916</v>
      </c>
      <c r="I3530" s="11">
        <v>2049.1</v>
      </c>
      <c r="J3530" s="18">
        <v>6</v>
      </c>
      <c r="K3530" s="12">
        <v>10.179</v>
      </c>
    </row>
    <row r="3531" spans="1:11" x14ac:dyDescent="0.25">
      <c r="A3531" s="4">
        <v>43981</v>
      </c>
      <c r="B3531" s="19">
        <f t="shared" si="110"/>
        <v>2020</v>
      </c>
      <c r="C3531" s="19">
        <f t="shared" si="111"/>
        <v>5</v>
      </c>
      <c r="D3531" s="5" t="s">
        <v>291</v>
      </c>
      <c r="E3531" s="5" t="s">
        <v>394</v>
      </c>
      <c r="F3531" s="5" t="s">
        <v>19</v>
      </c>
      <c r="G3531" s="5" t="s">
        <v>32</v>
      </c>
      <c r="H3531" s="5" t="s">
        <v>676</v>
      </c>
      <c r="I3531" s="13">
        <v>81.89</v>
      </c>
      <c r="J3531" s="19">
        <v>1</v>
      </c>
      <c r="K3531" s="14">
        <v>1.8672</v>
      </c>
    </row>
    <row r="3532" spans="1:11" x14ac:dyDescent="0.25">
      <c r="A3532" s="2">
        <v>43981</v>
      </c>
      <c r="B3532" s="18">
        <f t="shared" si="110"/>
        <v>2020</v>
      </c>
      <c r="C3532" s="18">
        <f t="shared" si="111"/>
        <v>5</v>
      </c>
      <c r="D3532" s="3" t="s">
        <v>183</v>
      </c>
      <c r="E3532" s="3" t="s">
        <v>18</v>
      </c>
      <c r="F3532" s="3" t="s">
        <v>19</v>
      </c>
      <c r="G3532" s="3" t="s">
        <v>53</v>
      </c>
      <c r="H3532" s="3" t="s">
        <v>1373</v>
      </c>
      <c r="I3532" s="11">
        <v>106.52</v>
      </c>
      <c r="J3532" s="18">
        <v>4</v>
      </c>
      <c r="K3532" s="12">
        <v>18.009599999999999</v>
      </c>
    </row>
    <row r="3533" spans="1:11" x14ac:dyDescent="0.25">
      <c r="A3533" s="4">
        <v>43981</v>
      </c>
      <c r="B3533" s="19">
        <f t="shared" si="110"/>
        <v>2020</v>
      </c>
      <c r="C3533" s="19">
        <f t="shared" si="111"/>
        <v>5</v>
      </c>
      <c r="D3533" s="5" t="s">
        <v>331</v>
      </c>
      <c r="E3533" s="5" t="s">
        <v>465</v>
      </c>
      <c r="F3533" s="5" t="s">
        <v>11</v>
      </c>
      <c r="G3533" s="5" t="s">
        <v>51</v>
      </c>
      <c r="H3533" s="5" t="s">
        <v>2317</v>
      </c>
      <c r="I3533" s="13">
        <v>123.592</v>
      </c>
      <c r="J3533" s="19">
        <v>1</v>
      </c>
      <c r="K3533" s="14">
        <v>-0.33979999999999999</v>
      </c>
    </row>
    <row r="3534" spans="1:11" x14ac:dyDescent="0.25">
      <c r="A3534" s="2">
        <v>43981</v>
      </c>
      <c r="B3534" s="18">
        <f t="shared" si="110"/>
        <v>2020</v>
      </c>
      <c r="C3534" s="18">
        <f t="shared" si="111"/>
        <v>5</v>
      </c>
      <c r="D3534" s="3" t="s">
        <v>331</v>
      </c>
      <c r="E3534" s="3" t="s">
        <v>465</v>
      </c>
      <c r="F3534" s="3" t="s">
        <v>14</v>
      </c>
      <c r="G3534" s="3" t="s">
        <v>24</v>
      </c>
      <c r="H3534" s="3" t="s">
        <v>1744</v>
      </c>
      <c r="I3534" s="11">
        <v>144.36000000000001</v>
      </c>
      <c r="J3534" s="18">
        <v>2</v>
      </c>
      <c r="K3534" s="12">
        <v>-3.0939999999999999</v>
      </c>
    </row>
    <row r="3535" spans="1:11" x14ac:dyDescent="0.25">
      <c r="A3535" s="4">
        <v>43983</v>
      </c>
      <c r="B3535" s="19">
        <f t="shared" si="110"/>
        <v>2020</v>
      </c>
      <c r="C3535" s="19">
        <f t="shared" si="111"/>
        <v>6</v>
      </c>
      <c r="D3535" s="5" t="s">
        <v>1378</v>
      </c>
      <c r="E3535" s="5" t="s">
        <v>317</v>
      </c>
      <c r="F3535" s="5" t="s">
        <v>14</v>
      </c>
      <c r="G3535" s="5" t="s">
        <v>24</v>
      </c>
      <c r="H3535" s="5" t="s">
        <v>2164</v>
      </c>
      <c r="I3535" s="13">
        <v>118.97</v>
      </c>
      <c r="J3535" s="19">
        <v>3</v>
      </c>
      <c r="K3535" s="14">
        <v>15.9543</v>
      </c>
    </row>
    <row r="3536" spans="1:11" x14ac:dyDescent="0.25">
      <c r="A3536" s="2">
        <v>43983</v>
      </c>
      <c r="B3536" s="18">
        <f t="shared" si="110"/>
        <v>2020</v>
      </c>
      <c r="C3536" s="18">
        <f t="shared" si="111"/>
        <v>6</v>
      </c>
      <c r="D3536" s="3" t="s">
        <v>2126</v>
      </c>
      <c r="E3536" s="3" t="s">
        <v>67</v>
      </c>
      <c r="F3536" s="3" t="s">
        <v>14</v>
      </c>
      <c r="G3536" s="3" t="s">
        <v>15</v>
      </c>
      <c r="H3536" s="3" t="s">
        <v>1334</v>
      </c>
      <c r="I3536" s="11">
        <v>192.376</v>
      </c>
      <c r="J3536" s="18">
        <v>4</v>
      </c>
      <c r="K3536" s="12">
        <v>-34.314799999999998</v>
      </c>
    </row>
    <row r="3537" spans="1:11" x14ac:dyDescent="0.25">
      <c r="A3537" s="4">
        <v>43983</v>
      </c>
      <c r="B3537" s="19">
        <f t="shared" si="110"/>
        <v>2020</v>
      </c>
      <c r="C3537" s="19">
        <f t="shared" si="111"/>
        <v>6</v>
      </c>
      <c r="D3537" s="5" t="s">
        <v>2318</v>
      </c>
      <c r="E3537" s="5" t="s">
        <v>39</v>
      </c>
      <c r="F3537" s="5" t="s">
        <v>19</v>
      </c>
      <c r="G3537" s="5" t="s">
        <v>20</v>
      </c>
      <c r="H3537" s="5" t="s">
        <v>397</v>
      </c>
      <c r="I3537" s="13">
        <v>353.74400000000003</v>
      </c>
      <c r="J3537" s="19">
        <v>3</v>
      </c>
      <c r="K3537" s="14">
        <v>-77.1267</v>
      </c>
    </row>
    <row r="3538" spans="1:11" x14ac:dyDescent="0.25">
      <c r="A3538" s="2">
        <v>43983</v>
      </c>
      <c r="B3538" s="18">
        <f t="shared" si="110"/>
        <v>2020</v>
      </c>
      <c r="C3538" s="18">
        <f t="shared" si="111"/>
        <v>6</v>
      </c>
      <c r="D3538" s="3" t="s">
        <v>1378</v>
      </c>
      <c r="E3538" s="3" t="s">
        <v>317</v>
      </c>
      <c r="F3538" s="3" t="s">
        <v>11</v>
      </c>
      <c r="G3538" s="3" t="s">
        <v>112</v>
      </c>
      <c r="H3538" s="3" t="s">
        <v>400</v>
      </c>
      <c r="I3538" s="11">
        <v>1956.88</v>
      </c>
      <c r="J3538" s="18">
        <v>6</v>
      </c>
      <c r="K3538" s="12">
        <v>539.24639999999999</v>
      </c>
    </row>
    <row r="3539" spans="1:11" x14ac:dyDescent="0.25">
      <c r="A3539" s="4">
        <v>43983</v>
      </c>
      <c r="B3539" s="19">
        <f t="shared" si="110"/>
        <v>2020</v>
      </c>
      <c r="C3539" s="19">
        <f t="shared" si="111"/>
        <v>6</v>
      </c>
      <c r="D3539" s="5" t="s">
        <v>1378</v>
      </c>
      <c r="E3539" s="5" t="s">
        <v>317</v>
      </c>
      <c r="F3539" s="5" t="s">
        <v>19</v>
      </c>
      <c r="G3539" s="5" t="s">
        <v>121</v>
      </c>
      <c r="H3539" s="5" t="s">
        <v>450</v>
      </c>
      <c r="I3539" s="13">
        <v>2425.1999999999998</v>
      </c>
      <c r="J3539" s="19">
        <v>8</v>
      </c>
      <c r="K3539" s="14">
        <v>793.71600000000001</v>
      </c>
    </row>
    <row r="3540" spans="1:11" x14ac:dyDescent="0.25">
      <c r="A3540" s="2">
        <v>43983</v>
      </c>
      <c r="B3540" s="18">
        <f t="shared" si="110"/>
        <v>2020</v>
      </c>
      <c r="C3540" s="18">
        <f t="shared" si="111"/>
        <v>6</v>
      </c>
      <c r="D3540" s="3" t="s">
        <v>530</v>
      </c>
      <c r="E3540" s="3" t="s">
        <v>67</v>
      </c>
      <c r="F3540" s="3" t="s">
        <v>19</v>
      </c>
      <c r="G3540" s="3" t="s">
        <v>121</v>
      </c>
      <c r="H3540" s="3" t="s">
        <v>1575</v>
      </c>
      <c r="I3540" s="11">
        <v>105.48</v>
      </c>
      <c r="J3540" s="18">
        <v>5</v>
      </c>
      <c r="K3540" s="12">
        <v>1.3109999999999999</v>
      </c>
    </row>
    <row r="3541" spans="1:11" x14ac:dyDescent="0.25">
      <c r="A3541" s="4">
        <v>43983</v>
      </c>
      <c r="B3541" s="19">
        <f t="shared" si="110"/>
        <v>2020</v>
      </c>
      <c r="C3541" s="19">
        <f t="shared" si="111"/>
        <v>6</v>
      </c>
      <c r="D3541" s="5" t="s">
        <v>2126</v>
      </c>
      <c r="E3541" s="5" t="s">
        <v>67</v>
      </c>
      <c r="F3541" s="5" t="s">
        <v>19</v>
      </c>
      <c r="G3541" s="5" t="s">
        <v>32</v>
      </c>
      <c r="H3541" s="5" t="s">
        <v>888</v>
      </c>
      <c r="I3541" s="13">
        <v>108.798</v>
      </c>
      <c r="J3541" s="19">
        <v>2</v>
      </c>
      <c r="K3541" s="14">
        <v>-2.6585999999999999</v>
      </c>
    </row>
    <row r="3542" spans="1:11" x14ac:dyDescent="0.25">
      <c r="A3542" s="2">
        <v>43983</v>
      </c>
      <c r="B3542" s="18">
        <f t="shared" si="110"/>
        <v>2020</v>
      </c>
      <c r="C3542" s="18">
        <f t="shared" si="111"/>
        <v>6</v>
      </c>
      <c r="D3542" s="3" t="s">
        <v>2126</v>
      </c>
      <c r="E3542" s="3" t="s">
        <v>67</v>
      </c>
      <c r="F3542" s="3" t="s">
        <v>19</v>
      </c>
      <c r="G3542" s="3" t="s">
        <v>53</v>
      </c>
      <c r="H3542" s="3" t="s">
        <v>1828</v>
      </c>
      <c r="I3542" s="11">
        <v>140.744</v>
      </c>
      <c r="J3542" s="18">
        <v>6</v>
      </c>
      <c r="K3542" s="12">
        <v>10.0572</v>
      </c>
    </row>
    <row r="3543" spans="1:11" x14ac:dyDescent="0.25">
      <c r="A3543" s="4">
        <v>43983</v>
      </c>
      <c r="B3543" s="19">
        <f t="shared" si="110"/>
        <v>2020</v>
      </c>
      <c r="C3543" s="19">
        <f t="shared" si="111"/>
        <v>6</v>
      </c>
      <c r="D3543" s="5" t="s">
        <v>1378</v>
      </c>
      <c r="E3543" s="5" t="s">
        <v>317</v>
      </c>
      <c r="F3543" s="5" t="s">
        <v>19</v>
      </c>
      <c r="G3543" s="5" t="s">
        <v>32</v>
      </c>
      <c r="H3543" s="5" t="s">
        <v>1855</v>
      </c>
      <c r="I3543" s="13">
        <v>149.38</v>
      </c>
      <c r="J3543" s="19">
        <v>2</v>
      </c>
      <c r="K3543" s="14">
        <v>8.69</v>
      </c>
    </row>
    <row r="3544" spans="1:11" x14ac:dyDescent="0.25">
      <c r="A3544" s="2">
        <v>43983</v>
      </c>
      <c r="B3544" s="18">
        <f t="shared" si="110"/>
        <v>2020</v>
      </c>
      <c r="C3544" s="18">
        <f t="shared" si="111"/>
        <v>6</v>
      </c>
      <c r="D3544" s="3" t="s">
        <v>1378</v>
      </c>
      <c r="E3544" s="3" t="s">
        <v>317</v>
      </c>
      <c r="F3544" s="3" t="s">
        <v>14</v>
      </c>
      <c r="G3544" s="3" t="s">
        <v>24</v>
      </c>
      <c r="H3544" s="3" t="s">
        <v>45</v>
      </c>
      <c r="I3544" s="11">
        <v>143.88999999999999</v>
      </c>
      <c r="J3544" s="18">
        <v>1</v>
      </c>
      <c r="K3544" s="12">
        <v>14.7593</v>
      </c>
    </row>
    <row r="3545" spans="1:11" x14ac:dyDescent="0.25">
      <c r="A3545" s="4">
        <v>43983</v>
      </c>
      <c r="B3545" s="19">
        <f t="shared" si="110"/>
        <v>2020</v>
      </c>
      <c r="C3545" s="19">
        <f t="shared" si="111"/>
        <v>6</v>
      </c>
      <c r="D3545" s="5" t="s">
        <v>817</v>
      </c>
      <c r="E3545" s="5" t="s">
        <v>651</v>
      </c>
      <c r="F3545" s="5" t="s">
        <v>19</v>
      </c>
      <c r="G3545" s="5" t="s">
        <v>32</v>
      </c>
      <c r="H3545" s="5" t="s">
        <v>149</v>
      </c>
      <c r="I3545" s="13">
        <v>140.9</v>
      </c>
      <c r="J3545" s="19">
        <v>5</v>
      </c>
      <c r="K3545" s="14">
        <v>25.872</v>
      </c>
    </row>
    <row r="3546" spans="1:11" x14ac:dyDescent="0.25">
      <c r="A3546" s="2">
        <v>43984</v>
      </c>
      <c r="B3546" s="18">
        <f t="shared" si="110"/>
        <v>2020</v>
      </c>
      <c r="C3546" s="18">
        <f t="shared" si="111"/>
        <v>6</v>
      </c>
      <c r="D3546" s="3" t="s">
        <v>853</v>
      </c>
      <c r="E3546" s="3" t="s">
        <v>198</v>
      </c>
      <c r="F3546" s="3" t="s">
        <v>19</v>
      </c>
      <c r="G3546" s="3" t="s">
        <v>53</v>
      </c>
      <c r="H3546" s="3" t="s">
        <v>1862</v>
      </c>
      <c r="I3546" s="11">
        <v>120.34399999999999</v>
      </c>
      <c r="J3546" s="18">
        <v>6</v>
      </c>
      <c r="K3546" s="12">
        <v>7.92</v>
      </c>
    </row>
    <row r="3547" spans="1:11" x14ac:dyDescent="0.25">
      <c r="A3547" s="4">
        <v>43984</v>
      </c>
      <c r="B3547" s="19">
        <f t="shared" si="110"/>
        <v>2020</v>
      </c>
      <c r="C3547" s="19">
        <f t="shared" si="111"/>
        <v>6</v>
      </c>
      <c r="D3547" s="5" t="s">
        <v>1120</v>
      </c>
      <c r="E3547" s="5" t="s">
        <v>67</v>
      </c>
      <c r="F3547" s="5" t="s">
        <v>14</v>
      </c>
      <c r="G3547" s="5" t="s">
        <v>15</v>
      </c>
      <c r="H3547" s="5" t="s">
        <v>2319</v>
      </c>
      <c r="I3547" s="13">
        <v>95.97</v>
      </c>
      <c r="J3547" s="19">
        <v>1</v>
      </c>
      <c r="K3547" s="14">
        <v>-0.64349999999999996</v>
      </c>
    </row>
    <row r="3548" spans="1:11" x14ac:dyDescent="0.25">
      <c r="A3548" s="2">
        <v>43984</v>
      </c>
      <c r="B3548" s="18">
        <f t="shared" si="110"/>
        <v>2020</v>
      </c>
      <c r="C3548" s="18">
        <f t="shared" si="111"/>
        <v>6</v>
      </c>
      <c r="D3548" s="3" t="s">
        <v>2320</v>
      </c>
      <c r="E3548" s="3" t="s">
        <v>35</v>
      </c>
      <c r="F3548" s="3" t="s">
        <v>19</v>
      </c>
      <c r="G3548" s="3" t="s">
        <v>53</v>
      </c>
      <c r="H3548" s="3" t="s">
        <v>2299</v>
      </c>
      <c r="I3548" s="11">
        <v>110.34399999999999</v>
      </c>
      <c r="J3548" s="18">
        <v>4</v>
      </c>
      <c r="K3548" s="12">
        <v>9.1872000000000007</v>
      </c>
    </row>
    <row r="3549" spans="1:11" x14ac:dyDescent="0.25">
      <c r="A3549" s="4">
        <v>43984</v>
      </c>
      <c r="B3549" s="19">
        <f t="shared" si="110"/>
        <v>2020</v>
      </c>
      <c r="C3549" s="19">
        <f t="shared" si="111"/>
        <v>6</v>
      </c>
      <c r="D3549" s="5" t="s">
        <v>254</v>
      </c>
      <c r="E3549" s="5" t="s">
        <v>23</v>
      </c>
      <c r="F3549" s="5" t="s">
        <v>19</v>
      </c>
      <c r="G3549" s="5" t="s">
        <v>53</v>
      </c>
      <c r="H3549" s="5" t="s">
        <v>1984</v>
      </c>
      <c r="I3549" s="13">
        <v>144.68799999999999</v>
      </c>
      <c r="J3549" s="19">
        <v>2</v>
      </c>
      <c r="K3549" s="14">
        <v>3.7408000000000001</v>
      </c>
    </row>
    <row r="3550" spans="1:11" x14ac:dyDescent="0.25">
      <c r="A3550" s="2">
        <v>43984</v>
      </c>
      <c r="B3550" s="18">
        <f t="shared" si="110"/>
        <v>2020</v>
      </c>
      <c r="C3550" s="18">
        <f t="shared" si="111"/>
        <v>6</v>
      </c>
      <c r="D3550" s="3" t="s">
        <v>1120</v>
      </c>
      <c r="E3550" s="3" t="s">
        <v>67</v>
      </c>
      <c r="F3550" s="3" t="s">
        <v>19</v>
      </c>
      <c r="G3550" s="3" t="s">
        <v>20</v>
      </c>
      <c r="H3550" s="3" t="s">
        <v>1650</v>
      </c>
      <c r="I3550" s="11">
        <v>124.44</v>
      </c>
      <c r="J3550" s="18">
        <v>2</v>
      </c>
      <c r="K3550" s="12">
        <v>2.4009999999999998</v>
      </c>
    </row>
    <row r="3551" spans="1:11" x14ac:dyDescent="0.25">
      <c r="A3551" s="4">
        <v>43984</v>
      </c>
      <c r="B3551" s="19">
        <f t="shared" si="110"/>
        <v>2020</v>
      </c>
      <c r="C3551" s="19">
        <f t="shared" si="111"/>
        <v>6</v>
      </c>
      <c r="D3551" s="5" t="s">
        <v>853</v>
      </c>
      <c r="E3551" s="5" t="s">
        <v>198</v>
      </c>
      <c r="F3551" s="5" t="s">
        <v>19</v>
      </c>
      <c r="G3551" s="5" t="s">
        <v>86</v>
      </c>
      <c r="H3551" s="5" t="s">
        <v>827</v>
      </c>
      <c r="I3551" s="13">
        <v>146.91999999999999</v>
      </c>
      <c r="J3551" s="19">
        <v>5</v>
      </c>
      <c r="K3551" s="14">
        <v>15.920999999999999</v>
      </c>
    </row>
    <row r="3552" spans="1:11" x14ac:dyDescent="0.25">
      <c r="A3552" s="2">
        <v>43985</v>
      </c>
      <c r="B3552" s="18">
        <f t="shared" si="110"/>
        <v>2020</v>
      </c>
      <c r="C3552" s="18">
        <f t="shared" si="111"/>
        <v>6</v>
      </c>
      <c r="D3552" s="3" t="s">
        <v>2248</v>
      </c>
      <c r="E3552" s="3" t="s">
        <v>94</v>
      </c>
      <c r="F3552" s="3" t="s">
        <v>14</v>
      </c>
      <c r="G3552" s="3" t="s">
        <v>188</v>
      </c>
      <c r="H3552" s="3" t="s">
        <v>2321</v>
      </c>
      <c r="I3552" s="11">
        <v>111.66</v>
      </c>
      <c r="J3552" s="18">
        <v>6</v>
      </c>
      <c r="K3552" s="12">
        <v>36.183599999999998</v>
      </c>
    </row>
    <row r="3553" spans="1:11" x14ac:dyDescent="0.25">
      <c r="A3553" s="4">
        <v>43985</v>
      </c>
      <c r="B3553" s="19">
        <f t="shared" si="110"/>
        <v>2020</v>
      </c>
      <c r="C3553" s="19">
        <f t="shared" si="111"/>
        <v>6</v>
      </c>
      <c r="D3553" s="5" t="s">
        <v>1448</v>
      </c>
      <c r="E3553" s="5" t="s">
        <v>70</v>
      </c>
      <c r="F3553" s="5" t="s">
        <v>19</v>
      </c>
      <c r="G3553" s="5" t="s">
        <v>20</v>
      </c>
      <c r="H3553" s="5" t="s">
        <v>1643</v>
      </c>
      <c r="I3553" s="13">
        <v>150.26</v>
      </c>
      <c r="J3553" s="19">
        <v>9</v>
      </c>
      <c r="K3553" s="14">
        <v>5.4504000000000001</v>
      </c>
    </row>
    <row r="3554" spans="1:11" x14ac:dyDescent="0.25">
      <c r="A3554" s="2">
        <v>43985</v>
      </c>
      <c r="B3554" s="18">
        <f t="shared" si="110"/>
        <v>2020</v>
      </c>
      <c r="C3554" s="18">
        <f t="shared" si="111"/>
        <v>6</v>
      </c>
      <c r="D3554" s="3" t="s">
        <v>751</v>
      </c>
      <c r="E3554" s="3" t="s">
        <v>44</v>
      </c>
      <c r="F3554" s="3" t="s">
        <v>14</v>
      </c>
      <c r="G3554" s="3" t="s">
        <v>24</v>
      </c>
      <c r="H3554" s="3" t="s">
        <v>26</v>
      </c>
      <c r="I3554" s="11">
        <v>153.4</v>
      </c>
      <c r="J3554" s="18">
        <v>2</v>
      </c>
      <c r="K3554" s="12">
        <v>-4.1399999999999997</v>
      </c>
    </row>
    <row r="3555" spans="1:11" x14ac:dyDescent="0.25">
      <c r="A3555" s="4">
        <v>43985</v>
      </c>
      <c r="B3555" s="19">
        <f t="shared" si="110"/>
        <v>2020</v>
      </c>
      <c r="C3555" s="19">
        <f t="shared" si="111"/>
        <v>6</v>
      </c>
      <c r="D3555" s="5" t="s">
        <v>751</v>
      </c>
      <c r="E3555" s="5" t="s">
        <v>44</v>
      </c>
      <c r="F3555" s="5" t="s">
        <v>14</v>
      </c>
      <c r="G3555" s="5" t="s">
        <v>24</v>
      </c>
      <c r="H3555" s="5" t="s">
        <v>492</v>
      </c>
      <c r="I3555" s="13">
        <v>222.99199999999999</v>
      </c>
      <c r="J3555" s="19">
        <v>1</v>
      </c>
      <c r="K3555" s="14">
        <v>-2.5749</v>
      </c>
    </row>
    <row r="3556" spans="1:11" x14ac:dyDescent="0.25">
      <c r="A3556" s="2">
        <v>43985</v>
      </c>
      <c r="B3556" s="18">
        <f t="shared" si="110"/>
        <v>2020</v>
      </c>
      <c r="C3556" s="18">
        <f t="shared" si="111"/>
        <v>6</v>
      </c>
      <c r="D3556" s="3" t="s">
        <v>751</v>
      </c>
      <c r="E3556" s="3" t="s">
        <v>44</v>
      </c>
      <c r="F3556" s="3" t="s">
        <v>11</v>
      </c>
      <c r="G3556" s="3" t="s">
        <v>12</v>
      </c>
      <c r="H3556" s="3" t="s">
        <v>2216</v>
      </c>
      <c r="I3556" s="11">
        <v>276.56799999999998</v>
      </c>
      <c r="J3556" s="18">
        <v>2</v>
      </c>
      <c r="K3556" s="12">
        <v>0</v>
      </c>
    </row>
    <row r="3557" spans="1:11" x14ac:dyDescent="0.25">
      <c r="A3557" s="4">
        <v>43985</v>
      </c>
      <c r="B3557" s="19">
        <f t="shared" si="110"/>
        <v>2020</v>
      </c>
      <c r="C3557" s="19">
        <f t="shared" si="111"/>
        <v>6</v>
      </c>
      <c r="D3557" s="5" t="s">
        <v>2248</v>
      </c>
      <c r="E3557" s="5" t="s">
        <v>94</v>
      </c>
      <c r="F3557" s="5" t="s">
        <v>11</v>
      </c>
      <c r="G3557" s="5" t="s">
        <v>30</v>
      </c>
      <c r="H3557" s="5" t="s">
        <v>1341</v>
      </c>
      <c r="I3557" s="13">
        <v>400.76799999999997</v>
      </c>
      <c r="J3557" s="19">
        <v>2</v>
      </c>
      <c r="K3557" s="14">
        <v>-115.43040000000001</v>
      </c>
    </row>
    <row r="3558" spans="1:11" x14ac:dyDescent="0.25">
      <c r="A3558" s="2">
        <v>43985</v>
      </c>
      <c r="B3558" s="18">
        <f t="shared" si="110"/>
        <v>2020</v>
      </c>
      <c r="C3558" s="18">
        <f t="shared" si="111"/>
        <v>6</v>
      </c>
      <c r="D3558" s="3" t="s">
        <v>751</v>
      </c>
      <c r="E3558" s="3" t="s">
        <v>44</v>
      </c>
      <c r="F3558" s="3" t="s">
        <v>14</v>
      </c>
      <c r="G3558" s="3" t="s">
        <v>15</v>
      </c>
      <c r="H3558" s="3" t="s">
        <v>963</v>
      </c>
      <c r="I3558" s="11">
        <v>528.96</v>
      </c>
      <c r="J3558" s="18">
        <v>5</v>
      </c>
      <c r="K3558" s="12">
        <v>50.396000000000001</v>
      </c>
    </row>
    <row r="3559" spans="1:11" x14ac:dyDescent="0.25">
      <c r="A3559" s="4">
        <v>43985</v>
      </c>
      <c r="B3559" s="19">
        <f t="shared" si="110"/>
        <v>2020</v>
      </c>
      <c r="C3559" s="19">
        <f t="shared" si="111"/>
        <v>6</v>
      </c>
      <c r="D3559" s="5" t="s">
        <v>1544</v>
      </c>
      <c r="E3559" s="5" t="s">
        <v>70</v>
      </c>
      <c r="F3559" s="5" t="s">
        <v>14</v>
      </c>
      <c r="G3559" s="5" t="s">
        <v>24</v>
      </c>
      <c r="H3559" s="5" t="s">
        <v>1266</v>
      </c>
      <c r="I3559" s="13">
        <v>1147.5</v>
      </c>
      <c r="J3559" s="19">
        <v>10</v>
      </c>
      <c r="K3559" s="14">
        <v>362.83499999999998</v>
      </c>
    </row>
    <row r="3560" spans="1:11" x14ac:dyDescent="0.25">
      <c r="A3560" s="2">
        <v>43985</v>
      </c>
      <c r="B3560" s="18">
        <f t="shared" si="110"/>
        <v>2020</v>
      </c>
      <c r="C3560" s="18">
        <f t="shared" si="111"/>
        <v>6</v>
      </c>
      <c r="D3560" s="3" t="s">
        <v>2055</v>
      </c>
      <c r="E3560" s="3" t="s">
        <v>18</v>
      </c>
      <c r="F3560" s="3" t="s">
        <v>19</v>
      </c>
      <c r="G3560" s="3" t="s">
        <v>53</v>
      </c>
      <c r="H3560" s="3" t="s">
        <v>1702</v>
      </c>
      <c r="I3560" s="11">
        <v>100.96</v>
      </c>
      <c r="J3560" s="18">
        <v>2</v>
      </c>
      <c r="K3560" s="12">
        <v>5.3819999999999997</v>
      </c>
    </row>
    <row r="3561" spans="1:11" x14ac:dyDescent="0.25">
      <c r="A3561" s="4">
        <v>43985</v>
      </c>
      <c r="B3561" s="19">
        <f t="shared" si="110"/>
        <v>2020</v>
      </c>
      <c r="C3561" s="19">
        <f t="shared" si="111"/>
        <v>6</v>
      </c>
      <c r="D3561" s="5" t="s">
        <v>2055</v>
      </c>
      <c r="E3561" s="5" t="s">
        <v>18</v>
      </c>
      <c r="F3561" s="5" t="s">
        <v>19</v>
      </c>
      <c r="G3561" s="5" t="s">
        <v>32</v>
      </c>
      <c r="H3561" s="5" t="s">
        <v>2249</v>
      </c>
      <c r="I3561" s="13">
        <v>94.912000000000006</v>
      </c>
      <c r="J3561" s="19">
        <v>1</v>
      </c>
      <c r="K3561" s="14">
        <v>1.2714000000000001</v>
      </c>
    </row>
    <row r="3562" spans="1:11" x14ac:dyDescent="0.25">
      <c r="A3562" s="2">
        <v>43985</v>
      </c>
      <c r="B3562" s="18">
        <f t="shared" si="110"/>
        <v>2020</v>
      </c>
      <c r="C3562" s="18">
        <f t="shared" si="111"/>
        <v>6</v>
      </c>
      <c r="D3562" s="3" t="s">
        <v>751</v>
      </c>
      <c r="E3562" s="3" t="s">
        <v>44</v>
      </c>
      <c r="F3562" s="3" t="s">
        <v>19</v>
      </c>
      <c r="G3562" s="3" t="s">
        <v>53</v>
      </c>
      <c r="H3562" s="3" t="s">
        <v>253</v>
      </c>
      <c r="I3562" s="11">
        <v>101.55200000000001</v>
      </c>
      <c r="J3562" s="18">
        <v>3</v>
      </c>
      <c r="K3562" s="12">
        <v>5.4432</v>
      </c>
    </row>
    <row r="3563" spans="1:11" x14ac:dyDescent="0.25">
      <c r="A3563" s="4">
        <v>43985</v>
      </c>
      <c r="B3563" s="19">
        <f t="shared" si="110"/>
        <v>2020</v>
      </c>
      <c r="C3563" s="19">
        <f t="shared" si="111"/>
        <v>6</v>
      </c>
      <c r="D3563" s="5" t="s">
        <v>751</v>
      </c>
      <c r="E3563" s="5" t="s">
        <v>44</v>
      </c>
      <c r="F3563" s="5" t="s">
        <v>19</v>
      </c>
      <c r="G3563" s="5" t="s">
        <v>121</v>
      </c>
      <c r="H3563" s="5" t="s">
        <v>1575</v>
      </c>
      <c r="I3563" s="13">
        <v>125.47199999999999</v>
      </c>
      <c r="J3563" s="19">
        <v>7</v>
      </c>
      <c r="K3563" s="14">
        <v>1.8353999999999999</v>
      </c>
    </row>
    <row r="3564" spans="1:11" x14ac:dyDescent="0.25">
      <c r="A3564" s="2">
        <v>43985</v>
      </c>
      <c r="B3564" s="18">
        <f t="shared" si="110"/>
        <v>2020</v>
      </c>
      <c r="C3564" s="18">
        <f t="shared" si="111"/>
        <v>6</v>
      </c>
      <c r="D3564" s="3" t="s">
        <v>751</v>
      </c>
      <c r="E3564" s="3" t="s">
        <v>44</v>
      </c>
      <c r="F3564" s="3" t="s">
        <v>19</v>
      </c>
      <c r="G3564" s="3" t="s">
        <v>32</v>
      </c>
      <c r="H3564" s="3" t="s">
        <v>643</v>
      </c>
      <c r="I3564" s="11">
        <v>93.554000000000002</v>
      </c>
      <c r="J3564" s="18">
        <v>3</v>
      </c>
      <c r="K3564" s="12">
        <v>-3.4914000000000001</v>
      </c>
    </row>
    <row r="3565" spans="1:11" x14ac:dyDescent="0.25">
      <c r="A3565" s="4">
        <v>43985</v>
      </c>
      <c r="B3565" s="19">
        <f t="shared" si="110"/>
        <v>2020</v>
      </c>
      <c r="C3565" s="19">
        <f t="shared" si="111"/>
        <v>6</v>
      </c>
      <c r="D3565" s="5" t="s">
        <v>751</v>
      </c>
      <c r="E3565" s="5" t="s">
        <v>44</v>
      </c>
      <c r="F3565" s="5" t="s">
        <v>19</v>
      </c>
      <c r="G3565" s="5" t="s">
        <v>121</v>
      </c>
      <c r="H3565" s="5" t="s">
        <v>1894</v>
      </c>
      <c r="I3565" s="13">
        <v>111.2</v>
      </c>
      <c r="J3565" s="19">
        <v>2</v>
      </c>
      <c r="K3565" s="14">
        <v>0.58499999999999996</v>
      </c>
    </row>
    <row r="3566" spans="1:11" x14ac:dyDescent="0.25">
      <c r="A3566" s="2">
        <v>43985</v>
      </c>
      <c r="B3566" s="18">
        <f t="shared" si="110"/>
        <v>2020</v>
      </c>
      <c r="C3566" s="18">
        <f t="shared" si="111"/>
        <v>6</v>
      </c>
      <c r="D3566" s="3" t="s">
        <v>2248</v>
      </c>
      <c r="E3566" s="3" t="s">
        <v>94</v>
      </c>
      <c r="F3566" s="3" t="s">
        <v>19</v>
      </c>
      <c r="G3566" s="3" t="s">
        <v>53</v>
      </c>
      <c r="H3566" s="3" t="s">
        <v>519</v>
      </c>
      <c r="I3566" s="11">
        <v>139.36000000000001</v>
      </c>
      <c r="J3566" s="18">
        <v>4</v>
      </c>
      <c r="K3566" s="12">
        <v>22.226400000000002</v>
      </c>
    </row>
    <row r="3567" spans="1:11" x14ac:dyDescent="0.25">
      <c r="A3567" s="4">
        <v>43985</v>
      </c>
      <c r="B3567" s="19">
        <f t="shared" si="110"/>
        <v>2020</v>
      </c>
      <c r="C3567" s="19">
        <f t="shared" si="111"/>
        <v>6</v>
      </c>
      <c r="D3567" s="5" t="s">
        <v>708</v>
      </c>
      <c r="E3567" s="5" t="s">
        <v>219</v>
      </c>
      <c r="F3567" s="5" t="s">
        <v>11</v>
      </c>
      <c r="G3567" s="5" t="s">
        <v>51</v>
      </c>
      <c r="H3567" s="5" t="s">
        <v>2322</v>
      </c>
      <c r="I3567" s="13">
        <v>137.16800000000001</v>
      </c>
      <c r="J3567" s="19">
        <v>7</v>
      </c>
      <c r="K3567" s="14">
        <v>9.6712000000000007</v>
      </c>
    </row>
    <row r="3568" spans="1:11" x14ac:dyDescent="0.25">
      <c r="A3568" s="2">
        <v>43985</v>
      </c>
      <c r="B3568" s="18">
        <f t="shared" si="110"/>
        <v>2020</v>
      </c>
      <c r="C3568" s="18">
        <f t="shared" si="111"/>
        <v>6</v>
      </c>
      <c r="D3568" s="3" t="s">
        <v>2055</v>
      </c>
      <c r="E3568" s="3" t="s">
        <v>18</v>
      </c>
      <c r="F3568" s="3" t="s">
        <v>14</v>
      </c>
      <c r="G3568" s="3" t="s">
        <v>24</v>
      </c>
      <c r="H3568" s="3" t="s">
        <v>383</v>
      </c>
      <c r="I3568" s="11">
        <v>156.75</v>
      </c>
      <c r="J3568" s="18">
        <v>5</v>
      </c>
      <c r="K3568" s="12">
        <v>8.5024999999999995</v>
      </c>
    </row>
    <row r="3569" spans="1:11" x14ac:dyDescent="0.25">
      <c r="A3569" s="4">
        <v>43986</v>
      </c>
      <c r="B3569" s="19">
        <f t="shared" si="110"/>
        <v>2020</v>
      </c>
      <c r="C3569" s="19">
        <f t="shared" si="111"/>
        <v>6</v>
      </c>
      <c r="D3569" s="5" t="s">
        <v>729</v>
      </c>
      <c r="E3569" s="5" t="s">
        <v>589</v>
      </c>
      <c r="F3569" s="5" t="s">
        <v>19</v>
      </c>
      <c r="G3569" s="5" t="s">
        <v>32</v>
      </c>
      <c r="H3569" s="5" t="s">
        <v>422</v>
      </c>
      <c r="I3569" s="13">
        <v>140.08000000000001</v>
      </c>
      <c r="J3569" s="19">
        <v>7</v>
      </c>
      <c r="K3569" s="14">
        <v>54.04</v>
      </c>
    </row>
    <row r="3570" spans="1:11" x14ac:dyDescent="0.25">
      <c r="A3570" s="2">
        <v>43986</v>
      </c>
      <c r="B3570" s="18">
        <f t="shared" si="110"/>
        <v>2020</v>
      </c>
      <c r="C3570" s="18">
        <f t="shared" si="111"/>
        <v>6</v>
      </c>
      <c r="D3570" s="3" t="s">
        <v>729</v>
      </c>
      <c r="E3570" s="3" t="s">
        <v>589</v>
      </c>
      <c r="F3570" s="3" t="s">
        <v>19</v>
      </c>
      <c r="G3570" s="3" t="s">
        <v>32</v>
      </c>
      <c r="H3570" s="3" t="s">
        <v>408</v>
      </c>
      <c r="I3570" s="11">
        <v>115.54</v>
      </c>
      <c r="J3570" s="18">
        <v>3</v>
      </c>
      <c r="K3570" s="12">
        <v>4.3883999999999999</v>
      </c>
    </row>
    <row r="3571" spans="1:11" x14ac:dyDescent="0.25">
      <c r="A3571" s="4">
        <v>43986</v>
      </c>
      <c r="B3571" s="19">
        <f t="shared" si="110"/>
        <v>2020</v>
      </c>
      <c r="C3571" s="19">
        <f t="shared" si="111"/>
        <v>6</v>
      </c>
      <c r="D3571" s="5" t="s">
        <v>489</v>
      </c>
      <c r="E3571" s="5" t="s">
        <v>898</v>
      </c>
      <c r="F3571" s="5" t="s">
        <v>19</v>
      </c>
      <c r="G3571" s="5" t="s">
        <v>53</v>
      </c>
      <c r="H3571" s="5" t="s">
        <v>1129</v>
      </c>
      <c r="I3571" s="13">
        <v>125.48</v>
      </c>
      <c r="J3571" s="19">
        <v>2</v>
      </c>
      <c r="K3571" s="14">
        <v>5.6159999999999997</v>
      </c>
    </row>
    <row r="3572" spans="1:11" x14ac:dyDescent="0.25">
      <c r="A3572" s="2">
        <v>43986</v>
      </c>
      <c r="B3572" s="18">
        <f t="shared" si="110"/>
        <v>2020</v>
      </c>
      <c r="C3572" s="18">
        <f t="shared" si="111"/>
        <v>6</v>
      </c>
      <c r="D3572" s="3" t="s">
        <v>1359</v>
      </c>
      <c r="E3572" s="3" t="s">
        <v>387</v>
      </c>
      <c r="F3572" s="3" t="s">
        <v>19</v>
      </c>
      <c r="G3572" s="3" t="s">
        <v>40</v>
      </c>
      <c r="H3572" s="3" t="s">
        <v>1055</v>
      </c>
      <c r="I3572" s="11">
        <v>118.64</v>
      </c>
      <c r="J3572" s="18">
        <v>3</v>
      </c>
      <c r="K3572" s="12">
        <v>2.5055999999999998</v>
      </c>
    </row>
    <row r="3573" spans="1:11" x14ac:dyDescent="0.25">
      <c r="A3573" s="4">
        <v>43986</v>
      </c>
      <c r="B3573" s="19">
        <f t="shared" si="110"/>
        <v>2020</v>
      </c>
      <c r="C3573" s="19">
        <f t="shared" si="111"/>
        <v>6</v>
      </c>
      <c r="D3573" s="5" t="s">
        <v>2196</v>
      </c>
      <c r="E3573" s="5" t="s">
        <v>23</v>
      </c>
      <c r="F3573" s="5" t="s">
        <v>19</v>
      </c>
      <c r="G3573" s="5" t="s">
        <v>32</v>
      </c>
      <c r="H3573" s="5" t="s">
        <v>190</v>
      </c>
      <c r="I3573" s="13">
        <v>115.37</v>
      </c>
      <c r="J3573" s="19">
        <v>7</v>
      </c>
      <c r="K3573" s="14">
        <v>-9.5549999999999997</v>
      </c>
    </row>
    <row r="3574" spans="1:11" x14ac:dyDescent="0.25">
      <c r="A3574" s="2">
        <v>43986</v>
      </c>
      <c r="B3574" s="18">
        <f t="shared" si="110"/>
        <v>2020</v>
      </c>
      <c r="C3574" s="18">
        <f t="shared" si="111"/>
        <v>6</v>
      </c>
      <c r="D3574" s="3" t="s">
        <v>779</v>
      </c>
      <c r="E3574" s="3" t="s">
        <v>35</v>
      </c>
      <c r="F3574" s="3" t="s">
        <v>11</v>
      </c>
      <c r="G3574" s="3" t="s">
        <v>51</v>
      </c>
      <c r="H3574" s="3" t="s">
        <v>1461</v>
      </c>
      <c r="I3574" s="11">
        <v>123.98399999999999</v>
      </c>
      <c r="J3574" s="18">
        <v>2</v>
      </c>
      <c r="K3574" s="12">
        <v>1.9990000000000001</v>
      </c>
    </row>
    <row r="3575" spans="1:11" x14ac:dyDescent="0.25">
      <c r="A3575" s="4">
        <v>43986</v>
      </c>
      <c r="B3575" s="19">
        <f t="shared" si="110"/>
        <v>2020</v>
      </c>
      <c r="C3575" s="19">
        <f t="shared" si="111"/>
        <v>6</v>
      </c>
      <c r="D3575" s="5" t="s">
        <v>1355</v>
      </c>
      <c r="E3575" s="5" t="s">
        <v>23</v>
      </c>
      <c r="F3575" s="5" t="s">
        <v>11</v>
      </c>
      <c r="G3575" s="5" t="s">
        <v>51</v>
      </c>
      <c r="H3575" s="5" t="s">
        <v>1633</v>
      </c>
      <c r="I3575" s="13">
        <v>133.33600000000001</v>
      </c>
      <c r="J3575" s="19">
        <v>6</v>
      </c>
      <c r="K3575" s="14">
        <v>-17.443200000000001</v>
      </c>
    </row>
    <row r="3576" spans="1:11" x14ac:dyDescent="0.25">
      <c r="A3576" s="2">
        <v>43986</v>
      </c>
      <c r="B3576" s="18">
        <f t="shared" si="110"/>
        <v>2020</v>
      </c>
      <c r="C3576" s="18">
        <f t="shared" si="111"/>
        <v>6</v>
      </c>
      <c r="D3576" s="3" t="s">
        <v>779</v>
      </c>
      <c r="E3576" s="3" t="s">
        <v>35</v>
      </c>
      <c r="F3576" s="3" t="s">
        <v>14</v>
      </c>
      <c r="G3576" s="3" t="s">
        <v>15</v>
      </c>
      <c r="H3576" s="3" t="s">
        <v>2323</v>
      </c>
      <c r="I3576" s="11">
        <v>161.98400000000001</v>
      </c>
      <c r="J3576" s="18">
        <v>2</v>
      </c>
      <c r="K3576" s="12">
        <v>25.194400000000002</v>
      </c>
    </row>
    <row r="3577" spans="1:11" x14ac:dyDescent="0.25">
      <c r="A3577" s="4">
        <v>43987</v>
      </c>
      <c r="B3577" s="19">
        <f t="shared" si="110"/>
        <v>2020</v>
      </c>
      <c r="C3577" s="19">
        <f t="shared" si="111"/>
        <v>6</v>
      </c>
      <c r="D3577" s="5" t="s">
        <v>185</v>
      </c>
      <c r="E3577" s="5" t="s">
        <v>23</v>
      </c>
      <c r="F3577" s="5" t="s">
        <v>14</v>
      </c>
      <c r="G3577" s="5" t="s">
        <v>15</v>
      </c>
      <c r="H3577" s="5" t="s">
        <v>2315</v>
      </c>
      <c r="I3577" s="13">
        <v>520.37599999999998</v>
      </c>
      <c r="J3577" s="19">
        <v>3</v>
      </c>
      <c r="K3577" s="14">
        <v>52.917299999999997</v>
      </c>
    </row>
    <row r="3578" spans="1:11" x14ac:dyDescent="0.25">
      <c r="A3578" s="2">
        <v>43987</v>
      </c>
      <c r="B3578" s="18">
        <f t="shared" si="110"/>
        <v>2020</v>
      </c>
      <c r="C3578" s="18">
        <f t="shared" si="111"/>
        <v>6</v>
      </c>
      <c r="D3578" s="3" t="s">
        <v>192</v>
      </c>
      <c r="E3578" s="3" t="s">
        <v>44</v>
      </c>
      <c r="F3578" s="3" t="s">
        <v>19</v>
      </c>
      <c r="G3578" s="3" t="s">
        <v>53</v>
      </c>
      <c r="H3578" s="3" t="s">
        <v>600</v>
      </c>
      <c r="I3578" s="11">
        <v>118.736</v>
      </c>
      <c r="J3578" s="18">
        <v>4</v>
      </c>
      <c r="K3578" s="12">
        <v>7.2576000000000001</v>
      </c>
    </row>
    <row r="3579" spans="1:11" x14ac:dyDescent="0.25">
      <c r="A3579" s="4">
        <v>43988</v>
      </c>
      <c r="B3579" s="19">
        <f t="shared" si="110"/>
        <v>2020</v>
      </c>
      <c r="C3579" s="19">
        <f t="shared" si="111"/>
        <v>6</v>
      </c>
      <c r="D3579" s="5" t="s">
        <v>1348</v>
      </c>
      <c r="E3579" s="5" t="s">
        <v>18</v>
      </c>
      <c r="F3579" s="5" t="s">
        <v>11</v>
      </c>
      <c r="G3579" s="5" t="s">
        <v>51</v>
      </c>
      <c r="H3579" s="5" t="s">
        <v>1236</v>
      </c>
      <c r="I3579" s="13">
        <v>110.95</v>
      </c>
      <c r="J3579" s="19">
        <v>1</v>
      </c>
      <c r="K3579" s="14">
        <v>2.1779999999999999</v>
      </c>
    </row>
    <row r="3580" spans="1:11" x14ac:dyDescent="0.25">
      <c r="A3580" s="2">
        <v>43988</v>
      </c>
      <c r="B3580" s="18">
        <f t="shared" si="110"/>
        <v>2020</v>
      </c>
      <c r="C3580" s="18">
        <f t="shared" si="111"/>
        <v>6</v>
      </c>
      <c r="D3580" s="3" t="s">
        <v>1348</v>
      </c>
      <c r="E3580" s="3" t="s">
        <v>18</v>
      </c>
      <c r="F3580" s="3" t="s">
        <v>19</v>
      </c>
      <c r="G3580" s="3" t="s">
        <v>20</v>
      </c>
      <c r="H3580" s="3" t="s">
        <v>749</v>
      </c>
      <c r="I3580" s="11">
        <v>115.4</v>
      </c>
      <c r="J3580" s="18">
        <v>5</v>
      </c>
      <c r="K3580" s="12">
        <v>0</v>
      </c>
    </row>
    <row r="3581" spans="1:11" x14ac:dyDescent="0.25">
      <c r="A3581" s="4">
        <v>43990</v>
      </c>
      <c r="B3581" s="19">
        <f t="shared" si="110"/>
        <v>2020</v>
      </c>
      <c r="C3581" s="19">
        <f t="shared" si="111"/>
        <v>6</v>
      </c>
      <c r="D3581" s="5" t="s">
        <v>1775</v>
      </c>
      <c r="E3581" s="5" t="s">
        <v>198</v>
      </c>
      <c r="F3581" s="5" t="s">
        <v>19</v>
      </c>
      <c r="G3581" s="5" t="s">
        <v>32</v>
      </c>
      <c r="H3581" s="5" t="s">
        <v>2029</v>
      </c>
      <c r="I3581" s="13">
        <v>102.58799999999999</v>
      </c>
      <c r="J3581" s="19">
        <v>2</v>
      </c>
      <c r="K3581" s="14">
        <v>-48.392000000000003</v>
      </c>
    </row>
    <row r="3582" spans="1:11" x14ac:dyDescent="0.25">
      <c r="A3582" s="2">
        <v>43990</v>
      </c>
      <c r="B3582" s="18">
        <f t="shared" si="110"/>
        <v>2020</v>
      </c>
      <c r="C3582" s="18">
        <f t="shared" si="111"/>
        <v>6</v>
      </c>
      <c r="D3582" s="3" t="s">
        <v>1775</v>
      </c>
      <c r="E3582" s="3" t="s">
        <v>198</v>
      </c>
      <c r="F3582" s="3" t="s">
        <v>14</v>
      </c>
      <c r="G3582" s="3" t="s">
        <v>24</v>
      </c>
      <c r="H3582" s="3" t="s">
        <v>1422</v>
      </c>
      <c r="I3582" s="11">
        <v>127.544</v>
      </c>
      <c r="J3582" s="18">
        <v>7</v>
      </c>
      <c r="K3582" s="12">
        <v>12.3123</v>
      </c>
    </row>
    <row r="3583" spans="1:11" x14ac:dyDescent="0.25">
      <c r="A3583" s="4">
        <v>43990</v>
      </c>
      <c r="B3583" s="19">
        <f t="shared" si="110"/>
        <v>2020</v>
      </c>
      <c r="C3583" s="19">
        <f t="shared" si="111"/>
        <v>6</v>
      </c>
      <c r="D3583" s="5" t="s">
        <v>842</v>
      </c>
      <c r="E3583" s="5" t="s">
        <v>23</v>
      </c>
      <c r="F3583" s="5" t="s">
        <v>14</v>
      </c>
      <c r="G3583" s="5" t="s">
        <v>15</v>
      </c>
      <c r="H3583" s="5" t="s">
        <v>1315</v>
      </c>
      <c r="I3583" s="13">
        <v>413.57600000000002</v>
      </c>
      <c r="J3583" s="19">
        <v>3</v>
      </c>
      <c r="K3583" s="14">
        <v>28.618200000000002</v>
      </c>
    </row>
    <row r="3584" spans="1:11" x14ac:dyDescent="0.25">
      <c r="A3584" s="2">
        <v>43990</v>
      </c>
      <c r="B3584" s="18">
        <f t="shared" si="110"/>
        <v>2020</v>
      </c>
      <c r="C3584" s="18">
        <f t="shared" si="111"/>
        <v>6</v>
      </c>
      <c r="D3584" s="3" t="s">
        <v>2324</v>
      </c>
      <c r="E3584" s="3" t="s">
        <v>18</v>
      </c>
      <c r="F3584" s="3" t="s">
        <v>11</v>
      </c>
      <c r="G3584" s="3" t="s">
        <v>12</v>
      </c>
      <c r="H3584" s="3" t="s">
        <v>1527</v>
      </c>
      <c r="I3584" s="11">
        <v>1510.6659999999999</v>
      </c>
      <c r="J3584" s="18">
        <v>2</v>
      </c>
      <c r="K3584" s="12">
        <v>140.95679999999999</v>
      </c>
    </row>
    <row r="3585" spans="1:11" x14ac:dyDescent="0.25">
      <c r="A3585" s="4">
        <v>43990</v>
      </c>
      <c r="B3585" s="19">
        <f t="shared" si="110"/>
        <v>2020</v>
      </c>
      <c r="C3585" s="19">
        <f t="shared" si="111"/>
        <v>6</v>
      </c>
      <c r="D3585" s="5" t="s">
        <v>562</v>
      </c>
      <c r="E3585" s="5" t="s">
        <v>23</v>
      </c>
      <c r="F3585" s="5" t="s">
        <v>19</v>
      </c>
      <c r="G3585" s="5" t="s">
        <v>121</v>
      </c>
      <c r="H3585" s="5" t="s">
        <v>2325</v>
      </c>
      <c r="I3585" s="13">
        <v>99.623999999999995</v>
      </c>
      <c r="J3585" s="19">
        <v>2</v>
      </c>
      <c r="K3585" s="14">
        <v>-4.4660000000000002</v>
      </c>
    </row>
    <row r="3586" spans="1:11" x14ac:dyDescent="0.25">
      <c r="A3586" s="2">
        <v>43990</v>
      </c>
      <c r="B3586" s="18">
        <f t="shared" ref="B3586:B3649" si="112">YEAR(A3586)</f>
        <v>2020</v>
      </c>
      <c r="C3586" s="18">
        <f t="shared" ref="C3586:C3649" si="113">MONTH(A3586)</f>
        <v>6</v>
      </c>
      <c r="D3586" s="3" t="s">
        <v>1805</v>
      </c>
      <c r="E3586" s="3" t="s">
        <v>91</v>
      </c>
      <c r="F3586" s="3" t="s">
        <v>19</v>
      </c>
      <c r="G3586" s="3" t="s">
        <v>32</v>
      </c>
      <c r="H3586" s="3" t="s">
        <v>722</v>
      </c>
      <c r="I3586" s="11">
        <v>96.36</v>
      </c>
      <c r="J3586" s="18">
        <v>2</v>
      </c>
      <c r="K3586" s="12">
        <v>5.0763999999999996</v>
      </c>
    </row>
    <row r="3587" spans="1:11" x14ac:dyDescent="0.25">
      <c r="A3587" s="4">
        <v>43990</v>
      </c>
      <c r="B3587" s="19">
        <f t="shared" si="112"/>
        <v>2020</v>
      </c>
      <c r="C3587" s="19">
        <f t="shared" si="113"/>
        <v>6</v>
      </c>
      <c r="D3587" s="5" t="s">
        <v>1758</v>
      </c>
      <c r="E3587" s="5" t="s">
        <v>164</v>
      </c>
      <c r="F3587" s="5" t="s">
        <v>19</v>
      </c>
      <c r="G3587" s="5" t="s">
        <v>32</v>
      </c>
      <c r="H3587" s="5" t="s">
        <v>792</v>
      </c>
      <c r="I3587" s="13">
        <v>134.17599999999999</v>
      </c>
      <c r="J3587" s="19">
        <v>4</v>
      </c>
      <c r="K3587" s="14">
        <v>-18.872800000000002</v>
      </c>
    </row>
    <row r="3588" spans="1:11" x14ac:dyDescent="0.25">
      <c r="A3588" s="2">
        <v>43990</v>
      </c>
      <c r="B3588" s="18">
        <f t="shared" si="112"/>
        <v>2020</v>
      </c>
      <c r="C3588" s="18">
        <f t="shared" si="113"/>
        <v>6</v>
      </c>
      <c r="D3588" s="3" t="s">
        <v>2324</v>
      </c>
      <c r="E3588" s="3" t="s">
        <v>18</v>
      </c>
      <c r="F3588" s="3" t="s">
        <v>14</v>
      </c>
      <c r="G3588" s="3" t="s">
        <v>15</v>
      </c>
      <c r="H3588" s="3" t="s">
        <v>2326</v>
      </c>
      <c r="I3588" s="11">
        <v>146.52000000000001</v>
      </c>
      <c r="J3588" s="18">
        <v>2</v>
      </c>
      <c r="K3588" s="12">
        <v>-3.504</v>
      </c>
    </row>
    <row r="3589" spans="1:11" x14ac:dyDescent="0.25">
      <c r="A3589" s="4">
        <v>43990</v>
      </c>
      <c r="B3589" s="19">
        <f t="shared" si="112"/>
        <v>2020</v>
      </c>
      <c r="C3589" s="19">
        <f t="shared" si="113"/>
        <v>6</v>
      </c>
      <c r="D3589" s="5" t="s">
        <v>842</v>
      </c>
      <c r="E3589" s="5" t="s">
        <v>23</v>
      </c>
      <c r="F3589" s="5" t="s">
        <v>19</v>
      </c>
      <c r="G3589" s="5" t="s">
        <v>265</v>
      </c>
      <c r="H3589" s="5" t="s">
        <v>1870</v>
      </c>
      <c r="I3589" s="13">
        <v>151.76</v>
      </c>
      <c r="J3589" s="19">
        <v>3</v>
      </c>
      <c r="K3589" s="14">
        <v>2.0790000000000002</v>
      </c>
    </row>
    <row r="3590" spans="1:11" x14ac:dyDescent="0.25">
      <c r="A3590" s="2">
        <v>43990</v>
      </c>
      <c r="B3590" s="18">
        <f t="shared" si="112"/>
        <v>2020</v>
      </c>
      <c r="C3590" s="18">
        <f t="shared" si="113"/>
        <v>6</v>
      </c>
      <c r="D3590" s="3" t="s">
        <v>1775</v>
      </c>
      <c r="E3590" s="3" t="s">
        <v>198</v>
      </c>
      <c r="F3590" s="3" t="s">
        <v>19</v>
      </c>
      <c r="G3590" s="3" t="s">
        <v>20</v>
      </c>
      <c r="H3590" s="3" t="s">
        <v>506</v>
      </c>
      <c r="I3590" s="11">
        <v>151.16800000000001</v>
      </c>
      <c r="J3590" s="18">
        <v>2</v>
      </c>
      <c r="K3590" s="12">
        <v>-8.3523999999999994</v>
      </c>
    </row>
    <row r="3591" spans="1:11" x14ac:dyDescent="0.25">
      <c r="A3591" s="4">
        <v>43990</v>
      </c>
      <c r="B3591" s="19">
        <f t="shared" si="112"/>
        <v>2020</v>
      </c>
      <c r="C3591" s="19">
        <f t="shared" si="113"/>
        <v>6</v>
      </c>
      <c r="D3591" s="5" t="s">
        <v>842</v>
      </c>
      <c r="E3591" s="5" t="s">
        <v>23</v>
      </c>
      <c r="F3591" s="5" t="s">
        <v>19</v>
      </c>
      <c r="G3591" s="5" t="s">
        <v>53</v>
      </c>
      <c r="H3591" s="5" t="s">
        <v>172</v>
      </c>
      <c r="I3591" s="13">
        <v>175.05600000000001</v>
      </c>
      <c r="J3591" s="19">
        <v>3</v>
      </c>
      <c r="K3591" s="14">
        <v>28.706399999999999</v>
      </c>
    </row>
    <row r="3592" spans="1:11" x14ac:dyDescent="0.25">
      <c r="A3592" s="2">
        <v>43991</v>
      </c>
      <c r="B3592" s="18">
        <f t="shared" si="112"/>
        <v>2020</v>
      </c>
      <c r="C3592" s="18">
        <f t="shared" si="113"/>
        <v>6</v>
      </c>
      <c r="D3592" s="3" t="s">
        <v>1448</v>
      </c>
      <c r="E3592" s="3" t="s">
        <v>164</v>
      </c>
      <c r="F3592" s="3" t="s">
        <v>11</v>
      </c>
      <c r="G3592" s="3" t="s">
        <v>30</v>
      </c>
      <c r="H3592" s="3" t="s">
        <v>2327</v>
      </c>
      <c r="I3592" s="11">
        <v>155.92500000000001</v>
      </c>
      <c r="J3592" s="18">
        <v>1</v>
      </c>
      <c r="K3592" s="12">
        <v>-71.890500000000003</v>
      </c>
    </row>
    <row r="3593" spans="1:11" x14ac:dyDescent="0.25">
      <c r="A3593" s="4">
        <v>43991</v>
      </c>
      <c r="B3593" s="19">
        <f t="shared" si="112"/>
        <v>2020</v>
      </c>
      <c r="C3593" s="19">
        <f t="shared" si="113"/>
        <v>6</v>
      </c>
      <c r="D3593" s="5" t="s">
        <v>1711</v>
      </c>
      <c r="E3593" s="5" t="s">
        <v>23</v>
      </c>
      <c r="F3593" s="5" t="s">
        <v>19</v>
      </c>
      <c r="G3593" s="5" t="s">
        <v>20</v>
      </c>
      <c r="H3593" s="5" t="s">
        <v>281</v>
      </c>
      <c r="I3593" s="13">
        <v>753.76</v>
      </c>
      <c r="J3593" s="19">
        <v>5</v>
      </c>
      <c r="K3593" s="14">
        <v>54.057000000000002</v>
      </c>
    </row>
    <row r="3594" spans="1:11" x14ac:dyDescent="0.25">
      <c r="A3594" s="2">
        <v>43991</v>
      </c>
      <c r="B3594" s="18">
        <f t="shared" si="112"/>
        <v>2020</v>
      </c>
      <c r="C3594" s="18">
        <f t="shared" si="113"/>
        <v>6</v>
      </c>
      <c r="D3594" s="3" t="s">
        <v>1448</v>
      </c>
      <c r="E3594" s="3" t="s">
        <v>164</v>
      </c>
      <c r="F3594" s="3" t="s">
        <v>11</v>
      </c>
      <c r="G3594" s="3" t="s">
        <v>51</v>
      </c>
      <c r="H3594" s="3" t="s">
        <v>738</v>
      </c>
      <c r="I3594" s="11">
        <v>113.976</v>
      </c>
      <c r="J3594" s="18">
        <v>3</v>
      </c>
      <c r="K3594" s="12">
        <v>-14.3856</v>
      </c>
    </row>
    <row r="3595" spans="1:11" x14ac:dyDescent="0.25">
      <c r="A3595" s="4">
        <v>43991</v>
      </c>
      <c r="B3595" s="19">
        <f t="shared" si="112"/>
        <v>2020</v>
      </c>
      <c r="C3595" s="19">
        <f t="shared" si="113"/>
        <v>6</v>
      </c>
      <c r="D3595" s="5" t="s">
        <v>81</v>
      </c>
      <c r="E3595" s="5" t="s">
        <v>181</v>
      </c>
      <c r="F3595" s="5" t="s">
        <v>19</v>
      </c>
      <c r="G3595" s="5" t="s">
        <v>53</v>
      </c>
      <c r="H3595" s="5" t="s">
        <v>172</v>
      </c>
      <c r="I3595" s="13">
        <v>147.12</v>
      </c>
      <c r="J3595" s="19">
        <v>4</v>
      </c>
      <c r="K3595" s="14">
        <v>23.086400000000001</v>
      </c>
    </row>
    <row r="3596" spans="1:11" x14ac:dyDescent="0.25">
      <c r="A3596" s="2">
        <v>43991</v>
      </c>
      <c r="B3596" s="18">
        <f t="shared" si="112"/>
        <v>2020</v>
      </c>
      <c r="C3596" s="18">
        <f t="shared" si="113"/>
        <v>6</v>
      </c>
      <c r="D3596" s="3" t="s">
        <v>1448</v>
      </c>
      <c r="E3596" s="3" t="s">
        <v>164</v>
      </c>
      <c r="F3596" s="3" t="s">
        <v>19</v>
      </c>
      <c r="G3596" s="3" t="s">
        <v>53</v>
      </c>
      <c r="H3596" s="3" t="s">
        <v>675</v>
      </c>
      <c r="I3596" s="11">
        <v>124.352</v>
      </c>
      <c r="J3596" s="18">
        <v>8</v>
      </c>
      <c r="K3596" s="12">
        <v>11.36</v>
      </c>
    </row>
    <row r="3597" spans="1:11" x14ac:dyDescent="0.25">
      <c r="A3597" s="4">
        <v>43992</v>
      </c>
      <c r="B3597" s="19">
        <f t="shared" si="112"/>
        <v>2020</v>
      </c>
      <c r="C3597" s="19">
        <f t="shared" si="113"/>
        <v>6</v>
      </c>
      <c r="D3597" s="5" t="s">
        <v>632</v>
      </c>
      <c r="E3597" s="5" t="s">
        <v>70</v>
      </c>
      <c r="F3597" s="5" t="s">
        <v>14</v>
      </c>
      <c r="G3597" s="5" t="s">
        <v>15</v>
      </c>
      <c r="H3597" s="5" t="s">
        <v>47</v>
      </c>
      <c r="I3597" s="13">
        <v>126.776</v>
      </c>
      <c r="J3597" s="19">
        <v>3</v>
      </c>
      <c r="K3597" s="14">
        <v>7.7679</v>
      </c>
    </row>
    <row r="3598" spans="1:11" x14ac:dyDescent="0.25">
      <c r="A3598" s="2">
        <v>43992</v>
      </c>
      <c r="B3598" s="18">
        <f t="shared" si="112"/>
        <v>2020</v>
      </c>
      <c r="C3598" s="18">
        <f t="shared" si="113"/>
        <v>6</v>
      </c>
      <c r="D3598" s="3" t="s">
        <v>2047</v>
      </c>
      <c r="E3598" s="3" t="s">
        <v>365</v>
      </c>
      <c r="F3598" s="3" t="s">
        <v>14</v>
      </c>
      <c r="G3598" s="3" t="s">
        <v>24</v>
      </c>
      <c r="H3598" s="3" t="s">
        <v>760</v>
      </c>
      <c r="I3598" s="11">
        <v>149.52000000000001</v>
      </c>
      <c r="J3598" s="18">
        <v>4</v>
      </c>
      <c r="K3598" s="12">
        <v>54.333199999999998</v>
      </c>
    </row>
    <row r="3599" spans="1:11" x14ac:dyDescent="0.25">
      <c r="A3599" s="4">
        <v>43992</v>
      </c>
      <c r="B3599" s="19">
        <f t="shared" si="112"/>
        <v>2020</v>
      </c>
      <c r="C3599" s="19">
        <f t="shared" si="113"/>
        <v>6</v>
      </c>
      <c r="D3599" s="5" t="s">
        <v>1349</v>
      </c>
      <c r="E3599" s="5" t="s">
        <v>18</v>
      </c>
      <c r="F3599" s="5" t="s">
        <v>14</v>
      </c>
      <c r="G3599" s="5" t="s">
        <v>15</v>
      </c>
      <c r="H3599" s="5" t="s">
        <v>1247</v>
      </c>
      <c r="I3599" s="13">
        <v>318.95999999999998</v>
      </c>
      <c r="J3599" s="19">
        <v>5</v>
      </c>
      <c r="K3599" s="14">
        <v>17.497499999999999</v>
      </c>
    </row>
    <row r="3600" spans="1:11" x14ac:dyDescent="0.25">
      <c r="A3600" s="2">
        <v>43992</v>
      </c>
      <c r="B3600" s="18">
        <f t="shared" si="112"/>
        <v>2020</v>
      </c>
      <c r="C3600" s="18">
        <f t="shared" si="113"/>
        <v>6</v>
      </c>
      <c r="D3600" s="3" t="s">
        <v>1349</v>
      </c>
      <c r="E3600" s="3" t="s">
        <v>18</v>
      </c>
      <c r="F3600" s="3" t="s">
        <v>11</v>
      </c>
      <c r="G3600" s="3" t="s">
        <v>12</v>
      </c>
      <c r="H3600" s="3" t="s">
        <v>1356</v>
      </c>
      <c r="I3600" s="11">
        <v>535.16499999999996</v>
      </c>
      <c r="J3600" s="18">
        <v>5</v>
      </c>
      <c r="K3600" s="12">
        <v>-30.245000000000001</v>
      </c>
    </row>
    <row r="3601" spans="1:11" x14ac:dyDescent="0.25">
      <c r="A3601" s="4">
        <v>43992</v>
      </c>
      <c r="B3601" s="19">
        <f t="shared" si="112"/>
        <v>2020</v>
      </c>
      <c r="C3601" s="19">
        <f t="shared" si="113"/>
        <v>6</v>
      </c>
      <c r="D3601" s="5" t="s">
        <v>2297</v>
      </c>
      <c r="E3601" s="5" t="s">
        <v>44</v>
      </c>
      <c r="F3601" s="5" t="s">
        <v>19</v>
      </c>
      <c r="G3601" s="5" t="s">
        <v>20</v>
      </c>
      <c r="H3601" s="5" t="s">
        <v>1944</v>
      </c>
      <c r="I3601" s="13">
        <v>1382.52</v>
      </c>
      <c r="J3601" s="19">
        <v>8</v>
      </c>
      <c r="K3601" s="14">
        <v>84.22</v>
      </c>
    </row>
    <row r="3602" spans="1:11" x14ac:dyDescent="0.25">
      <c r="A3602" s="2">
        <v>43992</v>
      </c>
      <c r="B3602" s="18">
        <f t="shared" si="112"/>
        <v>2020</v>
      </c>
      <c r="C3602" s="18">
        <f t="shared" si="113"/>
        <v>6</v>
      </c>
      <c r="D3602" s="3" t="s">
        <v>2186</v>
      </c>
      <c r="E3602" s="3" t="s">
        <v>18</v>
      </c>
      <c r="F3602" s="3" t="s">
        <v>19</v>
      </c>
      <c r="G3602" s="3" t="s">
        <v>40</v>
      </c>
      <c r="H3602" s="3" t="s">
        <v>2044</v>
      </c>
      <c r="I3602" s="11">
        <v>113.7</v>
      </c>
      <c r="J3602" s="18">
        <v>7</v>
      </c>
      <c r="K3602" s="12">
        <v>4.1159999999999997</v>
      </c>
    </row>
    <row r="3603" spans="1:11" x14ac:dyDescent="0.25">
      <c r="A3603" s="4">
        <v>43992</v>
      </c>
      <c r="B3603" s="19">
        <f t="shared" si="112"/>
        <v>2020</v>
      </c>
      <c r="C3603" s="19">
        <f t="shared" si="113"/>
        <v>6</v>
      </c>
      <c r="D3603" s="5" t="s">
        <v>632</v>
      </c>
      <c r="E3603" s="5" t="s">
        <v>70</v>
      </c>
      <c r="F3603" s="5" t="s">
        <v>19</v>
      </c>
      <c r="G3603" s="5" t="s">
        <v>20</v>
      </c>
      <c r="H3603" s="5" t="s">
        <v>2328</v>
      </c>
      <c r="I3603" s="13">
        <v>125.58</v>
      </c>
      <c r="J3603" s="19">
        <v>1</v>
      </c>
      <c r="K3603" s="14">
        <v>3.895</v>
      </c>
    </row>
    <row r="3604" spans="1:11" x14ac:dyDescent="0.25">
      <c r="A3604" s="2">
        <v>43992</v>
      </c>
      <c r="B3604" s="18">
        <f t="shared" si="112"/>
        <v>2020</v>
      </c>
      <c r="C3604" s="18">
        <f t="shared" si="113"/>
        <v>6</v>
      </c>
      <c r="D3604" s="3" t="s">
        <v>880</v>
      </c>
      <c r="E3604" s="3" t="s">
        <v>94</v>
      </c>
      <c r="F3604" s="3" t="s">
        <v>19</v>
      </c>
      <c r="G3604" s="3" t="s">
        <v>40</v>
      </c>
      <c r="H3604" s="3" t="s">
        <v>481</v>
      </c>
      <c r="I3604" s="11">
        <v>102.4</v>
      </c>
      <c r="J3604" s="18">
        <v>5</v>
      </c>
      <c r="K3604" s="12">
        <v>4.2</v>
      </c>
    </row>
    <row r="3605" spans="1:11" x14ac:dyDescent="0.25">
      <c r="A3605" s="4">
        <v>43992</v>
      </c>
      <c r="B3605" s="19">
        <f t="shared" si="112"/>
        <v>2020</v>
      </c>
      <c r="C3605" s="19">
        <f t="shared" si="113"/>
        <v>6</v>
      </c>
      <c r="D3605" s="5" t="s">
        <v>632</v>
      </c>
      <c r="E3605" s="5" t="s">
        <v>70</v>
      </c>
      <c r="F3605" s="5" t="s">
        <v>19</v>
      </c>
      <c r="G3605" s="5" t="s">
        <v>127</v>
      </c>
      <c r="H3605" s="5" t="s">
        <v>159</v>
      </c>
      <c r="I3605" s="13">
        <v>104.56</v>
      </c>
      <c r="J3605" s="19">
        <v>4</v>
      </c>
      <c r="K3605" s="14">
        <v>5.4332000000000003</v>
      </c>
    </row>
    <row r="3606" spans="1:11" x14ac:dyDescent="0.25">
      <c r="A3606" s="2">
        <v>43992</v>
      </c>
      <c r="B3606" s="18">
        <f t="shared" si="112"/>
        <v>2020</v>
      </c>
      <c r="C3606" s="18">
        <f t="shared" si="113"/>
        <v>6</v>
      </c>
      <c r="D3606" s="3" t="s">
        <v>1349</v>
      </c>
      <c r="E3606" s="3" t="s">
        <v>18</v>
      </c>
      <c r="F3606" s="3" t="s">
        <v>19</v>
      </c>
      <c r="G3606" s="3" t="s">
        <v>127</v>
      </c>
      <c r="H3606" s="3" t="s">
        <v>793</v>
      </c>
      <c r="I3606" s="11">
        <v>111.6</v>
      </c>
      <c r="J3606" s="18">
        <v>2</v>
      </c>
      <c r="K3606" s="12">
        <v>14.8</v>
      </c>
    </row>
    <row r="3607" spans="1:11" x14ac:dyDescent="0.25">
      <c r="A3607" s="4">
        <v>43992</v>
      </c>
      <c r="B3607" s="19">
        <f t="shared" si="112"/>
        <v>2020</v>
      </c>
      <c r="C3607" s="19">
        <f t="shared" si="113"/>
        <v>6</v>
      </c>
      <c r="D3607" s="5" t="s">
        <v>1758</v>
      </c>
      <c r="E3607" s="5" t="s">
        <v>18</v>
      </c>
      <c r="F3607" s="5" t="s">
        <v>19</v>
      </c>
      <c r="G3607" s="5" t="s">
        <v>40</v>
      </c>
      <c r="H3607" s="5" t="s">
        <v>1667</v>
      </c>
      <c r="I3607" s="13">
        <v>122.4</v>
      </c>
      <c r="J3607" s="19">
        <v>5</v>
      </c>
      <c r="K3607" s="14">
        <v>4.7560000000000002</v>
      </c>
    </row>
    <row r="3608" spans="1:11" x14ac:dyDescent="0.25">
      <c r="A3608" s="2">
        <v>43992</v>
      </c>
      <c r="B3608" s="18">
        <f t="shared" si="112"/>
        <v>2020</v>
      </c>
      <c r="C3608" s="18">
        <f t="shared" si="113"/>
        <v>6</v>
      </c>
      <c r="D3608" s="3" t="s">
        <v>431</v>
      </c>
      <c r="E3608" s="3" t="s">
        <v>94</v>
      </c>
      <c r="F3608" s="3" t="s">
        <v>19</v>
      </c>
      <c r="G3608" s="3" t="s">
        <v>116</v>
      </c>
      <c r="H3608" s="3" t="s">
        <v>2314</v>
      </c>
      <c r="I3608" s="11">
        <v>117.13</v>
      </c>
      <c r="J3608" s="18">
        <v>3</v>
      </c>
      <c r="K3608" s="12">
        <v>0.70650000000000002</v>
      </c>
    </row>
    <row r="3609" spans="1:11" x14ac:dyDescent="0.25">
      <c r="A3609" s="4">
        <v>43992</v>
      </c>
      <c r="B3609" s="19">
        <f t="shared" si="112"/>
        <v>2020</v>
      </c>
      <c r="C3609" s="19">
        <f t="shared" si="113"/>
        <v>6</v>
      </c>
      <c r="D3609" s="5" t="s">
        <v>1956</v>
      </c>
      <c r="E3609" s="5" t="s">
        <v>39</v>
      </c>
      <c r="F3609" s="5" t="s">
        <v>19</v>
      </c>
      <c r="G3609" s="5" t="s">
        <v>53</v>
      </c>
      <c r="H3609" s="5" t="s">
        <v>1632</v>
      </c>
      <c r="I3609" s="13">
        <v>152.03200000000001</v>
      </c>
      <c r="J3609" s="19">
        <v>6</v>
      </c>
      <c r="K3609" s="14">
        <v>15.012</v>
      </c>
    </row>
    <row r="3610" spans="1:11" x14ac:dyDescent="0.25">
      <c r="A3610" s="2">
        <v>43993</v>
      </c>
      <c r="B3610" s="18">
        <f t="shared" si="112"/>
        <v>2020</v>
      </c>
      <c r="C3610" s="18">
        <f t="shared" si="113"/>
        <v>6</v>
      </c>
      <c r="D3610" s="3" t="s">
        <v>551</v>
      </c>
      <c r="E3610" s="3" t="s">
        <v>198</v>
      </c>
      <c r="F3610" s="3" t="s">
        <v>19</v>
      </c>
      <c r="G3610" s="3" t="s">
        <v>20</v>
      </c>
      <c r="H3610" s="3" t="s">
        <v>1619</v>
      </c>
      <c r="I3610" s="11">
        <v>102.44799999999999</v>
      </c>
      <c r="J3610" s="18">
        <v>4</v>
      </c>
      <c r="K3610" s="12">
        <v>7.7004000000000001</v>
      </c>
    </row>
    <row r="3611" spans="1:11" x14ac:dyDescent="0.25">
      <c r="A3611" s="4">
        <v>43993</v>
      </c>
      <c r="B3611" s="19">
        <f t="shared" si="112"/>
        <v>2020</v>
      </c>
      <c r="C3611" s="19">
        <f t="shared" si="113"/>
        <v>6</v>
      </c>
      <c r="D3611" s="5" t="s">
        <v>625</v>
      </c>
      <c r="E3611" s="5" t="s">
        <v>70</v>
      </c>
      <c r="F3611" s="5" t="s">
        <v>19</v>
      </c>
      <c r="G3611" s="5" t="s">
        <v>20</v>
      </c>
      <c r="H3611" s="5" t="s">
        <v>213</v>
      </c>
      <c r="I3611" s="13">
        <v>115.96</v>
      </c>
      <c r="J3611" s="19">
        <v>2</v>
      </c>
      <c r="K3611" s="14">
        <v>1.0296000000000001</v>
      </c>
    </row>
    <row r="3612" spans="1:11" x14ac:dyDescent="0.25">
      <c r="A3612" s="2">
        <v>43993</v>
      </c>
      <c r="B3612" s="18">
        <f t="shared" si="112"/>
        <v>2020</v>
      </c>
      <c r="C3612" s="18">
        <f t="shared" si="113"/>
        <v>6</v>
      </c>
      <c r="D3612" s="3" t="s">
        <v>551</v>
      </c>
      <c r="E3612" s="3" t="s">
        <v>198</v>
      </c>
      <c r="F3612" s="3" t="s">
        <v>19</v>
      </c>
      <c r="G3612" s="3" t="s">
        <v>40</v>
      </c>
      <c r="H3612" s="3" t="s">
        <v>532</v>
      </c>
      <c r="I3612" s="11">
        <v>123.04</v>
      </c>
      <c r="J3612" s="18">
        <v>5</v>
      </c>
      <c r="K3612" s="12">
        <v>6.6029999999999998</v>
      </c>
    </row>
    <row r="3613" spans="1:11" x14ac:dyDescent="0.25">
      <c r="A3613" s="4">
        <v>43993</v>
      </c>
      <c r="B3613" s="19">
        <f t="shared" si="112"/>
        <v>2020</v>
      </c>
      <c r="C3613" s="19">
        <f t="shared" si="113"/>
        <v>6</v>
      </c>
      <c r="D3613" s="5" t="s">
        <v>1541</v>
      </c>
      <c r="E3613" s="5" t="s">
        <v>18</v>
      </c>
      <c r="F3613" s="5" t="s">
        <v>19</v>
      </c>
      <c r="G3613" s="5" t="s">
        <v>53</v>
      </c>
      <c r="H3613" s="5" t="s">
        <v>212</v>
      </c>
      <c r="I3613" s="13">
        <v>153.97</v>
      </c>
      <c r="J3613" s="19">
        <v>3</v>
      </c>
      <c r="K3613" s="14">
        <v>60.255299999999998</v>
      </c>
    </row>
    <row r="3614" spans="1:11" x14ac:dyDescent="0.25">
      <c r="A3614" s="2">
        <v>43993</v>
      </c>
      <c r="B3614" s="18">
        <f t="shared" si="112"/>
        <v>2020</v>
      </c>
      <c r="C3614" s="18">
        <f t="shared" si="113"/>
        <v>6</v>
      </c>
      <c r="D3614" s="3" t="s">
        <v>625</v>
      </c>
      <c r="E3614" s="3" t="s">
        <v>70</v>
      </c>
      <c r="F3614" s="3" t="s">
        <v>11</v>
      </c>
      <c r="G3614" s="3" t="s">
        <v>12</v>
      </c>
      <c r="H3614" s="3" t="s">
        <v>2329</v>
      </c>
      <c r="I3614" s="11">
        <v>195.42</v>
      </c>
      <c r="J3614" s="18">
        <v>3</v>
      </c>
      <c r="K3614" s="12">
        <v>41.860799999999998</v>
      </c>
    </row>
    <row r="3615" spans="1:11" x14ac:dyDescent="0.25">
      <c r="A3615" s="4">
        <v>43993</v>
      </c>
      <c r="B3615" s="19">
        <f t="shared" si="112"/>
        <v>2020</v>
      </c>
      <c r="C3615" s="19">
        <f t="shared" si="113"/>
        <v>6</v>
      </c>
      <c r="D3615" s="5" t="s">
        <v>551</v>
      </c>
      <c r="E3615" s="5" t="s">
        <v>198</v>
      </c>
      <c r="F3615" s="5" t="s">
        <v>19</v>
      </c>
      <c r="G3615" s="5" t="s">
        <v>20</v>
      </c>
      <c r="H3615" s="5" t="s">
        <v>273</v>
      </c>
      <c r="I3615" s="13">
        <v>261.59199999999998</v>
      </c>
      <c r="J3615" s="19">
        <v>3</v>
      </c>
      <c r="K3615" s="14">
        <v>-48.508200000000002</v>
      </c>
    </row>
    <row r="3616" spans="1:11" x14ac:dyDescent="0.25">
      <c r="A3616" s="2">
        <v>43993</v>
      </c>
      <c r="B3616" s="18">
        <f t="shared" si="112"/>
        <v>2020</v>
      </c>
      <c r="C3616" s="18">
        <f t="shared" si="113"/>
        <v>6</v>
      </c>
      <c r="D3616" s="3" t="s">
        <v>551</v>
      </c>
      <c r="E3616" s="3" t="s">
        <v>198</v>
      </c>
      <c r="F3616" s="3" t="s">
        <v>11</v>
      </c>
      <c r="G3616" s="3" t="s">
        <v>112</v>
      </c>
      <c r="H3616" s="3" t="s">
        <v>1595</v>
      </c>
      <c r="I3616" s="11">
        <v>308.79199999999997</v>
      </c>
      <c r="J3616" s="18">
        <v>1</v>
      </c>
      <c r="K3616" s="12">
        <v>35.098999999999997</v>
      </c>
    </row>
    <row r="3617" spans="1:11" x14ac:dyDescent="0.25">
      <c r="A3617" s="4">
        <v>43993</v>
      </c>
      <c r="B3617" s="19">
        <f t="shared" si="112"/>
        <v>2020</v>
      </c>
      <c r="C3617" s="19">
        <f t="shared" si="113"/>
        <v>6</v>
      </c>
      <c r="D3617" s="5" t="s">
        <v>625</v>
      </c>
      <c r="E3617" s="5" t="s">
        <v>70</v>
      </c>
      <c r="F3617" s="5" t="s">
        <v>14</v>
      </c>
      <c r="G3617" s="5" t="s">
        <v>188</v>
      </c>
      <c r="H3617" s="5" t="s">
        <v>2330</v>
      </c>
      <c r="I3617" s="13">
        <v>420.8</v>
      </c>
      <c r="J3617" s="19">
        <v>5</v>
      </c>
      <c r="K3617" s="14">
        <v>130.20750000000001</v>
      </c>
    </row>
    <row r="3618" spans="1:11" x14ac:dyDescent="0.25">
      <c r="A3618" s="2">
        <v>43993</v>
      </c>
      <c r="B3618" s="18">
        <f t="shared" si="112"/>
        <v>2020</v>
      </c>
      <c r="C3618" s="18">
        <f t="shared" si="113"/>
        <v>6</v>
      </c>
      <c r="D3618" s="3" t="s">
        <v>351</v>
      </c>
      <c r="E3618" s="3" t="s">
        <v>35</v>
      </c>
      <c r="F3618" s="3" t="s">
        <v>19</v>
      </c>
      <c r="G3618" s="3" t="s">
        <v>32</v>
      </c>
      <c r="H3618" s="3" t="s">
        <v>1049</v>
      </c>
      <c r="I3618" s="11">
        <v>81.572000000000003</v>
      </c>
      <c r="J3618" s="18">
        <v>4</v>
      </c>
      <c r="K3618" s="12">
        <v>-3.81</v>
      </c>
    </row>
    <row r="3619" spans="1:11" x14ac:dyDescent="0.25">
      <c r="A3619" s="4">
        <v>43993</v>
      </c>
      <c r="B3619" s="19">
        <f t="shared" si="112"/>
        <v>2020</v>
      </c>
      <c r="C3619" s="19">
        <f t="shared" si="113"/>
        <v>6</v>
      </c>
      <c r="D3619" s="5" t="s">
        <v>551</v>
      </c>
      <c r="E3619" s="5" t="s">
        <v>198</v>
      </c>
      <c r="F3619" s="5" t="s">
        <v>19</v>
      </c>
      <c r="G3619" s="5" t="s">
        <v>40</v>
      </c>
      <c r="H3619" s="5" t="s">
        <v>61</v>
      </c>
      <c r="I3619" s="13">
        <v>125.872</v>
      </c>
      <c r="J3619" s="19">
        <v>1</v>
      </c>
      <c r="K3619" s="14">
        <v>1.984</v>
      </c>
    </row>
    <row r="3620" spans="1:11" x14ac:dyDescent="0.25">
      <c r="A3620" s="2">
        <v>43993</v>
      </c>
      <c r="B3620" s="18">
        <f t="shared" si="112"/>
        <v>2020</v>
      </c>
      <c r="C3620" s="18">
        <f t="shared" si="113"/>
        <v>6</v>
      </c>
      <c r="D3620" s="3" t="s">
        <v>1269</v>
      </c>
      <c r="E3620" s="3" t="s">
        <v>898</v>
      </c>
      <c r="F3620" s="3" t="s">
        <v>19</v>
      </c>
      <c r="G3620" s="3" t="s">
        <v>40</v>
      </c>
      <c r="H3620" s="3" t="s">
        <v>916</v>
      </c>
      <c r="I3620" s="11">
        <v>118.76</v>
      </c>
      <c r="J3620" s="18">
        <v>2</v>
      </c>
      <c r="K3620" s="12">
        <v>1.0904</v>
      </c>
    </row>
    <row r="3621" spans="1:11" x14ac:dyDescent="0.25">
      <c r="A3621" s="4">
        <v>43993</v>
      </c>
      <c r="B3621" s="19">
        <f t="shared" si="112"/>
        <v>2020</v>
      </c>
      <c r="C3621" s="19">
        <f t="shared" si="113"/>
        <v>6</v>
      </c>
      <c r="D3621" s="5" t="s">
        <v>625</v>
      </c>
      <c r="E3621" s="5" t="s">
        <v>70</v>
      </c>
      <c r="F3621" s="5" t="s">
        <v>19</v>
      </c>
      <c r="G3621" s="5" t="s">
        <v>32</v>
      </c>
      <c r="H3621" s="5" t="s">
        <v>2018</v>
      </c>
      <c r="I3621" s="13">
        <v>147.28800000000001</v>
      </c>
      <c r="J3621" s="19">
        <v>6</v>
      </c>
      <c r="K3621" s="14">
        <v>6.6294000000000004</v>
      </c>
    </row>
    <row r="3622" spans="1:11" x14ac:dyDescent="0.25">
      <c r="A3622" s="2">
        <v>43993</v>
      </c>
      <c r="B3622" s="18">
        <f t="shared" si="112"/>
        <v>2020</v>
      </c>
      <c r="C3622" s="18">
        <f t="shared" si="113"/>
        <v>6</v>
      </c>
      <c r="D3622" s="3" t="s">
        <v>625</v>
      </c>
      <c r="E3622" s="3" t="s">
        <v>70</v>
      </c>
      <c r="F3622" s="3" t="s">
        <v>19</v>
      </c>
      <c r="G3622" s="3" t="s">
        <v>53</v>
      </c>
      <c r="H3622" s="3" t="s">
        <v>566</v>
      </c>
      <c r="I3622" s="11">
        <v>159.94</v>
      </c>
      <c r="J3622" s="18">
        <v>2</v>
      </c>
      <c r="K3622" s="12">
        <v>18.211200000000002</v>
      </c>
    </row>
    <row r="3623" spans="1:11" x14ac:dyDescent="0.25">
      <c r="A3623" s="4">
        <v>43993</v>
      </c>
      <c r="B3623" s="19">
        <f t="shared" si="112"/>
        <v>2020</v>
      </c>
      <c r="C3623" s="19">
        <f t="shared" si="113"/>
        <v>6</v>
      </c>
      <c r="D3623" s="5" t="s">
        <v>544</v>
      </c>
      <c r="E3623" s="5" t="s">
        <v>18</v>
      </c>
      <c r="F3623" s="5" t="s">
        <v>19</v>
      </c>
      <c r="G3623" s="5" t="s">
        <v>121</v>
      </c>
      <c r="H3623" s="5" t="s">
        <v>1674</v>
      </c>
      <c r="I3623" s="13">
        <v>161.44</v>
      </c>
      <c r="J3623" s="19">
        <v>3</v>
      </c>
      <c r="K3623" s="14">
        <v>16.588799999999999</v>
      </c>
    </row>
    <row r="3624" spans="1:11" x14ac:dyDescent="0.25">
      <c r="A3624" s="2">
        <v>43994</v>
      </c>
      <c r="B3624" s="18">
        <f t="shared" si="112"/>
        <v>2020</v>
      </c>
      <c r="C3624" s="18">
        <f t="shared" si="113"/>
        <v>6</v>
      </c>
      <c r="D3624" s="3" t="s">
        <v>2331</v>
      </c>
      <c r="E3624" s="3" t="s">
        <v>70</v>
      </c>
      <c r="F3624" s="3" t="s">
        <v>14</v>
      </c>
      <c r="G3624" s="3" t="s">
        <v>15</v>
      </c>
      <c r="H3624" s="3" t="s">
        <v>1176</v>
      </c>
      <c r="I3624" s="11">
        <v>115.976</v>
      </c>
      <c r="J3624" s="18">
        <v>3</v>
      </c>
      <c r="K3624" s="12">
        <v>8.9969999999999999</v>
      </c>
    </row>
    <row r="3625" spans="1:11" x14ac:dyDescent="0.25">
      <c r="A3625" s="4">
        <v>43994</v>
      </c>
      <c r="B3625" s="19">
        <f t="shared" si="112"/>
        <v>2020</v>
      </c>
      <c r="C3625" s="19">
        <f t="shared" si="113"/>
        <v>6</v>
      </c>
      <c r="D3625" s="5" t="s">
        <v>508</v>
      </c>
      <c r="E3625" s="5" t="s">
        <v>109</v>
      </c>
      <c r="F3625" s="5" t="s">
        <v>19</v>
      </c>
      <c r="G3625" s="5" t="s">
        <v>32</v>
      </c>
      <c r="H3625" s="5" t="s">
        <v>1607</v>
      </c>
      <c r="I3625" s="13">
        <v>126.2</v>
      </c>
      <c r="J3625" s="19">
        <v>3</v>
      </c>
      <c r="K3625" s="14">
        <v>41.951999999999998</v>
      </c>
    </row>
    <row r="3626" spans="1:11" x14ac:dyDescent="0.25">
      <c r="A3626" s="2">
        <v>43994</v>
      </c>
      <c r="B3626" s="18">
        <f t="shared" si="112"/>
        <v>2020</v>
      </c>
      <c r="C3626" s="18">
        <f t="shared" si="113"/>
        <v>6</v>
      </c>
      <c r="D3626" s="3" t="s">
        <v>508</v>
      </c>
      <c r="E3626" s="3" t="s">
        <v>109</v>
      </c>
      <c r="F3626" s="3" t="s">
        <v>11</v>
      </c>
      <c r="G3626" s="3" t="s">
        <v>30</v>
      </c>
      <c r="H3626" s="3" t="s">
        <v>1387</v>
      </c>
      <c r="I3626" s="11">
        <v>469.94</v>
      </c>
      <c r="J3626" s="18">
        <v>3</v>
      </c>
      <c r="K3626" s="12">
        <v>67.941000000000003</v>
      </c>
    </row>
    <row r="3627" spans="1:11" x14ac:dyDescent="0.25">
      <c r="A3627" s="4">
        <v>43994</v>
      </c>
      <c r="B3627" s="19">
        <f t="shared" si="112"/>
        <v>2020</v>
      </c>
      <c r="C3627" s="19">
        <f t="shared" si="113"/>
        <v>6</v>
      </c>
      <c r="D3627" s="5" t="s">
        <v>2123</v>
      </c>
      <c r="E3627" s="5" t="s">
        <v>94</v>
      </c>
      <c r="F3627" s="5" t="s">
        <v>11</v>
      </c>
      <c r="G3627" s="5" t="s">
        <v>112</v>
      </c>
      <c r="H3627" s="5" t="s">
        <v>2270</v>
      </c>
      <c r="I3627" s="13">
        <v>882.24</v>
      </c>
      <c r="J3627" s="19">
        <v>4</v>
      </c>
      <c r="K3627" s="14">
        <v>143.04</v>
      </c>
    </row>
    <row r="3628" spans="1:11" x14ac:dyDescent="0.25">
      <c r="A3628" s="2">
        <v>43994</v>
      </c>
      <c r="B3628" s="18">
        <f t="shared" si="112"/>
        <v>2020</v>
      </c>
      <c r="C3628" s="18">
        <f t="shared" si="113"/>
        <v>6</v>
      </c>
      <c r="D3628" s="3" t="s">
        <v>1535</v>
      </c>
      <c r="E3628" s="3" t="s">
        <v>164</v>
      </c>
      <c r="F3628" s="3" t="s">
        <v>11</v>
      </c>
      <c r="G3628" s="3" t="s">
        <v>51</v>
      </c>
      <c r="H3628" s="3" t="s">
        <v>1122</v>
      </c>
      <c r="I3628" s="11">
        <v>83.855999999999995</v>
      </c>
      <c r="J3628" s="18">
        <v>3</v>
      </c>
      <c r="K3628" s="12">
        <v>-6.8634000000000004</v>
      </c>
    </row>
    <row r="3629" spans="1:11" x14ac:dyDescent="0.25">
      <c r="A3629" s="4">
        <v>43994</v>
      </c>
      <c r="B3629" s="19">
        <f t="shared" si="112"/>
        <v>2020</v>
      </c>
      <c r="C3629" s="19">
        <f t="shared" si="113"/>
        <v>6</v>
      </c>
      <c r="D3629" s="5" t="s">
        <v>1075</v>
      </c>
      <c r="E3629" s="5" t="s">
        <v>44</v>
      </c>
      <c r="F3629" s="5" t="s">
        <v>11</v>
      </c>
      <c r="G3629" s="5" t="s">
        <v>51</v>
      </c>
      <c r="H3629" s="5" t="s">
        <v>1608</v>
      </c>
      <c r="I3629" s="13">
        <v>100.08799999999999</v>
      </c>
      <c r="J3629" s="19">
        <v>2</v>
      </c>
      <c r="K3629" s="14">
        <v>1.0680000000000001</v>
      </c>
    </row>
    <row r="3630" spans="1:11" x14ac:dyDescent="0.25">
      <c r="A3630" s="2">
        <v>43994</v>
      </c>
      <c r="B3630" s="18">
        <f t="shared" si="112"/>
        <v>2020</v>
      </c>
      <c r="C3630" s="18">
        <f t="shared" si="113"/>
        <v>6</v>
      </c>
      <c r="D3630" s="3" t="s">
        <v>2123</v>
      </c>
      <c r="E3630" s="3" t="s">
        <v>94</v>
      </c>
      <c r="F3630" s="3" t="s">
        <v>19</v>
      </c>
      <c r="G3630" s="3" t="s">
        <v>53</v>
      </c>
      <c r="H3630" s="3" t="s">
        <v>851</v>
      </c>
      <c r="I3630" s="11">
        <v>113.04</v>
      </c>
      <c r="J3630" s="18">
        <v>4</v>
      </c>
      <c r="K3630" s="12">
        <v>9.3295999999999992</v>
      </c>
    </row>
    <row r="3631" spans="1:11" x14ac:dyDescent="0.25">
      <c r="A3631" s="4">
        <v>43994</v>
      </c>
      <c r="B3631" s="19">
        <f t="shared" si="112"/>
        <v>2020</v>
      </c>
      <c r="C3631" s="19">
        <f t="shared" si="113"/>
        <v>6</v>
      </c>
      <c r="D3631" s="5" t="s">
        <v>2123</v>
      </c>
      <c r="E3631" s="5" t="s">
        <v>94</v>
      </c>
      <c r="F3631" s="5" t="s">
        <v>19</v>
      </c>
      <c r="G3631" s="5" t="s">
        <v>32</v>
      </c>
      <c r="H3631" s="5" t="s">
        <v>950</v>
      </c>
      <c r="I3631" s="13">
        <v>124.128</v>
      </c>
      <c r="J3631" s="19">
        <v>3</v>
      </c>
      <c r="K3631" s="14">
        <v>4.2666000000000004</v>
      </c>
    </row>
    <row r="3632" spans="1:11" x14ac:dyDescent="0.25">
      <c r="A3632" s="2">
        <v>43994</v>
      </c>
      <c r="B3632" s="18">
        <f t="shared" si="112"/>
        <v>2020</v>
      </c>
      <c r="C3632" s="18">
        <f t="shared" si="113"/>
        <v>6</v>
      </c>
      <c r="D3632" s="3" t="s">
        <v>2331</v>
      </c>
      <c r="E3632" s="3" t="s">
        <v>70</v>
      </c>
      <c r="F3632" s="3" t="s">
        <v>19</v>
      </c>
      <c r="G3632" s="3" t="s">
        <v>53</v>
      </c>
      <c r="H3632" s="3" t="s">
        <v>2332</v>
      </c>
      <c r="I3632" s="11">
        <v>114.44</v>
      </c>
      <c r="J3632" s="18">
        <v>3</v>
      </c>
      <c r="K3632" s="12">
        <v>9.3312000000000008</v>
      </c>
    </row>
    <row r="3633" spans="1:11" x14ac:dyDescent="0.25">
      <c r="A3633" s="4">
        <v>43994</v>
      </c>
      <c r="B3633" s="19">
        <f t="shared" si="112"/>
        <v>2020</v>
      </c>
      <c r="C3633" s="19">
        <f t="shared" si="113"/>
        <v>6</v>
      </c>
      <c r="D3633" s="5" t="s">
        <v>1357</v>
      </c>
      <c r="E3633" s="5" t="s">
        <v>67</v>
      </c>
      <c r="F3633" s="5" t="s">
        <v>14</v>
      </c>
      <c r="G3633" s="5" t="s">
        <v>24</v>
      </c>
      <c r="H3633" s="5" t="s">
        <v>368</v>
      </c>
      <c r="I3633" s="13">
        <v>159.91999999999999</v>
      </c>
      <c r="J3633" s="19">
        <v>2</v>
      </c>
      <c r="K3633" s="14">
        <v>19.175999999999998</v>
      </c>
    </row>
    <row r="3634" spans="1:11" x14ac:dyDescent="0.25">
      <c r="A3634" s="2">
        <v>43994</v>
      </c>
      <c r="B3634" s="18">
        <f t="shared" si="112"/>
        <v>2020</v>
      </c>
      <c r="C3634" s="18">
        <f t="shared" si="113"/>
        <v>6</v>
      </c>
      <c r="D3634" s="3" t="s">
        <v>2123</v>
      </c>
      <c r="E3634" s="3" t="s">
        <v>94</v>
      </c>
      <c r="F3634" s="3" t="s">
        <v>19</v>
      </c>
      <c r="G3634" s="3" t="s">
        <v>40</v>
      </c>
      <c r="H3634" s="3" t="s">
        <v>2333</v>
      </c>
      <c r="I3634" s="11">
        <v>161.13999999999999</v>
      </c>
      <c r="J3634" s="18">
        <v>3</v>
      </c>
      <c r="K3634" s="12">
        <v>16.676400000000001</v>
      </c>
    </row>
    <row r="3635" spans="1:11" x14ac:dyDescent="0.25">
      <c r="A3635" s="4">
        <v>43995</v>
      </c>
      <c r="B3635" s="19">
        <f t="shared" si="112"/>
        <v>2020</v>
      </c>
      <c r="C3635" s="19">
        <f t="shared" si="113"/>
        <v>6</v>
      </c>
      <c r="D3635" s="5" t="s">
        <v>1599</v>
      </c>
      <c r="E3635" s="5" t="s">
        <v>164</v>
      </c>
      <c r="F3635" s="5" t="s">
        <v>19</v>
      </c>
      <c r="G3635" s="5" t="s">
        <v>20</v>
      </c>
      <c r="H3635" s="5" t="s">
        <v>213</v>
      </c>
      <c r="I3635" s="13">
        <v>190.73599999999999</v>
      </c>
      <c r="J3635" s="19">
        <v>4</v>
      </c>
      <c r="K3635" s="14">
        <v>-39.1248</v>
      </c>
    </row>
    <row r="3636" spans="1:11" x14ac:dyDescent="0.25">
      <c r="A3636" s="2">
        <v>43995</v>
      </c>
      <c r="B3636" s="18">
        <f t="shared" si="112"/>
        <v>2020</v>
      </c>
      <c r="C3636" s="18">
        <f t="shared" si="113"/>
        <v>6</v>
      </c>
      <c r="D3636" s="3" t="s">
        <v>115</v>
      </c>
      <c r="E3636" s="3" t="s">
        <v>181</v>
      </c>
      <c r="F3636" s="3" t="s">
        <v>19</v>
      </c>
      <c r="G3636" s="3" t="s">
        <v>40</v>
      </c>
      <c r="H3636" s="3" t="s">
        <v>2334</v>
      </c>
      <c r="I3636" s="11">
        <v>203.86</v>
      </c>
      <c r="J3636" s="18">
        <v>7</v>
      </c>
      <c r="K3636" s="12">
        <v>50.9208</v>
      </c>
    </row>
    <row r="3637" spans="1:11" x14ac:dyDescent="0.25">
      <c r="A3637" s="4">
        <v>43995</v>
      </c>
      <c r="B3637" s="19">
        <f t="shared" si="112"/>
        <v>2020</v>
      </c>
      <c r="C3637" s="19">
        <f t="shared" si="113"/>
        <v>6</v>
      </c>
      <c r="D3637" s="5" t="s">
        <v>403</v>
      </c>
      <c r="E3637" s="5" t="s">
        <v>70</v>
      </c>
      <c r="F3637" s="5" t="s">
        <v>11</v>
      </c>
      <c r="G3637" s="5" t="s">
        <v>112</v>
      </c>
      <c r="H3637" s="5" t="s">
        <v>1847</v>
      </c>
      <c r="I3637" s="13">
        <v>323.13600000000002</v>
      </c>
      <c r="J3637" s="19">
        <v>4</v>
      </c>
      <c r="K3637" s="14">
        <v>-25.474399999999999</v>
      </c>
    </row>
    <row r="3638" spans="1:11" x14ac:dyDescent="0.25">
      <c r="A3638" s="2">
        <v>43995</v>
      </c>
      <c r="B3638" s="18">
        <f t="shared" si="112"/>
        <v>2020</v>
      </c>
      <c r="C3638" s="18">
        <f t="shared" si="113"/>
        <v>6</v>
      </c>
      <c r="D3638" s="3" t="s">
        <v>1599</v>
      </c>
      <c r="E3638" s="3" t="s">
        <v>164</v>
      </c>
      <c r="F3638" s="3" t="s">
        <v>11</v>
      </c>
      <c r="G3638" s="3" t="s">
        <v>112</v>
      </c>
      <c r="H3638" s="3" t="s">
        <v>113</v>
      </c>
      <c r="I3638" s="11">
        <v>520.30200000000002</v>
      </c>
      <c r="J3638" s="18">
        <v>7</v>
      </c>
      <c r="K3638" s="12">
        <v>-87.341800000000006</v>
      </c>
    </row>
    <row r="3639" spans="1:11" x14ac:dyDescent="0.25">
      <c r="A3639" s="4">
        <v>43995</v>
      </c>
      <c r="B3639" s="19">
        <f t="shared" si="112"/>
        <v>2020</v>
      </c>
      <c r="C3639" s="19">
        <f t="shared" si="113"/>
        <v>6</v>
      </c>
      <c r="D3639" s="5" t="s">
        <v>1599</v>
      </c>
      <c r="E3639" s="5" t="s">
        <v>164</v>
      </c>
      <c r="F3639" s="5" t="s">
        <v>14</v>
      </c>
      <c r="G3639" s="5" t="s">
        <v>15</v>
      </c>
      <c r="H3639" s="5" t="s">
        <v>1176</v>
      </c>
      <c r="I3639" s="13">
        <v>142.98400000000001</v>
      </c>
      <c r="J3639" s="19">
        <v>2</v>
      </c>
      <c r="K3639" s="14">
        <v>5.9980000000000002</v>
      </c>
    </row>
    <row r="3640" spans="1:11" x14ac:dyDescent="0.25">
      <c r="A3640" s="2">
        <v>43997</v>
      </c>
      <c r="B3640" s="18">
        <f t="shared" si="112"/>
        <v>2020</v>
      </c>
      <c r="C3640" s="18">
        <f t="shared" si="113"/>
        <v>6</v>
      </c>
      <c r="D3640" s="3" t="s">
        <v>84</v>
      </c>
      <c r="E3640" s="3" t="s">
        <v>387</v>
      </c>
      <c r="F3640" s="3" t="s">
        <v>19</v>
      </c>
      <c r="G3640" s="3" t="s">
        <v>20</v>
      </c>
      <c r="H3640" s="3" t="s">
        <v>496</v>
      </c>
      <c r="I3640" s="11">
        <v>106.55</v>
      </c>
      <c r="J3640" s="18">
        <v>5</v>
      </c>
      <c r="K3640" s="12">
        <v>22.828499999999998</v>
      </c>
    </row>
    <row r="3641" spans="1:11" x14ac:dyDescent="0.25">
      <c r="A3641" s="4">
        <v>43997</v>
      </c>
      <c r="B3641" s="19">
        <f t="shared" si="112"/>
        <v>2020</v>
      </c>
      <c r="C3641" s="19">
        <f t="shared" si="113"/>
        <v>6</v>
      </c>
      <c r="D3641" s="5" t="s">
        <v>1189</v>
      </c>
      <c r="E3641" s="5" t="s">
        <v>35</v>
      </c>
      <c r="F3641" s="5" t="s">
        <v>11</v>
      </c>
      <c r="G3641" s="5" t="s">
        <v>12</v>
      </c>
      <c r="H3641" s="5" t="s">
        <v>162</v>
      </c>
      <c r="I3641" s="13">
        <v>119.72799999999999</v>
      </c>
      <c r="J3641" s="19">
        <v>2</v>
      </c>
      <c r="K3641" s="14">
        <v>-3.8864000000000001</v>
      </c>
    </row>
    <row r="3642" spans="1:11" x14ac:dyDescent="0.25">
      <c r="A3642" s="2">
        <v>43997</v>
      </c>
      <c r="B3642" s="18">
        <f t="shared" si="112"/>
        <v>2020</v>
      </c>
      <c r="C3642" s="18">
        <f t="shared" si="113"/>
        <v>6</v>
      </c>
      <c r="D3642" s="3" t="s">
        <v>1320</v>
      </c>
      <c r="E3642" s="3" t="s">
        <v>219</v>
      </c>
      <c r="F3642" s="3" t="s">
        <v>19</v>
      </c>
      <c r="G3642" s="3" t="s">
        <v>53</v>
      </c>
      <c r="H3642" s="3" t="s">
        <v>2335</v>
      </c>
      <c r="I3642" s="11">
        <v>125.36</v>
      </c>
      <c r="J3642" s="18">
        <v>5</v>
      </c>
      <c r="K3642" s="12">
        <v>29.692</v>
      </c>
    </row>
    <row r="3643" spans="1:11" x14ac:dyDescent="0.25">
      <c r="A3643" s="4">
        <v>43997</v>
      </c>
      <c r="B3643" s="19">
        <f t="shared" si="112"/>
        <v>2020</v>
      </c>
      <c r="C3643" s="19">
        <f t="shared" si="113"/>
        <v>6</v>
      </c>
      <c r="D3643" s="5" t="s">
        <v>1320</v>
      </c>
      <c r="E3643" s="5" t="s">
        <v>219</v>
      </c>
      <c r="F3643" s="5" t="s">
        <v>19</v>
      </c>
      <c r="G3643" s="5" t="s">
        <v>121</v>
      </c>
      <c r="H3643" s="5" t="s">
        <v>832</v>
      </c>
      <c r="I3643" s="13">
        <v>126.608</v>
      </c>
      <c r="J3643" s="19">
        <v>8</v>
      </c>
      <c r="K3643" s="14">
        <v>6.7031999999999998</v>
      </c>
    </row>
    <row r="3644" spans="1:11" x14ac:dyDescent="0.25">
      <c r="A3644" s="2">
        <v>43997</v>
      </c>
      <c r="B3644" s="18">
        <f t="shared" si="112"/>
        <v>2020</v>
      </c>
      <c r="C3644" s="18">
        <f t="shared" si="113"/>
        <v>6</v>
      </c>
      <c r="D3644" s="3" t="s">
        <v>1320</v>
      </c>
      <c r="E3644" s="3" t="s">
        <v>219</v>
      </c>
      <c r="F3644" s="3" t="s">
        <v>11</v>
      </c>
      <c r="G3644" s="3" t="s">
        <v>30</v>
      </c>
      <c r="H3644" s="3" t="s">
        <v>1376</v>
      </c>
      <c r="I3644" s="11">
        <v>130.96</v>
      </c>
      <c r="J3644" s="18">
        <v>2</v>
      </c>
      <c r="K3644" s="12">
        <v>-28.224</v>
      </c>
    </row>
    <row r="3645" spans="1:11" x14ac:dyDescent="0.25">
      <c r="A3645" s="4">
        <v>43997</v>
      </c>
      <c r="B3645" s="19">
        <f t="shared" si="112"/>
        <v>2020</v>
      </c>
      <c r="C3645" s="19">
        <f t="shared" si="113"/>
        <v>6</v>
      </c>
      <c r="D3645" s="5" t="s">
        <v>1200</v>
      </c>
      <c r="E3645" s="5" t="s">
        <v>18</v>
      </c>
      <c r="F3645" s="5" t="s">
        <v>14</v>
      </c>
      <c r="G3645" s="5" t="s">
        <v>15</v>
      </c>
      <c r="H3645" s="5" t="s">
        <v>2171</v>
      </c>
      <c r="I3645" s="13">
        <v>143.96</v>
      </c>
      <c r="J3645" s="19">
        <v>1</v>
      </c>
      <c r="K3645" s="14">
        <v>7.4974999999999996</v>
      </c>
    </row>
    <row r="3646" spans="1:11" x14ac:dyDescent="0.25">
      <c r="A3646" s="2">
        <v>43997</v>
      </c>
      <c r="B3646" s="18">
        <f t="shared" si="112"/>
        <v>2020</v>
      </c>
      <c r="C3646" s="18">
        <f t="shared" si="113"/>
        <v>6</v>
      </c>
      <c r="D3646" s="3" t="s">
        <v>1320</v>
      </c>
      <c r="E3646" s="3" t="s">
        <v>219</v>
      </c>
      <c r="F3646" s="3" t="s">
        <v>19</v>
      </c>
      <c r="G3646" s="3" t="s">
        <v>20</v>
      </c>
      <c r="H3646" s="3" t="s">
        <v>818</v>
      </c>
      <c r="I3646" s="11">
        <v>160.77600000000001</v>
      </c>
      <c r="J3646" s="18">
        <v>1</v>
      </c>
      <c r="K3646" s="12">
        <v>17.847000000000001</v>
      </c>
    </row>
    <row r="3647" spans="1:11" x14ac:dyDescent="0.25">
      <c r="A3647" s="4">
        <v>43997</v>
      </c>
      <c r="B3647" s="19">
        <f t="shared" si="112"/>
        <v>2020</v>
      </c>
      <c r="C3647" s="19">
        <f t="shared" si="113"/>
        <v>6</v>
      </c>
      <c r="D3647" s="5" t="s">
        <v>1320</v>
      </c>
      <c r="E3647" s="5" t="s">
        <v>219</v>
      </c>
      <c r="F3647" s="5" t="s">
        <v>14</v>
      </c>
      <c r="G3647" s="5" t="s">
        <v>15</v>
      </c>
      <c r="H3647" s="5" t="s">
        <v>2336</v>
      </c>
      <c r="I3647" s="13">
        <v>249.976</v>
      </c>
      <c r="J3647" s="19">
        <v>3</v>
      </c>
      <c r="K3647" s="14">
        <v>26.997299999999999</v>
      </c>
    </row>
    <row r="3648" spans="1:11" x14ac:dyDescent="0.25">
      <c r="A3648" s="2">
        <v>43997</v>
      </c>
      <c r="B3648" s="18">
        <f t="shared" si="112"/>
        <v>2020</v>
      </c>
      <c r="C3648" s="18">
        <f t="shared" si="113"/>
        <v>6</v>
      </c>
      <c r="D3648" s="3" t="s">
        <v>1189</v>
      </c>
      <c r="E3648" s="3" t="s">
        <v>35</v>
      </c>
      <c r="F3648" s="3" t="s">
        <v>11</v>
      </c>
      <c r="G3648" s="3" t="s">
        <v>112</v>
      </c>
      <c r="H3648" s="3" t="s">
        <v>542</v>
      </c>
      <c r="I3648" s="11">
        <v>746.35199999999998</v>
      </c>
      <c r="J3648" s="18">
        <v>3</v>
      </c>
      <c r="K3648" s="12">
        <v>52.376399999999997</v>
      </c>
    </row>
    <row r="3649" spans="1:11" x14ac:dyDescent="0.25">
      <c r="A3649" s="4">
        <v>43997</v>
      </c>
      <c r="B3649" s="19">
        <f t="shared" si="112"/>
        <v>2020</v>
      </c>
      <c r="C3649" s="19">
        <f t="shared" si="113"/>
        <v>6</v>
      </c>
      <c r="D3649" s="5" t="s">
        <v>1320</v>
      </c>
      <c r="E3649" s="5" t="s">
        <v>219</v>
      </c>
      <c r="F3649" s="5" t="s">
        <v>14</v>
      </c>
      <c r="G3649" s="5" t="s">
        <v>15</v>
      </c>
      <c r="H3649" s="5" t="s">
        <v>1976</v>
      </c>
      <c r="I3649" s="13">
        <v>2261.9360000000001</v>
      </c>
      <c r="J3649" s="19">
        <v>8</v>
      </c>
      <c r="K3649" s="14">
        <v>223.99359999999999</v>
      </c>
    </row>
    <row r="3650" spans="1:11" x14ac:dyDescent="0.25">
      <c r="A3650" s="2">
        <v>43997</v>
      </c>
      <c r="B3650" s="18">
        <f t="shared" ref="B3650:B3713" si="114">YEAR(A3650)</f>
        <v>2020</v>
      </c>
      <c r="C3650" s="18">
        <f t="shared" ref="C3650:C3713" si="115">MONTH(A3650)</f>
        <v>6</v>
      </c>
      <c r="D3650" s="3" t="s">
        <v>1320</v>
      </c>
      <c r="E3650" s="3" t="s">
        <v>219</v>
      </c>
      <c r="F3650" s="3" t="s">
        <v>11</v>
      </c>
      <c r="G3650" s="3" t="s">
        <v>51</v>
      </c>
      <c r="H3650" s="3" t="s">
        <v>797</v>
      </c>
      <c r="I3650" s="11">
        <v>104.16800000000001</v>
      </c>
      <c r="J3650" s="18">
        <v>4</v>
      </c>
      <c r="K3650" s="12">
        <v>9.3504000000000005</v>
      </c>
    </row>
    <row r="3651" spans="1:11" x14ac:dyDescent="0.25">
      <c r="A3651" s="4">
        <v>43997</v>
      </c>
      <c r="B3651" s="19">
        <f t="shared" si="114"/>
        <v>2020</v>
      </c>
      <c r="C3651" s="19">
        <f t="shared" si="115"/>
        <v>6</v>
      </c>
      <c r="D3651" s="5" t="s">
        <v>2035</v>
      </c>
      <c r="E3651" s="5" t="s">
        <v>18</v>
      </c>
      <c r="F3651" s="5" t="s">
        <v>19</v>
      </c>
      <c r="G3651" s="5" t="s">
        <v>40</v>
      </c>
      <c r="H3651" s="5" t="s">
        <v>572</v>
      </c>
      <c r="I3651" s="13">
        <v>97.26</v>
      </c>
      <c r="J3651" s="19">
        <v>1</v>
      </c>
      <c r="K3651" s="14">
        <v>1.7465999999999999</v>
      </c>
    </row>
    <row r="3652" spans="1:11" x14ac:dyDescent="0.25">
      <c r="A3652" s="2">
        <v>43997</v>
      </c>
      <c r="B3652" s="18">
        <f t="shared" si="114"/>
        <v>2020</v>
      </c>
      <c r="C3652" s="18">
        <f t="shared" si="115"/>
        <v>6</v>
      </c>
      <c r="D3652" s="3" t="s">
        <v>84</v>
      </c>
      <c r="E3652" s="3" t="s">
        <v>387</v>
      </c>
      <c r="F3652" s="3" t="s">
        <v>19</v>
      </c>
      <c r="G3652" s="3" t="s">
        <v>53</v>
      </c>
      <c r="H3652" s="3" t="s">
        <v>2337</v>
      </c>
      <c r="I3652" s="11">
        <v>116.94</v>
      </c>
      <c r="J3652" s="18">
        <v>3</v>
      </c>
      <c r="K3652" s="12">
        <v>8.7905999999999995</v>
      </c>
    </row>
    <row r="3653" spans="1:11" x14ac:dyDescent="0.25">
      <c r="A3653" s="4">
        <v>43997</v>
      </c>
      <c r="B3653" s="19">
        <f t="shared" si="114"/>
        <v>2020</v>
      </c>
      <c r="C3653" s="19">
        <f t="shared" si="115"/>
        <v>6</v>
      </c>
      <c r="D3653" s="5" t="s">
        <v>111</v>
      </c>
      <c r="E3653" s="5" t="s">
        <v>164</v>
      </c>
      <c r="F3653" s="5" t="s">
        <v>19</v>
      </c>
      <c r="G3653" s="5" t="s">
        <v>40</v>
      </c>
      <c r="H3653" s="5" t="s">
        <v>1410</v>
      </c>
      <c r="I3653" s="13">
        <v>132.56</v>
      </c>
      <c r="J3653" s="19">
        <v>5</v>
      </c>
      <c r="K3653" s="14">
        <v>1.7115</v>
      </c>
    </row>
    <row r="3654" spans="1:11" x14ac:dyDescent="0.25">
      <c r="A3654" s="2">
        <v>43997</v>
      </c>
      <c r="B3654" s="18">
        <f t="shared" si="114"/>
        <v>2020</v>
      </c>
      <c r="C3654" s="18">
        <f t="shared" si="115"/>
        <v>6</v>
      </c>
      <c r="D3654" s="3" t="s">
        <v>84</v>
      </c>
      <c r="E3654" s="3" t="s">
        <v>387</v>
      </c>
      <c r="F3654" s="3" t="s">
        <v>19</v>
      </c>
      <c r="G3654" s="3" t="s">
        <v>127</v>
      </c>
      <c r="H3654" s="3" t="s">
        <v>1801</v>
      </c>
      <c r="I3654" s="11">
        <v>152.4</v>
      </c>
      <c r="J3654" s="18">
        <v>3</v>
      </c>
      <c r="K3654" s="12">
        <v>22.2</v>
      </c>
    </row>
    <row r="3655" spans="1:11" x14ac:dyDescent="0.25">
      <c r="A3655" s="4">
        <v>43997</v>
      </c>
      <c r="B3655" s="19">
        <f t="shared" si="114"/>
        <v>2020</v>
      </c>
      <c r="C3655" s="19">
        <f t="shared" si="115"/>
        <v>6</v>
      </c>
      <c r="D3655" s="5" t="s">
        <v>2338</v>
      </c>
      <c r="E3655" s="5" t="s">
        <v>18</v>
      </c>
      <c r="F3655" s="5" t="s">
        <v>14</v>
      </c>
      <c r="G3655" s="5" t="s">
        <v>15</v>
      </c>
      <c r="H3655" s="5" t="s">
        <v>967</v>
      </c>
      <c r="I3655" s="13">
        <v>155.976</v>
      </c>
      <c r="J3655" s="19">
        <v>3</v>
      </c>
      <c r="K3655" s="14">
        <v>4.7976000000000001</v>
      </c>
    </row>
    <row r="3656" spans="1:11" x14ac:dyDescent="0.25">
      <c r="A3656" s="2">
        <v>43998</v>
      </c>
      <c r="B3656" s="18">
        <f t="shared" si="114"/>
        <v>2020</v>
      </c>
      <c r="C3656" s="18">
        <f t="shared" si="115"/>
        <v>6</v>
      </c>
      <c r="D3656" s="3" t="s">
        <v>1697</v>
      </c>
      <c r="E3656" s="3" t="s">
        <v>195</v>
      </c>
      <c r="F3656" s="3" t="s">
        <v>19</v>
      </c>
      <c r="G3656" s="3" t="s">
        <v>121</v>
      </c>
      <c r="H3656" s="3" t="s">
        <v>2339</v>
      </c>
      <c r="I3656" s="11">
        <v>194.66</v>
      </c>
      <c r="J3656" s="18">
        <v>3</v>
      </c>
      <c r="K3656" s="12">
        <v>50.584800000000001</v>
      </c>
    </row>
    <row r="3657" spans="1:11" x14ac:dyDescent="0.25">
      <c r="A3657" s="4">
        <v>43998</v>
      </c>
      <c r="B3657" s="19">
        <f t="shared" si="114"/>
        <v>2020</v>
      </c>
      <c r="C3657" s="19">
        <f t="shared" si="115"/>
        <v>6</v>
      </c>
      <c r="D3657" s="5" t="s">
        <v>1120</v>
      </c>
      <c r="E3657" s="5" t="s">
        <v>1868</v>
      </c>
      <c r="F3657" s="5" t="s">
        <v>19</v>
      </c>
      <c r="G3657" s="5" t="s">
        <v>53</v>
      </c>
      <c r="H3657" s="5" t="s">
        <v>1511</v>
      </c>
      <c r="I3657" s="13">
        <v>240.16</v>
      </c>
      <c r="J3657" s="19">
        <v>4</v>
      </c>
      <c r="K3657" s="14">
        <v>92.236800000000002</v>
      </c>
    </row>
    <row r="3658" spans="1:11" x14ac:dyDescent="0.25">
      <c r="A3658" s="2">
        <v>43998</v>
      </c>
      <c r="B3658" s="18">
        <f t="shared" si="114"/>
        <v>2020</v>
      </c>
      <c r="C3658" s="18">
        <f t="shared" si="115"/>
        <v>6</v>
      </c>
      <c r="D3658" s="3" t="s">
        <v>1697</v>
      </c>
      <c r="E3658" s="3" t="s">
        <v>195</v>
      </c>
      <c r="F3658" s="3" t="s">
        <v>14</v>
      </c>
      <c r="G3658" s="3" t="s">
        <v>15</v>
      </c>
      <c r="H3658" s="3" t="s">
        <v>311</v>
      </c>
      <c r="I3658" s="11">
        <v>241.98</v>
      </c>
      <c r="J3658" s="18">
        <v>2</v>
      </c>
      <c r="K3658" s="12">
        <v>51.834600000000002</v>
      </c>
    </row>
    <row r="3659" spans="1:11" x14ac:dyDescent="0.25">
      <c r="A3659" s="4">
        <v>43998</v>
      </c>
      <c r="B3659" s="19">
        <f t="shared" si="114"/>
        <v>2020</v>
      </c>
      <c r="C3659" s="19">
        <f t="shared" si="115"/>
        <v>6</v>
      </c>
      <c r="D3659" s="5" t="s">
        <v>1697</v>
      </c>
      <c r="E3659" s="5" t="s">
        <v>195</v>
      </c>
      <c r="F3659" s="5" t="s">
        <v>11</v>
      </c>
      <c r="G3659" s="5" t="s">
        <v>112</v>
      </c>
      <c r="H3659" s="5" t="s">
        <v>477</v>
      </c>
      <c r="I3659" s="13">
        <v>344.96</v>
      </c>
      <c r="J3659" s="19">
        <v>2</v>
      </c>
      <c r="K3659" s="14">
        <v>90.587999999999994</v>
      </c>
    </row>
    <row r="3660" spans="1:11" x14ac:dyDescent="0.25">
      <c r="A3660" s="2">
        <v>43998</v>
      </c>
      <c r="B3660" s="18">
        <f t="shared" si="114"/>
        <v>2020</v>
      </c>
      <c r="C3660" s="18">
        <f t="shared" si="115"/>
        <v>6</v>
      </c>
      <c r="D3660" s="3" t="s">
        <v>444</v>
      </c>
      <c r="E3660" s="3" t="s">
        <v>67</v>
      </c>
      <c r="F3660" s="3" t="s">
        <v>14</v>
      </c>
      <c r="G3660" s="3" t="s">
        <v>24</v>
      </c>
      <c r="H3660" s="3" t="s">
        <v>2294</v>
      </c>
      <c r="I3660" s="11">
        <v>492.952</v>
      </c>
      <c r="J3660" s="18">
        <v>6</v>
      </c>
      <c r="K3660" s="12">
        <v>107.9892</v>
      </c>
    </row>
    <row r="3661" spans="1:11" x14ac:dyDescent="0.25">
      <c r="A3661" s="4">
        <v>43998</v>
      </c>
      <c r="B3661" s="19">
        <f t="shared" si="114"/>
        <v>2020</v>
      </c>
      <c r="C3661" s="19">
        <f t="shared" si="115"/>
        <v>6</v>
      </c>
      <c r="D3661" s="5" t="s">
        <v>1535</v>
      </c>
      <c r="E3661" s="5" t="s">
        <v>18</v>
      </c>
      <c r="F3661" s="5" t="s">
        <v>11</v>
      </c>
      <c r="G3661" s="5" t="s">
        <v>112</v>
      </c>
      <c r="H3661" s="5" t="s">
        <v>196</v>
      </c>
      <c r="I3661" s="13">
        <v>1259.96</v>
      </c>
      <c r="J3661" s="19">
        <v>7</v>
      </c>
      <c r="K3661" s="14">
        <v>90.971999999999994</v>
      </c>
    </row>
    <row r="3662" spans="1:11" x14ac:dyDescent="0.25">
      <c r="A3662" s="2">
        <v>43998</v>
      </c>
      <c r="B3662" s="18">
        <f t="shared" si="114"/>
        <v>2020</v>
      </c>
      <c r="C3662" s="18">
        <f t="shared" si="115"/>
        <v>6</v>
      </c>
      <c r="D3662" s="3" t="s">
        <v>835</v>
      </c>
      <c r="E3662" s="3" t="s">
        <v>164</v>
      </c>
      <c r="F3662" s="3" t="s">
        <v>19</v>
      </c>
      <c r="G3662" s="3" t="s">
        <v>32</v>
      </c>
      <c r="H3662" s="3" t="s">
        <v>1600</v>
      </c>
      <c r="I3662" s="11">
        <v>107.93600000000001</v>
      </c>
      <c r="J3662" s="18">
        <v>7</v>
      </c>
      <c r="K3662" s="12">
        <v>-8.9039999999999999</v>
      </c>
    </row>
    <row r="3663" spans="1:11" x14ac:dyDescent="0.25">
      <c r="A3663" s="4">
        <v>43998</v>
      </c>
      <c r="B3663" s="19">
        <f t="shared" si="114"/>
        <v>2020</v>
      </c>
      <c r="C3663" s="19">
        <f t="shared" si="115"/>
        <v>6</v>
      </c>
      <c r="D3663" s="5" t="s">
        <v>1120</v>
      </c>
      <c r="E3663" s="5" t="s">
        <v>1868</v>
      </c>
      <c r="F3663" s="5" t="s">
        <v>19</v>
      </c>
      <c r="G3663" s="5" t="s">
        <v>265</v>
      </c>
      <c r="H3663" s="5" t="s">
        <v>1280</v>
      </c>
      <c r="I3663" s="13">
        <v>135.68</v>
      </c>
      <c r="J3663" s="19">
        <v>2</v>
      </c>
      <c r="K3663" s="14">
        <v>4.3368000000000002</v>
      </c>
    </row>
    <row r="3664" spans="1:11" x14ac:dyDescent="0.25">
      <c r="A3664" s="2">
        <v>43998</v>
      </c>
      <c r="B3664" s="18">
        <f t="shared" si="114"/>
        <v>2020</v>
      </c>
      <c r="C3664" s="18">
        <f t="shared" si="115"/>
        <v>6</v>
      </c>
      <c r="D3664" s="3" t="s">
        <v>444</v>
      </c>
      <c r="E3664" s="3" t="s">
        <v>67</v>
      </c>
      <c r="F3664" s="3" t="s">
        <v>19</v>
      </c>
      <c r="G3664" s="3" t="s">
        <v>40</v>
      </c>
      <c r="H3664" s="3" t="s">
        <v>2340</v>
      </c>
      <c r="I3664" s="11">
        <v>113.92</v>
      </c>
      <c r="J3664" s="18">
        <v>5</v>
      </c>
      <c r="K3664" s="12">
        <v>1.794</v>
      </c>
    </row>
    <row r="3665" spans="1:11" x14ac:dyDescent="0.25">
      <c r="A3665" s="4">
        <v>43998</v>
      </c>
      <c r="B3665" s="19">
        <f t="shared" si="114"/>
        <v>2020</v>
      </c>
      <c r="C3665" s="19">
        <f t="shared" si="115"/>
        <v>6</v>
      </c>
      <c r="D3665" s="5" t="s">
        <v>1535</v>
      </c>
      <c r="E3665" s="5" t="s">
        <v>18</v>
      </c>
      <c r="F3665" s="5" t="s">
        <v>19</v>
      </c>
      <c r="G3665" s="5" t="s">
        <v>53</v>
      </c>
      <c r="H3665" s="5" t="s">
        <v>548</v>
      </c>
      <c r="I3665" s="13">
        <v>132.54</v>
      </c>
      <c r="J3665" s="19">
        <v>2</v>
      </c>
      <c r="K3665" s="14">
        <v>8.7138000000000009</v>
      </c>
    </row>
    <row r="3666" spans="1:11" x14ac:dyDescent="0.25">
      <c r="A3666" s="2">
        <v>43998</v>
      </c>
      <c r="B3666" s="18">
        <f t="shared" si="114"/>
        <v>2020</v>
      </c>
      <c r="C3666" s="18">
        <f t="shared" si="115"/>
        <v>6</v>
      </c>
      <c r="D3666" s="3" t="s">
        <v>137</v>
      </c>
      <c r="E3666" s="3" t="s">
        <v>35</v>
      </c>
      <c r="F3666" s="3" t="s">
        <v>19</v>
      </c>
      <c r="G3666" s="3" t="s">
        <v>40</v>
      </c>
      <c r="H3666" s="3" t="s">
        <v>2116</v>
      </c>
      <c r="I3666" s="11">
        <v>135.01599999999999</v>
      </c>
      <c r="J3666" s="18">
        <v>3</v>
      </c>
      <c r="K3666" s="12">
        <v>4.7304000000000004</v>
      </c>
    </row>
    <row r="3667" spans="1:11" x14ac:dyDescent="0.25">
      <c r="A3667" s="4">
        <v>43998</v>
      </c>
      <c r="B3667" s="19">
        <f t="shared" si="114"/>
        <v>2020</v>
      </c>
      <c r="C3667" s="19">
        <f t="shared" si="115"/>
        <v>6</v>
      </c>
      <c r="D3667" s="5" t="s">
        <v>1120</v>
      </c>
      <c r="E3667" s="5" t="s">
        <v>1868</v>
      </c>
      <c r="F3667" s="5" t="s">
        <v>19</v>
      </c>
      <c r="G3667" s="5" t="s">
        <v>53</v>
      </c>
      <c r="H3667" s="5" t="s">
        <v>1937</v>
      </c>
      <c r="I3667" s="13">
        <v>117.44</v>
      </c>
      <c r="J3667" s="19">
        <v>3</v>
      </c>
      <c r="K3667" s="14">
        <v>9.3312000000000008</v>
      </c>
    </row>
    <row r="3668" spans="1:11" x14ac:dyDescent="0.25">
      <c r="A3668" s="2">
        <v>43998</v>
      </c>
      <c r="B3668" s="18">
        <f t="shared" si="114"/>
        <v>2020</v>
      </c>
      <c r="C3668" s="18">
        <f t="shared" si="115"/>
        <v>6</v>
      </c>
      <c r="D3668" s="3" t="s">
        <v>1697</v>
      </c>
      <c r="E3668" s="3" t="s">
        <v>195</v>
      </c>
      <c r="F3668" s="3" t="s">
        <v>14</v>
      </c>
      <c r="G3668" s="3" t="s">
        <v>15</v>
      </c>
      <c r="H3668" s="3" t="s">
        <v>1584</v>
      </c>
      <c r="I3668" s="11">
        <v>153.99</v>
      </c>
      <c r="J3668" s="18">
        <v>1</v>
      </c>
      <c r="K3668" s="12">
        <v>17.157399999999999</v>
      </c>
    </row>
    <row r="3669" spans="1:11" x14ac:dyDescent="0.25">
      <c r="A3669" s="4">
        <v>43999</v>
      </c>
      <c r="B3669" s="19">
        <f t="shared" si="114"/>
        <v>2020</v>
      </c>
      <c r="C3669" s="19">
        <f t="shared" si="115"/>
        <v>6</v>
      </c>
      <c r="D3669" s="5" t="s">
        <v>546</v>
      </c>
      <c r="E3669" s="5" t="s">
        <v>94</v>
      </c>
      <c r="F3669" s="5" t="s">
        <v>14</v>
      </c>
      <c r="G3669" s="5" t="s">
        <v>24</v>
      </c>
      <c r="H3669" s="5" t="s">
        <v>2341</v>
      </c>
      <c r="I3669" s="13">
        <v>114.34</v>
      </c>
      <c r="J3669" s="19">
        <v>3</v>
      </c>
      <c r="K3669" s="14">
        <v>8.1072000000000006</v>
      </c>
    </row>
    <row r="3670" spans="1:11" x14ac:dyDescent="0.25">
      <c r="A3670" s="2">
        <v>43999</v>
      </c>
      <c r="B3670" s="18">
        <f t="shared" si="114"/>
        <v>2020</v>
      </c>
      <c r="C3670" s="18">
        <f t="shared" si="115"/>
        <v>6</v>
      </c>
      <c r="D3670" s="3" t="s">
        <v>1149</v>
      </c>
      <c r="E3670" s="3" t="s">
        <v>70</v>
      </c>
      <c r="F3670" s="3" t="s">
        <v>11</v>
      </c>
      <c r="G3670" s="3" t="s">
        <v>51</v>
      </c>
      <c r="H3670" s="3" t="s">
        <v>514</v>
      </c>
      <c r="I3670" s="11">
        <v>178.25</v>
      </c>
      <c r="J3670" s="18">
        <v>3</v>
      </c>
      <c r="K3670" s="12">
        <v>46.575000000000003</v>
      </c>
    </row>
    <row r="3671" spans="1:11" x14ac:dyDescent="0.25">
      <c r="A3671" s="4">
        <v>43999</v>
      </c>
      <c r="B3671" s="19">
        <f t="shared" si="114"/>
        <v>2020</v>
      </c>
      <c r="C3671" s="19">
        <f t="shared" si="115"/>
        <v>6</v>
      </c>
      <c r="D3671" s="5" t="s">
        <v>2342</v>
      </c>
      <c r="E3671" s="5" t="s">
        <v>306</v>
      </c>
      <c r="F3671" s="5" t="s">
        <v>19</v>
      </c>
      <c r="G3671" s="5" t="s">
        <v>20</v>
      </c>
      <c r="H3671" s="5" t="s">
        <v>1974</v>
      </c>
      <c r="I3671" s="13">
        <v>196.352</v>
      </c>
      <c r="J3671" s="19">
        <v>3</v>
      </c>
      <c r="K3671" s="14">
        <v>-32.929200000000002</v>
      </c>
    </row>
    <row r="3672" spans="1:11" x14ac:dyDescent="0.25">
      <c r="A3672" s="2">
        <v>43999</v>
      </c>
      <c r="B3672" s="18">
        <f t="shared" si="114"/>
        <v>2020</v>
      </c>
      <c r="C3672" s="18">
        <f t="shared" si="115"/>
        <v>6</v>
      </c>
      <c r="D3672" s="3" t="s">
        <v>546</v>
      </c>
      <c r="E3672" s="3" t="s">
        <v>94</v>
      </c>
      <c r="F3672" s="3" t="s">
        <v>14</v>
      </c>
      <c r="G3672" s="3" t="s">
        <v>188</v>
      </c>
      <c r="H3672" s="3" t="s">
        <v>2343</v>
      </c>
      <c r="I3672" s="11">
        <v>3436.5</v>
      </c>
      <c r="J3672" s="18">
        <v>5</v>
      </c>
      <c r="K3672" s="12">
        <v>1668.2049999999999</v>
      </c>
    </row>
    <row r="3673" spans="1:11" x14ac:dyDescent="0.25">
      <c r="A3673" s="4">
        <v>43999</v>
      </c>
      <c r="B3673" s="19">
        <f t="shared" si="114"/>
        <v>2020</v>
      </c>
      <c r="C3673" s="19">
        <f t="shared" si="115"/>
        <v>6</v>
      </c>
      <c r="D3673" s="5" t="s">
        <v>1908</v>
      </c>
      <c r="E3673" s="5" t="s">
        <v>164</v>
      </c>
      <c r="F3673" s="5" t="s">
        <v>19</v>
      </c>
      <c r="G3673" s="5" t="s">
        <v>53</v>
      </c>
      <c r="H3673" s="5" t="s">
        <v>314</v>
      </c>
      <c r="I3673" s="13">
        <v>110.224</v>
      </c>
      <c r="J3673" s="19">
        <v>2</v>
      </c>
      <c r="K3673" s="14">
        <v>4.4311999999999996</v>
      </c>
    </row>
    <row r="3674" spans="1:11" x14ac:dyDescent="0.25">
      <c r="A3674" s="2">
        <v>43999</v>
      </c>
      <c r="B3674" s="18">
        <f t="shared" si="114"/>
        <v>2020</v>
      </c>
      <c r="C3674" s="18">
        <f t="shared" si="115"/>
        <v>6</v>
      </c>
      <c r="D3674" s="3" t="s">
        <v>1908</v>
      </c>
      <c r="E3674" s="3" t="s">
        <v>164</v>
      </c>
      <c r="F3674" s="3" t="s">
        <v>19</v>
      </c>
      <c r="G3674" s="3" t="s">
        <v>32</v>
      </c>
      <c r="H3674" s="3" t="s">
        <v>168</v>
      </c>
      <c r="I3674" s="11">
        <v>131.304</v>
      </c>
      <c r="J3674" s="18">
        <v>4</v>
      </c>
      <c r="K3674" s="12">
        <v>-3.5712000000000002</v>
      </c>
    </row>
    <row r="3675" spans="1:11" x14ac:dyDescent="0.25">
      <c r="A3675" s="4">
        <v>43999</v>
      </c>
      <c r="B3675" s="19">
        <f t="shared" si="114"/>
        <v>2020</v>
      </c>
      <c r="C3675" s="19">
        <f t="shared" si="115"/>
        <v>6</v>
      </c>
      <c r="D3675" s="5" t="s">
        <v>1908</v>
      </c>
      <c r="E3675" s="5" t="s">
        <v>164</v>
      </c>
      <c r="F3675" s="5" t="s">
        <v>19</v>
      </c>
      <c r="G3675" s="5" t="s">
        <v>32</v>
      </c>
      <c r="H3675" s="5" t="s">
        <v>1809</v>
      </c>
      <c r="I3675" s="13">
        <v>123.36</v>
      </c>
      <c r="J3675" s="19">
        <v>4</v>
      </c>
      <c r="K3675" s="14">
        <v>-16.38</v>
      </c>
    </row>
    <row r="3676" spans="1:11" x14ac:dyDescent="0.25">
      <c r="A3676" s="2">
        <v>43999</v>
      </c>
      <c r="B3676" s="18">
        <f t="shared" si="114"/>
        <v>2020</v>
      </c>
      <c r="C3676" s="18">
        <f t="shared" si="115"/>
        <v>6</v>
      </c>
      <c r="D3676" s="3" t="s">
        <v>1149</v>
      </c>
      <c r="E3676" s="3" t="s">
        <v>70</v>
      </c>
      <c r="F3676" s="3" t="s">
        <v>19</v>
      </c>
      <c r="G3676" s="3" t="s">
        <v>20</v>
      </c>
      <c r="H3676" s="3" t="s">
        <v>2070</v>
      </c>
      <c r="I3676" s="11">
        <v>124.03</v>
      </c>
      <c r="J3676" s="18">
        <v>1</v>
      </c>
      <c r="K3676" s="12">
        <v>4.0686999999999998</v>
      </c>
    </row>
    <row r="3677" spans="1:11" x14ac:dyDescent="0.25">
      <c r="A3677" s="4">
        <v>43999</v>
      </c>
      <c r="B3677" s="19">
        <f t="shared" si="114"/>
        <v>2020</v>
      </c>
      <c r="C3677" s="19">
        <f t="shared" si="115"/>
        <v>6</v>
      </c>
      <c r="D3677" s="5" t="s">
        <v>2344</v>
      </c>
      <c r="E3677" s="5" t="s">
        <v>18</v>
      </c>
      <c r="F3677" s="5" t="s">
        <v>19</v>
      </c>
      <c r="G3677" s="5" t="s">
        <v>32</v>
      </c>
      <c r="H3677" s="5" t="s">
        <v>999</v>
      </c>
      <c r="I3677" s="13">
        <v>187.31200000000001</v>
      </c>
      <c r="J3677" s="19">
        <v>3</v>
      </c>
      <c r="K3677" s="14">
        <v>17.959199999999999</v>
      </c>
    </row>
    <row r="3678" spans="1:11" x14ac:dyDescent="0.25">
      <c r="A3678" s="2">
        <v>44000</v>
      </c>
      <c r="B3678" s="18">
        <f t="shared" si="114"/>
        <v>2020</v>
      </c>
      <c r="C3678" s="18">
        <f t="shared" si="115"/>
        <v>6</v>
      </c>
      <c r="D3678" s="3" t="s">
        <v>1248</v>
      </c>
      <c r="E3678" s="3" t="s">
        <v>23</v>
      </c>
      <c r="F3678" s="3" t="s">
        <v>19</v>
      </c>
      <c r="G3678" s="3" t="s">
        <v>53</v>
      </c>
      <c r="H3678" s="3" t="s">
        <v>1171</v>
      </c>
      <c r="I3678" s="11">
        <v>123.352</v>
      </c>
      <c r="J3678" s="18">
        <v>3</v>
      </c>
      <c r="K3678" s="12">
        <v>23.234999999999999</v>
      </c>
    </row>
    <row r="3679" spans="1:11" x14ac:dyDescent="0.25">
      <c r="A3679" s="4">
        <v>44000</v>
      </c>
      <c r="B3679" s="19">
        <f t="shared" si="114"/>
        <v>2020</v>
      </c>
      <c r="C3679" s="19">
        <f t="shared" si="115"/>
        <v>6</v>
      </c>
      <c r="D3679" s="5" t="s">
        <v>316</v>
      </c>
      <c r="E3679" s="5" t="s">
        <v>18</v>
      </c>
      <c r="F3679" s="5" t="s">
        <v>11</v>
      </c>
      <c r="G3679" s="5" t="s">
        <v>12</v>
      </c>
      <c r="H3679" s="5" t="s">
        <v>208</v>
      </c>
      <c r="I3679" s="13">
        <v>965.92349999999999</v>
      </c>
      <c r="J3679" s="19">
        <v>9</v>
      </c>
      <c r="K3679" s="14">
        <v>75.593699999999998</v>
      </c>
    </row>
    <row r="3680" spans="1:11" x14ac:dyDescent="0.25">
      <c r="A3680" s="2">
        <v>44000</v>
      </c>
      <c r="B3680" s="18">
        <f t="shared" si="114"/>
        <v>2020</v>
      </c>
      <c r="C3680" s="18">
        <f t="shared" si="115"/>
        <v>6</v>
      </c>
      <c r="D3680" s="3" t="s">
        <v>316</v>
      </c>
      <c r="E3680" s="3" t="s">
        <v>18</v>
      </c>
      <c r="F3680" s="3" t="s">
        <v>19</v>
      </c>
      <c r="G3680" s="3" t="s">
        <v>53</v>
      </c>
      <c r="H3680" s="3" t="s">
        <v>1510</v>
      </c>
      <c r="I3680" s="11">
        <v>138.88</v>
      </c>
      <c r="J3680" s="18">
        <v>6</v>
      </c>
      <c r="K3680" s="12">
        <v>19.051200000000001</v>
      </c>
    </row>
    <row r="3681" spans="1:11" x14ac:dyDescent="0.25">
      <c r="A3681" s="4">
        <v>44001</v>
      </c>
      <c r="B3681" s="19">
        <f t="shared" si="114"/>
        <v>2020</v>
      </c>
      <c r="C3681" s="19">
        <f t="shared" si="115"/>
        <v>6</v>
      </c>
      <c r="D3681" s="5" t="s">
        <v>2303</v>
      </c>
      <c r="E3681" s="5" t="s">
        <v>94</v>
      </c>
      <c r="F3681" s="5" t="s">
        <v>19</v>
      </c>
      <c r="G3681" s="5" t="s">
        <v>53</v>
      </c>
      <c r="H3681" s="5" t="s">
        <v>165</v>
      </c>
      <c r="I3681" s="13">
        <v>109.82</v>
      </c>
      <c r="J3681" s="19">
        <v>2</v>
      </c>
      <c r="K3681" s="14">
        <v>45.9754</v>
      </c>
    </row>
    <row r="3682" spans="1:11" x14ac:dyDescent="0.25">
      <c r="A3682" s="2">
        <v>44001</v>
      </c>
      <c r="B3682" s="18">
        <f t="shared" si="114"/>
        <v>2020</v>
      </c>
      <c r="C3682" s="18">
        <f t="shared" si="115"/>
        <v>6</v>
      </c>
      <c r="D3682" s="3" t="s">
        <v>2303</v>
      </c>
      <c r="E3682" s="3" t="s">
        <v>94</v>
      </c>
      <c r="F3682" s="3" t="s">
        <v>14</v>
      </c>
      <c r="G3682" s="3" t="s">
        <v>24</v>
      </c>
      <c r="H3682" s="3" t="s">
        <v>2345</v>
      </c>
      <c r="I3682" s="11">
        <v>121.12</v>
      </c>
      <c r="J3682" s="18">
        <v>8</v>
      </c>
      <c r="K3682" s="12">
        <v>10.311999999999999</v>
      </c>
    </row>
    <row r="3683" spans="1:11" x14ac:dyDescent="0.25">
      <c r="A3683" s="4">
        <v>44001</v>
      </c>
      <c r="B3683" s="19">
        <f t="shared" si="114"/>
        <v>2020</v>
      </c>
      <c r="C3683" s="19">
        <f t="shared" si="115"/>
        <v>6</v>
      </c>
      <c r="D3683" s="5" t="s">
        <v>351</v>
      </c>
      <c r="E3683" s="5" t="s">
        <v>23</v>
      </c>
      <c r="F3683" s="5" t="s">
        <v>19</v>
      </c>
      <c r="G3683" s="5" t="s">
        <v>53</v>
      </c>
      <c r="H3683" s="5" t="s">
        <v>1722</v>
      </c>
      <c r="I3683" s="13">
        <v>157.17599999999999</v>
      </c>
      <c r="J3683" s="19">
        <v>8</v>
      </c>
      <c r="K3683" s="14">
        <v>47.507199999999997</v>
      </c>
    </row>
    <row r="3684" spans="1:11" x14ac:dyDescent="0.25">
      <c r="A3684" s="2">
        <v>44001</v>
      </c>
      <c r="B3684" s="18">
        <f t="shared" si="114"/>
        <v>2020</v>
      </c>
      <c r="C3684" s="18">
        <f t="shared" si="115"/>
        <v>6</v>
      </c>
      <c r="D3684" s="3" t="s">
        <v>1136</v>
      </c>
      <c r="E3684" s="3" t="s">
        <v>67</v>
      </c>
      <c r="F3684" s="3" t="s">
        <v>14</v>
      </c>
      <c r="G3684" s="3" t="s">
        <v>24</v>
      </c>
      <c r="H3684" s="3" t="s">
        <v>1691</v>
      </c>
      <c r="I3684" s="11">
        <v>161.328</v>
      </c>
      <c r="J3684" s="18">
        <v>9</v>
      </c>
      <c r="K3684" s="12">
        <v>1.5290999999999999</v>
      </c>
    </row>
    <row r="3685" spans="1:11" x14ac:dyDescent="0.25">
      <c r="A3685" s="4">
        <v>44001</v>
      </c>
      <c r="B3685" s="19">
        <f t="shared" si="114"/>
        <v>2020</v>
      </c>
      <c r="C3685" s="19">
        <f t="shared" si="115"/>
        <v>6</v>
      </c>
      <c r="D3685" s="5" t="s">
        <v>1058</v>
      </c>
      <c r="E3685" s="5" t="s">
        <v>94</v>
      </c>
      <c r="F3685" s="5" t="s">
        <v>19</v>
      </c>
      <c r="G3685" s="5" t="s">
        <v>20</v>
      </c>
      <c r="H3685" s="5" t="s">
        <v>2114</v>
      </c>
      <c r="I3685" s="13">
        <v>179.3</v>
      </c>
      <c r="J3685" s="19">
        <v>2</v>
      </c>
      <c r="K3685" s="14">
        <v>6.4649999999999999</v>
      </c>
    </row>
    <row r="3686" spans="1:11" x14ac:dyDescent="0.25">
      <c r="A3686" s="2">
        <v>44001</v>
      </c>
      <c r="B3686" s="18">
        <f t="shared" si="114"/>
        <v>2020</v>
      </c>
      <c r="C3686" s="18">
        <f t="shared" si="115"/>
        <v>6</v>
      </c>
      <c r="D3686" s="3" t="s">
        <v>1775</v>
      </c>
      <c r="E3686" s="3" t="s">
        <v>23</v>
      </c>
      <c r="F3686" s="3" t="s">
        <v>19</v>
      </c>
      <c r="G3686" s="3" t="s">
        <v>20</v>
      </c>
      <c r="H3686" s="3" t="s">
        <v>658</v>
      </c>
      <c r="I3686" s="11">
        <v>199.584</v>
      </c>
      <c r="J3686" s="18">
        <v>2</v>
      </c>
      <c r="K3686" s="12">
        <v>-32.636600000000001</v>
      </c>
    </row>
    <row r="3687" spans="1:11" x14ac:dyDescent="0.25">
      <c r="A3687" s="4">
        <v>44001</v>
      </c>
      <c r="B3687" s="19">
        <f t="shared" si="114"/>
        <v>2020</v>
      </c>
      <c r="C3687" s="19">
        <f t="shared" si="115"/>
        <v>6</v>
      </c>
      <c r="D3687" s="5" t="s">
        <v>1354</v>
      </c>
      <c r="E3687" s="5" t="s">
        <v>23</v>
      </c>
      <c r="F3687" s="5" t="s">
        <v>11</v>
      </c>
      <c r="G3687" s="5" t="s">
        <v>30</v>
      </c>
      <c r="H3687" s="5" t="s">
        <v>2327</v>
      </c>
      <c r="I3687" s="13">
        <v>471.48500000000001</v>
      </c>
      <c r="J3687" s="19">
        <v>3</v>
      </c>
      <c r="K3687" s="14">
        <v>-84.961500000000001</v>
      </c>
    </row>
    <row r="3688" spans="1:11" x14ac:dyDescent="0.25">
      <c r="A3688" s="2">
        <v>44001</v>
      </c>
      <c r="B3688" s="18">
        <f t="shared" si="114"/>
        <v>2020</v>
      </c>
      <c r="C3688" s="18">
        <f t="shared" si="115"/>
        <v>6</v>
      </c>
      <c r="D3688" s="3" t="s">
        <v>1136</v>
      </c>
      <c r="E3688" s="3" t="s">
        <v>67</v>
      </c>
      <c r="F3688" s="3" t="s">
        <v>11</v>
      </c>
      <c r="G3688" s="3" t="s">
        <v>112</v>
      </c>
      <c r="H3688" s="3" t="s">
        <v>114</v>
      </c>
      <c r="I3688" s="11">
        <v>783.11599999999999</v>
      </c>
      <c r="J3688" s="18">
        <v>6</v>
      </c>
      <c r="K3688" s="12">
        <v>-43.435200000000002</v>
      </c>
    </row>
    <row r="3689" spans="1:11" x14ac:dyDescent="0.25">
      <c r="A3689" s="4">
        <v>44001</v>
      </c>
      <c r="B3689" s="19">
        <f t="shared" si="114"/>
        <v>2020</v>
      </c>
      <c r="C3689" s="19">
        <f t="shared" si="115"/>
        <v>6</v>
      </c>
      <c r="D3689" s="5" t="s">
        <v>351</v>
      </c>
      <c r="E3689" s="5" t="s">
        <v>23</v>
      </c>
      <c r="F3689" s="5" t="s">
        <v>19</v>
      </c>
      <c r="G3689" s="5" t="s">
        <v>121</v>
      </c>
      <c r="H3689" s="5" t="s">
        <v>2346</v>
      </c>
      <c r="I3689" s="13">
        <v>78.263999999999996</v>
      </c>
      <c r="J3689" s="19">
        <v>1</v>
      </c>
      <c r="K3689" s="14">
        <v>-5.2072000000000003</v>
      </c>
    </row>
    <row r="3690" spans="1:11" x14ac:dyDescent="0.25">
      <c r="A3690" s="2">
        <v>44001</v>
      </c>
      <c r="B3690" s="18">
        <f t="shared" si="114"/>
        <v>2020</v>
      </c>
      <c r="C3690" s="18">
        <f t="shared" si="115"/>
        <v>6</v>
      </c>
      <c r="D3690" s="3" t="s">
        <v>1775</v>
      </c>
      <c r="E3690" s="3" t="s">
        <v>23</v>
      </c>
      <c r="F3690" s="3" t="s">
        <v>19</v>
      </c>
      <c r="G3690" s="3" t="s">
        <v>265</v>
      </c>
      <c r="H3690" s="3" t="s">
        <v>2068</v>
      </c>
      <c r="I3690" s="11">
        <v>102.184</v>
      </c>
      <c r="J3690" s="18">
        <v>1</v>
      </c>
      <c r="K3690" s="12">
        <v>0.83879999999999999</v>
      </c>
    </row>
    <row r="3691" spans="1:11" x14ac:dyDescent="0.25">
      <c r="A3691" s="4">
        <v>44001</v>
      </c>
      <c r="B3691" s="19">
        <f t="shared" si="114"/>
        <v>2020</v>
      </c>
      <c r="C3691" s="19">
        <f t="shared" si="115"/>
        <v>6</v>
      </c>
      <c r="D3691" s="5" t="s">
        <v>1918</v>
      </c>
      <c r="E3691" s="5" t="s">
        <v>18</v>
      </c>
      <c r="F3691" s="5" t="s">
        <v>19</v>
      </c>
      <c r="G3691" s="5" t="s">
        <v>53</v>
      </c>
      <c r="H3691" s="5" t="s">
        <v>2013</v>
      </c>
      <c r="I3691" s="13">
        <v>108.56</v>
      </c>
      <c r="J3691" s="19">
        <v>2</v>
      </c>
      <c r="K3691" s="14">
        <v>11.543200000000001</v>
      </c>
    </row>
    <row r="3692" spans="1:11" x14ac:dyDescent="0.25">
      <c r="A3692" s="2">
        <v>44001</v>
      </c>
      <c r="B3692" s="18">
        <f t="shared" si="114"/>
        <v>2020</v>
      </c>
      <c r="C3692" s="18">
        <f t="shared" si="115"/>
        <v>6</v>
      </c>
      <c r="D3692" s="3" t="s">
        <v>1354</v>
      </c>
      <c r="E3692" s="3" t="s">
        <v>23</v>
      </c>
      <c r="F3692" s="3" t="s">
        <v>19</v>
      </c>
      <c r="G3692" s="3" t="s">
        <v>32</v>
      </c>
      <c r="H3692" s="3" t="s">
        <v>1472</v>
      </c>
      <c r="I3692" s="11">
        <v>111.88800000000001</v>
      </c>
      <c r="J3692" s="18">
        <v>3</v>
      </c>
      <c r="K3692" s="12">
        <v>-11.020799999999999</v>
      </c>
    </row>
    <row r="3693" spans="1:11" x14ac:dyDescent="0.25">
      <c r="A3693" s="4">
        <v>44001</v>
      </c>
      <c r="B3693" s="19">
        <f t="shared" si="114"/>
        <v>2020</v>
      </c>
      <c r="C3693" s="19">
        <f t="shared" si="115"/>
        <v>6</v>
      </c>
      <c r="D3693" s="5" t="s">
        <v>351</v>
      </c>
      <c r="E3693" s="5" t="s">
        <v>23</v>
      </c>
      <c r="F3693" s="5" t="s">
        <v>19</v>
      </c>
      <c r="G3693" s="5" t="s">
        <v>121</v>
      </c>
      <c r="H3693" s="5" t="s">
        <v>2347</v>
      </c>
      <c r="I3693" s="13">
        <v>124.444</v>
      </c>
      <c r="J3693" s="19">
        <v>1</v>
      </c>
      <c r="K3693" s="14">
        <v>-1.1100000000000001</v>
      </c>
    </row>
    <row r="3694" spans="1:11" x14ac:dyDescent="0.25">
      <c r="A3694" s="2">
        <v>44001</v>
      </c>
      <c r="B3694" s="18">
        <f t="shared" si="114"/>
        <v>2020</v>
      </c>
      <c r="C3694" s="18">
        <f t="shared" si="115"/>
        <v>6</v>
      </c>
      <c r="D3694" s="3" t="s">
        <v>1058</v>
      </c>
      <c r="E3694" s="3" t="s">
        <v>94</v>
      </c>
      <c r="F3694" s="3" t="s">
        <v>19</v>
      </c>
      <c r="G3694" s="3" t="s">
        <v>32</v>
      </c>
      <c r="H3694" s="3" t="s">
        <v>876</v>
      </c>
      <c r="I3694" s="11">
        <v>137.56800000000001</v>
      </c>
      <c r="J3694" s="18">
        <v>3</v>
      </c>
      <c r="K3694" s="12">
        <v>3.7595999999999998</v>
      </c>
    </row>
    <row r="3695" spans="1:11" x14ac:dyDescent="0.25">
      <c r="A3695" s="4">
        <v>44001</v>
      </c>
      <c r="B3695" s="19">
        <f t="shared" si="114"/>
        <v>2020</v>
      </c>
      <c r="C3695" s="19">
        <f t="shared" si="115"/>
        <v>6</v>
      </c>
      <c r="D3695" s="5" t="s">
        <v>1918</v>
      </c>
      <c r="E3695" s="5" t="s">
        <v>18</v>
      </c>
      <c r="F3695" s="5" t="s">
        <v>11</v>
      </c>
      <c r="G3695" s="5" t="s">
        <v>51</v>
      </c>
      <c r="H3695" s="5" t="s">
        <v>838</v>
      </c>
      <c r="I3695" s="13">
        <v>144.32</v>
      </c>
      <c r="J3695" s="19">
        <v>4</v>
      </c>
      <c r="K3695" s="14">
        <v>21.134399999999999</v>
      </c>
    </row>
    <row r="3696" spans="1:11" x14ac:dyDescent="0.25">
      <c r="A3696" s="2">
        <v>44001</v>
      </c>
      <c r="B3696" s="18">
        <f t="shared" si="114"/>
        <v>2020</v>
      </c>
      <c r="C3696" s="18">
        <f t="shared" si="115"/>
        <v>6</v>
      </c>
      <c r="D3696" s="3" t="s">
        <v>1136</v>
      </c>
      <c r="E3696" s="3" t="s">
        <v>67</v>
      </c>
      <c r="F3696" s="3" t="s">
        <v>11</v>
      </c>
      <c r="G3696" s="3" t="s">
        <v>51</v>
      </c>
      <c r="H3696" s="3" t="s">
        <v>1696</v>
      </c>
      <c r="I3696" s="11">
        <v>143.78399999999999</v>
      </c>
      <c r="J3696" s="18">
        <v>3</v>
      </c>
      <c r="K3696" s="12">
        <v>7.2720000000000002</v>
      </c>
    </row>
    <row r="3697" spans="1:11" x14ac:dyDescent="0.25">
      <c r="A3697" s="4">
        <v>44002</v>
      </c>
      <c r="B3697" s="19">
        <f t="shared" si="114"/>
        <v>2020</v>
      </c>
      <c r="C3697" s="19">
        <f t="shared" si="115"/>
        <v>6</v>
      </c>
      <c r="D3697" s="5" t="s">
        <v>1756</v>
      </c>
      <c r="E3697" s="5" t="s">
        <v>94</v>
      </c>
      <c r="F3697" s="5" t="s">
        <v>14</v>
      </c>
      <c r="G3697" s="5" t="s">
        <v>24</v>
      </c>
      <c r="H3697" s="5" t="s">
        <v>2111</v>
      </c>
      <c r="I3697" s="13">
        <v>163.95</v>
      </c>
      <c r="J3697" s="19">
        <v>5</v>
      </c>
      <c r="K3697" s="14">
        <v>14.994999999999999</v>
      </c>
    </row>
    <row r="3698" spans="1:11" x14ac:dyDescent="0.25">
      <c r="A3698" s="2">
        <v>44002</v>
      </c>
      <c r="B3698" s="18">
        <f t="shared" si="114"/>
        <v>2020</v>
      </c>
      <c r="C3698" s="18">
        <f t="shared" si="115"/>
        <v>6</v>
      </c>
      <c r="D3698" s="3" t="s">
        <v>1363</v>
      </c>
      <c r="E3698" s="3" t="s">
        <v>85</v>
      </c>
      <c r="F3698" s="3" t="s">
        <v>14</v>
      </c>
      <c r="G3698" s="3" t="s">
        <v>24</v>
      </c>
      <c r="H3698" s="3" t="s">
        <v>1023</v>
      </c>
      <c r="I3698" s="11">
        <v>271.97000000000003</v>
      </c>
      <c r="J3698" s="18">
        <v>3</v>
      </c>
      <c r="K3698" s="12">
        <v>71.991</v>
      </c>
    </row>
    <row r="3699" spans="1:11" x14ac:dyDescent="0.25">
      <c r="A3699" s="4">
        <v>44002</v>
      </c>
      <c r="B3699" s="19">
        <f t="shared" si="114"/>
        <v>2020</v>
      </c>
      <c r="C3699" s="19">
        <f t="shared" si="115"/>
        <v>6</v>
      </c>
      <c r="D3699" s="5" t="s">
        <v>115</v>
      </c>
      <c r="E3699" s="5" t="s">
        <v>181</v>
      </c>
      <c r="F3699" s="5" t="s">
        <v>14</v>
      </c>
      <c r="G3699" s="5" t="s">
        <v>15</v>
      </c>
      <c r="H3699" s="5" t="s">
        <v>486</v>
      </c>
      <c r="I3699" s="13">
        <v>521.96</v>
      </c>
      <c r="J3699" s="19">
        <v>4</v>
      </c>
      <c r="K3699" s="14">
        <v>125.99</v>
      </c>
    </row>
    <row r="3700" spans="1:11" x14ac:dyDescent="0.25">
      <c r="A3700" s="2">
        <v>44002</v>
      </c>
      <c r="B3700" s="18">
        <f t="shared" si="114"/>
        <v>2020</v>
      </c>
      <c r="C3700" s="18">
        <f t="shared" si="115"/>
        <v>6</v>
      </c>
      <c r="D3700" s="3" t="s">
        <v>1256</v>
      </c>
      <c r="E3700" s="3" t="s">
        <v>44</v>
      </c>
      <c r="F3700" s="3" t="s">
        <v>19</v>
      </c>
      <c r="G3700" s="3" t="s">
        <v>20</v>
      </c>
      <c r="H3700" s="3" t="s">
        <v>2292</v>
      </c>
      <c r="I3700" s="11">
        <v>89.463999999999999</v>
      </c>
      <c r="J3700" s="18">
        <v>1</v>
      </c>
      <c r="K3700" s="12">
        <v>0.33479999999999999</v>
      </c>
    </row>
    <row r="3701" spans="1:11" x14ac:dyDescent="0.25">
      <c r="A3701" s="4">
        <v>44002</v>
      </c>
      <c r="B3701" s="19">
        <f t="shared" si="114"/>
        <v>2020</v>
      </c>
      <c r="C3701" s="19">
        <f t="shared" si="115"/>
        <v>6</v>
      </c>
      <c r="D3701" s="5" t="s">
        <v>1363</v>
      </c>
      <c r="E3701" s="5" t="s">
        <v>85</v>
      </c>
      <c r="F3701" s="5" t="s">
        <v>19</v>
      </c>
      <c r="G3701" s="5" t="s">
        <v>127</v>
      </c>
      <c r="H3701" s="5" t="s">
        <v>215</v>
      </c>
      <c r="I3701" s="13">
        <v>108.82</v>
      </c>
      <c r="J3701" s="19">
        <v>2</v>
      </c>
      <c r="K3701" s="14">
        <v>4.8117999999999999</v>
      </c>
    </row>
    <row r="3702" spans="1:11" x14ac:dyDescent="0.25">
      <c r="A3702" s="2">
        <v>44002</v>
      </c>
      <c r="B3702" s="18">
        <f t="shared" si="114"/>
        <v>2020</v>
      </c>
      <c r="C3702" s="18">
        <f t="shared" si="115"/>
        <v>6</v>
      </c>
      <c r="D3702" s="3" t="s">
        <v>2348</v>
      </c>
      <c r="E3702" s="3" t="s">
        <v>67</v>
      </c>
      <c r="F3702" s="3" t="s">
        <v>19</v>
      </c>
      <c r="G3702" s="3" t="s">
        <v>40</v>
      </c>
      <c r="H3702" s="3" t="s">
        <v>1080</v>
      </c>
      <c r="I3702" s="11">
        <v>98.248000000000005</v>
      </c>
      <c r="J3702" s="18">
        <v>2</v>
      </c>
      <c r="K3702" s="12">
        <v>0.59040000000000004</v>
      </c>
    </row>
    <row r="3703" spans="1:11" x14ac:dyDescent="0.25">
      <c r="A3703" s="4">
        <v>44002</v>
      </c>
      <c r="B3703" s="19">
        <f t="shared" si="114"/>
        <v>2020</v>
      </c>
      <c r="C3703" s="19">
        <f t="shared" si="115"/>
        <v>6</v>
      </c>
      <c r="D3703" s="5" t="s">
        <v>115</v>
      </c>
      <c r="E3703" s="5" t="s">
        <v>181</v>
      </c>
      <c r="F3703" s="5" t="s">
        <v>19</v>
      </c>
      <c r="G3703" s="5" t="s">
        <v>53</v>
      </c>
      <c r="H3703" s="5" t="s">
        <v>1000</v>
      </c>
      <c r="I3703" s="13">
        <v>129.4</v>
      </c>
      <c r="J3703" s="19">
        <v>5</v>
      </c>
      <c r="K3703" s="14">
        <v>15.552</v>
      </c>
    </row>
    <row r="3704" spans="1:11" x14ac:dyDescent="0.25">
      <c r="A3704" s="2">
        <v>44002</v>
      </c>
      <c r="B3704" s="18">
        <f t="shared" si="114"/>
        <v>2020</v>
      </c>
      <c r="C3704" s="18">
        <f t="shared" si="115"/>
        <v>6</v>
      </c>
      <c r="D3704" s="3" t="s">
        <v>2348</v>
      </c>
      <c r="E3704" s="3" t="s">
        <v>67</v>
      </c>
      <c r="F3704" s="3" t="s">
        <v>19</v>
      </c>
      <c r="G3704" s="3" t="s">
        <v>53</v>
      </c>
      <c r="H3704" s="3" t="s">
        <v>2332</v>
      </c>
      <c r="I3704" s="11">
        <v>160.10400000000001</v>
      </c>
      <c r="J3704" s="18">
        <v>6</v>
      </c>
      <c r="K3704" s="12">
        <v>10.8864</v>
      </c>
    </row>
    <row r="3705" spans="1:11" x14ac:dyDescent="0.25">
      <c r="A3705" s="4">
        <v>44002</v>
      </c>
      <c r="B3705" s="19">
        <f t="shared" si="114"/>
        <v>2020</v>
      </c>
      <c r="C3705" s="19">
        <f t="shared" si="115"/>
        <v>6</v>
      </c>
      <c r="D3705" s="5" t="s">
        <v>1756</v>
      </c>
      <c r="E3705" s="5" t="s">
        <v>94</v>
      </c>
      <c r="F3705" s="5" t="s">
        <v>19</v>
      </c>
      <c r="G3705" s="5" t="s">
        <v>32</v>
      </c>
      <c r="H3705" s="5" t="s">
        <v>2091</v>
      </c>
      <c r="I3705" s="13">
        <v>147.31200000000001</v>
      </c>
      <c r="J3705" s="19">
        <v>3</v>
      </c>
      <c r="K3705" s="14">
        <v>18.6006</v>
      </c>
    </row>
    <row r="3706" spans="1:11" x14ac:dyDescent="0.25">
      <c r="A3706" s="2">
        <v>44003</v>
      </c>
      <c r="B3706" s="18">
        <f t="shared" si="114"/>
        <v>2020</v>
      </c>
      <c r="C3706" s="18">
        <f t="shared" si="115"/>
        <v>6</v>
      </c>
      <c r="D3706" s="3" t="s">
        <v>581</v>
      </c>
      <c r="E3706" s="3" t="s">
        <v>2349</v>
      </c>
      <c r="F3706" s="3" t="s">
        <v>19</v>
      </c>
      <c r="G3706" s="3" t="s">
        <v>32</v>
      </c>
      <c r="H3706" s="3" t="s">
        <v>819</v>
      </c>
      <c r="I3706" s="11">
        <v>131.4</v>
      </c>
      <c r="J3706" s="18">
        <v>5</v>
      </c>
      <c r="K3706" s="12">
        <v>40.375999999999998</v>
      </c>
    </row>
    <row r="3707" spans="1:11" x14ac:dyDescent="0.25">
      <c r="A3707" s="4">
        <v>44003</v>
      </c>
      <c r="B3707" s="19">
        <f t="shared" si="114"/>
        <v>2020</v>
      </c>
      <c r="C3707" s="19">
        <f t="shared" si="115"/>
        <v>6</v>
      </c>
      <c r="D3707" s="5" t="s">
        <v>581</v>
      </c>
      <c r="E3707" s="5" t="s">
        <v>2349</v>
      </c>
      <c r="F3707" s="5" t="s">
        <v>19</v>
      </c>
      <c r="G3707" s="5" t="s">
        <v>53</v>
      </c>
      <c r="H3707" s="5" t="s">
        <v>1037</v>
      </c>
      <c r="I3707" s="13">
        <v>467.84</v>
      </c>
      <c r="J3707" s="19">
        <v>8</v>
      </c>
      <c r="K3707" s="14">
        <v>219.44159999999999</v>
      </c>
    </row>
    <row r="3708" spans="1:11" x14ac:dyDescent="0.25">
      <c r="A3708" s="2">
        <v>44003</v>
      </c>
      <c r="B3708" s="18">
        <f t="shared" si="114"/>
        <v>2020</v>
      </c>
      <c r="C3708" s="18">
        <f t="shared" si="115"/>
        <v>6</v>
      </c>
      <c r="D3708" s="3" t="s">
        <v>581</v>
      </c>
      <c r="E3708" s="3" t="s">
        <v>2349</v>
      </c>
      <c r="F3708" s="3" t="s">
        <v>19</v>
      </c>
      <c r="G3708" s="3" t="s">
        <v>32</v>
      </c>
      <c r="H3708" s="3" t="s">
        <v>1162</v>
      </c>
      <c r="I3708" s="11">
        <v>99.24</v>
      </c>
      <c r="J3708" s="18">
        <v>2</v>
      </c>
      <c r="K3708" s="12">
        <v>3.0575999999999999</v>
      </c>
    </row>
    <row r="3709" spans="1:11" x14ac:dyDescent="0.25">
      <c r="A3709" s="4">
        <v>44003</v>
      </c>
      <c r="B3709" s="19">
        <f t="shared" si="114"/>
        <v>2020</v>
      </c>
      <c r="C3709" s="19">
        <f t="shared" si="115"/>
        <v>6</v>
      </c>
      <c r="D3709" s="5" t="s">
        <v>567</v>
      </c>
      <c r="E3709" s="5" t="s">
        <v>67</v>
      </c>
      <c r="F3709" s="5" t="s">
        <v>19</v>
      </c>
      <c r="G3709" s="5" t="s">
        <v>32</v>
      </c>
      <c r="H3709" s="5" t="s">
        <v>1430</v>
      </c>
      <c r="I3709" s="13">
        <v>128.256</v>
      </c>
      <c r="J3709" s="19">
        <v>6</v>
      </c>
      <c r="K3709" s="14">
        <v>-34.380000000000003</v>
      </c>
    </row>
    <row r="3710" spans="1:11" x14ac:dyDescent="0.25">
      <c r="A3710" s="2">
        <v>44003</v>
      </c>
      <c r="B3710" s="18">
        <f t="shared" si="114"/>
        <v>2020</v>
      </c>
      <c r="C3710" s="18">
        <f t="shared" si="115"/>
        <v>6</v>
      </c>
      <c r="D3710" s="3" t="s">
        <v>567</v>
      </c>
      <c r="E3710" s="3" t="s">
        <v>67</v>
      </c>
      <c r="F3710" s="3" t="s">
        <v>11</v>
      </c>
      <c r="G3710" s="3" t="s">
        <v>51</v>
      </c>
      <c r="H3710" s="3" t="s">
        <v>1021</v>
      </c>
      <c r="I3710" s="11">
        <v>139.91999999999999</v>
      </c>
      <c r="J3710" s="18">
        <v>5</v>
      </c>
      <c r="K3710" s="12">
        <v>2.464</v>
      </c>
    </row>
    <row r="3711" spans="1:11" x14ac:dyDescent="0.25">
      <c r="A3711" s="4">
        <v>44004</v>
      </c>
      <c r="B3711" s="19">
        <f t="shared" si="114"/>
        <v>2020</v>
      </c>
      <c r="C3711" s="19">
        <f t="shared" si="115"/>
        <v>6</v>
      </c>
      <c r="D3711" s="5" t="s">
        <v>367</v>
      </c>
      <c r="E3711" s="5" t="s">
        <v>365</v>
      </c>
      <c r="F3711" s="5" t="s">
        <v>11</v>
      </c>
      <c r="G3711" s="5" t="s">
        <v>112</v>
      </c>
      <c r="H3711" s="5" t="s">
        <v>537</v>
      </c>
      <c r="I3711" s="13">
        <v>504.96</v>
      </c>
      <c r="J3711" s="19">
        <v>2</v>
      </c>
      <c r="K3711" s="14">
        <v>146.38800000000001</v>
      </c>
    </row>
    <row r="3712" spans="1:11" x14ac:dyDescent="0.25">
      <c r="A3712" s="2">
        <v>44004</v>
      </c>
      <c r="B3712" s="18">
        <f t="shared" si="114"/>
        <v>2020</v>
      </c>
      <c r="C3712" s="18">
        <f t="shared" si="115"/>
        <v>6</v>
      </c>
      <c r="D3712" s="3" t="s">
        <v>877</v>
      </c>
      <c r="E3712" s="3" t="s">
        <v>164</v>
      </c>
      <c r="F3712" s="3" t="s">
        <v>19</v>
      </c>
      <c r="G3712" s="3" t="s">
        <v>32</v>
      </c>
      <c r="H3712" s="3" t="s">
        <v>643</v>
      </c>
      <c r="I3712" s="11">
        <v>79.036000000000001</v>
      </c>
      <c r="J3712" s="18">
        <v>3</v>
      </c>
      <c r="K3712" s="12">
        <v>-5.0094000000000003</v>
      </c>
    </row>
    <row r="3713" spans="1:11" x14ac:dyDescent="0.25">
      <c r="A3713" s="4">
        <v>44004</v>
      </c>
      <c r="B3713" s="19">
        <f t="shared" si="114"/>
        <v>2020</v>
      </c>
      <c r="C3713" s="19">
        <f t="shared" si="115"/>
        <v>6</v>
      </c>
      <c r="D3713" s="5" t="s">
        <v>435</v>
      </c>
      <c r="E3713" s="5" t="s">
        <v>39</v>
      </c>
      <c r="F3713" s="5" t="s">
        <v>19</v>
      </c>
      <c r="G3713" s="5" t="s">
        <v>20</v>
      </c>
      <c r="H3713" s="5" t="s">
        <v>2292</v>
      </c>
      <c r="I3713" s="13">
        <v>108.928</v>
      </c>
      <c r="J3713" s="19">
        <v>2</v>
      </c>
      <c r="K3713" s="14">
        <v>0.66959999999999997</v>
      </c>
    </row>
    <row r="3714" spans="1:11" x14ac:dyDescent="0.25">
      <c r="A3714" s="2">
        <v>44004</v>
      </c>
      <c r="B3714" s="18">
        <f t="shared" ref="B3714:B3777" si="116">YEAR(A3714)</f>
        <v>2020</v>
      </c>
      <c r="C3714" s="18">
        <f t="shared" ref="C3714:C3777" si="117">MONTH(A3714)</f>
        <v>6</v>
      </c>
      <c r="D3714" s="3" t="s">
        <v>435</v>
      </c>
      <c r="E3714" s="3" t="s">
        <v>39</v>
      </c>
      <c r="F3714" s="3" t="s">
        <v>19</v>
      </c>
      <c r="G3714" s="3" t="s">
        <v>32</v>
      </c>
      <c r="H3714" s="3" t="s">
        <v>1472</v>
      </c>
      <c r="I3714" s="11">
        <v>113.33199999999999</v>
      </c>
      <c r="J3714" s="18">
        <v>3</v>
      </c>
      <c r="K3714" s="12">
        <v>-7.5768000000000004</v>
      </c>
    </row>
    <row r="3715" spans="1:11" x14ac:dyDescent="0.25">
      <c r="A3715" s="4">
        <v>44004</v>
      </c>
      <c r="B3715" s="19">
        <f t="shared" si="116"/>
        <v>2020</v>
      </c>
      <c r="C3715" s="19">
        <f t="shared" si="117"/>
        <v>6</v>
      </c>
      <c r="D3715" s="5" t="s">
        <v>435</v>
      </c>
      <c r="E3715" s="5" t="s">
        <v>39</v>
      </c>
      <c r="F3715" s="5" t="s">
        <v>19</v>
      </c>
      <c r="G3715" s="5" t="s">
        <v>32</v>
      </c>
      <c r="H3715" s="5" t="s">
        <v>1832</v>
      </c>
      <c r="I3715" s="13">
        <v>150.155</v>
      </c>
      <c r="J3715" s="19">
        <v>5</v>
      </c>
      <c r="K3715" s="14">
        <v>-23.8855</v>
      </c>
    </row>
    <row r="3716" spans="1:11" x14ac:dyDescent="0.25">
      <c r="A3716" s="2">
        <v>44004</v>
      </c>
      <c r="B3716" s="18">
        <f t="shared" si="116"/>
        <v>2020</v>
      </c>
      <c r="C3716" s="18">
        <f t="shared" si="117"/>
        <v>6</v>
      </c>
      <c r="D3716" s="3" t="s">
        <v>489</v>
      </c>
      <c r="E3716" s="3" t="s">
        <v>44</v>
      </c>
      <c r="F3716" s="3" t="s">
        <v>19</v>
      </c>
      <c r="G3716" s="3" t="s">
        <v>86</v>
      </c>
      <c r="H3716" s="3" t="s">
        <v>179</v>
      </c>
      <c r="I3716" s="11">
        <v>145.608</v>
      </c>
      <c r="J3716" s="18">
        <v>3</v>
      </c>
      <c r="K3716" s="12">
        <v>12.6927</v>
      </c>
    </row>
    <row r="3717" spans="1:11" x14ac:dyDescent="0.25">
      <c r="A3717" s="4">
        <v>44006</v>
      </c>
      <c r="B3717" s="19">
        <f t="shared" si="116"/>
        <v>2020</v>
      </c>
      <c r="C3717" s="19">
        <f t="shared" si="117"/>
        <v>6</v>
      </c>
      <c r="D3717" s="5" t="s">
        <v>375</v>
      </c>
      <c r="E3717" s="5" t="s">
        <v>18</v>
      </c>
      <c r="F3717" s="5" t="s">
        <v>19</v>
      </c>
      <c r="G3717" s="5" t="s">
        <v>40</v>
      </c>
      <c r="H3717" s="5" t="s">
        <v>1150</v>
      </c>
      <c r="I3717" s="13">
        <v>125.92</v>
      </c>
      <c r="J3717" s="19">
        <v>8</v>
      </c>
      <c r="K3717" s="14">
        <v>25.898399999999999</v>
      </c>
    </row>
    <row r="3718" spans="1:11" x14ac:dyDescent="0.25">
      <c r="A3718" s="2">
        <v>44006</v>
      </c>
      <c r="B3718" s="18">
        <f t="shared" si="116"/>
        <v>2020</v>
      </c>
      <c r="C3718" s="18">
        <f t="shared" si="117"/>
        <v>6</v>
      </c>
      <c r="D3718" s="3" t="s">
        <v>2350</v>
      </c>
      <c r="E3718" s="3" t="s">
        <v>883</v>
      </c>
      <c r="F3718" s="3" t="s">
        <v>19</v>
      </c>
      <c r="G3718" s="3" t="s">
        <v>32</v>
      </c>
      <c r="H3718" s="3" t="s">
        <v>1977</v>
      </c>
      <c r="I3718" s="11">
        <v>128.93</v>
      </c>
      <c r="J3718" s="18">
        <v>3</v>
      </c>
      <c r="K3718" s="12">
        <v>48.377099999999999</v>
      </c>
    </row>
    <row r="3719" spans="1:11" x14ac:dyDescent="0.25">
      <c r="A3719" s="4">
        <v>44006</v>
      </c>
      <c r="B3719" s="19">
        <f t="shared" si="116"/>
        <v>2020</v>
      </c>
      <c r="C3719" s="19">
        <f t="shared" si="117"/>
        <v>6</v>
      </c>
      <c r="D3719" s="5" t="s">
        <v>1918</v>
      </c>
      <c r="E3719" s="5" t="s">
        <v>94</v>
      </c>
      <c r="F3719" s="5" t="s">
        <v>11</v>
      </c>
      <c r="G3719" s="5" t="s">
        <v>112</v>
      </c>
      <c r="H3719" s="5" t="s">
        <v>2351</v>
      </c>
      <c r="I3719" s="13">
        <v>190.76400000000001</v>
      </c>
      <c r="J3719" s="19">
        <v>2</v>
      </c>
      <c r="K3719" s="14">
        <v>32.633200000000002</v>
      </c>
    </row>
    <row r="3720" spans="1:11" x14ac:dyDescent="0.25">
      <c r="A3720" s="2">
        <v>44006</v>
      </c>
      <c r="B3720" s="18">
        <f t="shared" si="116"/>
        <v>2020</v>
      </c>
      <c r="C3720" s="18">
        <f t="shared" si="117"/>
        <v>6</v>
      </c>
      <c r="D3720" s="3" t="s">
        <v>270</v>
      </c>
      <c r="E3720" s="3" t="s">
        <v>164</v>
      </c>
      <c r="F3720" s="3" t="s">
        <v>19</v>
      </c>
      <c r="G3720" s="3" t="s">
        <v>32</v>
      </c>
      <c r="H3720" s="3" t="s">
        <v>1920</v>
      </c>
      <c r="I3720" s="11">
        <v>207.994</v>
      </c>
      <c r="J3720" s="18">
        <v>3</v>
      </c>
      <c r="K3720" s="12">
        <v>-320.23950000000002</v>
      </c>
    </row>
    <row r="3721" spans="1:11" x14ac:dyDescent="0.25">
      <c r="A3721" s="4">
        <v>44006</v>
      </c>
      <c r="B3721" s="19">
        <f t="shared" si="116"/>
        <v>2020</v>
      </c>
      <c r="C3721" s="19">
        <f t="shared" si="117"/>
        <v>6</v>
      </c>
      <c r="D3721" s="5" t="s">
        <v>1918</v>
      </c>
      <c r="E3721" s="5" t="s">
        <v>94</v>
      </c>
      <c r="F3721" s="5" t="s">
        <v>11</v>
      </c>
      <c r="G3721" s="5" t="s">
        <v>51</v>
      </c>
      <c r="H3721" s="5" t="s">
        <v>193</v>
      </c>
      <c r="I3721" s="13">
        <v>318.69</v>
      </c>
      <c r="J3721" s="19">
        <v>3</v>
      </c>
      <c r="K3721" s="14">
        <v>49.804200000000002</v>
      </c>
    </row>
    <row r="3722" spans="1:11" x14ac:dyDescent="0.25">
      <c r="A3722" s="2">
        <v>44006</v>
      </c>
      <c r="B3722" s="18">
        <f t="shared" si="116"/>
        <v>2020</v>
      </c>
      <c r="C3722" s="18">
        <f t="shared" si="117"/>
        <v>6</v>
      </c>
      <c r="D3722" s="3" t="s">
        <v>1637</v>
      </c>
      <c r="E3722" s="3" t="s">
        <v>18</v>
      </c>
      <c r="F3722" s="3" t="s">
        <v>19</v>
      </c>
      <c r="G3722" s="3" t="s">
        <v>40</v>
      </c>
      <c r="H3722" s="3" t="s">
        <v>1198</v>
      </c>
      <c r="I3722" s="11">
        <v>431.6</v>
      </c>
      <c r="J3722" s="18">
        <v>8</v>
      </c>
      <c r="K3722" s="12">
        <v>111.824</v>
      </c>
    </row>
    <row r="3723" spans="1:11" x14ac:dyDescent="0.25">
      <c r="A3723" s="4">
        <v>44006</v>
      </c>
      <c r="B3723" s="19">
        <f t="shared" si="116"/>
        <v>2020</v>
      </c>
      <c r="C3723" s="19">
        <f t="shared" si="117"/>
        <v>6</v>
      </c>
      <c r="D3723" s="5" t="s">
        <v>270</v>
      </c>
      <c r="E3723" s="5" t="s">
        <v>164</v>
      </c>
      <c r="F3723" s="5" t="s">
        <v>19</v>
      </c>
      <c r="G3723" s="5" t="s">
        <v>53</v>
      </c>
      <c r="H3723" s="5" t="s">
        <v>1505</v>
      </c>
      <c r="I3723" s="13">
        <v>98.272000000000006</v>
      </c>
      <c r="J3723" s="19">
        <v>3</v>
      </c>
      <c r="K3723" s="14">
        <v>3.21</v>
      </c>
    </row>
    <row r="3724" spans="1:11" x14ac:dyDescent="0.25">
      <c r="A3724" s="2">
        <v>44006</v>
      </c>
      <c r="B3724" s="18">
        <f t="shared" si="116"/>
        <v>2020</v>
      </c>
      <c r="C3724" s="18">
        <f t="shared" si="117"/>
        <v>6</v>
      </c>
      <c r="D3724" s="3" t="s">
        <v>1864</v>
      </c>
      <c r="E3724" s="3" t="s">
        <v>67</v>
      </c>
      <c r="F3724" s="3" t="s">
        <v>19</v>
      </c>
      <c r="G3724" s="3" t="s">
        <v>53</v>
      </c>
      <c r="H3724" s="3" t="s">
        <v>709</v>
      </c>
      <c r="I3724" s="11">
        <v>103.744</v>
      </c>
      <c r="J3724" s="18">
        <v>3</v>
      </c>
      <c r="K3724" s="12">
        <v>6.7949999999999999</v>
      </c>
    </row>
    <row r="3725" spans="1:11" x14ac:dyDescent="0.25">
      <c r="A3725" s="4">
        <v>44006</v>
      </c>
      <c r="B3725" s="19">
        <f t="shared" si="116"/>
        <v>2020</v>
      </c>
      <c r="C3725" s="19">
        <f t="shared" si="117"/>
        <v>6</v>
      </c>
      <c r="D3725" s="5" t="s">
        <v>1540</v>
      </c>
      <c r="E3725" s="5" t="s">
        <v>18</v>
      </c>
      <c r="F3725" s="5" t="s">
        <v>19</v>
      </c>
      <c r="G3725" s="5" t="s">
        <v>116</v>
      </c>
      <c r="H3725" s="5" t="s">
        <v>328</v>
      </c>
      <c r="I3725" s="13">
        <v>111.88</v>
      </c>
      <c r="J3725" s="19">
        <v>1</v>
      </c>
      <c r="K3725" s="14">
        <v>1.3535999999999999</v>
      </c>
    </row>
    <row r="3726" spans="1:11" x14ac:dyDescent="0.25">
      <c r="A3726" s="2">
        <v>44006</v>
      </c>
      <c r="B3726" s="18">
        <f t="shared" si="116"/>
        <v>2020</v>
      </c>
      <c r="C3726" s="18">
        <f t="shared" si="117"/>
        <v>6</v>
      </c>
      <c r="D3726" s="3" t="s">
        <v>1637</v>
      </c>
      <c r="E3726" s="3" t="s">
        <v>18</v>
      </c>
      <c r="F3726" s="3" t="s">
        <v>19</v>
      </c>
      <c r="G3726" s="3" t="s">
        <v>40</v>
      </c>
      <c r="H3726" s="3" t="s">
        <v>816</v>
      </c>
      <c r="I3726" s="11">
        <v>135.82</v>
      </c>
      <c r="J3726" s="18">
        <v>9</v>
      </c>
      <c r="K3726" s="12">
        <v>11.820600000000001</v>
      </c>
    </row>
    <row r="3727" spans="1:11" x14ac:dyDescent="0.25">
      <c r="A3727" s="4">
        <v>44007</v>
      </c>
      <c r="B3727" s="19">
        <f t="shared" si="116"/>
        <v>2020</v>
      </c>
      <c r="C3727" s="19">
        <f t="shared" si="117"/>
        <v>6</v>
      </c>
      <c r="D3727" s="5" t="s">
        <v>1326</v>
      </c>
      <c r="E3727" s="5" t="s">
        <v>465</v>
      </c>
      <c r="F3727" s="5" t="s">
        <v>19</v>
      </c>
      <c r="G3727" s="5" t="s">
        <v>127</v>
      </c>
      <c r="H3727" s="5" t="s">
        <v>793</v>
      </c>
      <c r="I3727" s="13">
        <v>113.04</v>
      </c>
      <c r="J3727" s="19">
        <v>6</v>
      </c>
      <c r="K3727" s="14">
        <v>26.64</v>
      </c>
    </row>
    <row r="3728" spans="1:11" x14ac:dyDescent="0.25">
      <c r="A3728" s="2">
        <v>44007</v>
      </c>
      <c r="B3728" s="18">
        <f t="shared" si="116"/>
        <v>2020</v>
      </c>
      <c r="C3728" s="18">
        <f t="shared" si="117"/>
        <v>6</v>
      </c>
      <c r="D3728" s="3" t="s">
        <v>245</v>
      </c>
      <c r="E3728" s="3" t="s">
        <v>164</v>
      </c>
      <c r="F3728" s="3" t="s">
        <v>14</v>
      </c>
      <c r="G3728" s="3" t="s">
        <v>15</v>
      </c>
      <c r="H3728" s="3" t="s">
        <v>1499</v>
      </c>
      <c r="I3728" s="11">
        <v>179.48</v>
      </c>
      <c r="J3728" s="18">
        <v>2</v>
      </c>
      <c r="K3728" s="12">
        <v>16.704000000000001</v>
      </c>
    </row>
    <row r="3729" spans="1:11" x14ac:dyDescent="0.25">
      <c r="A3729" s="4">
        <v>44007</v>
      </c>
      <c r="B3729" s="19">
        <f t="shared" si="116"/>
        <v>2020</v>
      </c>
      <c r="C3729" s="19">
        <f t="shared" si="117"/>
        <v>6</v>
      </c>
      <c r="D3729" s="5" t="s">
        <v>2331</v>
      </c>
      <c r="E3729" s="5" t="s">
        <v>94</v>
      </c>
      <c r="F3729" s="5" t="s">
        <v>11</v>
      </c>
      <c r="G3729" s="5" t="s">
        <v>12</v>
      </c>
      <c r="H3729" s="5" t="s">
        <v>1933</v>
      </c>
      <c r="I3729" s="13">
        <v>417.78399999999999</v>
      </c>
      <c r="J3729" s="19">
        <v>1</v>
      </c>
      <c r="K3729" s="14">
        <v>-5.0098000000000003</v>
      </c>
    </row>
    <row r="3730" spans="1:11" x14ac:dyDescent="0.25">
      <c r="A3730" s="2">
        <v>44007</v>
      </c>
      <c r="B3730" s="18">
        <f t="shared" si="116"/>
        <v>2020</v>
      </c>
      <c r="C3730" s="18">
        <f t="shared" si="117"/>
        <v>6</v>
      </c>
      <c r="D3730" s="3" t="s">
        <v>1591</v>
      </c>
      <c r="E3730" s="3" t="s">
        <v>70</v>
      </c>
      <c r="F3730" s="3" t="s">
        <v>11</v>
      </c>
      <c r="G3730" s="3" t="s">
        <v>30</v>
      </c>
      <c r="H3730" s="3" t="s">
        <v>2327</v>
      </c>
      <c r="I3730" s="11">
        <v>917.4</v>
      </c>
      <c r="J3730" s="18">
        <v>4</v>
      </c>
      <c r="K3730" s="12">
        <v>148.13800000000001</v>
      </c>
    </row>
    <row r="3731" spans="1:11" x14ac:dyDescent="0.25">
      <c r="A3731" s="4">
        <v>44007</v>
      </c>
      <c r="B3731" s="19">
        <f t="shared" si="116"/>
        <v>2020</v>
      </c>
      <c r="C3731" s="19">
        <f t="shared" si="117"/>
        <v>6</v>
      </c>
      <c r="D3731" s="5" t="s">
        <v>1326</v>
      </c>
      <c r="E3731" s="5" t="s">
        <v>465</v>
      </c>
      <c r="F3731" s="5" t="s">
        <v>19</v>
      </c>
      <c r="G3731" s="5" t="s">
        <v>116</v>
      </c>
      <c r="H3731" s="5" t="s">
        <v>2314</v>
      </c>
      <c r="I3731" s="13">
        <v>123.304</v>
      </c>
      <c r="J3731" s="19">
        <v>3</v>
      </c>
      <c r="K3731" s="14">
        <v>-2.1194999999999999</v>
      </c>
    </row>
    <row r="3732" spans="1:11" x14ac:dyDescent="0.25">
      <c r="A3732" s="2">
        <v>44007</v>
      </c>
      <c r="B3732" s="18">
        <f t="shared" si="116"/>
        <v>2020</v>
      </c>
      <c r="C3732" s="18">
        <f t="shared" si="117"/>
        <v>6</v>
      </c>
      <c r="D3732" s="3" t="s">
        <v>1326</v>
      </c>
      <c r="E3732" s="3" t="s">
        <v>465</v>
      </c>
      <c r="F3732" s="3" t="s">
        <v>19</v>
      </c>
      <c r="G3732" s="3" t="s">
        <v>40</v>
      </c>
      <c r="H3732" s="3" t="s">
        <v>1593</v>
      </c>
      <c r="I3732" s="11">
        <v>103.34399999999999</v>
      </c>
      <c r="J3732" s="18">
        <v>2</v>
      </c>
      <c r="K3732" s="12">
        <v>0.73480000000000001</v>
      </c>
    </row>
    <row r="3733" spans="1:11" x14ac:dyDescent="0.25">
      <c r="A3733" s="4">
        <v>44008</v>
      </c>
      <c r="B3733" s="19">
        <f t="shared" si="116"/>
        <v>2020</v>
      </c>
      <c r="C3733" s="19">
        <f t="shared" si="117"/>
        <v>6</v>
      </c>
      <c r="D3733" s="5" t="s">
        <v>2219</v>
      </c>
      <c r="E3733" s="5" t="s">
        <v>94</v>
      </c>
      <c r="F3733" s="5" t="s">
        <v>19</v>
      </c>
      <c r="G3733" s="5" t="s">
        <v>53</v>
      </c>
      <c r="H3733" s="5" t="s">
        <v>939</v>
      </c>
      <c r="I3733" s="13">
        <v>112.52</v>
      </c>
      <c r="J3733" s="19">
        <v>3</v>
      </c>
      <c r="K3733" s="14">
        <v>31.519200000000001</v>
      </c>
    </row>
    <row r="3734" spans="1:11" x14ac:dyDescent="0.25">
      <c r="A3734" s="2">
        <v>44008</v>
      </c>
      <c r="B3734" s="18">
        <f t="shared" si="116"/>
        <v>2020</v>
      </c>
      <c r="C3734" s="18">
        <f t="shared" si="117"/>
        <v>6</v>
      </c>
      <c r="D3734" s="3" t="s">
        <v>1017</v>
      </c>
      <c r="E3734" s="3" t="s">
        <v>18</v>
      </c>
      <c r="F3734" s="3" t="s">
        <v>19</v>
      </c>
      <c r="G3734" s="3" t="s">
        <v>20</v>
      </c>
      <c r="H3734" s="3" t="s">
        <v>1175</v>
      </c>
      <c r="I3734" s="11">
        <v>126.76</v>
      </c>
      <c r="J3734" s="18">
        <v>12</v>
      </c>
      <c r="K3734" s="12">
        <v>1.6752</v>
      </c>
    </row>
    <row r="3735" spans="1:11" x14ac:dyDescent="0.25">
      <c r="A3735" s="4">
        <v>44008</v>
      </c>
      <c r="B3735" s="19">
        <f t="shared" si="116"/>
        <v>2020</v>
      </c>
      <c r="C3735" s="19">
        <f t="shared" si="117"/>
        <v>6</v>
      </c>
      <c r="D3735" s="5" t="s">
        <v>2219</v>
      </c>
      <c r="E3735" s="5" t="s">
        <v>94</v>
      </c>
      <c r="F3735" s="5" t="s">
        <v>19</v>
      </c>
      <c r="G3735" s="5" t="s">
        <v>32</v>
      </c>
      <c r="H3735" s="5" t="s">
        <v>310</v>
      </c>
      <c r="I3735" s="13">
        <v>127.36799999999999</v>
      </c>
      <c r="J3735" s="19">
        <v>2</v>
      </c>
      <c r="K3735" s="14">
        <v>37.108400000000003</v>
      </c>
    </row>
    <row r="3736" spans="1:11" x14ac:dyDescent="0.25">
      <c r="A3736" s="2">
        <v>44008</v>
      </c>
      <c r="B3736" s="18">
        <f t="shared" si="116"/>
        <v>2020</v>
      </c>
      <c r="C3736" s="18">
        <f t="shared" si="117"/>
        <v>6</v>
      </c>
      <c r="D3736" s="3" t="s">
        <v>156</v>
      </c>
      <c r="E3736" s="3" t="s">
        <v>94</v>
      </c>
      <c r="F3736" s="3" t="s">
        <v>14</v>
      </c>
      <c r="G3736" s="3" t="s">
        <v>15</v>
      </c>
      <c r="H3736" s="3" t="s">
        <v>1222</v>
      </c>
      <c r="I3736" s="11">
        <v>280.97000000000003</v>
      </c>
      <c r="J3736" s="18">
        <v>3</v>
      </c>
      <c r="K3736" s="12">
        <v>67.191599999999994</v>
      </c>
    </row>
    <row r="3737" spans="1:11" x14ac:dyDescent="0.25">
      <c r="A3737" s="4">
        <v>44008</v>
      </c>
      <c r="B3737" s="19">
        <f t="shared" si="116"/>
        <v>2020</v>
      </c>
      <c r="C3737" s="19">
        <f t="shared" si="117"/>
        <v>6</v>
      </c>
      <c r="D3737" s="5" t="s">
        <v>853</v>
      </c>
      <c r="E3737" s="5" t="s">
        <v>94</v>
      </c>
      <c r="F3737" s="5" t="s">
        <v>19</v>
      </c>
      <c r="G3737" s="5" t="s">
        <v>20</v>
      </c>
      <c r="H3737" s="5" t="s">
        <v>870</v>
      </c>
      <c r="I3737" s="13">
        <v>285.94</v>
      </c>
      <c r="J3737" s="19">
        <v>3</v>
      </c>
      <c r="K3737" s="14">
        <v>0</v>
      </c>
    </row>
    <row r="3738" spans="1:11" x14ac:dyDescent="0.25">
      <c r="A3738" s="2">
        <v>44008</v>
      </c>
      <c r="B3738" s="18">
        <f t="shared" si="116"/>
        <v>2020</v>
      </c>
      <c r="C3738" s="18">
        <f t="shared" si="117"/>
        <v>6</v>
      </c>
      <c r="D3738" s="3" t="s">
        <v>485</v>
      </c>
      <c r="E3738" s="3" t="s">
        <v>44</v>
      </c>
      <c r="F3738" s="3" t="s">
        <v>11</v>
      </c>
      <c r="G3738" s="3" t="s">
        <v>112</v>
      </c>
      <c r="H3738" s="3" t="s">
        <v>255</v>
      </c>
      <c r="I3738" s="11">
        <v>289.55200000000002</v>
      </c>
      <c r="J3738" s="18">
        <v>3</v>
      </c>
      <c r="K3738" s="12">
        <v>-13.6776</v>
      </c>
    </row>
    <row r="3739" spans="1:11" x14ac:dyDescent="0.25">
      <c r="A3739" s="4">
        <v>44008</v>
      </c>
      <c r="B3739" s="19">
        <f t="shared" si="116"/>
        <v>2020</v>
      </c>
      <c r="C3739" s="19">
        <f t="shared" si="117"/>
        <v>6</v>
      </c>
      <c r="D3739" s="5" t="s">
        <v>319</v>
      </c>
      <c r="E3739" s="5" t="s">
        <v>39</v>
      </c>
      <c r="F3739" s="5" t="s">
        <v>14</v>
      </c>
      <c r="G3739" s="5" t="s">
        <v>15</v>
      </c>
      <c r="H3739" s="5" t="s">
        <v>1005</v>
      </c>
      <c r="I3739" s="13">
        <v>368.2</v>
      </c>
      <c r="J3739" s="19">
        <v>3</v>
      </c>
      <c r="K3739" s="14">
        <v>41.79</v>
      </c>
    </row>
    <row r="3740" spans="1:11" x14ac:dyDescent="0.25">
      <c r="A3740" s="2">
        <v>44008</v>
      </c>
      <c r="B3740" s="18">
        <f t="shared" si="116"/>
        <v>2020</v>
      </c>
      <c r="C3740" s="18">
        <f t="shared" si="117"/>
        <v>6</v>
      </c>
      <c r="D3740" s="3" t="s">
        <v>1353</v>
      </c>
      <c r="E3740" s="3" t="s">
        <v>306</v>
      </c>
      <c r="F3740" s="3" t="s">
        <v>14</v>
      </c>
      <c r="G3740" s="3" t="s">
        <v>24</v>
      </c>
      <c r="H3740" s="3" t="s">
        <v>578</v>
      </c>
      <c r="I3740" s="11">
        <v>444.928</v>
      </c>
      <c r="J3740" s="18">
        <v>9</v>
      </c>
      <c r="K3740" s="12">
        <v>64.789199999999994</v>
      </c>
    </row>
    <row r="3741" spans="1:11" x14ac:dyDescent="0.25">
      <c r="A3741" s="4">
        <v>44008</v>
      </c>
      <c r="B3741" s="19">
        <f t="shared" si="116"/>
        <v>2020</v>
      </c>
      <c r="C3741" s="19">
        <f t="shared" si="117"/>
        <v>6</v>
      </c>
      <c r="D3741" s="5" t="s">
        <v>2178</v>
      </c>
      <c r="E3741" s="5" t="s">
        <v>317</v>
      </c>
      <c r="F3741" s="5" t="s">
        <v>11</v>
      </c>
      <c r="G3741" s="5" t="s">
        <v>51</v>
      </c>
      <c r="H3741" s="5" t="s">
        <v>2118</v>
      </c>
      <c r="I3741" s="13">
        <v>536.45000000000005</v>
      </c>
      <c r="J3741" s="19">
        <v>5</v>
      </c>
      <c r="K3741" s="14">
        <v>31.587</v>
      </c>
    </row>
    <row r="3742" spans="1:11" x14ac:dyDescent="0.25">
      <c r="A3742" s="2">
        <v>44008</v>
      </c>
      <c r="B3742" s="18">
        <f t="shared" si="116"/>
        <v>2020</v>
      </c>
      <c r="C3742" s="18">
        <f t="shared" si="117"/>
        <v>6</v>
      </c>
      <c r="D3742" s="3" t="s">
        <v>319</v>
      </c>
      <c r="E3742" s="3" t="s">
        <v>39</v>
      </c>
      <c r="F3742" s="3" t="s">
        <v>14</v>
      </c>
      <c r="G3742" s="3" t="s">
        <v>15</v>
      </c>
      <c r="H3742" s="3" t="s">
        <v>446</v>
      </c>
      <c r="I3742" s="11">
        <v>577.91600000000005</v>
      </c>
      <c r="J3742" s="18">
        <v>14</v>
      </c>
      <c r="K3742" s="12">
        <v>72.788799999999995</v>
      </c>
    </row>
    <row r="3743" spans="1:11" x14ac:dyDescent="0.25">
      <c r="A3743" s="4">
        <v>44008</v>
      </c>
      <c r="B3743" s="19">
        <f t="shared" si="116"/>
        <v>2020</v>
      </c>
      <c r="C3743" s="19">
        <f t="shared" si="117"/>
        <v>6</v>
      </c>
      <c r="D3743" s="5" t="s">
        <v>2352</v>
      </c>
      <c r="E3743" s="5" t="s">
        <v>365</v>
      </c>
      <c r="F3743" s="5" t="s">
        <v>14</v>
      </c>
      <c r="G3743" s="5" t="s">
        <v>15</v>
      </c>
      <c r="H3743" s="5" t="s">
        <v>1504</v>
      </c>
      <c r="I3743" s="13">
        <v>592.91999999999996</v>
      </c>
      <c r="J3743" s="19">
        <v>8</v>
      </c>
      <c r="K3743" s="14">
        <v>135.97999999999999</v>
      </c>
    </row>
    <row r="3744" spans="1:11" x14ac:dyDescent="0.25">
      <c r="A3744" s="2">
        <v>44008</v>
      </c>
      <c r="B3744" s="18">
        <f t="shared" si="116"/>
        <v>2020</v>
      </c>
      <c r="C3744" s="18">
        <f t="shared" si="117"/>
        <v>6</v>
      </c>
      <c r="D3744" s="3" t="s">
        <v>2219</v>
      </c>
      <c r="E3744" s="3" t="s">
        <v>94</v>
      </c>
      <c r="F3744" s="3" t="s">
        <v>19</v>
      </c>
      <c r="G3744" s="3" t="s">
        <v>20</v>
      </c>
      <c r="H3744" s="3" t="s">
        <v>818</v>
      </c>
      <c r="I3744" s="11">
        <v>740.88</v>
      </c>
      <c r="J3744" s="18">
        <v>4</v>
      </c>
      <c r="K3744" s="12">
        <v>214.16399999999999</v>
      </c>
    </row>
    <row r="3745" spans="1:11" x14ac:dyDescent="0.25">
      <c r="A3745" s="4">
        <v>44008</v>
      </c>
      <c r="B3745" s="19">
        <f t="shared" si="116"/>
        <v>2020</v>
      </c>
      <c r="C3745" s="19">
        <f t="shared" si="117"/>
        <v>6</v>
      </c>
      <c r="D3745" s="5" t="s">
        <v>2352</v>
      </c>
      <c r="E3745" s="5" t="s">
        <v>365</v>
      </c>
      <c r="F3745" s="5" t="s">
        <v>19</v>
      </c>
      <c r="G3745" s="5" t="s">
        <v>40</v>
      </c>
      <c r="H3745" s="5" t="s">
        <v>2075</v>
      </c>
      <c r="I3745" s="13">
        <v>116.92</v>
      </c>
      <c r="J3745" s="19">
        <v>4</v>
      </c>
      <c r="K3745" s="14">
        <v>5.4127999999999998</v>
      </c>
    </row>
    <row r="3746" spans="1:11" x14ac:dyDescent="0.25">
      <c r="A3746" s="2">
        <v>44008</v>
      </c>
      <c r="B3746" s="18">
        <f t="shared" si="116"/>
        <v>2020</v>
      </c>
      <c r="C3746" s="18">
        <f t="shared" si="117"/>
        <v>6</v>
      </c>
      <c r="D3746" s="3" t="s">
        <v>2219</v>
      </c>
      <c r="E3746" s="3" t="s">
        <v>94</v>
      </c>
      <c r="F3746" s="3" t="s">
        <v>19</v>
      </c>
      <c r="G3746" s="3" t="s">
        <v>265</v>
      </c>
      <c r="H3746" s="3" t="s">
        <v>1487</v>
      </c>
      <c r="I3746" s="11">
        <v>114.4</v>
      </c>
      <c r="J3746" s="18">
        <v>5</v>
      </c>
      <c r="K3746" s="12">
        <v>8.2360000000000007</v>
      </c>
    </row>
    <row r="3747" spans="1:11" x14ac:dyDescent="0.25">
      <c r="A3747" s="4">
        <v>44008</v>
      </c>
      <c r="B3747" s="19">
        <f t="shared" si="116"/>
        <v>2020</v>
      </c>
      <c r="C3747" s="19">
        <f t="shared" si="117"/>
        <v>6</v>
      </c>
      <c r="D3747" s="5" t="s">
        <v>2352</v>
      </c>
      <c r="E3747" s="5" t="s">
        <v>365</v>
      </c>
      <c r="F3747" s="5" t="s">
        <v>19</v>
      </c>
      <c r="G3747" s="5" t="s">
        <v>53</v>
      </c>
      <c r="H3747" s="5" t="s">
        <v>1892</v>
      </c>
      <c r="I3747" s="13">
        <v>111.54</v>
      </c>
      <c r="J3747" s="19">
        <v>1</v>
      </c>
      <c r="K3747" s="14">
        <v>2.0430000000000001</v>
      </c>
    </row>
    <row r="3748" spans="1:11" x14ac:dyDescent="0.25">
      <c r="A3748" s="2">
        <v>44008</v>
      </c>
      <c r="B3748" s="18">
        <f t="shared" si="116"/>
        <v>2020</v>
      </c>
      <c r="C3748" s="18">
        <f t="shared" si="117"/>
        <v>6</v>
      </c>
      <c r="D3748" s="3" t="s">
        <v>485</v>
      </c>
      <c r="E3748" s="3" t="s">
        <v>44</v>
      </c>
      <c r="F3748" s="3" t="s">
        <v>19</v>
      </c>
      <c r="G3748" s="3" t="s">
        <v>127</v>
      </c>
      <c r="H3748" s="3" t="s">
        <v>159</v>
      </c>
      <c r="I3748" s="11">
        <v>106.872</v>
      </c>
      <c r="J3748" s="18">
        <v>6</v>
      </c>
      <c r="K3748" s="12">
        <v>4.6818</v>
      </c>
    </row>
    <row r="3749" spans="1:11" x14ac:dyDescent="0.25">
      <c r="A3749" s="4">
        <v>44009</v>
      </c>
      <c r="B3749" s="19">
        <f t="shared" si="116"/>
        <v>2020</v>
      </c>
      <c r="C3749" s="19">
        <f t="shared" si="117"/>
        <v>6</v>
      </c>
      <c r="D3749" s="5" t="s">
        <v>1403</v>
      </c>
      <c r="E3749" s="5" t="s">
        <v>70</v>
      </c>
      <c r="F3749" s="5" t="s">
        <v>11</v>
      </c>
      <c r="G3749" s="5" t="s">
        <v>51</v>
      </c>
      <c r="H3749" s="5" t="s">
        <v>2353</v>
      </c>
      <c r="I3749" s="13">
        <v>166.3</v>
      </c>
      <c r="J3749" s="19">
        <v>3</v>
      </c>
      <c r="K3749" s="14">
        <v>40.415999999999997</v>
      </c>
    </row>
    <row r="3750" spans="1:11" x14ac:dyDescent="0.25">
      <c r="A3750" s="2">
        <v>44009</v>
      </c>
      <c r="B3750" s="18">
        <f t="shared" si="116"/>
        <v>2020</v>
      </c>
      <c r="C3750" s="18">
        <f t="shared" si="117"/>
        <v>6</v>
      </c>
      <c r="D3750" s="3" t="s">
        <v>1798</v>
      </c>
      <c r="E3750" s="3" t="s">
        <v>94</v>
      </c>
      <c r="F3750" s="3" t="s">
        <v>11</v>
      </c>
      <c r="G3750" s="3" t="s">
        <v>112</v>
      </c>
      <c r="H3750" s="3" t="s">
        <v>372</v>
      </c>
      <c r="I3750" s="11">
        <v>228.64599999999999</v>
      </c>
      <c r="J3750" s="18">
        <v>3</v>
      </c>
      <c r="K3750" s="12">
        <v>31.940999999999999</v>
      </c>
    </row>
    <row r="3751" spans="1:11" x14ac:dyDescent="0.25">
      <c r="A3751" s="4">
        <v>44009</v>
      </c>
      <c r="B3751" s="19">
        <f t="shared" si="116"/>
        <v>2020</v>
      </c>
      <c r="C3751" s="19">
        <f t="shared" si="117"/>
        <v>6</v>
      </c>
      <c r="D3751" s="5" t="s">
        <v>1403</v>
      </c>
      <c r="E3751" s="5" t="s">
        <v>70</v>
      </c>
      <c r="F3751" s="5" t="s">
        <v>14</v>
      </c>
      <c r="G3751" s="5" t="s">
        <v>24</v>
      </c>
      <c r="H3751" s="5" t="s">
        <v>492</v>
      </c>
      <c r="I3751" s="13">
        <v>1297.45</v>
      </c>
      <c r="J3751" s="19">
        <v>5</v>
      </c>
      <c r="K3751" s="14">
        <v>244.6155</v>
      </c>
    </row>
    <row r="3752" spans="1:11" x14ac:dyDescent="0.25">
      <c r="A3752" s="2">
        <v>44009</v>
      </c>
      <c r="B3752" s="18">
        <f t="shared" si="116"/>
        <v>2020</v>
      </c>
      <c r="C3752" s="18">
        <f t="shared" si="117"/>
        <v>6</v>
      </c>
      <c r="D3752" s="3" t="s">
        <v>261</v>
      </c>
      <c r="E3752" s="3" t="s">
        <v>651</v>
      </c>
      <c r="F3752" s="3" t="s">
        <v>19</v>
      </c>
      <c r="G3752" s="3" t="s">
        <v>53</v>
      </c>
      <c r="H3752" s="3" t="s">
        <v>932</v>
      </c>
      <c r="I3752" s="11">
        <v>129.07</v>
      </c>
      <c r="J3752" s="18">
        <v>3</v>
      </c>
      <c r="K3752" s="12">
        <v>9.2322000000000006</v>
      </c>
    </row>
    <row r="3753" spans="1:11" x14ac:dyDescent="0.25">
      <c r="A3753" s="4">
        <v>44009</v>
      </c>
      <c r="B3753" s="19">
        <f t="shared" si="116"/>
        <v>2020</v>
      </c>
      <c r="C3753" s="19">
        <f t="shared" si="117"/>
        <v>6</v>
      </c>
      <c r="D3753" s="5" t="s">
        <v>1403</v>
      </c>
      <c r="E3753" s="5" t="s">
        <v>70</v>
      </c>
      <c r="F3753" s="5" t="s">
        <v>19</v>
      </c>
      <c r="G3753" s="5" t="s">
        <v>53</v>
      </c>
      <c r="H3753" s="5" t="s">
        <v>1390</v>
      </c>
      <c r="I3753" s="13">
        <v>120.44</v>
      </c>
      <c r="J3753" s="19">
        <v>3</v>
      </c>
      <c r="K3753" s="14">
        <v>9.3312000000000008</v>
      </c>
    </row>
    <row r="3754" spans="1:11" x14ac:dyDescent="0.25">
      <c r="A3754" s="2">
        <v>44011</v>
      </c>
      <c r="B3754" s="18">
        <f t="shared" si="116"/>
        <v>2020</v>
      </c>
      <c r="C3754" s="18">
        <f t="shared" si="117"/>
        <v>6</v>
      </c>
      <c r="D3754" s="3" t="s">
        <v>93</v>
      </c>
      <c r="E3754" s="3" t="s">
        <v>18</v>
      </c>
      <c r="F3754" s="3" t="s">
        <v>19</v>
      </c>
      <c r="G3754" s="3" t="s">
        <v>20</v>
      </c>
      <c r="H3754" s="3" t="s">
        <v>2354</v>
      </c>
      <c r="I3754" s="11">
        <v>172.71</v>
      </c>
      <c r="J3754" s="18">
        <v>3</v>
      </c>
      <c r="K3754" s="12">
        <v>39.213000000000001</v>
      </c>
    </row>
    <row r="3755" spans="1:11" x14ac:dyDescent="0.25">
      <c r="A3755" s="4">
        <v>44011</v>
      </c>
      <c r="B3755" s="19">
        <f t="shared" si="116"/>
        <v>2020</v>
      </c>
      <c r="C3755" s="19">
        <f t="shared" si="117"/>
        <v>6</v>
      </c>
      <c r="D3755" s="5" t="s">
        <v>1366</v>
      </c>
      <c r="E3755" s="5" t="s">
        <v>23</v>
      </c>
      <c r="F3755" s="5" t="s">
        <v>11</v>
      </c>
      <c r="G3755" s="5" t="s">
        <v>30</v>
      </c>
      <c r="H3755" s="5" t="s">
        <v>2355</v>
      </c>
      <c r="I3755" s="13">
        <v>329.31400000000002</v>
      </c>
      <c r="J3755" s="19">
        <v>3</v>
      </c>
      <c r="K3755" s="14">
        <v>-39.511800000000001</v>
      </c>
    </row>
    <row r="3756" spans="1:11" x14ac:dyDescent="0.25">
      <c r="A3756" s="2">
        <v>44011</v>
      </c>
      <c r="B3756" s="18">
        <f t="shared" si="116"/>
        <v>2020</v>
      </c>
      <c r="C3756" s="18">
        <f t="shared" si="117"/>
        <v>6</v>
      </c>
      <c r="D3756" s="3" t="s">
        <v>1359</v>
      </c>
      <c r="E3756" s="3" t="s">
        <v>18</v>
      </c>
      <c r="F3756" s="3" t="s">
        <v>19</v>
      </c>
      <c r="G3756" s="3" t="s">
        <v>32</v>
      </c>
      <c r="H3756" s="3" t="s">
        <v>359</v>
      </c>
      <c r="I3756" s="11">
        <v>339.55200000000002</v>
      </c>
      <c r="J3756" s="18">
        <v>9</v>
      </c>
      <c r="K3756" s="12">
        <v>101.57940000000001</v>
      </c>
    </row>
    <row r="3757" spans="1:11" x14ac:dyDescent="0.25">
      <c r="A3757" s="4">
        <v>44011</v>
      </c>
      <c r="B3757" s="19">
        <f t="shared" si="116"/>
        <v>2020</v>
      </c>
      <c r="C3757" s="19">
        <f t="shared" si="117"/>
        <v>6</v>
      </c>
      <c r="D3757" s="5" t="s">
        <v>326</v>
      </c>
      <c r="E3757" s="5" t="s">
        <v>387</v>
      </c>
      <c r="F3757" s="5" t="s">
        <v>19</v>
      </c>
      <c r="G3757" s="5" t="s">
        <v>121</v>
      </c>
      <c r="H3757" s="5" t="s">
        <v>2004</v>
      </c>
      <c r="I3757" s="13">
        <v>401.94</v>
      </c>
      <c r="J3757" s="19">
        <v>3</v>
      </c>
      <c r="K3757" s="14">
        <v>90.734999999999999</v>
      </c>
    </row>
    <row r="3758" spans="1:11" x14ac:dyDescent="0.25">
      <c r="A3758" s="2">
        <v>44011</v>
      </c>
      <c r="B3758" s="18">
        <f t="shared" si="116"/>
        <v>2020</v>
      </c>
      <c r="C3758" s="18">
        <f t="shared" si="117"/>
        <v>6</v>
      </c>
      <c r="D3758" s="3" t="s">
        <v>1366</v>
      </c>
      <c r="E3758" s="3" t="s">
        <v>23</v>
      </c>
      <c r="F3758" s="3" t="s">
        <v>11</v>
      </c>
      <c r="G3758" s="3" t="s">
        <v>12</v>
      </c>
      <c r="H3758" s="3" t="s">
        <v>1658</v>
      </c>
      <c r="I3758" s="11">
        <v>424.99919999999997</v>
      </c>
      <c r="J3758" s="18">
        <v>3</v>
      </c>
      <c r="K3758" s="12">
        <v>-96.470399999999998</v>
      </c>
    </row>
    <row r="3759" spans="1:11" x14ac:dyDescent="0.25">
      <c r="A3759" s="4">
        <v>44011</v>
      </c>
      <c r="B3759" s="19">
        <f t="shared" si="116"/>
        <v>2020</v>
      </c>
      <c r="C3759" s="19">
        <f t="shared" si="117"/>
        <v>6</v>
      </c>
      <c r="D3759" s="5" t="s">
        <v>485</v>
      </c>
      <c r="E3759" s="5" t="s">
        <v>91</v>
      </c>
      <c r="F3759" s="5" t="s">
        <v>11</v>
      </c>
      <c r="G3759" s="5" t="s">
        <v>12</v>
      </c>
      <c r="H3759" s="5" t="s">
        <v>1902</v>
      </c>
      <c r="I3759" s="13">
        <v>672.82</v>
      </c>
      <c r="J3759" s="19">
        <v>9</v>
      </c>
      <c r="K3759" s="14">
        <v>185.2578</v>
      </c>
    </row>
    <row r="3760" spans="1:11" x14ac:dyDescent="0.25">
      <c r="A3760" s="2">
        <v>44011</v>
      </c>
      <c r="B3760" s="18">
        <f t="shared" si="116"/>
        <v>2020</v>
      </c>
      <c r="C3760" s="18">
        <f t="shared" si="117"/>
        <v>6</v>
      </c>
      <c r="D3760" s="3" t="s">
        <v>93</v>
      </c>
      <c r="E3760" s="3" t="s">
        <v>18</v>
      </c>
      <c r="F3760" s="3" t="s">
        <v>19</v>
      </c>
      <c r="G3760" s="3" t="s">
        <v>32</v>
      </c>
      <c r="H3760" s="3" t="s">
        <v>2166</v>
      </c>
      <c r="I3760" s="11">
        <v>943.92</v>
      </c>
      <c r="J3760" s="18">
        <v>5</v>
      </c>
      <c r="K3760" s="12">
        <v>302.37299999999999</v>
      </c>
    </row>
    <row r="3761" spans="1:11" x14ac:dyDescent="0.25">
      <c r="A3761" s="4">
        <v>44011</v>
      </c>
      <c r="B3761" s="19">
        <f t="shared" si="116"/>
        <v>2020</v>
      </c>
      <c r="C3761" s="19">
        <f t="shared" si="117"/>
        <v>6</v>
      </c>
      <c r="D3761" s="5" t="s">
        <v>396</v>
      </c>
      <c r="E3761" s="5" t="s">
        <v>18</v>
      </c>
      <c r="F3761" s="5" t="s">
        <v>19</v>
      </c>
      <c r="G3761" s="5" t="s">
        <v>20</v>
      </c>
      <c r="H3761" s="5" t="s">
        <v>664</v>
      </c>
      <c r="I3761" s="13">
        <v>1307.78</v>
      </c>
      <c r="J3761" s="19">
        <v>2</v>
      </c>
      <c r="K3761" s="14">
        <v>310.98719999999997</v>
      </c>
    </row>
    <row r="3762" spans="1:11" x14ac:dyDescent="0.25">
      <c r="A3762" s="2">
        <v>44011</v>
      </c>
      <c r="B3762" s="18">
        <f t="shared" si="116"/>
        <v>2020</v>
      </c>
      <c r="C3762" s="18">
        <f t="shared" si="117"/>
        <v>6</v>
      </c>
      <c r="D3762" s="3" t="s">
        <v>93</v>
      </c>
      <c r="E3762" s="3" t="s">
        <v>18</v>
      </c>
      <c r="F3762" s="3" t="s">
        <v>19</v>
      </c>
      <c r="G3762" s="3" t="s">
        <v>40</v>
      </c>
      <c r="H3762" s="3" t="s">
        <v>1663</v>
      </c>
      <c r="I3762" s="11">
        <v>88.68</v>
      </c>
      <c r="J3762" s="18">
        <v>2</v>
      </c>
      <c r="K3762" s="12">
        <v>3.0367999999999999</v>
      </c>
    </row>
    <row r="3763" spans="1:11" x14ac:dyDescent="0.25">
      <c r="A3763" s="4">
        <v>44011</v>
      </c>
      <c r="B3763" s="19">
        <f t="shared" si="116"/>
        <v>2020</v>
      </c>
      <c r="C3763" s="19">
        <f t="shared" si="117"/>
        <v>6</v>
      </c>
      <c r="D3763" s="5" t="s">
        <v>1366</v>
      </c>
      <c r="E3763" s="5" t="s">
        <v>23</v>
      </c>
      <c r="F3763" s="5" t="s">
        <v>19</v>
      </c>
      <c r="G3763" s="5" t="s">
        <v>121</v>
      </c>
      <c r="H3763" s="5" t="s">
        <v>2356</v>
      </c>
      <c r="I3763" s="13">
        <v>123.392</v>
      </c>
      <c r="J3763" s="19">
        <v>2</v>
      </c>
      <c r="K3763" s="14">
        <v>-54.549599999999998</v>
      </c>
    </row>
    <row r="3764" spans="1:11" x14ac:dyDescent="0.25">
      <c r="A3764" s="2">
        <v>44011</v>
      </c>
      <c r="B3764" s="18">
        <f t="shared" si="116"/>
        <v>2020</v>
      </c>
      <c r="C3764" s="18">
        <f t="shared" si="117"/>
        <v>6</v>
      </c>
      <c r="D3764" s="3" t="s">
        <v>485</v>
      </c>
      <c r="E3764" s="3" t="s">
        <v>91</v>
      </c>
      <c r="F3764" s="3" t="s">
        <v>11</v>
      </c>
      <c r="G3764" s="3" t="s">
        <v>51</v>
      </c>
      <c r="H3764" s="3" t="s">
        <v>1133</v>
      </c>
      <c r="I3764" s="11">
        <v>88.16</v>
      </c>
      <c r="J3764" s="18">
        <v>2</v>
      </c>
      <c r="K3764" s="12">
        <v>8.5543999999999993</v>
      </c>
    </row>
    <row r="3765" spans="1:11" x14ac:dyDescent="0.25">
      <c r="A3765" s="4">
        <v>44011</v>
      </c>
      <c r="B3765" s="19">
        <f t="shared" si="116"/>
        <v>2020</v>
      </c>
      <c r="C3765" s="19">
        <f t="shared" si="117"/>
        <v>6</v>
      </c>
      <c r="D3765" s="5" t="s">
        <v>437</v>
      </c>
      <c r="E3765" s="5" t="s">
        <v>23</v>
      </c>
      <c r="F3765" s="5" t="s">
        <v>19</v>
      </c>
      <c r="G3765" s="5" t="s">
        <v>53</v>
      </c>
      <c r="H3765" s="5" t="s">
        <v>125</v>
      </c>
      <c r="I3765" s="13">
        <v>88.183999999999997</v>
      </c>
      <c r="J3765" s="19">
        <v>1</v>
      </c>
      <c r="K3765" s="14">
        <v>1.8144</v>
      </c>
    </row>
    <row r="3766" spans="1:11" x14ac:dyDescent="0.25">
      <c r="A3766" s="2">
        <v>44011</v>
      </c>
      <c r="B3766" s="18">
        <f t="shared" si="116"/>
        <v>2020</v>
      </c>
      <c r="C3766" s="18">
        <f t="shared" si="117"/>
        <v>6</v>
      </c>
      <c r="D3766" s="3" t="s">
        <v>326</v>
      </c>
      <c r="E3766" s="3" t="s">
        <v>387</v>
      </c>
      <c r="F3766" s="3" t="s">
        <v>19</v>
      </c>
      <c r="G3766" s="3" t="s">
        <v>32</v>
      </c>
      <c r="H3766" s="3" t="s">
        <v>1590</v>
      </c>
      <c r="I3766" s="11">
        <v>111.54</v>
      </c>
      <c r="J3766" s="18">
        <v>2</v>
      </c>
      <c r="K3766" s="12">
        <v>5.77</v>
      </c>
    </row>
    <row r="3767" spans="1:11" x14ac:dyDescent="0.25">
      <c r="A3767" s="4">
        <v>44011</v>
      </c>
      <c r="B3767" s="19">
        <f t="shared" si="116"/>
        <v>2020</v>
      </c>
      <c r="C3767" s="19">
        <f t="shared" si="117"/>
        <v>6</v>
      </c>
      <c r="D3767" s="5" t="s">
        <v>485</v>
      </c>
      <c r="E3767" s="5" t="s">
        <v>91</v>
      </c>
      <c r="F3767" s="5" t="s">
        <v>19</v>
      </c>
      <c r="G3767" s="5" t="s">
        <v>265</v>
      </c>
      <c r="H3767" s="5" t="s">
        <v>995</v>
      </c>
      <c r="I3767" s="13">
        <v>157.69</v>
      </c>
      <c r="J3767" s="19">
        <v>3</v>
      </c>
      <c r="K3767" s="14">
        <v>7.9794</v>
      </c>
    </row>
    <row r="3768" spans="1:11" x14ac:dyDescent="0.25">
      <c r="A3768" s="2">
        <v>44011</v>
      </c>
      <c r="B3768" s="18">
        <f t="shared" si="116"/>
        <v>2020</v>
      </c>
      <c r="C3768" s="18">
        <f t="shared" si="117"/>
        <v>6</v>
      </c>
      <c r="D3768" s="3" t="s">
        <v>93</v>
      </c>
      <c r="E3768" s="3" t="s">
        <v>18</v>
      </c>
      <c r="F3768" s="3" t="s">
        <v>14</v>
      </c>
      <c r="G3768" s="3" t="s">
        <v>24</v>
      </c>
      <c r="H3768" s="3" t="s">
        <v>2357</v>
      </c>
      <c r="I3768" s="11">
        <v>164.31</v>
      </c>
      <c r="J3768" s="18">
        <v>3</v>
      </c>
      <c r="K3768" s="12">
        <v>22.4316</v>
      </c>
    </row>
    <row r="3769" spans="1:11" x14ac:dyDescent="0.25">
      <c r="A3769" s="4">
        <v>44012</v>
      </c>
      <c r="B3769" s="19">
        <f t="shared" si="116"/>
        <v>2020</v>
      </c>
      <c r="C3769" s="19">
        <f t="shared" si="117"/>
        <v>6</v>
      </c>
      <c r="D3769" s="5" t="s">
        <v>2358</v>
      </c>
      <c r="E3769" s="5" t="s">
        <v>483</v>
      </c>
      <c r="F3769" s="5" t="s">
        <v>19</v>
      </c>
      <c r="G3769" s="5" t="s">
        <v>32</v>
      </c>
      <c r="H3769" s="5" t="s">
        <v>2231</v>
      </c>
      <c r="I3769" s="13">
        <v>117.792</v>
      </c>
      <c r="J3769" s="19">
        <v>3</v>
      </c>
      <c r="K3769" s="14">
        <v>25.579799999999999</v>
      </c>
    </row>
    <row r="3770" spans="1:11" x14ac:dyDescent="0.25">
      <c r="A3770" s="2">
        <v>44012</v>
      </c>
      <c r="B3770" s="18">
        <f t="shared" si="116"/>
        <v>2020</v>
      </c>
      <c r="C3770" s="18">
        <f t="shared" si="117"/>
        <v>6</v>
      </c>
      <c r="D3770" s="3" t="s">
        <v>846</v>
      </c>
      <c r="E3770" s="3" t="s">
        <v>18</v>
      </c>
      <c r="F3770" s="3" t="s">
        <v>19</v>
      </c>
      <c r="G3770" s="3" t="s">
        <v>53</v>
      </c>
      <c r="H3770" s="3" t="s">
        <v>1436</v>
      </c>
      <c r="I3770" s="11">
        <v>216.95</v>
      </c>
      <c r="J3770" s="18">
        <v>5</v>
      </c>
      <c r="K3770" s="12">
        <v>100.4255</v>
      </c>
    </row>
    <row r="3771" spans="1:11" x14ac:dyDescent="0.25">
      <c r="A3771" s="4">
        <v>44012</v>
      </c>
      <c r="B3771" s="19">
        <f t="shared" si="116"/>
        <v>2020</v>
      </c>
      <c r="C3771" s="19">
        <f t="shared" si="117"/>
        <v>6</v>
      </c>
      <c r="D3771" s="5" t="s">
        <v>1330</v>
      </c>
      <c r="E3771" s="5" t="s">
        <v>94</v>
      </c>
      <c r="F3771" s="5" t="s">
        <v>19</v>
      </c>
      <c r="G3771" s="5" t="s">
        <v>20</v>
      </c>
      <c r="H3771" s="5" t="s">
        <v>1249</v>
      </c>
      <c r="I3771" s="13">
        <v>281.57</v>
      </c>
      <c r="J3771" s="19">
        <v>7</v>
      </c>
      <c r="K3771" s="14">
        <v>67.113900000000001</v>
      </c>
    </row>
    <row r="3772" spans="1:11" x14ac:dyDescent="0.25">
      <c r="A3772" s="2">
        <v>44012</v>
      </c>
      <c r="B3772" s="18">
        <f t="shared" si="116"/>
        <v>2020</v>
      </c>
      <c r="C3772" s="18">
        <f t="shared" si="117"/>
        <v>6</v>
      </c>
      <c r="D3772" s="3" t="s">
        <v>1370</v>
      </c>
      <c r="E3772" s="3" t="s">
        <v>18</v>
      </c>
      <c r="F3772" s="3" t="s">
        <v>11</v>
      </c>
      <c r="G3772" s="3" t="s">
        <v>12</v>
      </c>
      <c r="H3772" s="3" t="s">
        <v>1840</v>
      </c>
      <c r="I3772" s="11">
        <v>484.99900000000002</v>
      </c>
      <c r="J3772" s="18">
        <v>3</v>
      </c>
      <c r="K3772" s="12">
        <v>5.1294000000000004</v>
      </c>
    </row>
    <row r="3773" spans="1:11" x14ac:dyDescent="0.25">
      <c r="A3773" s="4">
        <v>44012</v>
      </c>
      <c r="B3773" s="19">
        <f t="shared" si="116"/>
        <v>2020</v>
      </c>
      <c r="C3773" s="19">
        <f t="shared" si="117"/>
        <v>6</v>
      </c>
      <c r="D3773" s="5" t="s">
        <v>1348</v>
      </c>
      <c r="E3773" s="5" t="s">
        <v>164</v>
      </c>
      <c r="F3773" s="5" t="s">
        <v>11</v>
      </c>
      <c r="G3773" s="5" t="s">
        <v>112</v>
      </c>
      <c r="H3773" s="5" t="s">
        <v>1047</v>
      </c>
      <c r="I3773" s="13">
        <v>579.05799999999999</v>
      </c>
      <c r="J3773" s="19">
        <v>3</v>
      </c>
      <c r="K3773" s="14">
        <v>-178.8468</v>
      </c>
    </row>
    <row r="3774" spans="1:11" x14ac:dyDescent="0.25">
      <c r="A3774" s="2">
        <v>44012</v>
      </c>
      <c r="B3774" s="18">
        <f t="shared" si="116"/>
        <v>2020</v>
      </c>
      <c r="C3774" s="18">
        <f t="shared" si="117"/>
        <v>6</v>
      </c>
      <c r="D3774" s="3" t="s">
        <v>1348</v>
      </c>
      <c r="E3774" s="3" t="s">
        <v>164</v>
      </c>
      <c r="F3774" s="3" t="s">
        <v>14</v>
      </c>
      <c r="G3774" s="3" t="s">
        <v>15</v>
      </c>
      <c r="H3774" s="3" t="s">
        <v>1661</v>
      </c>
      <c r="I3774" s="11">
        <v>1033.5840000000001</v>
      </c>
      <c r="J3774" s="18">
        <v>2</v>
      </c>
      <c r="K3774" s="12">
        <v>125.19799999999999</v>
      </c>
    </row>
    <row r="3775" spans="1:11" x14ac:dyDescent="0.25">
      <c r="A3775" s="4">
        <v>44012</v>
      </c>
      <c r="B3775" s="19">
        <f t="shared" si="116"/>
        <v>2020</v>
      </c>
      <c r="C3775" s="19">
        <f t="shared" si="117"/>
        <v>6</v>
      </c>
      <c r="D3775" s="5" t="s">
        <v>1398</v>
      </c>
      <c r="E3775" s="5" t="s">
        <v>94</v>
      </c>
      <c r="F3775" s="5" t="s">
        <v>11</v>
      </c>
      <c r="G3775" s="5" t="s">
        <v>30</v>
      </c>
      <c r="H3775" s="5" t="s">
        <v>2015</v>
      </c>
      <c r="I3775" s="13">
        <v>1063.6300000000001</v>
      </c>
      <c r="J3775" s="19">
        <v>5</v>
      </c>
      <c r="K3775" s="14">
        <v>-295.9785</v>
      </c>
    </row>
    <row r="3776" spans="1:11" x14ac:dyDescent="0.25">
      <c r="A3776" s="2">
        <v>44012</v>
      </c>
      <c r="B3776" s="18">
        <f t="shared" si="116"/>
        <v>2020</v>
      </c>
      <c r="C3776" s="18">
        <f t="shared" si="117"/>
        <v>6</v>
      </c>
      <c r="D3776" s="3" t="s">
        <v>2297</v>
      </c>
      <c r="E3776" s="3" t="s">
        <v>94</v>
      </c>
      <c r="F3776" s="3" t="s">
        <v>19</v>
      </c>
      <c r="G3776" s="3" t="s">
        <v>20</v>
      </c>
      <c r="H3776" s="3" t="s">
        <v>1774</v>
      </c>
      <c r="I3776" s="11">
        <v>1130.42</v>
      </c>
      <c r="J3776" s="18">
        <v>7</v>
      </c>
      <c r="K3776" s="12">
        <v>282.20920000000001</v>
      </c>
    </row>
    <row r="3777" spans="1:11" x14ac:dyDescent="0.25">
      <c r="A3777" s="4">
        <v>44012</v>
      </c>
      <c r="B3777" s="19">
        <f t="shared" si="116"/>
        <v>2020</v>
      </c>
      <c r="C3777" s="19">
        <f t="shared" si="117"/>
        <v>6</v>
      </c>
      <c r="D3777" s="5" t="s">
        <v>1330</v>
      </c>
      <c r="E3777" s="5" t="s">
        <v>94</v>
      </c>
      <c r="F3777" s="5" t="s">
        <v>11</v>
      </c>
      <c r="G3777" s="5" t="s">
        <v>51</v>
      </c>
      <c r="H3777" s="5" t="s">
        <v>1953</v>
      </c>
      <c r="I3777" s="13">
        <v>84.23</v>
      </c>
      <c r="J3777" s="19">
        <v>1</v>
      </c>
      <c r="K3777" s="14">
        <v>9.7812000000000001</v>
      </c>
    </row>
    <row r="3778" spans="1:11" x14ac:dyDescent="0.25">
      <c r="A3778" s="2">
        <v>44012</v>
      </c>
      <c r="B3778" s="18">
        <f t="shared" ref="B3778:B3841" si="118">YEAR(A3778)</f>
        <v>2020</v>
      </c>
      <c r="C3778" s="18">
        <f t="shared" ref="C3778:C3841" si="119">MONTH(A3778)</f>
        <v>6</v>
      </c>
      <c r="D3778" s="3" t="s">
        <v>1028</v>
      </c>
      <c r="E3778" s="3" t="s">
        <v>219</v>
      </c>
      <c r="F3778" s="3" t="s">
        <v>11</v>
      </c>
      <c r="G3778" s="3" t="s">
        <v>51</v>
      </c>
      <c r="H3778" s="3" t="s">
        <v>1328</v>
      </c>
      <c r="I3778" s="11">
        <v>108.52</v>
      </c>
      <c r="J3778" s="18">
        <v>2</v>
      </c>
      <c r="K3778" s="12">
        <v>5.3680000000000003</v>
      </c>
    </row>
    <row r="3779" spans="1:11" x14ac:dyDescent="0.25">
      <c r="A3779" s="4">
        <v>44012</v>
      </c>
      <c r="B3779" s="19">
        <f t="shared" si="118"/>
        <v>2020</v>
      </c>
      <c r="C3779" s="19">
        <f t="shared" si="119"/>
        <v>6</v>
      </c>
      <c r="D3779" s="5" t="s">
        <v>1348</v>
      </c>
      <c r="E3779" s="5" t="s">
        <v>164</v>
      </c>
      <c r="F3779" s="5" t="s">
        <v>11</v>
      </c>
      <c r="G3779" s="5" t="s">
        <v>51</v>
      </c>
      <c r="H3779" s="5" t="s">
        <v>545</v>
      </c>
      <c r="I3779" s="13">
        <v>109.224</v>
      </c>
      <c r="J3779" s="19">
        <v>2</v>
      </c>
      <c r="K3779" s="14">
        <v>-10.3124</v>
      </c>
    </row>
    <row r="3780" spans="1:11" x14ac:dyDescent="0.25">
      <c r="A3780" s="2">
        <v>44013</v>
      </c>
      <c r="B3780" s="18">
        <f t="shared" si="118"/>
        <v>2020</v>
      </c>
      <c r="C3780" s="18">
        <f t="shared" si="119"/>
        <v>7</v>
      </c>
      <c r="D3780" s="3" t="s">
        <v>379</v>
      </c>
      <c r="E3780" s="3" t="s">
        <v>317</v>
      </c>
      <c r="F3780" s="3" t="s">
        <v>19</v>
      </c>
      <c r="G3780" s="3" t="s">
        <v>32</v>
      </c>
      <c r="H3780" s="3" t="s">
        <v>1606</v>
      </c>
      <c r="I3780" s="11">
        <v>185.99</v>
      </c>
      <c r="J3780" s="18">
        <v>1</v>
      </c>
      <c r="K3780" s="12">
        <v>78.195400000000006</v>
      </c>
    </row>
    <row r="3781" spans="1:11" x14ac:dyDescent="0.25">
      <c r="A3781" s="4">
        <v>44013</v>
      </c>
      <c r="B3781" s="19">
        <f t="shared" si="118"/>
        <v>2020</v>
      </c>
      <c r="C3781" s="19">
        <f t="shared" si="119"/>
        <v>7</v>
      </c>
      <c r="D3781" s="5" t="s">
        <v>379</v>
      </c>
      <c r="E3781" s="5" t="s">
        <v>317</v>
      </c>
      <c r="F3781" s="5" t="s">
        <v>19</v>
      </c>
      <c r="G3781" s="5" t="s">
        <v>20</v>
      </c>
      <c r="H3781" s="5" t="s">
        <v>1777</v>
      </c>
      <c r="I3781" s="13">
        <v>475.92</v>
      </c>
      <c r="J3781" s="19">
        <v>4</v>
      </c>
      <c r="K3781" s="14">
        <v>13.317600000000001</v>
      </c>
    </row>
    <row r="3782" spans="1:11" x14ac:dyDescent="0.25">
      <c r="A3782" s="2">
        <v>44013</v>
      </c>
      <c r="B3782" s="18">
        <f t="shared" si="118"/>
        <v>2020</v>
      </c>
      <c r="C3782" s="18">
        <f t="shared" si="119"/>
        <v>7</v>
      </c>
      <c r="D3782" s="3" t="s">
        <v>379</v>
      </c>
      <c r="E3782" s="3" t="s">
        <v>317</v>
      </c>
      <c r="F3782" s="3" t="s">
        <v>19</v>
      </c>
      <c r="G3782" s="3" t="s">
        <v>53</v>
      </c>
      <c r="H3782" s="3" t="s">
        <v>721</v>
      </c>
      <c r="I3782" s="11">
        <v>134.91999999999999</v>
      </c>
      <c r="J3782" s="18">
        <v>4</v>
      </c>
      <c r="K3782" s="12">
        <v>12.441599999999999</v>
      </c>
    </row>
    <row r="3783" spans="1:11" x14ac:dyDescent="0.25">
      <c r="A3783" s="4">
        <v>44014</v>
      </c>
      <c r="B3783" s="19">
        <f t="shared" si="118"/>
        <v>2020</v>
      </c>
      <c r="C3783" s="19">
        <f t="shared" si="119"/>
        <v>7</v>
      </c>
      <c r="D3783" s="5" t="s">
        <v>1152</v>
      </c>
      <c r="E3783" s="5" t="s">
        <v>23</v>
      </c>
      <c r="F3783" s="5" t="s">
        <v>19</v>
      </c>
      <c r="G3783" s="5" t="s">
        <v>53</v>
      </c>
      <c r="H3783" s="5" t="s">
        <v>212</v>
      </c>
      <c r="I3783" s="13">
        <v>207.96</v>
      </c>
      <c r="J3783" s="19">
        <v>5</v>
      </c>
      <c r="K3783" s="14">
        <v>59.435499999999998</v>
      </c>
    </row>
    <row r="3784" spans="1:11" x14ac:dyDescent="0.25">
      <c r="A3784" s="2">
        <v>44014</v>
      </c>
      <c r="B3784" s="18">
        <f t="shared" si="118"/>
        <v>2020</v>
      </c>
      <c r="C3784" s="18">
        <f t="shared" si="119"/>
        <v>7</v>
      </c>
      <c r="D3784" s="3" t="s">
        <v>1152</v>
      </c>
      <c r="E3784" s="3" t="s">
        <v>23</v>
      </c>
      <c r="F3784" s="3" t="s">
        <v>19</v>
      </c>
      <c r="G3784" s="3" t="s">
        <v>32</v>
      </c>
      <c r="H3784" s="3" t="s">
        <v>2298</v>
      </c>
      <c r="I3784" s="11">
        <v>112.232</v>
      </c>
      <c r="J3784" s="18">
        <v>4</v>
      </c>
      <c r="K3784" s="12">
        <v>-8.1096000000000004</v>
      </c>
    </row>
    <row r="3785" spans="1:11" x14ac:dyDescent="0.25">
      <c r="A3785" s="4">
        <v>44015</v>
      </c>
      <c r="B3785" s="19">
        <f t="shared" si="118"/>
        <v>2020</v>
      </c>
      <c r="C3785" s="19">
        <f t="shared" si="119"/>
        <v>7</v>
      </c>
      <c r="D3785" s="5" t="s">
        <v>1905</v>
      </c>
      <c r="E3785" s="5" t="s">
        <v>18</v>
      </c>
      <c r="F3785" s="5" t="s">
        <v>19</v>
      </c>
      <c r="G3785" s="5" t="s">
        <v>20</v>
      </c>
      <c r="H3785" s="5" t="s">
        <v>506</v>
      </c>
      <c r="I3785" s="13">
        <v>100.92</v>
      </c>
      <c r="J3785" s="19">
        <v>4</v>
      </c>
      <c r="K3785" s="14">
        <v>0.87919999999999998</v>
      </c>
    </row>
    <row r="3786" spans="1:11" x14ac:dyDescent="0.25">
      <c r="A3786" s="2">
        <v>44015</v>
      </c>
      <c r="B3786" s="18">
        <f t="shared" si="118"/>
        <v>2020</v>
      </c>
      <c r="C3786" s="18">
        <f t="shared" si="119"/>
        <v>7</v>
      </c>
      <c r="D3786" s="3" t="s">
        <v>1642</v>
      </c>
      <c r="E3786" s="3" t="s">
        <v>104</v>
      </c>
      <c r="F3786" s="3" t="s">
        <v>11</v>
      </c>
      <c r="G3786" s="3" t="s">
        <v>51</v>
      </c>
      <c r="H3786" s="3" t="s">
        <v>2223</v>
      </c>
      <c r="I3786" s="11">
        <v>150.30000000000001</v>
      </c>
      <c r="J3786" s="18">
        <v>1</v>
      </c>
      <c r="K3786" s="12">
        <v>26.597999999999999</v>
      </c>
    </row>
    <row r="3787" spans="1:11" x14ac:dyDescent="0.25">
      <c r="A3787" s="4">
        <v>44015</v>
      </c>
      <c r="B3787" s="19">
        <f t="shared" si="118"/>
        <v>2020</v>
      </c>
      <c r="C3787" s="19">
        <f t="shared" si="119"/>
        <v>7</v>
      </c>
      <c r="D3787" s="5" t="s">
        <v>1864</v>
      </c>
      <c r="E3787" s="5" t="s">
        <v>18</v>
      </c>
      <c r="F3787" s="5" t="s">
        <v>11</v>
      </c>
      <c r="G3787" s="5" t="s">
        <v>51</v>
      </c>
      <c r="H3787" s="5" t="s">
        <v>2074</v>
      </c>
      <c r="I3787" s="13">
        <v>172.39</v>
      </c>
      <c r="J3787" s="19">
        <v>3</v>
      </c>
      <c r="K3787" s="14">
        <v>54.343800000000002</v>
      </c>
    </row>
    <row r="3788" spans="1:11" x14ac:dyDescent="0.25">
      <c r="A3788" s="2">
        <v>44015</v>
      </c>
      <c r="B3788" s="18">
        <f t="shared" si="118"/>
        <v>2020</v>
      </c>
      <c r="C3788" s="18">
        <f t="shared" si="119"/>
        <v>7</v>
      </c>
      <c r="D3788" s="3" t="s">
        <v>1905</v>
      </c>
      <c r="E3788" s="3" t="s">
        <v>23</v>
      </c>
      <c r="F3788" s="3" t="s">
        <v>14</v>
      </c>
      <c r="G3788" s="3" t="s">
        <v>15</v>
      </c>
      <c r="H3788" s="3" t="s">
        <v>65</v>
      </c>
      <c r="I3788" s="11">
        <v>186.96799999999999</v>
      </c>
      <c r="J3788" s="18">
        <v>4</v>
      </c>
      <c r="K3788" s="12">
        <v>62.988</v>
      </c>
    </row>
    <row r="3789" spans="1:11" x14ac:dyDescent="0.25">
      <c r="A3789" s="4">
        <v>44015</v>
      </c>
      <c r="B3789" s="19">
        <f t="shared" si="118"/>
        <v>2020</v>
      </c>
      <c r="C3789" s="19">
        <f t="shared" si="119"/>
        <v>7</v>
      </c>
      <c r="D3789" s="5" t="s">
        <v>1464</v>
      </c>
      <c r="E3789" s="5" t="s">
        <v>67</v>
      </c>
      <c r="F3789" s="5" t="s">
        <v>11</v>
      </c>
      <c r="G3789" s="5" t="s">
        <v>30</v>
      </c>
      <c r="H3789" s="5" t="s">
        <v>2359</v>
      </c>
      <c r="I3789" s="13">
        <v>236.148</v>
      </c>
      <c r="J3789" s="19">
        <v>2</v>
      </c>
      <c r="K3789" s="14">
        <v>-103.98820000000001</v>
      </c>
    </row>
    <row r="3790" spans="1:11" x14ac:dyDescent="0.25">
      <c r="A3790" s="2">
        <v>44015</v>
      </c>
      <c r="B3790" s="18">
        <f t="shared" si="118"/>
        <v>2020</v>
      </c>
      <c r="C3790" s="18">
        <f t="shared" si="119"/>
        <v>7</v>
      </c>
      <c r="D3790" s="3" t="s">
        <v>1604</v>
      </c>
      <c r="E3790" s="3" t="s">
        <v>23</v>
      </c>
      <c r="F3790" s="3" t="s">
        <v>19</v>
      </c>
      <c r="G3790" s="3" t="s">
        <v>53</v>
      </c>
      <c r="H3790" s="3" t="s">
        <v>1681</v>
      </c>
      <c r="I3790" s="11">
        <v>297.89600000000002</v>
      </c>
      <c r="J3790" s="18">
        <v>7</v>
      </c>
      <c r="K3790" s="12">
        <v>92.439899999999994</v>
      </c>
    </row>
    <row r="3791" spans="1:11" x14ac:dyDescent="0.25">
      <c r="A3791" s="4">
        <v>44015</v>
      </c>
      <c r="B3791" s="19">
        <f t="shared" si="118"/>
        <v>2020</v>
      </c>
      <c r="C3791" s="19">
        <f t="shared" si="119"/>
        <v>7</v>
      </c>
      <c r="D3791" s="5" t="s">
        <v>1008</v>
      </c>
      <c r="E3791" s="5" t="s">
        <v>370</v>
      </c>
      <c r="F3791" s="5" t="s">
        <v>14</v>
      </c>
      <c r="G3791" s="5" t="s">
        <v>24</v>
      </c>
      <c r="H3791" s="5" t="s">
        <v>2252</v>
      </c>
      <c r="I3791" s="13">
        <v>308.89999999999998</v>
      </c>
      <c r="J3791" s="19">
        <v>10</v>
      </c>
      <c r="K3791" s="14">
        <v>93.203999999999994</v>
      </c>
    </row>
    <row r="3792" spans="1:11" x14ac:dyDescent="0.25">
      <c r="A3792" s="2">
        <v>44015</v>
      </c>
      <c r="B3792" s="18">
        <f t="shared" si="118"/>
        <v>2020</v>
      </c>
      <c r="C3792" s="18">
        <f t="shared" si="119"/>
        <v>7</v>
      </c>
      <c r="D3792" s="3" t="s">
        <v>2360</v>
      </c>
      <c r="E3792" s="3" t="s">
        <v>109</v>
      </c>
      <c r="F3792" s="3" t="s">
        <v>14</v>
      </c>
      <c r="G3792" s="3" t="s">
        <v>15</v>
      </c>
      <c r="H3792" s="3" t="s">
        <v>311</v>
      </c>
      <c r="I3792" s="11">
        <v>323.97000000000003</v>
      </c>
      <c r="J3792" s="18">
        <v>3</v>
      </c>
      <c r="K3792" s="12">
        <v>77.751900000000006</v>
      </c>
    </row>
    <row r="3793" spans="1:11" x14ac:dyDescent="0.25">
      <c r="A3793" s="4">
        <v>44015</v>
      </c>
      <c r="B3793" s="19">
        <f t="shared" si="118"/>
        <v>2020</v>
      </c>
      <c r="C3793" s="19">
        <f t="shared" si="119"/>
        <v>7</v>
      </c>
      <c r="D3793" s="5" t="s">
        <v>221</v>
      </c>
      <c r="E3793" s="5" t="s">
        <v>1868</v>
      </c>
      <c r="F3793" s="5" t="s">
        <v>11</v>
      </c>
      <c r="G3793" s="5" t="s">
        <v>51</v>
      </c>
      <c r="H3793" s="5" t="s">
        <v>2361</v>
      </c>
      <c r="I3793" s="13">
        <v>592.85</v>
      </c>
      <c r="J3793" s="19">
        <v>9</v>
      </c>
      <c r="K3793" s="14">
        <v>114.6285</v>
      </c>
    </row>
    <row r="3794" spans="1:11" x14ac:dyDescent="0.25">
      <c r="A3794" s="2">
        <v>44015</v>
      </c>
      <c r="B3794" s="18">
        <f t="shared" si="118"/>
        <v>2020</v>
      </c>
      <c r="C3794" s="18">
        <f t="shared" si="119"/>
        <v>7</v>
      </c>
      <c r="D3794" s="3" t="s">
        <v>1604</v>
      </c>
      <c r="E3794" s="3" t="s">
        <v>23</v>
      </c>
      <c r="F3794" s="3" t="s">
        <v>14</v>
      </c>
      <c r="G3794" s="3" t="s">
        <v>188</v>
      </c>
      <c r="H3794" s="3" t="s">
        <v>2362</v>
      </c>
      <c r="I3794" s="11">
        <v>607.13199999999995</v>
      </c>
      <c r="J3794" s="18">
        <v>3</v>
      </c>
      <c r="K3794" s="12">
        <v>49.761000000000003</v>
      </c>
    </row>
    <row r="3795" spans="1:11" x14ac:dyDescent="0.25">
      <c r="A3795" s="4">
        <v>44015</v>
      </c>
      <c r="B3795" s="19">
        <f t="shared" si="118"/>
        <v>2020</v>
      </c>
      <c r="C3795" s="19">
        <f t="shared" si="119"/>
        <v>7</v>
      </c>
      <c r="D3795" s="5" t="s">
        <v>2363</v>
      </c>
      <c r="E3795" s="5" t="s">
        <v>70</v>
      </c>
      <c r="F3795" s="5" t="s">
        <v>14</v>
      </c>
      <c r="G3795" s="5" t="s">
        <v>24</v>
      </c>
      <c r="H3795" s="5" t="s">
        <v>1471</v>
      </c>
      <c r="I3795" s="13">
        <v>1729.8</v>
      </c>
      <c r="J3795" s="19">
        <v>4</v>
      </c>
      <c r="K3795" s="14">
        <v>742.63199999999995</v>
      </c>
    </row>
    <row r="3796" spans="1:11" x14ac:dyDescent="0.25">
      <c r="A3796" s="2">
        <v>44015</v>
      </c>
      <c r="B3796" s="18">
        <f t="shared" si="118"/>
        <v>2020</v>
      </c>
      <c r="C3796" s="18">
        <f t="shared" si="119"/>
        <v>7</v>
      </c>
      <c r="D3796" s="3" t="s">
        <v>2363</v>
      </c>
      <c r="E3796" s="3" t="s">
        <v>70</v>
      </c>
      <c r="F3796" s="3" t="s">
        <v>14</v>
      </c>
      <c r="G3796" s="3" t="s">
        <v>188</v>
      </c>
      <c r="H3796" s="3" t="s">
        <v>424</v>
      </c>
      <c r="I3796" s="11">
        <v>2443.1999999999998</v>
      </c>
      <c r="J3796" s="18">
        <v>6</v>
      </c>
      <c r="K3796" s="12">
        <v>209.58</v>
      </c>
    </row>
    <row r="3797" spans="1:11" x14ac:dyDescent="0.25">
      <c r="A3797" s="4">
        <v>44015</v>
      </c>
      <c r="B3797" s="19">
        <f t="shared" si="118"/>
        <v>2020</v>
      </c>
      <c r="C3797" s="19">
        <f t="shared" si="119"/>
        <v>7</v>
      </c>
      <c r="D3797" s="5" t="s">
        <v>2237</v>
      </c>
      <c r="E3797" s="5" t="s">
        <v>35</v>
      </c>
      <c r="F3797" s="5" t="s">
        <v>19</v>
      </c>
      <c r="G3797" s="5" t="s">
        <v>40</v>
      </c>
      <c r="H3797" s="5" t="s">
        <v>816</v>
      </c>
      <c r="I3797" s="13">
        <v>78.552000000000007</v>
      </c>
      <c r="J3797" s="19">
        <v>3</v>
      </c>
      <c r="K3797" s="14">
        <v>1.5522</v>
      </c>
    </row>
    <row r="3798" spans="1:11" x14ac:dyDescent="0.25">
      <c r="A3798" s="2">
        <v>44015</v>
      </c>
      <c r="B3798" s="18">
        <f t="shared" si="118"/>
        <v>2020</v>
      </c>
      <c r="C3798" s="18">
        <f t="shared" si="119"/>
        <v>7</v>
      </c>
      <c r="D3798" s="3" t="s">
        <v>2363</v>
      </c>
      <c r="E3798" s="3" t="s">
        <v>70</v>
      </c>
      <c r="F3798" s="3" t="s">
        <v>14</v>
      </c>
      <c r="G3798" s="3" t="s">
        <v>15</v>
      </c>
      <c r="H3798" s="3" t="s">
        <v>2364</v>
      </c>
      <c r="I3798" s="11">
        <v>111.992</v>
      </c>
      <c r="J3798" s="18">
        <v>1</v>
      </c>
      <c r="K3798" s="12">
        <v>2.6972999999999998</v>
      </c>
    </row>
    <row r="3799" spans="1:11" x14ac:dyDescent="0.25">
      <c r="A3799" s="4">
        <v>44015</v>
      </c>
      <c r="B3799" s="19">
        <f t="shared" si="118"/>
        <v>2020</v>
      </c>
      <c r="C3799" s="19">
        <f t="shared" si="119"/>
        <v>7</v>
      </c>
      <c r="D3799" s="5" t="s">
        <v>1464</v>
      </c>
      <c r="E3799" s="5" t="s">
        <v>67</v>
      </c>
      <c r="F3799" s="5" t="s">
        <v>19</v>
      </c>
      <c r="G3799" s="5" t="s">
        <v>53</v>
      </c>
      <c r="H3799" s="5" t="s">
        <v>2365</v>
      </c>
      <c r="I3799" s="13">
        <v>132.89599999999999</v>
      </c>
      <c r="J3799" s="19">
        <v>4</v>
      </c>
      <c r="K3799" s="14">
        <v>11.102399999999999</v>
      </c>
    </row>
    <row r="3800" spans="1:11" x14ac:dyDescent="0.25">
      <c r="A3800" s="2">
        <v>44015</v>
      </c>
      <c r="B3800" s="18">
        <f t="shared" si="118"/>
        <v>2020</v>
      </c>
      <c r="C3800" s="18">
        <f t="shared" si="119"/>
        <v>7</v>
      </c>
      <c r="D3800" s="3" t="s">
        <v>1008</v>
      </c>
      <c r="E3800" s="3" t="s">
        <v>370</v>
      </c>
      <c r="F3800" s="3" t="s">
        <v>19</v>
      </c>
      <c r="G3800" s="3" t="s">
        <v>53</v>
      </c>
      <c r="H3800" s="3" t="s">
        <v>730</v>
      </c>
      <c r="I3800" s="11">
        <v>113.56</v>
      </c>
      <c r="J3800" s="18">
        <v>2</v>
      </c>
      <c r="K3800" s="12">
        <v>11.543200000000001</v>
      </c>
    </row>
    <row r="3801" spans="1:11" x14ac:dyDescent="0.25">
      <c r="A3801" s="4">
        <v>44015</v>
      </c>
      <c r="B3801" s="19">
        <f t="shared" si="118"/>
        <v>2020</v>
      </c>
      <c r="C3801" s="19">
        <f t="shared" si="119"/>
        <v>7</v>
      </c>
      <c r="D3801" s="5" t="s">
        <v>2360</v>
      </c>
      <c r="E3801" s="5" t="s">
        <v>109</v>
      </c>
      <c r="F3801" s="5" t="s">
        <v>11</v>
      </c>
      <c r="G3801" s="5" t="s">
        <v>51</v>
      </c>
      <c r="H3801" s="5" t="s">
        <v>2160</v>
      </c>
      <c r="I3801" s="13">
        <v>124.99</v>
      </c>
      <c r="J3801" s="19">
        <v>1</v>
      </c>
      <c r="K3801" s="14">
        <v>5.5176999999999996</v>
      </c>
    </row>
    <row r="3802" spans="1:11" x14ac:dyDescent="0.25">
      <c r="A3802" s="2">
        <v>44015</v>
      </c>
      <c r="B3802" s="18">
        <f t="shared" si="118"/>
        <v>2020</v>
      </c>
      <c r="C3802" s="18">
        <f t="shared" si="119"/>
        <v>7</v>
      </c>
      <c r="D3802" s="3" t="s">
        <v>2366</v>
      </c>
      <c r="E3802" s="3" t="s">
        <v>35</v>
      </c>
      <c r="F3802" s="3" t="s">
        <v>14</v>
      </c>
      <c r="G3802" s="3" t="s">
        <v>24</v>
      </c>
      <c r="H3802" s="3" t="s">
        <v>1070</v>
      </c>
      <c r="I3802" s="11">
        <v>152</v>
      </c>
      <c r="J3802" s="18">
        <v>2</v>
      </c>
      <c r="K3802" s="12">
        <v>-2.7</v>
      </c>
    </row>
    <row r="3803" spans="1:11" x14ac:dyDescent="0.25">
      <c r="A3803" s="4">
        <v>44015</v>
      </c>
      <c r="B3803" s="19">
        <f t="shared" si="118"/>
        <v>2020</v>
      </c>
      <c r="C3803" s="19">
        <f t="shared" si="119"/>
        <v>7</v>
      </c>
      <c r="D3803" s="5" t="s">
        <v>1464</v>
      </c>
      <c r="E3803" s="5" t="s">
        <v>67</v>
      </c>
      <c r="F3803" s="5" t="s">
        <v>19</v>
      </c>
      <c r="G3803" s="5" t="s">
        <v>53</v>
      </c>
      <c r="H3803" s="5" t="s">
        <v>1443</v>
      </c>
      <c r="I3803" s="13">
        <v>138.96</v>
      </c>
      <c r="J3803" s="19">
        <v>6</v>
      </c>
      <c r="K3803" s="14">
        <v>11.223000000000001</v>
      </c>
    </row>
    <row r="3804" spans="1:11" x14ac:dyDescent="0.25">
      <c r="A3804" s="2">
        <v>44015</v>
      </c>
      <c r="B3804" s="18">
        <f t="shared" si="118"/>
        <v>2020</v>
      </c>
      <c r="C3804" s="18">
        <f t="shared" si="119"/>
        <v>7</v>
      </c>
      <c r="D3804" s="3" t="s">
        <v>2363</v>
      </c>
      <c r="E3804" s="3" t="s">
        <v>70</v>
      </c>
      <c r="F3804" s="3" t="s">
        <v>14</v>
      </c>
      <c r="G3804" s="3" t="s">
        <v>24</v>
      </c>
      <c r="H3804" s="3" t="s">
        <v>106</v>
      </c>
      <c r="I3804" s="11">
        <v>144.97999999999999</v>
      </c>
      <c r="J3804" s="18">
        <v>2</v>
      </c>
      <c r="K3804" s="12">
        <v>26.391200000000001</v>
      </c>
    </row>
    <row r="3805" spans="1:11" x14ac:dyDescent="0.25">
      <c r="A3805" s="4">
        <v>44017</v>
      </c>
      <c r="B3805" s="19">
        <f t="shared" si="118"/>
        <v>2020</v>
      </c>
      <c r="C3805" s="19">
        <f t="shared" si="119"/>
        <v>7</v>
      </c>
      <c r="D3805" s="5" t="s">
        <v>1240</v>
      </c>
      <c r="E3805" s="5" t="s">
        <v>23</v>
      </c>
      <c r="F3805" s="5" t="s">
        <v>11</v>
      </c>
      <c r="G3805" s="5" t="s">
        <v>51</v>
      </c>
      <c r="H3805" s="5" t="s">
        <v>193</v>
      </c>
      <c r="I3805" s="13">
        <v>353.02800000000002</v>
      </c>
      <c r="J3805" s="19">
        <v>9</v>
      </c>
      <c r="K3805" s="14">
        <v>-348.62939999999998</v>
      </c>
    </row>
    <row r="3806" spans="1:11" x14ac:dyDescent="0.25">
      <c r="A3806" s="2">
        <v>44017</v>
      </c>
      <c r="B3806" s="18">
        <f t="shared" si="118"/>
        <v>2020</v>
      </c>
      <c r="C3806" s="18">
        <f t="shared" si="119"/>
        <v>7</v>
      </c>
      <c r="D3806" s="3" t="s">
        <v>1240</v>
      </c>
      <c r="E3806" s="3" t="s">
        <v>23</v>
      </c>
      <c r="F3806" s="3" t="s">
        <v>19</v>
      </c>
      <c r="G3806" s="3" t="s">
        <v>32</v>
      </c>
      <c r="H3806" s="3" t="s">
        <v>2231</v>
      </c>
      <c r="I3806" s="11">
        <v>78.316000000000003</v>
      </c>
      <c r="J3806" s="18">
        <v>1</v>
      </c>
      <c r="K3806" s="12">
        <v>-10.4214</v>
      </c>
    </row>
    <row r="3807" spans="1:11" x14ac:dyDescent="0.25">
      <c r="A3807" s="4">
        <v>44017</v>
      </c>
      <c r="B3807" s="19">
        <f t="shared" si="118"/>
        <v>2020</v>
      </c>
      <c r="C3807" s="19">
        <f t="shared" si="119"/>
        <v>7</v>
      </c>
      <c r="D3807" s="5" t="s">
        <v>1240</v>
      </c>
      <c r="E3807" s="5" t="s">
        <v>23</v>
      </c>
      <c r="F3807" s="5" t="s">
        <v>19</v>
      </c>
      <c r="G3807" s="5" t="s">
        <v>32</v>
      </c>
      <c r="H3807" s="5" t="s">
        <v>888</v>
      </c>
      <c r="I3807" s="13">
        <v>117.39400000000001</v>
      </c>
      <c r="J3807" s="19">
        <v>9</v>
      </c>
      <c r="K3807" s="14">
        <v>-17.660699999999999</v>
      </c>
    </row>
    <row r="3808" spans="1:11" x14ac:dyDescent="0.25">
      <c r="A3808" s="2">
        <v>44017</v>
      </c>
      <c r="B3808" s="18">
        <f t="shared" si="118"/>
        <v>2020</v>
      </c>
      <c r="C3808" s="18">
        <f t="shared" si="119"/>
        <v>7</v>
      </c>
      <c r="D3808" s="3" t="s">
        <v>1240</v>
      </c>
      <c r="E3808" s="3" t="s">
        <v>23</v>
      </c>
      <c r="F3808" s="3" t="s">
        <v>19</v>
      </c>
      <c r="G3808" s="3" t="s">
        <v>53</v>
      </c>
      <c r="H3808" s="3" t="s">
        <v>1046</v>
      </c>
      <c r="I3808" s="11">
        <v>96.552000000000007</v>
      </c>
      <c r="J3808" s="18">
        <v>3</v>
      </c>
      <c r="K3808" s="12">
        <v>5.6375999999999999</v>
      </c>
    </row>
    <row r="3809" spans="1:11" x14ac:dyDescent="0.25">
      <c r="A3809" s="4">
        <v>44017</v>
      </c>
      <c r="B3809" s="19">
        <f t="shared" si="118"/>
        <v>2020</v>
      </c>
      <c r="C3809" s="19">
        <f t="shared" si="119"/>
        <v>7</v>
      </c>
      <c r="D3809" s="5" t="s">
        <v>1240</v>
      </c>
      <c r="E3809" s="5" t="s">
        <v>23</v>
      </c>
      <c r="F3809" s="5" t="s">
        <v>19</v>
      </c>
      <c r="G3809" s="5" t="s">
        <v>53</v>
      </c>
      <c r="H3809" s="5" t="s">
        <v>1572</v>
      </c>
      <c r="I3809" s="13">
        <v>125.104</v>
      </c>
      <c r="J3809" s="19">
        <v>6</v>
      </c>
      <c r="K3809" s="14">
        <v>11.2752</v>
      </c>
    </row>
    <row r="3810" spans="1:11" x14ac:dyDescent="0.25">
      <c r="A3810" s="2">
        <v>44017</v>
      </c>
      <c r="B3810" s="18">
        <f t="shared" si="118"/>
        <v>2020</v>
      </c>
      <c r="C3810" s="18">
        <f t="shared" si="119"/>
        <v>7</v>
      </c>
      <c r="D3810" s="3" t="s">
        <v>493</v>
      </c>
      <c r="E3810" s="3" t="s">
        <v>651</v>
      </c>
      <c r="F3810" s="3" t="s">
        <v>14</v>
      </c>
      <c r="G3810" s="3" t="s">
        <v>15</v>
      </c>
      <c r="H3810" s="3" t="s">
        <v>967</v>
      </c>
      <c r="I3810" s="11">
        <v>156.96</v>
      </c>
      <c r="J3810" s="18">
        <v>4</v>
      </c>
      <c r="K3810" s="12">
        <v>22.3888</v>
      </c>
    </row>
    <row r="3811" spans="1:11" x14ac:dyDescent="0.25">
      <c r="A3811" s="4">
        <v>44018</v>
      </c>
      <c r="B3811" s="19">
        <f t="shared" si="118"/>
        <v>2020</v>
      </c>
      <c r="C3811" s="19">
        <f t="shared" si="119"/>
        <v>7</v>
      </c>
      <c r="D3811" s="5" t="s">
        <v>1451</v>
      </c>
      <c r="E3811" s="5" t="s">
        <v>18</v>
      </c>
      <c r="F3811" s="5" t="s">
        <v>11</v>
      </c>
      <c r="G3811" s="5" t="s">
        <v>112</v>
      </c>
      <c r="H3811" s="5" t="s">
        <v>1518</v>
      </c>
      <c r="I3811" s="13">
        <v>168.136</v>
      </c>
      <c r="J3811" s="19">
        <v>3</v>
      </c>
      <c r="K3811" s="14">
        <v>-13.7403</v>
      </c>
    </row>
    <row r="3812" spans="1:11" x14ac:dyDescent="0.25">
      <c r="A3812" s="2">
        <v>44018</v>
      </c>
      <c r="B3812" s="18">
        <f t="shared" si="118"/>
        <v>2020</v>
      </c>
      <c r="C3812" s="18">
        <f t="shared" si="119"/>
        <v>7</v>
      </c>
      <c r="D3812" s="3" t="s">
        <v>1570</v>
      </c>
      <c r="E3812" s="3" t="s">
        <v>44</v>
      </c>
      <c r="F3812" s="3" t="s">
        <v>11</v>
      </c>
      <c r="G3812" s="3" t="s">
        <v>112</v>
      </c>
      <c r="H3812" s="3" t="s">
        <v>2367</v>
      </c>
      <c r="I3812" s="11">
        <v>288.24</v>
      </c>
      <c r="J3812" s="18">
        <v>1</v>
      </c>
      <c r="K3812" s="12">
        <v>23.923999999999999</v>
      </c>
    </row>
    <row r="3813" spans="1:11" x14ac:dyDescent="0.25">
      <c r="A3813" s="4">
        <v>44018</v>
      </c>
      <c r="B3813" s="19">
        <f t="shared" si="118"/>
        <v>2020</v>
      </c>
      <c r="C3813" s="19">
        <f t="shared" si="119"/>
        <v>7</v>
      </c>
      <c r="D3813" s="5" t="s">
        <v>1954</v>
      </c>
      <c r="E3813" s="5" t="s">
        <v>39</v>
      </c>
      <c r="F3813" s="5" t="s">
        <v>19</v>
      </c>
      <c r="G3813" s="5" t="s">
        <v>32</v>
      </c>
      <c r="H3813" s="5" t="s">
        <v>885</v>
      </c>
      <c r="I3813" s="13">
        <v>74.945999999999998</v>
      </c>
      <c r="J3813" s="19">
        <v>2</v>
      </c>
      <c r="K3813" s="14">
        <v>-2.2585999999999999</v>
      </c>
    </row>
    <row r="3814" spans="1:11" x14ac:dyDescent="0.25">
      <c r="A3814" s="2">
        <v>44018</v>
      </c>
      <c r="B3814" s="18">
        <f t="shared" si="118"/>
        <v>2020</v>
      </c>
      <c r="C3814" s="18">
        <f t="shared" si="119"/>
        <v>7</v>
      </c>
      <c r="D3814" s="3" t="s">
        <v>1954</v>
      </c>
      <c r="E3814" s="3" t="s">
        <v>39</v>
      </c>
      <c r="F3814" s="3" t="s">
        <v>19</v>
      </c>
      <c r="G3814" s="3" t="s">
        <v>53</v>
      </c>
      <c r="H3814" s="3" t="s">
        <v>2368</v>
      </c>
      <c r="I3814" s="11">
        <v>111.056</v>
      </c>
      <c r="J3814" s="18">
        <v>3</v>
      </c>
      <c r="K3814" s="12">
        <v>5.8202999999999996</v>
      </c>
    </row>
    <row r="3815" spans="1:11" x14ac:dyDescent="0.25">
      <c r="A3815" s="4">
        <v>44019</v>
      </c>
      <c r="B3815" s="19">
        <f t="shared" si="118"/>
        <v>2020</v>
      </c>
      <c r="C3815" s="19">
        <f t="shared" si="119"/>
        <v>7</v>
      </c>
      <c r="D3815" s="5" t="s">
        <v>942</v>
      </c>
      <c r="E3815" s="5" t="s">
        <v>39</v>
      </c>
      <c r="F3815" s="5" t="s">
        <v>11</v>
      </c>
      <c r="G3815" s="5" t="s">
        <v>12</v>
      </c>
      <c r="H3815" s="5" t="s">
        <v>2329</v>
      </c>
      <c r="I3815" s="13">
        <v>124.21</v>
      </c>
      <c r="J3815" s="19">
        <v>3</v>
      </c>
      <c r="K3815" s="14">
        <v>-45.349200000000003</v>
      </c>
    </row>
    <row r="3816" spans="1:11" x14ac:dyDescent="0.25">
      <c r="A3816" s="2">
        <v>44019</v>
      </c>
      <c r="B3816" s="18">
        <f t="shared" si="118"/>
        <v>2020</v>
      </c>
      <c r="C3816" s="18">
        <f t="shared" si="119"/>
        <v>7</v>
      </c>
      <c r="D3816" s="3" t="s">
        <v>1701</v>
      </c>
      <c r="E3816" s="3" t="s">
        <v>883</v>
      </c>
      <c r="F3816" s="3" t="s">
        <v>14</v>
      </c>
      <c r="G3816" s="3" t="s">
        <v>24</v>
      </c>
      <c r="H3816" s="3" t="s">
        <v>2054</v>
      </c>
      <c r="I3816" s="11">
        <v>262</v>
      </c>
      <c r="J3816" s="18">
        <v>4</v>
      </c>
      <c r="K3816" s="12">
        <v>93.24</v>
      </c>
    </row>
    <row r="3817" spans="1:11" x14ac:dyDescent="0.25">
      <c r="A3817" s="4">
        <v>44019</v>
      </c>
      <c r="B3817" s="19">
        <f t="shared" si="118"/>
        <v>2020</v>
      </c>
      <c r="C3817" s="19">
        <f t="shared" si="119"/>
        <v>7</v>
      </c>
      <c r="D3817" s="5" t="s">
        <v>942</v>
      </c>
      <c r="E3817" s="5" t="s">
        <v>39</v>
      </c>
      <c r="F3817" s="5" t="s">
        <v>14</v>
      </c>
      <c r="G3817" s="5" t="s">
        <v>24</v>
      </c>
      <c r="H3817" s="5" t="s">
        <v>954</v>
      </c>
      <c r="I3817" s="13">
        <v>557.91999999999996</v>
      </c>
      <c r="J3817" s="19">
        <v>2</v>
      </c>
      <c r="K3817" s="14">
        <v>85.787000000000006</v>
      </c>
    </row>
    <row r="3818" spans="1:11" x14ac:dyDescent="0.25">
      <c r="A3818" s="2">
        <v>44019</v>
      </c>
      <c r="B3818" s="18">
        <f t="shared" si="118"/>
        <v>2020</v>
      </c>
      <c r="C3818" s="18">
        <f t="shared" si="119"/>
        <v>7</v>
      </c>
      <c r="D3818" s="3" t="s">
        <v>942</v>
      </c>
      <c r="E3818" s="3" t="s">
        <v>39</v>
      </c>
      <c r="F3818" s="3" t="s">
        <v>14</v>
      </c>
      <c r="G3818" s="3" t="s">
        <v>15</v>
      </c>
      <c r="H3818" s="3" t="s">
        <v>2369</v>
      </c>
      <c r="I3818" s="11">
        <v>725.98800000000006</v>
      </c>
      <c r="J3818" s="18">
        <v>2</v>
      </c>
      <c r="K3818" s="12">
        <v>-113.998</v>
      </c>
    </row>
    <row r="3819" spans="1:11" x14ac:dyDescent="0.25">
      <c r="A3819" s="4">
        <v>44019</v>
      </c>
      <c r="B3819" s="19">
        <f t="shared" si="118"/>
        <v>2020</v>
      </c>
      <c r="C3819" s="19">
        <f t="shared" si="119"/>
        <v>7</v>
      </c>
      <c r="D3819" s="5" t="s">
        <v>942</v>
      </c>
      <c r="E3819" s="5" t="s">
        <v>39</v>
      </c>
      <c r="F3819" s="5" t="s">
        <v>19</v>
      </c>
      <c r="G3819" s="5" t="s">
        <v>20</v>
      </c>
      <c r="H3819" s="5" t="s">
        <v>2292</v>
      </c>
      <c r="I3819" s="13">
        <v>85.391999999999996</v>
      </c>
      <c r="J3819" s="19">
        <v>3</v>
      </c>
      <c r="K3819" s="14">
        <v>1.0044</v>
      </c>
    </row>
    <row r="3820" spans="1:11" x14ac:dyDescent="0.25">
      <c r="A3820" s="2">
        <v>44019</v>
      </c>
      <c r="B3820" s="18">
        <f t="shared" si="118"/>
        <v>2020</v>
      </c>
      <c r="C3820" s="18">
        <f t="shared" si="119"/>
        <v>7</v>
      </c>
      <c r="D3820" s="3" t="s">
        <v>444</v>
      </c>
      <c r="E3820" s="3" t="s">
        <v>94</v>
      </c>
      <c r="F3820" s="3" t="s">
        <v>19</v>
      </c>
      <c r="G3820" s="3" t="s">
        <v>32</v>
      </c>
      <c r="H3820" s="3" t="s">
        <v>101</v>
      </c>
      <c r="I3820" s="11">
        <v>129.47200000000001</v>
      </c>
      <c r="J3820" s="18">
        <v>3</v>
      </c>
      <c r="K3820" s="12">
        <v>6.3335999999999997</v>
      </c>
    </row>
    <row r="3821" spans="1:11" x14ac:dyDescent="0.25">
      <c r="A3821" s="4">
        <v>44019</v>
      </c>
      <c r="B3821" s="19">
        <f t="shared" si="118"/>
        <v>2020</v>
      </c>
      <c r="C3821" s="19">
        <f t="shared" si="119"/>
        <v>7</v>
      </c>
      <c r="D3821" s="5" t="s">
        <v>966</v>
      </c>
      <c r="E3821" s="5" t="s">
        <v>18</v>
      </c>
      <c r="F3821" s="5" t="s">
        <v>19</v>
      </c>
      <c r="G3821" s="5" t="s">
        <v>116</v>
      </c>
      <c r="H3821" s="5" t="s">
        <v>1169</v>
      </c>
      <c r="I3821" s="13">
        <v>130.94</v>
      </c>
      <c r="J3821" s="19">
        <v>3</v>
      </c>
      <c r="K3821" s="14">
        <v>0.1188</v>
      </c>
    </row>
    <row r="3822" spans="1:11" x14ac:dyDescent="0.25">
      <c r="A3822" s="2">
        <v>44019</v>
      </c>
      <c r="B3822" s="18">
        <f t="shared" si="118"/>
        <v>2020</v>
      </c>
      <c r="C3822" s="18">
        <f t="shared" si="119"/>
        <v>7</v>
      </c>
      <c r="D3822" s="3" t="s">
        <v>942</v>
      </c>
      <c r="E3822" s="3" t="s">
        <v>39</v>
      </c>
      <c r="F3822" s="3" t="s">
        <v>19</v>
      </c>
      <c r="G3822" s="3" t="s">
        <v>53</v>
      </c>
      <c r="H3822" s="3" t="s">
        <v>1271</v>
      </c>
      <c r="I3822" s="11">
        <v>138.55199999999999</v>
      </c>
      <c r="J3822" s="18">
        <v>3</v>
      </c>
      <c r="K3822" s="12">
        <v>5.4432</v>
      </c>
    </row>
    <row r="3823" spans="1:11" x14ac:dyDescent="0.25">
      <c r="A3823" s="4">
        <v>44019</v>
      </c>
      <c r="B3823" s="19">
        <f t="shared" si="118"/>
        <v>2020</v>
      </c>
      <c r="C3823" s="19">
        <f t="shared" si="119"/>
        <v>7</v>
      </c>
      <c r="D3823" s="5" t="s">
        <v>942</v>
      </c>
      <c r="E3823" s="5" t="s">
        <v>39</v>
      </c>
      <c r="F3823" s="5" t="s">
        <v>14</v>
      </c>
      <c r="G3823" s="5" t="s">
        <v>24</v>
      </c>
      <c r="H3823" s="5" t="s">
        <v>1131</v>
      </c>
      <c r="I3823" s="13">
        <v>114.776</v>
      </c>
      <c r="J3823" s="19">
        <v>3</v>
      </c>
      <c r="K3823" s="14">
        <v>4.8231000000000002</v>
      </c>
    </row>
    <row r="3824" spans="1:11" x14ac:dyDescent="0.25">
      <c r="A3824" s="2">
        <v>44020</v>
      </c>
      <c r="B3824" s="18">
        <f t="shared" si="118"/>
        <v>2020</v>
      </c>
      <c r="C3824" s="18">
        <f t="shared" si="119"/>
        <v>7</v>
      </c>
      <c r="D3824" s="3" t="s">
        <v>1333</v>
      </c>
      <c r="E3824" s="3" t="s">
        <v>18</v>
      </c>
      <c r="F3824" s="3" t="s">
        <v>19</v>
      </c>
      <c r="G3824" s="3" t="s">
        <v>127</v>
      </c>
      <c r="H3824" s="3" t="s">
        <v>2370</v>
      </c>
      <c r="I3824" s="11">
        <v>104.18</v>
      </c>
      <c r="J3824" s="18">
        <v>6</v>
      </c>
      <c r="K3824" s="12">
        <v>35.334600000000002</v>
      </c>
    </row>
    <row r="3825" spans="1:11" x14ac:dyDescent="0.25">
      <c r="A3825" s="4">
        <v>44020</v>
      </c>
      <c r="B3825" s="19">
        <f t="shared" si="118"/>
        <v>2020</v>
      </c>
      <c r="C3825" s="19">
        <f t="shared" si="119"/>
        <v>7</v>
      </c>
      <c r="D3825" s="5" t="s">
        <v>163</v>
      </c>
      <c r="E3825" s="5" t="s">
        <v>309</v>
      </c>
      <c r="F3825" s="5" t="s">
        <v>11</v>
      </c>
      <c r="G3825" s="5" t="s">
        <v>51</v>
      </c>
      <c r="H3825" s="5" t="s">
        <v>929</v>
      </c>
      <c r="I3825" s="13">
        <v>108.92</v>
      </c>
      <c r="J3825" s="19">
        <v>4</v>
      </c>
      <c r="K3825" s="14">
        <v>5.8743999999999996</v>
      </c>
    </row>
    <row r="3826" spans="1:11" x14ac:dyDescent="0.25">
      <c r="A3826" s="2">
        <v>44020</v>
      </c>
      <c r="B3826" s="18">
        <f t="shared" si="118"/>
        <v>2020</v>
      </c>
      <c r="C3826" s="18">
        <f t="shared" si="119"/>
        <v>7</v>
      </c>
      <c r="D3826" s="3" t="s">
        <v>2305</v>
      </c>
      <c r="E3826" s="3" t="s">
        <v>70</v>
      </c>
      <c r="F3826" s="3" t="s">
        <v>19</v>
      </c>
      <c r="G3826" s="3" t="s">
        <v>32</v>
      </c>
      <c r="H3826" s="3" t="s">
        <v>1817</v>
      </c>
      <c r="I3826" s="11">
        <v>122.376</v>
      </c>
      <c r="J3826" s="18">
        <v>3</v>
      </c>
      <c r="K3826" s="12">
        <v>30.2316</v>
      </c>
    </row>
    <row r="3827" spans="1:11" x14ac:dyDescent="0.25">
      <c r="A3827" s="4">
        <v>44020</v>
      </c>
      <c r="B3827" s="19">
        <f t="shared" si="118"/>
        <v>2020</v>
      </c>
      <c r="C3827" s="19">
        <f t="shared" si="119"/>
        <v>7</v>
      </c>
      <c r="D3827" s="5" t="s">
        <v>1464</v>
      </c>
      <c r="E3827" s="5" t="s">
        <v>18</v>
      </c>
      <c r="F3827" s="5" t="s">
        <v>11</v>
      </c>
      <c r="G3827" s="5" t="s">
        <v>51</v>
      </c>
      <c r="H3827" s="5" t="s">
        <v>2371</v>
      </c>
      <c r="I3827" s="13">
        <v>166.9</v>
      </c>
      <c r="J3827" s="19">
        <v>5</v>
      </c>
      <c r="K3827" s="14">
        <v>62.737000000000002</v>
      </c>
    </row>
    <row r="3828" spans="1:11" x14ac:dyDescent="0.25">
      <c r="A3828" s="2">
        <v>44020</v>
      </c>
      <c r="B3828" s="18">
        <f t="shared" si="118"/>
        <v>2020</v>
      </c>
      <c r="C3828" s="18">
        <f t="shared" si="119"/>
        <v>7</v>
      </c>
      <c r="D3828" s="3" t="s">
        <v>163</v>
      </c>
      <c r="E3828" s="3" t="s">
        <v>309</v>
      </c>
      <c r="F3828" s="3" t="s">
        <v>14</v>
      </c>
      <c r="G3828" s="3" t="s">
        <v>24</v>
      </c>
      <c r="H3828" s="3" t="s">
        <v>1719</v>
      </c>
      <c r="I3828" s="11">
        <v>189.9</v>
      </c>
      <c r="J3828" s="18">
        <v>5</v>
      </c>
      <c r="K3828" s="12">
        <v>58.179000000000002</v>
      </c>
    </row>
    <row r="3829" spans="1:11" x14ac:dyDescent="0.25">
      <c r="A3829" s="4">
        <v>44020</v>
      </c>
      <c r="B3829" s="19">
        <f t="shared" si="118"/>
        <v>2020</v>
      </c>
      <c r="C3829" s="19">
        <f t="shared" si="119"/>
        <v>7</v>
      </c>
      <c r="D3829" s="5" t="s">
        <v>163</v>
      </c>
      <c r="E3829" s="5" t="s">
        <v>309</v>
      </c>
      <c r="F3829" s="5" t="s">
        <v>19</v>
      </c>
      <c r="G3829" s="5" t="s">
        <v>40</v>
      </c>
      <c r="H3829" s="5" t="s">
        <v>2085</v>
      </c>
      <c r="I3829" s="13">
        <v>201.95</v>
      </c>
      <c r="J3829" s="19">
        <v>5</v>
      </c>
      <c r="K3829" s="14">
        <v>45.487000000000002</v>
      </c>
    </row>
    <row r="3830" spans="1:11" x14ac:dyDescent="0.25">
      <c r="A3830" s="2">
        <v>44020</v>
      </c>
      <c r="B3830" s="18">
        <f t="shared" si="118"/>
        <v>2020</v>
      </c>
      <c r="C3830" s="18">
        <f t="shared" si="119"/>
        <v>7</v>
      </c>
      <c r="D3830" s="3" t="s">
        <v>2372</v>
      </c>
      <c r="E3830" s="3" t="s">
        <v>70</v>
      </c>
      <c r="F3830" s="3" t="s">
        <v>11</v>
      </c>
      <c r="G3830" s="3" t="s">
        <v>51</v>
      </c>
      <c r="H3830" s="3" t="s">
        <v>834</v>
      </c>
      <c r="I3830" s="11">
        <v>233.46</v>
      </c>
      <c r="J3830" s="18">
        <v>2</v>
      </c>
      <c r="K3830" s="12">
        <v>99.23</v>
      </c>
    </row>
    <row r="3831" spans="1:11" x14ac:dyDescent="0.25">
      <c r="A3831" s="4">
        <v>44020</v>
      </c>
      <c r="B3831" s="19">
        <f t="shared" si="118"/>
        <v>2020</v>
      </c>
      <c r="C3831" s="19">
        <f t="shared" si="119"/>
        <v>7</v>
      </c>
      <c r="D3831" s="5" t="s">
        <v>2372</v>
      </c>
      <c r="E3831" s="5" t="s">
        <v>70</v>
      </c>
      <c r="F3831" s="5" t="s">
        <v>19</v>
      </c>
      <c r="G3831" s="5" t="s">
        <v>127</v>
      </c>
      <c r="H3831" s="5" t="s">
        <v>1792</v>
      </c>
      <c r="I3831" s="13">
        <v>799.48</v>
      </c>
      <c r="J3831" s="19">
        <v>8</v>
      </c>
      <c r="K3831" s="14">
        <v>385.37520000000001</v>
      </c>
    </row>
    <row r="3832" spans="1:11" x14ac:dyDescent="0.25">
      <c r="A3832" s="2">
        <v>44020</v>
      </c>
      <c r="B3832" s="18">
        <f t="shared" si="118"/>
        <v>2020</v>
      </c>
      <c r="C3832" s="18">
        <f t="shared" si="119"/>
        <v>7</v>
      </c>
      <c r="D3832" s="3" t="s">
        <v>2305</v>
      </c>
      <c r="E3832" s="3" t="s">
        <v>70</v>
      </c>
      <c r="F3832" s="3" t="s">
        <v>11</v>
      </c>
      <c r="G3832" s="3" t="s">
        <v>51</v>
      </c>
      <c r="H3832" s="3" t="s">
        <v>2056</v>
      </c>
      <c r="I3832" s="11">
        <v>91.84</v>
      </c>
      <c r="J3832" s="18">
        <v>3</v>
      </c>
      <c r="K3832" s="12">
        <v>4.9104000000000001</v>
      </c>
    </row>
    <row r="3833" spans="1:11" x14ac:dyDescent="0.25">
      <c r="A3833" s="4">
        <v>44020</v>
      </c>
      <c r="B3833" s="19">
        <f t="shared" si="118"/>
        <v>2020</v>
      </c>
      <c r="C3833" s="19">
        <f t="shared" si="119"/>
        <v>7</v>
      </c>
      <c r="D3833" s="5" t="s">
        <v>2305</v>
      </c>
      <c r="E3833" s="5" t="s">
        <v>70</v>
      </c>
      <c r="F3833" s="5" t="s">
        <v>19</v>
      </c>
      <c r="G3833" s="5" t="s">
        <v>40</v>
      </c>
      <c r="H3833" s="5" t="s">
        <v>1469</v>
      </c>
      <c r="I3833" s="13">
        <v>117.24</v>
      </c>
      <c r="J3833" s="19">
        <v>3</v>
      </c>
      <c r="K3833" s="14">
        <v>6.2016</v>
      </c>
    </row>
    <row r="3834" spans="1:11" x14ac:dyDescent="0.25">
      <c r="A3834" s="2">
        <v>44020</v>
      </c>
      <c r="B3834" s="18">
        <f t="shared" si="118"/>
        <v>2020</v>
      </c>
      <c r="C3834" s="18">
        <f t="shared" si="119"/>
        <v>7</v>
      </c>
      <c r="D3834" s="3" t="s">
        <v>111</v>
      </c>
      <c r="E3834" s="3" t="s">
        <v>370</v>
      </c>
      <c r="F3834" s="3" t="s">
        <v>19</v>
      </c>
      <c r="G3834" s="3" t="s">
        <v>40</v>
      </c>
      <c r="H3834" s="3" t="s">
        <v>2373</v>
      </c>
      <c r="I3834" s="11">
        <v>127.56</v>
      </c>
      <c r="J3834" s="18">
        <v>3</v>
      </c>
      <c r="K3834" s="12">
        <v>3.0996000000000001</v>
      </c>
    </row>
    <row r="3835" spans="1:11" x14ac:dyDescent="0.25">
      <c r="A3835" s="4">
        <v>44020</v>
      </c>
      <c r="B3835" s="19">
        <f t="shared" si="118"/>
        <v>2020</v>
      </c>
      <c r="C3835" s="19">
        <f t="shared" si="119"/>
        <v>7</v>
      </c>
      <c r="D3835" s="5" t="s">
        <v>2305</v>
      </c>
      <c r="E3835" s="5" t="s">
        <v>70</v>
      </c>
      <c r="F3835" s="5" t="s">
        <v>19</v>
      </c>
      <c r="G3835" s="5" t="s">
        <v>40</v>
      </c>
      <c r="H3835" s="5" t="s">
        <v>2017</v>
      </c>
      <c r="I3835" s="13">
        <v>130.12</v>
      </c>
      <c r="J3835" s="19">
        <v>4</v>
      </c>
      <c r="K3835" s="14">
        <v>4.3296000000000001</v>
      </c>
    </row>
    <row r="3836" spans="1:11" x14ac:dyDescent="0.25">
      <c r="A3836" s="2">
        <v>44020</v>
      </c>
      <c r="B3836" s="18">
        <f t="shared" si="118"/>
        <v>2020</v>
      </c>
      <c r="C3836" s="18">
        <f t="shared" si="119"/>
        <v>7</v>
      </c>
      <c r="D3836" s="3" t="s">
        <v>163</v>
      </c>
      <c r="E3836" s="3" t="s">
        <v>309</v>
      </c>
      <c r="F3836" s="3" t="s">
        <v>19</v>
      </c>
      <c r="G3836" s="3" t="s">
        <v>40</v>
      </c>
      <c r="H3836" s="3" t="s">
        <v>1295</v>
      </c>
      <c r="I3836" s="11">
        <v>125.91</v>
      </c>
      <c r="J3836" s="18">
        <v>7</v>
      </c>
      <c r="K3836" s="12">
        <v>8.673</v>
      </c>
    </row>
    <row r="3837" spans="1:11" x14ac:dyDescent="0.25">
      <c r="A3837" s="4">
        <v>44020</v>
      </c>
      <c r="B3837" s="19">
        <f t="shared" si="118"/>
        <v>2020</v>
      </c>
      <c r="C3837" s="19">
        <f t="shared" si="119"/>
        <v>7</v>
      </c>
      <c r="D3837" s="5" t="s">
        <v>111</v>
      </c>
      <c r="E3837" s="5" t="s">
        <v>370</v>
      </c>
      <c r="F3837" s="5" t="s">
        <v>19</v>
      </c>
      <c r="G3837" s="5" t="s">
        <v>40</v>
      </c>
      <c r="H3837" s="5" t="s">
        <v>2301</v>
      </c>
      <c r="I3837" s="13">
        <v>118.96</v>
      </c>
      <c r="J3837" s="19">
        <v>2</v>
      </c>
      <c r="K3837" s="14">
        <v>4.1471999999999998</v>
      </c>
    </row>
    <row r="3838" spans="1:11" x14ac:dyDescent="0.25">
      <c r="A3838" s="2">
        <v>44020</v>
      </c>
      <c r="B3838" s="18">
        <f t="shared" si="118"/>
        <v>2020</v>
      </c>
      <c r="C3838" s="18">
        <f t="shared" si="119"/>
        <v>7</v>
      </c>
      <c r="D3838" s="3" t="s">
        <v>2372</v>
      </c>
      <c r="E3838" s="3" t="s">
        <v>70</v>
      </c>
      <c r="F3838" s="3" t="s">
        <v>19</v>
      </c>
      <c r="G3838" s="3" t="s">
        <v>32</v>
      </c>
      <c r="H3838" s="3" t="s">
        <v>1961</v>
      </c>
      <c r="I3838" s="11">
        <v>135.16800000000001</v>
      </c>
      <c r="J3838" s="18">
        <v>2</v>
      </c>
      <c r="K3838" s="12">
        <v>7.8192000000000004</v>
      </c>
    </row>
    <row r="3839" spans="1:11" x14ac:dyDescent="0.25">
      <c r="A3839" s="4">
        <v>44020</v>
      </c>
      <c r="B3839" s="19">
        <f t="shared" si="118"/>
        <v>2020</v>
      </c>
      <c r="C3839" s="19">
        <f t="shared" si="119"/>
        <v>7</v>
      </c>
      <c r="D3839" s="5" t="s">
        <v>111</v>
      </c>
      <c r="E3839" s="5" t="s">
        <v>370</v>
      </c>
      <c r="F3839" s="5" t="s">
        <v>19</v>
      </c>
      <c r="G3839" s="5" t="s">
        <v>53</v>
      </c>
      <c r="H3839" s="5" t="s">
        <v>172</v>
      </c>
      <c r="I3839" s="13">
        <v>131.56</v>
      </c>
      <c r="J3839" s="19">
        <v>2</v>
      </c>
      <c r="K3839" s="14">
        <v>11.543200000000001</v>
      </c>
    </row>
    <row r="3840" spans="1:11" x14ac:dyDescent="0.25">
      <c r="A3840" s="2">
        <v>44020</v>
      </c>
      <c r="B3840" s="18">
        <f t="shared" si="118"/>
        <v>2020</v>
      </c>
      <c r="C3840" s="18">
        <f t="shared" si="119"/>
        <v>7</v>
      </c>
      <c r="D3840" s="3" t="s">
        <v>163</v>
      </c>
      <c r="E3840" s="3" t="s">
        <v>309</v>
      </c>
      <c r="F3840" s="3" t="s">
        <v>11</v>
      </c>
      <c r="G3840" s="3" t="s">
        <v>51</v>
      </c>
      <c r="H3840" s="3" t="s">
        <v>2374</v>
      </c>
      <c r="I3840" s="11">
        <v>135.97999999999999</v>
      </c>
      <c r="J3840" s="18">
        <v>2</v>
      </c>
      <c r="K3840" s="12">
        <v>9.1953999999999994</v>
      </c>
    </row>
    <row r="3841" spans="1:11" x14ac:dyDescent="0.25">
      <c r="A3841" s="4">
        <v>44020</v>
      </c>
      <c r="B3841" s="19">
        <f t="shared" si="118"/>
        <v>2020</v>
      </c>
      <c r="C3841" s="19">
        <f t="shared" si="119"/>
        <v>7</v>
      </c>
      <c r="D3841" s="5" t="s">
        <v>2375</v>
      </c>
      <c r="E3841" s="5" t="s">
        <v>70</v>
      </c>
      <c r="F3841" s="5" t="s">
        <v>19</v>
      </c>
      <c r="G3841" s="5" t="s">
        <v>53</v>
      </c>
      <c r="H3841" s="5" t="s">
        <v>172</v>
      </c>
      <c r="I3841" s="13">
        <v>165.76</v>
      </c>
      <c r="J3841" s="19">
        <v>2</v>
      </c>
      <c r="K3841" s="14">
        <v>24.269600000000001</v>
      </c>
    </row>
    <row r="3842" spans="1:11" x14ac:dyDescent="0.25">
      <c r="A3842" s="2">
        <v>44020</v>
      </c>
      <c r="B3842" s="18">
        <f t="shared" ref="B3842:B3905" si="120">YEAR(A3842)</f>
        <v>2020</v>
      </c>
      <c r="C3842" s="18">
        <f t="shared" ref="C3842:C3905" si="121">MONTH(A3842)</f>
        <v>7</v>
      </c>
      <c r="D3842" s="3" t="s">
        <v>2372</v>
      </c>
      <c r="E3842" s="3" t="s">
        <v>70</v>
      </c>
      <c r="F3842" s="3" t="s">
        <v>14</v>
      </c>
      <c r="G3842" s="3" t="s">
        <v>24</v>
      </c>
      <c r="H3842" s="3" t="s">
        <v>222</v>
      </c>
      <c r="I3842" s="11">
        <v>167</v>
      </c>
      <c r="J3842" s="18">
        <v>2</v>
      </c>
      <c r="K3842" s="12">
        <v>10.5</v>
      </c>
    </row>
    <row r="3843" spans="1:11" x14ac:dyDescent="0.25">
      <c r="A3843" s="4">
        <v>44021</v>
      </c>
      <c r="B3843" s="19">
        <f t="shared" si="120"/>
        <v>2020</v>
      </c>
      <c r="C3843" s="19">
        <f t="shared" si="121"/>
        <v>7</v>
      </c>
      <c r="D3843" s="5" t="s">
        <v>1959</v>
      </c>
      <c r="E3843" s="5" t="s">
        <v>91</v>
      </c>
      <c r="F3843" s="5" t="s">
        <v>19</v>
      </c>
      <c r="G3843" s="5" t="s">
        <v>40</v>
      </c>
      <c r="H3843" s="5" t="s">
        <v>1490</v>
      </c>
      <c r="I3843" s="13">
        <v>159.04</v>
      </c>
      <c r="J3843" s="19">
        <v>6</v>
      </c>
      <c r="K3843" s="14">
        <v>48.806399999999996</v>
      </c>
    </row>
    <row r="3844" spans="1:11" x14ac:dyDescent="0.25">
      <c r="A3844" s="2">
        <v>44021</v>
      </c>
      <c r="B3844" s="18">
        <f t="shared" si="120"/>
        <v>2020</v>
      </c>
      <c r="C3844" s="18">
        <f t="shared" si="121"/>
        <v>7</v>
      </c>
      <c r="D3844" s="3" t="s">
        <v>1959</v>
      </c>
      <c r="E3844" s="3" t="s">
        <v>91</v>
      </c>
      <c r="F3844" s="3" t="s">
        <v>19</v>
      </c>
      <c r="G3844" s="3" t="s">
        <v>20</v>
      </c>
      <c r="H3844" s="3" t="s">
        <v>761</v>
      </c>
      <c r="I3844" s="11">
        <v>221.64</v>
      </c>
      <c r="J3844" s="18">
        <v>4</v>
      </c>
      <c r="K3844" s="12">
        <v>3.9127999999999998</v>
      </c>
    </row>
    <row r="3845" spans="1:11" x14ac:dyDescent="0.25">
      <c r="A3845" s="4">
        <v>44021</v>
      </c>
      <c r="B3845" s="19">
        <f t="shared" si="120"/>
        <v>2020</v>
      </c>
      <c r="C3845" s="19">
        <f t="shared" si="121"/>
        <v>7</v>
      </c>
      <c r="D3845" s="5" t="s">
        <v>2110</v>
      </c>
      <c r="E3845" s="5" t="s">
        <v>164</v>
      </c>
      <c r="F3845" s="5" t="s">
        <v>19</v>
      </c>
      <c r="G3845" s="5" t="s">
        <v>20</v>
      </c>
      <c r="H3845" s="5" t="s">
        <v>21</v>
      </c>
      <c r="I3845" s="13">
        <v>278.92</v>
      </c>
      <c r="J3845" s="19">
        <v>5</v>
      </c>
      <c r="K3845" s="14">
        <v>14.307499999999999</v>
      </c>
    </row>
    <row r="3846" spans="1:11" x14ac:dyDescent="0.25">
      <c r="A3846" s="2">
        <v>44021</v>
      </c>
      <c r="B3846" s="18">
        <f t="shared" si="120"/>
        <v>2020</v>
      </c>
      <c r="C3846" s="18">
        <f t="shared" si="121"/>
        <v>7</v>
      </c>
      <c r="D3846" s="3" t="s">
        <v>1959</v>
      </c>
      <c r="E3846" s="3" t="s">
        <v>91</v>
      </c>
      <c r="F3846" s="3" t="s">
        <v>14</v>
      </c>
      <c r="G3846" s="3" t="s">
        <v>15</v>
      </c>
      <c r="H3846" s="3" t="s">
        <v>891</v>
      </c>
      <c r="I3846" s="11">
        <v>287.98</v>
      </c>
      <c r="J3846" s="18">
        <v>2</v>
      </c>
      <c r="K3846" s="12">
        <v>74.8142</v>
      </c>
    </row>
    <row r="3847" spans="1:11" x14ac:dyDescent="0.25">
      <c r="A3847" s="4">
        <v>44021</v>
      </c>
      <c r="B3847" s="19">
        <f t="shared" si="120"/>
        <v>2020</v>
      </c>
      <c r="C3847" s="19">
        <f t="shared" si="121"/>
        <v>7</v>
      </c>
      <c r="D3847" s="5" t="s">
        <v>1959</v>
      </c>
      <c r="E3847" s="5" t="s">
        <v>91</v>
      </c>
      <c r="F3847" s="5" t="s">
        <v>19</v>
      </c>
      <c r="G3847" s="5" t="s">
        <v>53</v>
      </c>
      <c r="H3847" s="5" t="s">
        <v>743</v>
      </c>
      <c r="I3847" s="13">
        <v>313.8</v>
      </c>
      <c r="J3847" s="19">
        <v>5</v>
      </c>
      <c r="K3847" s="14">
        <v>134.65199999999999</v>
      </c>
    </row>
    <row r="3848" spans="1:11" x14ac:dyDescent="0.25">
      <c r="A3848" s="2">
        <v>44021</v>
      </c>
      <c r="B3848" s="18">
        <f t="shared" si="120"/>
        <v>2020</v>
      </c>
      <c r="C3848" s="18">
        <f t="shared" si="121"/>
        <v>7</v>
      </c>
      <c r="D3848" s="3" t="s">
        <v>2376</v>
      </c>
      <c r="E3848" s="3" t="s">
        <v>317</v>
      </c>
      <c r="F3848" s="3" t="s">
        <v>11</v>
      </c>
      <c r="G3848" s="3" t="s">
        <v>51</v>
      </c>
      <c r="H3848" s="3" t="s">
        <v>2118</v>
      </c>
      <c r="I3848" s="11">
        <v>536.45000000000005</v>
      </c>
      <c r="J3848" s="18">
        <v>5</v>
      </c>
      <c r="K3848" s="12">
        <v>31.587</v>
      </c>
    </row>
    <row r="3849" spans="1:11" x14ac:dyDescent="0.25">
      <c r="A3849" s="4">
        <v>44021</v>
      </c>
      <c r="B3849" s="19">
        <f t="shared" si="120"/>
        <v>2020</v>
      </c>
      <c r="C3849" s="19">
        <f t="shared" si="121"/>
        <v>7</v>
      </c>
      <c r="D3849" s="5" t="s">
        <v>111</v>
      </c>
      <c r="E3849" s="5" t="s">
        <v>465</v>
      </c>
      <c r="F3849" s="5" t="s">
        <v>19</v>
      </c>
      <c r="G3849" s="5" t="s">
        <v>32</v>
      </c>
      <c r="H3849" s="5" t="s">
        <v>1273</v>
      </c>
      <c r="I3849" s="13">
        <v>64.08</v>
      </c>
      <c r="J3849" s="19">
        <v>2</v>
      </c>
      <c r="K3849" s="14">
        <v>-0.79200000000000004</v>
      </c>
    </row>
    <row r="3850" spans="1:11" x14ac:dyDescent="0.25">
      <c r="A3850" s="2">
        <v>44021</v>
      </c>
      <c r="B3850" s="18">
        <f t="shared" si="120"/>
        <v>2020</v>
      </c>
      <c r="C3850" s="18">
        <f t="shared" si="121"/>
        <v>7</v>
      </c>
      <c r="D3850" s="3" t="s">
        <v>192</v>
      </c>
      <c r="E3850" s="3" t="s">
        <v>164</v>
      </c>
      <c r="F3850" s="3" t="s">
        <v>19</v>
      </c>
      <c r="G3850" s="3" t="s">
        <v>40</v>
      </c>
      <c r="H3850" s="3" t="s">
        <v>2377</v>
      </c>
      <c r="I3850" s="11">
        <v>99.84</v>
      </c>
      <c r="J3850" s="18">
        <v>5</v>
      </c>
      <c r="K3850" s="12">
        <v>2.9834999999999998</v>
      </c>
    </row>
    <row r="3851" spans="1:11" x14ac:dyDescent="0.25">
      <c r="A3851" s="4">
        <v>44021</v>
      </c>
      <c r="B3851" s="19">
        <f t="shared" si="120"/>
        <v>2020</v>
      </c>
      <c r="C3851" s="19">
        <f t="shared" si="121"/>
        <v>7</v>
      </c>
      <c r="D3851" s="5" t="s">
        <v>192</v>
      </c>
      <c r="E3851" s="5" t="s">
        <v>164</v>
      </c>
      <c r="F3851" s="5" t="s">
        <v>19</v>
      </c>
      <c r="G3851" s="5" t="s">
        <v>121</v>
      </c>
      <c r="H3851" s="5" t="s">
        <v>1834</v>
      </c>
      <c r="I3851" s="13">
        <v>152.464</v>
      </c>
      <c r="J3851" s="19">
        <v>9</v>
      </c>
      <c r="K3851" s="14">
        <v>-146.16</v>
      </c>
    </row>
    <row r="3852" spans="1:11" x14ac:dyDescent="0.25">
      <c r="A3852" s="2">
        <v>44022</v>
      </c>
      <c r="B3852" s="18">
        <f t="shared" si="120"/>
        <v>2020</v>
      </c>
      <c r="C3852" s="18">
        <f t="shared" si="121"/>
        <v>7</v>
      </c>
      <c r="D3852" s="3" t="s">
        <v>2378</v>
      </c>
      <c r="E3852" s="3" t="s">
        <v>164</v>
      </c>
      <c r="F3852" s="3" t="s">
        <v>19</v>
      </c>
      <c r="G3852" s="3" t="s">
        <v>20</v>
      </c>
      <c r="H3852" s="3" t="s">
        <v>216</v>
      </c>
      <c r="I3852" s="11">
        <v>325.464</v>
      </c>
      <c r="J3852" s="18">
        <v>6</v>
      </c>
      <c r="K3852" s="12">
        <v>26.115600000000001</v>
      </c>
    </row>
    <row r="3853" spans="1:11" x14ac:dyDescent="0.25">
      <c r="A3853" s="4">
        <v>44022</v>
      </c>
      <c r="B3853" s="19">
        <f t="shared" si="120"/>
        <v>2020</v>
      </c>
      <c r="C3853" s="19">
        <f t="shared" si="121"/>
        <v>7</v>
      </c>
      <c r="D3853" s="5" t="s">
        <v>1142</v>
      </c>
      <c r="E3853" s="5" t="s">
        <v>109</v>
      </c>
      <c r="F3853" s="5" t="s">
        <v>11</v>
      </c>
      <c r="G3853" s="5" t="s">
        <v>51</v>
      </c>
      <c r="H3853" s="5" t="s">
        <v>2048</v>
      </c>
      <c r="I3853" s="13">
        <v>101.84</v>
      </c>
      <c r="J3853" s="19">
        <v>3</v>
      </c>
      <c r="K3853" s="14">
        <v>7.9127999999999998</v>
      </c>
    </row>
    <row r="3854" spans="1:11" x14ac:dyDescent="0.25">
      <c r="A3854" s="2">
        <v>44022</v>
      </c>
      <c r="B3854" s="18">
        <f t="shared" si="120"/>
        <v>2020</v>
      </c>
      <c r="C3854" s="18">
        <f t="shared" si="121"/>
        <v>7</v>
      </c>
      <c r="D3854" s="3" t="s">
        <v>2379</v>
      </c>
      <c r="E3854" s="3" t="s">
        <v>109</v>
      </c>
      <c r="F3854" s="3" t="s">
        <v>19</v>
      </c>
      <c r="G3854" s="3" t="s">
        <v>121</v>
      </c>
      <c r="H3854" s="3" t="s">
        <v>568</v>
      </c>
      <c r="I3854" s="11">
        <v>142.91</v>
      </c>
      <c r="J3854" s="18">
        <v>3</v>
      </c>
      <c r="K3854" s="12">
        <v>10.896599999999999</v>
      </c>
    </row>
    <row r="3855" spans="1:11" x14ac:dyDescent="0.25">
      <c r="A3855" s="4">
        <v>44023</v>
      </c>
      <c r="B3855" s="19">
        <f t="shared" si="120"/>
        <v>2020</v>
      </c>
      <c r="C3855" s="19">
        <f t="shared" si="121"/>
        <v>7</v>
      </c>
      <c r="D3855" s="5" t="s">
        <v>1418</v>
      </c>
      <c r="E3855" s="5" t="s">
        <v>18</v>
      </c>
      <c r="F3855" s="5" t="s">
        <v>14</v>
      </c>
      <c r="G3855" s="5" t="s">
        <v>15</v>
      </c>
      <c r="H3855" s="5" t="s">
        <v>470</v>
      </c>
      <c r="I3855" s="13">
        <v>117.952</v>
      </c>
      <c r="J3855" s="19">
        <v>6</v>
      </c>
      <c r="K3855" s="14">
        <v>5.3963999999999999</v>
      </c>
    </row>
    <row r="3856" spans="1:11" x14ac:dyDescent="0.25">
      <c r="A3856" s="2">
        <v>44023</v>
      </c>
      <c r="B3856" s="18">
        <f t="shared" si="120"/>
        <v>2020</v>
      </c>
      <c r="C3856" s="18">
        <f t="shared" si="121"/>
        <v>7</v>
      </c>
      <c r="D3856" s="3" t="s">
        <v>2289</v>
      </c>
      <c r="E3856" s="3" t="s">
        <v>94</v>
      </c>
      <c r="F3856" s="3" t="s">
        <v>14</v>
      </c>
      <c r="G3856" s="3" t="s">
        <v>24</v>
      </c>
      <c r="H3856" s="3" t="s">
        <v>1744</v>
      </c>
      <c r="I3856" s="11">
        <v>172.6</v>
      </c>
      <c r="J3856" s="18">
        <v>6</v>
      </c>
      <c r="K3856" s="12">
        <v>17.238</v>
      </c>
    </row>
    <row r="3857" spans="1:11" x14ac:dyDescent="0.25">
      <c r="A3857" s="4">
        <v>44023</v>
      </c>
      <c r="B3857" s="19">
        <f t="shared" si="120"/>
        <v>2020</v>
      </c>
      <c r="C3857" s="19">
        <f t="shared" si="121"/>
        <v>7</v>
      </c>
      <c r="D3857" s="5" t="s">
        <v>218</v>
      </c>
      <c r="E3857" s="5" t="s">
        <v>18</v>
      </c>
      <c r="F3857" s="5" t="s">
        <v>19</v>
      </c>
      <c r="G3857" s="5" t="s">
        <v>121</v>
      </c>
      <c r="H3857" s="5" t="s">
        <v>2220</v>
      </c>
      <c r="I3857" s="13">
        <v>202.1</v>
      </c>
      <c r="J3857" s="19">
        <v>5</v>
      </c>
      <c r="K3857" s="14">
        <v>43.706000000000003</v>
      </c>
    </row>
    <row r="3858" spans="1:11" x14ac:dyDescent="0.25">
      <c r="A3858" s="2">
        <v>44023</v>
      </c>
      <c r="B3858" s="18">
        <f t="shared" si="120"/>
        <v>2020</v>
      </c>
      <c r="C3858" s="18">
        <f t="shared" si="121"/>
        <v>7</v>
      </c>
      <c r="D3858" s="3" t="s">
        <v>218</v>
      </c>
      <c r="E3858" s="3" t="s">
        <v>18</v>
      </c>
      <c r="F3858" s="3" t="s">
        <v>14</v>
      </c>
      <c r="G3858" s="3" t="s">
        <v>24</v>
      </c>
      <c r="H3858" s="3" t="s">
        <v>492</v>
      </c>
      <c r="I3858" s="11">
        <v>1300.45</v>
      </c>
      <c r="J3858" s="18">
        <v>5</v>
      </c>
      <c r="K3858" s="12">
        <v>244.6155</v>
      </c>
    </row>
    <row r="3859" spans="1:11" x14ac:dyDescent="0.25">
      <c r="A3859" s="4">
        <v>44023</v>
      </c>
      <c r="B3859" s="19">
        <f t="shared" si="120"/>
        <v>2020</v>
      </c>
      <c r="C3859" s="19">
        <f t="shared" si="121"/>
        <v>7</v>
      </c>
      <c r="D3859" s="5" t="s">
        <v>2248</v>
      </c>
      <c r="E3859" s="5" t="s">
        <v>18</v>
      </c>
      <c r="F3859" s="5" t="s">
        <v>19</v>
      </c>
      <c r="G3859" s="5" t="s">
        <v>127</v>
      </c>
      <c r="H3859" s="5" t="s">
        <v>2380</v>
      </c>
      <c r="I3859" s="13">
        <v>117.67</v>
      </c>
      <c r="J3859" s="19">
        <v>3</v>
      </c>
      <c r="K3859" s="14">
        <v>4.0749000000000004</v>
      </c>
    </row>
    <row r="3860" spans="1:11" x14ac:dyDescent="0.25">
      <c r="A3860" s="2">
        <v>44023</v>
      </c>
      <c r="B3860" s="18">
        <f t="shared" si="120"/>
        <v>2020</v>
      </c>
      <c r="C3860" s="18">
        <f t="shared" si="121"/>
        <v>7</v>
      </c>
      <c r="D3860" s="3" t="s">
        <v>1787</v>
      </c>
      <c r="E3860" s="3" t="s">
        <v>1350</v>
      </c>
      <c r="F3860" s="3" t="s">
        <v>19</v>
      </c>
      <c r="G3860" s="3" t="s">
        <v>40</v>
      </c>
      <c r="H3860" s="3" t="s">
        <v>1672</v>
      </c>
      <c r="I3860" s="11">
        <v>134.32</v>
      </c>
      <c r="J3860" s="18">
        <v>4</v>
      </c>
      <c r="K3860" s="12">
        <v>11.8248</v>
      </c>
    </row>
    <row r="3861" spans="1:11" x14ac:dyDescent="0.25">
      <c r="A3861" s="4">
        <v>44023</v>
      </c>
      <c r="B3861" s="19">
        <f t="shared" si="120"/>
        <v>2020</v>
      </c>
      <c r="C3861" s="19">
        <f t="shared" si="121"/>
        <v>7</v>
      </c>
      <c r="D3861" s="5" t="s">
        <v>1418</v>
      </c>
      <c r="E3861" s="5" t="s">
        <v>18</v>
      </c>
      <c r="F3861" s="5" t="s">
        <v>19</v>
      </c>
      <c r="G3861" s="5" t="s">
        <v>32</v>
      </c>
      <c r="H3861" s="5" t="s">
        <v>513</v>
      </c>
      <c r="I3861" s="13">
        <v>134.80000000000001</v>
      </c>
      <c r="J3861" s="19">
        <v>5</v>
      </c>
      <c r="K3861" s="14">
        <v>9.3125</v>
      </c>
    </row>
    <row r="3862" spans="1:11" x14ac:dyDescent="0.25">
      <c r="A3862" s="2">
        <v>44024</v>
      </c>
      <c r="B3862" s="18">
        <f t="shared" si="120"/>
        <v>2020</v>
      </c>
      <c r="C3862" s="18">
        <f t="shared" si="121"/>
        <v>7</v>
      </c>
      <c r="D3862" s="3" t="s">
        <v>2320</v>
      </c>
      <c r="E3862" s="3" t="s">
        <v>67</v>
      </c>
      <c r="F3862" s="3" t="s">
        <v>19</v>
      </c>
      <c r="G3862" s="3" t="s">
        <v>53</v>
      </c>
      <c r="H3862" s="3" t="s">
        <v>241</v>
      </c>
      <c r="I3862" s="11">
        <v>89.816000000000003</v>
      </c>
      <c r="J3862" s="18">
        <v>1</v>
      </c>
      <c r="K3862" s="12">
        <v>1.1924999999999999</v>
      </c>
    </row>
    <row r="3863" spans="1:11" x14ac:dyDescent="0.25">
      <c r="A3863" s="4">
        <v>44025</v>
      </c>
      <c r="B3863" s="19">
        <f t="shared" si="120"/>
        <v>2020</v>
      </c>
      <c r="C3863" s="19">
        <f t="shared" si="121"/>
        <v>7</v>
      </c>
      <c r="D3863" s="5" t="s">
        <v>1928</v>
      </c>
      <c r="E3863" s="5" t="s">
        <v>39</v>
      </c>
      <c r="F3863" s="5" t="s">
        <v>11</v>
      </c>
      <c r="G3863" s="5" t="s">
        <v>51</v>
      </c>
      <c r="H3863" s="5" t="s">
        <v>1633</v>
      </c>
      <c r="I3863" s="13">
        <v>104.008</v>
      </c>
      <c r="J3863" s="19">
        <v>9</v>
      </c>
      <c r="K3863" s="14">
        <v>19.339200000000002</v>
      </c>
    </row>
    <row r="3864" spans="1:11" x14ac:dyDescent="0.25">
      <c r="A3864" s="2">
        <v>44025</v>
      </c>
      <c r="B3864" s="18">
        <f t="shared" si="120"/>
        <v>2020</v>
      </c>
      <c r="C3864" s="18">
        <f t="shared" si="121"/>
        <v>7</v>
      </c>
      <c r="D3864" s="3" t="s">
        <v>300</v>
      </c>
      <c r="E3864" s="3" t="s">
        <v>1051</v>
      </c>
      <c r="F3864" s="3" t="s">
        <v>19</v>
      </c>
      <c r="G3864" s="3" t="s">
        <v>20</v>
      </c>
      <c r="H3864" s="3" t="s">
        <v>281</v>
      </c>
      <c r="I3864" s="11">
        <v>374.38</v>
      </c>
      <c r="J3864" s="18">
        <v>2</v>
      </c>
      <c r="K3864" s="12">
        <v>93.698800000000006</v>
      </c>
    </row>
    <row r="3865" spans="1:11" x14ac:dyDescent="0.25">
      <c r="A3865" s="4">
        <v>44025</v>
      </c>
      <c r="B3865" s="19">
        <f t="shared" si="120"/>
        <v>2020</v>
      </c>
      <c r="C3865" s="19">
        <f t="shared" si="121"/>
        <v>7</v>
      </c>
      <c r="D3865" s="5" t="s">
        <v>300</v>
      </c>
      <c r="E3865" s="5" t="s">
        <v>1051</v>
      </c>
      <c r="F3865" s="5" t="s">
        <v>19</v>
      </c>
      <c r="G3865" s="5" t="s">
        <v>53</v>
      </c>
      <c r="H3865" s="5" t="s">
        <v>2037</v>
      </c>
      <c r="I3865" s="13">
        <v>87.56</v>
      </c>
      <c r="J3865" s="19">
        <v>2</v>
      </c>
      <c r="K3865" s="14">
        <v>6.2375999999999996</v>
      </c>
    </row>
    <row r="3866" spans="1:11" x14ac:dyDescent="0.25">
      <c r="A3866" s="2">
        <v>44025</v>
      </c>
      <c r="B3866" s="18">
        <f t="shared" si="120"/>
        <v>2020</v>
      </c>
      <c r="C3866" s="18">
        <f t="shared" si="121"/>
        <v>7</v>
      </c>
      <c r="D3866" s="3" t="s">
        <v>1928</v>
      </c>
      <c r="E3866" s="3" t="s">
        <v>39</v>
      </c>
      <c r="F3866" s="3" t="s">
        <v>14</v>
      </c>
      <c r="G3866" s="3" t="s">
        <v>15</v>
      </c>
      <c r="H3866" s="3" t="s">
        <v>921</v>
      </c>
      <c r="I3866" s="11">
        <v>133.59399999999999</v>
      </c>
      <c r="J3866" s="18">
        <v>1</v>
      </c>
      <c r="K3866" s="12">
        <v>-7.2588999999999997</v>
      </c>
    </row>
    <row r="3867" spans="1:11" x14ac:dyDescent="0.25">
      <c r="A3867" s="4">
        <v>44026</v>
      </c>
      <c r="B3867" s="19">
        <f t="shared" si="120"/>
        <v>2020</v>
      </c>
      <c r="C3867" s="19">
        <f t="shared" si="121"/>
        <v>7</v>
      </c>
      <c r="D3867" s="5" t="s">
        <v>1012</v>
      </c>
      <c r="E3867" s="5" t="s">
        <v>18</v>
      </c>
      <c r="F3867" s="5" t="s">
        <v>19</v>
      </c>
      <c r="G3867" s="5" t="s">
        <v>40</v>
      </c>
      <c r="H3867" s="5" t="s">
        <v>2381</v>
      </c>
      <c r="I3867" s="13">
        <v>103.92</v>
      </c>
      <c r="J3867" s="19">
        <v>4</v>
      </c>
      <c r="K3867" s="14">
        <v>20.8568</v>
      </c>
    </row>
    <row r="3868" spans="1:11" x14ac:dyDescent="0.25">
      <c r="A3868" s="2">
        <v>44026</v>
      </c>
      <c r="B3868" s="18">
        <f t="shared" si="120"/>
        <v>2020</v>
      </c>
      <c r="C3868" s="18">
        <f t="shared" si="121"/>
        <v>7</v>
      </c>
      <c r="D3868" s="3" t="s">
        <v>734</v>
      </c>
      <c r="E3868" s="3" t="s">
        <v>67</v>
      </c>
      <c r="F3868" s="3" t="s">
        <v>19</v>
      </c>
      <c r="G3868" s="3" t="s">
        <v>20</v>
      </c>
      <c r="H3868" s="3" t="s">
        <v>552</v>
      </c>
      <c r="I3868" s="11">
        <v>107.04</v>
      </c>
      <c r="J3868" s="18">
        <v>5</v>
      </c>
      <c r="K3868" s="12">
        <v>4.6529999999999996</v>
      </c>
    </row>
    <row r="3869" spans="1:11" x14ac:dyDescent="0.25">
      <c r="A3869" s="4">
        <v>44026</v>
      </c>
      <c r="B3869" s="19">
        <f t="shared" si="120"/>
        <v>2020</v>
      </c>
      <c r="C3869" s="19">
        <f t="shared" si="121"/>
        <v>7</v>
      </c>
      <c r="D3869" s="5" t="s">
        <v>1012</v>
      </c>
      <c r="E3869" s="5" t="s">
        <v>18</v>
      </c>
      <c r="F3869" s="5" t="s">
        <v>14</v>
      </c>
      <c r="G3869" s="5" t="s">
        <v>24</v>
      </c>
      <c r="H3869" s="5" t="s">
        <v>808</v>
      </c>
      <c r="I3869" s="13">
        <v>150.97</v>
      </c>
      <c r="J3869" s="19">
        <v>3</v>
      </c>
      <c r="K3869" s="14">
        <v>19.735800000000001</v>
      </c>
    </row>
    <row r="3870" spans="1:11" x14ac:dyDescent="0.25">
      <c r="A3870" s="2">
        <v>44026</v>
      </c>
      <c r="B3870" s="18">
        <f t="shared" si="120"/>
        <v>2020</v>
      </c>
      <c r="C3870" s="18">
        <f t="shared" si="121"/>
        <v>7</v>
      </c>
      <c r="D3870" s="3" t="s">
        <v>734</v>
      </c>
      <c r="E3870" s="3" t="s">
        <v>67</v>
      </c>
      <c r="F3870" s="3" t="s">
        <v>19</v>
      </c>
      <c r="G3870" s="3" t="s">
        <v>20</v>
      </c>
      <c r="H3870" s="3" t="s">
        <v>1126</v>
      </c>
      <c r="I3870" s="11">
        <v>273.45600000000002</v>
      </c>
      <c r="J3870" s="18">
        <v>7</v>
      </c>
      <c r="K3870" s="12">
        <v>17.959199999999999</v>
      </c>
    </row>
    <row r="3871" spans="1:11" x14ac:dyDescent="0.25">
      <c r="A3871" s="4">
        <v>44026</v>
      </c>
      <c r="B3871" s="19">
        <f t="shared" si="120"/>
        <v>2020</v>
      </c>
      <c r="C3871" s="19">
        <f t="shared" si="121"/>
        <v>7</v>
      </c>
      <c r="D3871" s="5" t="s">
        <v>1012</v>
      </c>
      <c r="E3871" s="5" t="s">
        <v>18</v>
      </c>
      <c r="F3871" s="5" t="s">
        <v>11</v>
      </c>
      <c r="G3871" s="5" t="s">
        <v>51</v>
      </c>
      <c r="H3871" s="5" t="s">
        <v>193</v>
      </c>
      <c r="I3871" s="13">
        <v>307.69</v>
      </c>
      <c r="J3871" s="19">
        <v>3</v>
      </c>
      <c r="K3871" s="14">
        <v>49.804200000000002</v>
      </c>
    </row>
    <row r="3872" spans="1:11" x14ac:dyDescent="0.25">
      <c r="A3872" s="2">
        <v>44026</v>
      </c>
      <c r="B3872" s="18">
        <f t="shared" si="120"/>
        <v>2020</v>
      </c>
      <c r="C3872" s="18">
        <f t="shared" si="121"/>
        <v>7</v>
      </c>
      <c r="D3872" s="3" t="s">
        <v>734</v>
      </c>
      <c r="E3872" s="3" t="s">
        <v>67</v>
      </c>
      <c r="F3872" s="3" t="s">
        <v>11</v>
      </c>
      <c r="G3872" s="3" t="s">
        <v>51</v>
      </c>
      <c r="H3872" s="3" t="s">
        <v>834</v>
      </c>
      <c r="I3872" s="11">
        <v>421.92</v>
      </c>
      <c r="J3872" s="18">
        <v>5</v>
      </c>
      <c r="K3872" s="12">
        <v>148.845</v>
      </c>
    </row>
    <row r="3873" spans="1:11" x14ac:dyDescent="0.25">
      <c r="A3873" s="4">
        <v>44026</v>
      </c>
      <c r="B3873" s="19">
        <f t="shared" si="120"/>
        <v>2020</v>
      </c>
      <c r="C3873" s="19">
        <f t="shared" si="121"/>
        <v>7</v>
      </c>
      <c r="D3873" s="5" t="s">
        <v>1012</v>
      </c>
      <c r="E3873" s="5" t="s">
        <v>18</v>
      </c>
      <c r="F3873" s="5" t="s">
        <v>14</v>
      </c>
      <c r="G3873" s="5" t="s">
        <v>15</v>
      </c>
      <c r="H3873" s="5" t="s">
        <v>1988</v>
      </c>
      <c r="I3873" s="13">
        <v>492.37599999999998</v>
      </c>
      <c r="J3873" s="19">
        <v>3</v>
      </c>
      <c r="K3873" s="14">
        <v>52.917299999999997</v>
      </c>
    </row>
    <row r="3874" spans="1:11" x14ac:dyDescent="0.25">
      <c r="A3874" s="2">
        <v>44026</v>
      </c>
      <c r="B3874" s="18">
        <f t="shared" si="120"/>
        <v>2020</v>
      </c>
      <c r="C3874" s="18">
        <f t="shared" si="121"/>
        <v>7</v>
      </c>
      <c r="D3874" s="3" t="s">
        <v>734</v>
      </c>
      <c r="E3874" s="3" t="s">
        <v>67</v>
      </c>
      <c r="F3874" s="3" t="s">
        <v>14</v>
      </c>
      <c r="G3874" s="3" t="s">
        <v>15</v>
      </c>
      <c r="H3874" s="3" t="s">
        <v>1976</v>
      </c>
      <c r="I3874" s="11">
        <v>1912.9459999999999</v>
      </c>
      <c r="J3874" s="18">
        <v>9</v>
      </c>
      <c r="K3874" s="12">
        <v>-377.98919999999998</v>
      </c>
    </row>
    <row r="3875" spans="1:11" x14ac:dyDescent="0.25">
      <c r="A3875" s="4">
        <v>44026</v>
      </c>
      <c r="B3875" s="19">
        <f t="shared" si="120"/>
        <v>2020</v>
      </c>
      <c r="C3875" s="19">
        <f t="shared" si="121"/>
        <v>7</v>
      </c>
      <c r="D3875" s="5" t="s">
        <v>1012</v>
      </c>
      <c r="E3875" s="5" t="s">
        <v>18</v>
      </c>
      <c r="F3875" s="5" t="s">
        <v>19</v>
      </c>
      <c r="G3875" s="5" t="s">
        <v>32</v>
      </c>
      <c r="H3875" s="5" t="s">
        <v>1615</v>
      </c>
      <c r="I3875" s="13">
        <v>112.44799999999999</v>
      </c>
      <c r="J3875" s="19">
        <v>2</v>
      </c>
      <c r="K3875" s="14">
        <v>1.4456</v>
      </c>
    </row>
    <row r="3876" spans="1:11" x14ac:dyDescent="0.25">
      <c r="A3876" s="2">
        <v>44026</v>
      </c>
      <c r="B3876" s="18">
        <f t="shared" si="120"/>
        <v>2020</v>
      </c>
      <c r="C3876" s="18">
        <f t="shared" si="121"/>
        <v>7</v>
      </c>
      <c r="D3876" s="3" t="s">
        <v>1012</v>
      </c>
      <c r="E3876" s="3" t="s">
        <v>18</v>
      </c>
      <c r="F3876" s="3" t="s">
        <v>19</v>
      </c>
      <c r="G3876" s="3" t="s">
        <v>116</v>
      </c>
      <c r="H3876" s="3" t="s">
        <v>2382</v>
      </c>
      <c r="I3876" s="11">
        <v>87.96</v>
      </c>
      <c r="J3876" s="18">
        <v>4</v>
      </c>
      <c r="K3876" s="12">
        <v>2.3311999999999999</v>
      </c>
    </row>
    <row r="3877" spans="1:11" x14ac:dyDescent="0.25">
      <c r="A3877" s="4">
        <v>44026</v>
      </c>
      <c r="B3877" s="19">
        <f t="shared" si="120"/>
        <v>2020</v>
      </c>
      <c r="C3877" s="19">
        <f t="shared" si="121"/>
        <v>7</v>
      </c>
      <c r="D3877" s="5" t="s">
        <v>1012</v>
      </c>
      <c r="E3877" s="5" t="s">
        <v>18</v>
      </c>
      <c r="F3877" s="5" t="s">
        <v>11</v>
      </c>
      <c r="G3877" s="5" t="s">
        <v>51</v>
      </c>
      <c r="H3877" s="5" t="s">
        <v>2322</v>
      </c>
      <c r="I3877" s="13">
        <v>117.84</v>
      </c>
      <c r="J3877" s="19">
        <v>3</v>
      </c>
      <c r="K3877" s="14">
        <v>7.9127999999999998</v>
      </c>
    </row>
    <row r="3878" spans="1:11" x14ac:dyDescent="0.25">
      <c r="A3878" s="2">
        <v>44026</v>
      </c>
      <c r="B3878" s="18">
        <f t="shared" si="120"/>
        <v>2020</v>
      </c>
      <c r="C3878" s="18">
        <f t="shared" si="121"/>
        <v>7</v>
      </c>
      <c r="D3878" s="3" t="s">
        <v>734</v>
      </c>
      <c r="E3878" s="3" t="s">
        <v>67</v>
      </c>
      <c r="F3878" s="3" t="s">
        <v>19</v>
      </c>
      <c r="G3878" s="3" t="s">
        <v>53</v>
      </c>
      <c r="H3878" s="3" t="s">
        <v>1423</v>
      </c>
      <c r="I3878" s="11">
        <v>122.248</v>
      </c>
      <c r="J3878" s="18">
        <v>2</v>
      </c>
      <c r="K3878" s="12">
        <v>3.3523999999999998</v>
      </c>
    </row>
    <row r="3879" spans="1:11" x14ac:dyDescent="0.25">
      <c r="A3879" s="4">
        <v>44026</v>
      </c>
      <c r="B3879" s="19">
        <f t="shared" si="120"/>
        <v>2020</v>
      </c>
      <c r="C3879" s="19">
        <f t="shared" si="121"/>
        <v>7</v>
      </c>
      <c r="D3879" s="5" t="s">
        <v>734</v>
      </c>
      <c r="E3879" s="5" t="s">
        <v>67</v>
      </c>
      <c r="F3879" s="5" t="s">
        <v>19</v>
      </c>
      <c r="G3879" s="5" t="s">
        <v>40</v>
      </c>
      <c r="H3879" s="5" t="s">
        <v>2017</v>
      </c>
      <c r="I3879" s="13">
        <v>139.12</v>
      </c>
      <c r="J3879" s="19">
        <v>5</v>
      </c>
      <c r="K3879" s="14">
        <v>2.1320000000000001</v>
      </c>
    </row>
    <row r="3880" spans="1:11" x14ac:dyDescent="0.25">
      <c r="A3880" s="2">
        <v>44027</v>
      </c>
      <c r="B3880" s="18">
        <f t="shared" si="120"/>
        <v>2020</v>
      </c>
      <c r="C3880" s="18">
        <f t="shared" si="121"/>
        <v>7</v>
      </c>
      <c r="D3880" s="3" t="s">
        <v>812</v>
      </c>
      <c r="E3880" s="3" t="s">
        <v>181</v>
      </c>
      <c r="F3880" s="3" t="s">
        <v>19</v>
      </c>
      <c r="G3880" s="3" t="s">
        <v>121</v>
      </c>
      <c r="H3880" s="3" t="s">
        <v>2383</v>
      </c>
      <c r="I3880" s="11">
        <v>200.94</v>
      </c>
      <c r="J3880" s="18">
        <v>3</v>
      </c>
      <c r="K3880" s="12">
        <v>50.383200000000002</v>
      </c>
    </row>
    <row r="3881" spans="1:11" x14ac:dyDescent="0.25">
      <c r="A3881" s="4">
        <v>44027</v>
      </c>
      <c r="B3881" s="19">
        <f t="shared" si="120"/>
        <v>2020</v>
      </c>
      <c r="C3881" s="19">
        <f t="shared" si="121"/>
        <v>7</v>
      </c>
      <c r="D3881" s="5" t="s">
        <v>1594</v>
      </c>
      <c r="E3881" s="5" t="s">
        <v>309</v>
      </c>
      <c r="F3881" s="5" t="s">
        <v>11</v>
      </c>
      <c r="G3881" s="5" t="s">
        <v>30</v>
      </c>
      <c r="H3881" s="5" t="s">
        <v>2384</v>
      </c>
      <c r="I3881" s="13">
        <v>341.44299999999998</v>
      </c>
      <c r="J3881" s="19">
        <v>3</v>
      </c>
      <c r="K3881" s="14">
        <v>-48.783900000000003</v>
      </c>
    </row>
    <row r="3882" spans="1:11" x14ac:dyDescent="0.25">
      <c r="A3882" s="2">
        <v>44027</v>
      </c>
      <c r="B3882" s="18">
        <f t="shared" si="120"/>
        <v>2020</v>
      </c>
      <c r="C3882" s="18">
        <f t="shared" si="121"/>
        <v>7</v>
      </c>
      <c r="D3882" s="3" t="s">
        <v>2273</v>
      </c>
      <c r="E3882" s="3" t="s">
        <v>94</v>
      </c>
      <c r="F3882" s="3" t="s">
        <v>11</v>
      </c>
      <c r="G3882" s="3" t="s">
        <v>112</v>
      </c>
      <c r="H3882" s="3" t="s">
        <v>794</v>
      </c>
      <c r="I3882" s="11">
        <v>699.14599999999996</v>
      </c>
      <c r="J3882" s="18">
        <v>6</v>
      </c>
      <c r="K3882" s="12">
        <v>88.552800000000005</v>
      </c>
    </row>
    <row r="3883" spans="1:11" x14ac:dyDescent="0.25">
      <c r="A3883" s="4">
        <v>44027</v>
      </c>
      <c r="B3883" s="19">
        <f t="shared" si="120"/>
        <v>2020</v>
      </c>
      <c r="C3883" s="19">
        <f t="shared" si="121"/>
        <v>7</v>
      </c>
      <c r="D3883" s="5" t="s">
        <v>812</v>
      </c>
      <c r="E3883" s="5" t="s">
        <v>181</v>
      </c>
      <c r="F3883" s="5" t="s">
        <v>11</v>
      </c>
      <c r="G3883" s="5" t="s">
        <v>30</v>
      </c>
      <c r="H3883" s="5" t="s">
        <v>1712</v>
      </c>
      <c r="I3883" s="13">
        <v>901.94</v>
      </c>
      <c r="J3883" s="19">
        <v>3</v>
      </c>
      <c r="K3883" s="14">
        <v>157.1292</v>
      </c>
    </row>
    <row r="3884" spans="1:11" x14ac:dyDescent="0.25">
      <c r="A3884" s="2">
        <v>44027</v>
      </c>
      <c r="B3884" s="18">
        <f t="shared" si="120"/>
        <v>2020</v>
      </c>
      <c r="C3884" s="18">
        <f t="shared" si="121"/>
        <v>7</v>
      </c>
      <c r="D3884" s="3" t="s">
        <v>2273</v>
      </c>
      <c r="E3884" s="3" t="s">
        <v>94</v>
      </c>
      <c r="F3884" s="3" t="s">
        <v>19</v>
      </c>
      <c r="G3884" s="3" t="s">
        <v>53</v>
      </c>
      <c r="H3884" s="3" t="s">
        <v>2385</v>
      </c>
      <c r="I3884" s="11">
        <v>93.96</v>
      </c>
      <c r="J3884" s="18">
        <v>2</v>
      </c>
      <c r="K3884" s="12">
        <v>4.3903999999999996</v>
      </c>
    </row>
    <row r="3885" spans="1:11" x14ac:dyDescent="0.25">
      <c r="A3885" s="4">
        <v>44027</v>
      </c>
      <c r="B3885" s="19">
        <f t="shared" si="120"/>
        <v>2020</v>
      </c>
      <c r="C3885" s="19">
        <f t="shared" si="121"/>
        <v>7</v>
      </c>
      <c r="D3885" s="5" t="s">
        <v>2273</v>
      </c>
      <c r="E3885" s="5" t="s">
        <v>94</v>
      </c>
      <c r="F3885" s="5" t="s">
        <v>19</v>
      </c>
      <c r="G3885" s="5" t="s">
        <v>40</v>
      </c>
      <c r="H3885" s="5" t="s">
        <v>2386</v>
      </c>
      <c r="I3885" s="13">
        <v>90.56</v>
      </c>
      <c r="J3885" s="19">
        <v>2</v>
      </c>
      <c r="K3885" s="14">
        <v>1.9024000000000001</v>
      </c>
    </row>
    <row r="3886" spans="1:11" x14ac:dyDescent="0.25">
      <c r="A3886" s="2">
        <v>44027</v>
      </c>
      <c r="B3886" s="18">
        <f t="shared" si="120"/>
        <v>2020</v>
      </c>
      <c r="C3886" s="18">
        <f t="shared" si="121"/>
        <v>7</v>
      </c>
      <c r="D3886" s="3" t="s">
        <v>2273</v>
      </c>
      <c r="E3886" s="3" t="s">
        <v>94</v>
      </c>
      <c r="F3886" s="3" t="s">
        <v>19</v>
      </c>
      <c r="G3886" s="3" t="s">
        <v>127</v>
      </c>
      <c r="H3886" s="3" t="s">
        <v>1555</v>
      </c>
      <c r="I3886" s="11">
        <v>93.83</v>
      </c>
      <c r="J3886" s="18">
        <v>3</v>
      </c>
      <c r="K3886" s="12">
        <v>3.6017999999999999</v>
      </c>
    </row>
    <row r="3887" spans="1:11" x14ac:dyDescent="0.25">
      <c r="A3887" s="4">
        <v>44027</v>
      </c>
      <c r="B3887" s="19">
        <f t="shared" si="120"/>
        <v>2020</v>
      </c>
      <c r="C3887" s="19">
        <f t="shared" si="121"/>
        <v>7</v>
      </c>
      <c r="D3887" s="5" t="s">
        <v>812</v>
      </c>
      <c r="E3887" s="5" t="s">
        <v>181</v>
      </c>
      <c r="F3887" s="5" t="s">
        <v>19</v>
      </c>
      <c r="G3887" s="5" t="s">
        <v>53</v>
      </c>
      <c r="H3887" s="5" t="s">
        <v>1728</v>
      </c>
      <c r="I3887" s="13">
        <v>120.96</v>
      </c>
      <c r="J3887" s="19">
        <v>2</v>
      </c>
      <c r="K3887" s="14">
        <v>6.2207999999999997</v>
      </c>
    </row>
    <row r="3888" spans="1:11" x14ac:dyDescent="0.25">
      <c r="A3888" s="2">
        <v>44027</v>
      </c>
      <c r="B3888" s="18">
        <f t="shared" si="120"/>
        <v>2020</v>
      </c>
      <c r="C3888" s="18">
        <f t="shared" si="121"/>
        <v>7</v>
      </c>
      <c r="D3888" s="3" t="s">
        <v>1594</v>
      </c>
      <c r="E3888" s="3" t="s">
        <v>309</v>
      </c>
      <c r="F3888" s="3" t="s">
        <v>19</v>
      </c>
      <c r="G3888" s="3" t="s">
        <v>32</v>
      </c>
      <c r="H3888" s="3" t="s">
        <v>1210</v>
      </c>
      <c r="I3888" s="11">
        <v>132.55000000000001</v>
      </c>
      <c r="J3888" s="18">
        <v>3</v>
      </c>
      <c r="K3888" s="12">
        <v>13.009499999999999</v>
      </c>
    </row>
    <row r="3889" spans="1:11" x14ac:dyDescent="0.25">
      <c r="A3889" s="4">
        <v>44027</v>
      </c>
      <c r="B3889" s="19">
        <f t="shared" si="120"/>
        <v>2020</v>
      </c>
      <c r="C3889" s="19">
        <f t="shared" si="121"/>
        <v>7</v>
      </c>
      <c r="D3889" s="5" t="s">
        <v>2273</v>
      </c>
      <c r="E3889" s="5" t="s">
        <v>94</v>
      </c>
      <c r="F3889" s="5" t="s">
        <v>14</v>
      </c>
      <c r="G3889" s="5" t="s">
        <v>24</v>
      </c>
      <c r="H3889" s="5" t="s">
        <v>2387</v>
      </c>
      <c r="I3889" s="13">
        <v>160.9</v>
      </c>
      <c r="J3889" s="19">
        <v>2</v>
      </c>
      <c r="K3889" s="14">
        <v>8.7989999999999995</v>
      </c>
    </row>
    <row r="3890" spans="1:11" x14ac:dyDescent="0.25">
      <c r="A3890" s="2">
        <v>44028</v>
      </c>
      <c r="B3890" s="18">
        <f t="shared" si="120"/>
        <v>2020</v>
      </c>
      <c r="C3890" s="18">
        <f t="shared" si="121"/>
        <v>7</v>
      </c>
      <c r="D3890" s="3" t="s">
        <v>2023</v>
      </c>
      <c r="E3890" s="3" t="s">
        <v>39</v>
      </c>
      <c r="F3890" s="3" t="s">
        <v>11</v>
      </c>
      <c r="G3890" s="3" t="s">
        <v>112</v>
      </c>
      <c r="H3890" s="3" t="s">
        <v>1014</v>
      </c>
      <c r="I3890" s="11">
        <v>114.372</v>
      </c>
      <c r="J3890" s="18">
        <v>2</v>
      </c>
      <c r="K3890" s="12">
        <v>-1.0196000000000001</v>
      </c>
    </row>
    <row r="3891" spans="1:11" x14ac:dyDescent="0.25">
      <c r="A3891" s="4">
        <v>44028</v>
      </c>
      <c r="B3891" s="19">
        <f t="shared" si="120"/>
        <v>2020</v>
      </c>
      <c r="C3891" s="19">
        <f t="shared" si="121"/>
        <v>7</v>
      </c>
      <c r="D3891" s="5" t="s">
        <v>1382</v>
      </c>
      <c r="E3891" s="5" t="s">
        <v>35</v>
      </c>
      <c r="F3891" s="5" t="s">
        <v>11</v>
      </c>
      <c r="G3891" s="5" t="s">
        <v>112</v>
      </c>
      <c r="H3891" s="5" t="s">
        <v>1641</v>
      </c>
      <c r="I3891" s="13">
        <v>279.35199999999998</v>
      </c>
      <c r="J3891" s="19">
        <v>3</v>
      </c>
      <c r="K3891" s="14">
        <v>15.147</v>
      </c>
    </row>
    <row r="3892" spans="1:11" x14ac:dyDescent="0.25">
      <c r="A3892" s="2">
        <v>44028</v>
      </c>
      <c r="B3892" s="18">
        <f t="shared" si="120"/>
        <v>2020</v>
      </c>
      <c r="C3892" s="18">
        <f t="shared" si="121"/>
        <v>7</v>
      </c>
      <c r="D3892" s="3" t="s">
        <v>558</v>
      </c>
      <c r="E3892" s="3" t="s">
        <v>164</v>
      </c>
      <c r="F3892" s="3" t="s">
        <v>19</v>
      </c>
      <c r="G3892" s="3" t="s">
        <v>40</v>
      </c>
      <c r="H3892" s="3" t="s">
        <v>1551</v>
      </c>
      <c r="I3892" s="11">
        <v>103.91200000000001</v>
      </c>
      <c r="J3892" s="18">
        <v>2</v>
      </c>
      <c r="K3892" s="12">
        <v>0.91</v>
      </c>
    </row>
    <row r="3893" spans="1:11" x14ac:dyDescent="0.25">
      <c r="A3893" s="4">
        <v>44029</v>
      </c>
      <c r="B3893" s="19">
        <f t="shared" si="120"/>
        <v>2020</v>
      </c>
      <c r="C3893" s="19">
        <f t="shared" si="121"/>
        <v>7</v>
      </c>
      <c r="D3893" s="5" t="s">
        <v>43</v>
      </c>
      <c r="E3893" s="5" t="s">
        <v>18</v>
      </c>
      <c r="F3893" s="5" t="s">
        <v>19</v>
      </c>
      <c r="G3893" s="5" t="s">
        <v>86</v>
      </c>
      <c r="H3893" s="5" t="s">
        <v>2069</v>
      </c>
      <c r="I3893" s="13">
        <v>100.9</v>
      </c>
      <c r="J3893" s="19">
        <v>5</v>
      </c>
      <c r="K3893" s="14">
        <v>28.95</v>
      </c>
    </row>
    <row r="3894" spans="1:11" x14ac:dyDescent="0.25">
      <c r="A3894" s="2">
        <v>44029</v>
      </c>
      <c r="B3894" s="18">
        <f t="shared" si="120"/>
        <v>2020</v>
      </c>
      <c r="C3894" s="18">
        <f t="shared" si="121"/>
        <v>7</v>
      </c>
      <c r="D3894" s="3" t="s">
        <v>98</v>
      </c>
      <c r="E3894" s="3" t="s">
        <v>94</v>
      </c>
      <c r="F3894" s="3" t="s">
        <v>19</v>
      </c>
      <c r="G3894" s="3" t="s">
        <v>53</v>
      </c>
      <c r="H3894" s="3" t="s">
        <v>1439</v>
      </c>
      <c r="I3894" s="11">
        <v>119.9</v>
      </c>
      <c r="J3894" s="18">
        <v>5</v>
      </c>
      <c r="K3894" s="12">
        <v>47.951999999999998</v>
      </c>
    </row>
    <row r="3895" spans="1:11" x14ac:dyDescent="0.25">
      <c r="A3895" s="4">
        <v>44029</v>
      </c>
      <c r="B3895" s="19">
        <f t="shared" si="120"/>
        <v>2020</v>
      </c>
      <c r="C3895" s="19">
        <f t="shared" si="121"/>
        <v>7</v>
      </c>
      <c r="D3895" s="5" t="s">
        <v>98</v>
      </c>
      <c r="E3895" s="5" t="s">
        <v>94</v>
      </c>
      <c r="F3895" s="5" t="s">
        <v>14</v>
      </c>
      <c r="G3895" s="5" t="s">
        <v>15</v>
      </c>
      <c r="H3895" s="5" t="s">
        <v>1885</v>
      </c>
      <c r="I3895" s="13">
        <v>296.98</v>
      </c>
      <c r="J3895" s="19">
        <v>2</v>
      </c>
      <c r="K3895" s="14">
        <v>67.495000000000005</v>
      </c>
    </row>
    <row r="3896" spans="1:11" x14ac:dyDescent="0.25">
      <c r="A3896" s="2">
        <v>44029</v>
      </c>
      <c r="B3896" s="18">
        <f t="shared" si="120"/>
        <v>2020</v>
      </c>
      <c r="C3896" s="18">
        <f t="shared" si="121"/>
        <v>7</v>
      </c>
      <c r="D3896" s="3" t="s">
        <v>1120</v>
      </c>
      <c r="E3896" s="3" t="s">
        <v>18</v>
      </c>
      <c r="F3896" s="3" t="s">
        <v>14</v>
      </c>
      <c r="G3896" s="3" t="s">
        <v>36</v>
      </c>
      <c r="H3896" s="3" t="s">
        <v>1980</v>
      </c>
      <c r="I3896" s="11">
        <v>525.98400000000004</v>
      </c>
      <c r="J3896" s="18">
        <v>2</v>
      </c>
      <c r="K3896" s="12">
        <v>89.997</v>
      </c>
    </row>
    <row r="3897" spans="1:11" x14ac:dyDescent="0.25">
      <c r="A3897" s="4">
        <v>44029</v>
      </c>
      <c r="B3897" s="19">
        <f t="shared" si="120"/>
        <v>2020</v>
      </c>
      <c r="C3897" s="19">
        <f t="shared" si="121"/>
        <v>7</v>
      </c>
      <c r="D3897" s="5" t="s">
        <v>43</v>
      </c>
      <c r="E3897" s="5" t="s">
        <v>18</v>
      </c>
      <c r="F3897" s="5" t="s">
        <v>11</v>
      </c>
      <c r="G3897" s="5" t="s">
        <v>12</v>
      </c>
      <c r="H3897" s="5" t="s">
        <v>1644</v>
      </c>
      <c r="I3897" s="13">
        <v>1222.165</v>
      </c>
      <c r="J3897" s="19">
        <v>5</v>
      </c>
      <c r="K3897" s="14">
        <v>210.73500000000001</v>
      </c>
    </row>
    <row r="3898" spans="1:11" x14ac:dyDescent="0.25">
      <c r="A3898" s="2">
        <v>44029</v>
      </c>
      <c r="B3898" s="18">
        <f t="shared" si="120"/>
        <v>2020</v>
      </c>
      <c r="C3898" s="18">
        <f t="shared" si="121"/>
        <v>7</v>
      </c>
      <c r="D3898" s="3" t="s">
        <v>1660</v>
      </c>
      <c r="E3898" s="3" t="s">
        <v>44</v>
      </c>
      <c r="F3898" s="3" t="s">
        <v>11</v>
      </c>
      <c r="G3898" s="3" t="s">
        <v>51</v>
      </c>
      <c r="H3898" s="3" t="s">
        <v>584</v>
      </c>
      <c r="I3898" s="11">
        <v>92.903999999999996</v>
      </c>
      <c r="J3898" s="18">
        <v>2</v>
      </c>
      <c r="K3898" s="12">
        <v>2.1736</v>
      </c>
    </row>
    <row r="3899" spans="1:11" x14ac:dyDescent="0.25">
      <c r="A3899" s="4">
        <v>44029</v>
      </c>
      <c r="B3899" s="19">
        <f t="shared" si="120"/>
        <v>2020</v>
      </c>
      <c r="C3899" s="19">
        <f t="shared" si="121"/>
        <v>7</v>
      </c>
      <c r="D3899" s="5" t="s">
        <v>43</v>
      </c>
      <c r="E3899" s="5" t="s">
        <v>18</v>
      </c>
      <c r="F3899" s="5" t="s">
        <v>19</v>
      </c>
      <c r="G3899" s="5" t="s">
        <v>53</v>
      </c>
      <c r="H3899" s="5" t="s">
        <v>2003</v>
      </c>
      <c r="I3899" s="13">
        <v>106.4</v>
      </c>
      <c r="J3899" s="19">
        <v>5</v>
      </c>
      <c r="K3899" s="14">
        <v>15.552</v>
      </c>
    </row>
    <row r="3900" spans="1:11" x14ac:dyDescent="0.25">
      <c r="A3900" s="2">
        <v>44029</v>
      </c>
      <c r="B3900" s="18">
        <f t="shared" si="120"/>
        <v>2020</v>
      </c>
      <c r="C3900" s="18">
        <f t="shared" si="121"/>
        <v>7</v>
      </c>
      <c r="D3900" s="3" t="s">
        <v>98</v>
      </c>
      <c r="E3900" s="3" t="s">
        <v>94</v>
      </c>
      <c r="F3900" s="3" t="s">
        <v>11</v>
      </c>
      <c r="G3900" s="3" t="s">
        <v>51</v>
      </c>
      <c r="H3900" s="3" t="s">
        <v>787</v>
      </c>
      <c r="I3900" s="11">
        <v>128.08000000000001</v>
      </c>
      <c r="J3900" s="18">
        <v>4</v>
      </c>
      <c r="K3900" s="12">
        <v>14.4596</v>
      </c>
    </row>
    <row r="3901" spans="1:11" x14ac:dyDescent="0.25">
      <c r="A3901" s="4">
        <v>44029</v>
      </c>
      <c r="B3901" s="19">
        <f t="shared" si="120"/>
        <v>2020</v>
      </c>
      <c r="C3901" s="19">
        <f t="shared" si="121"/>
        <v>7</v>
      </c>
      <c r="D3901" s="5" t="s">
        <v>43</v>
      </c>
      <c r="E3901" s="5" t="s">
        <v>18</v>
      </c>
      <c r="F3901" s="5" t="s">
        <v>19</v>
      </c>
      <c r="G3901" s="5" t="s">
        <v>20</v>
      </c>
      <c r="H3901" s="5" t="s">
        <v>749</v>
      </c>
      <c r="I3901" s="13">
        <v>121.56</v>
      </c>
      <c r="J3901" s="19">
        <v>2</v>
      </c>
      <c r="K3901" s="14">
        <v>0</v>
      </c>
    </row>
    <row r="3902" spans="1:11" x14ac:dyDescent="0.25">
      <c r="A3902" s="2">
        <v>44030</v>
      </c>
      <c r="B3902" s="18">
        <f t="shared" si="120"/>
        <v>2020</v>
      </c>
      <c r="C3902" s="18">
        <f t="shared" si="121"/>
        <v>7</v>
      </c>
      <c r="D3902" s="3" t="s">
        <v>1668</v>
      </c>
      <c r="E3902" s="3" t="s">
        <v>198</v>
      </c>
      <c r="F3902" s="3" t="s">
        <v>11</v>
      </c>
      <c r="G3902" s="3" t="s">
        <v>112</v>
      </c>
      <c r="H3902" s="3" t="s">
        <v>1641</v>
      </c>
      <c r="I3902" s="11">
        <v>174.56800000000001</v>
      </c>
      <c r="J3902" s="18">
        <v>2</v>
      </c>
      <c r="K3902" s="12">
        <v>10.098000000000001</v>
      </c>
    </row>
    <row r="3903" spans="1:11" x14ac:dyDescent="0.25">
      <c r="A3903" s="4">
        <v>44030</v>
      </c>
      <c r="B3903" s="19">
        <f t="shared" si="120"/>
        <v>2020</v>
      </c>
      <c r="C3903" s="19">
        <f t="shared" si="121"/>
        <v>7</v>
      </c>
      <c r="D3903" s="5" t="s">
        <v>1026</v>
      </c>
      <c r="E3903" s="5" t="s">
        <v>39</v>
      </c>
      <c r="F3903" s="5" t="s">
        <v>11</v>
      </c>
      <c r="G3903" s="5" t="s">
        <v>112</v>
      </c>
      <c r="H3903" s="5" t="s">
        <v>372</v>
      </c>
      <c r="I3903" s="13">
        <v>214.744</v>
      </c>
      <c r="J3903" s="19">
        <v>4</v>
      </c>
      <c r="K3903" s="14">
        <v>-14.196</v>
      </c>
    </row>
    <row r="3904" spans="1:11" x14ac:dyDescent="0.25">
      <c r="A3904" s="2">
        <v>44030</v>
      </c>
      <c r="B3904" s="18">
        <f t="shared" si="120"/>
        <v>2020</v>
      </c>
      <c r="C3904" s="18">
        <f t="shared" si="121"/>
        <v>7</v>
      </c>
      <c r="D3904" s="3" t="s">
        <v>1668</v>
      </c>
      <c r="E3904" s="3" t="s">
        <v>198</v>
      </c>
      <c r="F3904" s="3" t="s">
        <v>11</v>
      </c>
      <c r="G3904" s="3" t="s">
        <v>112</v>
      </c>
      <c r="H3904" s="3" t="s">
        <v>1656</v>
      </c>
      <c r="I3904" s="11">
        <v>350.976</v>
      </c>
      <c r="J3904" s="18">
        <v>3</v>
      </c>
      <c r="K3904" s="12">
        <v>-42.896700000000003</v>
      </c>
    </row>
    <row r="3905" spans="1:11" x14ac:dyDescent="0.25">
      <c r="A3905" s="4">
        <v>44030</v>
      </c>
      <c r="B3905" s="19">
        <f t="shared" si="120"/>
        <v>2020</v>
      </c>
      <c r="C3905" s="19">
        <f t="shared" si="121"/>
        <v>7</v>
      </c>
      <c r="D3905" s="5" t="s">
        <v>1026</v>
      </c>
      <c r="E3905" s="5" t="s">
        <v>39</v>
      </c>
      <c r="F3905" s="5" t="s">
        <v>14</v>
      </c>
      <c r="G3905" s="5" t="s">
        <v>36</v>
      </c>
      <c r="H3905" s="5" t="s">
        <v>1547</v>
      </c>
      <c r="I3905" s="13">
        <v>641.97</v>
      </c>
      <c r="J3905" s="19">
        <v>5</v>
      </c>
      <c r="K3905" s="14">
        <v>69.996499999999997</v>
      </c>
    </row>
    <row r="3906" spans="1:11" x14ac:dyDescent="0.25">
      <c r="A3906" s="2">
        <v>44030</v>
      </c>
      <c r="B3906" s="18">
        <f t="shared" ref="B3906:B3969" si="122">YEAR(A3906)</f>
        <v>2020</v>
      </c>
      <c r="C3906" s="18">
        <f t="shared" ref="C3906:C3969" si="123">MONTH(A3906)</f>
        <v>7</v>
      </c>
      <c r="D3906" s="3" t="s">
        <v>1668</v>
      </c>
      <c r="E3906" s="3" t="s">
        <v>198</v>
      </c>
      <c r="F3906" s="3" t="s">
        <v>11</v>
      </c>
      <c r="G3906" s="3" t="s">
        <v>30</v>
      </c>
      <c r="H3906" s="3" t="s">
        <v>1341</v>
      </c>
      <c r="I3906" s="11">
        <v>830.6</v>
      </c>
      <c r="J3906" s="18">
        <v>5</v>
      </c>
      <c r="K3906" s="12">
        <v>-448.89600000000002</v>
      </c>
    </row>
    <row r="3907" spans="1:11" x14ac:dyDescent="0.25">
      <c r="A3907" s="4">
        <v>44030</v>
      </c>
      <c r="B3907" s="19">
        <f t="shared" si="122"/>
        <v>2020</v>
      </c>
      <c r="C3907" s="19">
        <f t="shared" si="123"/>
        <v>7</v>
      </c>
      <c r="D3907" s="5" t="s">
        <v>1668</v>
      </c>
      <c r="E3907" s="5" t="s">
        <v>198</v>
      </c>
      <c r="F3907" s="5" t="s">
        <v>19</v>
      </c>
      <c r="G3907" s="5" t="s">
        <v>32</v>
      </c>
      <c r="H3907" s="5" t="s">
        <v>1482</v>
      </c>
      <c r="I3907" s="13">
        <v>116.65600000000001</v>
      </c>
      <c r="J3907" s="19">
        <v>4</v>
      </c>
      <c r="K3907" s="14">
        <v>-6.1247999999999996</v>
      </c>
    </row>
    <row r="3908" spans="1:11" x14ac:dyDescent="0.25">
      <c r="A3908" s="2">
        <v>44030</v>
      </c>
      <c r="B3908" s="18">
        <f t="shared" si="122"/>
        <v>2020</v>
      </c>
      <c r="C3908" s="18">
        <f t="shared" si="123"/>
        <v>7</v>
      </c>
      <c r="D3908" s="3" t="s">
        <v>1026</v>
      </c>
      <c r="E3908" s="3" t="s">
        <v>39</v>
      </c>
      <c r="F3908" s="3" t="s">
        <v>19</v>
      </c>
      <c r="G3908" s="3" t="s">
        <v>265</v>
      </c>
      <c r="H3908" s="3" t="s">
        <v>2388</v>
      </c>
      <c r="I3908" s="11">
        <v>113.184</v>
      </c>
      <c r="J3908" s="18">
        <v>2</v>
      </c>
      <c r="K3908" s="12">
        <v>1.1479999999999999</v>
      </c>
    </row>
    <row r="3909" spans="1:11" x14ac:dyDescent="0.25">
      <c r="A3909" s="4">
        <v>44030</v>
      </c>
      <c r="B3909" s="19">
        <f t="shared" si="122"/>
        <v>2020</v>
      </c>
      <c r="C3909" s="19">
        <f t="shared" si="123"/>
        <v>7</v>
      </c>
      <c r="D3909" s="5" t="s">
        <v>1668</v>
      </c>
      <c r="E3909" s="5" t="s">
        <v>198</v>
      </c>
      <c r="F3909" s="5" t="s">
        <v>19</v>
      </c>
      <c r="G3909" s="5" t="s">
        <v>53</v>
      </c>
      <c r="H3909" s="5" t="s">
        <v>974</v>
      </c>
      <c r="I3909" s="13">
        <v>117.096</v>
      </c>
      <c r="J3909" s="19">
        <v>2</v>
      </c>
      <c r="K3909" s="14">
        <v>5.2312000000000003</v>
      </c>
    </row>
    <row r="3910" spans="1:11" x14ac:dyDescent="0.25">
      <c r="A3910" s="2">
        <v>44032</v>
      </c>
      <c r="B3910" s="18">
        <f t="shared" si="122"/>
        <v>2020</v>
      </c>
      <c r="C3910" s="18">
        <f t="shared" si="123"/>
        <v>7</v>
      </c>
      <c r="D3910" s="3" t="s">
        <v>1061</v>
      </c>
      <c r="E3910" s="3" t="s">
        <v>94</v>
      </c>
      <c r="F3910" s="3" t="s">
        <v>11</v>
      </c>
      <c r="G3910" s="3" t="s">
        <v>112</v>
      </c>
      <c r="H3910" s="3" t="s">
        <v>2389</v>
      </c>
      <c r="I3910" s="11">
        <v>194.76400000000001</v>
      </c>
      <c r="J3910" s="18">
        <v>2</v>
      </c>
      <c r="K3910" s="12">
        <v>25.474399999999999</v>
      </c>
    </row>
    <row r="3911" spans="1:11" x14ac:dyDescent="0.25">
      <c r="A3911" s="4">
        <v>44032</v>
      </c>
      <c r="B3911" s="19">
        <f t="shared" si="122"/>
        <v>2020</v>
      </c>
      <c r="C3911" s="19">
        <f t="shared" si="123"/>
        <v>7</v>
      </c>
      <c r="D3911" s="5" t="s">
        <v>1440</v>
      </c>
      <c r="E3911" s="5" t="s">
        <v>2390</v>
      </c>
      <c r="F3911" s="5" t="s">
        <v>11</v>
      </c>
      <c r="G3911" s="5" t="s">
        <v>112</v>
      </c>
      <c r="H3911" s="5" t="s">
        <v>936</v>
      </c>
      <c r="I3911" s="13">
        <v>218.94</v>
      </c>
      <c r="J3911" s="19">
        <v>3</v>
      </c>
      <c r="K3911" s="14">
        <v>27.440999999999999</v>
      </c>
    </row>
    <row r="3912" spans="1:11" x14ac:dyDescent="0.25">
      <c r="A3912" s="2">
        <v>44032</v>
      </c>
      <c r="B3912" s="18">
        <f t="shared" si="122"/>
        <v>2020</v>
      </c>
      <c r="C3912" s="18">
        <f t="shared" si="123"/>
        <v>7</v>
      </c>
      <c r="D3912" s="3" t="s">
        <v>1061</v>
      </c>
      <c r="E3912" s="3" t="s">
        <v>94</v>
      </c>
      <c r="F3912" s="3" t="s">
        <v>11</v>
      </c>
      <c r="G3912" s="3" t="s">
        <v>51</v>
      </c>
      <c r="H3912" s="3" t="s">
        <v>151</v>
      </c>
      <c r="I3912" s="11">
        <v>232.92</v>
      </c>
      <c r="J3912" s="18">
        <v>4</v>
      </c>
      <c r="K3912" s="12">
        <v>31.266400000000001</v>
      </c>
    </row>
    <row r="3913" spans="1:11" x14ac:dyDescent="0.25">
      <c r="A3913" s="4">
        <v>44032</v>
      </c>
      <c r="B3913" s="19">
        <f t="shared" si="122"/>
        <v>2020</v>
      </c>
      <c r="C3913" s="19">
        <f t="shared" si="123"/>
        <v>7</v>
      </c>
      <c r="D3913" s="5" t="s">
        <v>1440</v>
      </c>
      <c r="E3913" s="5" t="s">
        <v>2390</v>
      </c>
      <c r="F3913" s="5" t="s">
        <v>14</v>
      </c>
      <c r="G3913" s="5" t="s">
        <v>24</v>
      </c>
      <c r="H3913" s="5" t="s">
        <v>1025</v>
      </c>
      <c r="I3913" s="13">
        <v>400.97</v>
      </c>
      <c r="J3913" s="19">
        <v>3</v>
      </c>
      <c r="K3913" s="14">
        <v>132.5898</v>
      </c>
    </row>
    <row r="3914" spans="1:11" x14ac:dyDescent="0.25">
      <c r="A3914" s="2">
        <v>44032</v>
      </c>
      <c r="B3914" s="18">
        <f t="shared" si="122"/>
        <v>2020</v>
      </c>
      <c r="C3914" s="18">
        <f t="shared" si="123"/>
        <v>7</v>
      </c>
      <c r="D3914" s="3" t="s">
        <v>1440</v>
      </c>
      <c r="E3914" s="3" t="s">
        <v>2390</v>
      </c>
      <c r="F3914" s="3" t="s">
        <v>19</v>
      </c>
      <c r="G3914" s="3" t="s">
        <v>121</v>
      </c>
      <c r="H3914" s="3" t="s">
        <v>1030</v>
      </c>
      <c r="I3914" s="11">
        <v>435.32</v>
      </c>
      <c r="J3914" s="18">
        <v>2</v>
      </c>
      <c r="K3914" s="12">
        <v>112.4064</v>
      </c>
    </row>
    <row r="3915" spans="1:11" x14ac:dyDescent="0.25">
      <c r="A3915" s="4">
        <v>44032</v>
      </c>
      <c r="B3915" s="19">
        <f t="shared" si="122"/>
        <v>2020</v>
      </c>
      <c r="C3915" s="19">
        <f t="shared" si="123"/>
        <v>7</v>
      </c>
      <c r="D3915" s="5" t="s">
        <v>183</v>
      </c>
      <c r="E3915" s="5" t="s">
        <v>387</v>
      </c>
      <c r="F3915" s="5" t="s">
        <v>19</v>
      </c>
      <c r="G3915" s="5" t="s">
        <v>32</v>
      </c>
      <c r="H3915" s="5" t="s">
        <v>550</v>
      </c>
      <c r="I3915" s="13">
        <v>746.98</v>
      </c>
      <c r="J3915" s="19">
        <v>2</v>
      </c>
      <c r="K3915" s="14">
        <v>331.19099999999997</v>
      </c>
    </row>
    <row r="3916" spans="1:11" x14ac:dyDescent="0.25">
      <c r="A3916" s="2">
        <v>44032</v>
      </c>
      <c r="B3916" s="18">
        <f t="shared" si="122"/>
        <v>2020</v>
      </c>
      <c r="C3916" s="18">
        <f t="shared" si="123"/>
        <v>7</v>
      </c>
      <c r="D3916" s="3" t="s">
        <v>520</v>
      </c>
      <c r="E3916" s="3" t="s">
        <v>164</v>
      </c>
      <c r="F3916" s="3" t="s">
        <v>11</v>
      </c>
      <c r="G3916" s="3" t="s">
        <v>51</v>
      </c>
      <c r="H3916" s="3" t="s">
        <v>123</v>
      </c>
      <c r="I3916" s="11">
        <v>106.792</v>
      </c>
      <c r="J3916" s="18">
        <v>1</v>
      </c>
      <c r="K3916" s="12">
        <v>-5.7148000000000003</v>
      </c>
    </row>
    <row r="3917" spans="1:11" x14ac:dyDescent="0.25">
      <c r="A3917" s="4">
        <v>44032</v>
      </c>
      <c r="B3917" s="19">
        <f t="shared" si="122"/>
        <v>2020</v>
      </c>
      <c r="C3917" s="19">
        <f t="shared" si="123"/>
        <v>7</v>
      </c>
      <c r="D3917" s="5" t="s">
        <v>1061</v>
      </c>
      <c r="E3917" s="5" t="s">
        <v>94</v>
      </c>
      <c r="F3917" s="5" t="s">
        <v>19</v>
      </c>
      <c r="G3917" s="5" t="s">
        <v>53</v>
      </c>
      <c r="H3917" s="5" t="s">
        <v>1984</v>
      </c>
      <c r="I3917" s="13">
        <v>105.36</v>
      </c>
      <c r="J3917" s="19">
        <v>2</v>
      </c>
      <c r="K3917" s="14">
        <v>6.4127999999999998</v>
      </c>
    </row>
    <row r="3918" spans="1:11" x14ac:dyDescent="0.25">
      <c r="A3918" s="2">
        <v>44032</v>
      </c>
      <c r="B3918" s="18">
        <f t="shared" si="122"/>
        <v>2020</v>
      </c>
      <c r="C3918" s="18">
        <f t="shared" si="123"/>
        <v>7</v>
      </c>
      <c r="D3918" s="3" t="s">
        <v>1440</v>
      </c>
      <c r="E3918" s="3" t="s">
        <v>2390</v>
      </c>
      <c r="F3918" s="3" t="s">
        <v>19</v>
      </c>
      <c r="G3918" s="3" t="s">
        <v>127</v>
      </c>
      <c r="H3918" s="3" t="s">
        <v>1024</v>
      </c>
      <c r="I3918" s="11">
        <v>151.62</v>
      </c>
      <c r="J3918" s="18">
        <v>2</v>
      </c>
      <c r="K3918" s="12">
        <v>6.8714000000000004</v>
      </c>
    </row>
    <row r="3919" spans="1:11" x14ac:dyDescent="0.25">
      <c r="A3919" s="4">
        <v>44032</v>
      </c>
      <c r="B3919" s="19">
        <f t="shared" si="122"/>
        <v>2020</v>
      </c>
      <c r="C3919" s="19">
        <f t="shared" si="123"/>
        <v>7</v>
      </c>
      <c r="D3919" s="5" t="s">
        <v>1440</v>
      </c>
      <c r="E3919" s="5" t="s">
        <v>2390</v>
      </c>
      <c r="F3919" s="5" t="s">
        <v>19</v>
      </c>
      <c r="G3919" s="5" t="s">
        <v>32</v>
      </c>
      <c r="H3919" s="5" t="s">
        <v>1252</v>
      </c>
      <c r="I3919" s="13">
        <v>155</v>
      </c>
      <c r="J3919" s="19">
        <v>5</v>
      </c>
      <c r="K3919" s="14">
        <v>20.21</v>
      </c>
    </row>
    <row r="3920" spans="1:11" x14ac:dyDescent="0.25">
      <c r="A3920" s="2">
        <v>44032</v>
      </c>
      <c r="B3920" s="18">
        <f t="shared" si="122"/>
        <v>2020</v>
      </c>
      <c r="C3920" s="18">
        <f t="shared" si="123"/>
        <v>7</v>
      </c>
      <c r="D3920" s="3" t="s">
        <v>1440</v>
      </c>
      <c r="E3920" s="3" t="s">
        <v>2390</v>
      </c>
      <c r="F3920" s="3" t="s">
        <v>19</v>
      </c>
      <c r="G3920" s="3" t="s">
        <v>32</v>
      </c>
      <c r="H3920" s="3" t="s">
        <v>1855</v>
      </c>
      <c r="I3920" s="11">
        <v>144.83000000000001</v>
      </c>
      <c r="J3920" s="18">
        <v>7</v>
      </c>
      <c r="K3920" s="12">
        <v>30.414999999999999</v>
      </c>
    </row>
    <row r="3921" spans="1:11" x14ac:dyDescent="0.25">
      <c r="A3921" s="4">
        <v>44032</v>
      </c>
      <c r="B3921" s="19">
        <f t="shared" si="122"/>
        <v>2020</v>
      </c>
      <c r="C3921" s="19">
        <f t="shared" si="123"/>
        <v>7</v>
      </c>
      <c r="D3921" s="5" t="s">
        <v>520</v>
      </c>
      <c r="E3921" s="5" t="s">
        <v>164</v>
      </c>
      <c r="F3921" s="5" t="s">
        <v>19</v>
      </c>
      <c r="G3921" s="5" t="s">
        <v>20</v>
      </c>
      <c r="H3921" s="5" t="s">
        <v>2354</v>
      </c>
      <c r="I3921" s="13">
        <v>146.71199999999999</v>
      </c>
      <c r="J3921" s="19">
        <v>2</v>
      </c>
      <c r="K3921" s="14">
        <v>8.7140000000000004</v>
      </c>
    </row>
    <row r="3922" spans="1:11" x14ac:dyDescent="0.25">
      <c r="A3922" s="2">
        <v>44033</v>
      </c>
      <c r="B3922" s="18">
        <f t="shared" si="122"/>
        <v>2020</v>
      </c>
      <c r="C3922" s="18">
        <f t="shared" si="123"/>
        <v>7</v>
      </c>
      <c r="D3922" s="3" t="s">
        <v>563</v>
      </c>
      <c r="E3922" s="3" t="s">
        <v>1156</v>
      </c>
      <c r="F3922" s="3" t="s">
        <v>14</v>
      </c>
      <c r="G3922" s="3" t="s">
        <v>15</v>
      </c>
      <c r="H3922" s="3" t="s">
        <v>1612</v>
      </c>
      <c r="I3922" s="11">
        <v>114.928</v>
      </c>
      <c r="J3922" s="18">
        <v>9</v>
      </c>
      <c r="K3922" s="12">
        <v>6.2937000000000003</v>
      </c>
    </row>
    <row r="3923" spans="1:11" x14ac:dyDescent="0.25">
      <c r="A3923" s="4">
        <v>44033</v>
      </c>
      <c r="B3923" s="19">
        <f t="shared" si="122"/>
        <v>2020</v>
      </c>
      <c r="C3923" s="19">
        <f t="shared" si="123"/>
        <v>7</v>
      </c>
      <c r="D3923" s="5" t="s">
        <v>1591</v>
      </c>
      <c r="E3923" s="5" t="s">
        <v>181</v>
      </c>
      <c r="F3923" s="5" t="s">
        <v>19</v>
      </c>
      <c r="G3923" s="5" t="s">
        <v>40</v>
      </c>
      <c r="H3923" s="5" t="s">
        <v>332</v>
      </c>
      <c r="I3923" s="13">
        <v>117.94</v>
      </c>
      <c r="J3923" s="19">
        <v>6</v>
      </c>
      <c r="K3923" s="14">
        <v>29.5626</v>
      </c>
    </row>
    <row r="3924" spans="1:11" x14ac:dyDescent="0.25">
      <c r="A3924" s="2">
        <v>44033</v>
      </c>
      <c r="B3924" s="18">
        <f t="shared" si="122"/>
        <v>2020</v>
      </c>
      <c r="C3924" s="18">
        <f t="shared" si="123"/>
        <v>7</v>
      </c>
      <c r="D3924" s="3" t="s">
        <v>1622</v>
      </c>
      <c r="E3924" s="3" t="s">
        <v>164</v>
      </c>
      <c r="F3924" s="3" t="s">
        <v>19</v>
      </c>
      <c r="G3924" s="3" t="s">
        <v>32</v>
      </c>
      <c r="H3924" s="3" t="s">
        <v>583</v>
      </c>
      <c r="I3924" s="11">
        <v>122.19199999999999</v>
      </c>
      <c r="J3924" s="18">
        <v>7</v>
      </c>
      <c r="K3924" s="12">
        <v>-164.83600000000001</v>
      </c>
    </row>
    <row r="3925" spans="1:11" x14ac:dyDescent="0.25">
      <c r="A3925" s="4">
        <v>44033</v>
      </c>
      <c r="B3925" s="19">
        <f t="shared" si="122"/>
        <v>2020</v>
      </c>
      <c r="C3925" s="19">
        <f t="shared" si="123"/>
        <v>7</v>
      </c>
      <c r="D3925" s="5" t="s">
        <v>790</v>
      </c>
      <c r="E3925" s="5" t="s">
        <v>23</v>
      </c>
      <c r="F3925" s="5" t="s">
        <v>11</v>
      </c>
      <c r="G3925" s="5" t="s">
        <v>30</v>
      </c>
      <c r="H3925" s="5" t="s">
        <v>778</v>
      </c>
      <c r="I3925" s="13">
        <v>148.404</v>
      </c>
      <c r="J3925" s="19">
        <v>4</v>
      </c>
      <c r="K3925" s="14">
        <v>-21.3264</v>
      </c>
    </row>
    <row r="3926" spans="1:11" x14ac:dyDescent="0.25">
      <c r="A3926" s="2">
        <v>44033</v>
      </c>
      <c r="B3926" s="18">
        <f t="shared" si="122"/>
        <v>2020</v>
      </c>
      <c r="C3926" s="18">
        <f t="shared" si="123"/>
        <v>7</v>
      </c>
      <c r="D3926" s="3" t="s">
        <v>594</v>
      </c>
      <c r="E3926" s="3" t="s">
        <v>67</v>
      </c>
      <c r="F3926" s="3" t="s">
        <v>14</v>
      </c>
      <c r="G3926" s="3" t="s">
        <v>15</v>
      </c>
      <c r="H3926" s="3" t="s">
        <v>2391</v>
      </c>
      <c r="I3926" s="11">
        <v>227.56399999999999</v>
      </c>
      <c r="J3926" s="18">
        <v>6</v>
      </c>
      <c r="K3926" s="12">
        <v>-52.640999999999998</v>
      </c>
    </row>
    <row r="3927" spans="1:11" x14ac:dyDescent="0.25">
      <c r="A3927" s="4">
        <v>44033</v>
      </c>
      <c r="B3927" s="19">
        <f t="shared" si="122"/>
        <v>2020</v>
      </c>
      <c r="C3927" s="19">
        <f t="shared" si="123"/>
        <v>7</v>
      </c>
      <c r="D3927" s="5" t="s">
        <v>1660</v>
      </c>
      <c r="E3927" s="5" t="s">
        <v>18</v>
      </c>
      <c r="F3927" s="5" t="s">
        <v>11</v>
      </c>
      <c r="G3927" s="5" t="s">
        <v>112</v>
      </c>
      <c r="H3927" s="5" t="s">
        <v>1243</v>
      </c>
      <c r="I3927" s="13">
        <v>256.29599999999999</v>
      </c>
      <c r="J3927" s="19">
        <v>2</v>
      </c>
      <c r="K3927" s="14">
        <v>22.529599999999999</v>
      </c>
    </row>
    <row r="3928" spans="1:11" x14ac:dyDescent="0.25">
      <c r="A3928" s="2">
        <v>44033</v>
      </c>
      <c r="B3928" s="18">
        <f t="shared" si="122"/>
        <v>2020</v>
      </c>
      <c r="C3928" s="18">
        <f t="shared" si="123"/>
        <v>7</v>
      </c>
      <c r="D3928" s="3" t="s">
        <v>1591</v>
      </c>
      <c r="E3928" s="3" t="s">
        <v>181</v>
      </c>
      <c r="F3928" s="3" t="s">
        <v>19</v>
      </c>
      <c r="G3928" s="3" t="s">
        <v>265</v>
      </c>
      <c r="H3928" s="3" t="s">
        <v>695</v>
      </c>
      <c r="I3928" s="11">
        <v>271.72000000000003</v>
      </c>
      <c r="J3928" s="18">
        <v>2</v>
      </c>
      <c r="K3928" s="12">
        <v>11.586</v>
      </c>
    </row>
    <row r="3929" spans="1:11" x14ac:dyDescent="0.25">
      <c r="A3929" s="4">
        <v>44033</v>
      </c>
      <c r="B3929" s="19">
        <f t="shared" si="122"/>
        <v>2020</v>
      </c>
      <c r="C3929" s="19">
        <f t="shared" si="123"/>
        <v>7</v>
      </c>
      <c r="D3929" s="5" t="s">
        <v>594</v>
      </c>
      <c r="E3929" s="5" t="s">
        <v>67</v>
      </c>
      <c r="F3929" s="5" t="s">
        <v>19</v>
      </c>
      <c r="G3929" s="5" t="s">
        <v>20</v>
      </c>
      <c r="H3929" s="5" t="s">
        <v>1684</v>
      </c>
      <c r="I3929" s="13">
        <v>272.32</v>
      </c>
      <c r="J3929" s="19">
        <v>7</v>
      </c>
      <c r="K3929" s="14">
        <v>25.010999999999999</v>
      </c>
    </row>
    <row r="3930" spans="1:11" x14ac:dyDescent="0.25">
      <c r="A3930" s="2">
        <v>44033</v>
      </c>
      <c r="B3930" s="18">
        <f t="shared" si="122"/>
        <v>2020</v>
      </c>
      <c r="C3930" s="18">
        <f t="shared" si="123"/>
        <v>7</v>
      </c>
      <c r="D3930" s="3" t="s">
        <v>1591</v>
      </c>
      <c r="E3930" s="3" t="s">
        <v>181</v>
      </c>
      <c r="F3930" s="3" t="s">
        <v>14</v>
      </c>
      <c r="G3930" s="3" t="s">
        <v>15</v>
      </c>
      <c r="H3930" s="3" t="s">
        <v>1504</v>
      </c>
      <c r="I3930" s="11">
        <v>308.95999999999998</v>
      </c>
      <c r="J3930" s="18">
        <v>4</v>
      </c>
      <c r="K3930" s="12">
        <v>67.989999999999995</v>
      </c>
    </row>
    <row r="3931" spans="1:11" x14ac:dyDescent="0.25">
      <c r="A3931" s="4">
        <v>44033</v>
      </c>
      <c r="B3931" s="19">
        <f t="shared" si="122"/>
        <v>2020</v>
      </c>
      <c r="C3931" s="19">
        <f t="shared" si="123"/>
        <v>7</v>
      </c>
      <c r="D3931" s="5" t="s">
        <v>1591</v>
      </c>
      <c r="E3931" s="5" t="s">
        <v>181</v>
      </c>
      <c r="F3931" s="5" t="s">
        <v>11</v>
      </c>
      <c r="G3931" s="5" t="s">
        <v>12</v>
      </c>
      <c r="H3931" s="5" t="s">
        <v>654</v>
      </c>
      <c r="I3931" s="13">
        <v>325.94</v>
      </c>
      <c r="J3931" s="19">
        <v>3</v>
      </c>
      <c r="K3931" s="14">
        <v>69.676199999999994</v>
      </c>
    </row>
    <row r="3932" spans="1:11" x14ac:dyDescent="0.25">
      <c r="A3932" s="2">
        <v>44033</v>
      </c>
      <c r="B3932" s="18">
        <f t="shared" si="122"/>
        <v>2020</v>
      </c>
      <c r="C3932" s="18">
        <f t="shared" si="123"/>
        <v>7</v>
      </c>
      <c r="D3932" s="3" t="s">
        <v>1061</v>
      </c>
      <c r="E3932" s="3" t="s">
        <v>18</v>
      </c>
      <c r="F3932" s="3" t="s">
        <v>14</v>
      </c>
      <c r="G3932" s="3" t="s">
        <v>15</v>
      </c>
      <c r="H3932" s="3" t="s">
        <v>1867</v>
      </c>
      <c r="I3932" s="11">
        <v>1652.192</v>
      </c>
      <c r="J3932" s="18">
        <v>9</v>
      </c>
      <c r="K3932" s="12">
        <v>121.9644</v>
      </c>
    </row>
    <row r="3933" spans="1:11" x14ac:dyDescent="0.25">
      <c r="A3933" s="4">
        <v>44033</v>
      </c>
      <c r="B3933" s="19">
        <f t="shared" si="122"/>
        <v>2020</v>
      </c>
      <c r="C3933" s="19">
        <f t="shared" si="123"/>
        <v>7</v>
      </c>
      <c r="D3933" s="5" t="s">
        <v>1512</v>
      </c>
      <c r="E3933" s="5" t="s">
        <v>164</v>
      </c>
      <c r="F3933" s="5" t="s">
        <v>19</v>
      </c>
      <c r="G3933" s="5" t="s">
        <v>32</v>
      </c>
      <c r="H3933" s="5" t="s">
        <v>1259</v>
      </c>
      <c r="I3933" s="13">
        <v>82.111999999999995</v>
      </c>
      <c r="J3933" s="19">
        <v>2</v>
      </c>
      <c r="K3933" s="14">
        <v>-3.3792</v>
      </c>
    </row>
    <row r="3934" spans="1:11" x14ac:dyDescent="0.25">
      <c r="A3934" s="2">
        <v>44033</v>
      </c>
      <c r="B3934" s="18">
        <f t="shared" si="122"/>
        <v>2020</v>
      </c>
      <c r="C3934" s="18">
        <f t="shared" si="123"/>
        <v>7</v>
      </c>
      <c r="D3934" s="3" t="s">
        <v>1061</v>
      </c>
      <c r="E3934" s="3" t="s">
        <v>18</v>
      </c>
      <c r="F3934" s="3" t="s">
        <v>19</v>
      </c>
      <c r="G3934" s="3" t="s">
        <v>40</v>
      </c>
      <c r="H3934" s="3" t="s">
        <v>1045</v>
      </c>
      <c r="I3934" s="11">
        <v>97.52</v>
      </c>
      <c r="J3934" s="18">
        <v>2</v>
      </c>
      <c r="K3934" s="12">
        <v>1.6896</v>
      </c>
    </row>
    <row r="3935" spans="1:11" x14ac:dyDescent="0.25">
      <c r="A3935" s="4">
        <v>44033</v>
      </c>
      <c r="B3935" s="19">
        <f t="shared" si="122"/>
        <v>2020</v>
      </c>
      <c r="C3935" s="19">
        <f t="shared" si="123"/>
        <v>7</v>
      </c>
      <c r="D3935" s="5" t="s">
        <v>1622</v>
      </c>
      <c r="E3935" s="5" t="s">
        <v>164</v>
      </c>
      <c r="F3935" s="5" t="s">
        <v>19</v>
      </c>
      <c r="G3935" s="5" t="s">
        <v>32</v>
      </c>
      <c r="H3935" s="5" t="s">
        <v>781</v>
      </c>
      <c r="I3935" s="13">
        <v>110.864</v>
      </c>
      <c r="J3935" s="19">
        <v>4</v>
      </c>
      <c r="K3935" s="14">
        <v>-4.5823999999999998</v>
      </c>
    </row>
    <row r="3936" spans="1:11" x14ac:dyDescent="0.25">
      <c r="A3936" s="2">
        <v>44033</v>
      </c>
      <c r="B3936" s="18">
        <f t="shared" si="122"/>
        <v>2020</v>
      </c>
      <c r="C3936" s="18">
        <f t="shared" si="123"/>
        <v>7</v>
      </c>
      <c r="D3936" s="3" t="s">
        <v>403</v>
      </c>
      <c r="E3936" s="3" t="s">
        <v>85</v>
      </c>
      <c r="F3936" s="3" t="s">
        <v>19</v>
      </c>
      <c r="G3936" s="3" t="s">
        <v>53</v>
      </c>
      <c r="H3936" s="3" t="s">
        <v>358</v>
      </c>
      <c r="I3936" s="11">
        <v>100.48</v>
      </c>
      <c r="J3936" s="18">
        <v>1</v>
      </c>
      <c r="K3936" s="12">
        <v>3.1751999999999998</v>
      </c>
    </row>
    <row r="3937" spans="1:11" x14ac:dyDescent="0.25">
      <c r="A3937" s="4">
        <v>44033</v>
      </c>
      <c r="B3937" s="19">
        <f t="shared" si="122"/>
        <v>2020</v>
      </c>
      <c r="C3937" s="19">
        <f t="shared" si="123"/>
        <v>7</v>
      </c>
      <c r="D3937" s="5" t="s">
        <v>1660</v>
      </c>
      <c r="E3937" s="5" t="s">
        <v>18</v>
      </c>
      <c r="F3937" s="5" t="s">
        <v>19</v>
      </c>
      <c r="G3937" s="5" t="s">
        <v>53</v>
      </c>
      <c r="H3937" s="5" t="s">
        <v>2392</v>
      </c>
      <c r="I3937" s="13">
        <v>88.34</v>
      </c>
      <c r="J3937" s="19">
        <v>2</v>
      </c>
      <c r="K3937" s="14">
        <v>7.6798000000000002</v>
      </c>
    </row>
    <row r="3938" spans="1:11" x14ac:dyDescent="0.25">
      <c r="A3938" s="2">
        <v>44033</v>
      </c>
      <c r="B3938" s="18">
        <f t="shared" si="122"/>
        <v>2020</v>
      </c>
      <c r="C3938" s="18">
        <f t="shared" si="123"/>
        <v>7</v>
      </c>
      <c r="D3938" s="3" t="s">
        <v>1591</v>
      </c>
      <c r="E3938" s="3" t="s">
        <v>181</v>
      </c>
      <c r="F3938" s="3" t="s">
        <v>11</v>
      </c>
      <c r="G3938" s="3" t="s">
        <v>51</v>
      </c>
      <c r="H3938" s="3" t="s">
        <v>244</v>
      </c>
      <c r="I3938" s="11">
        <v>99.8</v>
      </c>
      <c r="J3938" s="18">
        <v>5</v>
      </c>
      <c r="K3938" s="12">
        <v>3.8719999999999999</v>
      </c>
    </row>
    <row r="3939" spans="1:11" x14ac:dyDescent="0.25">
      <c r="A3939" s="4">
        <v>44033</v>
      </c>
      <c r="B3939" s="19">
        <f t="shared" si="122"/>
        <v>2020</v>
      </c>
      <c r="C3939" s="19">
        <f t="shared" si="123"/>
        <v>7</v>
      </c>
      <c r="D3939" s="5" t="s">
        <v>1591</v>
      </c>
      <c r="E3939" s="5" t="s">
        <v>181</v>
      </c>
      <c r="F3939" s="5" t="s">
        <v>19</v>
      </c>
      <c r="G3939" s="5" t="s">
        <v>32</v>
      </c>
      <c r="H3939" s="5" t="s">
        <v>719</v>
      </c>
      <c r="I3939" s="13">
        <v>138.94</v>
      </c>
      <c r="J3939" s="19">
        <v>3</v>
      </c>
      <c r="K3939" s="14">
        <v>7.1711999999999998</v>
      </c>
    </row>
    <row r="3940" spans="1:11" x14ac:dyDescent="0.25">
      <c r="A3940" s="2">
        <v>44033</v>
      </c>
      <c r="B3940" s="18">
        <f t="shared" si="122"/>
        <v>2020</v>
      </c>
      <c r="C3940" s="18">
        <f t="shared" si="123"/>
        <v>7</v>
      </c>
      <c r="D3940" s="3" t="s">
        <v>2320</v>
      </c>
      <c r="E3940" s="3" t="s">
        <v>94</v>
      </c>
      <c r="F3940" s="3" t="s">
        <v>19</v>
      </c>
      <c r="G3940" s="3" t="s">
        <v>121</v>
      </c>
      <c r="H3940" s="3" t="s">
        <v>1575</v>
      </c>
      <c r="I3940" s="11">
        <v>123.48</v>
      </c>
      <c r="J3940" s="18">
        <v>4</v>
      </c>
      <c r="K3940" s="12">
        <v>4.5448000000000004</v>
      </c>
    </row>
    <row r="3941" spans="1:11" x14ac:dyDescent="0.25">
      <c r="A3941" s="4">
        <v>44033</v>
      </c>
      <c r="B3941" s="19">
        <f t="shared" si="122"/>
        <v>2020</v>
      </c>
      <c r="C3941" s="19">
        <f t="shared" si="123"/>
        <v>7</v>
      </c>
      <c r="D3941" s="5" t="s">
        <v>1591</v>
      </c>
      <c r="E3941" s="5" t="s">
        <v>181</v>
      </c>
      <c r="F3941" s="5" t="s">
        <v>19</v>
      </c>
      <c r="G3941" s="5" t="s">
        <v>40</v>
      </c>
      <c r="H3941" s="5" t="s">
        <v>1080</v>
      </c>
      <c r="I3941" s="13">
        <v>124.68</v>
      </c>
      <c r="J3941" s="19">
        <v>6</v>
      </c>
      <c r="K3941" s="14">
        <v>5.7072000000000003</v>
      </c>
    </row>
    <row r="3942" spans="1:11" x14ac:dyDescent="0.25">
      <c r="A3942" s="2">
        <v>44033</v>
      </c>
      <c r="B3942" s="18">
        <f t="shared" si="122"/>
        <v>2020</v>
      </c>
      <c r="C3942" s="18">
        <f t="shared" si="123"/>
        <v>7</v>
      </c>
      <c r="D3942" s="3" t="s">
        <v>1660</v>
      </c>
      <c r="E3942" s="3" t="s">
        <v>18</v>
      </c>
      <c r="F3942" s="3" t="s">
        <v>19</v>
      </c>
      <c r="G3942" s="3" t="s">
        <v>32</v>
      </c>
      <c r="H3942" s="3" t="s">
        <v>1141</v>
      </c>
      <c r="I3942" s="11">
        <v>115.352</v>
      </c>
      <c r="J3942" s="18">
        <v>3</v>
      </c>
      <c r="K3942" s="12">
        <v>17.623200000000001</v>
      </c>
    </row>
    <row r="3943" spans="1:11" x14ac:dyDescent="0.25">
      <c r="A3943" s="4">
        <v>44033</v>
      </c>
      <c r="B3943" s="19">
        <f t="shared" si="122"/>
        <v>2020</v>
      </c>
      <c r="C3943" s="19">
        <f t="shared" si="123"/>
        <v>7</v>
      </c>
      <c r="D3943" s="5" t="s">
        <v>594</v>
      </c>
      <c r="E3943" s="5" t="s">
        <v>67</v>
      </c>
      <c r="F3943" s="5" t="s">
        <v>19</v>
      </c>
      <c r="G3943" s="5" t="s">
        <v>32</v>
      </c>
      <c r="H3943" s="5" t="s">
        <v>754</v>
      </c>
      <c r="I3943" s="13">
        <v>127.93</v>
      </c>
      <c r="J3943" s="19">
        <v>3</v>
      </c>
      <c r="K3943" s="14">
        <v>-22.62</v>
      </c>
    </row>
    <row r="3944" spans="1:11" x14ac:dyDescent="0.25">
      <c r="A3944" s="2">
        <v>44033</v>
      </c>
      <c r="B3944" s="18">
        <f t="shared" si="122"/>
        <v>2020</v>
      </c>
      <c r="C3944" s="18">
        <f t="shared" si="123"/>
        <v>7</v>
      </c>
      <c r="D3944" s="3" t="s">
        <v>563</v>
      </c>
      <c r="E3944" s="3" t="s">
        <v>1156</v>
      </c>
      <c r="F3944" s="3" t="s">
        <v>19</v>
      </c>
      <c r="G3944" s="3" t="s">
        <v>40</v>
      </c>
      <c r="H3944" s="3" t="s">
        <v>430</v>
      </c>
      <c r="I3944" s="11">
        <v>142.99</v>
      </c>
      <c r="J3944" s="18">
        <v>1</v>
      </c>
      <c r="K3944" s="12">
        <v>7.5370999999999997</v>
      </c>
    </row>
    <row r="3945" spans="1:11" x14ac:dyDescent="0.25">
      <c r="A3945" s="4">
        <v>44034</v>
      </c>
      <c r="B3945" s="19">
        <f t="shared" si="122"/>
        <v>2020</v>
      </c>
      <c r="C3945" s="19">
        <f t="shared" si="123"/>
        <v>7</v>
      </c>
      <c r="D3945" s="5" t="s">
        <v>294</v>
      </c>
      <c r="E3945" s="5" t="s">
        <v>164</v>
      </c>
      <c r="F3945" s="5" t="s">
        <v>11</v>
      </c>
      <c r="G3945" s="5" t="s">
        <v>112</v>
      </c>
      <c r="H3945" s="5" t="s">
        <v>1850</v>
      </c>
      <c r="I3945" s="13">
        <v>556.34400000000005</v>
      </c>
      <c r="J3945" s="19">
        <v>4</v>
      </c>
      <c r="K3945" s="14">
        <v>-75.191999999999993</v>
      </c>
    </row>
    <row r="3946" spans="1:11" x14ac:dyDescent="0.25">
      <c r="A3946" s="2">
        <v>44034</v>
      </c>
      <c r="B3946" s="18">
        <f t="shared" si="122"/>
        <v>2020</v>
      </c>
      <c r="C3946" s="18">
        <f t="shared" si="123"/>
        <v>7</v>
      </c>
      <c r="D3946" s="3" t="s">
        <v>1954</v>
      </c>
      <c r="E3946" s="3" t="s">
        <v>94</v>
      </c>
      <c r="F3946" s="3" t="s">
        <v>14</v>
      </c>
      <c r="G3946" s="3" t="s">
        <v>15</v>
      </c>
      <c r="H3946" s="3" t="s">
        <v>2364</v>
      </c>
      <c r="I3946" s="11">
        <v>117.97</v>
      </c>
      <c r="J3946" s="18">
        <v>3</v>
      </c>
      <c r="K3946" s="12">
        <v>14.085900000000001</v>
      </c>
    </row>
    <row r="3947" spans="1:11" x14ac:dyDescent="0.25">
      <c r="A3947" s="4">
        <v>44035</v>
      </c>
      <c r="B3947" s="19">
        <f t="shared" si="122"/>
        <v>2020</v>
      </c>
      <c r="C3947" s="19">
        <f t="shared" si="123"/>
        <v>7</v>
      </c>
      <c r="D3947" s="5" t="s">
        <v>214</v>
      </c>
      <c r="E3947" s="5" t="s">
        <v>164</v>
      </c>
      <c r="F3947" s="5" t="s">
        <v>19</v>
      </c>
      <c r="G3947" s="5" t="s">
        <v>40</v>
      </c>
      <c r="H3947" s="5" t="s">
        <v>1779</v>
      </c>
      <c r="I3947" s="13">
        <v>168.536</v>
      </c>
      <c r="J3947" s="19">
        <v>4</v>
      </c>
      <c r="K3947" s="14">
        <v>15.192</v>
      </c>
    </row>
    <row r="3948" spans="1:11" x14ac:dyDescent="0.25">
      <c r="A3948" s="2">
        <v>44035</v>
      </c>
      <c r="B3948" s="18">
        <f t="shared" si="122"/>
        <v>2020</v>
      </c>
      <c r="C3948" s="18">
        <f t="shared" si="123"/>
        <v>7</v>
      </c>
      <c r="D3948" s="3" t="s">
        <v>1087</v>
      </c>
      <c r="E3948" s="3" t="s">
        <v>317</v>
      </c>
      <c r="F3948" s="3" t="s">
        <v>14</v>
      </c>
      <c r="G3948" s="3" t="s">
        <v>24</v>
      </c>
      <c r="H3948" s="3" t="s">
        <v>1829</v>
      </c>
      <c r="I3948" s="11">
        <v>191.75</v>
      </c>
      <c r="J3948" s="18">
        <v>5</v>
      </c>
      <c r="K3948" s="12">
        <v>11.182499999999999</v>
      </c>
    </row>
    <row r="3949" spans="1:11" x14ac:dyDescent="0.25">
      <c r="A3949" s="4">
        <v>44035</v>
      </c>
      <c r="B3949" s="19">
        <f t="shared" si="122"/>
        <v>2020</v>
      </c>
      <c r="C3949" s="19">
        <f t="shared" si="123"/>
        <v>7</v>
      </c>
      <c r="D3949" s="5" t="s">
        <v>1035</v>
      </c>
      <c r="E3949" s="5" t="s">
        <v>56</v>
      </c>
      <c r="F3949" s="5" t="s">
        <v>14</v>
      </c>
      <c r="G3949" s="5" t="s">
        <v>24</v>
      </c>
      <c r="H3949" s="5" t="s">
        <v>2272</v>
      </c>
      <c r="I3949" s="13">
        <v>410.95</v>
      </c>
      <c r="J3949" s="19">
        <v>5</v>
      </c>
      <c r="K3949" s="14">
        <v>143.982</v>
      </c>
    </row>
    <row r="3950" spans="1:11" x14ac:dyDescent="0.25">
      <c r="A3950" s="2">
        <v>44035</v>
      </c>
      <c r="B3950" s="18">
        <f t="shared" si="122"/>
        <v>2020</v>
      </c>
      <c r="C3950" s="18">
        <f t="shared" si="123"/>
        <v>7</v>
      </c>
      <c r="D3950" s="3" t="s">
        <v>2393</v>
      </c>
      <c r="E3950" s="3" t="s">
        <v>94</v>
      </c>
      <c r="F3950" s="3" t="s">
        <v>19</v>
      </c>
      <c r="G3950" s="3" t="s">
        <v>32</v>
      </c>
      <c r="H3950" s="3" t="s">
        <v>258</v>
      </c>
      <c r="I3950" s="11">
        <v>120.92</v>
      </c>
      <c r="J3950" s="18">
        <v>3</v>
      </c>
      <c r="K3950" s="12">
        <v>4.3499999999999996</v>
      </c>
    </row>
    <row r="3951" spans="1:11" x14ac:dyDescent="0.25">
      <c r="A3951" s="4">
        <v>44035</v>
      </c>
      <c r="B3951" s="19">
        <f t="shared" si="122"/>
        <v>2020</v>
      </c>
      <c r="C3951" s="19">
        <f t="shared" si="123"/>
        <v>7</v>
      </c>
      <c r="D3951" s="5" t="s">
        <v>197</v>
      </c>
      <c r="E3951" s="5" t="s">
        <v>18</v>
      </c>
      <c r="F3951" s="5" t="s">
        <v>19</v>
      </c>
      <c r="G3951" s="5" t="s">
        <v>32</v>
      </c>
      <c r="H3951" s="5" t="s">
        <v>888</v>
      </c>
      <c r="I3951" s="13">
        <v>99.191999999999993</v>
      </c>
      <c r="J3951" s="19">
        <v>3</v>
      </c>
      <c r="K3951" s="14">
        <v>5.5071000000000003</v>
      </c>
    </row>
    <row r="3952" spans="1:11" x14ac:dyDescent="0.25">
      <c r="A3952" s="2">
        <v>44035</v>
      </c>
      <c r="B3952" s="18">
        <f t="shared" si="122"/>
        <v>2020</v>
      </c>
      <c r="C3952" s="18">
        <f t="shared" si="123"/>
        <v>7</v>
      </c>
      <c r="D3952" s="3" t="s">
        <v>1087</v>
      </c>
      <c r="E3952" s="3" t="s">
        <v>317</v>
      </c>
      <c r="F3952" s="3" t="s">
        <v>19</v>
      </c>
      <c r="G3952" s="3" t="s">
        <v>40</v>
      </c>
      <c r="H3952" s="3" t="s">
        <v>2116</v>
      </c>
      <c r="I3952" s="11">
        <v>88.68</v>
      </c>
      <c r="J3952" s="18">
        <v>2</v>
      </c>
      <c r="K3952" s="12">
        <v>5.4896000000000003</v>
      </c>
    </row>
    <row r="3953" spans="1:11" x14ac:dyDescent="0.25">
      <c r="A3953" s="4">
        <v>44035</v>
      </c>
      <c r="B3953" s="19">
        <f t="shared" si="122"/>
        <v>2020</v>
      </c>
      <c r="C3953" s="19">
        <f t="shared" si="123"/>
        <v>7</v>
      </c>
      <c r="D3953" s="5" t="s">
        <v>882</v>
      </c>
      <c r="E3953" s="5" t="s">
        <v>94</v>
      </c>
      <c r="F3953" s="5" t="s">
        <v>19</v>
      </c>
      <c r="G3953" s="5" t="s">
        <v>32</v>
      </c>
      <c r="H3953" s="5" t="s">
        <v>950</v>
      </c>
      <c r="I3953" s="13">
        <v>116.128</v>
      </c>
      <c r="J3953" s="19">
        <v>3</v>
      </c>
      <c r="K3953" s="14">
        <v>4.2666000000000004</v>
      </c>
    </row>
    <row r="3954" spans="1:11" x14ac:dyDescent="0.25">
      <c r="A3954" s="2">
        <v>44035</v>
      </c>
      <c r="B3954" s="18">
        <f t="shared" si="122"/>
        <v>2020</v>
      </c>
      <c r="C3954" s="18">
        <f t="shared" si="123"/>
        <v>7</v>
      </c>
      <c r="D3954" s="3" t="s">
        <v>946</v>
      </c>
      <c r="E3954" s="3" t="s">
        <v>164</v>
      </c>
      <c r="F3954" s="3" t="s">
        <v>19</v>
      </c>
      <c r="G3954" s="3" t="s">
        <v>53</v>
      </c>
      <c r="H3954" s="3" t="s">
        <v>767</v>
      </c>
      <c r="I3954" s="11">
        <v>145.31200000000001</v>
      </c>
      <c r="J3954" s="18">
        <v>3</v>
      </c>
      <c r="K3954" s="12">
        <v>20.5764</v>
      </c>
    </row>
    <row r="3955" spans="1:11" x14ac:dyDescent="0.25">
      <c r="A3955" s="4">
        <v>44035</v>
      </c>
      <c r="B3955" s="19">
        <f t="shared" si="122"/>
        <v>2020</v>
      </c>
      <c r="C3955" s="19">
        <f t="shared" si="123"/>
        <v>7</v>
      </c>
      <c r="D3955" s="5" t="s">
        <v>197</v>
      </c>
      <c r="E3955" s="5" t="s">
        <v>18</v>
      </c>
      <c r="F3955" s="5" t="s">
        <v>19</v>
      </c>
      <c r="G3955" s="5" t="s">
        <v>53</v>
      </c>
      <c r="H3955" s="5" t="s">
        <v>914</v>
      </c>
      <c r="I3955" s="13">
        <v>165.32</v>
      </c>
      <c r="J3955" s="19">
        <v>9</v>
      </c>
      <c r="K3955" s="14">
        <v>27.993600000000001</v>
      </c>
    </row>
    <row r="3956" spans="1:11" x14ac:dyDescent="0.25">
      <c r="A3956" s="2">
        <v>44035</v>
      </c>
      <c r="B3956" s="18">
        <f t="shared" si="122"/>
        <v>2020</v>
      </c>
      <c r="C3956" s="18">
        <f t="shared" si="123"/>
        <v>7</v>
      </c>
      <c r="D3956" s="3" t="s">
        <v>1654</v>
      </c>
      <c r="E3956" s="3" t="s">
        <v>94</v>
      </c>
      <c r="F3956" s="3" t="s">
        <v>19</v>
      </c>
      <c r="G3956" s="3" t="s">
        <v>127</v>
      </c>
      <c r="H3956" s="3" t="s">
        <v>1616</v>
      </c>
      <c r="I3956" s="11">
        <v>158.4</v>
      </c>
      <c r="J3956" s="18">
        <v>4</v>
      </c>
      <c r="K3956" s="12">
        <v>19.872</v>
      </c>
    </row>
    <row r="3957" spans="1:11" x14ac:dyDescent="0.25">
      <c r="A3957" s="4">
        <v>44036</v>
      </c>
      <c r="B3957" s="19">
        <f t="shared" si="122"/>
        <v>2020</v>
      </c>
      <c r="C3957" s="19">
        <f t="shared" si="123"/>
        <v>7</v>
      </c>
      <c r="D3957" s="5" t="s">
        <v>2193</v>
      </c>
      <c r="E3957" s="5" t="s">
        <v>18</v>
      </c>
      <c r="F3957" s="5" t="s">
        <v>14</v>
      </c>
      <c r="G3957" s="5" t="s">
        <v>36</v>
      </c>
      <c r="H3957" s="5" t="s">
        <v>1287</v>
      </c>
      <c r="I3957" s="13">
        <v>2441.96</v>
      </c>
      <c r="J3957" s="19">
        <v>5</v>
      </c>
      <c r="K3957" s="14">
        <v>839.98599999999999</v>
      </c>
    </row>
    <row r="3958" spans="1:11" x14ac:dyDescent="0.25">
      <c r="A3958" s="2">
        <v>44037</v>
      </c>
      <c r="B3958" s="18">
        <f t="shared" si="122"/>
        <v>2020</v>
      </c>
      <c r="C3958" s="18">
        <f t="shared" si="123"/>
        <v>7</v>
      </c>
      <c r="D3958" s="3" t="s">
        <v>1370</v>
      </c>
      <c r="E3958" s="3" t="s">
        <v>39</v>
      </c>
      <c r="F3958" s="3" t="s">
        <v>11</v>
      </c>
      <c r="G3958" s="3" t="s">
        <v>30</v>
      </c>
      <c r="H3958" s="3" t="s">
        <v>1016</v>
      </c>
      <c r="I3958" s="11">
        <v>180.58799999999999</v>
      </c>
      <c r="J3958" s="18">
        <v>1</v>
      </c>
      <c r="K3958" s="12">
        <v>-34.646999999999998</v>
      </c>
    </row>
    <row r="3959" spans="1:11" x14ac:dyDescent="0.25">
      <c r="A3959" s="4">
        <v>44037</v>
      </c>
      <c r="B3959" s="19">
        <f t="shared" si="122"/>
        <v>2020</v>
      </c>
      <c r="C3959" s="19">
        <f t="shared" si="123"/>
        <v>7</v>
      </c>
      <c r="D3959" s="5" t="s">
        <v>1370</v>
      </c>
      <c r="E3959" s="5" t="s">
        <v>39</v>
      </c>
      <c r="F3959" s="5" t="s">
        <v>19</v>
      </c>
      <c r="G3959" s="5" t="s">
        <v>20</v>
      </c>
      <c r="H3959" s="5" t="s">
        <v>617</v>
      </c>
      <c r="I3959" s="13">
        <v>299.92</v>
      </c>
      <c r="J3959" s="19">
        <v>5</v>
      </c>
      <c r="K3959" s="14">
        <v>-25.992000000000001</v>
      </c>
    </row>
    <row r="3960" spans="1:11" x14ac:dyDescent="0.25">
      <c r="A3960" s="2">
        <v>44037</v>
      </c>
      <c r="B3960" s="18">
        <f t="shared" si="122"/>
        <v>2020</v>
      </c>
      <c r="C3960" s="18">
        <f t="shared" si="123"/>
        <v>7</v>
      </c>
      <c r="D3960" s="3" t="s">
        <v>2200</v>
      </c>
      <c r="E3960" s="3" t="s">
        <v>23</v>
      </c>
      <c r="F3960" s="3" t="s">
        <v>11</v>
      </c>
      <c r="G3960" s="3" t="s">
        <v>30</v>
      </c>
      <c r="H3960" s="3" t="s">
        <v>480</v>
      </c>
      <c r="I3960" s="11">
        <v>337.11599999999999</v>
      </c>
      <c r="J3960" s="18">
        <v>6</v>
      </c>
      <c r="K3960" s="12">
        <v>-4.2587999999999999</v>
      </c>
    </row>
    <row r="3961" spans="1:11" x14ac:dyDescent="0.25">
      <c r="A3961" s="4">
        <v>44037</v>
      </c>
      <c r="B3961" s="19">
        <f t="shared" si="122"/>
        <v>2020</v>
      </c>
      <c r="C3961" s="19">
        <f t="shared" si="123"/>
        <v>7</v>
      </c>
      <c r="D3961" s="5" t="s">
        <v>1397</v>
      </c>
      <c r="E3961" s="5" t="s">
        <v>39</v>
      </c>
      <c r="F3961" s="5" t="s">
        <v>19</v>
      </c>
      <c r="G3961" s="5" t="s">
        <v>127</v>
      </c>
      <c r="H3961" s="5" t="s">
        <v>2296</v>
      </c>
      <c r="I3961" s="13">
        <v>119.304</v>
      </c>
      <c r="J3961" s="19">
        <v>1</v>
      </c>
      <c r="K3961" s="14">
        <v>1.0738000000000001</v>
      </c>
    </row>
    <row r="3962" spans="1:11" x14ac:dyDescent="0.25">
      <c r="A3962" s="2">
        <v>44037</v>
      </c>
      <c r="B3962" s="18">
        <f t="shared" si="122"/>
        <v>2020</v>
      </c>
      <c r="C3962" s="18">
        <f t="shared" si="123"/>
        <v>7</v>
      </c>
      <c r="D3962" s="3" t="s">
        <v>525</v>
      </c>
      <c r="E3962" s="3" t="s">
        <v>2390</v>
      </c>
      <c r="F3962" s="3" t="s">
        <v>19</v>
      </c>
      <c r="G3962" s="3" t="s">
        <v>127</v>
      </c>
      <c r="H3962" s="3" t="s">
        <v>1312</v>
      </c>
      <c r="I3962" s="11">
        <v>122.23</v>
      </c>
      <c r="J3962" s="18">
        <v>7</v>
      </c>
      <c r="K3962" s="12">
        <v>9.5081000000000007</v>
      </c>
    </row>
    <row r="3963" spans="1:11" x14ac:dyDescent="0.25">
      <c r="A3963" s="4">
        <v>44037</v>
      </c>
      <c r="B3963" s="19">
        <f t="shared" si="122"/>
        <v>2020</v>
      </c>
      <c r="C3963" s="19">
        <f t="shared" si="123"/>
        <v>7</v>
      </c>
      <c r="D3963" s="5" t="s">
        <v>1370</v>
      </c>
      <c r="E3963" s="5" t="s">
        <v>39</v>
      </c>
      <c r="F3963" s="5" t="s">
        <v>11</v>
      </c>
      <c r="G3963" s="5" t="s">
        <v>51</v>
      </c>
      <c r="H3963" s="5" t="s">
        <v>753</v>
      </c>
      <c r="I3963" s="13">
        <v>129.096</v>
      </c>
      <c r="J3963" s="19">
        <v>4</v>
      </c>
      <c r="K3963" s="14">
        <v>3.0144000000000002</v>
      </c>
    </row>
    <row r="3964" spans="1:11" x14ac:dyDescent="0.25">
      <c r="A3964" s="2">
        <v>44037</v>
      </c>
      <c r="B3964" s="18">
        <f t="shared" si="122"/>
        <v>2020</v>
      </c>
      <c r="C3964" s="18">
        <f t="shared" si="123"/>
        <v>7</v>
      </c>
      <c r="D3964" s="3" t="s">
        <v>1370</v>
      </c>
      <c r="E3964" s="3" t="s">
        <v>39</v>
      </c>
      <c r="F3964" s="3" t="s">
        <v>19</v>
      </c>
      <c r="G3964" s="3" t="s">
        <v>53</v>
      </c>
      <c r="H3964" s="3" t="s">
        <v>1271</v>
      </c>
      <c r="I3964" s="11">
        <v>130.73599999999999</v>
      </c>
      <c r="J3964" s="18">
        <v>4</v>
      </c>
      <c r="K3964" s="12">
        <v>7.2576000000000001</v>
      </c>
    </row>
    <row r="3965" spans="1:11" x14ac:dyDescent="0.25">
      <c r="A3965" s="4">
        <v>44037</v>
      </c>
      <c r="B3965" s="19">
        <f t="shared" si="122"/>
        <v>2020</v>
      </c>
      <c r="C3965" s="19">
        <f t="shared" si="123"/>
        <v>7</v>
      </c>
      <c r="D3965" s="5" t="s">
        <v>1370</v>
      </c>
      <c r="E3965" s="5" t="s">
        <v>39</v>
      </c>
      <c r="F3965" s="5" t="s">
        <v>19</v>
      </c>
      <c r="G3965" s="5" t="s">
        <v>265</v>
      </c>
      <c r="H3965" s="5" t="s">
        <v>2080</v>
      </c>
      <c r="I3965" s="13">
        <v>146.75200000000001</v>
      </c>
      <c r="J3965" s="19">
        <v>3</v>
      </c>
      <c r="K3965" s="14">
        <v>4.2470999999999997</v>
      </c>
    </row>
    <row r="3966" spans="1:11" x14ac:dyDescent="0.25">
      <c r="A3966" s="2">
        <v>44038</v>
      </c>
      <c r="B3966" s="18">
        <f t="shared" si="122"/>
        <v>2020</v>
      </c>
      <c r="C3966" s="18">
        <f t="shared" si="123"/>
        <v>7</v>
      </c>
      <c r="D3966" s="3" t="s">
        <v>2186</v>
      </c>
      <c r="E3966" s="3" t="s">
        <v>18</v>
      </c>
      <c r="F3966" s="3" t="s">
        <v>11</v>
      </c>
      <c r="G3966" s="3" t="s">
        <v>112</v>
      </c>
      <c r="H3966" s="3" t="s">
        <v>477</v>
      </c>
      <c r="I3966" s="11">
        <v>403.35199999999998</v>
      </c>
      <c r="J3966" s="18">
        <v>3</v>
      </c>
      <c r="K3966" s="12">
        <v>45.293999999999997</v>
      </c>
    </row>
    <row r="3967" spans="1:11" x14ac:dyDescent="0.25">
      <c r="A3967" s="4">
        <v>44038</v>
      </c>
      <c r="B3967" s="19">
        <f t="shared" si="122"/>
        <v>2020</v>
      </c>
      <c r="C3967" s="19">
        <f t="shared" si="123"/>
        <v>7</v>
      </c>
      <c r="D3967" s="5" t="s">
        <v>2186</v>
      </c>
      <c r="E3967" s="5" t="s">
        <v>18</v>
      </c>
      <c r="F3967" s="5" t="s">
        <v>14</v>
      </c>
      <c r="G3967" s="5" t="s">
        <v>24</v>
      </c>
      <c r="H3967" s="5" t="s">
        <v>1876</v>
      </c>
      <c r="I3967" s="13">
        <v>1687.95</v>
      </c>
      <c r="J3967" s="19">
        <v>5</v>
      </c>
      <c r="K3967" s="14">
        <v>659.98</v>
      </c>
    </row>
    <row r="3968" spans="1:11" x14ac:dyDescent="0.25">
      <c r="A3968" s="2">
        <v>44039</v>
      </c>
      <c r="B3968" s="18">
        <f t="shared" si="122"/>
        <v>2020</v>
      </c>
      <c r="C3968" s="18">
        <f t="shared" si="123"/>
        <v>7</v>
      </c>
      <c r="D3968" s="3" t="s">
        <v>2394</v>
      </c>
      <c r="E3968" s="3" t="s">
        <v>44</v>
      </c>
      <c r="F3968" s="3" t="s">
        <v>11</v>
      </c>
      <c r="G3968" s="3" t="s">
        <v>51</v>
      </c>
      <c r="H3968" s="3" t="s">
        <v>733</v>
      </c>
      <c r="I3968" s="11">
        <v>131.03200000000001</v>
      </c>
      <c r="J3968" s="18">
        <v>3</v>
      </c>
      <c r="K3968" s="12">
        <v>-2.2757999999999998</v>
      </c>
    </row>
    <row r="3969" spans="1:11" x14ac:dyDescent="0.25">
      <c r="A3969" s="4">
        <v>44039</v>
      </c>
      <c r="B3969" s="19">
        <f t="shared" si="122"/>
        <v>2020</v>
      </c>
      <c r="C3969" s="19">
        <f t="shared" si="123"/>
        <v>7</v>
      </c>
      <c r="D3969" s="5" t="s">
        <v>2062</v>
      </c>
      <c r="E3969" s="5" t="s">
        <v>35</v>
      </c>
      <c r="F3969" s="5" t="s">
        <v>11</v>
      </c>
      <c r="G3969" s="5" t="s">
        <v>112</v>
      </c>
      <c r="H3969" s="5" t="s">
        <v>1116</v>
      </c>
      <c r="I3969" s="13">
        <v>224.84800000000001</v>
      </c>
      <c r="J3969" s="19">
        <v>4</v>
      </c>
      <c r="K3969" s="14">
        <v>12.178000000000001</v>
      </c>
    </row>
    <row r="3970" spans="1:11" x14ac:dyDescent="0.25">
      <c r="A3970" s="2">
        <v>44039</v>
      </c>
      <c r="B3970" s="18">
        <f t="shared" ref="B3970:B4033" si="124">YEAR(A3970)</f>
        <v>2020</v>
      </c>
      <c r="C3970" s="18">
        <f t="shared" ref="C3970:C4033" si="125">MONTH(A3970)</f>
        <v>7</v>
      </c>
      <c r="D3970" s="3" t="s">
        <v>1233</v>
      </c>
      <c r="E3970" s="3" t="s">
        <v>70</v>
      </c>
      <c r="F3970" s="3" t="s">
        <v>14</v>
      </c>
      <c r="G3970" s="3" t="s">
        <v>24</v>
      </c>
      <c r="H3970" s="3" t="s">
        <v>808</v>
      </c>
      <c r="I3970" s="11">
        <v>274.95</v>
      </c>
      <c r="J3970" s="18">
        <v>5</v>
      </c>
      <c r="K3970" s="12">
        <v>32.893000000000001</v>
      </c>
    </row>
    <row r="3971" spans="1:11" x14ac:dyDescent="0.25">
      <c r="A3971" s="4">
        <v>44039</v>
      </c>
      <c r="B3971" s="19">
        <f t="shared" si="124"/>
        <v>2020</v>
      </c>
      <c r="C3971" s="19">
        <f t="shared" si="125"/>
        <v>7</v>
      </c>
      <c r="D3971" s="5" t="s">
        <v>2212</v>
      </c>
      <c r="E3971" s="5" t="s">
        <v>94</v>
      </c>
      <c r="F3971" s="5" t="s">
        <v>14</v>
      </c>
      <c r="G3971" s="5" t="s">
        <v>15</v>
      </c>
      <c r="H3971" s="5" t="s">
        <v>1504</v>
      </c>
      <c r="I3971" s="13">
        <v>565.91999999999996</v>
      </c>
      <c r="J3971" s="19">
        <v>8</v>
      </c>
      <c r="K3971" s="14">
        <v>135.97999999999999</v>
      </c>
    </row>
    <row r="3972" spans="1:11" x14ac:dyDescent="0.25">
      <c r="A3972" s="2">
        <v>44039</v>
      </c>
      <c r="B3972" s="18">
        <f t="shared" si="124"/>
        <v>2020</v>
      </c>
      <c r="C3972" s="18">
        <f t="shared" si="125"/>
        <v>7</v>
      </c>
      <c r="D3972" s="3" t="s">
        <v>1233</v>
      </c>
      <c r="E3972" s="3" t="s">
        <v>70</v>
      </c>
      <c r="F3972" s="3" t="s">
        <v>19</v>
      </c>
      <c r="G3972" s="3" t="s">
        <v>53</v>
      </c>
      <c r="H3972" s="3" t="s">
        <v>2395</v>
      </c>
      <c r="I3972" s="11">
        <v>103.2</v>
      </c>
      <c r="J3972" s="18">
        <v>4</v>
      </c>
      <c r="K3972" s="12">
        <v>12.052</v>
      </c>
    </row>
    <row r="3973" spans="1:11" x14ac:dyDescent="0.25">
      <c r="A3973" s="4">
        <v>44039</v>
      </c>
      <c r="B3973" s="19">
        <f t="shared" si="124"/>
        <v>2020</v>
      </c>
      <c r="C3973" s="19">
        <f t="shared" si="125"/>
        <v>7</v>
      </c>
      <c r="D3973" s="5" t="s">
        <v>1233</v>
      </c>
      <c r="E3973" s="5" t="s">
        <v>70</v>
      </c>
      <c r="F3973" s="5" t="s">
        <v>19</v>
      </c>
      <c r="G3973" s="5" t="s">
        <v>53</v>
      </c>
      <c r="H3973" s="5" t="s">
        <v>600</v>
      </c>
      <c r="I3973" s="13">
        <v>124.96</v>
      </c>
      <c r="J3973" s="19">
        <v>2</v>
      </c>
      <c r="K3973" s="14">
        <v>6.2207999999999997</v>
      </c>
    </row>
    <row r="3974" spans="1:11" x14ac:dyDescent="0.25">
      <c r="A3974" s="2">
        <v>44039</v>
      </c>
      <c r="B3974" s="18">
        <f t="shared" si="124"/>
        <v>2020</v>
      </c>
      <c r="C3974" s="18">
        <f t="shared" si="125"/>
        <v>7</v>
      </c>
      <c r="D3974" s="3" t="s">
        <v>2212</v>
      </c>
      <c r="E3974" s="3" t="s">
        <v>94</v>
      </c>
      <c r="F3974" s="3" t="s">
        <v>11</v>
      </c>
      <c r="G3974" s="3" t="s">
        <v>51</v>
      </c>
      <c r="H3974" s="3" t="s">
        <v>2137</v>
      </c>
      <c r="I3974" s="11">
        <v>112.89</v>
      </c>
      <c r="J3974" s="18">
        <v>1</v>
      </c>
      <c r="K3974" s="12">
        <v>4.0202999999999998</v>
      </c>
    </row>
    <row r="3975" spans="1:11" x14ac:dyDescent="0.25">
      <c r="A3975" s="4">
        <v>44039</v>
      </c>
      <c r="B3975" s="19">
        <f t="shared" si="124"/>
        <v>2020</v>
      </c>
      <c r="C3975" s="19">
        <f t="shared" si="125"/>
        <v>7</v>
      </c>
      <c r="D3975" s="5" t="s">
        <v>1233</v>
      </c>
      <c r="E3975" s="5" t="s">
        <v>70</v>
      </c>
      <c r="F3975" s="5" t="s">
        <v>11</v>
      </c>
      <c r="G3975" s="5" t="s">
        <v>51</v>
      </c>
      <c r="H3975" s="5" t="s">
        <v>797</v>
      </c>
      <c r="I3975" s="13">
        <v>123.88</v>
      </c>
      <c r="J3975" s="19">
        <v>3</v>
      </c>
      <c r="K3975" s="14">
        <v>10.507199999999999</v>
      </c>
    </row>
    <row r="3976" spans="1:11" x14ac:dyDescent="0.25">
      <c r="A3976" s="2">
        <v>44040</v>
      </c>
      <c r="B3976" s="18">
        <f t="shared" si="124"/>
        <v>2020</v>
      </c>
      <c r="C3976" s="18">
        <f t="shared" si="125"/>
        <v>7</v>
      </c>
      <c r="D3976" s="3" t="s">
        <v>1484</v>
      </c>
      <c r="E3976" s="3" t="s">
        <v>18</v>
      </c>
      <c r="F3976" s="3" t="s">
        <v>14</v>
      </c>
      <c r="G3976" s="3" t="s">
        <v>15</v>
      </c>
      <c r="H3976" s="3" t="s">
        <v>941</v>
      </c>
      <c r="I3976" s="11">
        <v>1175.5999999999999</v>
      </c>
      <c r="J3976" s="18">
        <v>4</v>
      </c>
      <c r="K3976" s="12">
        <v>100.24</v>
      </c>
    </row>
    <row r="3977" spans="1:11" x14ac:dyDescent="0.25">
      <c r="A3977" s="4">
        <v>44040</v>
      </c>
      <c r="B3977" s="19">
        <f t="shared" si="124"/>
        <v>2020</v>
      </c>
      <c r="C3977" s="19">
        <f t="shared" si="125"/>
        <v>7</v>
      </c>
      <c r="D3977" s="5" t="s">
        <v>1484</v>
      </c>
      <c r="E3977" s="5" t="s">
        <v>18</v>
      </c>
      <c r="F3977" s="5" t="s">
        <v>19</v>
      </c>
      <c r="G3977" s="5" t="s">
        <v>32</v>
      </c>
      <c r="H3977" s="5" t="s">
        <v>1162</v>
      </c>
      <c r="I3977" s="13">
        <v>132.98400000000001</v>
      </c>
      <c r="J3977" s="19">
        <v>4</v>
      </c>
      <c r="K3977" s="14">
        <v>3.6192000000000002</v>
      </c>
    </row>
    <row r="3978" spans="1:11" x14ac:dyDescent="0.25">
      <c r="A3978" s="2">
        <v>44040</v>
      </c>
      <c r="B3978" s="18">
        <f t="shared" si="124"/>
        <v>2020</v>
      </c>
      <c r="C3978" s="18">
        <f t="shared" si="125"/>
        <v>7</v>
      </c>
      <c r="D3978" s="3" t="s">
        <v>1484</v>
      </c>
      <c r="E3978" s="3" t="s">
        <v>18</v>
      </c>
      <c r="F3978" s="3" t="s">
        <v>19</v>
      </c>
      <c r="G3978" s="3" t="s">
        <v>20</v>
      </c>
      <c r="H3978" s="3" t="s">
        <v>746</v>
      </c>
      <c r="I3978" s="11">
        <v>134.97999999999999</v>
      </c>
      <c r="J3978" s="18">
        <v>1</v>
      </c>
      <c r="K3978" s="12">
        <v>4.1943999999999999</v>
      </c>
    </row>
    <row r="3979" spans="1:11" x14ac:dyDescent="0.25">
      <c r="A3979" s="4">
        <v>44041</v>
      </c>
      <c r="B3979" s="19">
        <f t="shared" si="124"/>
        <v>2020</v>
      </c>
      <c r="C3979" s="19">
        <f t="shared" si="125"/>
        <v>7</v>
      </c>
      <c r="D3979" s="5" t="s">
        <v>256</v>
      </c>
      <c r="E3979" s="5" t="s">
        <v>70</v>
      </c>
      <c r="F3979" s="5" t="s">
        <v>14</v>
      </c>
      <c r="G3979" s="5" t="s">
        <v>24</v>
      </c>
      <c r="H3979" s="5" t="s">
        <v>102</v>
      </c>
      <c r="I3979" s="13">
        <v>133.57</v>
      </c>
      <c r="J3979" s="19">
        <v>3</v>
      </c>
      <c r="K3979" s="14">
        <v>11.774100000000001</v>
      </c>
    </row>
    <row r="3980" spans="1:11" x14ac:dyDescent="0.25">
      <c r="A3980" s="2">
        <v>44041</v>
      </c>
      <c r="B3980" s="18">
        <f t="shared" si="124"/>
        <v>2020</v>
      </c>
      <c r="C3980" s="18">
        <f t="shared" si="125"/>
        <v>7</v>
      </c>
      <c r="D3980" s="3" t="s">
        <v>1333</v>
      </c>
      <c r="E3980" s="3" t="s">
        <v>70</v>
      </c>
      <c r="F3980" s="3" t="s">
        <v>11</v>
      </c>
      <c r="G3980" s="3" t="s">
        <v>12</v>
      </c>
      <c r="H3980" s="3" t="s">
        <v>13</v>
      </c>
      <c r="I3980" s="11">
        <v>149.96</v>
      </c>
      <c r="J3980" s="18">
        <v>2</v>
      </c>
      <c r="K3980" s="12">
        <v>25.511199999999999</v>
      </c>
    </row>
    <row r="3981" spans="1:11" x14ac:dyDescent="0.25">
      <c r="A3981" s="4">
        <v>44041</v>
      </c>
      <c r="B3981" s="19">
        <f t="shared" si="124"/>
        <v>2020</v>
      </c>
      <c r="C3981" s="19">
        <f t="shared" si="125"/>
        <v>7</v>
      </c>
      <c r="D3981" s="5" t="s">
        <v>63</v>
      </c>
      <c r="E3981" s="5" t="s">
        <v>23</v>
      </c>
      <c r="F3981" s="5" t="s">
        <v>14</v>
      </c>
      <c r="G3981" s="5" t="s">
        <v>15</v>
      </c>
      <c r="H3981" s="5" t="s">
        <v>1479</v>
      </c>
      <c r="I3981" s="13">
        <v>151.792</v>
      </c>
      <c r="J3981" s="19">
        <v>1</v>
      </c>
      <c r="K3981" s="14">
        <v>15.599</v>
      </c>
    </row>
    <row r="3982" spans="1:11" x14ac:dyDescent="0.25">
      <c r="A3982" s="2">
        <v>44041</v>
      </c>
      <c r="B3982" s="18">
        <f t="shared" si="124"/>
        <v>2020</v>
      </c>
      <c r="C3982" s="18">
        <f t="shared" si="125"/>
        <v>7</v>
      </c>
      <c r="D3982" s="3" t="s">
        <v>1138</v>
      </c>
      <c r="E3982" s="3" t="s">
        <v>29</v>
      </c>
      <c r="F3982" s="3" t="s">
        <v>19</v>
      </c>
      <c r="G3982" s="3" t="s">
        <v>121</v>
      </c>
      <c r="H3982" s="3" t="s">
        <v>1146</v>
      </c>
      <c r="I3982" s="11">
        <v>168.62</v>
      </c>
      <c r="J3982" s="18">
        <v>2</v>
      </c>
      <c r="K3982" s="12">
        <v>60.552799999999998</v>
      </c>
    </row>
    <row r="3983" spans="1:11" x14ac:dyDescent="0.25">
      <c r="A3983" s="4">
        <v>44041</v>
      </c>
      <c r="B3983" s="19">
        <f t="shared" si="124"/>
        <v>2020</v>
      </c>
      <c r="C3983" s="19">
        <f t="shared" si="125"/>
        <v>7</v>
      </c>
      <c r="D3983" s="5" t="s">
        <v>1138</v>
      </c>
      <c r="E3983" s="5" t="s">
        <v>29</v>
      </c>
      <c r="F3983" s="5" t="s">
        <v>11</v>
      </c>
      <c r="G3983" s="5" t="s">
        <v>112</v>
      </c>
      <c r="H3983" s="5" t="s">
        <v>1297</v>
      </c>
      <c r="I3983" s="13">
        <v>319.67</v>
      </c>
      <c r="J3983" s="19">
        <v>3</v>
      </c>
      <c r="K3983" s="14">
        <v>72.640799999999999</v>
      </c>
    </row>
    <row r="3984" spans="1:11" x14ac:dyDescent="0.25">
      <c r="A3984" s="2">
        <v>44041</v>
      </c>
      <c r="B3984" s="18">
        <f t="shared" si="124"/>
        <v>2020</v>
      </c>
      <c r="C3984" s="18">
        <f t="shared" si="125"/>
        <v>7</v>
      </c>
      <c r="D3984" s="3" t="s">
        <v>1138</v>
      </c>
      <c r="E3984" s="3" t="s">
        <v>29</v>
      </c>
      <c r="F3984" s="3" t="s">
        <v>14</v>
      </c>
      <c r="G3984" s="3" t="s">
        <v>15</v>
      </c>
      <c r="H3984" s="3" t="s">
        <v>727</v>
      </c>
      <c r="I3984" s="11">
        <v>491.97</v>
      </c>
      <c r="J3984" s="18">
        <v>3</v>
      </c>
      <c r="K3984" s="12">
        <v>133.97130000000001</v>
      </c>
    </row>
    <row r="3985" spans="1:11" x14ac:dyDescent="0.25">
      <c r="A3985" s="4">
        <v>44041</v>
      </c>
      <c r="B3985" s="19">
        <f t="shared" si="124"/>
        <v>2020</v>
      </c>
      <c r="C3985" s="19">
        <f t="shared" si="125"/>
        <v>7</v>
      </c>
      <c r="D3985" s="5" t="s">
        <v>63</v>
      </c>
      <c r="E3985" s="5" t="s">
        <v>23</v>
      </c>
      <c r="F3985" s="5" t="s">
        <v>19</v>
      </c>
      <c r="G3985" s="5" t="s">
        <v>116</v>
      </c>
      <c r="H3985" s="5" t="s">
        <v>1773</v>
      </c>
      <c r="I3985" s="13">
        <v>86.896000000000001</v>
      </c>
      <c r="J3985" s="19">
        <v>2</v>
      </c>
      <c r="K3985" s="14">
        <v>0.47060000000000002</v>
      </c>
    </row>
    <row r="3986" spans="1:11" x14ac:dyDescent="0.25">
      <c r="A3986" s="2">
        <v>44041</v>
      </c>
      <c r="B3986" s="18">
        <f t="shared" si="124"/>
        <v>2020</v>
      </c>
      <c r="C3986" s="18">
        <f t="shared" si="125"/>
        <v>7</v>
      </c>
      <c r="D3986" s="3" t="s">
        <v>81</v>
      </c>
      <c r="E3986" s="3" t="s">
        <v>35</v>
      </c>
      <c r="F3986" s="3" t="s">
        <v>19</v>
      </c>
      <c r="G3986" s="3" t="s">
        <v>40</v>
      </c>
      <c r="H3986" s="3" t="s">
        <v>564</v>
      </c>
      <c r="I3986" s="11">
        <v>114.36799999999999</v>
      </c>
      <c r="J3986" s="18">
        <v>3</v>
      </c>
      <c r="K3986" s="12">
        <v>0.38219999999999998</v>
      </c>
    </row>
    <row r="3987" spans="1:11" x14ac:dyDescent="0.25">
      <c r="A3987" s="4">
        <v>44041</v>
      </c>
      <c r="B3987" s="19">
        <f t="shared" si="124"/>
        <v>2020</v>
      </c>
      <c r="C3987" s="19">
        <f t="shared" si="125"/>
        <v>7</v>
      </c>
      <c r="D3987" s="5" t="s">
        <v>81</v>
      </c>
      <c r="E3987" s="5" t="s">
        <v>35</v>
      </c>
      <c r="F3987" s="5" t="s">
        <v>14</v>
      </c>
      <c r="G3987" s="5" t="s">
        <v>15</v>
      </c>
      <c r="H3987" s="5" t="s">
        <v>1420</v>
      </c>
      <c r="I3987" s="13">
        <v>93</v>
      </c>
      <c r="J3987" s="19">
        <v>5</v>
      </c>
      <c r="K3987" s="14">
        <v>1.375</v>
      </c>
    </row>
    <row r="3988" spans="1:11" x14ac:dyDescent="0.25">
      <c r="A3988" s="2">
        <v>44041</v>
      </c>
      <c r="B3988" s="18">
        <f t="shared" si="124"/>
        <v>2020</v>
      </c>
      <c r="C3988" s="18">
        <f t="shared" si="125"/>
        <v>7</v>
      </c>
      <c r="D3988" s="3" t="s">
        <v>1138</v>
      </c>
      <c r="E3988" s="3" t="s">
        <v>29</v>
      </c>
      <c r="F3988" s="3" t="s">
        <v>19</v>
      </c>
      <c r="G3988" s="3" t="s">
        <v>32</v>
      </c>
      <c r="H3988" s="3" t="s">
        <v>1610</v>
      </c>
      <c r="I3988" s="11">
        <v>114.48</v>
      </c>
      <c r="J3988" s="18">
        <v>2</v>
      </c>
      <c r="K3988" s="12">
        <v>16.405200000000001</v>
      </c>
    </row>
    <row r="3989" spans="1:11" x14ac:dyDescent="0.25">
      <c r="A3989" s="4">
        <v>44041</v>
      </c>
      <c r="B3989" s="19">
        <f t="shared" si="124"/>
        <v>2020</v>
      </c>
      <c r="C3989" s="19">
        <f t="shared" si="125"/>
        <v>7</v>
      </c>
      <c r="D3989" s="5" t="s">
        <v>81</v>
      </c>
      <c r="E3989" s="5" t="s">
        <v>35</v>
      </c>
      <c r="F3989" s="5" t="s">
        <v>19</v>
      </c>
      <c r="G3989" s="5" t="s">
        <v>121</v>
      </c>
      <c r="H3989" s="5" t="s">
        <v>917</v>
      </c>
      <c r="I3989" s="13">
        <v>129.84800000000001</v>
      </c>
      <c r="J3989" s="19">
        <v>2</v>
      </c>
      <c r="K3989" s="14">
        <v>6.5339999999999998</v>
      </c>
    </row>
    <row r="3990" spans="1:11" x14ac:dyDescent="0.25">
      <c r="A3990" s="2">
        <v>44041</v>
      </c>
      <c r="B3990" s="18">
        <f t="shared" si="124"/>
        <v>2020</v>
      </c>
      <c r="C3990" s="18">
        <f t="shared" si="125"/>
        <v>7</v>
      </c>
      <c r="D3990" s="3" t="s">
        <v>1967</v>
      </c>
      <c r="E3990" s="3" t="s">
        <v>94</v>
      </c>
      <c r="F3990" s="3" t="s">
        <v>19</v>
      </c>
      <c r="G3990" s="3" t="s">
        <v>40</v>
      </c>
      <c r="H3990" s="3" t="s">
        <v>1586</v>
      </c>
      <c r="I3990" s="11">
        <v>155.12</v>
      </c>
      <c r="J3990" s="18">
        <v>9</v>
      </c>
      <c r="K3990" s="12">
        <v>22.244399999999999</v>
      </c>
    </row>
    <row r="3991" spans="1:11" x14ac:dyDescent="0.25">
      <c r="A3991" s="4">
        <v>44042</v>
      </c>
      <c r="B3991" s="19">
        <f t="shared" si="124"/>
        <v>2020</v>
      </c>
      <c r="C3991" s="19">
        <f t="shared" si="125"/>
        <v>7</v>
      </c>
      <c r="D3991" s="5" t="s">
        <v>1401</v>
      </c>
      <c r="E3991" s="5" t="s">
        <v>67</v>
      </c>
      <c r="F3991" s="5" t="s">
        <v>19</v>
      </c>
      <c r="G3991" s="5" t="s">
        <v>32</v>
      </c>
      <c r="H3991" s="5" t="s">
        <v>310</v>
      </c>
      <c r="I3991" s="13">
        <v>110.776</v>
      </c>
      <c r="J3991" s="19">
        <v>4</v>
      </c>
      <c r="K3991" s="14">
        <v>-53.743200000000002</v>
      </c>
    </row>
    <row r="3992" spans="1:11" x14ac:dyDescent="0.25">
      <c r="A3992" s="2">
        <v>44042</v>
      </c>
      <c r="B3992" s="18">
        <f t="shared" si="124"/>
        <v>2020</v>
      </c>
      <c r="C3992" s="18">
        <f t="shared" si="125"/>
        <v>7</v>
      </c>
      <c r="D3992" s="3" t="s">
        <v>734</v>
      </c>
      <c r="E3992" s="3" t="s">
        <v>18</v>
      </c>
      <c r="F3992" s="3" t="s">
        <v>19</v>
      </c>
      <c r="G3992" s="3" t="s">
        <v>20</v>
      </c>
      <c r="H3992" s="3" t="s">
        <v>2396</v>
      </c>
      <c r="I3992" s="11">
        <v>361.4</v>
      </c>
      <c r="J3992" s="18">
        <v>2</v>
      </c>
      <c r="K3992" s="12">
        <v>85.903999999999996</v>
      </c>
    </row>
    <row r="3993" spans="1:11" x14ac:dyDescent="0.25">
      <c r="A3993" s="4">
        <v>44042</v>
      </c>
      <c r="B3993" s="19">
        <f t="shared" si="124"/>
        <v>2020</v>
      </c>
      <c r="C3993" s="19">
        <f t="shared" si="125"/>
        <v>7</v>
      </c>
      <c r="D3993" s="5" t="s">
        <v>734</v>
      </c>
      <c r="E3993" s="5" t="s">
        <v>18</v>
      </c>
      <c r="F3993" s="5" t="s">
        <v>19</v>
      </c>
      <c r="G3993" s="5" t="s">
        <v>127</v>
      </c>
      <c r="H3993" s="5" t="s">
        <v>1596</v>
      </c>
      <c r="I3993" s="13">
        <v>116.25</v>
      </c>
      <c r="J3993" s="19">
        <v>7</v>
      </c>
      <c r="K3993" s="14">
        <v>12.6</v>
      </c>
    </row>
    <row r="3994" spans="1:11" x14ac:dyDescent="0.25">
      <c r="A3994" s="2">
        <v>44042</v>
      </c>
      <c r="B3994" s="18">
        <f t="shared" si="124"/>
        <v>2020</v>
      </c>
      <c r="C3994" s="18">
        <f t="shared" si="125"/>
        <v>7</v>
      </c>
      <c r="D3994" s="3" t="s">
        <v>1153</v>
      </c>
      <c r="E3994" s="3" t="s">
        <v>10</v>
      </c>
      <c r="F3994" s="3" t="s">
        <v>14</v>
      </c>
      <c r="G3994" s="3" t="s">
        <v>15</v>
      </c>
      <c r="H3994" s="3" t="s">
        <v>1257</v>
      </c>
      <c r="I3994" s="11">
        <v>173.95</v>
      </c>
      <c r="J3994" s="18">
        <v>5</v>
      </c>
      <c r="K3994" s="12">
        <v>43.176000000000002</v>
      </c>
    </row>
    <row r="3995" spans="1:11" x14ac:dyDescent="0.25">
      <c r="A3995" s="4">
        <v>44043</v>
      </c>
      <c r="B3995" s="19">
        <f t="shared" si="124"/>
        <v>2020</v>
      </c>
      <c r="C3995" s="19">
        <f t="shared" si="125"/>
        <v>7</v>
      </c>
      <c r="D3995" s="5" t="s">
        <v>1908</v>
      </c>
      <c r="E3995" s="5" t="s">
        <v>56</v>
      </c>
      <c r="F3995" s="5" t="s">
        <v>19</v>
      </c>
      <c r="G3995" s="5" t="s">
        <v>121</v>
      </c>
      <c r="H3995" s="5" t="s">
        <v>2397</v>
      </c>
      <c r="I3995" s="13">
        <v>182.88</v>
      </c>
      <c r="J3995" s="19">
        <v>6</v>
      </c>
      <c r="K3995" s="14">
        <v>54.558</v>
      </c>
    </row>
    <row r="3996" spans="1:11" x14ac:dyDescent="0.25">
      <c r="A3996" s="2">
        <v>44043</v>
      </c>
      <c r="B3996" s="18">
        <f t="shared" si="124"/>
        <v>2020</v>
      </c>
      <c r="C3996" s="18">
        <f t="shared" si="125"/>
        <v>7</v>
      </c>
      <c r="D3996" s="3" t="s">
        <v>1011</v>
      </c>
      <c r="E3996" s="3" t="s">
        <v>39</v>
      </c>
      <c r="F3996" s="3" t="s">
        <v>14</v>
      </c>
      <c r="G3996" s="3" t="s">
        <v>15</v>
      </c>
      <c r="H3996" s="3" t="s">
        <v>1316</v>
      </c>
      <c r="I3996" s="11">
        <v>319.57600000000002</v>
      </c>
      <c r="J3996" s="18">
        <v>4</v>
      </c>
      <c r="K3996" s="12">
        <v>-57.115200000000002</v>
      </c>
    </row>
    <row r="3997" spans="1:11" x14ac:dyDescent="0.25">
      <c r="A3997" s="4">
        <v>44043</v>
      </c>
      <c r="B3997" s="19">
        <f t="shared" si="124"/>
        <v>2020</v>
      </c>
      <c r="C3997" s="19">
        <f t="shared" si="125"/>
        <v>7</v>
      </c>
      <c r="D3997" s="5" t="s">
        <v>1460</v>
      </c>
      <c r="E3997" s="5" t="s">
        <v>309</v>
      </c>
      <c r="F3997" s="5" t="s">
        <v>19</v>
      </c>
      <c r="G3997" s="5" t="s">
        <v>32</v>
      </c>
      <c r="H3997" s="5" t="s">
        <v>1606</v>
      </c>
      <c r="I3997" s="13">
        <v>877.95</v>
      </c>
      <c r="J3997" s="19">
        <v>5</v>
      </c>
      <c r="K3997" s="14">
        <v>390.97699999999998</v>
      </c>
    </row>
    <row r="3998" spans="1:11" x14ac:dyDescent="0.25">
      <c r="A3998" s="2">
        <v>44043</v>
      </c>
      <c r="B3998" s="18">
        <f t="shared" si="124"/>
        <v>2020</v>
      </c>
      <c r="C3998" s="18">
        <f t="shared" si="125"/>
        <v>7</v>
      </c>
      <c r="D3998" s="3" t="s">
        <v>1908</v>
      </c>
      <c r="E3998" s="3" t="s">
        <v>56</v>
      </c>
      <c r="F3998" s="3" t="s">
        <v>19</v>
      </c>
      <c r="G3998" s="3" t="s">
        <v>32</v>
      </c>
      <c r="H3998" s="3" t="s">
        <v>1888</v>
      </c>
      <c r="I3998" s="11">
        <v>103.52</v>
      </c>
      <c r="J3998" s="18">
        <v>4</v>
      </c>
      <c r="K3998" s="12">
        <v>8.4095999999999993</v>
      </c>
    </row>
    <row r="3999" spans="1:11" x14ac:dyDescent="0.25">
      <c r="A3999" s="4">
        <v>44043</v>
      </c>
      <c r="B3999" s="19">
        <f t="shared" si="124"/>
        <v>2020</v>
      </c>
      <c r="C3999" s="19">
        <f t="shared" si="125"/>
        <v>7</v>
      </c>
      <c r="D3999" s="5" t="s">
        <v>1460</v>
      </c>
      <c r="E3999" s="5" t="s">
        <v>309</v>
      </c>
      <c r="F3999" s="5" t="s">
        <v>19</v>
      </c>
      <c r="G3999" s="5" t="s">
        <v>53</v>
      </c>
      <c r="H3999" s="5" t="s">
        <v>1447</v>
      </c>
      <c r="I3999" s="13">
        <v>123.54</v>
      </c>
      <c r="J3999" s="19">
        <v>1</v>
      </c>
      <c r="K3999" s="14">
        <v>5.5392000000000001</v>
      </c>
    </row>
    <row r="4000" spans="1:11" x14ac:dyDescent="0.25">
      <c r="A4000" s="2">
        <v>44043</v>
      </c>
      <c r="B4000" s="18">
        <f t="shared" si="124"/>
        <v>2020</v>
      </c>
      <c r="C4000" s="18">
        <f t="shared" si="125"/>
        <v>7</v>
      </c>
      <c r="D4000" s="3" t="s">
        <v>1460</v>
      </c>
      <c r="E4000" s="3" t="s">
        <v>309</v>
      </c>
      <c r="F4000" s="3" t="s">
        <v>19</v>
      </c>
      <c r="G4000" s="3" t="s">
        <v>32</v>
      </c>
      <c r="H4000" s="3" t="s">
        <v>2011</v>
      </c>
      <c r="I4000" s="11">
        <v>130.01</v>
      </c>
      <c r="J4000" s="18">
        <v>3</v>
      </c>
      <c r="K4000" s="12">
        <v>5.3948999999999998</v>
      </c>
    </row>
    <row r="4001" spans="1:11" x14ac:dyDescent="0.25">
      <c r="A4001" s="4">
        <v>44043</v>
      </c>
      <c r="B4001" s="19">
        <f t="shared" si="124"/>
        <v>2020</v>
      </c>
      <c r="C4001" s="19">
        <f t="shared" si="125"/>
        <v>7</v>
      </c>
      <c r="D4001" s="5" t="s">
        <v>2012</v>
      </c>
      <c r="E4001" s="5" t="s">
        <v>18</v>
      </c>
      <c r="F4001" s="5" t="s">
        <v>11</v>
      </c>
      <c r="G4001" s="5" t="s">
        <v>51</v>
      </c>
      <c r="H4001" s="5" t="s">
        <v>2056</v>
      </c>
      <c r="I4001" s="13">
        <v>104.96</v>
      </c>
      <c r="J4001" s="19">
        <v>7</v>
      </c>
      <c r="K4001" s="14">
        <v>11.457599999999999</v>
      </c>
    </row>
    <row r="4002" spans="1:11" x14ac:dyDescent="0.25">
      <c r="A4002" s="2">
        <v>44043</v>
      </c>
      <c r="B4002" s="18">
        <f t="shared" si="124"/>
        <v>2020</v>
      </c>
      <c r="C4002" s="18">
        <f t="shared" si="125"/>
        <v>7</v>
      </c>
      <c r="D4002" s="3" t="s">
        <v>581</v>
      </c>
      <c r="E4002" s="3" t="s">
        <v>44</v>
      </c>
      <c r="F4002" s="3" t="s">
        <v>14</v>
      </c>
      <c r="G4002" s="3" t="s">
        <v>24</v>
      </c>
      <c r="H4002" s="3" t="s">
        <v>2252</v>
      </c>
      <c r="I4002" s="11">
        <v>134.42400000000001</v>
      </c>
      <c r="J4002" s="18">
        <v>2</v>
      </c>
      <c r="K4002" s="12">
        <v>8.2848000000000006</v>
      </c>
    </row>
    <row r="4003" spans="1:11" x14ac:dyDescent="0.25">
      <c r="A4003" s="4">
        <v>44043</v>
      </c>
      <c r="B4003" s="19">
        <f t="shared" si="124"/>
        <v>2020</v>
      </c>
      <c r="C4003" s="19">
        <f t="shared" si="125"/>
        <v>7</v>
      </c>
      <c r="D4003" s="5" t="s">
        <v>1772</v>
      </c>
      <c r="E4003" s="5" t="s">
        <v>164</v>
      </c>
      <c r="F4003" s="5" t="s">
        <v>14</v>
      </c>
      <c r="G4003" s="5" t="s">
        <v>15</v>
      </c>
      <c r="H4003" s="5" t="s">
        <v>649</v>
      </c>
      <c r="I4003" s="13">
        <v>159.792</v>
      </c>
      <c r="J4003" s="19">
        <v>1</v>
      </c>
      <c r="K4003" s="14">
        <v>4.1391</v>
      </c>
    </row>
    <row r="4004" spans="1:11" x14ac:dyDescent="0.25">
      <c r="A4004" s="2">
        <v>44043</v>
      </c>
      <c r="B4004" s="18">
        <f t="shared" si="124"/>
        <v>2020</v>
      </c>
      <c r="C4004" s="18">
        <f t="shared" si="125"/>
        <v>7</v>
      </c>
      <c r="D4004" s="3" t="s">
        <v>250</v>
      </c>
      <c r="E4004" s="3" t="s">
        <v>39</v>
      </c>
      <c r="F4004" s="3" t="s">
        <v>19</v>
      </c>
      <c r="G4004" s="3" t="s">
        <v>53</v>
      </c>
      <c r="H4004" s="3" t="s">
        <v>939</v>
      </c>
      <c r="I4004" s="11">
        <v>166.816</v>
      </c>
      <c r="J4004" s="18">
        <v>3</v>
      </c>
      <c r="K4004" s="12">
        <v>17.815200000000001</v>
      </c>
    </row>
    <row r="4005" spans="1:11" x14ac:dyDescent="0.25">
      <c r="A4005" s="4">
        <v>44043</v>
      </c>
      <c r="B4005" s="19">
        <f t="shared" si="124"/>
        <v>2020</v>
      </c>
      <c r="C4005" s="19">
        <f t="shared" si="125"/>
        <v>7</v>
      </c>
      <c r="D4005" s="5" t="s">
        <v>2012</v>
      </c>
      <c r="E4005" s="5" t="s">
        <v>18</v>
      </c>
      <c r="F4005" s="5" t="s">
        <v>19</v>
      </c>
      <c r="G4005" s="5" t="s">
        <v>20</v>
      </c>
      <c r="H4005" s="5" t="s">
        <v>555</v>
      </c>
      <c r="I4005" s="13">
        <v>156.56</v>
      </c>
      <c r="J4005" s="19">
        <v>2</v>
      </c>
      <c r="K4005" s="14">
        <v>15.2712</v>
      </c>
    </row>
    <row r="4006" spans="1:11" x14ac:dyDescent="0.25">
      <c r="A4006" s="2">
        <v>44044</v>
      </c>
      <c r="B4006" s="18">
        <f t="shared" si="124"/>
        <v>2020</v>
      </c>
      <c r="C4006" s="18">
        <f t="shared" si="125"/>
        <v>8</v>
      </c>
      <c r="D4006" s="3" t="s">
        <v>966</v>
      </c>
      <c r="E4006" s="3" t="s">
        <v>164</v>
      </c>
      <c r="F4006" s="3" t="s">
        <v>14</v>
      </c>
      <c r="G4006" s="3" t="s">
        <v>15</v>
      </c>
      <c r="H4006" s="3" t="s">
        <v>1951</v>
      </c>
      <c r="I4006" s="11">
        <v>113.98399999999999</v>
      </c>
      <c r="J4006" s="18">
        <v>2</v>
      </c>
      <c r="K4006" s="12">
        <v>5.9989999999999997</v>
      </c>
    </row>
    <row r="4007" spans="1:11" x14ac:dyDescent="0.25">
      <c r="A4007" s="4">
        <v>44044</v>
      </c>
      <c r="B4007" s="19">
        <f t="shared" si="124"/>
        <v>2020</v>
      </c>
      <c r="C4007" s="19">
        <f t="shared" si="125"/>
        <v>8</v>
      </c>
      <c r="D4007" s="5" t="s">
        <v>2398</v>
      </c>
      <c r="E4007" s="5" t="s">
        <v>18</v>
      </c>
      <c r="F4007" s="5" t="s">
        <v>19</v>
      </c>
      <c r="G4007" s="5" t="s">
        <v>20</v>
      </c>
      <c r="H4007" s="5" t="s">
        <v>216</v>
      </c>
      <c r="I4007" s="13">
        <v>203.54</v>
      </c>
      <c r="J4007" s="19">
        <v>3</v>
      </c>
      <c r="K4007" s="14">
        <v>50.3658</v>
      </c>
    </row>
    <row r="4008" spans="1:11" x14ac:dyDescent="0.25">
      <c r="A4008" s="2">
        <v>44044</v>
      </c>
      <c r="B4008" s="18">
        <f t="shared" si="124"/>
        <v>2020</v>
      </c>
      <c r="C4008" s="18">
        <f t="shared" si="125"/>
        <v>8</v>
      </c>
      <c r="D4008" s="3" t="s">
        <v>2257</v>
      </c>
      <c r="E4008" s="3" t="s">
        <v>35</v>
      </c>
      <c r="F4008" s="3" t="s">
        <v>14</v>
      </c>
      <c r="G4008" s="3" t="s">
        <v>15</v>
      </c>
      <c r="H4008" s="3" t="s">
        <v>1504</v>
      </c>
      <c r="I4008" s="11">
        <v>317.95999999999998</v>
      </c>
      <c r="J4008" s="18">
        <v>5</v>
      </c>
      <c r="K4008" s="12">
        <v>16.997499999999999</v>
      </c>
    </row>
    <row r="4009" spans="1:11" x14ac:dyDescent="0.25">
      <c r="A4009" s="4">
        <v>44044</v>
      </c>
      <c r="B4009" s="19">
        <f t="shared" si="124"/>
        <v>2020</v>
      </c>
      <c r="C4009" s="19">
        <f t="shared" si="125"/>
        <v>8</v>
      </c>
      <c r="D4009" s="5" t="s">
        <v>504</v>
      </c>
      <c r="E4009" s="5" t="s">
        <v>23</v>
      </c>
      <c r="F4009" s="5" t="s">
        <v>14</v>
      </c>
      <c r="G4009" s="5" t="s">
        <v>188</v>
      </c>
      <c r="H4009" s="5" t="s">
        <v>795</v>
      </c>
      <c r="I4009" s="13">
        <v>1453.982</v>
      </c>
      <c r="J4009" s="19">
        <v>3</v>
      </c>
      <c r="K4009" s="14">
        <v>-263.99669999999998</v>
      </c>
    </row>
    <row r="4010" spans="1:11" x14ac:dyDescent="0.25">
      <c r="A4010" s="2">
        <v>44044</v>
      </c>
      <c r="B4010" s="18">
        <f t="shared" si="124"/>
        <v>2020</v>
      </c>
      <c r="C4010" s="18">
        <f t="shared" si="125"/>
        <v>8</v>
      </c>
      <c r="D4010" s="3" t="s">
        <v>504</v>
      </c>
      <c r="E4010" s="3" t="s">
        <v>23</v>
      </c>
      <c r="F4010" s="3" t="s">
        <v>19</v>
      </c>
      <c r="G4010" s="3" t="s">
        <v>53</v>
      </c>
      <c r="H4010" s="3" t="s">
        <v>2399</v>
      </c>
      <c r="I4010" s="11">
        <v>128.28800000000001</v>
      </c>
      <c r="J4010" s="18">
        <v>7</v>
      </c>
      <c r="K4010" s="12">
        <v>12.700799999999999</v>
      </c>
    </row>
    <row r="4011" spans="1:11" x14ac:dyDescent="0.25">
      <c r="A4011" s="4">
        <v>44044</v>
      </c>
      <c r="B4011" s="19">
        <f t="shared" si="124"/>
        <v>2020</v>
      </c>
      <c r="C4011" s="19">
        <f t="shared" si="125"/>
        <v>8</v>
      </c>
      <c r="D4011" s="5" t="s">
        <v>708</v>
      </c>
      <c r="E4011" s="5" t="s">
        <v>18</v>
      </c>
      <c r="F4011" s="5" t="s">
        <v>19</v>
      </c>
      <c r="G4011" s="5" t="s">
        <v>32</v>
      </c>
      <c r="H4011" s="5" t="s">
        <v>1977</v>
      </c>
      <c r="I4011" s="13">
        <v>161.89599999999999</v>
      </c>
      <c r="J4011" s="19">
        <v>2</v>
      </c>
      <c r="K4011" s="14">
        <v>18.5274</v>
      </c>
    </row>
    <row r="4012" spans="1:11" x14ac:dyDescent="0.25">
      <c r="A4012" s="2">
        <v>44046</v>
      </c>
      <c r="B4012" s="18">
        <f t="shared" si="124"/>
        <v>2020</v>
      </c>
      <c r="C4012" s="18">
        <f t="shared" si="125"/>
        <v>8</v>
      </c>
      <c r="D4012" s="3" t="s">
        <v>1918</v>
      </c>
      <c r="E4012" s="3" t="s">
        <v>18</v>
      </c>
      <c r="F4012" s="3" t="s">
        <v>19</v>
      </c>
      <c r="G4012" s="3" t="s">
        <v>20</v>
      </c>
      <c r="H4012" s="3" t="s">
        <v>1714</v>
      </c>
      <c r="I4012" s="11">
        <v>119.87</v>
      </c>
      <c r="J4012" s="18">
        <v>3</v>
      </c>
      <c r="K4012" s="12">
        <v>23.968800000000002</v>
      </c>
    </row>
    <row r="4013" spans="1:11" x14ac:dyDescent="0.25">
      <c r="A4013" s="4">
        <v>44046</v>
      </c>
      <c r="B4013" s="19">
        <f t="shared" si="124"/>
        <v>2020</v>
      </c>
      <c r="C4013" s="19">
        <f t="shared" si="125"/>
        <v>8</v>
      </c>
      <c r="D4013" s="5" t="s">
        <v>291</v>
      </c>
      <c r="E4013" s="5" t="s">
        <v>18</v>
      </c>
      <c r="F4013" s="5" t="s">
        <v>11</v>
      </c>
      <c r="G4013" s="5" t="s">
        <v>51</v>
      </c>
      <c r="H4013" s="5" t="s">
        <v>220</v>
      </c>
      <c r="I4013" s="13">
        <v>168.96</v>
      </c>
      <c r="J4013" s="19">
        <v>3</v>
      </c>
      <c r="K4013" s="14">
        <v>11.1564</v>
      </c>
    </row>
    <row r="4014" spans="1:11" x14ac:dyDescent="0.25">
      <c r="A4014" s="2">
        <v>44046</v>
      </c>
      <c r="B4014" s="18">
        <f t="shared" si="124"/>
        <v>2020</v>
      </c>
      <c r="C4014" s="18">
        <f t="shared" si="125"/>
        <v>8</v>
      </c>
      <c r="D4014" s="3" t="s">
        <v>2400</v>
      </c>
      <c r="E4014" s="3" t="s">
        <v>164</v>
      </c>
      <c r="F4014" s="3" t="s">
        <v>11</v>
      </c>
      <c r="G4014" s="3" t="s">
        <v>12</v>
      </c>
      <c r="H4014" s="3" t="s">
        <v>1670</v>
      </c>
      <c r="I4014" s="11">
        <v>216.37200000000001</v>
      </c>
      <c r="J4014" s="18">
        <v>2</v>
      </c>
      <c r="K4014" s="12">
        <v>-36.674399999999999</v>
      </c>
    </row>
    <row r="4015" spans="1:11" x14ac:dyDescent="0.25">
      <c r="A4015" s="4">
        <v>44046</v>
      </c>
      <c r="B4015" s="19">
        <f t="shared" si="124"/>
        <v>2020</v>
      </c>
      <c r="C4015" s="19">
        <f t="shared" si="125"/>
        <v>8</v>
      </c>
      <c r="D4015" s="5" t="s">
        <v>997</v>
      </c>
      <c r="E4015" s="5" t="s">
        <v>70</v>
      </c>
      <c r="F4015" s="5" t="s">
        <v>19</v>
      </c>
      <c r="G4015" s="5" t="s">
        <v>20</v>
      </c>
      <c r="H4015" s="5" t="s">
        <v>2401</v>
      </c>
      <c r="I4015" s="13">
        <v>100.06</v>
      </c>
      <c r="J4015" s="19">
        <v>1</v>
      </c>
      <c r="K4015" s="14">
        <v>4.1756000000000002</v>
      </c>
    </row>
    <row r="4016" spans="1:11" x14ac:dyDescent="0.25">
      <c r="A4016" s="2">
        <v>44046</v>
      </c>
      <c r="B4016" s="18">
        <f t="shared" si="124"/>
        <v>2020</v>
      </c>
      <c r="C4016" s="18">
        <f t="shared" si="125"/>
        <v>8</v>
      </c>
      <c r="D4016" s="3" t="s">
        <v>1066</v>
      </c>
      <c r="E4016" s="3" t="s">
        <v>67</v>
      </c>
      <c r="F4016" s="3" t="s">
        <v>19</v>
      </c>
      <c r="G4016" s="3" t="s">
        <v>127</v>
      </c>
      <c r="H4016" s="3" t="s">
        <v>129</v>
      </c>
      <c r="I4016" s="11">
        <v>137.52000000000001</v>
      </c>
      <c r="J4016" s="18">
        <v>5</v>
      </c>
      <c r="K4016" s="12">
        <v>5.3689999999999998</v>
      </c>
    </row>
    <row r="4017" spans="1:11" x14ac:dyDescent="0.25">
      <c r="A4017" s="4">
        <v>44046</v>
      </c>
      <c r="B4017" s="19">
        <f t="shared" si="124"/>
        <v>2020</v>
      </c>
      <c r="C4017" s="19">
        <f t="shared" si="125"/>
        <v>8</v>
      </c>
      <c r="D4017" s="5" t="s">
        <v>291</v>
      </c>
      <c r="E4017" s="5" t="s">
        <v>18</v>
      </c>
      <c r="F4017" s="5" t="s">
        <v>19</v>
      </c>
      <c r="G4017" s="5" t="s">
        <v>127</v>
      </c>
      <c r="H4017" s="5" t="s">
        <v>534</v>
      </c>
      <c r="I4017" s="13">
        <v>147.75</v>
      </c>
      <c r="J4017" s="19">
        <v>5</v>
      </c>
      <c r="K4017" s="14">
        <v>24.84</v>
      </c>
    </row>
    <row r="4018" spans="1:11" x14ac:dyDescent="0.25">
      <c r="A4018" s="2">
        <v>44046</v>
      </c>
      <c r="B4018" s="18">
        <f t="shared" si="124"/>
        <v>2020</v>
      </c>
      <c r="C4018" s="18">
        <f t="shared" si="125"/>
        <v>8</v>
      </c>
      <c r="D4018" s="3" t="s">
        <v>185</v>
      </c>
      <c r="E4018" s="3" t="s">
        <v>164</v>
      </c>
      <c r="F4018" s="3" t="s">
        <v>14</v>
      </c>
      <c r="G4018" s="3" t="s">
        <v>24</v>
      </c>
      <c r="H4018" s="3" t="s">
        <v>1781</v>
      </c>
      <c r="I4018" s="11">
        <v>141.816</v>
      </c>
      <c r="J4018" s="18">
        <v>3</v>
      </c>
      <c r="K4018" s="12">
        <v>7.4654999999999996</v>
      </c>
    </row>
    <row r="4019" spans="1:11" x14ac:dyDescent="0.25">
      <c r="A4019" s="4">
        <v>44047</v>
      </c>
      <c r="B4019" s="19">
        <f t="shared" si="124"/>
        <v>2020</v>
      </c>
      <c r="C4019" s="19">
        <f t="shared" si="125"/>
        <v>8</v>
      </c>
      <c r="D4019" s="5" t="s">
        <v>828</v>
      </c>
      <c r="E4019" s="5" t="s">
        <v>306</v>
      </c>
      <c r="F4019" s="5" t="s">
        <v>19</v>
      </c>
      <c r="G4019" s="5" t="s">
        <v>53</v>
      </c>
      <c r="H4019" s="5" t="s">
        <v>2284</v>
      </c>
      <c r="I4019" s="13">
        <v>107.968</v>
      </c>
      <c r="J4019" s="19">
        <v>2</v>
      </c>
      <c r="K4019" s="14">
        <v>2.8883999999999999</v>
      </c>
    </row>
    <row r="4020" spans="1:11" x14ac:dyDescent="0.25">
      <c r="A4020" s="2">
        <v>44047</v>
      </c>
      <c r="B4020" s="18">
        <f t="shared" si="124"/>
        <v>2020</v>
      </c>
      <c r="C4020" s="18">
        <f t="shared" si="125"/>
        <v>8</v>
      </c>
      <c r="D4020" s="3" t="s">
        <v>828</v>
      </c>
      <c r="E4020" s="3" t="s">
        <v>306</v>
      </c>
      <c r="F4020" s="3" t="s">
        <v>19</v>
      </c>
      <c r="G4020" s="3" t="s">
        <v>86</v>
      </c>
      <c r="H4020" s="3" t="s">
        <v>827</v>
      </c>
      <c r="I4020" s="11">
        <v>129.78399999999999</v>
      </c>
      <c r="J4020" s="18">
        <v>1</v>
      </c>
      <c r="K4020" s="12">
        <v>3.1842000000000001</v>
      </c>
    </row>
    <row r="4021" spans="1:11" x14ac:dyDescent="0.25">
      <c r="A4021" s="4">
        <v>44047</v>
      </c>
      <c r="B4021" s="19">
        <f t="shared" si="124"/>
        <v>2020</v>
      </c>
      <c r="C4021" s="19">
        <f t="shared" si="125"/>
        <v>8</v>
      </c>
      <c r="D4021" s="5" t="s">
        <v>828</v>
      </c>
      <c r="E4021" s="5" t="s">
        <v>23</v>
      </c>
      <c r="F4021" s="5" t="s">
        <v>19</v>
      </c>
      <c r="G4021" s="5" t="s">
        <v>32</v>
      </c>
      <c r="H4021" s="5" t="s">
        <v>1395</v>
      </c>
      <c r="I4021" s="13">
        <v>126.318</v>
      </c>
      <c r="J4021" s="19">
        <v>3</v>
      </c>
      <c r="K4021" s="14">
        <v>-5.6406000000000001</v>
      </c>
    </row>
    <row r="4022" spans="1:11" x14ac:dyDescent="0.25">
      <c r="A4022" s="2">
        <v>44048</v>
      </c>
      <c r="B4022" s="18">
        <f t="shared" si="124"/>
        <v>2020</v>
      </c>
      <c r="C4022" s="18">
        <f t="shared" si="125"/>
        <v>8</v>
      </c>
      <c r="D4022" s="3" t="s">
        <v>1587</v>
      </c>
      <c r="E4022" s="3" t="s">
        <v>317</v>
      </c>
      <c r="F4022" s="3" t="s">
        <v>14</v>
      </c>
      <c r="G4022" s="3" t="s">
        <v>24</v>
      </c>
      <c r="H4022" s="3" t="s">
        <v>45</v>
      </c>
      <c r="I4022" s="11">
        <v>122.78</v>
      </c>
      <c r="J4022" s="18">
        <v>2</v>
      </c>
      <c r="K4022" s="12">
        <v>29.518599999999999</v>
      </c>
    </row>
    <row r="4023" spans="1:11" x14ac:dyDescent="0.25">
      <c r="A4023" s="4">
        <v>44048</v>
      </c>
      <c r="B4023" s="19">
        <f t="shared" si="124"/>
        <v>2020</v>
      </c>
      <c r="C4023" s="19">
        <f t="shared" si="125"/>
        <v>8</v>
      </c>
      <c r="D4023" s="5" t="s">
        <v>1587</v>
      </c>
      <c r="E4023" s="5" t="s">
        <v>317</v>
      </c>
      <c r="F4023" s="5" t="s">
        <v>19</v>
      </c>
      <c r="G4023" s="5" t="s">
        <v>127</v>
      </c>
      <c r="H4023" s="5" t="s">
        <v>128</v>
      </c>
      <c r="I4023" s="13">
        <v>154.19999999999999</v>
      </c>
      <c r="J4023" s="19">
        <v>9</v>
      </c>
      <c r="K4023" s="14">
        <v>66.599999999999994</v>
      </c>
    </row>
    <row r="4024" spans="1:11" x14ac:dyDescent="0.25">
      <c r="A4024" s="2">
        <v>44048</v>
      </c>
      <c r="B4024" s="18">
        <f t="shared" si="124"/>
        <v>2020</v>
      </c>
      <c r="C4024" s="18">
        <f t="shared" si="125"/>
        <v>8</v>
      </c>
      <c r="D4024" s="3" t="s">
        <v>1587</v>
      </c>
      <c r="E4024" s="3" t="s">
        <v>317</v>
      </c>
      <c r="F4024" s="3" t="s">
        <v>19</v>
      </c>
      <c r="G4024" s="3" t="s">
        <v>32</v>
      </c>
      <c r="H4024" s="3" t="s">
        <v>1053</v>
      </c>
      <c r="I4024" s="11">
        <v>164.88</v>
      </c>
      <c r="J4024" s="18">
        <v>6</v>
      </c>
      <c r="K4024" s="12">
        <v>60.422400000000003</v>
      </c>
    </row>
    <row r="4025" spans="1:11" x14ac:dyDescent="0.25">
      <c r="A4025" s="4">
        <v>44048</v>
      </c>
      <c r="B4025" s="19">
        <f t="shared" si="124"/>
        <v>2020</v>
      </c>
      <c r="C4025" s="19">
        <f t="shared" si="125"/>
        <v>8</v>
      </c>
      <c r="D4025" s="5" t="s">
        <v>1161</v>
      </c>
      <c r="E4025" s="5" t="s">
        <v>23</v>
      </c>
      <c r="F4025" s="5" t="s">
        <v>19</v>
      </c>
      <c r="G4025" s="5" t="s">
        <v>20</v>
      </c>
      <c r="H4025" s="5" t="s">
        <v>2402</v>
      </c>
      <c r="I4025" s="13">
        <v>200.05600000000001</v>
      </c>
      <c r="J4025" s="19">
        <v>9</v>
      </c>
      <c r="K4025" s="14">
        <v>7.5528000000000004</v>
      </c>
    </row>
    <row r="4026" spans="1:11" x14ac:dyDescent="0.25">
      <c r="A4026" s="2">
        <v>44048</v>
      </c>
      <c r="B4026" s="18">
        <f t="shared" si="124"/>
        <v>2020</v>
      </c>
      <c r="C4026" s="18">
        <f t="shared" si="125"/>
        <v>8</v>
      </c>
      <c r="D4026" s="3" t="s">
        <v>1403</v>
      </c>
      <c r="E4026" s="3" t="s">
        <v>195</v>
      </c>
      <c r="F4026" s="3" t="s">
        <v>19</v>
      </c>
      <c r="G4026" s="3" t="s">
        <v>53</v>
      </c>
      <c r="H4026" s="3" t="s">
        <v>573</v>
      </c>
      <c r="I4026" s="11">
        <v>123.76</v>
      </c>
      <c r="J4026" s="18">
        <v>2</v>
      </c>
      <c r="K4026" s="12">
        <v>6.3296000000000001</v>
      </c>
    </row>
    <row r="4027" spans="1:11" x14ac:dyDescent="0.25">
      <c r="A4027" s="4">
        <v>44049</v>
      </c>
      <c r="B4027" s="19">
        <f t="shared" si="124"/>
        <v>2020</v>
      </c>
      <c r="C4027" s="19">
        <f t="shared" si="125"/>
        <v>8</v>
      </c>
      <c r="D4027" s="5" t="s">
        <v>2022</v>
      </c>
      <c r="E4027" s="5" t="s">
        <v>94</v>
      </c>
      <c r="F4027" s="5" t="s">
        <v>19</v>
      </c>
      <c r="G4027" s="5" t="s">
        <v>265</v>
      </c>
      <c r="H4027" s="5" t="s">
        <v>1327</v>
      </c>
      <c r="I4027" s="13">
        <v>110.12</v>
      </c>
      <c r="J4027" s="19">
        <v>4</v>
      </c>
      <c r="K4027" s="14">
        <v>21.036000000000001</v>
      </c>
    </row>
    <row r="4028" spans="1:11" x14ac:dyDescent="0.25">
      <c r="A4028" s="2">
        <v>44049</v>
      </c>
      <c r="B4028" s="18">
        <f t="shared" si="124"/>
        <v>2020</v>
      </c>
      <c r="C4028" s="18">
        <f t="shared" si="125"/>
        <v>8</v>
      </c>
      <c r="D4028" s="3" t="s">
        <v>145</v>
      </c>
      <c r="E4028" s="3" t="s">
        <v>23</v>
      </c>
      <c r="F4028" s="3" t="s">
        <v>19</v>
      </c>
      <c r="G4028" s="3" t="s">
        <v>53</v>
      </c>
      <c r="H4028" s="3" t="s">
        <v>1508</v>
      </c>
      <c r="I4028" s="11">
        <v>144.29599999999999</v>
      </c>
      <c r="J4028" s="18">
        <v>3</v>
      </c>
      <c r="K4028" s="12">
        <v>40.3536</v>
      </c>
    </row>
    <row r="4029" spans="1:11" x14ac:dyDescent="0.25">
      <c r="A4029" s="4">
        <v>44049</v>
      </c>
      <c r="B4029" s="19">
        <f t="shared" si="124"/>
        <v>2020</v>
      </c>
      <c r="C4029" s="19">
        <f t="shared" si="125"/>
        <v>8</v>
      </c>
      <c r="D4029" s="5" t="s">
        <v>1026</v>
      </c>
      <c r="E4029" s="5" t="s">
        <v>394</v>
      </c>
      <c r="F4029" s="5" t="s">
        <v>11</v>
      </c>
      <c r="G4029" s="5" t="s">
        <v>12</v>
      </c>
      <c r="H4029" s="5" t="s">
        <v>162</v>
      </c>
      <c r="I4029" s="13">
        <v>190.74</v>
      </c>
      <c r="J4029" s="19">
        <v>3</v>
      </c>
      <c r="K4029" s="14">
        <v>23.3184</v>
      </c>
    </row>
    <row r="4030" spans="1:11" x14ac:dyDescent="0.25">
      <c r="A4030" s="2">
        <v>44049</v>
      </c>
      <c r="B4030" s="18">
        <f t="shared" si="124"/>
        <v>2020</v>
      </c>
      <c r="C4030" s="18">
        <f t="shared" si="125"/>
        <v>8</v>
      </c>
      <c r="D4030" s="3" t="s">
        <v>554</v>
      </c>
      <c r="E4030" s="3" t="s">
        <v>104</v>
      </c>
      <c r="F4030" s="3" t="s">
        <v>19</v>
      </c>
      <c r="G4030" s="3" t="s">
        <v>40</v>
      </c>
      <c r="H4030" s="3" t="s">
        <v>1779</v>
      </c>
      <c r="I4030" s="11">
        <v>274.88</v>
      </c>
      <c r="J4030" s="18">
        <v>6</v>
      </c>
      <c r="K4030" s="12">
        <v>68.364000000000004</v>
      </c>
    </row>
    <row r="4031" spans="1:11" x14ac:dyDescent="0.25">
      <c r="A4031" s="4">
        <v>44049</v>
      </c>
      <c r="B4031" s="19">
        <f t="shared" si="124"/>
        <v>2020</v>
      </c>
      <c r="C4031" s="19">
        <f t="shared" si="125"/>
        <v>8</v>
      </c>
      <c r="D4031" s="5" t="s">
        <v>554</v>
      </c>
      <c r="E4031" s="5" t="s">
        <v>104</v>
      </c>
      <c r="F4031" s="5" t="s">
        <v>14</v>
      </c>
      <c r="G4031" s="5" t="s">
        <v>15</v>
      </c>
      <c r="H4031" s="5" t="s">
        <v>2101</v>
      </c>
      <c r="I4031" s="13">
        <v>851.95</v>
      </c>
      <c r="J4031" s="19">
        <v>5</v>
      </c>
      <c r="K4031" s="14">
        <v>247.48500000000001</v>
      </c>
    </row>
    <row r="4032" spans="1:11" x14ac:dyDescent="0.25">
      <c r="A4032" s="2">
        <v>44049</v>
      </c>
      <c r="B4032" s="18">
        <f t="shared" si="124"/>
        <v>2020</v>
      </c>
      <c r="C4032" s="18">
        <f t="shared" si="125"/>
        <v>8</v>
      </c>
      <c r="D4032" s="3" t="s">
        <v>554</v>
      </c>
      <c r="E4032" s="3" t="s">
        <v>104</v>
      </c>
      <c r="F4032" s="3" t="s">
        <v>19</v>
      </c>
      <c r="G4032" s="3" t="s">
        <v>127</v>
      </c>
      <c r="H4032" s="3" t="s">
        <v>857</v>
      </c>
      <c r="I4032" s="11">
        <v>115.64</v>
      </c>
      <c r="J4032" s="18">
        <v>8</v>
      </c>
      <c r="K4032" s="12">
        <v>11.827199999999999</v>
      </c>
    </row>
    <row r="4033" spans="1:11" x14ac:dyDescent="0.25">
      <c r="A4033" s="4">
        <v>44049</v>
      </c>
      <c r="B4033" s="19">
        <f t="shared" si="124"/>
        <v>2020</v>
      </c>
      <c r="C4033" s="19">
        <f t="shared" si="125"/>
        <v>8</v>
      </c>
      <c r="D4033" s="5" t="s">
        <v>1026</v>
      </c>
      <c r="E4033" s="5" t="s">
        <v>394</v>
      </c>
      <c r="F4033" s="5" t="s">
        <v>11</v>
      </c>
      <c r="G4033" s="5" t="s">
        <v>51</v>
      </c>
      <c r="H4033" s="5" t="s">
        <v>1710</v>
      </c>
      <c r="I4033" s="13">
        <v>120.4</v>
      </c>
      <c r="J4033" s="19">
        <v>5</v>
      </c>
      <c r="K4033" s="14">
        <v>7.3920000000000003</v>
      </c>
    </row>
    <row r="4034" spans="1:11" x14ac:dyDescent="0.25">
      <c r="A4034" s="2">
        <v>44050</v>
      </c>
      <c r="B4034" s="18">
        <f t="shared" ref="B4034:B4097" si="126">YEAR(A4034)</f>
        <v>2020</v>
      </c>
      <c r="C4034" s="18">
        <f t="shared" ref="C4034:C4097" si="127">MONTH(A4034)</f>
        <v>8</v>
      </c>
      <c r="D4034" s="3" t="s">
        <v>570</v>
      </c>
      <c r="E4034" s="3" t="s">
        <v>18</v>
      </c>
      <c r="F4034" s="3" t="s">
        <v>11</v>
      </c>
      <c r="G4034" s="3" t="s">
        <v>51</v>
      </c>
      <c r="H4034" s="3" t="s">
        <v>514</v>
      </c>
      <c r="I4034" s="11">
        <v>100.75</v>
      </c>
      <c r="J4034" s="18">
        <v>1</v>
      </c>
      <c r="K4034" s="12">
        <v>15.525</v>
      </c>
    </row>
    <row r="4035" spans="1:11" x14ac:dyDescent="0.25">
      <c r="A4035" s="4">
        <v>44050</v>
      </c>
      <c r="B4035" s="19">
        <f t="shared" si="126"/>
        <v>2020</v>
      </c>
      <c r="C4035" s="19">
        <f t="shared" si="127"/>
        <v>8</v>
      </c>
      <c r="D4035" s="5" t="s">
        <v>245</v>
      </c>
      <c r="E4035" s="5" t="s">
        <v>35</v>
      </c>
      <c r="F4035" s="5" t="s">
        <v>14</v>
      </c>
      <c r="G4035" s="5" t="s">
        <v>24</v>
      </c>
      <c r="H4035" s="5" t="s">
        <v>1415</v>
      </c>
      <c r="I4035" s="13">
        <v>100.992</v>
      </c>
      <c r="J4035" s="19">
        <v>1</v>
      </c>
      <c r="K4035" s="14">
        <v>21.997800000000002</v>
      </c>
    </row>
    <row r="4036" spans="1:11" x14ac:dyDescent="0.25">
      <c r="A4036" s="2">
        <v>44050</v>
      </c>
      <c r="B4036" s="18">
        <f t="shared" si="126"/>
        <v>2020</v>
      </c>
      <c r="C4036" s="18">
        <f t="shared" si="127"/>
        <v>8</v>
      </c>
      <c r="D4036" s="3" t="s">
        <v>745</v>
      </c>
      <c r="E4036" s="3" t="s">
        <v>387</v>
      </c>
      <c r="F4036" s="3" t="s">
        <v>14</v>
      </c>
      <c r="G4036" s="3" t="s">
        <v>24</v>
      </c>
      <c r="H4036" s="3" t="s">
        <v>1422</v>
      </c>
      <c r="I4036" s="11">
        <v>104.96</v>
      </c>
      <c r="J4036" s="18">
        <v>4</v>
      </c>
      <c r="K4036" s="12">
        <v>19.8276</v>
      </c>
    </row>
    <row r="4037" spans="1:11" x14ac:dyDescent="0.25">
      <c r="A4037" s="4">
        <v>44050</v>
      </c>
      <c r="B4037" s="19">
        <f t="shared" si="126"/>
        <v>2020</v>
      </c>
      <c r="C4037" s="19">
        <f t="shared" si="127"/>
        <v>8</v>
      </c>
      <c r="D4037" s="5" t="s">
        <v>2062</v>
      </c>
      <c r="E4037" s="5" t="s">
        <v>94</v>
      </c>
      <c r="F4037" s="5" t="s">
        <v>19</v>
      </c>
      <c r="G4037" s="5" t="s">
        <v>40</v>
      </c>
      <c r="H4037" s="5" t="s">
        <v>1672</v>
      </c>
      <c r="I4037" s="13">
        <v>133.80000000000001</v>
      </c>
      <c r="J4037" s="19">
        <v>10</v>
      </c>
      <c r="K4037" s="14">
        <v>26.2</v>
      </c>
    </row>
    <row r="4038" spans="1:11" x14ac:dyDescent="0.25">
      <c r="A4038" s="2">
        <v>44050</v>
      </c>
      <c r="B4038" s="18">
        <f t="shared" si="126"/>
        <v>2020</v>
      </c>
      <c r="C4038" s="18">
        <f t="shared" si="127"/>
        <v>8</v>
      </c>
      <c r="D4038" s="3" t="s">
        <v>992</v>
      </c>
      <c r="E4038" s="3" t="s">
        <v>23</v>
      </c>
      <c r="F4038" s="3" t="s">
        <v>14</v>
      </c>
      <c r="G4038" s="3" t="s">
        <v>24</v>
      </c>
      <c r="H4038" s="3" t="s">
        <v>2185</v>
      </c>
      <c r="I4038" s="11">
        <v>160.44800000000001</v>
      </c>
      <c r="J4038" s="18">
        <v>3</v>
      </c>
      <c r="K4038" s="12">
        <v>-13.437900000000001</v>
      </c>
    </row>
    <row r="4039" spans="1:11" x14ac:dyDescent="0.25">
      <c r="A4039" s="4">
        <v>44050</v>
      </c>
      <c r="B4039" s="19">
        <f t="shared" si="126"/>
        <v>2020</v>
      </c>
      <c r="C4039" s="19">
        <f t="shared" si="127"/>
        <v>8</v>
      </c>
      <c r="D4039" s="5" t="s">
        <v>992</v>
      </c>
      <c r="E4039" s="5" t="s">
        <v>23</v>
      </c>
      <c r="F4039" s="5" t="s">
        <v>19</v>
      </c>
      <c r="G4039" s="5" t="s">
        <v>20</v>
      </c>
      <c r="H4039" s="5" t="s">
        <v>1588</v>
      </c>
      <c r="I4039" s="13">
        <v>164.16</v>
      </c>
      <c r="J4039" s="19">
        <v>2</v>
      </c>
      <c r="K4039" s="14">
        <v>-25.109000000000002</v>
      </c>
    </row>
    <row r="4040" spans="1:11" x14ac:dyDescent="0.25">
      <c r="A4040" s="2">
        <v>44050</v>
      </c>
      <c r="B4040" s="18">
        <f t="shared" si="126"/>
        <v>2020</v>
      </c>
      <c r="C4040" s="18">
        <f t="shared" si="127"/>
        <v>8</v>
      </c>
      <c r="D4040" s="3" t="s">
        <v>1393</v>
      </c>
      <c r="E4040" s="3" t="s">
        <v>18</v>
      </c>
      <c r="F4040" s="3" t="s">
        <v>14</v>
      </c>
      <c r="G4040" s="3" t="s">
        <v>15</v>
      </c>
      <c r="H4040" s="3" t="s">
        <v>1381</v>
      </c>
      <c r="I4040" s="11">
        <v>195.96</v>
      </c>
      <c r="J4040" s="18">
        <v>5</v>
      </c>
      <c r="K4040" s="12">
        <v>17.9955</v>
      </c>
    </row>
    <row r="4041" spans="1:11" x14ac:dyDescent="0.25">
      <c r="A4041" s="4">
        <v>44050</v>
      </c>
      <c r="B4041" s="19">
        <f t="shared" si="126"/>
        <v>2020</v>
      </c>
      <c r="C4041" s="19">
        <f t="shared" si="127"/>
        <v>8</v>
      </c>
      <c r="D4041" s="5" t="s">
        <v>570</v>
      </c>
      <c r="E4041" s="5" t="s">
        <v>18</v>
      </c>
      <c r="F4041" s="5" t="s">
        <v>11</v>
      </c>
      <c r="G4041" s="5" t="s">
        <v>112</v>
      </c>
      <c r="H4041" s="5" t="s">
        <v>2403</v>
      </c>
      <c r="I4041" s="13">
        <v>257.18400000000003</v>
      </c>
      <c r="J4041" s="19">
        <v>1</v>
      </c>
      <c r="K4041" s="14">
        <v>25.898</v>
      </c>
    </row>
    <row r="4042" spans="1:11" x14ac:dyDescent="0.25">
      <c r="A4042" s="2">
        <v>44050</v>
      </c>
      <c r="B4042" s="18">
        <f t="shared" si="126"/>
        <v>2020</v>
      </c>
      <c r="C4042" s="18">
        <f t="shared" si="127"/>
        <v>8</v>
      </c>
      <c r="D4042" s="3" t="s">
        <v>2036</v>
      </c>
      <c r="E4042" s="3" t="s">
        <v>18</v>
      </c>
      <c r="F4042" s="3" t="s">
        <v>19</v>
      </c>
      <c r="G4042" s="3" t="s">
        <v>53</v>
      </c>
      <c r="H4042" s="3" t="s">
        <v>1681</v>
      </c>
      <c r="I4042" s="11">
        <v>269.55</v>
      </c>
      <c r="J4042" s="18">
        <v>5</v>
      </c>
      <c r="K4042" s="12">
        <v>114.9385</v>
      </c>
    </row>
    <row r="4043" spans="1:11" x14ac:dyDescent="0.25">
      <c r="A4043" s="4">
        <v>44050</v>
      </c>
      <c r="B4043" s="19">
        <f t="shared" si="126"/>
        <v>2020</v>
      </c>
      <c r="C4043" s="19">
        <f t="shared" si="127"/>
        <v>8</v>
      </c>
      <c r="D4043" s="5" t="s">
        <v>570</v>
      </c>
      <c r="E4043" s="5" t="s">
        <v>18</v>
      </c>
      <c r="F4043" s="5" t="s">
        <v>14</v>
      </c>
      <c r="G4043" s="5" t="s">
        <v>15</v>
      </c>
      <c r="H4043" s="5" t="s">
        <v>2404</v>
      </c>
      <c r="I4043" s="13">
        <v>732.88</v>
      </c>
      <c r="J4043" s="19">
        <v>3</v>
      </c>
      <c r="K4043" s="14">
        <v>44.2425</v>
      </c>
    </row>
    <row r="4044" spans="1:11" x14ac:dyDescent="0.25">
      <c r="A4044" s="2">
        <v>44050</v>
      </c>
      <c r="B4044" s="18">
        <f t="shared" si="126"/>
        <v>2020</v>
      </c>
      <c r="C4044" s="18">
        <f t="shared" si="127"/>
        <v>8</v>
      </c>
      <c r="D4044" s="3" t="s">
        <v>570</v>
      </c>
      <c r="E4044" s="3" t="s">
        <v>18</v>
      </c>
      <c r="F4044" s="3" t="s">
        <v>19</v>
      </c>
      <c r="G4044" s="3" t="s">
        <v>121</v>
      </c>
      <c r="H4044" s="3" t="s">
        <v>1360</v>
      </c>
      <c r="I4044" s="11">
        <v>1489.1</v>
      </c>
      <c r="J4044" s="18">
        <v>5</v>
      </c>
      <c r="K4044" s="12">
        <v>412.46800000000002</v>
      </c>
    </row>
    <row r="4045" spans="1:11" x14ac:dyDescent="0.25">
      <c r="A4045" s="4">
        <v>44050</v>
      </c>
      <c r="B4045" s="19">
        <f t="shared" si="126"/>
        <v>2020</v>
      </c>
      <c r="C4045" s="19">
        <f t="shared" si="127"/>
        <v>8</v>
      </c>
      <c r="D4045" s="5" t="s">
        <v>570</v>
      </c>
      <c r="E4045" s="5" t="s">
        <v>18</v>
      </c>
      <c r="F4045" s="5" t="s">
        <v>19</v>
      </c>
      <c r="G4045" s="5" t="s">
        <v>32</v>
      </c>
      <c r="H4045" s="5" t="s">
        <v>719</v>
      </c>
      <c r="I4045" s="13">
        <v>103.952</v>
      </c>
      <c r="J4045" s="19">
        <v>3</v>
      </c>
      <c r="K4045" s="14">
        <v>4.1832000000000003</v>
      </c>
    </row>
    <row r="4046" spans="1:11" x14ac:dyDescent="0.25">
      <c r="A4046" s="2">
        <v>44050</v>
      </c>
      <c r="B4046" s="18">
        <f t="shared" si="126"/>
        <v>2020</v>
      </c>
      <c r="C4046" s="18">
        <f t="shared" si="127"/>
        <v>8</v>
      </c>
      <c r="D4046" s="3" t="s">
        <v>1393</v>
      </c>
      <c r="E4046" s="3" t="s">
        <v>18</v>
      </c>
      <c r="F4046" s="3" t="s">
        <v>19</v>
      </c>
      <c r="G4046" s="3" t="s">
        <v>32</v>
      </c>
      <c r="H4046" s="3" t="s">
        <v>1252</v>
      </c>
      <c r="I4046" s="11">
        <v>88.76</v>
      </c>
      <c r="J4046" s="18">
        <v>2</v>
      </c>
      <c r="K4046" s="12">
        <v>4.6440000000000001</v>
      </c>
    </row>
    <row r="4047" spans="1:11" x14ac:dyDescent="0.25">
      <c r="A4047" s="4">
        <v>44050</v>
      </c>
      <c r="B4047" s="19">
        <f t="shared" si="126"/>
        <v>2020</v>
      </c>
      <c r="C4047" s="19">
        <f t="shared" si="127"/>
        <v>8</v>
      </c>
      <c r="D4047" s="5" t="s">
        <v>570</v>
      </c>
      <c r="E4047" s="5" t="s">
        <v>18</v>
      </c>
      <c r="F4047" s="5" t="s">
        <v>19</v>
      </c>
      <c r="G4047" s="5" t="s">
        <v>53</v>
      </c>
      <c r="H4047" s="5" t="s">
        <v>730</v>
      </c>
      <c r="I4047" s="13">
        <v>96.56</v>
      </c>
      <c r="J4047" s="19">
        <v>2</v>
      </c>
      <c r="K4047" s="14">
        <v>11.543200000000001</v>
      </c>
    </row>
    <row r="4048" spans="1:11" x14ac:dyDescent="0.25">
      <c r="A4048" s="2">
        <v>44050</v>
      </c>
      <c r="B4048" s="18">
        <f t="shared" si="126"/>
        <v>2020</v>
      </c>
      <c r="C4048" s="18">
        <f t="shared" si="127"/>
        <v>8</v>
      </c>
      <c r="D4048" s="3" t="s">
        <v>2062</v>
      </c>
      <c r="E4048" s="3" t="s">
        <v>94</v>
      </c>
      <c r="F4048" s="3" t="s">
        <v>19</v>
      </c>
      <c r="G4048" s="3" t="s">
        <v>40</v>
      </c>
      <c r="H4048" s="3" t="s">
        <v>2116</v>
      </c>
      <c r="I4048" s="11">
        <v>129.68</v>
      </c>
      <c r="J4048" s="18">
        <v>2</v>
      </c>
      <c r="K4048" s="12">
        <v>5.4896000000000003</v>
      </c>
    </row>
    <row r="4049" spans="1:11" x14ac:dyDescent="0.25">
      <c r="A4049" s="4">
        <v>44050</v>
      </c>
      <c r="B4049" s="19">
        <f t="shared" si="126"/>
        <v>2020</v>
      </c>
      <c r="C4049" s="19">
        <f t="shared" si="127"/>
        <v>8</v>
      </c>
      <c r="D4049" s="5" t="s">
        <v>570</v>
      </c>
      <c r="E4049" s="5" t="s">
        <v>18</v>
      </c>
      <c r="F4049" s="5" t="s">
        <v>19</v>
      </c>
      <c r="G4049" s="5" t="s">
        <v>32</v>
      </c>
      <c r="H4049" s="5" t="s">
        <v>2405</v>
      </c>
      <c r="I4049" s="13">
        <v>151.12799999999999</v>
      </c>
      <c r="J4049" s="19">
        <v>3</v>
      </c>
      <c r="K4049" s="14">
        <v>11.673</v>
      </c>
    </row>
    <row r="4050" spans="1:11" x14ac:dyDescent="0.25">
      <c r="A4050" s="2">
        <v>44050</v>
      </c>
      <c r="B4050" s="18">
        <f t="shared" si="126"/>
        <v>2020</v>
      </c>
      <c r="C4050" s="18">
        <f t="shared" si="127"/>
        <v>8</v>
      </c>
      <c r="D4050" s="3" t="s">
        <v>570</v>
      </c>
      <c r="E4050" s="3" t="s">
        <v>18</v>
      </c>
      <c r="F4050" s="3" t="s">
        <v>14</v>
      </c>
      <c r="G4050" s="3" t="s">
        <v>24</v>
      </c>
      <c r="H4050" s="3" t="s">
        <v>1325</v>
      </c>
      <c r="I4050" s="11">
        <v>150.76</v>
      </c>
      <c r="J4050" s="18">
        <v>4</v>
      </c>
      <c r="K4050" s="12">
        <v>7.8064</v>
      </c>
    </row>
    <row r="4051" spans="1:11" x14ac:dyDescent="0.25">
      <c r="A4051" s="4">
        <v>44053</v>
      </c>
      <c r="B4051" s="19">
        <f t="shared" si="126"/>
        <v>2020</v>
      </c>
      <c r="C4051" s="19">
        <f t="shared" si="127"/>
        <v>8</v>
      </c>
      <c r="D4051" s="5" t="s">
        <v>1281</v>
      </c>
      <c r="E4051" s="5" t="s">
        <v>317</v>
      </c>
      <c r="F4051" s="5" t="s">
        <v>11</v>
      </c>
      <c r="G4051" s="5" t="s">
        <v>51</v>
      </c>
      <c r="H4051" s="5" t="s">
        <v>2361</v>
      </c>
      <c r="I4051" s="13">
        <v>139.30000000000001</v>
      </c>
      <c r="J4051" s="19">
        <v>2</v>
      </c>
      <c r="K4051" s="14">
        <v>25.472999999999999</v>
      </c>
    </row>
    <row r="4052" spans="1:11" x14ac:dyDescent="0.25">
      <c r="A4052" s="2">
        <v>44053</v>
      </c>
      <c r="B4052" s="18">
        <f t="shared" si="126"/>
        <v>2020</v>
      </c>
      <c r="C4052" s="18">
        <f t="shared" si="127"/>
        <v>8</v>
      </c>
      <c r="D4052" s="3" t="s">
        <v>1177</v>
      </c>
      <c r="E4052" s="3" t="s">
        <v>317</v>
      </c>
      <c r="F4052" s="3" t="s">
        <v>19</v>
      </c>
      <c r="G4052" s="3" t="s">
        <v>53</v>
      </c>
      <c r="H4052" s="3" t="s">
        <v>2053</v>
      </c>
      <c r="I4052" s="11">
        <v>218.2</v>
      </c>
      <c r="J4052" s="18">
        <v>5</v>
      </c>
      <c r="K4052" s="12">
        <v>83.284000000000006</v>
      </c>
    </row>
    <row r="4053" spans="1:11" x14ac:dyDescent="0.25">
      <c r="A4053" s="4">
        <v>44053</v>
      </c>
      <c r="B4053" s="19">
        <f t="shared" si="126"/>
        <v>2020</v>
      </c>
      <c r="C4053" s="19">
        <f t="shared" si="127"/>
        <v>8</v>
      </c>
      <c r="D4053" s="5" t="s">
        <v>1281</v>
      </c>
      <c r="E4053" s="5" t="s">
        <v>317</v>
      </c>
      <c r="F4053" s="5" t="s">
        <v>14</v>
      </c>
      <c r="G4053" s="5" t="s">
        <v>15</v>
      </c>
      <c r="H4053" s="5" t="s">
        <v>211</v>
      </c>
      <c r="I4053" s="13">
        <v>1474.49</v>
      </c>
      <c r="J4053" s="19">
        <v>9</v>
      </c>
      <c r="K4053" s="14">
        <v>378.16739999999999</v>
      </c>
    </row>
    <row r="4054" spans="1:11" x14ac:dyDescent="0.25">
      <c r="A4054" s="2">
        <v>44053</v>
      </c>
      <c r="B4054" s="18">
        <f t="shared" si="126"/>
        <v>2020</v>
      </c>
      <c r="C4054" s="18">
        <f t="shared" si="127"/>
        <v>8</v>
      </c>
      <c r="D4054" s="3" t="s">
        <v>1281</v>
      </c>
      <c r="E4054" s="3" t="s">
        <v>317</v>
      </c>
      <c r="F4054" s="3" t="s">
        <v>19</v>
      </c>
      <c r="G4054" s="3" t="s">
        <v>86</v>
      </c>
      <c r="H4054" s="3" t="s">
        <v>176</v>
      </c>
      <c r="I4054" s="11">
        <v>169.08</v>
      </c>
      <c r="J4054" s="18">
        <v>6</v>
      </c>
      <c r="K4054" s="12">
        <v>35.04</v>
      </c>
    </row>
    <row r="4055" spans="1:11" x14ac:dyDescent="0.25">
      <c r="A4055" s="4">
        <v>44054</v>
      </c>
      <c r="B4055" s="19">
        <f t="shared" si="126"/>
        <v>2020</v>
      </c>
      <c r="C4055" s="19">
        <f t="shared" si="127"/>
        <v>8</v>
      </c>
      <c r="D4055" s="5" t="s">
        <v>1778</v>
      </c>
      <c r="E4055" s="5" t="s">
        <v>23</v>
      </c>
      <c r="F4055" s="5" t="s">
        <v>14</v>
      </c>
      <c r="G4055" s="5" t="s">
        <v>15</v>
      </c>
      <c r="H4055" s="5" t="s">
        <v>311</v>
      </c>
      <c r="I4055" s="13">
        <v>201.584</v>
      </c>
      <c r="J4055" s="19">
        <v>2</v>
      </c>
      <c r="K4055" s="14">
        <v>13.438599999999999</v>
      </c>
    </row>
    <row r="4056" spans="1:11" x14ac:dyDescent="0.25">
      <c r="A4056" s="2">
        <v>44054</v>
      </c>
      <c r="B4056" s="18">
        <f t="shared" si="126"/>
        <v>2020</v>
      </c>
      <c r="C4056" s="18">
        <f t="shared" si="127"/>
        <v>8</v>
      </c>
      <c r="D4056" s="3" t="s">
        <v>1683</v>
      </c>
      <c r="E4056" s="3" t="s">
        <v>394</v>
      </c>
      <c r="F4056" s="3" t="s">
        <v>19</v>
      </c>
      <c r="G4056" s="3" t="s">
        <v>32</v>
      </c>
      <c r="H4056" s="3" t="s">
        <v>359</v>
      </c>
      <c r="I4056" s="11">
        <v>490.51</v>
      </c>
      <c r="J4056" s="18">
        <v>11</v>
      </c>
      <c r="K4056" s="12">
        <v>219.65459999999999</v>
      </c>
    </row>
    <row r="4057" spans="1:11" x14ac:dyDescent="0.25">
      <c r="A4057" s="4">
        <v>44054</v>
      </c>
      <c r="B4057" s="19">
        <f t="shared" si="126"/>
        <v>2020</v>
      </c>
      <c r="C4057" s="19">
        <f t="shared" si="127"/>
        <v>8</v>
      </c>
      <c r="D4057" s="5" t="s">
        <v>360</v>
      </c>
      <c r="E4057" s="5" t="s">
        <v>94</v>
      </c>
      <c r="F4057" s="5" t="s">
        <v>19</v>
      </c>
      <c r="G4057" s="5" t="s">
        <v>53</v>
      </c>
      <c r="H4057" s="5" t="s">
        <v>721</v>
      </c>
      <c r="I4057" s="13">
        <v>110.92</v>
      </c>
      <c r="J4057" s="19">
        <v>4</v>
      </c>
      <c r="K4057" s="14">
        <v>12.441599999999999</v>
      </c>
    </row>
    <row r="4058" spans="1:11" x14ac:dyDescent="0.25">
      <c r="A4058" s="2">
        <v>44054</v>
      </c>
      <c r="B4058" s="18">
        <f t="shared" si="126"/>
        <v>2020</v>
      </c>
      <c r="C4058" s="18">
        <f t="shared" si="127"/>
        <v>8</v>
      </c>
      <c r="D4058" s="3" t="s">
        <v>1778</v>
      </c>
      <c r="E4058" s="3" t="s">
        <v>23</v>
      </c>
      <c r="F4058" s="3" t="s">
        <v>19</v>
      </c>
      <c r="G4058" s="3" t="s">
        <v>40</v>
      </c>
      <c r="H4058" s="3" t="s">
        <v>679</v>
      </c>
      <c r="I4058" s="11">
        <v>108.184</v>
      </c>
      <c r="J4058" s="18">
        <v>7</v>
      </c>
      <c r="K4058" s="12">
        <v>2.87</v>
      </c>
    </row>
    <row r="4059" spans="1:11" x14ac:dyDescent="0.25">
      <c r="A4059" s="4">
        <v>44054</v>
      </c>
      <c r="B4059" s="19">
        <f t="shared" si="126"/>
        <v>2020</v>
      </c>
      <c r="C4059" s="19">
        <f t="shared" si="127"/>
        <v>8</v>
      </c>
      <c r="D4059" s="5" t="s">
        <v>1778</v>
      </c>
      <c r="E4059" s="5" t="s">
        <v>23</v>
      </c>
      <c r="F4059" s="5" t="s">
        <v>19</v>
      </c>
      <c r="G4059" s="5" t="s">
        <v>53</v>
      </c>
      <c r="H4059" s="5" t="s">
        <v>548</v>
      </c>
      <c r="I4059" s="13">
        <v>133.66399999999999</v>
      </c>
      <c r="J4059" s="19">
        <v>4</v>
      </c>
      <c r="K4059" s="14">
        <v>10.0116</v>
      </c>
    </row>
    <row r="4060" spans="1:11" x14ac:dyDescent="0.25">
      <c r="A4060" s="2">
        <v>44054</v>
      </c>
      <c r="B4060" s="18">
        <f t="shared" si="126"/>
        <v>2020</v>
      </c>
      <c r="C4060" s="18">
        <f t="shared" si="127"/>
        <v>8</v>
      </c>
      <c r="D4060" s="3" t="s">
        <v>1778</v>
      </c>
      <c r="E4060" s="3" t="s">
        <v>23</v>
      </c>
      <c r="F4060" s="3" t="s">
        <v>19</v>
      </c>
      <c r="G4060" s="3" t="s">
        <v>32</v>
      </c>
      <c r="H4060" s="3" t="s">
        <v>1191</v>
      </c>
      <c r="I4060" s="11">
        <v>109.864</v>
      </c>
      <c r="J4060" s="18">
        <v>8</v>
      </c>
      <c r="K4060" s="12">
        <v>-22.512</v>
      </c>
    </row>
    <row r="4061" spans="1:11" x14ac:dyDescent="0.25">
      <c r="A4061" s="4">
        <v>44055</v>
      </c>
      <c r="B4061" s="19">
        <f t="shared" si="126"/>
        <v>2020</v>
      </c>
      <c r="C4061" s="19">
        <f t="shared" si="127"/>
        <v>8</v>
      </c>
      <c r="D4061" s="5" t="s">
        <v>2406</v>
      </c>
      <c r="E4061" s="5" t="s">
        <v>70</v>
      </c>
      <c r="F4061" s="5" t="s">
        <v>19</v>
      </c>
      <c r="G4061" s="5" t="s">
        <v>32</v>
      </c>
      <c r="H4061" s="5" t="s">
        <v>902</v>
      </c>
      <c r="I4061" s="13">
        <v>133.70400000000001</v>
      </c>
      <c r="J4061" s="19">
        <v>6</v>
      </c>
      <c r="K4061" s="14">
        <v>37.764000000000003</v>
      </c>
    </row>
    <row r="4062" spans="1:11" x14ac:dyDescent="0.25">
      <c r="A4062" s="2">
        <v>44055</v>
      </c>
      <c r="B4062" s="18">
        <f t="shared" si="126"/>
        <v>2020</v>
      </c>
      <c r="C4062" s="18">
        <f t="shared" si="127"/>
        <v>8</v>
      </c>
      <c r="D4062" s="3" t="s">
        <v>2406</v>
      </c>
      <c r="E4062" s="3" t="s">
        <v>70</v>
      </c>
      <c r="F4062" s="3" t="s">
        <v>19</v>
      </c>
      <c r="G4062" s="3" t="s">
        <v>53</v>
      </c>
      <c r="H4062" s="3" t="s">
        <v>1083</v>
      </c>
      <c r="I4062" s="11">
        <v>222.16</v>
      </c>
      <c r="J4062" s="18">
        <v>4</v>
      </c>
      <c r="K4062" s="12">
        <v>92.236800000000002</v>
      </c>
    </row>
    <row r="4063" spans="1:11" x14ac:dyDescent="0.25">
      <c r="A4063" s="4">
        <v>44055</v>
      </c>
      <c r="B4063" s="19">
        <f t="shared" si="126"/>
        <v>2020</v>
      </c>
      <c r="C4063" s="19">
        <f t="shared" si="127"/>
        <v>8</v>
      </c>
      <c r="D4063" s="5" t="s">
        <v>2406</v>
      </c>
      <c r="E4063" s="5" t="s">
        <v>70</v>
      </c>
      <c r="F4063" s="5" t="s">
        <v>14</v>
      </c>
      <c r="G4063" s="5" t="s">
        <v>24</v>
      </c>
      <c r="H4063" s="5" t="s">
        <v>1132</v>
      </c>
      <c r="I4063" s="13">
        <v>224.95</v>
      </c>
      <c r="J4063" s="19">
        <v>5</v>
      </c>
      <c r="K4063" s="14">
        <v>12.246499999999999</v>
      </c>
    </row>
    <row r="4064" spans="1:11" x14ac:dyDescent="0.25">
      <c r="A4064" s="2">
        <v>44055</v>
      </c>
      <c r="B4064" s="18">
        <f t="shared" si="126"/>
        <v>2020</v>
      </c>
      <c r="C4064" s="18">
        <f t="shared" si="127"/>
        <v>8</v>
      </c>
      <c r="D4064" s="3" t="s">
        <v>1843</v>
      </c>
      <c r="E4064" s="3" t="s">
        <v>10</v>
      </c>
      <c r="F4064" s="3" t="s">
        <v>19</v>
      </c>
      <c r="G4064" s="3" t="s">
        <v>40</v>
      </c>
      <c r="H4064" s="3" t="s">
        <v>527</v>
      </c>
      <c r="I4064" s="11">
        <v>236.9</v>
      </c>
      <c r="J4064" s="18">
        <v>5</v>
      </c>
      <c r="K4064" s="12">
        <v>59.372999999999998</v>
      </c>
    </row>
    <row r="4065" spans="1:11" x14ac:dyDescent="0.25">
      <c r="A4065" s="4">
        <v>44055</v>
      </c>
      <c r="B4065" s="19">
        <f t="shared" si="126"/>
        <v>2020</v>
      </c>
      <c r="C4065" s="19">
        <f t="shared" si="127"/>
        <v>8</v>
      </c>
      <c r="D4065" s="5" t="s">
        <v>2406</v>
      </c>
      <c r="E4065" s="5" t="s">
        <v>70</v>
      </c>
      <c r="F4065" s="5" t="s">
        <v>14</v>
      </c>
      <c r="G4065" s="5" t="s">
        <v>15</v>
      </c>
      <c r="H4065" s="5" t="s">
        <v>345</v>
      </c>
      <c r="I4065" s="13">
        <v>282.62400000000002</v>
      </c>
      <c r="J4065" s="19">
        <v>8</v>
      </c>
      <c r="K4065" s="14">
        <v>27.295200000000001</v>
      </c>
    </row>
    <row r="4066" spans="1:11" x14ac:dyDescent="0.25">
      <c r="A4066" s="2">
        <v>44055</v>
      </c>
      <c r="B4066" s="18">
        <f t="shared" si="126"/>
        <v>2020</v>
      </c>
      <c r="C4066" s="18">
        <f t="shared" si="127"/>
        <v>8</v>
      </c>
      <c r="D4066" s="3" t="s">
        <v>2406</v>
      </c>
      <c r="E4066" s="3" t="s">
        <v>70</v>
      </c>
      <c r="F4066" s="3" t="s">
        <v>14</v>
      </c>
      <c r="G4066" s="3" t="s">
        <v>36</v>
      </c>
      <c r="H4066" s="3" t="s">
        <v>37</v>
      </c>
      <c r="I4066" s="11">
        <v>337.99</v>
      </c>
      <c r="J4066" s="18">
        <v>1</v>
      </c>
      <c r="K4066" s="12">
        <v>89.997</v>
      </c>
    </row>
    <row r="4067" spans="1:11" x14ac:dyDescent="0.25">
      <c r="A4067" s="4">
        <v>44055</v>
      </c>
      <c r="B4067" s="19">
        <f t="shared" si="126"/>
        <v>2020</v>
      </c>
      <c r="C4067" s="19">
        <f t="shared" si="127"/>
        <v>8</v>
      </c>
      <c r="D4067" s="5" t="s">
        <v>955</v>
      </c>
      <c r="E4067" s="5" t="s">
        <v>18</v>
      </c>
      <c r="F4067" s="5" t="s">
        <v>19</v>
      </c>
      <c r="G4067" s="5" t="s">
        <v>121</v>
      </c>
      <c r="H4067" s="5" t="s">
        <v>2095</v>
      </c>
      <c r="I4067" s="13">
        <v>555.94000000000005</v>
      </c>
      <c r="J4067" s="19">
        <v>3</v>
      </c>
      <c r="K4067" s="14">
        <v>152.0232</v>
      </c>
    </row>
    <row r="4068" spans="1:11" x14ac:dyDescent="0.25">
      <c r="A4068" s="2">
        <v>44055</v>
      </c>
      <c r="B4068" s="18">
        <f t="shared" si="126"/>
        <v>2020</v>
      </c>
      <c r="C4068" s="18">
        <f t="shared" si="127"/>
        <v>8</v>
      </c>
      <c r="D4068" s="3" t="s">
        <v>1843</v>
      </c>
      <c r="E4068" s="3" t="s">
        <v>10</v>
      </c>
      <c r="F4068" s="3" t="s">
        <v>11</v>
      </c>
      <c r="G4068" s="3" t="s">
        <v>112</v>
      </c>
      <c r="H4068" s="3" t="s">
        <v>1241</v>
      </c>
      <c r="I4068" s="11">
        <v>1810.9</v>
      </c>
      <c r="J4068" s="18">
        <v>5</v>
      </c>
      <c r="K4068" s="12">
        <v>373.779</v>
      </c>
    </row>
    <row r="4069" spans="1:11" x14ac:dyDescent="0.25">
      <c r="A4069" s="4">
        <v>44055</v>
      </c>
      <c r="B4069" s="19">
        <f t="shared" si="126"/>
        <v>2020</v>
      </c>
      <c r="C4069" s="19">
        <f t="shared" si="127"/>
        <v>8</v>
      </c>
      <c r="D4069" s="5" t="s">
        <v>1843</v>
      </c>
      <c r="E4069" s="5" t="s">
        <v>10</v>
      </c>
      <c r="F4069" s="5" t="s">
        <v>19</v>
      </c>
      <c r="G4069" s="5" t="s">
        <v>40</v>
      </c>
      <c r="H4069" s="5" t="s">
        <v>41</v>
      </c>
      <c r="I4069" s="13">
        <v>123.52</v>
      </c>
      <c r="J4069" s="19">
        <v>3</v>
      </c>
      <c r="K4069" s="14">
        <v>5.2560000000000002</v>
      </c>
    </row>
    <row r="4070" spans="1:11" x14ac:dyDescent="0.25">
      <c r="A4070" s="2">
        <v>44055</v>
      </c>
      <c r="B4070" s="18">
        <f t="shared" si="126"/>
        <v>2020</v>
      </c>
      <c r="C4070" s="18">
        <f t="shared" si="127"/>
        <v>8</v>
      </c>
      <c r="D4070" s="3" t="s">
        <v>2407</v>
      </c>
      <c r="E4070" s="3" t="s">
        <v>44</v>
      </c>
      <c r="F4070" s="3" t="s">
        <v>19</v>
      </c>
      <c r="G4070" s="3" t="s">
        <v>53</v>
      </c>
      <c r="H4070" s="3" t="s">
        <v>2408</v>
      </c>
      <c r="I4070" s="11">
        <v>150.73599999999999</v>
      </c>
      <c r="J4070" s="18">
        <v>4</v>
      </c>
      <c r="K4070" s="12">
        <v>7.2576000000000001</v>
      </c>
    </row>
    <row r="4071" spans="1:11" x14ac:dyDescent="0.25">
      <c r="A4071" s="4">
        <v>44055</v>
      </c>
      <c r="B4071" s="19">
        <f t="shared" si="126"/>
        <v>2020</v>
      </c>
      <c r="C4071" s="19">
        <f t="shared" si="127"/>
        <v>8</v>
      </c>
      <c r="D4071" s="5" t="s">
        <v>955</v>
      </c>
      <c r="E4071" s="5" t="s">
        <v>18</v>
      </c>
      <c r="F4071" s="5" t="s">
        <v>11</v>
      </c>
      <c r="G4071" s="5" t="s">
        <v>51</v>
      </c>
      <c r="H4071" s="5" t="s">
        <v>2312</v>
      </c>
      <c r="I4071" s="13">
        <v>157.91999999999999</v>
      </c>
      <c r="J4071" s="19">
        <v>4</v>
      </c>
      <c r="K4071" s="14">
        <v>19.7712</v>
      </c>
    </row>
    <row r="4072" spans="1:11" x14ac:dyDescent="0.25">
      <c r="A4072" s="2">
        <v>44055</v>
      </c>
      <c r="B4072" s="18">
        <f t="shared" si="126"/>
        <v>2020</v>
      </c>
      <c r="C4072" s="18">
        <f t="shared" si="127"/>
        <v>8</v>
      </c>
      <c r="D4072" s="3" t="s">
        <v>2406</v>
      </c>
      <c r="E4072" s="3" t="s">
        <v>70</v>
      </c>
      <c r="F4072" s="3" t="s">
        <v>19</v>
      </c>
      <c r="G4072" s="3" t="s">
        <v>20</v>
      </c>
      <c r="H4072" s="3" t="s">
        <v>2328</v>
      </c>
      <c r="I4072" s="11">
        <v>145.74</v>
      </c>
      <c r="J4072" s="18">
        <v>3</v>
      </c>
      <c r="K4072" s="12">
        <v>11.685</v>
      </c>
    </row>
    <row r="4073" spans="1:11" x14ac:dyDescent="0.25">
      <c r="A4073" s="4">
        <v>44056</v>
      </c>
      <c r="B4073" s="19">
        <f t="shared" si="126"/>
        <v>2020</v>
      </c>
      <c r="C4073" s="19">
        <f t="shared" si="127"/>
        <v>8</v>
      </c>
      <c r="D4073" s="5" t="s">
        <v>1393</v>
      </c>
      <c r="E4073" s="5" t="s">
        <v>18</v>
      </c>
      <c r="F4073" s="5" t="s">
        <v>19</v>
      </c>
      <c r="G4073" s="5" t="s">
        <v>40</v>
      </c>
      <c r="H4073" s="5" t="s">
        <v>153</v>
      </c>
      <c r="I4073" s="13">
        <v>108.52</v>
      </c>
      <c r="J4073" s="19">
        <v>3</v>
      </c>
      <c r="K4073" s="14">
        <v>15.475199999999999</v>
      </c>
    </row>
    <row r="4074" spans="1:11" x14ac:dyDescent="0.25">
      <c r="A4074" s="2">
        <v>44056</v>
      </c>
      <c r="B4074" s="18">
        <f t="shared" si="126"/>
        <v>2020</v>
      </c>
      <c r="C4074" s="18">
        <f t="shared" si="127"/>
        <v>8</v>
      </c>
      <c r="D4074" s="3" t="s">
        <v>1393</v>
      </c>
      <c r="E4074" s="3" t="s">
        <v>18</v>
      </c>
      <c r="F4074" s="3" t="s">
        <v>19</v>
      </c>
      <c r="G4074" s="3" t="s">
        <v>121</v>
      </c>
      <c r="H4074" s="3" t="s">
        <v>832</v>
      </c>
      <c r="I4074" s="11">
        <v>119.79</v>
      </c>
      <c r="J4074" s="18">
        <v>7</v>
      </c>
      <c r="K4074" s="12">
        <v>22.6233</v>
      </c>
    </row>
    <row r="4075" spans="1:11" x14ac:dyDescent="0.25">
      <c r="A4075" s="4">
        <v>44056</v>
      </c>
      <c r="B4075" s="19">
        <f t="shared" si="126"/>
        <v>2020</v>
      </c>
      <c r="C4075" s="19">
        <f t="shared" si="127"/>
        <v>8</v>
      </c>
      <c r="D4075" s="5" t="s">
        <v>489</v>
      </c>
      <c r="E4075" s="5" t="s">
        <v>219</v>
      </c>
      <c r="F4075" s="5" t="s">
        <v>19</v>
      </c>
      <c r="G4075" s="5" t="s">
        <v>121</v>
      </c>
      <c r="H4075" s="5" t="s">
        <v>869</v>
      </c>
      <c r="I4075" s="13">
        <v>314.048</v>
      </c>
      <c r="J4075" s="19">
        <v>7</v>
      </c>
      <c r="K4075" s="14">
        <v>30.605399999999999</v>
      </c>
    </row>
    <row r="4076" spans="1:11" x14ac:dyDescent="0.25">
      <c r="A4076" s="2">
        <v>44056</v>
      </c>
      <c r="B4076" s="18">
        <f t="shared" si="126"/>
        <v>2020</v>
      </c>
      <c r="C4076" s="18">
        <f t="shared" si="127"/>
        <v>8</v>
      </c>
      <c r="D4076" s="3" t="s">
        <v>489</v>
      </c>
      <c r="E4076" s="3" t="s">
        <v>219</v>
      </c>
      <c r="F4076" s="3" t="s">
        <v>11</v>
      </c>
      <c r="G4076" s="3" t="s">
        <v>112</v>
      </c>
      <c r="H4076" s="3" t="s">
        <v>1556</v>
      </c>
      <c r="I4076" s="11">
        <v>460.64800000000002</v>
      </c>
      <c r="J4076" s="18">
        <v>2</v>
      </c>
      <c r="K4076" s="12">
        <v>47.660400000000003</v>
      </c>
    </row>
    <row r="4077" spans="1:11" x14ac:dyDescent="0.25">
      <c r="A4077" s="4">
        <v>44056</v>
      </c>
      <c r="B4077" s="19">
        <f t="shared" si="126"/>
        <v>2020</v>
      </c>
      <c r="C4077" s="19">
        <f t="shared" si="127"/>
        <v>8</v>
      </c>
      <c r="D4077" s="5" t="s">
        <v>489</v>
      </c>
      <c r="E4077" s="5" t="s">
        <v>219</v>
      </c>
      <c r="F4077" s="5" t="s">
        <v>19</v>
      </c>
      <c r="G4077" s="5" t="s">
        <v>32</v>
      </c>
      <c r="H4077" s="5" t="s">
        <v>2027</v>
      </c>
      <c r="I4077" s="13">
        <v>1641.5820000000001</v>
      </c>
      <c r="J4077" s="19">
        <v>6</v>
      </c>
      <c r="K4077" s="14">
        <v>-1237.8462</v>
      </c>
    </row>
    <row r="4078" spans="1:11" x14ac:dyDescent="0.25">
      <c r="A4078" s="2">
        <v>44056</v>
      </c>
      <c r="B4078" s="18">
        <f t="shared" si="126"/>
        <v>2020</v>
      </c>
      <c r="C4078" s="18">
        <f t="shared" si="127"/>
        <v>8</v>
      </c>
      <c r="D4078" s="3" t="s">
        <v>489</v>
      </c>
      <c r="E4078" s="3" t="s">
        <v>219</v>
      </c>
      <c r="F4078" s="3" t="s">
        <v>19</v>
      </c>
      <c r="G4078" s="3" t="s">
        <v>86</v>
      </c>
      <c r="H4078" s="3" t="s">
        <v>2190</v>
      </c>
      <c r="I4078" s="11">
        <v>104.76</v>
      </c>
      <c r="J4078" s="18">
        <v>5</v>
      </c>
      <c r="K4078" s="12">
        <v>4.7969999999999997</v>
      </c>
    </row>
    <row r="4079" spans="1:11" x14ac:dyDescent="0.25">
      <c r="A4079" s="4">
        <v>44056</v>
      </c>
      <c r="B4079" s="19">
        <f t="shared" si="126"/>
        <v>2020</v>
      </c>
      <c r="C4079" s="19">
        <f t="shared" si="127"/>
        <v>8</v>
      </c>
      <c r="D4079" s="5" t="s">
        <v>489</v>
      </c>
      <c r="E4079" s="5" t="s">
        <v>219</v>
      </c>
      <c r="F4079" s="5" t="s">
        <v>14</v>
      </c>
      <c r="G4079" s="5" t="s">
        <v>24</v>
      </c>
      <c r="H4079" s="5" t="s">
        <v>2409</v>
      </c>
      <c r="I4079" s="13">
        <v>125.584</v>
      </c>
      <c r="J4079" s="19">
        <v>2</v>
      </c>
      <c r="K4079" s="14">
        <v>0.47520000000000001</v>
      </c>
    </row>
    <row r="4080" spans="1:11" x14ac:dyDescent="0.25">
      <c r="A4080" s="2">
        <v>44056</v>
      </c>
      <c r="B4080" s="18">
        <f t="shared" si="126"/>
        <v>2020</v>
      </c>
      <c r="C4080" s="18">
        <f t="shared" si="127"/>
        <v>8</v>
      </c>
      <c r="D4080" s="3" t="s">
        <v>489</v>
      </c>
      <c r="E4080" s="3" t="s">
        <v>219</v>
      </c>
      <c r="F4080" s="3" t="s">
        <v>19</v>
      </c>
      <c r="G4080" s="3" t="s">
        <v>116</v>
      </c>
      <c r="H4080" s="3" t="s">
        <v>301</v>
      </c>
      <c r="I4080" s="11">
        <v>121.32</v>
      </c>
      <c r="J4080" s="18">
        <v>5</v>
      </c>
      <c r="K4080" s="12">
        <v>9.1199999999999992</v>
      </c>
    </row>
    <row r="4081" spans="1:11" x14ac:dyDescent="0.25">
      <c r="A4081" s="4">
        <v>44056</v>
      </c>
      <c r="B4081" s="19">
        <f t="shared" si="126"/>
        <v>2020</v>
      </c>
      <c r="C4081" s="19">
        <f t="shared" si="127"/>
        <v>8</v>
      </c>
      <c r="D4081" s="5" t="s">
        <v>1393</v>
      </c>
      <c r="E4081" s="5" t="s">
        <v>18</v>
      </c>
      <c r="F4081" s="5" t="s">
        <v>19</v>
      </c>
      <c r="G4081" s="5" t="s">
        <v>20</v>
      </c>
      <c r="H4081" s="5" t="s">
        <v>1197</v>
      </c>
      <c r="I4081" s="13">
        <v>126.44</v>
      </c>
      <c r="J4081" s="19">
        <v>3</v>
      </c>
      <c r="K4081" s="14">
        <v>8.4887999999999995</v>
      </c>
    </row>
    <row r="4082" spans="1:11" x14ac:dyDescent="0.25">
      <c r="A4082" s="2">
        <v>44056</v>
      </c>
      <c r="B4082" s="18">
        <f t="shared" si="126"/>
        <v>2020</v>
      </c>
      <c r="C4082" s="18">
        <f t="shared" si="127"/>
        <v>8</v>
      </c>
      <c r="D4082" s="3" t="s">
        <v>489</v>
      </c>
      <c r="E4082" s="3" t="s">
        <v>219</v>
      </c>
      <c r="F4082" s="3" t="s">
        <v>11</v>
      </c>
      <c r="G4082" s="3" t="s">
        <v>51</v>
      </c>
      <c r="H4082" s="3" t="s">
        <v>591</v>
      </c>
      <c r="I4082" s="11">
        <v>132.98400000000001</v>
      </c>
      <c r="J4082" s="18">
        <v>1</v>
      </c>
      <c r="K4082" s="12">
        <v>0</v>
      </c>
    </row>
    <row r="4083" spans="1:11" x14ac:dyDescent="0.25">
      <c r="A4083" s="4">
        <v>44056</v>
      </c>
      <c r="B4083" s="19">
        <f t="shared" si="126"/>
        <v>2020</v>
      </c>
      <c r="C4083" s="19">
        <f t="shared" si="127"/>
        <v>8</v>
      </c>
      <c r="D4083" s="5" t="s">
        <v>1573</v>
      </c>
      <c r="E4083" s="5" t="s">
        <v>39</v>
      </c>
      <c r="F4083" s="5" t="s">
        <v>19</v>
      </c>
      <c r="G4083" s="5" t="s">
        <v>127</v>
      </c>
      <c r="H4083" s="5" t="s">
        <v>1024</v>
      </c>
      <c r="I4083" s="13">
        <v>129.54400000000001</v>
      </c>
      <c r="J4083" s="19">
        <v>3</v>
      </c>
      <c r="K4083" s="14">
        <v>5.9211</v>
      </c>
    </row>
    <row r="4084" spans="1:11" x14ac:dyDescent="0.25">
      <c r="A4084" s="2">
        <v>44056</v>
      </c>
      <c r="B4084" s="18">
        <f t="shared" si="126"/>
        <v>2020</v>
      </c>
      <c r="C4084" s="18">
        <f t="shared" si="127"/>
        <v>8</v>
      </c>
      <c r="D4084" s="3" t="s">
        <v>1393</v>
      </c>
      <c r="E4084" s="3" t="s">
        <v>18</v>
      </c>
      <c r="F4084" s="3" t="s">
        <v>19</v>
      </c>
      <c r="G4084" s="3" t="s">
        <v>265</v>
      </c>
      <c r="H4084" s="3" t="s">
        <v>538</v>
      </c>
      <c r="I4084" s="11">
        <v>149.91999999999999</v>
      </c>
      <c r="J4084" s="18">
        <v>4</v>
      </c>
      <c r="K4084" s="12">
        <v>9.2568000000000001</v>
      </c>
    </row>
    <row r="4085" spans="1:11" x14ac:dyDescent="0.25">
      <c r="A4085" s="4">
        <v>44056</v>
      </c>
      <c r="B4085" s="19">
        <f t="shared" si="126"/>
        <v>2020</v>
      </c>
      <c r="C4085" s="19">
        <f t="shared" si="127"/>
        <v>8</v>
      </c>
      <c r="D4085" s="5" t="s">
        <v>835</v>
      </c>
      <c r="E4085" s="5" t="s">
        <v>18</v>
      </c>
      <c r="F4085" s="5" t="s">
        <v>19</v>
      </c>
      <c r="G4085" s="5" t="s">
        <v>32</v>
      </c>
      <c r="H4085" s="5" t="s">
        <v>605</v>
      </c>
      <c r="I4085" s="13">
        <v>134.024</v>
      </c>
      <c r="J4085" s="19">
        <v>3</v>
      </c>
      <c r="K4085" s="14">
        <v>11.707800000000001</v>
      </c>
    </row>
    <row r="4086" spans="1:11" x14ac:dyDescent="0.25">
      <c r="A4086" s="2">
        <v>44057</v>
      </c>
      <c r="B4086" s="18">
        <f t="shared" si="126"/>
        <v>2020</v>
      </c>
      <c r="C4086" s="18">
        <f t="shared" si="127"/>
        <v>8</v>
      </c>
      <c r="D4086" s="3" t="s">
        <v>511</v>
      </c>
      <c r="E4086" s="3" t="s">
        <v>18</v>
      </c>
      <c r="F4086" s="3" t="s">
        <v>11</v>
      </c>
      <c r="G4086" s="3" t="s">
        <v>30</v>
      </c>
      <c r="H4086" s="3" t="s">
        <v>150</v>
      </c>
      <c r="I4086" s="11">
        <v>450.29599999999999</v>
      </c>
      <c r="J4086" s="18">
        <v>3</v>
      </c>
      <c r="K4086" s="12">
        <v>5.2286999999999999</v>
      </c>
    </row>
    <row r="4087" spans="1:11" x14ac:dyDescent="0.25">
      <c r="A4087" s="4">
        <v>44057</v>
      </c>
      <c r="B4087" s="19">
        <f t="shared" si="126"/>
        <v>2020</v>
      </c>
      <c r="C4087" s="19">
        <f t="shared" si="127"/>
        <v>8</v>
      </c>
      <c r="D4087" s="5" t="s">
        <v>1353</v>
      </c>
      <c r="E4087" s="5" t="s">
        <v>18</v>
      </c>
      <c r="F4087" s="5" t="s">
        <v>19</v>
      </c>
      <c r="G4087" s="5" t="s">
        <v>127</v>
      </c>
      <c r="H4087" s="5" t="s">
        <v>1825</v>
      </c>
      <c r="I4087" s="13">
        <v>116.76</v>
      </c>
      <c r="J4087" s="19">
        <v>2</v>
      </c>
      <c r="K4087" s="14">
        <v>2.8224</v>
      </c>
    </row>
    <row r="4088" spans="1:11" x14ac:dyDescent="0.25">
      <c r="A4088" s="2">
        <v>44057</v>
      </c>
      <c r="B4088" s="18">
        <f t="shared" si="126"/>
        <v>2020</v>
      </c>
      <c r="C4088" s="18">
        <f t="shared" si="127"/>
        <v>8</v>
      </c>
      <c r="D4088" s="3" t="s">
        <v>1353</v>
      </c>
      <c r="E4088" s="3" t="s">
        <v>18</v>
      </c>
      <c r="F4088" s="3" t="s">
        <v>19</v>
      </c>
      <c r="G4088" s="3" t="s">
        <v>40</v>
      </c>
      <c r="H4088" s="3" t="s">
        <v>1994</v>
      </c>
      <c r="I4088" s="11">
        <v>135.68</v>
      </c>
      <c r="J4088" s="18">
        <v>6</v>
      </c>
      <c r="K4088" s="12">
        <v>4.3368000000000002</v>
      </c>
    </row>
    <row r="4089" spans="1:11" x14ac:dyDescent="0.25">
      <c r="A4089" s="4">
        <v>44058</v>
      </c>
      <c r="B4089" s="19">
        <f t="shared" si="126"/>
        <v>2020</v>
      </c>
      <c r="C4089" s="19">
        <f t="shared" si="127"/>
        <v>8</v>
      </c>
      <c r="D4089" s="5" t="s">
        <v>1285</v>
      </c>
      <c r="E4089" s="5" t="s">
        <v>85</v>
      </c>
      <c r="F4089" s="5" t="s">
        <v>19</v>
      </c>
      <c r="G4089" s="5" t="s">
        <v>121</v>
      </c>
      <c r="H4089" s="5" t="s">
        <v>696</v>
      </c>
      <c r="I4089" s="13">
        <v>144.84</v>
      </c>
      <c r="J4089" s="19">
        <v>2</v>
      </c>
      <c r="K4089" s="14">
        <v>25.438400000000001</v>
      </c>
    </row>
    <row r="4090" spans="1:11" x14ac:dyDescent="0.25">
      <c r="A4090" s="2">
        <v>44058</v>
      </c>
      <c r="B4090" s="18">
        <f t="shared" si="126"/>
        <v>2020</v>
      </c>
      <c r="C4090" s="18">
        <f t="shared" si="127"/>
        <v>8</v>
      </c>
      <c r="D4090" s="3" t="s">
        <v>108</v>
      </c>
      <c r="E4090" s="3" t="s">
        <v>39</v>
      </c>
      <c r="F4090" s="3" t="s">
        <v>19</v>
      </c>
      <c r="G4090" s="3" t="s">
        <v>20</v>
      </c>
      <c r="H4090" s="3" t="s">
        <v>1943</v>
      </c>
      <c r="I4090" s="11">
        <v>1829.6320000000001</v>
      </c>
      <c r="J4090" s="18">
        <v>6</v>
      </c>
      <c r="K4090" s="12">
        <v>-337.80599999999998</v>
      </c>
    </row>
    <row r="4091" spans="1:11" x14ac:dyDescent="0.25">
      <c r="A4091" s="4">
        <v>44058</v>
      </c>
      <c r="B4091" s="19">
        <f t="shared" si="126"/>
        <v>2020</v>
      </c>
      <c r="C4091" s="19">
        <f t="shared" si="127"/>
        <v>8</v>
      </c>
      <c r="D4091" s="5" t="s">
        <v>28</v>
      </c>
      <c r="E4091" s="5" t="s">
        <v>387</v>
      </c>
      <c r="F4091" s="5" t="s">
        <v>19</v>
      </c>
      <c r="G4091" s="5" t="s">
        <v>127</v>
      </c>
      <c r="H4091" s="5" t="s">
        <v>1302</v>
      </c>
      <c r="I4091" s="13">
        <v>149.4</v>
      </c>
      <c r="J4091" s="19">
        <v>8</v>
      </c>
      <c r="K4091" s="14">
        <v>23.184000000000001</v>
      </c>
    </row>
    <row r="4092" spans="1:11" x14ac:dyDescent="0.25">
      <c r="A4092" s="2">
        <v>44059</v>
      </c>
      <c r="B4092" s="18">
        <f t="shared" si="126"/>
        <v>2020</v>
      </c>
      <c r="C4092" s="18">
        <f t="shared" si="127"/>
        <v>8</v>
      </c>
      <c r="D4092" s="3" t="s">
        <v>1669</v>
      </c>
      <c r="E4092" s="3" t="s">
        <v>219</v>
      </c>
      <c r="F4092" s="3" t="s">
        <v>19</v>
      </c>
      <c r="G4092" s="3" t="s">
        <v>32</v>
      </c>
      <c r="H4092" s="3" t="s">
        <v>871</v>
      </c>
      <c r="I4092" s="11">
        <v>111.428</v>
      </c>
      <c r="J4092" s="18">
        <v>3</v>
      </c>
      <c r="K4092" s="12">
        <v>-11.19</v>
      </c>
    </row>
    <row r="4093" spans="1:11" x14ac:dyDescent="0.25">
      <c r="A4093" s="4">
        <v>44059</v>
      </c>
      <c r="B4093" s="19">
        <f t="shared" si="126"/>
        <v>2020</v>
      </c>
      <c r="C4093" s="19">
        <f t="shared" si="127"/>
        <v>8</v>
      </c>
      <c r="D4093" s="5" t="s">
        <v>1669</v>
      </c>
      <c r="E4093" s="5" t="s">
        <v>219</v>
      </c>
      <c r="F4093" s="5" t="s">
        <v>19</v>
      </c>
      <c r="G4093" s="5" t="s">
        <v>20</v>
      </c>
      <c r="H4093" s="5" t="s">
        <v>2410</v>
      </c>
      <c r="I4093" s="13">
        <v>154.136</v>
      </c>
      <c r="J4093" s="19">
        <v>4</v>
      </c>
      <c r="K4093" s="14">
        <v>-0.83919999999999995</v>
      </c>
    </row>
    <row r="4094" spans="1:11" x14ac:dyDescent="0.25">
      <c r="A4094" s="2">
        <v>44060</v>
      </c>
      <c r="B4094" s="18">
        <f t="shared" si="126"/>
        <v>2020</v>
      </c>
      <c r="C4094" s="18">
        <f t="shared" si="127"/>
        <v>8</v>
      </c>
      <c r="D4094" s="3" t="s">
        <v>1152</v>
      </c>
      <c r="E4094" s="3" t="s">
        <v>195</v>
      </c>
      <c r="F4094" s="3" t="s">
        <v>14</v>
      </c>
      <c r="G4094" s="3" t="s">
        <v>24</v>
      </c>
      <c r="H4094" s="3" t="s">
        <v>789</v>
      </c>
      <c r="I4094" s="11">
        <v>109.16</v>
      </c>
      <c r="J4094" s="18">
        <v>6</v>
      </c>
      <c r="K4094" s="12">
        <v>9.8160000000000007</v>
      </c>
    </row>
    <row r="4095" spans="1:11" x14ac:dyDescent="0.25">
      <c r="A4095" s="4">
        <v>44060</v>
      </c>
      <c r="B4095" s="19">
        <f t="shared" si="126"/>
        <v>2020</v>
      </c>
      <c r="C4095" s="19">
        <f t="shared" si="127"/>
        <v>8</v>
      </c>
      <c r="D4095" s="5" t="s">
        <v>1152</v>
      </c>
      <c r="E4095" s="5" t="s">
        <v>195</v>
      </c>
      <c r="F4095" s="5" t="s">
        <v>19</v>
      </c>
      <c r="G4095" s="5" t="s">
        <v>32</v>
      </c>
      <c r="H4095" s="5" t="s">
        <v>1977</v>
      </c>
      <c r="I4095" s="13">
        <v>137.93</v>
      </c>
      <c r="J4095" s="19">
        <v>3</v>
      </c>
      <c r="K4095" s="14">
        <v>48.377099999999999</v>
      </c>
    </row>
    <row r="4096" spans="1:11" x14ac:dyDescent="0.25">
      <c r="A4096" s="2">
        <v>44060</v>
      </c>
      <c r="B4096" s="18">
        <f t="shared" si="126"/>
        <v>2020</v>
      </c>
      <c r="C4096" s="18">
        <f t="shared" si="127"/>
        <v>8</v>
      </c>
      <c r="D4096" s="3" t="s">
        <v>2269</v>
      </c>
      <c r="E4096" s="3" t="s">
        <v>18</v>
      </c>
      <c r="F4096" s="3" t="s">
        <v>19</v>
      </c>
      <c r="G4096" s="3" t="s">
        <v>32</v>
      </c>
      <c r="H4096" s="3" t="s">
        <v>2411</v>
      </c>
      <c r="I4096" s="11">
        <v>264.05599999999998</v>
      </c>
      <c r="J4096" s="18">
        <v>8</v>
      </c>
      <c r="K4096" s="12">
        <v>77.369600000000005</v>
      </c>
    </row>
    <row r="4097" spans="1:11" x14ac:dyDescent="0.25">
      <c r="A4097" s="4">
        <v>44060</v>
      </c>
      <c r="B4097" s="19">
        <f t="shared" si="126"/>
        <v>2020</v>
      </c>
      <c r="C4097" s="19">
        <f t="shared" si="127"/>
        <v>8</v>
      </c>
      <c r="D4097" s="5" t="s">
        <v>414</v>
      </c>
      <c r="E4097" s="5" t="s">
        <v>94</v>
      </c>
      <c r="F4097" s="5" t="s">
        <v>11</v>
      </c>
      <c r="G4097" s="5" t="s">
        <v>112</v>
      </c>
      <c r="H4097" s="5" t="s">
        <v>1137</v>
      </c>
      <c r="I4097" s="13">
        <v>482.56400000000002</v>
      </c>
      <c r="J4097" s="19">
        <v>2</v>
      </c>
      <c r="K4097" s="14">
        <v>97.6524</v>
      </c>
    </row>
    <row r="4098" spans="1:11" x14ac:dyDescent="0.25">
      <c r="A4098" s="2">
        <v>44060</v>
      </c>
      <c r="B4098" s="18">
        <f t="shared" ref="B4098:B4161" si="128">YEAR(A4098)</f>
        <v>2020</v>
      </c>
      <c r="C4098" s="18">
        <f t="shared" ref="C4098:C4161" si="129">MONTH(A4098)</f>
        <v>8</v>
      </c>
      <c r="D4098" s="3" t="s">
        <v>2269</v>
      </c>
      <c r="E4098" s="3" t="s">
        <v>18</v>
      </c>
      <c r="F4098" s="3" t="s">
        <v>19</v>
      </c>
      <c r="G4098" s="3" t="s">
        <v>20</v>
      </c>
      <c r="H4098" s="3" t="s">
        <v>281</v>
      </c>
      <c r="I4098" s="11">
        <v>568.57000000000005</v>
      </c>
      <c r="J4098" s="18">
        <v>3</v>
      </c>
      <c r="K4098" s="12">
        <v>140.54820000000001</v>
      </c>
    </row>
    <row r="4099" spans="1:11" x14ac:dyDescent="0.25">
      <c r="A4099" s="4">
        <v>44060</v>
      </c>
      <c r="B4099" s="19">
        <f t="shared" si="128"/>
        <v>2020</v>
      </c>
      <c r="C4099" s="19">
        <f t="shared" si="129"/>
        <v>8</v>
      </c>
      <c r="D4099" s="5" t="s">
        <v>414</v>
      </c>
      <c r="E4099" s="5" t="s">
        <v>94</v>
      </c>
      <c r="F4099" s="5" t="s">
        <v>19</v>
      </c>
      <c r="G4099" s="5" t="s">
        <v>32</v>
      </c>
      <c r="H4099" s="5" t="s">
        <v>2166</v>
      </c>
      <c r="I4099" s="13">
        <v>933.92</v>
      </c>
      <c r="J4099" s="19">
        <v>5</v>
      </c>
      <c r="K4099" s="14">
        <v>302.37299999999999</v>
      </c>
    </row>
    <row r="4100" spans="1:11" x14ac:dyDescent="0.25">
      <c r="A4100" s="2">
        <v>44060</v>
      </c>
      <c r="B4100" s="18">
        <f t="shared" si="128"/>
        <v>2020</v>
      </c>
      <c r="C4100" s="18">
        <f t="shared" si="129"/>
        <v>8</v>
      </c>
      <c r="D4100" s="3" t="s">
        <v>2269</v>
      </c>
      <c r="E4100" s="3" t="s">
        <v>18</v>
      </c>
      <c r="F4100" s="3" t="s">
        <v>19</v>
      </c>
      <c r="G4100" s="3" t="s">
        <v>121</v>
      </c>
      <c r="H4100" s="3" t="s">
        <v>1093</v>
      </c>
      <c r="I4100" s="11">
        <v>2547.29</v>
      </c>
      <c r="J4100" s="18">
        <v>9</v>
      </c>
      <c r="K4100" s="12">
        <v>654.75540000000001</v>
      </c>
    </row>
    <row r="4101" spans="1:11" x14ac:dyDescent="0.25">
      <c r="A4101" s="4">
        <v>44060</v>
      </c>
      <c r="B4101" s="19">
        <f t="shared" si="128"/>
        <v>2020</v>
      </c>
      <c r="C4101" s="19">
        <f t="shared" si="129"/>
        <v>8</v>
      </c>
      <c r="D4101" s="5" t="s">
        <v>1444</v>
      </c>
      <c r="E4101" s="5" t="s">
        <v>39</v>
      </c>
      <c r="F4101" s="5" t="s">
        <v>11</v>
      </c>
      <c r="G4101" s="5" t="s">
        <v>112</v>
      </c>
      <c r="H4101" s="5" t="s">
        <v>633</v>
      </c>
      <c r="I4101" s="13">
        <v>4439.174</v>
      </c>
      <c r="J4101" s="19">
        <v>9</v>
      </c>
      <c r="K4101" s="14">
        <v>-630.88199999999995</v>
      </c>
    </row>
    <row r="4102" spans="1:11" x14ac:dyDescent="0.25">
      <c r="A4102" s="2">
        <v>44060</v>
      </c>
      <c r="B4102" s="18">
        <f t="shared" si="128"/>
        <v>2020</v>
      </c>
      <c r="C4102" s="18">
        <f t="shared" si="129"/>
        <v>8</v>
      </c>
      <c r="D4102" s="3" t="s">
        <v>1753</v>
      </c>
      <c r="E4102" s="3" t="s">
        <v>23</v>
      </c>
      <c r="F4102" s="3" t="s">
        <v>19</v>
      </c>
      <c r="G4102" s="3" t="s">
        <v>265</v>
      </c>
      <c r="H4102" s="3" t="s">
        <v>2412</v>
      </c>
      <c r="I4102" s="11">
        <v>103.55200000000001</v>
      </c>
      <c r="J4102" s="18">
        <v>2</v>
      </c>
      <c r="K4102" s="12">
        <v>-1.0409999999999999</v>
      </c>
    </row>
    <row r="4103" spans="1:11" x14ac:dyDescent="0.25">
      <c r="A4103" s="4">
        <v>44060</v>
      </c>
      <c r="B4103" s="19">
        <f t="shared" si="128"/>
        <v>2020</v>
      </c>
      <c r="C4103" s="19">
        <f t="shared" si="129"/>
        <v>8</v>
      </c>
      <c r="D4103" s="5" t="s">
        <v>1753</v>
      </c>
      <c r="E4103" s="5" t="s">
        <v>23</v>
      </c>
      <c r="F4103" s="5" t="s">
        <v>19</v>
      </c>
      <c r="G4103" s="5" t="s">
        <v>40</v>
      </c>
      <c r="H4103" s="5" t="s">
        <v>1707</v>
      </c>
      <c r="I4103" s="13">
        <v>92.016000000000005</v>
      </c>
      <c r="J4103" s="19">
        <v>3</v>
      </c>
      <c r="K4103" s="14">
        <v>1.002</v>
      </c>
    </row>
    <row r="4104" spans="1:11" x14ac:dyDescent="0.25">
      <c r="A4104" s="2">
        <v>44060</v>
      </c>
      <c r="B4104" s="18">
        <f t="shared" si="128"/>
        <v>2020</v>
      </c>
      <c r="C4104" s="18">
        <f t="shared" si="129"/>
        <v>8</v>
      </c>
      <c r="D4104" s="3" t="s">
        <v>2269</v>
      </c>
      <c r="E4104" s="3" t="s">
        <v>18</v>
      </c>
      <c r="F4104" s="3" t="s">
        <v>19</v>
      </c>
      <c r="G4104" s="3" t="s">
        <v>32</v>
      </c>
      <c r="H4104" s="3" t="s">
        <v>272</v>
      </c>
      <c r="I4104" s="11">
        <v>104.92</v>
      </c>
      <c r="J4104" s="18">
        <v>3</v>
      </c>
      <c r="K4104" s="12">
        <v>4.8719999999999999</v>
      </c>
    </row>
    <row r="4105" spans="1:11" x14ac:dyDescent="0.25">
      <c r="A4105" s="4">
        <v>44060</v>
      </c>
      <c r="B4105" s="19">
        <f t="shared" si="128"/>
        <v>2020</v>
      </c>
      <c r="C4105" s="19">
        <f t="shared" si="129"/>
        <v>8</v>
      </c>
      <c r="D4105" s="5" t="s">
        <v>1753</v>
      </c>
      <c r="E4105" s="5" t="s">
        <v>23</v>
      </c>
      <c r="F4105" s="5" t="s">
        <v>19</v>
      </c>
      <c r="G4105" s="5" t="s">
        <v>121</v>
      </c>
      <c r="H4105" s="5" t="s">
        <v>869</v>
      </c>
      <c r="I4105" s="13">
        <v>103.864</v>
      </c>
      <c r="J4105" s="19">
        <v>4</v>
      </c>
      <c r="K4105" s="14">
        <v>-99.103200000000001</v>
      </c>
    </row>
    <row r="4106" spans="1:11" x14ac:dyDescent="0.25">
      <c r="A4106" s="2">
        <v>44060</v>
      </c>
      <c r="B4106" s="18">
        <f t="shared" si="128"/>
        <v>2020</v>
      </c>
      <c r="C4106" s="18">
        <f t="shared" si="129"/>
        <v>8</v>
      </c>
      <c r="D4106" s="3" t="s">
        <v>2269</v>
      </c>
      <c r="E4106" s="3" t="s">
        <v>18</v>
      </c>
      <c r="F4106" s="3" t="s">
        <v>19</v>
      </c>
      <c r="G4106" s="3" t="s">
        <v>86</v>
      </c>
      <c r="H4106" s="3" t="s">
        <v>176</v>
      </c>
      <c r="I4106" s="11">
        <v>115.36</v>
      </c>
      <c r="J4106" s="18">
        <v>2</v>
      </c>
      <c r="K4106" s="12">
        <v>11.68</v>
      </c>
    </row>
    <row r="4107" spans="1:11" x14ac:dyDescent="0.25">
      <c r="A4107" s="4">
        <v>44060</v>
      </c>
      <c r="B4107" s="19">
        <f t="shared" si="128"/>
        <v>2020</v>
      </c>
      <c r="C4107" s="19">
        <f t="shared" si="129"/>
        <v>8</v>
      </c>
      <c r="D4107" s="5" t="s">
        <v>2269</v>
      </c>
      <c r="E4107" s="5" t="s">
        <v>18</v>
      </c>
      <c r="F4107" s="5" t="s">
        <v>19</v>
      </c>
      <c r="G4107" s="5" t="s">
        <v>53</v>
      </c>
      <c r="H4107" s="5" t="s">
        <v>547</v>
      </c>
      <c r="I4107" s="13">
        <v>119.56</v>
      </c>
      <c r="J4107" s="19">
        <v>2</v>
      </c>
      <c r="K4107" s="14">
        <v>3.8519999999999999</v>
      </c>
    </row>
    <row r="4108" spans="1:11" x14ac:dyDescent="0.25">
      <c r="A4108" s="2">
        <v>44060</v>
      </c>
      <c r="B4108" s="18">
        <f t="shared" si="128"/>
        <v>2020</v>
      </c>
      <c r="C4108" s="18">
        <f t="shared" si="129"/>
        <v>8</v>
      </c>
      <c r="D4108" s="3" t="s">
        <v>1753</v>
      </c>
      <c r="E4108" s="3" t="s">
        <v>23</v>
      </c>
      <c r="F4108" s="3" t="s">
        <v>11</v>
      </c>
      <c r="G4108" s="3" t="s">
        <v>51</v>
      </c>
      <c r="H4108" s="3" t="s">
        <v>929</v>
      </c>
      <c r="I4108" s="11">
        <v>144.78399999999999</v>
      </c>
      <c r="J4108" s="18">
        <v>2</v>
      </c>
      <c r="K4108" s="12">
        <v>-22.238800000000001</v>
      </c>
    </row>
    <row r="4109" spans="1:11" x14ac:dyDescent="0.25">
      <c r="A4109" s="4">
        <v>44060</v>
      </c>
      <c r="B4109" s="19">
        <f t="shared" si="128"/>
        <v>2020</v>
      </c>
      <c r="C4109" s="19">
        <f t="shared" si="129"/>
        <v>8</v>
      </c>
      <c r="D4109" s="5" t="s">
        <v>2269</v>
      </c>
      <c r="E4109" s="5" t="s">
        <v>18</v>
      </c>
      <c r="F4109" s="5" t="s">
        <v>14</v>
      </c>
      <c r="G4109" s="5" t="s">
        <v>15</v>
      </c>
      <c r="H4109" s="5" t="s">
        <v>1176</v>
      </c>
      <c r="I4109" s="13">
        <v>161.976</v>
      </c>
      <c r="J4109" s="19">
        <v>3</v>
      </c>
      <c r="K4109" s="14">
        <v>8.9969999999999999</v>
      </c>
    </row>
    <row r="4110" spans="1:11" x14ac:dyDescent="0.25">
      <c r="A4110" s="2">
        <v>44060</v>
      </c>
      <c r="B4110" s="18">
        <f t="shared" si="128"/>
        <v>2020</v>
      </c>
      <c r="C4110" s="18">
        <f t="shared" si="129"/>
        <v>8</v>
      </c>
      <c r="D4110" s="3" t="s">
        <v>1753</v>
      </c>
      <c r="E4110" s="3" t="s">
        <v>23</v>
      </c>
      <c r="F4110" s="3" t="s">
        <v>11</v>
      </c>
      <c r="G4110" s="3" t="s">
        <v>112</v>
      </c>
      <c r="H4110" s="3" t="s">
        <v>2271</v>
      </c>
      <c r="I4110" s="11">
        <v>164.59200000000001</v>
      </c>
      <c r="J4110" s="18">
        <v>4</v>
      </c>
      <c r="K4110" s="12">
        <v>-2.1312000000000002</v>
      </c>
    </row>
    <row r="4111" spans="1:11" x14ac:dyDescent="0.25">
      <c r="A4111" s="4">
        <v>44061</v>
      </c>
      <c r="B4111" s="19">
        <f t="shared" si="128"/>
        <v>2020</v>
      </c>
      <c r="C4111" s="19">
        <f t="shared" si="129"/>
        <v>8</v>
      </c>
      <c r="D4111" s="5" t="s">
        <v>2237</v>
      </c>
      <c r="E4111" s="5" t="s">
        <v>70</v>
      </c>
      <c r="F4111" s="5" t="s">
        <v>11</v>
      </c>
      <c r="G4111" s="5" t="s">
        <v>51</v>
      </c>
      <c r="H4111" s="5" t="s">
        <v>123</v>
      </c>
      <c r="I4111" s="13">
        <v>101.94</v>
      </c>
      <c r="J4111" s="19">
        <v>3</v>
      </c>
      <c r="K4111" s="14">
        <v>22.419599999999999</v>
      </c>
    </row>
    <row r="4112" spans="1:11" x14ac:dyDescent="0.25">
      <c r="A4112" s="2">
        <v>44061</v>
      </c>
      <c r="B4112" s="18">
        <f t="shared" si="128"/>
        <v>2020</v>
      </c>
      <c r="C4112" s="18">
        <f t="shared" si="129"/>
        <v>8</v>
      </c>
      <c r="D4112" s="3" t="s">
        <v>2128</v>
      </c>
      <c r="E4112" s="3" t="s">
        <v>94</v>
      </c>
      <c r="F4112" s="3" t="s">
        <v>11</v>
      </c>
      <c r="G4112" s="3" t="s">
        <v>51</v>
      </c>
      <c r="H4112" s="3" t="s">
        <v>2413</v>
      </c>
      <c r="I4112" s="11">
        <v>111.02</v>
      </c>
      <c r="J4112" s="18">
        <v>3</v>
      </c>
      <c r="K4112" s="12">
        <v>27.286200000000001</v>
      </c>
    </row>
    <row r="4113" spans="1:11" x14ac:dyDescent="0.25">
      <c r="A4113" s="4">
        <v>44061</v>
      </c>
      <c r="B4113" s="19">
        <f t="shared" si="128"/>
        <v>2020</v>
      </c>
      <c r="C4113" s="19">
        <f t="shared" si="129"/>
        <v>8</v>
      </c>
      <c r="D4113" s="5" t="s">
        <v>2128</v>
      </c>
      <c r="E4113" s="5" t="s">
        <v>94</v>
      </c>
      <c r="F4113" s="5" t="s">
        <v>19</v>
      </c>
      <c r="G4113" s="5" t="s">
        <v>32</v>
      </c>
      <c r="H4113" s="5" t="s">
        <v>871</v>
      </c>
      <c r="I4113" s="13">
        <v>140.42400000000001</v>
      </c>
      <c r="J4113" s="19">
        <v>9</v>
      </c>
      <c r="K4113" s="14">
        <v>33.57</v>
      </c>
    </row>
    <row r="4114" spans="1:11" x14ac:dyDescent="0.25">
      <c r="A4114" s="2">
        <v>44061</v>
      </c>
      <c r="B4114" s="18">
        <f t="shared" si="128"/>
        <v>2020</v>
      </c>
      <c r="C4114" s="18">
        <f t="shared" si="129"/>
        <v>8</v>
      </c>
      <c r="D4114" s="3" t="s">
        <v>1623</v>
      </c>
      <c r="E4114" s="3" t="s">
        <v>23</v>
      </c>
      <c r="F4114" s="3" t="s">
        <v>19</v>
      </c>
      <c r="G4114" s="3" t="s">
        <v>20</v>
      </c>
      <c r="H4114" s="3" t="s">
        <v>1260</v>
      </c>
      <c r="I4114" s="11">
        <v>220.06399999999999</v>
      </c>
      <c r="J4114" s="18">
        <v>3</v>
      </c>
      <c r="K4114" s="12">
        <v>12.504</v>
      </c>
    </row>
    <row r="4115" spans="1:11" x14ac:dyDescent="0.25">
      <c r="A4115" s="4">
        <v>44061</v>
      </c>
      <c r="B4115" s="19">
        <f t="shared" si="128"/>
        <v>2020</v>
      </c>
      <c r="C4115" s="19">
        <f t="shared" si="129"/>
        <v>8</v>
      </c>
      <c r="D4115" s="5" t="s">
        <v>2414</v>
      </c>
      <c r="E4115" s="5" t="s">
        <v>70</v>
      </c>
      <c r="F4115" s="5" t="s">
        <v>19</v>
      </c>
      <c r="G4115" s="5" t="s">
        <v>20</v>
      </c>
      <c r="H4115" s="5" t="s">
        <v>2415</v>
      </c>
      <c r="I4115" s="13">
        <v>343.1</v>
      </c>
      <c r="J4115" s="19">
        <v>2</v>
      </c>
      <c r="K4115" s="14">
        <v>61.389000000000003</v>
      </c>
    </row>
    <row r="4116" spans="1:11" x14ac:dyDescent="0.25">
      <c r="A4116" s="2">
        <v>44061</v>
      </c>
      <c r="B4116" s="18">
        <f t="shared" si="128"/>
        <v>2020</v>
      </c>
      <c r="C4116" s="18">
        <f t="shared" si="129"/>
        <v>8</v>
      </c>
      <c r="D4116" s="3" t="s">
        <v>1378</v>
      </c>
      <c r="E4116" s="3" t="s">
        <v>70</v>
      </c>
      <c r="F4116" s="3" t="s">
        <v>14</v>
      </c>
      <c r="G4116" s="3" t="s">
        <v>24</v>
      </c>
      <c r="H4116" s="3" t="s">
        <v>1471</v>
      </c>
      <c r="I4116" s="11">
        <v>886.9</v>
      </c>
      <c r="J4116" s="18">
        <v>2</v>
      </c>
      <c r="K4116" s="12">
        <v>371.31599999999997</v>
      </c>
    </row>
    <row r="4117" spans="1:11" x14ac:dyDescent="0.25">
      <c r="A4117" s="4">
        <v>44061</v>
      </c>
      <c r="B4117" s="19">
        <f t="shared" si="128"/>
        <v>2020</v>
      </c>
      <c r="C4117" s="19">
        <f t="shared" si="129"/>
        <v>8</v>
      </c>
      <c r="D4117" s="5" t="s">
        <v>2237</v>
      </c>
      <c r="E4117" s="5" t="s">
        <v>70</v>
      </c>
      <c r="F4117" s="5" t="s">
        <v>19</v>
      </c>
      <c r="G4117" s="5" t="s">
        <v>20</v>
      </c>
      <c r="H4117" s="5" t="s">
        <v>996</v>
      </c>
      <c r="I4117" s="13">
        <v>1032.02</v>
      </c>
      <c r="J4117" s="19">
        <v>7</v>
      </c>
      <c r="K4117" s="14">
        <v>290.00580000000002</v>
      </c>
    </row>
    <row r="4118" spans="1:11" x14ac:dyDescent="0.25">
      <c r="A4118" s="2">
        <v>44061</v>
      </c>
      <c r="B4118" s="18">
        <f t="shared" si="128"/>
        <v>2020</v>
      </c>
      <c r="C4118" s="18">
        <f t="shared" si="129"/>
        <v>8</v>
      </c>
      <c r="D4118" s="3" t="s">
        <v>1378</v>
      </c>
      <c r="E4118" s="3" t="s">
        <v>70</v>
      </c>
      <c r="F4118" s="3" t="s">
        <v>14</v>
      </c>
      <c r="G4118" s="3" t="s">
        <v>24</v>
      </c>
      <c r="H4118" s="3" t="s">
        <v>2416</v>
      </c>
      <c r="I4118" s="11">
        <v>1539.16</v>
      </c>
      <c r="J4118" s="18">
        <v>9</v>
      </c>
      <c r="K4118" s="12">
        <v>224.42400000000001</v>
      </c>
    </row>
    <row r="4119" spans="1:11" x14ac:dyDescent="0.25">
      <c r="A4119" s="4">
        <v>44061</v>
      </c>
      <c r="B4119" s="19">
        <f t="shared" si="128"/>
        <v>2020</v>
      </c>
      <c r="C4119" s="19">
        <f t="shared" si="129"/>
        <v>8</v>
      </c>
      <c r="D4119" s="5" t="s">
        <v>2237</v>
      </c>
      <c r="E4119" s="5" t="s">
        <v>70</v>
      </c>
      <c r="F4119" s="5" t="s">
        <v>19</v>
      </c>
      <c r="G4119" s="5" t="s">
        <v>32</v>
      </c>
      <c r="H4119" s="5" t="s">
        <v>2417</v>
      </c>
      <c r="I4119" s="13">
        <v>2831.5279999999998</v>
      </c>
      <c r="J4119" s="19">
        <v>9</v>
      </c>
      <c r="K4119" s="14">
        <v>942.81569999999999</v>
      </c>
    </row>
    <row r="4120" spans="1:11" x14ac:dyDescent="0.25">
      <c r="A4120" s="2">
        <v>44061</v>
      </c>
      <c r="B4120" s="18">
        <f t="shared" si="128"/>
        <v>2020</v>
      </c>
      <c r="C4120" s="18">
        <f t="shared" si="129"/>
        <v>8</v>
      </c>
      <c r="D4120" s="3" t="s">
        <v>1623</v>
      </c>
      <c r="E4120" s="3" t="s">
        <v>23</v>
      </c>
      <c r="F4120" s="3" t="s">
        <v>19</v>
      </c>
      <c r="G4120" s="3" t="s">
        <v>32</v>
      </c>
      <c r="H4120" s="3" t="s">
        <v>2091</v>
      </c>
      <c r="I4120" s="11">
        <v>86.38</v>
      </c>
      <c r="J4120" s="18">
        <v>5</v>
      </c>
      <c r="K4120" s="12">
        <v>-33.139000000000003</v>
      </c>
    </row>
    <row r="4121" spans="1:11" x14ac:dyDescent="0.25">
      <c r="A4121" s="4">
        <v>44061</v>
      </c>
      <c r="B4121" s="19">
        <f t="shared" si="128"/>
        <v>2020</v>
      </c>
      <c r="C4121" s="19">
        <f t="shared" si="129"/>
        <v>8</v>
      </c>
      <c r="D4121" s="5" t="s">
        <v>1623</v>
      </c>
      <c r="E4121" s="5" t="s">
        <v>23</v>
      </c>
      <c r="F4121" s="5" t="s">
        <v>19</v>
      </c>
      <c r="G4121" s="5" t="s">
        <v>32</v>
      </c>
      <c r="H4121" s="5" t="s">
        <v>1810</v>
      </c>
      <c r="I4121" s="13">
        <v>101.744</v>
      </c>
      <c r="J4121" s="19">
        <v>4</v>
      </c>
      <c r="K4121" s="14">
        <v>-11.4648</v>
      </c>
    </row>
    <row r="4122" spans="1:11" x14ac:dyDescent="0.25">
      <c r="A4122" s="2">
        <v>44061</v>
      </c>
      <c r="B4122" s="18">
        <f t="shared" si="128"/>
        <v>2020</v>
      </c>
      <c r="C4122" s="18">
        <f t="shared" si="129"/>
        <v>8</v>
      </c>
      <c r="D4122" s="3" t="s">
        <v>2128</v>
      </c>
      <c r="E4122" s="3" t="s">
        <v>94</v>
      </c>
      <c r="F4122" s="3" t="s">
        <v>11</v>
      </c>
      <c r="G4122" s="3" t="s">
        <v>51</v>
      </c>
      <c r="H4122" s="3" t="s">
        <v>74</v>
      </c>
      <c r="I4122" s="11">
        <v>109.94</v>
      </c>
      <c r="J4122" s="18">
        <v>2</v>
      </c>
      <c r="K4122" s="12">
        <v>3.0813999999999999</v>
      </c>
    </row>
    <row r="4123" spans="1:11" x14ac:dyDescent="0.25">
      <c r="A4123" s="4">
        <v>44061</v>
      </c>
      <c r="B4123" s="19">
        <f t="shared" si="128"/>
        <v>2020</v>
      </c>
      <c r="C4123" s="19">
        <f t="shared" si="129"/>
        <v>8</v>
      </c>
      <c r="D4123" s="5" t="s">
        <v>992</v>
      </c>
      <c r="E4123" s="5" t="s">
        <v>67</v>
      </c>
      <c r="F4123" s="5" t="s">
        <v>19</v>
      </c>
      <c r="G4123" s="5" t="s">
        <v>32</v>
      </c>
      <c r="H4123" s="5" t="s">
        <v>873</v>
      </c>
      <c r="I4123" s="13">
        <v>121.782</v>
      </c>
      <c r="J4123" s="19">
        <v>3</v>
      </c>
      <c r="K4123" s="14">
        <v>-7.9067999999999996</v>
      </c>
    </row>
    <row r="4124" spans="1:11" x14ac:dyDescent="0.25">
      <c r="A4124" s="2">
        <v>44061</v>
      </c>
      <c r="B4124" s="18">
        <f t="shared" si="128"/>
        <v>2020</v>
      </c>
      <c r="C4124" s="18">
        <f t="shared" si="129"/>
        <v>8</v>
      </c>
      <c r="D4124" s="3" t="s">
        <v>1256</v>
      </c>
      <c r="E4124" s="3" t="s">
        <v>67</v>
      </c>
      <c r="F4124" s="3" t="s">
        <v>19</v>
      </c>
      <c r="G4124" s="3" t="s">
        <v>40</v>
      </c>
      <c r="H4124" s="3" t="s">
        <v>1295</v>
      </c>
      <c r="I4124" s="11">
        <v>125.91200000000001</v>
      </c>
      <c r="J4124" s="18">
        <v>3</v>
      </c>
      <c r="K4124" s="12">
        <v>1.2390000000000001</v>
      </c>
    </row>
    <row r="4125" spans="1:11" x14ac:dyDescent="0.25">
      <c r="A4125" s="4">
        <v>44061</v>
      </c>
      <c r="B4125" s="19">
        <f t="shared" si="128"/>
        <v>2020</v>
      </c>
      <c r="C4125" s="19">
        <f t="shared" si="129"/>
        <v>8</v>
      </c>
      <c r="D4125" s="5" t="s">
        <v>2128</v>
      </c>
      <c r="E4125" s="5" t="s">
        <v>94</v>
      </c>
      <c r="F4125" s="5" t="s">
        <v>14</v>
      </c>
      <c r="G4125" s="5" t="s">
        <v>15</v>
      </c>
      <c r="H4125" s="5" t="s">
        <v>345</v>
      </c>
      <c r="I4125" s="13">
        <v>111.91</v>
      </c>
      <c r="J4125" s="19">
        <v>1</v>
      </c>
      <c r="K4125" s="14">
        <v>10.9939</v>
      </c>
    </row>
    <row r="4126" spans="1:11" x14ac:dyDescent="0.25">
      <c r="A4126" s="2">
        <v>44061</v>
      </c>
      <c r="B4126" s="18">
        <f t="shared" si="128"/>
        <v>2020</v>
      </c>
      <c r="C4126" s="18">
        <f t="shared" si="129"/>
        <v>8</v>
      </c>
      <c r="D4126" s="3" t="s">
        <v>1740</v>
      </c>
      <c r="E4126" s="3" t="s">
        <v>370</v>
      </c>
      <c r="F4126" s="3" t="s">
        <v>14</v>
      </c>
      <c r="G4126" s="3" t="s">
        <v>24</v>
      </c>
      <c r="H4126" s="3" t="s">
        <v>2184</v>
      </c>
      <c r="I4126" s="11">
        <v>142.18</v>
      </c>
      <c r="J4126" s="18">
        <v>2</v>
      </c>
      <c r="K4126" s="12">
        <v>7.6494</v>
      </c>
    </row>
    <row r="4127" spans="1:11" x14ac:dyDescent="0.25">
      <c r="A4127" s="4">
        <v>44061</v>
      </c>
      <c r="B4127" s="19">
        <f t="shared" si="128"/>
        <v>2020</v>
      </c>
      <c r="C4127" s="19">
        <f t="shared" si="129"/>
        <v>8</v>
      </c>
      <c r="D4127" s="5" t="s">
        <v>2128</v>
      </c>
      <c r="E4127" s="5" t="s">
        <v>94</v>
      </c>
      <c r="F4127" s="5" t="s">
        <v>11</v>
      </c>
      <c r="G4127" s="5" t="s">
        <v>51</v>
      </c>
      <c r="H4127" s="5" t="s">
        <v>2418</v>
      </c>
      <c r="I4127" s="13">
        <v>134.47999999999999</v>
      </c>
      <c r="J4127" s="19">
        <v>2</v>
      </c>
      <c r="K4127" s="14">
        <v>15.7872</v>
      </c>
    </row>
    <row r="4128" spans="1:11" x14ac:dyDescent="0.25">
      <c r="A4128" s="2">
        <v>44062</v>
      </c>
      <c r="B4128" s="18">
        <f t="shared" si="128"/>
        <v>2020</v>
      </c>
      <c r="C4128" s="18">
        <f t="shared" si="129"/>
        <v>8</v>
      </c>
      <c r="D4128" s="3" t="s">
        <v>853</v>
      </c>
      <c r="E4128" s="3" t="s">
        <v>1156</v>
      </c>
      <c r="F4128" s="3" t="s">
        <v>19</v>
      </c>
      <c r="G4128" s="3" t="s">
        <v>32</v>
      </c>
      <c r="H4128" s="3" t="s">
        <v>1896</v>
      </c>
      <c r="I4128" s="11">
        <v>116.72</v>
      </c>
      <c r="J4128" s="18">
        <v>3</v>
      </c>
      <c r="K4128" s="12">
        <v>37.235999999999997</v>
      </c>
    </row>
    <row r="4129" spans="1:11" x14ac:dyDescent="0.25">
      <c r="A4129" s="4">
        <v>44062</v>
      </c>
      <c r="B4129" s="19">
        <f t="shared" si="128"/>
        <v>2020</v>
      </c>
      <c r="C4129" s="19">
        <f t="shared" si="129"/>
        <v>8</v>
      </c>
      <c r="D4129" s="5" t="s">
        <v>201</v>
      </c>
      <c r="E4129" s="5" t="s">
        <v>370</v>
      </c>
      <c r="F4129" s="5" t="s">
        <v>19</v>
      </c>
      <c r="G4129" s="5" t="s">
        <v>32</v>
      </c>
      <c r="H4129" s="5" t="s">
        <v>2417</v>
      </c>
      <c r="I4129" s="13">
        <v>404.99</v>
      </c>
      <c r="J4129" s="19">
        <v>1</v>
      </c>
      <c r="K4129" s="14">
        <v>182.3553</v>
      </c>
    </row>
    <row r="4130" spans="1:11" x14ac:dyDescent="0.25">
      <c r="A4130" s="2">
        <v>44062</v>
      </c>
      <c r="B4130" s="18">
        <f t="shared" si="128"/>
        <v>2020</v>
      </c>
      <c r="C4130" s="18">
        <f t="shared" si="129"/>
        <v>8</v>
      </c>
      <c r="D4130" s="3" t="s">
        <v>2350</v>
      </c>
      <c r="E4130" s="3" t="s">
        <v>164</v>
      </c>
      <c r="F4130" s="3" t="s">
        <v>19</v>
      </c>
      <c r="G4130" s="3" t="s">
        <v>32</v>
      </c>
      <c r="H4130" s="3" t="s">
        <v>847</v>
      </c>
      <c r="I4130" s="11">
        <v>107.29600000000001</v>
      </c>
      <c r="J4130" s="18">
        <v>2</v>
      </c>
      <c r="K4130" s="12">
        <v>-3.9032</v>
      </c>
    </row>
    <row r="4131" spans="1:11" x14ac:dyDescent="0.25">
      <c r="A4131" s="4">
        <v>44062</v>
      </c>
      <c r="B4131" s="19">
        <f t="shared" si="128"/>
        <v>2020</v>
      </c>
      <c r="C4131" s="19">
        <f t="shared" si="129"/>
        <v>8</v>
      </c>
      <c r="D4131" s="5" t="s">
        <v>2419</v>
      </c>
      <c r="E4131" s="5" t="s">
        <v>370</v>
      </c>
      <c r="F4131" s="5" t="s">
        <v>19</v>
      </c>
      <c r="G4131" s="5" t="s">
        <v>53</v>
      </c>
      <c r="H4131" s="5" t="s">
        <v>1168</v>
      </c>
      <c r="I4131" s="13">
        <v>111.44</v>
      </c>
      <c r="J4131" s="19">
        <v>3</v>
      </c>
      <c r="K4131" s="14">
        <v>9.3312000000000008</v>
      </c>
    </row>
    <row r="4132" spans="1:11" x14ac:dyDescent="0.25">
      <c r="A4132" s="2">
        <v>44063</v>
      </c>
      <c r="B4132" s="18">
        <f t="shared" si="128"/>
        <v>2020</v>
      </c>
      <c r="C4132" s="18">
        <f t="shared" si="129"/>
        <v>8</v>
      </c>
      <c r="D4132" s="3" t="s">
        <v>1654</v>
      </c>
      <c r="E4132" s="3" t="s">
        <v>18</v>
      </c>
      <c r="F4132" s="3" t="s">
        <v>14</v>
      </c>
      <c r="G4132" s="3" t="s">
        <v>15</v>
      </c>
      <c r="H4132" s="3" t="s">
        <v>318</v>
      </c>
      <c r="I4132" s="11">
        <v>145.88</v>
      </c>
      <c r="J4132" s="18">
        <v>3</v>
      </c>
      <c r="K4132" s="12">
        <v>10.788</v>
      </c>
    </row>
    <row r="4133" spans="1:11" x14ac:dyDescent="0.25">
      <c r="A4133" s="4">
        <v>44063</v>
      </c>
      <c r="B4133" s="19">
        <f t="shared" si="128"/>
        <v>2020</v>
      </c>
      <c r="C4133" s="19">
        <f t="shared" si="129"/>
        <v>8</v>
      </c>
      <c r="D4133" s="5" t="s">
        <v>1654</v>
      </c>
      <c r="E4133" s="5" t="s">
        <v>18</v>
      </c>
      <c r="F4133" s="5" t="s">
        <v>19</v>
      </c>
      <c r="G4133" s="5" t="s">
        <v>20</v>
      </c>
      <c r="H4133" s="5" t="s">
        <v>1033</v>
      </c>
      <c r="I4133" s="13">
        <v>237.56</v>
      </c>
      <c r="J4133" s="19">
        <v>6</v>
      </c>
      <c r="K4133" s="14">
        <v>63.436799999999998</v>
      </c>
    </row>
    <row r="4134" spans="1:11" x14ac:dyDescent="0.25">
      <c r="A4134" s="2">
        <v>44063</v>
      </c>
      <c r="B4134" s="18">
        <f t="shared" si="128"/>
        <v>2020</v>
      </c>
      <c r="C4134" s="18">
        <f t="shared" si="129"/>
        <v>8</v>
      </c>
      <c r="D4134" s="3" t="s">
        <v>790</v>
      </c>
      <c r="E4134" s="3" t="s">
        <v>18</v>
      </c>
      <c r="F4134" s="3" t="s">
        <v>19</v>
      </c>
      <c r="G4134" s="3" t="s">
        <v>32</v>
      </c>
      <c r="H4134" s="3" t="s">
        <v>2227</v>
      </c>
      <c r="I4134" s="11">
        <v>259.12</v>
      </c>
      <c r="J4134" s="18">
        <v>5</v>
      </c>
      <c r="K4134" s="12">
        <v>77.713999999999999</v>
      </c>
    </row>
    <row r="4135" spans="1:11" x14ac:dyDescent="0.25">
      <c r="A4135" s="4">
        <v>44063</v>
      </c>
      <c r="B4135" s="19">
        <f t="shared" si="128"/>
        <v>2020</v>
      </c>
      <c r="C4135" s="19">
        <f t="shared" si="129"/>
        <v>8</v>
      </c>
      <c r="D4135" s="5" t="s">
        <v>1654</v>
      </c>
      <c r="E4135" s="5" t="s">
        <v>18</v>
      </c>
      <c r="F4135" s="5" t="s">
        <v>19</v>
      </c>
      <c r="G4135" s="5" t="s">
        <v>265</v>
      </c>
      <c r="H4135" s="5" t="s">
        <v>2388</v>
      </c>
      <c r="I4135" s="13">
        <v>108.22</v>
      </c>
      <c r="J4135" s="19">
        <v>3</v>
      </c>
      <c r="K4135" s="14">
        <v>5.1660000000000004</v>
      </c>
    </row>
    <row r="4136" spans="1:11" x14ac:dyDescent="0.25">
      <c r="A4136" s="2">
        <v>44063</v>
      </c>
      <c r="B4136" s="18">
        <f t="shared" si="128"/>
        <v>2020</v>
      </c>
      <c r="C4136" s="18">
        <f t="shared" si="129"/>
        <v>8</v>
      </c>
      <c r="D4136" s="3" t="s">
        <v>1540</v>
      </c>
      <c r="E4136" s="3" t="s">
        <v>18</v>
      </c>
      <c r="F4136" s="3" t="s">
        <v>19</v>
      </c>
      <c r="G4136" s="3" t="s">
        <v>53</v>
      </c>
      <c r="H4136" s="3" t="s">
        <v>2332</v>
      </c>
      <c r="I4136" s="11">
        <v>140.91999999999999</v>
      </c>
      <c r="J4136" s="18">
        <v>4</v>
      </c>
      <c r="K4136" s="12">
        <v>12.441599999999999</v>
      </c>
    </row>
    <row r="4137" spans="1:11" x14ac:dyDescent="0.25">
      <c r="A4137" s="4">
        <v>44063</v>
      </c>
      <c r="B4137" s="19">
        <f t="shared" si="128"/>
        <v>2020</v>
      </c>
      <c r="C4137" s="19">
        <f t="shared" si="129"/>
        <v>8</v>
      </c>
      <c r="D4137" s="5" t="s">
        <v>699</v>
      </c>
      <c r="E4137" s="5" t="s">
        <v>35</v>
      </c>
      <c r="F4137" s="5" t="s">
        <v>14</v>
      </c>
      <c r="G4137" s="5" t="s">
        <v>15</v>
      </c>
      <c r="H4137" s="5" t="s">
        <v>318</v>
      </c>
      <c r="I4137" s="13">
        <v>144.96</v>
      </c>
      <c r="J4137" s="19">
        <v>1</v>
      </c>
      <c r="K4137" s="14">
        <v>3.5960000000000001</v>
      </c>
    </row>
    <row r="4138" spans="1:11" x14ac:dyDescent="0.25">
      <c r="A4138" s="2">
        <v>44063</v>
      </c>
      <c r="B4138" s="18">
        <f t="shared" si="128"/>
        <v>2020</v>
      </c>
      <c r="C4138" s="18">
        <f t="shared" si="129"/>
        <v>8</v>
      </c>
      <c r="D4138" s="3" t="s">
        <v>337</v>
      </c>
      <c r="E4138" s="3" t="s">
        <v>370</v>
      </c>
      <c r="F4138" s="3" t="s">
        <v>19</v>
      </c>
      <c r="G4138" s="3" t="s">
        <v>20</v>
      </c>
      <c r="H4138" s="3" t="s">
        <v>2179</v>
      </c>
      <c r="I4138" s="11">
        <v>142.29</v>
      </c>
      <c r="J4138" s="18">
        <v>3</v>
      </c>
      <c r="K4138" s="12">
        <v>10.4754</v>
      </c>
    </row>
    <row r="4139" spans="1:11" x14ac:dyDescent="0.25">
      <c r="A4139" s="4">
        <v>44064</v>
      </c>
      <c r="B4139" s="19">
        <f t="shared" si="128"/>
        <v>2020</v>
      </c>
      <c r="C4139" s="19">
        <f t="shared" si="129"/>
        <v>8</v>
      </c>
      <c r="D4139" s="5" t="s">
        <v>108</v>
      </c>
      <c r="E4139" s="5" t="s">
        <v>198</v>
      </c>
      <c r="F4139" s="5" t="s">
        <v>19</v>
      </c>
      <c r="G4139" s="5" t="s">
        <v>53</v>
      </c>
      <c r="H4139" s="5" t="s">
        <v>2420</v>
      </c>
      <c r="I4139" s="13">
        <v>100.88</v>
      </c>
      <c r="J4139" s="19">
        <v>1</v>
      </c>
      <c r="K4139" s="14">
        <v>29.358000000000001</v>
      </c>
    </row>
    <row r="4140" spans="1:11" x14ac:dyDescent="0.25">
      <c r="A4140" s="2">
        <v>44064</v>
      </c>
      <c r="B4140" s="18">
        <f t="shared" si="128"/>
        <v>2020</v>
      </c>
      <c r="C4140" s="18">
        <f t="shared" si="129"/>
        <v>8</v>
      </c>
      <c r="D4140" s="3" t="s">
        <v>2352</v>
      </c>
      <c r="E4140" s="3" t="s">
        <v>10</v>
      </c>
      <c r="F4140" s="3" t="s">
        <v>11</v>
      </c>
      <c r="G4140" s="3" t="s">
        <v>51</v>
      </c>
      <c r="H4140" s="3" t="s">
        <v>2030</v>
      </c>
      <c r="I4140" s="11">
        <v>122.92</v>
      </c>
      <c r="J4140" s="18">
        <v>4</v>
      </c>
      <c r="K4140" s="12">
        <v>31.252800000000001</v>
      </c>
    </row>
    <row r="4141" spans="1:11" x14ac:dyDescent="0.25">
      <c r="A4141" s="4">
        <v>44064</v>
      </c>
      <c r="B4141" s="19">
        <f t="shared" si="128"/>
        <v>2020</v>
      </c>
      <c r="C4141" s="19">
        <f t="shared" si="129"/>
        <v>8</v>
      </c>
      <c r="D4141" s="5" t="s">
        <v>2421</v>
      </c>
      <c r="E4141" s="5" t="s">
        <v>18</v>
      </c>
      <c r="F4141" s="5" t="s">
        <v>11</v>
      </c>
      <c r="G4141" s="5" t="s">
        <v>51</v>
      </c>
      <c r="H4141" s="5" t="s">
        <v>2251</v>
      </c>
      <c r="I4141" s="13">
        <v>153.91999999999999</v>
      </c>
      <c r="J4141" s="19">
        <v>4</v>
      </c>
      <c r="K4141" s="14">
        <v>10.393599999999999</v>
      </c>
    </row>
    <row r="4142" spans="1:11" x14ac:dyDescent="0.25">
      <c r="A4142" s="2">
        <v>44064</v>
      </c>
      <c r="B4142" s="18">
        <f t="shared" si="128"/>
        <v>2020</v>
      </c>
      <c r="C4142" s="18">
        <f t="shared" si="129"/>
        <v>8</v>
      </c>
      <c r="D4142" s="3" t="s">
        <v>2421</v>
      </c>
      <c r="E4142" s="3" t="s">
        <v>18</v>
      </c>
      <c r="F4142" s="3" t="s">
        <v>19</v>
      </c>
      <c r="G4142" s="3" t="s">
        <v>32</v>
      </c>
      <c r="H4142" s="3" t="s">
        <v>447</v>
      </c>
      <c r="I4142" s="11">
        <v>154.14400000000001</v>
      </c>
      <c r="J4142" s="18">
        <v>9</v>
      </c>
      <c r="K4142" s="12">
        <v>42.464700000000001</v>
      </c>
    </row>
    <row r="4143" spans="1:11" x14ac:dyDescent="0.25">
      <c r="A4143" s="4">
        <v>44064</v>
      </c>
      <c r="B4143" s="19">
        <f t="shared" si="128"/>
        <v>2020</v>
      </c>
      <c r="C4143" s="19">
        <f t="shared" si="129"/>
        <v>8</v>
      </c>
      <c r="D4143" s="5" t="s">
        <v>2421</v>
      </c>
      <c r="E4143" s="5" t="s">
        <v>18</v>
      </c>
      <c r="F4143" s="5" t="s">
        <v>19</v>
      </c>
      <c r="G4143" s="5" t="s">
        <v>121</v>
      </c>
      <c r="H4143" s="5" t="s">
        <v>1874</v>
      </c>
      <c r="I4143" s="13">
        <v>237.52</v>
      </c>
      <c r="J4143" s="19">
        <v>3</v>
      </c>
      <c r="K4143" s="14">
        <v>54.950400000000002</v>
      </c>
    </row>
    <row r="4144" spans="1:11" x14ac:dyDescent="0.25">
      <c r="A4144" s="2">
        <v>44064</v>
      </c>
      <c r="B4144" s="18">
        <f t="shared" si="128"/>
        <v>2020</v>
      </c>
      <c r="C4144" s="18">
        <f t="shared" si="129"/>
        <v>8</v>
      </c>
      <c r="D4144" s="3" t="s">
        <v>1852</v>
      </c>
      <c r="E4144" s="3" t="s">
        <v>306</v>
      </c>
      <c r="F4144" s="3" t="s">
        <v>19</v>
      </c>
      <c r="G4144" s="3" t="s">
        <v>20</v>
      </c>
      <c r="H4144" s="3" t="s">
        <v>277</v>
      </c>
      <c r="I4144" s="11">
        <v>261.096</v>
      </c>
      <c r="J4144" s="18">
        <v>3</v>
      </c>
      <c r="K4144" s="12">
        <v>20.745899999999999</v>
      </c>
    </row>
    <row r="4145" spans="1:11" x14ac:dyDescent="0.25">
      <c r="A4145" s="4">
        <v>44064</v>
      </c>
      <c r="B4145" s="19">
        <f t="shared" si="128"/>
        <v>2020</v>
      </c>
      <c r="C4145" s="19">
        <f t="shared" si="129"/>
        <v>8</v>
      </c>
      <c r="D4145" s="5" t="s">
        <v>2352</v>
      </c>
      <c r="E4145" s="5" t="s">
        <v>10</v>
      </c>
      <c r="F4145" s="5" t="s">
        <v>19</v>
      </c>
      <c r="G4145" s="5" t="s">
        <v>53</v>
      </c>
      <c r="H4145" s="5" t="s">
        <v>2192</v>
      </c>
      <c r="I4145" s="13">
        <v>311.39999999999998</v>
      </c>
      <c r="J4145" s="19">
        <v>5</v>
      </c>
      <c r="K4145" s="14">
        <v>133.15199999999999</v>
      </c>
    </row>
    <row r="4146" spans="1:11" x14ac:dyDescent="0.25">
      <c r="A4146" s="2">
        <v>44064</v>
      </c>
      <c r="B4146" s="18">
        <f t="shared" si="128"/>
        <v>2020</v>
      </c>
      <c r="C4146" s="18">
        <f t="shared" si="129"/>
        <v>8</v>
      </c>
      <c r="D4146" s="3" t="s">
        <v>1624</v>
      </c>
      <c r="E4146" s="3" t="s">
        <v>70</v>
      </c>
      <c r="F4146" s="3" t="s">
        <v>11</v>
      </c>
      <c r="G4146" s="3" t="s">
        <v>112</v>
      </c>
      <c r="H4146" s="3" t="s">
        <v>1929</v>
      </c>
      <c r="I4146" s="11">
        <v>435.70400000000001</v>
      </c>
      <c r="J4146" s="18">
        <v>6</v>
      </c>
      <c r="K4146" s="12">
        <v>38.870399999999997</v>
      </c>
    </row>
    <row r="4147" spans="1:11" x14ac:dyDescent="0.25">
      <c r="A4147" s="4">
        <v>44064</v>
      </c>
      <c r="B4147" s="19">
        <f t="shared" si="128"/>
        <v>2020</v>
      </c>
      <c r="C4147" s="19">
        <f t="shared" si="129"/>
        <v>8</v>
      </c>
      <c r="D4147" s="5" t="s">
        <v>2421</v>
      </c>
      <c r="E4147" s="5" t="s">
        <v>18</v>
      </c>
      <c r="F4147" s="5" t="s">
        <v>14</v>
      </c>
      <c r="G4147" s="5" t="s">
        <v>15</v>
      </c>
      <c r="H4147" s="5" t="s">
        <v>1546</v>
      </c>
      <c r="I4147" s="13">
        <v>450.96800000000002</v>
      </c>
      <c r="J4147" s="19">
        <v>4</v>
      </c>
      <c r="K4147" s="14">
        <v>37.797199999999997</v>
      </c>
    </row>
    <row r="4148" spans="1:11" x14ac:dyDescent="0.25">
      <c r="A4148" s="2">
        <v>44064</v>
      </c>
      <c r="B4148" s="18">
        <f t="shared" si="128"/>
        <v>2020</v>
      </c>
      <c r="C4148" s="18">
        <f t="shared" si="129"/>
        <v>8</v>
      </c>
      <c r="D4148" s="3" t="s">
        <v>2421</v>
      </c>
      <c r="E4148" s="3" t="s">
        <v>18</v>
      </c>
      <c r="F4148" s="3" t="s">
        <v>11</v>
      </c>
      <c r="G4148" s="3" t="s">
        <v>30</v>
      </c>
      <c r="H4148" s="3" t="s">
        <v>1477</v>
      </c>
      <c r="I4148" s="11">
        <v>590.72799999999995</v>
      </c>
      <c r="J4148" s="18">
        <v>3</v>
      </c>
      <c r="K4148" s="12">
        <v>28.436399999999999</v>
      </c>
    </row>
    <row r="4149" spans="1:11" x14ac:dyDescent="0.25">
      <c r="A4149" s="4">
        <v>44064</v>
      </c>
      <c r="B4149" s="19">
        <f t="shared" si="128"/>
        <v>2020</v>
      </c>
      <c r="C4149" s="19">
        <f t="shared" si="129"/>
        <v>8</v>
      </c>
      <c r="D4149" s="5" t="s">
        <v>1624</v>
      </c>
      <c r="E4149" s="5" t="s">
        <v>70</v>
      </c>
      <c r="F4149" s="5" t="s">
        <v>19</v>
      </c>
      <c r="G4149" s="5" t="s">
        <v>20</v>
      </c>
      <c r="H4149" s="5" t="s">
        <v>2263</v>
      </c>
      <c r="I4149" s="13">
        <v>612.58000000000004</v>
      </c>
      <c r="J4149" s="19">
        <v>6</v>
      </c>
      <c r="K4149" s="14">
        <v>34.354799999999997</v>
      </c>
    </row>
    <row r="4150" spans="1:11" x14ac:dyDescent="0.25">
      <c r="A4150" s="2">
        <v>44064</v>
      </c>
      <c r="B4150" s="18">
        <f t="shared" si="128"/>
        <v>2020</v>
      </c>
      <c r="C4150" s="18">
        <f t="shared" si="129"/>
        <v>8</v>
      </c>
      <c r="D4150" s="3" t="s">
        <v>1382</v>
      </c>
      <c r="E4150" s="3" t="s">
        <v>143</v>
      </c>
      <c r="F4150" s="3" t="s">
        <v>11</v>
      </c>
      <c r="G4150" s="3" t="s">
        <v>112</v>
      </c>
      <c r="H4150" s="3" t="s">
        <v>196</v>
      </c>
      <c r="I4150" s="11">
        <v>896.4</v>
      </c>
      <c r="J4150" s="18">
        <v>4</v>
      </c>
      <c r="K4150" s="12">
        <v>225.26400000000001</v>
      </c>
    </row>
    <row r="4151" spans="1:11" x14ac:dyDescent="0.25">
      <c r="A4151" s="4">
        <v>44064</v>
      </c>
      <c r="B4151" s="19">
        <f t="shared" si="128"/>
        <v>2020</v>
      </c>
      <c r="C4151" s="19">
        <f t="shared" si="129"/>
        <v>8</v>
      </c>
      <c r="D4151" s="5" t="s">
        <v>646</v>
      </c>
      <c r="E4151" s="5" t="s">
        <v>94</v>
      </c>
      <c r="F4151" s="5" t="s">
        <v>19</v>
      </c>
      <c r="G4151" s="5" t="s">
        <v>32</v>
      </c>
      <c r="H4151" s="5" t="s">
        <v>2027</v>
      </c>
      <c r="I4151" s="13">
        <v>4330.5519999999997</v>
      </c>
      <c r="J4151" s="19">
        <v>6</v>
      </c>
      <c r="K4151" s="14">
        <v>1453.1238000000001</v>
      </c>
    </row>
    <row r="4152" spans="1:11" x14ac:dyDescent="0.25">
      <c r="A4152" s="2">
        <v>44064</v>
      </c>
      <c r="B4152" s="18">
        <f t="shared" si="128"/>
        <v>2020</v>
      </c>
      <c r="C4152" s="18">
        <f t="shared" si="129"/>
        <v>8</v>
      </c>
      <c r="D4152" s="3" t="s">
        <v>261</v>
      </c>
      <c r="E4152" s="3" t="s">
        <v>387</v>
      </c>
      <c r="F4152" s="3" t="s">
        <v>19</v>
      </c>
      <c r="G4152" s="3" t="s">
        <v>86</v>
      </c>
      <c r="H4152" s="3" t="s">
        <v>399</v>
      </c>
      <c r="I4152" s="11">
        <v>91.28</v>
      </c>
      <c r="J4152" s="18">
        <v>2</v>
      </c>
      <c r="K4152" s="12">
        <v>7.4871999999999996</v>
      </c>
    </row>
    <row r="4153" spans="1:11" x14ac:dyDescent="0.25">
      <c r="A4153" s="4">
        <v>44064</v>
      </c>
      <c r="B4153" s="19">
        <f t="shared" si="128"/>
        <v>2020</v>
      </c>
      <c r="C4153" s="19">
        <f t="shared" si="129"/>
        <v>8</v>
      </c>
      <c r="D4153" s="5" t="s">
        <v>1852</v>
      </c>
      <c r="E4153" s="5" t="s">
        <v>306</v>
      </c>
      <c r="F4153" s="5" t="s">
        <v>11</v>
      </c>
      <c r="G4153" s="5" t="s">
        <v>51</v>
      </c>
      <c r="H4153" s="5" t="s">
        <v>392</v>
      </c>
      <c r="I4153" s="13">
        <v>121.752</v>
      </c>
      <c r="J4153" s="19">
        <v>3</v>
      </c>
      <c r="K4153" s="14">
        <v>7.11</v>
      </c>
    </row>
    <row r="4154" spans="1:11" x14ac:dyDescent="0.25">
      <c r="A4154" s="2">
        <v>44064</v>
      </c>
      <c r="B4154" s="18">
        <f t="shared" si="128"/>
        <v>2020</v>
      </c>
      <c r="C4154" s="18">
        <f t="shared" si="129"/>
        <v>8</v>
      </c>
      <c r="D4154" s="3" t="s">
        <v>2421</v>
      </c>
      <c r="E4154" s="3" t="s">
        <v>18</v>
      </c>
      <c r="F4154" s="3" t="s">
        <v>19</v>
      </c>
      <c r="G4154" s="3" t="s">
        <v>40</v>
      </c>
      <c r="H4154" s="3" t="s">
        <v>2422</v>
      </c>
      <c r="I4154" s="11">
        <v>107.12</v>
      </c>
      <c r="J4154" s="18">
        <v>4</v>
      </c>
      <c r="K4154" s="12">
        <v>4.9648000000000003</v>
      </c>
    </row>
    <row r="4155" spans="1:11" x14ac:dyDescent="0.25">
      <c r="A4155" s="4">
        <v>44064</v>
      </c>
      <c r="B4155" s="19">
        <f t="shared" si="128"/>
        <v>2020</v>
      </c>
      <c r="C4155" s="19">
        <f t="shared" si="129"/>
        <v>8</v>
      </c>
      <c r="D4155" s="5" t="s">
        <v>1852</v>
      </c>
      <c r="E4155" s="5" t="s">
        <v>306</v>
      </c>
      <c r="F4155" s="5" t="s">
        <v>19</v>
      </c>
      <c r="G4155" s="5" t="s">
        <v>53</v>
      </c>
      <c r="H4155" s="5" t="s">
        <v>1160</v>
      </c>
      <c r="I4155" s="13">
        <v>112.672</v>
      </c>
      <c r="J4155" s="19">
        <v>1</v>
      </c>
      <c r="K4155" s="14">
        <v>2.085</v>
      </c>
    </row>
    <row r="4156" spans="1:11" x14ac:dyDescent="0.25">
      <c r="A4156" s="2">
        <v>44064</v>
      </c>
      <c r="B4156" s="18">
        <f t="shared" si="128"/>
        <v>2020</v>
      </c>
      <c r="C4156" s="18">
        <f t="shared" si="129"/>
        <v>8</v>
      </c>
      <c r="D4156" s="3" t="s">
        <v>646</v>
      </c>
      <c r="E4156" s="3" t="s">
        <v>94</v>
      </c>
      <c r="F4156" s="3" t="s">
        <v>19</v>
      </c>
      <c r="G4156" s="3" t="s">
        <v>32</v>
      </c>
      <c r="H4156" s="3" t="s">
        <v>2423</v>
      </c>
      <c r="I4156" s="11">
        <v>139.08799999999999</v>
      </c>
      <c r="J4156" s="18">
        <v>7</v>
      </c>
      <c r="K4156" s="12">
        <v>11.2308</v>
      </c>
    </row>
    <row r="4157" spans="1:11" x14ac:dyDescent="0.25">
      <c r="A4157" s="4">
        <v>44064</v>
      </c>
      <c r="B4157" s="19">
        <f t="shared" si="128"/>
        <v>2020</v>
      </c>
      <c r="C4157" s="19">
        <f t="shared" si="129"/>
        <v>8</v>
      </c>
      <c r="D4157" s="5" t="s">
        <v>2352</v>
      </c>
      <c r="E4157" s="5" t="s">
        <v>10</v>
      </c>
      <c r="F4157" s="5" t="s">
        <v>11</v>
      </c>
      <c r="G4157" s="5" t="s">
        <v>51</v>
      </c>
      <c r="H4157" s="5" t="s">
        <v>1133</v>
      </c>
      <c r="I4157" s="13">
        <v>136.16</v>
      </c>
      <c r="J4157" s="19">
        <v>2</v>
      </c>
      <c r="K4157" s="14">
        <v>8.5543999999999993</v>
      </c>
    </row>
    <row r="4158" spans="1:11" x14ac:dyDescent="0.25">
      <c r="A4158" s="2">
        <v>44064</v>
      </c>
      <c r="B4158" s="18">
        <f t="shared" si="128"/>
        <v>2020</v>
      </c>
      <c r="C4158" s="18">
        <f t="shared" si="129"/>
        <v>8</v>
      </c>
      <c r="D4158" s="3" t="s">
        <v>261</v>
      </c>
      <c r="E4158" s="3" t="s">
        <v>387</v>
      </c>
      <c r="F4158" s="3" t="s">
        <v>19</v>
      </c>
      <c r="G4158" s="3" t="s">
        <v>116</v>
      </c>
      <c r="H4158" s="3" t="s">
        <v>590</v>
      </c>
      <c r="I4158" s="11">
        <v>156</v>
      </c>
      <c r="J4158" s="18">
        <v>7</v>
      </c>
      <c r="K4158" s="12">
        <v>16.8</v>
      </c>
    </row>
    <row r="4159" spans="1:11" x14ac:dyDescent="0.25">
      <c r="A4159" s="4">
        <v>44064</v>
      </c>
      <c r="B4159" s="19">
        <f t="shared" si="128"/>
        <v>2020</v>
      </c>
      <c r="C4159" s="19">
        <f t="shared" si="129"/>
        <v>8</v>
      </c>
      <c r="D4159" s="5" t="s">
        <v>1624</v>
      </c>
      <c r="E4159" s="5" t="s">
        <v>70</v>
      </c>
      <c r="F4159" s="5" t="s">
        <v>14</v>
      </c>
      <c r="G4159" s="5" t="s">
        <v>24</v>
      </c>
      <c r="H4159" s="5" t="s">
        <v>1781</v>
      </c>
      <c r="I4159" s="13">
        <v>135.18</v>
      </c>
      <c r="J4159" s="19">
        <v>2</v>
      </c>
      <c r="K4159" s="14">
        <v>11.613</v>
      </c>
    </row>
    <row r="4160" spans="1:11" x14ac:dyDescent="0.25">
      <c r="A4160" s="2">
        <v>44064</v>
      </c>
      <c r="B4160" s="18">
        <f t="shared" si="128"/>
        <v>2020</v>
      </c>
      <c r="C4160" s="18">
        <f t="shared" si="129"/>
        <v>8</v>
      </c>
      <c r="D4160" s="3" t="s">
        <v>261</v>
      </c>
      <c r="E4160" s="3" t="s">
        <v>387</v>
      </c>
      <c r="F4160" s="3" t="s">
        <v>19</v>
      </c>
      <c r="G4160" s="3" t="s">
        <v>265</v>
      </c>
      <c r="H4160" s="3" t="s">
        <v>860</v>
      </c>
      <c r="I4160" s="11">
        <v>164.24</v>
      </c>
      <c r="J4160" s="18">
        <v>4</v>
      </c>
      <c r="K4160" s="12">
        <v>10.7996</v>
      </c>
    </row>
    <row r="4161" spans="1:11" x14ac:dyDescent="0.25">
      <c r="A4161" s="4">
        <v>44064</v>
      </c>
      <c r="B4161" s="19">
        <f t="shared" si="128"/>
        <v>2020</v>
      </c>
      <c r="C4161" s="19">
        <f t="shared" si="129"/>
        <v>8</v>
      </c>
      <c r="D4161" s="5" t="s">
        <v>2421</v>
      </c>
      <c r="E4161" s="5" t="s">
        <v>18</v>
      </c>
      <c r="F4161" s="5" t="s">
        <v>19</v>
      </c>
      <c r="G4161" s="5" t="s">
        <v>127</v>
      </c>
      <c r="H4161" s="5" t="s">
        <v>1616</v>
      </c>
      <c r="I4161" s="13">
        <v>186.75</v>
      </c>
      <c r="J4161" s="19">
        <v>5</v>
      </c>
      <c r="K4161" s="14">
        <v>24.84</v>
      </c>
    </row>
    <row r="4162" spans="1:11" x14ac:dyDescent="0.25">
      <c r="A4162" s="2">
        <v>44065</v>
      </c>
      <c r="B4162" s="18">
        <f t="shared" ref="B4162:B4225" si="130">YEAR(A4162)</f>
        <v>2020</v>
      </c>
      <c r="C4162" s="18">
        <f t="shared" ref="C4162:C4225" si="131">MONTH(A4162)</f>
        <v>8</v>
      </c>
      <c r="D4162" s="3" t="s">
        <v>2212</v>
      </c>
      <c r="E4162" s="3" t="s">
        <v>18</v>
      </c>
      <c r="F4162" s="3" t="s">
        <v>11</v>
      </c>
      <c r="G4162" s="3" t="s">
        <v>30</v>
      </c>
      <c r="H4162" s="3" t="s">
        <v>1470</v>
      </c>
      <c r="I4162" s="11">
        <v>258.00799999999998</v>
      </c>
      <c r="J4162" s="18">
        <v>1</v>
      </c>
      <c r="K4162" s="12">
        <v>2.6251000000000002</v>
      </c>
    </row>
    <row r="4163" spans="1:11" x14ac:dyDescent="0.25">
      <c r="A4163" s="4">
        <v>44065</v>
      </c>
      <c r="B4163" s="19">
        <f t="shared" si="130"/>
        <v>2020</v>
      </c>
      <c r="C4163" s="19">
        <f t="shared" si="131"/>
        <v>8</v>
      </c>
      <c r="D4163" s="5" t="s">
        <v>84</v>
      </c>
      <c r="E4163" s="5" t="s">
        <v>39</v>
      </c>
      <c r="F4163" s="5" t="s">
        <v>11</v>
      </c>
      <c r="G4163" s="5" t="s">
        <v>30</v>
      </c>
      <c r="H4163" s="5" t="s">
        <v>243</v>
      </c>
      <c r="I4163" s="13">
        <v>362.53199999999998</v>
      </c>
      <c r="J4163" s="19">
        <v>2</v>
      </c>
      <c r="K4163" s="14">
        <v>-83.875200000000007</v>
      </c>
    </row>
    <row r="4164" spans="1:11" x14ac:dyDescent="0.25">
      <c r="A4164" s="2">
        <v>44066</v>
      </c>
      <c r="B4164" s="18">
        <f t="shared" si="130"/>
        <v>2020</v>
      </c>
      <c r="C4164" s="18">
        <f t="shared" si="131"/>
        <v>8</v>
      </c>
      <c r="D4164" s="3" t="s">
        <v>1451</v>
      </c>
      <c r="E4164" s="3" t="s">
        <v>44</v>
      </c>
      <c r="F4164" s="3" t="s">
        <v>19</v>
      </c>
      <c r="G4164" s="3" t="s">
        <v>121</v>
      </c>
      <c r="H4164" s="3" t="s">
        <v>2220</v>
      </c>
      <c r="I4164" s="11">
        <v>202.376</v>
      </c>
      <c r="J4164" s="18">
        <v>6</v>
      </c>
      <c r="K4164" s="12">
        <v>12.103199999999999</v>
      </c>
    </row>
    <row r="4165" spans="1:11" x14ac:dyDescent="0.25">
      <c r="A4165" s="4">
        <v>44066</v>
      </c>
      <c r="B4165" s="19">
        <f t="shared" si="130"/>
        <v>2020</v>
      </c>
      <c r="C4165" s="19">
        <f t="shared" si="131"/>
        <v>8</v>
      </c>
      <c r="D4165" s="5" t="s">
        <v>1451</v>
      </c>
      <c r="E4165" s="5" t="s">
        <v>44</v>
      </c>
      <c r="F4165" s="5" t="s">
        <v>14</v>
      </c>
      <c r="G4165" s="5" t="s">
        <v>15</v>
      </c>
      <c r="H4165" s="5" t="s">
        <v>1003</v>
      </c>
      <c r="I4165" s="13">
        <v>4395.8959999999997</v>
      </c>
      <c r="J4165" s="19">
        <v>13</v>
      </c>
      <c r="K4165" s="14">
        <v>327.59219999999999</v>
      </c>
    </row>
    <row r="4166" spans="1:11" x14ac:dyDescent="0.25">
      <c r="A4166" s="2">
        <v>44066</v>
      </c>
      <c r="B4166" s="18">
        <f t="shared" si="130"/>
        <v>2020</v>
      </c>
      <c r="C4166" s="18">
        <f t="shared" si="131"/>
        <v>8</v>
      </c>
      <c r="D4166" s="3" t="s">
        <v>1451</v>
      </c>
      <c r="E4166" s="3" t="s">
        <v>44</v>
      </c>
      <c r="F4166" s="3" t="s">
        <v>11</v>
      </c>
      <c r="G4166" s="3" t="s">
        <v>51</v>
      </c>
      <c r="H4166" s="3" t="s">
        <v>1846</v>
      </c>
      <c r="I4166" s="11">
        <v>101.78400000000001</v>
      </c>
      <c r="J4166" s="18">
        <v>2</v>
      </c>
      <c r="K4166" s="12">
        <v>0.41760000000000003</v>
      </c>
    </row>
    <row r="4167" spans="1:11" x14ac:dyDescent="0.25">
      <c r="A4167" s="4">
        <v>44066</v>
      </c>
      <c r="B4167" s="19">
        <f t="shared" si="130"/>
        <v>2020</v>
      </c>
      <c r="C4167" s="19">
        <f t="shared" si="131"/>
        <v>8</v>
      </c>
      <c r="D4167" s="5" t="s">
        <v>1451</v>
      </c>
      <c r="E4167" s="5" t="s">
        <v>44</v>
      </c>
      <c r="F4167" s="5" t="s">
        <v>19</v>
      </c>
      <c r="G4167" s="5" t="s">
        <v>53</v>
      </c>
      <c r="H4167" s="5" t="s">
        <v>1645</v>
      </c>
      <c r="I4167" s="13">
        <v>89.72</v>
      </c>
      <c r="J4167" s="19">
        <v>5</v>
      </c>
      <c r="K4167" s="14">
        <v>2.9430000000000001</v>
      </c>
    </row>
    <row r="4168" spans="1:11" x14ac:dyDescent="0.25">
      <c r="A4168" s="2">
        <v>44066</v>
      </c>
      <c r="B4168" s="18">
        <f t="shared" si="130"/>
        <v>2020</v>
      </c>
      <c r="C4168" s="18">
        <f t="shared" si="131"/>
        <v>8</v>
      </c>
      <c r="D4168" s="3" t="s">
        <v>1451</v>
      </c>
      <c r="E4168" s="3" t="s">
        <v>44</v>
      </c>
      <c r="F4168" s="3" t="s">
        <v>19</v>
      </c>
      <c r="G4168" s="3" t="s">
        <v>53</v>
      </c>
      <c r="H4168" s="3" t="s">
        <v>1040</v>
      </c>
      <c r="I4168" s="11">
        <v>179.56800000000001</v>
      </c>
      <c r="J4168" s="18">
        <v>2</v>
      </c>
      <c r="K4168" s="12">
        <v>15.49</v>
      </c>
    </row>
    <row r="4169" spans="1:11" x14ac:dyDescent="0.25">
      <c r="A4169" s="4">
        <v>44067</v>
      </c>
      <c r="B4169" s="19">
        <f t="shared" si="130"/>
        <v>2020</v>
      </c>
      <c r="C4169" s="19">
        <f t="shared" si="131"/>
        <v>8</v>
      </c>
      <c r="D4169" s="5" t="s">
        <v>773</v>
      </c>
      <c r="E4169" s="5" t="s">
        <v>67</v>
      </c>
      <c r="F4169" s="5" t="s">
        <v>19</v>
      </c>
      <c r="G4169" s="5" t="s">
        <v>121</v>
      </c>
      <c r="H4169" s="5" t="s">
        <v>1170</v>
      </c>
      <c r="I4169" s="13">
        <v>667.27200000000005</v>
      </c>
      <c r="J4169" s="19">
        <v>8</v>
      </c>
      <c r="K4169" s="14">
        <v>64.627200000000002</v>
      </c>
    </row>
    <row r="4170" spans="1:11" x14ac:dyDescent="0.25">
      <c r="A4170" s="2">
        <v>44067</v>
      </c>
      <c r="B4170" s="18">
        <f t="shared" si="130"/>
        <v>2020</v>
      </c>
      <c r="C4170" s="18">
        <f t="shared" si="131"/>
        <v>8</v>
      </c>
      <c r="D4170" s="3" t="s">
        <v>773</v>
      </c>
      <c r="E4170" s="3" t="s">
        <v>67</v>
      </c>
      <c r="F4170" s="3" t="s">
        <v>19</v>
      </c>
      <c r="G4170" s="3" t="s">
        <v>53</v>
      </c>
      <c r="H4170" s="3" t="s">
        <v>1572</v>
      </c>
      <c r="I4170" s="11">
        <v>138.36799999999999</v>
      </c>
      <c r="J4170" s="18">
        <v>2</v>
      </c>
      <c r="K4170" s="12">
        <v>3.7584</v>
      </c>
    </row>
    <row r="4171" spans="1:11" x14ac:dyDescent="0.25">
      <c r="A4171" s="4">
        <v>44067</v>
      </c>
      <c r="B4171" s="19">
        <f t="shared" si="130"/>
        <v>2020</v>
      </c>
      <c r="C4171" s="19">
        <f t="shared" si="131"/>
        <v>8</v>
      </c>
      <c r="D4171" s="5" t="s">
        <v>2028</v>
      </c>
      <c r="E4171" s="5" t="s">
        <v>94</v>
      </c>
      <c r="F4171" s="5" t="s">
        <v>19</v>
      </c>
      <c r="G4171" s="5" t="s">
        <v>32</v>
      </c>
      <c r="H4171" s="5" t="s">
        <v>976</v>
      </c>
      <c r="I4171" s="13">
        <v>141.744</v>
      </c>
      <c r="J4171" s="19">
        <v>1</v>
      </c>
      <c r="K4171" s="14">
        <v>1.3104</v>
      </c>
    </row>
    <row r="4172" spans="1:11" x14ac:dyDescent="0.25">
      <c r="A4172" s="2">
        <v>44067</v>
      </c>
      <c r="B4172" s="18">
        <f t="shared" si="130"/>
        <v>2020</v>
      </c>
      <c r="C4172" s="18">
        <f t="shared" si="131"/>
        <v>8</v>
      </c>
      <c r="D4172" s="3" t="s">
        <v>2028</v>
      </c>
      <c r="E4172" s="3" t="s">
        <v>94</v>
      </c>
      <c r="F4172" s="3" t="s">
        <v>19</v>
      </c>
      <c r="G4172" s="3" t="s">
        <v>32</v>
      </c>
      <c r="H4172" s="3" t="s">
        <v>1032</v>
      </c>
      <c r="I4172" s="11">
        <v>121.672</v>
      </c>
      <c r="J4172" s="18">
        <v>4</v>
      </c>
      <c r="K4172" s="12">
        <v>7.71</v>
      </c>
    </row>
    <row r="4173" spans="1:11" x14ac:dyDescent="0.25">
      <c r="A4173" s="4">
        <v>44068</v>
      </c>
      <c r="B4173" s="19">
        <f t="shared" si="130"/>
        <v>2020</v>
      </c>
      <c r="C4173" s="19">
        <f t="shared" si="131"/>
        <v>8</v>
      </c>
      <c r="D4173" s="5" t="s">
        <v>1026</v>
      </c>
      <c r="E4173" s="5" t="s">
        <v>39</v>
      </c>
      <c r="F4173" s="5" t="s">
        <v>11</v>
      </c>
      <c r="G4173" s="5" t="s">
        <v>12</v>
      </c>
      <c r="H4173" s="5" t="s">
        <v>597</v>
      </c>
      <c r="I4173" s="13">
        <v>165.98</v>
      </c>
      <c r="J4173" s="19">
        <v>2</v>
      </c>
      <c r="K4173" s="14">
        <v>-89.066400000000002</v>
      </c>
    </row>
    <row r="4174" spans="1:11" x14ac:dyDescent="0.25">
      <c r="A4174" s="2">
        <v>44068</v>
      </c>
      <c r="B4174" s="18">
        <f t="shared" si="130"/>
        <v>2020</v>
      </c>
      <c r="C4174" s="18">
        <f t="shared" si="131"/>
        <v>8</v>
      </c>
      <c r="D4174" s="3" t="s">
        <v>2077</v>
      </c>
      <c r="E4174" s="3" t="s">
        <v>35</v>
      </c>
      <c r="F4174" s="3" t="s">
        <v>19</v>
      </c>
      <c r="G4174" s="3" t="s">
        <v>53</v>
      </c>
      <c r="H4174" s="3" t="s">
        <v>926</v>
      </c>
      <c r="I4174" s="11">
        <v>233.16</v>
      </c>
      <c r="J4174" s="18">
        <v>5</v>
      </c>
      <c r="K4174" s="12">
        <v>67.256</v>
      </c>
    </row>
    <row r="4175" spans="1:11" x14ac:dyDescent="0.25">
      <c r="A4175" s="4">
        <v>44068</v>
      </c>
      <c r="B4175" s="19">
        <f t="shared" si="130"/>
        <v>2020</v>
      </c>
      <c r="C4175" s="19">
        <f t="shared" si="131"/>
        <v>8</v>
      </c>
      <c r="D4175" s="5" t="s">
        <v>296</v>
      </c>
      <c r="E4175" s="5" t="s">
        <v>219</v>
      </c>
      <c r="F4175" s="5" t="s">
        <v>19</v>
      </c>
      <c r="G4175" s="5" t="s">
        <v>53</v>
      </c>
      <c r="H4175" s="5" t="s">
        <v>1345</v>
      </c>
      <c r="I4175" s="13">
        <v>129.42400000000001</v>
      </c>
      <c r="J4175" s="19">
        <v>1</v>
      </c>
      <c r="K4175" s="14">
        <v>1.07</v>
      </c>
    </row>
    <row r="4176" spans="1:11" x14ac:dyDescent="0.25">
      <c r="A4176" s="2">
        <v>44068</v>
      </c>
      <c r="B4176" s="18">
        <f t="shared" si="130"/>
        <v>2020</v>
      </c>
      <c r="C4176" s="18">
        <f t="shared" si="131"/>
        <v>8</v>
      </c>
      <c r="D4176" s="3" t="s">
        <v>296</v>
      </c>
      <c r="E4176" s="3" t="s">
        <v>219</v>
      </c>
      <c r="F4176" s="3" t="s">
        <v>19</v>
      </c>
      <c r="G4176" s="3" t="s">
        <v>40</v>
      </c>
      <c r="H4176" s="3" t="s">
        <v>1469</v>
      </c>
      <c r="I4176" s="11">
        <v>143.72800000000001</v>
      </c>
      <c r="J4176" s="18">
        <v>2</v>
      </c>
      <c r="K4176" s="12">
        <v>1.7023999999999999</v>
      </c>
    </row>
    <row r="4177" spans="1:11" x14ac:dyDescent="0.25">
      <c r="A4177" s="4">
        <v>44068</v>
      </c>
      <c r="B4177" s="19">
        <f t="shared" si="130"/>
        <v>2020</v>
      </c>
      <c r="C4177" s="19">
        <f t="shared" si="131"/>
        <v>8</v>
      </c>
      <c r="D4177" s="5" t="s">
        <v>1189</v>
      </c>
      <c r="E4177" s="5" t="s">
        <v>67</v>
      </c>
      <c r="F4177" s="5" t="s">
        <v>19</v>
      </c>
      <c r="G4177" s="5" t="s">
        <v>20</v>
      </c>
      <c r="H4177" s="5" t="s">
        <v>2401</v>
      </c>
      <c r="I4177" s="13">
        <v>128.696</v>
      </c>
      <c r="J4177" s="19">
        <v>2</v>
      </c>
      <c r="K4177" s="14">
        <v>1.9272</v>
      </c>
    </row>
    <row r="4178" spans="1:11" x14ac:dyDescent="0.25">
      <c r="A4178" s="2">
        <v>44069</v>
      </c>
      <c r="B4178" s="18">
        <f t="shared" si="130"/>
        <v>2020</v>
      </c>
      <c r="C4178" s="18">
        <f t="shared" si="131"/>
        <v>8</v>
      </c>
      <c r="D4178" s="3" t="s">
        <v>1611</v>
      </c>
      <c r="E4178" s="3" t="s">
        <v>365</v>
      </c>
      <c r="F4178" s="3" t="s">
        <v>19</v>
      </c>
      <c r="G4178" s="3" t="s">
        <v>20</v>
      </c>
      <c r="H4178" s="3" t="s">
        <v>2179</v>
      </c>
      <c r="I4178" s="11">
        <v>143.72</v>
      </c>
      <c r="J4178" s="18">
        <v>4</v>
      </c>
      <c r="K4178" s="12">
        <v>13.9672</v>
      </c>
    </row>
    <row r="4179" spans="1:11" x14ac:dyDescent="0.25">
      <c r="A4179" s="4">
        <v>44069</v>
      </c>
      <c r="B4179" s="19">
        <f t="shared" si="130"/>
        <v>2020</v>
      </c>
      <c r="C4179" s="19">
        <f t="shared" si="131"/>
        <v>8</v>
      </c>
      <c r="D4179" s="5" t="s">
        <v>848</v>
      </c>
      <c r="E4179" s="5" t="s">
        <v>164</v>
      </c>
      <c r="F4179" s="5" t="s">
        <v>11</v>
      </c>
      <c r="G4179" s="5" t="s">
        <v>51</v>
      </c>
      <c r="H4179" s="5" t="s">
        <v>2260</v>
      </c>
      <c r="I4179" s="13">
        <v>149.96</v>
      </c>
      <c r="J4179" s="19">
        <v>5</v>
      </c>
      <c r="K4179" s="14">
        <v>-43.847999999999999</v>
      </c>
    </row>
    <row r="4180" spans="1:11" x14ac:dyDescent="0.25">
      <c r="A4180" s="2">
        <v>44069</v>
      </c>
      <c r="B4180" s="18">
        <f t="shared" si="130"/>
        <v>2020</v>
      </c>
      <c r="C4180" s="18">
        <f t="shared" si="131"/>
        <v>8</v>
      </c>
      <c r="D4180" s="3" t="s">
        <v>1299</v>
      </c>
      <c r="E4180" s="3" t="s">
        <v>109</v>
      </c>
      <c r="F4180" s="3" t="s">
        <v>14</v>
      </c>
      <c r="G4180" s="3" t="s">
        <v>24</v>
      </c>
      <c r="H4180" s="3" t="s">
        <v>1358</v>
      </c>
      <c r="I4180" s="11">
        <v>149.97999999999999</v>
      </c>
      <c r="J4180" s="18">
        <v>2</v>
      </c>
      <c r="K4180" s="12">
        <v>15.1158</v>
      </c>
    </row>
    <row r="4181" spans="1:11" x14ac:dyDescent="0.25">
      <c r="A4181" s="4">
        <v>44070</v>
      </c>
      <c r="B4181" s="19">
        <f t="shared" si="130"/>
        <v>2020</v>
      </c>
      <c r="C4181" s="19">
        <f t="shared" si="131"/>
        <v>8</v>
      </c>
      <c r="D4181" s="5" t="s">
        <v>485</v>
      </c>
      <c r="E4181" s="5" t="s">
        <v>18</v>
      </c>
      <c r="F4181" s="5" t="s">
        <v>19</v>
      </c>
      <c r="G4181" s="5" t="s">
        <v>53</v>
      </c>
      <c r="H4181" s="5" t="s">
        <v>205</v>
      </c>
      <c r="I4181" s="13">
        <v>149.28</v>
      </c>
      <c r="J4181" s="19">
        <v>3</v>
      </c>
      <c r="K4181" s="14">
        <v>56.977200000000003</v>
      </c>
    </row>
    <row r="4182" spans="1:11" x14ac:dyDescent="0.25">
      <c r="A4182" s="2">
        <v>44070</v>
      </c>
      <c r="B4182" s="18">
        <f t="shared" si="130"/>
        <v>2020</v>
      </c>
      <c r="C4182" s="18">
        <f t="shared" si="131"/>
        <v>8</v>
      </c>
      <c r="D4182" s="3" t="s">
        <v>563</v>
      </c>
      <c r="E4182" s="3" t="s">
        <v>198</v>
      </c>
      <c r="F4182" s="3" t="s">
        <v>11</v>
      </c>
      <c r="G4182" s="3" t="s">
        <v>51</v>
      </c>
      <c r="H4182" s="3" t="s">
        <v>736</v>
      </c>
      <c r="I4182" s="11">
        <v>167.57599999999999</v>
      </c>
      <c r="J4182" s="18">
        <v>8</v>
      </c>
      <c r="K4182" s="12">
        <v>33.1584</v>
      </c>
    </row>
    <row r="4183" spans="1:11" x14ac:dyDescent="0.25">
      <c r="A4183" s="4">
        <v>44070</v>
      </c>
      <c r="B4183" s="19">
        <f t="shared" si="130"/>
        <v>2020</v>
      </c>
      <c r="C4183" s="19">
        <f t="shared" si="131"/>
        <v>8</v>
      </c>
      <c r="D4183" s="5" t="s">
        <v>485</v>
      </c>
      <c r="E4183" s="5" t="s">
        <v>18</v>
      </c>
      <c r="F4183" s="5" t="s">
        <v>11</v>
      </c>
      <c r="G4183" s="5" t="s">
        <v>51</v>
      </c>
      <c r="H4183" s="5" t="s">
        <v>834</v>
      </c>
      <c r="I4183" s="13">
        <v>242.46</v>
      </c>
      <c r="J4183" s="19">
        <v>2</v>
      </c>
      <c r="K4183" s="14">
        <v>99.23</v>
      </c>
    </row>
    <row r="4184" spans="1:11" x14ac:dyDescent="0.25">
      <c r="A4184" s="2">
        <v>44070</v>
      </c>
      <c r="B4184" s="18">
        <f t="shared" si="130"/>
        <v>2020</v>
      </c>
      <c r="C4184" s="18">
        <f t="shared" si="131"/>
        <v>8</v>
      </c>
      <c r="D4184" s="3" t="s">
        <v>485</v>
      </c>
      <c r="E4184" s="3" t="s">
        <v>18</v>
      </c>
      <c r="F4184" s="3" t="s">
        <v>11</v>
      </c>
      <c r="G4184" s="3" t="s">
        <v>112</v>
      </c>
      <c r="H4184" s="3" t="s">
        <v>622</v>
      </c>
      <c r="I4184" s="11">
        <v>261.27999999999997</v>
      </c>
      <c r="J4184" s="18">
        <v>3</v>
      </c>
      <c r="K4184" s="12">
        <v>23.027999999999999</v>
      </c>
    </row>
    <row r="4185" spans="1:11" x14ac:dyDescent="0.25">
      <c r="A4185" s="4">
        <v>44070</v>
      </c>
      <c r="B4185" s="19">
        <f t="shared" si="130"/>
        <v>2020</v>
      </c>
      <c r="C4185" s="19">
        <f t="shared" si="131"/>
        <v>8</v>
      </c>
      <c r="D4185" s="5" t="s">
        <v>485</v>
      </c>
      <c r="E4185" s="5" t="s">
        <v>18</v>
      </c>
      <c r="F4185" s="5" t="s">
        <v>19</v>
      </c>
      <c r="G4185" s="5" t="s">
        <v>121</v>
      </c>
      <c r="H4185" s="5" t="s">
        <v>1043</v>
      </c>
      <c r="I4185" s="13">
        <v>337.92</v>
      </c>
      <c r="J4185" s="19">
        <v>4</v>
      </c>
      <c r="K4185" s="14">
        <v>96.575999999999993</v>
      </c>
    </row>
    <row r="4186" spans="1:11" x14ac:dyDescent="0.25">
      <c r="A4186" s="2">
        <v>44070</v>
      </c>
      <c r="B4186" s="18">
        <f t="shared" si="130"/>
        <v>2020</v>
      </c>
      <c r="C4186" s="18">
        <f t="shared" si="131"/>
        <v>8</v>
      </c>
      <c r="D4186" s="3" t="s">
        <v>2375</v>
      </c>
      <c r="E4186" s="3" t="s">
        <v>94</v>
      </c>
      <c r="F4186" s="3" t="s">
        <v>14</v>
      </c>
      <c r="G4186" s="3" t="s">
        <v>15</v>
      </c>
      <c r="H4186" s="3" t="s">
        <v>16</v>
      </c>
      <c r="I4186" s="11">
        <v>367.97</v>
      </c>
      <c r="J4186" s="18">
        <v>3</v>
      </c>
      <c r="K4186" s="12">
        <v>100.9113</v>
      </c>
    </row>
    <row r="4187" spans="1:11" x14ac:dyDescent="0.25">
      <c r="A4187" s="4">
        <v>44070</v>
      </c>
      <c r="B4187" s="19">
        <f t="shared" si="130"/>
        <v>2020</v>
      </c>
      <c r="C4187" s="19">
        <f t="shared" si="131"/>
        <v>8</v>
      </c>
      <c r="D4187" s="5" t="s">
        <v>485</v>
      </c>
      <c r="E4187" s="5" t="s">
        <v>18</v>
      </c>
      <c r="F4187" s="5" t="s">
        <v>19</v>
      </c>
      <c r="G4187" s="5" t="s">
        <v>20</v>
      </c>
      <c r="H4187" s="5" t="s">
        <v>1635</v>
      </c>
      <c r="I4187" s="13">
        <v>378.9</v>
      </c>
      <c r="J4187" s="19">
        <v>5</v>
      </c>
      <c r="K4187" s="14">
        <v>17.745000000000001</v>
      </c>
    </row>
    <row r="4188" spans="1:11" x14ac:dyDescent="0.25">
      <c r="A4188" s="2">
        <v>44070</v>
      </c>
      <c r="B4188" s="18">
        <f t="shared" si="130"/>
        <v>2020</v>
      </c>
      <c r="C4188" s="18">
        <f t="shared" si="131"/>
        <v>8</v>
      </c>
      <c r="D4188" s="3" t="s">
        <v>485</v>
      </c>
      <c r="E4188" s="3" t="s">
        <v>18</v>
      </c>
      <c r="F4188" s="3" t="s">
        <v>19</v>
      </c>
      <c r="G4188" s="3" t="s">
        <v>32</v>
      </c>
      <c r="H4188" s="3" t="s">
        <v>1566</v>
      </c>
      <c r="I4188" s="11">
        <v>855.56799999999998</v>
      </c>
      <c r="J4188" s="18">
        <v>2</v>
      </c>
      <c r="K4188" s="12">
        <v>294.54880000000003</v>
      </c>
    </row>
    <row r="4189" spans="1:11" x14ac:dyDescent="0.25">
      <c r="A4189" s="4">
        <v>44070</v>
      </c>
      <c r="B4189" s="19">
        <f t="shared" si="130"/>
        <v>2020</v>
      </c>
      <c r="C4189" s="19">
        <f t="shared" si="131"/>
        <v>8</v>
      </c>
      <c r="D4189" s="5" t="s">
        <v>485</v>
      </c>
      <c r="E4189" s="5" t="s">
        <v>18</v>
      </c>
      <c r="F4189" s="5" t="s">
        <v>14</v>
      </c>
      <c r="G4189" s="5" t="s">
        <v>36</v>
      </c>
      <c r="H4189" s="5" t="s">
        <v>2424</v>
      </c>
      <c r="I4189" s="13">
        <v>889.98400000000004</v>
      </c>
      <c r="J4189" s="19">
        <v>2</v>
      </c>
      <c r="K4189" s="14">
        <v>329.99400000000003</v>
      </c>
    </row>
    <row r="4190" spans="1:11" x14ac:dyDescent="0.25">
      <c r="A4190" s="2">
        <v>44070</v>
      </c>
      <c r="B4190" s="18">
        <f t="shared" si="130"/>
        <v>2020</v>
      </c>
      <c r="C4190" s="18">
        <f t="shared" si="131"/>
        <v>8</v>
      </c>
      <c r="D4190" s="3" t="s">
        <v>38</v>
      </c>
      <c r="E4190" s="3" t="s">
        <v>39</v>
      </c>
      <c r="F4190" s="3" t="s">
        <v>14</v>
      </c>
      <c r="G4190" s="3" t="s">
        <v>24</v>
      </c>
      <c r="H4190" s="3" t="s">
        <v>707</v>
      </c>
      <c r="I4190" s="11">
        <v>1131.8879999999999</v>
      </c>
      <c r="J4190" s="18">
        <v>14</v>
      </c>
      <c r="K4190" s="12">
        <v>209.97900000000001</v>
      </c>
    </row>
    <row r="4191" spans="1:11" x14ac:dyDescent="0.25">
      <c r="A4191" s="4">
        <v>44070</v>
      </c>
      <c r="B4191" s="19">
        <f t="shared" si="130"/>
        <v>2020</v>
      </c>
      <c r="C4191" s="19">
        <f t="shared" si="131"/>
        <v>8</v>
      </c>
      <c r="D4191" s="5" t="s">
        <v>2303</v>
      </c>
      <c r="E4191" s="5" t="s">
        <v>370</v>
      </c>
      <c r="F4191" s="5" t="s">
        <v>11</v>
      </c>
      <c r="G4191" s="5" t="s">
        <v>30</v>
      </c>
      <c r="H4191" s="5" t="s">
        <v>320</v>
      </c>
      <c r="I4191" s="13">
        <v>1505.424</v>
      </c>
      <c r="J4191" s="19">
        <v>7</v>
      </c>
      <c r="K4191" s="14">
        <v>-297.6848</v>
      </c>
    </row>
    <row r="4192" spans="1:11" x14ac:dyDescent="0.25">
      <c r="A4192" s="2">
        <v>44070</v>
      </c>
      <c r="B4192" s="18">
        <f t="shared" si="130"/>
        <v>2020</v>
      </c>
      <c r="C4192" s="18">
        <f t="shared" si="131"/>
        <v>8</v>
      </c>
      <c r="D4192" s="3" t="s">
        <v>187</v>
      </c>
      <c r="E4192" s="3" t="s">
        <v>23</v>
      </c>
      <c r="F4192" s="3" t="s">
        <v>19</v>
      </c>
      <c r="G4192" s="3" t="s">
        <v>40</v>
      </c>
      <c r="H4192" s="3" t="s">
        <v>1224</v>
      </c>
      <c r="I4192" s="11">
        <v>109.952</v>
      </c>
      <c r="J4192" s="18">
        <v>1</v>
      </c>
      <c r="K4192" s="12">
        <v>0.372</v>
      </c>
    </row>
    <row r="4193" spans="1:11" x14ac:dyDescent="0.25">
      <c r="A4193" s="4">
        <v>44070</v>
      </c>
      <c r="B4193" s="19">
        <f t="shared" si="130"/>
        <v>2020</v>
      </c>
      <c r="C4193" s="19">
        <f t="shared" si="131"/>
        <v>8</v>
      </c>
      <c r="D4193" s="5" t="s">
        <v>2406</v>
      </c>
      <c r="E4193" s="5" t="s">
        <v>219</v>
      </c>
      <c r="F4193" s="5" t="s">
        <v>19</v>
      </c>
      <c r="G4193" s="5" t="s">
        <v>53</v>
      </c>
      <c r="H4193" s="5" t="s">
        <v>962</v>
      </c>
      <c r="I4193" s="13">
        <v>109.184</v>
      </c>
      <c r="J4193" s="19">
        <v>1</v>
      </c>
      <c r="K4193" s="14">
        <v>1.8144</v>
      </c>
    </row>
    <row r="4194" spans="1:11" x14ac:dyDescent="0.25">
      <c r="A4194" s="2">
        <v>44070</v>
      </c>
      <c r="B4194" s="18">
        <f t="shared" si="130"/>
        <v>2020</v>
      </c>
      <c r="C4194" s="18">
        <f t="shared" si="131"/>
        <v>8</v>
      </c>
      <c r="D4194" s="3" t="s">
        <v>2348</v>
      </c>
      <c r="E4194" s="3" t="s">
        <v>44</v>
      </c>
      <c r="F4194" s="3" t="s">
        <v>19</v>
      </c>
      <c r="G4194" s="3" t="s">
        <v>121</v>
      </c>
      <c r="H4194" s="3" t="s">
        <v>2181</v>
      </c>
      <c r="I4194" s="11">
        <v>125.336</v>
      </c>
      <c r="J4194" s="18">
        <v>4</v>
      </c>
      <c r="K4194" s="12">
        <v>0.89600000000000002</v>
      </c>
    </row>
    <row r="4195" spans="1:11" x14ac:dyDescent="0.25">
      <c r="A4195" s="4">
        <v>44070</v>
      </c>
      <c r="B4195" s="19">
        <f t="shared" si="130"/>
        <v>2020</v>
      </c>
      <c r="C4195" s="19">
        <f t="shared" si="131"/>
        <v>8</v>
      </c>
      <c r="D4195" s="5" t="s">
        <v>1985</v>
      </c>
      <c r="E4195" s="5" t="s">
        <v>44</v>
      </c>
      <c r="F4195" s="5" t="s">
        <v>19</v>
      </c>
      <c r="G4195" s="5" t="s">
        <v>86</v>
      </c>
      <c r="H4195" s="5" t="s">
        <v>1374</v>
      </c>
      <c r="I4195" s="13">
        <v>138.89599999999999</v>
      </c>
      <c r="J4195" s="19">
        <v>1</v>
      </c>
      <c r="K4195" s="14">
        <v>0.97740000000000005</v>
      </c>
    </row>
    <row r="4196" spans="1:11" x14ac:dyDescent="0.25">
      <c r="A4196" s="2">
        <v>44070</v>
      </c>
      <c r="B4196" s="18">
        <f t="shared" si="130"/>
        <v>2020</v>
      </c>
      <c r="C4196" s="18">
        <f t="shared" si="131"/>
        <v>8</v>
      </c>
      <c r="D4196" s="3" t="s">
        <v>38</v>
      </c>
      <c r="E4196" s="3" t="s">
        <v>39</v>
      </c>
      <c r="F4196" s="3" t="s">
        <v>19</v>
      </c>
      <c r="G4196" s="3" t="s">
        <v>53</v>
      </c>
      <c r="H4196" s="3" t="s">
        <v>2425</v>
      </c>
      <c r="I4196" s="11">
        <v>116.672</v>
      </c>
      <c r="J4196" s="18">
        <v>3</v>
      </c>
      <c r="K4196" s="12">
        <v>3.96</v>
      </c>
    </row>
    <row r="4197" spans="1:11" x14ac:dyDescent="0.25">
      <c r="A4197" s="4">
        <v>44070</v>
      </c>
      <c r="B4197" s="19">
        <f t="shared" si="130"/>
        <v>2020</v>
      </c>
      <c r="C4197" s="19">
        <f t="shared" si="131"/>
        <v>8</v>
      </c>
      <c r="D4197" s="5" t="s">
        <v>2375</v>
      </c>
      <c r="E4197" s="5" t="s">
        <v>94</v>
      </c>
      <c r="F4197" s="5" t="s">
        <v>19</v>
      </c>
      <c r="G4197" s="5" t="s">
        <v>32</v>
      </c>
      <c r="H4197" s="5" t="s">
        <v>1032</v>
      </c>
      <c r="I4197" s="13">
        <v>133.00800000000001</v>
      </c>
      <c r="J4197" s="19">
        <v>6</v>
      </c>
      <c r="K4197" s="14">
        <v>11.565</v>
      </c>
    </row>
    <row r="4198" spans="1:11" x14ac:dyDescent="0.25">
      <c r="A4198" s="2">
        <v>44070</v>
      </c>
      <c r="B4198" s="18">
        <f t="shared" si="130"/>
        <v>2020</v>
      </c>
      <c r="C4198" s="18">
        <f t="shared" si="131"/>
        <v>8</v>
      </c>
      <c r="D4198" s="3" t="s">
        <v>485</v>
      </c>
      <c r="E4198" s="3" t="s">
        <v>18</v>
      </c>
      <c r="F4198" s="3" t="s">
        <v>19</v>
      </c>
      <c r="G4198" s="3" t="s">
        <v>265</v>
      </c>
      <c r="H4198" s="3" t="s">
        <v>1487</v>
      </c>
      <c r="I4198" s="11">
        <v>149.4</v>
      </c>
      <c r="J4198" s="18">
        <v>5</v>
      </c>
      <c r="K4198" s="12">
        <v>8.2360000000000007</v>
      </c>
    </row>
    <row r="4199" spans="1:11" x14ac:dyDescent="0.25">
      <c r="A4199" s="4">
        <v>44070</v>
      </c>
      <c r="B4199" s="19">
        <f t="shared" si="130"/>
        <v>2020</v>
      </c>
      <c r="C4199" s="19">
        <f t="shared" si="131"/>
        <v>8</v>
      </c>
      <c r="D4199" s="5" t="s">
        <v>2375</v>
      </c>
      <c r="E4199" s="5" t="s">
        <v>94</v>
      </c>
      <c r="F4199" s="5" t="s">
        <v>19</v>
      </c>
      <c r="G4199" s="5" t="s">
        <v>20</v>
      </c>
      <c r="H4199" s="5" t="s">
        <v>2194</v>
      </c>
      <c r="I4199" s="13">
        <v>170.84</v>
      </c>
      <c r="J4199" s="19">
        <v>8</v>
      </c>
      <c r="K4199" s="14">
        <v>16.598400000000002</v>
      </c>
    </row>
    <row r="4200" spans="1:11" x14ac:dyDescent="0.25">
      <c r="A4200" s="2">
        <v>44071</v>
      </c>
      <c r="B4200" s="18">
        <f t="shared" si="130"/>
        <v>2020</v>
      </c>
      <c r="C4200" s="18">
        <f t="shared" si="131"/>
        <v>8</v>
      </c>
      <c r="D4200" s="3" t="s">
        <v>1909</v>
      </c>
      <c r="E4200" s="3" t="s">
        <v>56</v>
      </c>
      <c r="F4200" s="3" t="s">
        <v>19</v>
      </c>
      <c r="G4200" s="3" t="s">
        <v>121</v>
      </c>
      <c r="H4200" s="3" t="s">
        <v>1881</v>
      </c>
      <c r="I4200" s="11">
        <v>109.6</v>
      </c>
      <c r="J4200" s="18">
        <v>5</v>
      </c>
      <c r="K4200" s="12">
        <v>26.564</v>
      </c>
    </row>
    <row r="4201" spans="1:11" x14ac:dyDescent="0.25">
      <c r="A4201" s="4">
        <v>44071</v>
      </c>
      <c r="B4201" s="19">
        <f t="shared" si="130"/>
        <v>2020</v>
      </c>
      <c r="C4201" s="19">
        <f t="shared" si="131"/>
        <v>8</v>
      </c>
      <c r="D4201" s="5" t="s">
        <v>1269</v>
      </c>
      <c r="E4201" s="5" t="s">
        <v>70</v>
      </c>
      <c r="F4201" s="5" t="s">
        <v>19</v>
      </c>
      <c r="G4201" s="5" t="s">
        <v>32</v>
      </c>
      <c r="H4201" s="5" t="s">
        <v>947</v>
      </c>
      <c r="I4201" s="13">
        <v>143.68</v>
      </c>
      <c r="J4201" s="19">
        <v>5</v>
      </c>
      <c r="K4201" s="14">
        <v>32.396000000000001</v>
      </c>
    </row>
    <row r="4202" spans="1:11" x14ac:dyDescent="0.25">
      <c r="A4202" s="2">
        <v>44071</v>
      </c>
      <c r="B4202" s="18">
        <f t="shared" si="130"/>
        <v>2020</v>
      </c>
      <c r="C4202" s="18">
        <f t="shared" si="131"/>
        <v>8</v>
      </c>
      <c r="D4202" s="3" t="s">
        <v>1269</v>
      </c>
      <c r="E4202" s="3" t="s">
        <v>70</v>
      </c>
      <c r="F4202" s="3" t="s">
        <v>11</v>
      </c>
      <c r="G4202" s="3" t="s">
        <v>30</v>
      </c>
      <c r="H4202" s="3" t="s">
        <v>31</v>
      </c>
      <c r="I4202" s="11">
        <v>1176.75</v>
      </c>
      <c r="J4202" s="18">
        <v>5</v>
      </c>
      <c r="K4202" s="12">
        <v>250.30500000000001</v>
      </c>
    </row>
    <row r="4203" spans="1:11" x14ac:dyDescent="0.25">
      <c r="A4203" s="4">
        <v>44071</v>
      </c>
      <c r="B4203" s="19">
        <f t="shared" si="130"/>
        <v>2020</v>
      </c>
      <c r="C4203" s="19">
        <f t="shared" si="131"/>
        <v>8</v>
      </c>
      <c r="D4203" s="5" t="s">
        <v>1269</v>
      </c>
      <c r="E4203" s="5" t="s">
        <v>70</v>
      </c>
      <c r="F4203" s="5" t="s">
        <v>19</v>
      </c>
      <c r="G4203" s="5" t="s">
        <v>40</v>
      </c>
      <c r="H4203" s="5" t="s">
        <v>845</v>
      </c>
      <c r="I4203" s="13">
        <v>77.56</v>
      </c>
      <c r="J4203" s="19">
        <v>2</v>
      </c>
      <c r="K4203" s="14">
        <v>1.4456</v>
      </c>
    </row>
    <row r="4204" spans="1:11" x14ac:dyDescent="0.25">
      <c r="A4204" s="2">
        <v>44071</v>
      </c>
      <c r="B4204" s="18">
        <f t="shared" si="130"/>
        <v>2020</v>
      </c>
      <c r="C4204" s="18">
        <f t="shared" si="131"/>
        <v>8</v>
      </c>
      <c r="D4204" s="3" t="s">
        <v>2047</v>
      </c>
      <c r="E4204" s="3" t="s">
        <v>164</v>
      </c>
      <c r="F4204" s="3" t="s">
        <v>19</v>
      </c>
      <c r="G4204" s="3" t="s">
        <v>53</v>
      </c>
      <c r="H4204" s="3" t="s">
        <v>1226</v>
      </c>
      <c r="I4204" s="11">
        <v>102.72</v>
      </c>
      <c r="J4204" s="18">
        <v>5</v>
      </c>
      <c r="K4204" s="12">
        <v>9.3520000000000003</v>
      </c>
    </row>
    <row r="4205" spans="1:11" x14ac:dyDescent="0.25">
      <c r="A4205" s="4">
        <v>44071</v>
      </c>
      <c r="B4205" s="19">
        <f t="shared" si="130"/>
        <v>2020</v>
      </c>
      <c r="C4205" s="19">
        <f t="shared" si="131"/>
        <v>8</v>
      </c>
      <c r="D4205" s="5" t="s">
        <v>1909</v>
      </c>
      <c r="E4205" s="5" t="s">
        <v>56</v>
      </c>
      <c r="F4205" s="5" t="s">
        <v>19</v>
      </c>
      <c r="G4205" s="5" t="s">
        <v>265</v>
      </c>
      <c r="H4205" s="5" t="s">
        <v>1204</v>
      </c>
      <c r="I4205" s="13">
        <v>109.81</v>
      </c>
      <c r="J4205" s="19">
        <v>3</v>
      </c>
      <c r="K4205" s="14">
        <v>5.8887</v>
      </c>
    </row>
    <row r="4206" spans="1:11" x14ac:dyDescent="0.25">
      <c r="A4206" s="2">
        <v>44071</v>
      </c>
      <c r="B4206" s="18">
        <f t="shared" si="130"/>
        <v>2020</v>
      </c>
      <c r="C4206" s="18">
        <f t="shared" si="131"/>
        <v>8</v>
      </c>
      <c r="D4206" s="3" t="s">
        <v>2047</v>
      </c>
      <c r="E4206" s="3" t="s">
        <v>164</v>
      </c>
      <c r="F4206" s="3" t="s">
        <v>19</v>
      </c>
      <c r="G4206" s="3" t="s">
        <v>53</v>
      </c>
      <c r="H4206" s="3" t="s">
        <v>1862</v>
      </c>
      <c r="I4206" s="11">
        <v>137.34399999999999</v>
      </c>
      <c r="J4206" s="18">
        <v>6</v>
      </c>
      <c r="K4206" s="12">
        <v>7.92</v>
      </c>
    </row>
    <row r="4207" spans="1:11" x14ac:dyDescent="0.25">
      <c r="A4207" s="4">
        <v>44071</v>
      </c>
      <c r="B4207" s="19">
        <f t="shared" si="130"/>
        <v>2020</v>
      </c>
      <c r="C4207" s="19">
        <f t="shared" si="131"/>
        <v>8</v>
      </c>
      <c r="D4207" s="5" t="s">
        <v>1269</v>
      </c>
      <c r="E4207" s="5" t="s">
        <v>70</v>
      </c>
      <c r="F4207" s="5" t="s">
        <v>14</v>
      </c>
      <c r="G4207" s="5" t="s">
        <v>15</v>
      </c>
      <c r="H4207" s="5" t="s">
        <v>2426</v>
      </c>
      <c r="I4207" s="13">
        <v>150.16800000000001</v>
      </c>
      <c r="J4207" s="19">
        <v>4</v>
      </c>
      <c r="K4207" s="14">
        <v>11.429600000000001</v>
      </c>
    </row>
    <row r="4208" spans="1:11" x14ac:dyDescent="0.25">
      <c r="A4208" s="2">
        <v>44072</v>
      </c>
      <c r="B4208" s="18">
        <f t="shared" si="130"/>
        <v>2020</v>
      </c>
      <c r="C4208" s="18">
        <f t="shared" si="131"/>
        <v>8</v>
      </c>
      <c r="D4208" s="3" t="s">
        <v>2269</v>
      </c>
      <c r="E4208" s="3" t="s">
        <v>18</v>
      </c>
      <c r="F4208" s="3" t="s">
        <v>11</v>
      </c>
      <c r="G4208" s="3" t="s">
        <v>51</v>
      </c>
      <c r="H4208" s="3" t="s">
        <v>83</v>
      </c>
      <c r="I4208" s="11">
        <v>180.02</v>
      </c>
      <c r="J4208" s="18">
        <v>3</v>
      </c>
      <c r="K4208" s="12">
        <v>41.445599999999999</v>
      </c>
    </row>
    <row r="4209" spans="1:11" x14ac:dyDescent="0.25">
      <c r="A4209" s="4">
        <v>44072</v>
      </c>
      <c r="B4209" s="19">
        <f t="shared" si="130"/>
        <v>2020</v>
      </c>
      <c r="C4209" s="19">
        <f t="shared" si="131"/>
        <v>8</v>
      </c>
      <c r="D4209" s="5" t="s">
        <v>2310</v>
      </c>
      <c r="E4209" s="5" t="s">
        <v>39</v>
      </c>
      <c r="F4209" s="5" t="s">
        <v>19</v>
      </c>
      <c r="G4209" s="5" t="s">
        <v>40</v>
      </c>
      <c r="H4209" s="5" t="s">
        <v>2163</v>
      </c>
      <c r="I4209" s="13">
        <v>89.408000000000001</v>
      </c>
      <c r="J4209" s="19">
        <v>7</v>
      </c>
      <c r="K4209" s="14">
        <v>0.7056</v>
      </c>
    </row>
    <row r="4210" spans="1:11" x14ac:dyDescent="0.25">
      <c r="A4210" s="2">
        <v>44072</v>
      </c>
      <c r="B4210" s="18">
        <f t="shared" si="130"/>
        <v>2020</v>
      </c>
      <c r="C4210" s="18">
        <f t="shared" si="131"/>
        <v>8</v>
      </c>
      <c r="D4210" s="3" t="s">
        <v>518</v>
      </c>
      <c r="E4210" s="3" t="s">
        <v>164</v>
      </c>
      <c r="F4210" s="3" t="s">
        <v>19</v>
      </c>
      <c r="G4210" s="3" t="s">
        <v>20</v>
      </c>
      <c r="H4210" s="3" t="s">
        <v>1650</v>
      </c>
      <c r="I4210" s="11">
        <v>93.44</v>
      </c>
      <c r="J4210" s="18">
        <v>2</v>
      </c>
      <c r="K4210" s="12">
        <v>2.4009999999999998</v>
      </c>
    </row>
    <row r="4211" spans="1:11" x14ac:dyDescent="0.25">
      <c r="A4211" s="4">
        <v>44072</v>
      </c>
      <c r="B4211" s="19">
        <f t="shared" si="130"/>
        <v>2020</v>
      </c>
      <c r="C4211" s="19">
        <f t="shared" si="131"/>
        <v>8</v>
      </c>
      <c r="D4211" s="5" t="s">
        <v>518</v>
      </c>
      <c r="E4211" s="5" t="s">
        <v>164</v>
      </c>
      <c r="F4211" s="5" t="s">
        <v>19</v>
      </c>
      <c r="G4211" s="5" t="s">
        <v>32</v>
      </c>
      <c r="H4211" s="5" t="s">
        <v>1273</v>
      </c>
      <c r="I4211" s="13">
        <v>96.24</v>
      </c>
      <c r="J4211" s="19">
        <v>9</v>
      </c>
      <c r="K4211" s="14">
        <v>-5.1840000000000002</v>
      </c>
    </row>
    <row r="4212" spans="1:11" x14ac:dyDescent="0.25">
      <c r="A4212" s="2">
        <v>44072</v>
      </c>
      <c r="B4212" s="18">
        <f t="shared" si="130"/>
        <v>2020</v>
      </c>
      <c r="C4212" s="18">
        <f t="shared" si="131"/>
        <v>8</v>
      </c>
      <c r="D4212" s="3" t="s">
        <v>518</v>
      </c>
      <c r="E4212" s="3" t="s">
        <v>164</v>
      </c>
      <c r="F4212" s="3" t="s">
        <v>19</v>
      </c>
      <c r="G4212" s="3" t="s">
        <v>127</v>
      </c>
      <c r="H4212" s="3" t="s">
        <v>2267</v>
      </c>
      <c r="I4212" s="11">
        <v>137.36000000000001</v>
      </c>
      <c r="J4212" s="18">
        <v>4</v>
      </c>
      <c r="K4212" s="12">
        <v>17.760000000000002</v>
      </c>
    </row>
    <row r="4213" spans="1:11" x14ac:dyDescent="0.25">
      <c r="A4213" s="4">
        <v>44074</v>
      </c>
      <c r="B4213" s="19">
        <f t="shared" si="130"/>
        <v>2020</v>
      </c>
      <c r="C4213" s="19">
        <f t="shared" si="131"/>
        <v>8</v>
      </c>
      <c r="D4213" s="5" t="s">
        <v>1695</v>
      </c>
      <c r="E4213" s="5" t="s">
        <v>70</v>
      </c>
      <c r="F4213" s="5" t="s">
        <v>19</v>
      </c>
      <c r="G4213" s="5" t="s">
        <v>20</v>
      </c>
      <c r="H4213" s="5" t="s">
        <v>1619</v>
      </c>
      <c r="I4213" s="13">
        <v>160.72999999999999</v>
      </c>
      <c r="J4213" s="19">
        <v>7</v>
      </c>
      <c r="K4213" s="14">
        <v>43.421700000000001</v>
      </c>
    </row>
    <row r="4214" spans="1:11" x14ac:dyDescent="0.25">
      <c r="A4214" s="2">
        <v>44074</v>
      </c>
      <c r="B4214" s="18">
        <f t="shared" si="130"/>
        <v>2020</v>
      </c>
      <c r="C4214" s="18">
        <f t="shared" si="131"/>
        <v>8</v>
      </c>
      <c r="D4214" s="3" t="s">
        <v>1407</v>
      </c>
      <c r="E4214" s="3" t="s">
        <v>18</v>
      </c>
      <c r="F4214" s="3" t="s">
        <v>19</v>
      </c>
      <c r="G4214" s="3" t="s">
        <v>20</v>
      </c>
      <c r="H4214" s="3" t="s">
        <v>2114</v>
      </c>
      <c r="I4214" s="11">
        <v>227.95</v>
      </c>
      <c r="J4214" s="18">
        <v>3</v>
      </c>
      <c r="K4214" s="12">
        <v>9.6974999999999998</v>
      </c>
    </row>
    <row r="4215" spans="1:11" x14ac:dyDescent="0.25">
      <c r="A4215" s="4">
        <v>44074</v>
      </c>
      <c r="B4215" s="19">
        <f t="shared" si="130"/>
        <v>2020</v>
      </c>
      <c r="C4215" s="19">
        <f t="shared" si="131"/>
        <v>8</v>
      </c>
      <c r="D4215" s="5" t="s">
        <v>942</v>
      </c>
      <c r="E4215" s="5" t="s">
        <v>35</v>
      </c>
      <c r="F4215" s="5" t="s">
        <v>19</v>
      </c>
      <c r="G4215" s="5" t="s">
        <v>53</v>
      </c>
      <c r="H4215" s="5" t="s">
        <v>610</v>
      </c>
      <c r="I4215" s="13">
        <v>277.54399999999998</v>
      </c>
      <c r="J4215" s="19">
        <v>7</v>
      </c>
      <c r="K4215" s="14">
        <v>83.209699999999998</v>
      </c>
    </row>
    <row r="4216" spans="1:11" x14ac:dyDescent="0.25">
      <c r="A4216" s="2">
        <v>44074</v>
      </c>
      <c r="B4216" s="18">
        <f t="shared" si="130"/>
        <v>2020</v>
      </c>
      <c r="C4216" s="18">
        <f t="shared" si="131"/>
        <v>8</v>
      </c>
      <c r="D4216" s="3" t="s">
        <v>1695</v>
      </c>
      <c r="E4216" s="3" t="s">
        <v>70</v>
      </c>
      <c r="F4216" s="3" t="s">
        <v>11</v>
      </c>
      <c r="G4216" s="3" t="s">
        <v>112</v>
      </c>
      <c r="H4216" s="3" t="s">
        <v>1241</v>
      </c>
      <c r="I4216" s="11">
        <v>599.56799999999998</v>
      </c>
      <c r="J4216" s="18">
        <v>2</v>
      </c>
      <c r="K4216" s="12">
        <v>7.1196000000000002</v>
      </c>
    </row>
    <row r="4217" spans="1:11" x14ac:dyDescent="0.25">
      <c r="A4217" s="4">
        <v>44074</v>
      </c>
      <c r="B4217" s="19">
        <f t="shared" si="130"/>
        <v>2020</v>
      </c>
      <c r="C4217" s="19">
        <f t="shared" si="131"/>
        <v>8</v>
      </c>
      <c r="D4217" s="5" t="s">
        <v>1875</v>
      </c>
      <c r="E4217" s="5" t="s">
        <v>317</v>
      </c>
      <c r="F4217" s="5" t="s">
        <v>19</v>
      </c>
      <c r="G4217" s="5" t="s">
        <v>121</v>
      </c>
      <c r="H4217" s="5" t="s">
        <v>1394</v>
      </c>
      <c r="I4217" s="13">
        <v>649.73</v>
      </c>
      <c r="J4217" s="19">
        <v>9</v>
      </c>
      <c r="K4217" s="14">
        <v>166.06979999999999</v>
      </c>
    </row>
    <row r="4218" spans="1:11" x14ac:dyDescent="0.25">
      <c r="A4218" s="2">
        <v>44074</v>
      </c>
      <c r="B4218" s="18">
        <f t="shared" si="130"/>
        <v>2020</v>
      </c>
      <c r="C4218" s="18">
        <f t="shared" si="131"/>
        <v>8</v>
      </c>
      <c r="D4218" s="3" t="s">
        <v>1869</v>
      </c>
      <c r="E4218" s="3" t="s">
        <v>394</v>
      </c>
      <c r="F4218" s="3" t="s">
        <v>14</v>
      </c>
      <c r="G4218" s="3" t="s">
        <v>24</v>
      </c>
      <c r="H4218" s="3" t="s">
        <v>954</v>
      </c>
      <c r="I4218" s="11">
        <v>680.9</v>
      </c>
      <c r="J4218" s="18">
        <v>2</v>
      </c>
      <c r="K4218" s="12">
        <v>217.767</v>
      </c>
    </row>
    <row r="4219" spans="1:11" x14ac:dyDescent="0.25">
      <c r="A4219" s="4">
        <v>44074</v>
      </c>
      <c r="B4219" s="19">
        <f t="shared" si="130"/>
        <v>2020</v>
      </c>
      <c r="C4219" s="19">
        <f t="shared" si="131"/>
        <v>8</v>
      </c>
      <c r="D4219" s="5" t="s">
        <v>1042</v>
      </c>
      <c r="E4219" s="5" t="s">
        <v>18</v>
      </c>
      <c r="F4219" s="5" t="s">
        <v>14</v>
      </c>
      <c r="G4219" s="5" t="s">
        <v>15</v>
      </c>
      <c r="H4219" s="5" t="s">
        <v>2291</v>
      </c>
      <c r="I4219" s="13">
        <v>733.40800000000002</v>
      </c>
      <c r="J4219" s="19">
        <v>4</v>
      </c>
      <c r="K4219" s="14">
        <v>77.558400000000006</v>
      </c>
    </row>
    <row r="4220" spans="1:11" x14ac:dyDescent="0.25">
      <c r="A4220" s="2">
        <v>44074</v>
      </c>
      <c r="B4220" s="18">
        <f t="shared" si="130"/>
        <v>2020</v>
      </c>
      <c r="C4220" s="18">
        <f t="shared" si="131"/>
        <v>8</v>
      </c>
      <c r="D4220" s="3" t="s">
        <v>154</v>
      </c>
      <c r="E4220" s="3" t="s">
        <v>198</v>
      </c>
      <c r="F4220" s="3" t="s">
        <v>19</v>
      </c>
      <c r="G4220" s="3" t="s">
        <v>116</v>
      </c>
      <c r="H4220" s="3" t="s">
        <v>1338</v>
      </c>
      <c r="I4220" s="11">
        <v>70.376000000000005</v>
      </c>
      <c r="J4220" s="18">
        <v>3</v>
      </c>
      <c r="K4220" s="12">
        <v>2.7222</v>
      </c>
    </row>
    <row r="4221" spans="1:11" x14ac:dyDescent="0.25">
      <c r="A4221" s="4">
        <v>44074</v>
      </c>
      <c r="B4221" s="19">
        <f t="shared" si="130"/>
        <v>2020</v>
      </c>
      <c r="C4221" s="19">
        <f t="shared" si="131"/>
        <v>8</v>
      </c>
      <c r="D4221" s="5" t="s">
        <v>331</v>
      </c>
      <c r="E4221" s="5" t="s">
        <v>465</v>
      </c>
      <c r="F4221" s="5" t="s">
        <v>19</v>
      </c>
      <c r="G4221" s="5" t="s">
        <v>265</v>
      </c>
      <c r="H4221" s="5" t="s">
        <v>681</v>
      </c>
      <c r="I4221" s="13">
        <v>93.207999999999998</v>
      </c>
      <c r="J4221" s="19">
        <v>2</v>
      </c>
      <c r="K4221" s="14">
        <v>0.69840000000000002</v>
      </c>
    </row>
    <row r="4222" spans="1:11" x14ac:dyDescent="0.25">
      <c r="A4222" s="2">
        <v>44074</v>
      </c>
      <c r="B4222" s="18">
        <f t="shared" si="130"/>
        <v>2020</v>
      </c>
      <c r="C4222" s="18">
        <f t="shared" si="131"/>
        <v>8</v>
      </c>
      <c r="D4222" s="3" t="s">
        <v>1042</v>
      </c>
      <c r="E4222" s="3" t="s">
        <v>18</v>
      </c>
      <c r="F4222" s="3" t="s">
        <v>19</v>
      </c>
      <c r="G4222" s="3" t="s">
        <v>32</v>
      </c>
      <c r="H4222" s="3" t="s">
        <v>1615</v>
      </c>
      <c r="I4222" s="11">
        <v>112.672</v>
      </c>
      <c r="J4222" s="18">
        <v>3</v>
      </c>
      <c r="K4222" s="12">
        <v>2.1684000000000001</v>
      </c>
    </row>
    <row r="4223" spans="1:11" x14ac:dyDescent="0.25">
      <c r="A4223" s="4">
        <v>44074</v>
      </c>
      <c r="B4223" s="19">
        <f t="shared" si="130"/>
        <v>2020</v>
      </c>
      <c r="C4223" s="19">
        <f t="shared" si="131"/>
        <v>8</v>
      </c>
      <c r="D4223" s="5" t="s">
        <v>154</v>
      </c>
      <c r="E4223" s="5" t="s">
        <v>198</v>
      </c>
      <c r="F4223" s="5" t="s">
        <v>19</v>
      </c>
      <c r="G4223" s="5" t="s">
        <v>20</v>
      </c>
      <c r="H4223" s="5" t="s">
        <v>2179</v>
      </c>
      <c r="I4223" s="13">
        <v>140.744</v>
      </c>
      <c r="J4223" s="19">
        <v>1</v>
      </c>
      <c r="K4223" s="14">
        <v>0.80579999999999996</v>
      </c>
    </row>
    <row r="4224" spans="1:11" x14ac:dyDescent="0.25">
      <c r="A4224" s="2">
        <v>44075</v>
      </c>
      <c r="B4224" s="18">
        <f t="shared" si="130"/>
        <v>2020</v>
      </c>
      <c r="C4224" s="18">
        <f t="shared" si="131"/>
        <v>9</v>
      </c>
      <c r="D4224" s="3" t="s">
        <v>868</v>
      </c>
      <c r="E4224" s="3" t="s">
        <v>94</v>
      </c>
      <c r="F4224" s="3" t="s">
        <v>11</v>
      </c>
      <c r="G4224" s="3" t="s">
        <v>51</v>
      </c>
      <c r="H4224" s="3" t="s">
        <v>2030</v>
      </c>
      <c r="I4224" s="11">
        <v>145.9</v>
      </c>
      <c r="J4224" s="18">
        <v>5</v>
      </c>
      <c r="K4224" s="12">
        <v>39.066000000000003</v>
      </c>
    </row>
    <row r="4225" spans="1:11" x14ac:dyDescent="0.25">
      <c r="A4225" s="4">
        <v>44075</v>
      </c>
      <c r="B4225" s="19">
        <f t="shared" si="130"/>
        <v>2020</v>
      </c>
      <c r="C4225" s="19">
        <f t="shared" si="131"/>
        <v>9</v>
      </c>
      <c r="D4225" s="5" t="s">
        <v>2269</v>
      </c>
      <c r="E4225" s="5" t="s">
        <v>70</v>
      </c>
      <c r="F4225" s="5" t="s">
        <v>11</v>
      </c>
      <c r="G4225" s="5" t="s">
        <v>30</v>
      </c>
      <c r="H4225" s="5" t="s">
        <v>980</v>
      </c>
      <c r="I4225" s="13">
        <v>321.56</v>
      </c>
      <c r="J4225" s="19">
        <v>4</v>
      </c>
      <c r="K4225" s="14">
        <v>45.369599999999998</v>
      </c>
    </row>
    <row r="4226" spans="1:11" x14ac:dyDescent="0.25">
      <c r="A4226" s="2">
        <v>44075</v>
      </c>
      <c r="B4226" s="18">
        <f t="shared" ref="B4226:B4289" si="132">YEAR(A4226)</f>
        <v>2020</v>
      </c>
      <c r="C4226" s="18">
        <f t="shared" ref="C4226:C4289" si="133">MONTH(A4226)</f>
        <v>9</v>
      </c>
      <c r="D4226" s="3" t="s">
        <v>2269</v>
      </c>
      <c r="E4226" s="3" t="s">
        <v>70</v>
      </c>
      <c r="F4226" s="3" t="s">
        <v>19</v>
      </c>
      <c r="G4226" s="3" t="s">
        <v>121</v>
      </c>
      <c r="H4226" s="3" t="s">
        <v>1314</v>
      </c>
      <c r="I4226" s="11">
        <v>341.6</v>
      </c>
      <c r="J4226" s="18">
        <v>4</v>
      </c>
      <c r="K4226" s="12">
        <v>103.818</v>
      </c>
    </row>
    <row r="4227" spans="1:11" x14ac:dyDescent="0.25">
      <c r="A4227" s="4">
        <v>44075</v>
      </c>
      <c r="B4227" s="19">
        <f t="shared" si="132"/>
        <v>2020</v>
      </c>
      <c r="C4227" s="19">
        <f t="shared" si="133"/>
        <v>9</v>
      </c>
      <c r="D4227" s="5" t="s">
        <v>2010</v>
      </c>
      <c r="E4227" s="5" t="s">
        <v>365</v>
      </c>
      <c r="F4227" s="5" t="s">
        <v>11</v>
      </c>
      <c r="G4227" s="5" t="s">
        <v>112</v>
      </c>
      <c r="H4227" s="5" t="s">
        <v>1583</v>
      </c>
      <c r="I4227" s="13">
        <v>519.26</v>
      </c>
      <c r="J4227" s="19">
        <v>7</v>
      </c>
      <c r="K4227" s="14">
        <v>134.53020000000001</v>
      </c>
    </row>
    <row r="4228" spans="1:11" x14ac:dyDescent="0.25">
      <c r="A4228" s="2">
        <v>44075</v>
      </c>
      <c r="B4228" s="18">
        <f t="shared" si="132"/>
        <v>2020</v>
      </c>
      <c r="C4228" s="18">
        <f t="shared" si="133"/>
        <v>9</v>
      </c>
      <c r="D4228" s="3" t="s">
        <v>1433</v>
      </c>
      <c r="E4228" s="3" t="s">
        <v>70</v>
      </c>
      <c r="F4228" s="3" t="s">
        <v>14</v>
      </c>
      <c r="G4228" s="3" t="s">
        <v>24</v>
      </c>
      <c r="H4228" s="3" t="s">
        <v>2250</v>
      </c>
      <c r="I4228" s="11">
        <v>89.99</v>
      </c>
      <c r="J4228" s="18">
        <v>1</v>
      </c>
      <c r="K4228" s="12">
        <v>6.7965999999999998</v>
      </c>
    </row>
    <row r="4229" spans="1:11" x14ac:dyDescent="0.25">
      <c r="A4229" s="4">
        <v>44075</v>
      </c>
      <c r="B4229" s="19">
        <f t="shared" si="132"/>
        <v>2020</v>
      </c>
      <c r="C4229" s="19">
        <f t="shared" si="133"/>
        <v>9</v>
      </c>
      <c r="D4229" s="5" t="s">
        <v>588</v>
      </c>
      <c r="E4229" s="5" t="s">
        <v>70</v>
      </c>
      <c r="F4229" s="5" t="s">
        <v>19</v>
      </c>
      <c r="G4229" s="5" t="s">
        <v>40</v>
      </c>
      <c r="H4229" s="5" t="s">
        <v>1672</v>
      </c>
      <c r="I4229" s="13">
        <v>123.58</v>
      </c>
      <c r="J4229" s="19">
        <v>1</v>
      </c>
      <c r="K4229" s="14">
        <v>2.9561999999999999</v>
      </c>
    </row>
    <row r="4230" spans="1:11" x14ac:dyDescent="0.25">
      <c r="A4230" s="2">
        <v>44075</v>
      </c>
      <c r="B4230" s="18">
        <f t="shared" si="132"/>
        <v>2020</v>
      </c>
      <c r="C4230" s="18">
        <f t="shared" si="133"/>
        <v>9</v>
      </c>
      <c r="D4230" s="3" t="s">
        <v>1433</v>
      </c>
      <c r="E4230" s="3" t="s">
        <v>70</v>
      </c>
      <c r="F4230" s="3" t="s">
        <v>19</v>
      </c>
      <c r="G4230" s="3" t="s">
        <v>32</v>
      </c>
      <c r="H4230" s="3" t="s">
        <v>2423</v>
      </c>
      <c r="I4230" s="11">
        <v>130.91999999999999</v>
      </c>
      <c r="J4230" s="18">
        <v>5</v>
      </c>
      <c r="K4230" s="12">
        <v>8.0220000000000002</v>
      </c>
    </row>
    <row r="4231" spans="1:11" x14ac:dyDescent="0.25">
      <c r="A4231" s="4">
        <v>44076</v>
      </c>
      <c r="B4231" s="19">
        <f t="shared" si="132"/>
        <v>2020</v>
      </c>
      <c r="C4231" s="19">
        <f t="shared" si="133"/>
        <v>9</v>
      </c>
      <c r="D4231" s="5" t="s">
        <v>1066</v>
      </c>
      <c r="E4231" s="5" t="s">
        <v>91</v>
      </c>
      <c r="F4231" s="5" t="s">
        <v>19</v>
      </c>
      <c r="G4231" s="5" t="s">
        <v>53</v>
      </c>
      <c r="H4231" s="5" t="s">
        <v>998</v>
      </c>
      <c r="I4231" s="13">
        <v>101.92</v>
      </c>
      <c r="J4231" s="19">
        <v>4</v>
      </c>
      <c r="K4231" s="14">
        <v>37.562399999999997</v>
      </c>
    </row>
    <row r="4232" spans="1:11" x14ac:dyDescent="0.25">
      <c r="A4232" s="2">
        <v>44076</v>
      </c>
      <c r="B4232" s="18">
        <f t="shared" si="132"/>
        <v>2020</v>
      </c>
      <c r="C4232" s="18">
        <f t="shared" si="133"/>
        <v>9</v>
      </c>
      <c r="D4232" s="3" t="s">
        <v>2427</v>
      </c>
      <c r="E4232" s="3" t="s">
        <v>18</v>
      </c>
      <c r="F4232" s="3" t="s">
        <v>19</v>
      </c>
      <c r="G4232" s="3" t="s">
        <v>127</v>
      </c>
      <c r="H4232" s="3" t="s">
        <v>2267</v>
      </c>
      <c r="I4232" s="11">
        <v>113</v>
      </c>
      <c r="J4232" s="18">
        <v>5</v>
      </c>
      <c r="K4232" s="12">
        <v>37</v>
      </c>
    </row>
    <row r="4233" spans="1:11" x14ac:dyDescent="0.25">
      <c r="A4233" s="4">
        <v>44076</v>
      </c>
      <c r="B4233" s="19">
        <f t="shared" si="132"/>
        <v>2020</v>
      </c>
      <c r="C4233" s="19">
        <f t="shared" si="133"/>
        <v>9</v>
      </c>
      <c r="D4233" s="5" t="s">
        <v>1066</v>
      </c>
      <c r="E4233" s="5" t="s">
        <v>91</v>
      </c>
      <c r="F4233" s="5" t="s">
        <v>19</v>
      </c>
      <c r="G4233" s="5" t="s">
        <v>53</v>
      </c>
      <c r="H4233" s="5" t="s">
        <v>2428</v>
      </c>
      <c r="I4233" s="13">
        <v>166.82</v>
      </c>
      <c r="J4233" s="19">
        <v>3</v>
      </c>
      <c r="K4233" s="14">
        <v>73.41</v>
      </c>
    </row>
    <row r="4234" spans="1:11" x14ac:dyDescent="0.25">
      <c r="A4234" s="2">
        <v>44076</v>
      </c>
      <c r="B4234" s="18">
        <f t="shared" si="132"/>
        <v>2020</v>
      </c>
      <c r="C4234" s="18">
        <f t="shared" si="133"/>
        <v>9</v>
      </c>
      <c r="D4234" s="3" t="s">
        <v>1056</v>
      </c>
      <c r="E4234" s="3" t="s">
        <v>18</v>
      </c>
      <c r="F4234" s="3" t="s">
        <v>19</v>
      </c>
      <c r="G4234" s="3" t="s">
        <v>32</v>
      </c>
      <c r="H4234" s="3" t="s">
        <v>543</v>
      </c>
      <c r="I4234" s="11">
        <v>173.92</v>
      </c>
      <c r="J4234" s="18">
        <v>5</v>
      </c>
      <c r="K4234" s="12">
        <v>46.225000000000001</v>
      </c>
    </row>
    <row r="4235" spans="1:11" x14ac:dyDescent="0.25">
      <c r="A4235" s="4">
        <v>44076</v>
      </c>
      <c r="B4235" s="19">
        <f t="shared" si="132"/>
        <v>2020</v>
      </c>
      <c r="C4235" s="19">
        <f t="shared" si="133"/>
        <v>9</v>
      </c>
      <c r="D4235" s="5" t="s">
        <v>2142</v>
      </c>
      <c r="E4235" s="5" t="s">
        <v>94</v>
      </c>
      <c r="F4235" s="5" t="s">
        <v>14</v>
      </c>
      <c r="G4235" s="5" t="s">
        <v>24</v>
      </c>
      <c r="H4235" s="5" t="s">
        <v>965</v>
      </c>
      <c r="I4235" s="13">
        <v>177.97</v>
      </c>
      <c r="J4235" s="19">
        <v>3</v>
      </c>
      <c r="K4235" s="14">
        <v>40.312800000000003</v>
      </c>
    </row>
    <row r="4236" spans="1:11" x14ac:dyDescent="0.25">
      <c r="A4236" s="2">
        <v>44076</v>
      </c>
      <c r="B4236" s="18">
        <f t="shared" si="132"/>
        <v>2020</v>
      </c>
      <c r="C4236" s="18">
        <f t="shared" si="133"/>
        <v>9</v>
      </c>
      <c r="D4236" s="3" t="s">
        <v>1157</v>
      </c>
      <c r="E4236" s="3" t="s">
        <v>70</v>
      </c>
      <c r="F4236" s="3" t="s">
        <v>11</v>
      </c>
      <c r="G4236" s="3" t="s">
        <v>112</v>
      </c>
      <c r="H4236" s="3" t="s">
        <v>1182</v>
      </c>
      <c r="I4236" s="11">
        <v>236.976</v>
      </c>
      <c r="J4236" s="18">
        <v>3</v>
      </c>
      <c r="K4236" s="12">
        <v>-2.6997</v>
      </c>
    </row>
    <row r="4237" spans="1:11" x14ac:dyDescent="0.25">
      <c r="A4237" s="4">
        <v>44076</v>
      </c>
      <c r="B4237" s="19">
        <f t="shared" si="132"/>
        <v>2020</v>
      </c>
      <c r="C4237" s="19">
        <f t="shared" si="133"/>
        <v>9</v>
      </c>
      <c r="D4237" s="5" t="s">
        <v>2142</v>
      </c>
      <c r="E4237" s="5" t="s">
        <v>94</v>
      </c>
      <c r="F4237" s="5" t="s">
        <v>14</v>
      </c>
      <c r="G4237" s="5" t="s">
        <v>15</v>
      </c>
      <c r="H4237" s="5" t="s">
        <v>921</v>
      </c>
      <c r="I4237" s="13">
        <v>244.97</v>
      </c>
      <c r="J4237" s="19">
        <v>3</v>
      </c>
      <c r="K4237" s="14">
        <v>57.411299999999997</v>
      </c>
    </row>
    <row r="4238" spans="1:11" x14ac:dyDescent="0.25">
      <c r="A4238" s="2">
        <v>44076</v>
      </c>
      <c r="B4238" s="18">
        <f t="shared" si="132"/>
        <v>2020</v>
      </c>
      <c r="C4238" s="18">
        <f t="shared" si="133"/>
        <v>9</v>
      </c>
      <c r="D4238" s="3" t="s">
        <v>2427</v>
      </c>
      <c r="E4238" s="3" t="s">
        <v>18</v>
      </c>
      <c r="F4238" s="3" t="s">
        <v>14</v>
      </c>
      <c r="G4238" s="3" t="s">
        <v>15</v>
      </c>
      <c r="H4238" s="3" t="s">
        <v>1050</v>
      </c>
      <c r="I4238" s="11">
        <v>247.584</v>
      </c>
      <c r="J4238" s="18">
        <v>2</v>
      </c>
      <c r="K4238" s="12">
        <v>12.599</v>
      </c>
    </row>
    <row r="4239" spans="1:11" x14ac:dyDescent="0.25">
      <c r="A4239" s="4">
        <v>44076</v>
      </c>
      <c r="B4239" s="19">
        <f t="shared" si="132"/>
        <v>2020</v>
      </c>
      <c r="C4239" s="19">
        <f t="shared" si="133"/>
        <v>9</v>
      </c>
      <c r="D4239" s="5" t="s">
        <v>1755</v>
      </c>
      <c r="E4239" s="5" t="s">
        <v>164</v>
      </c>
      <c r="F4239" s="5" t="s">
        <v>19</v>
      </c>
      <c r="G4239" s="5" t="s">
        <v>20</v>
      </c>
      <c r="H4239" s="5" t="s">
        <v>186</v>
      </c>
      <c r="I4239" s="13">
        <v>260.92</v>
      </c>
      <c r="J4239" s="19">
        <v>5</v>
      </c>
      <c r="K4239" s="14">
        <v>-44.234999999999999</v>
      </c>
    </row>
    <row r="4240" spans="1:11" x14ac:dyDescent="0.25">
      <c r="A4240" s="2">
        <v>44076</v>
      </c>
      <c r="B4240" s="18">
        <f t="shared" si="132"/>
        <v>2020</v>
      </c>
      <c r="C4240" s="18">
        <f t="shared" si="133"/>
        <v>9</v>
      </c>
      <c r="D4240" s="3" t="s">
        <v>989</v>
      </c>
      <c r="E4240" s="3" t="s">
        <v>18</v>
      </c>
      <c r="F4240" s="3" t="s">
        <v>11</v>
      </c>
      <c r="G4240" s="3" t="s">
        <v>30</v>
      </c>
      <c r="H4240" s="3" t="s">
        <v>2384</v>
      </c>
      <c r="I4240" s="11">
        <v>265.52800000000002</v>
      </c>
      <c r="J4240" s="18">
        <v>2</v>
      </c>
      <c r="K4240" s="12">
        <v>-2.9565999999999999</v>
      </c>
    </row>
    <row r="4241" spans="1:11" x14ac:dyDescent="0.25">
      <c r="A4241" s="4">
        <v>44076</v>
      </c>
      <c r="B4241" s="19">
        <f t="shared" si="132"/>
        <v>2020</v>
      </c>
      <c r="C4241" s="19">
        <f t="shared" si="133"/>
        <v>9</v>
      </c>
      <c r="D4241" s="5" t="s">
        <v>2142</v>
      </c>
      <c r="E4241" s="5" t="s">
        <v>94</v>
      </c>
      <c r="F4241" s="5" t="s">
        <v>14</v>
      </c>
      <c r="G4241" s="5" t="s">
        <v>24</v>
      </c>
      <c r="H4241" s="5" t="s">
        <v>1406</v>
      </c>
      <c r="I4241" s="13">
        <v>284</v>
      </c>
      <c r="J4241" s="19">
        <v>2</v>
      </c>
      <c r="K4241" s="14">
        <v>38.08</v>
      </c>
    </row>
    <row r="4242" spans="1:11" x14ac:dyDescent="0.25">
      <c r="A4242" s="2">
        <v>44076</v>
      </c>
      <c r="B4242" s="18">
        <f t="shared" si="132"/>
        <v>2020</v>
      </c>
      <c r="C4242" s="18">
        <f t="shared" si="133"/>
        <v>9</v>
      </c>
      <c r="D4242" s="3" t="s">
        <v>2142</v>
      </c>
      <c r="E4242" s="3" t="s">
        <v>94</v>
      </c>
      <c r="F4242" s="3" t="s">
        <v>11</v>
      </c>
      <c r="G4242" s="3" t="s">
        <v>30</v>
      </c>
      <c r="H4242" s="3" t="s">
        <v>693</v>
      </c>
      <c r="I4242" s="11">
        <v>303.52600000000001</v>
      </c>
      <c r="J4242" s="18">
        <v>1</v>
      </c>
      <c r="K4242" s="12">
        <v>-93.3262</v>
      </c>
    </row>
    <row r="4243" spans="1:11" x14ac:dyDescent="0.25">
      <c r="A4243" s="4">
        <v>44076</v>
      </c>
      <c r="B4243" s="19">
        <f t="shared" si="132"/>
        <v>2020</v>
      </c>
      <c r="C4243" s="19">
        <f t="shared" si="133"/>
        <v>9</v>
      </c>
      <c r="D4243" s="5" t="s">
        <v>98</v>
      </c>
      <c r="E4243" s="5" t="s">
        <v>365</v>
      </c>
      <c r="F4243" s="5" t="s">
        <v>19</v>
      </c>
      <c r="G4243" s="5" t="s">
        <v>20</v>
      </c>
      <c r="H4243" s="5" t="s">
        <v>1309</v>
      </c>
      <c r="I4243" s="13">
        <v>376.38</v>
      </c>
      <c r="J4243" s="19">
        <v>2</v>
      </c>
      <c r="K4243" s="14">
        <v>81.047399999999996</v>
      </c>
    </row>
    <row r="4244" spans="1:11" x14ac:dyDescent="0.25">
      <c r="A4244" s="2">
        <v>44076</v>
      </c>
      <c r="B4244" s="18">
        <f t="shared" si="132"/>
        <v>2020</v>
      </c>
      <c r="C4244" s="18">
        <f t="shared" si="133"/>
        <v>9</v>
      </c>
      <c r="D4244" s="3" t="s">
        <v>1056</v>
      </c>
      <c r="E4244" s="3" t="s">
        <v>18</v>
      </c>
      <c r="F4244" s="3" t="s">
        <v>11</v>
      </c>
      <c r="G4244" s="3" t="s">
        <v>51</v>
      </c>
      <c r="H4244" s="3" t="s">
        <v>2223</v>
      </c>
      <c r="I4244" s="11">
        <v>559.5</v>
      </c>
      <c r="J4244" s="18">
        <v>5</v>
      </c>
      <c r="K4244" s="12">
        <v>132.99</v>
      </c>
    </row>
    <row r="4245" spans="1:11" x14ac:dyDescent="0.25">
      <c r="A4245" s="4">
        <v>44076</v>
      </c>
      <c r="B4245" s="19">
        <f t="shared" si="132"/>
        <v>2020</v>
      </c>
      <c r="C4245" s="19">
        <f t="shared" si="133"/>
        <v>9</v>
      </c>
      <c r="D4245" s="5" t="s">
        <v>98</v>
      </c>
      <c r="E4245" s="5" t="s">
        <v>365</v>
      </c>
      <c r="F4245" s="5" t="s">
        <v>14</v>
      </c>
      <c r="G4245" s="5" t="s">
        <v>15</v>
      </c>
      <c r="H4245" s="5" t="s">
        <v>419</v>
      </c>
      <c r="I4245" s="13">
        <v>1240.8</v>
      </c>
      <c r="J4245" s="19">
        <v>4</v>
      </c>
      <c r="K4245" s="14">
        <v>323.94600000000003</v>
      </c>
    </row>
    <row r="4246" spans="1:11" x14ac:dyDescent="0.25">
      <c r="A4246" s="2">
        <v>44076</v>
      </c>
      <c r="B4246" s="18">
        <f t="shared" si="132"/>
        <v>2020</v>
      </c>
      <c r="C4246" s="18">
        <f t="shared" si="133"/>
        <v>9</v>
      </c>
      <c r="D4246" s="3" t="s">
        <v>2142</v>
      </c>
      <c r="E4246" s="3" t="s">
        <v>94</v>
      </c>
      <c r="F4246" s="3" t="s">
        <v>11</v>
      </c>
      <c r="G4246" s="3" t="s">
        <v>112</v>
      </c>
      <c r="H4246" s="3" t="s">
        <v>1997</v>
      </c>
      <c r="I4246" s="11">
        <v>1311.41</v>
      </c>
      <c r="J4246" s="18">
        <v>5</v>
      </c>
      <c r="K4246" s="12">
        <v>213.73500000000001</v>
      </c>
    </row>
    <row r="4247" spans="1:11" x14ac:dyDescent="0.25">
      <c r="A4247" s="4">
        <v>44076</v>
      </c>
      <c r="B4247" s="19">
        <f t="shared" si="132"/>
        <v>2020</v>
      </c>
      <c r="C4247" s="19">
        <f t="shared" si="133"/>
        <v>9</v>
      </c>
      <c r="D4247" s="5" t="s">
        <v>268</v>
      </c>
      <c r="E4247" s="5" t="s">
        <v>195</v>
      </c>
      <c r="F4247" s="5" t="s">
        <v>19</v>
      </c>
      <c r="G4247" s="5" t="s">
        <v>32</v>
      </c>
      <c r="H4247" s="5" t="s">
        <v>1566</v>
      </c>
      <c r="I4247" s="13">
        <v>1593.94</v>
      </c>
      <c r="J4247" s="19">
        <v>3</v>
      </c>
      <c r="K4247" s="14">
        <v>757.41120000000001</v>
      </c>
    </row>
    <row r="4248" spans="1:11" x14ac:dyDescent="0.25">
      <c r="A4248" s="2">
        <v>44076</v>
      </c>
      <c r="B4248" s="18">
        <f t="shared" si="132"/>
        <v>2020</v>
      </c>
      <c r="C4248" s="18">
        <f t="shared" si="133"/>
        <v>9</v>
      </c>
      <c r="D4248" s="3" t="s">
        <v>98</v>
      </c>
      <c r="E4248" s="3" t="s">
        <v>365</v>
      </c>
      <c r="F4248" s="3" t="s">
        <v>14</v>
      </c>
      <c r="G4248" s="3" t="s">
        <v>24</v>
      </c>
      <c r="H4248" s="3" t="s">
        <v>2429</v>
      </c>
      <c r="I4248" s="11">
        <v>1976.78</v>
      </c>
      <c r="J4248" s="18">
        <v>7</v>
      </c>
      <c r="K4248" s="12">
        <v>829.37540000000001</v>
      </c>
    </row>
    <row r="4249" spans="1:11" x14ac:dyDescent="0.25">
      <c r="A4249" s="4">
        <v>44076</v>
      </c>
      <c r="B4249" s="19">
        <f t="shared" si="132"/>
        <v>2020</v>
      </c>
      <c r="C4249" s="19">
        <f t="shared" si="133"/>
        <v>9</v>
      </c>
      <c r="D4249" s="5" t="s">
        <v>2430</v>
      </c>
      <c r="E4249" s="5" t="s">
        <v>39</v>
      </c>
      <c r="F4249" s="5" t="s">
        <v>19</v>
      </c>
      <c r="G4249" s="5" t="s">
        <v>53</v>
      </c>
      <c r="H4249" s="5" t="s">
        <v>1489</v>
      </c>
      <c r="I4249" s="13">
        <v>112.19199999999999</v>
      </c>
      <c r="J4249" s="19">
        <v>3</v>
      </c>
      <c r="K4249" s="14">
        <v>4.1147999999999998</v>
      </c>
    </row>
    <row r="4250" spans="1:11" x14ac:dyDescent="0.25">
      <c r="A4250" s="2">
        <v>44076</v>
      </c>
      <c r="B4250" s="18">
        <f t="shared" si="132"/>
        <v>2020</v>
      </c>
      <c r="C4250" s="18">
        <f t="shared" si="133"/>
        <v>9</v>
      </c>
      <c r="D4250" s="3" t="s">
        <v>2142</v>
      </c>
      <c r="E4250" s="3" t="s">
        <v>94</v>
      </c>
      <c r="F4250" s="3" t="s">
        <v>19</v>
      </c>
      <c r="G4250" s="3" t="s">
        <v>40</v>
      </c>
      <c r="H4250" s="3" t="s">
        <v>679</v>
      </c>
      <c r="I4250" s="11">
        <v>95.92</v>
      </c>
      <c r="J4250" s="18">
        <v>3</v>
      </c>
      <c r="K4250" s="12">
        <v>2.214</v>
      </c>
    </row>
    <row r="4251" spans="1:11" x14ac:dyDescent="0.25">
      <c r="A4251" s="4">
        <v>44076</v>
      </c>
      <c r="B4251" s="19">
        <f t="shared" si="132"/>
        <v>2020</v>
      </c>
      <c r="C4251" s="19">
        <f t="shared" si="133"/>
        <v>9</v>
      </c>
      <c r="D4251" s="5" t="s">
        <v>1755</v>
      </c>
      <c r="E4251" s="5" t="s">
        <v>164</v>
      </c>
      <c r="F4251" s="5" t="s">
        <v>19</v>
      </c>
      <c r="G4251" s="5" t="s">
        <v>121</v>
      </c>
      <c r="H4251" s="5" t="s">
        <v>568</v>
      </c>
      <c r="I4251" s="13">
        <v>82.587999999999994</v>
      </c>
      <c r="J4251" s="19">
        <v>2</v>
      </c>
      <c r="K4251" s="14">
        <v>-15.0876</v>
      </c>
    </row>
    <row r="4252" spans="1:11" x14ac:dyDescent="0.25">
      <c r="A4252" s="2">
        <v>44076</v>
      </c>
      <c r="B4252" s="18">
        <f t="shared" si="132"/>
        <v>2020</v>
      </c>
      <c r="C4252" s="18">
        <f t="shared" si="133"/>
        <v>9</v>
      </c>
      <c r="D4252" s="3" t="s">
        <v>2142</v>
      </c>
      <c r="E4252" s="3" t="s">
        <v>94</v>
      </c>
      <c r="F4252" s="3" t="s">
        <v>19</v>
      </c>
      <c r="G4252" s="3" t="s">
        <v>53</v>
      </c>
      <c r="H4252" s="3" t="s">
        <v>547</v>
      </c>
      <c r="I4252" s="11">
        <v>90.12</v>
      </c>
      <c r="J4252" s="18">
        <v>4</v>
      </c>
      <c r="K4252" s="12">
        <v>7.7039999999999997</v>
      </c>
    </row>
    <row r="4253" spans="1:11" x14ac:dyDescent="0.25">
      <c r="A4253" s="4">
        <v>44076</v>
      </c>
      <c r="B4253" s="19">
        <f t="shared" si="132"/>
        <v>2020</v>
      </c>
      <c r="C4253" s="19">
        <f t="shared" si="133"/>
        <v>9</v>
      </c>
      <c r="D4253" s="5" t="s">
        <v>2142</v>
      </c>
      <c r="E4253" s="5" t="s">
        <v>94</v>
      </c>
      <c r="F4253" s="5" t="s">
        <v>19</v>
      </c>
      <c r="G4253" s="5" t="s">
        <v>121</v>
      </c>
      <c r="H4253" s="5" t="s">
        <v>1522</v>
      </c>
      <c r="I4253" s="13">
        <v>110.98</v>
      </c>
      <c r="J4253" s="19">
        <v>1</v>
      </c>
      <c r="K4253" s="14">
        <v>3.7642000000000002</v>
      </c>
    </row>
    <row r="4254" spans="1:11" x14ac:dyDescent="0.25">
      <c r="A4254" s="2">
        <v>44076</v>
      </c>
      <c r="B4254" s="18">
        <f t="shared" si="132"/>
        <v>2020</v>
      </c>
      <c r="C4254" s="18">
        <f t="shared" si="133"/>
        <v>9</v>
      </c>
      <c r="D4254" s="3" t="s">
        <v>989</v>
      </c>
      <c r="E4254" s="3" t="s">
        <v>18</v>
      </c>
      <c r="F4254" s="3" t="s">
        <v>19</v>
      </c>
      <c r="G4254" s="3" t="s">
        <v>32</v>
      </c>
      <c r="H4254" s="3" t="s">
        <v>976</v>
      </c>
      <c r="I4254" s="11">
        <v>111.72</v>
      </c>
      <c r="J4254" s="18">
        <v>5</v>
      </c>
      <c r="K4254" s="12">
        <v>6.5519999999999996</v>
      </c>
    </row>
    <row r="4255" spans="1:11" x14ac:dyDescent="0.25">
      <c r="A4255" s="4">
        <v>44076</v>
      </c>
      <c r="B4255" s="19">
        <f t="shared" si="132"/>
        <v>2020</v>
      </c>
      <c r="C4255" s="19">
        <f t="shared" si="133"/>
        <v>9</v>
      </c>
      <c r="D4255" s="5" t="s">
        <v>2142</v>
      </c>
      <c r="E4255" s="5" t="s">
        <v>94</v>
      </c>
      <c r="F4255" s="5" t="s">
        <v>19</v>
      </c>
      <c r="G4255" s="5" t="s">
        <v>32</v>
      </c>
      <c r="H4255" s="5" t="s">
        <v>1463</v>
      </c>
      <c r="I4255" s="13">
        <v>104.432</v>
      </c>
      <c r="J4255" s="19">
        <v>8</v>
      </c>
      <c r="K4255" s="14">
        <v>8.9207999999999998</v>
      </c>
    </row>
    <row r="4256" spans="1:11" x14ac:dyDescent="0.25">
      <c r="A4256" s="2">
        <v>44076</v>
      </c>
      <c r="B4256" s="18">
        <f t="shared" si="132"/>
        <v>2020</v>
      </c>
      <c r="C4256" s="18">
        <f t="shared" si="133"/>
        <v>9</v>
      </c>
      <c r="D4256" s="3" t="s">
        <v>1066</v>
      </c>
      <c r="E4256" s="3" t="s">
        <v>91</v>
      </c>
      <c r="F4256" s="3" t="s">
        <v>19</v>
      </c>
      <c r="G4256" s="3" t="s">
        <v>20</v>
      </c>
      <c r="H4256" s="3" t="s">
        <v>1481</v>
      </c>
      <c r="I4256" s="11">
        <v>110.9</v>
      </c>
      <c r="J4256" s="18">
        <v>1</v>
      </c>
      <c r="K4256" s="12">
        <v>2.8340000000000001</v>
      </c>
    </row>
    <row r="4257" spans="1:11" x14ac:dyDescent="0.25">
      <c r="A4257" s="4">
        <v>44076</v>
      </c>
      <c r="B4257" s="19">
        <f t="shared" si="132"/>
        <v>2020</v>
      </c>
      <c r="C4257" s="19">
        <f t="shared" si="133"/>
        <v>9</v>
      </c>
      <c r="D4257" s="5" t="s">
        <v>1134</v>
      </c>
      <c r="E4257" s="5" t="s">
        <v>18</v>
      </c>
      <c r="F4257" s="5" t="s">
        <v>19</v>
      </c>
      <c r="G4257" s="5" t="s">
        <v>40</v>
      </c>
      <c r="H4257" s="5" t="s">
        <v>2235</v>
      </c>
      <c r="I4257" s="13">
        <v>115.57</v>
      </c>
      <c r="J4257" s="19">
        <v>3</v>
      </c>
      <c r="K4257" s="14">
        <v>1.7739</v>
      </c>
    </row>
    <row r="4258" spans="1:11" x14ac:dyDescent="0.25">
      <c r="A4258" s="2">
        <v>44076</v>
      </c>
      <c r="B4258" s="18">
        <f t="shared" si="132"/>
        <v>2020</v>
      </c>
      <c r="C4258" s="18">
        <f t="shared" si="133"/>
        <v>9</v>
      </c>
      <c r="D4258" s="3" t="s">
        <v>562</v>
      </c>
      <c r="E4258" s="3" t="s">
        <v>67</v>
      </c>
      <c r="F4258" s="3" t="s">
        <v>11</v>
      </c>
      <c r="G4258" s="3" t="s">
        <v>51</v>
      </c>
      <c r="H4258" s="3" t="s">
        <v>2322</v>
      </c>
      <c r="I4258" s="11">
        <v>131.072</v>
      </c>
      <c r="J4258" s="18">
        <v>3</v>
      </c>
      <c r="K4258" s="12">
        <v>4.1448</v>
      </c>
    </row>
    <row r="4259" spans="1:11" x14ac:dyDescent="0.25">
      <c r="A4259" s="4">
        <v>44076</v>
      </c>
      <c r="B4259" s="19">
        <f t="shared" si="132"/>
        <v>2020</v>
      </c>
      <c r="C4259" s="19">
        <f t="shared" si="133"/>
        <v>9</v>
      </c>
      <c r="D4259" s="5" t="s">
        <v>862</v>
      </c>
      <c r="E4259" s="5" t="s">
        <v>306</v>
      </c>
      <c r="F4259" s="5" t="s">
        <v>19</v>
      </c>
      <c r="G4259" s="5" t="s">
        <v>127</v>
      </c>
      <c r="H4259" s="5" t="s">
        <v>861</v>
      </c>
      <c r="I4259" s="13">
        <v>126.696</v>
      </c>
      <c r="J4259" s="19">
        <v>2</v>
      </c>
      <c r="K4259" s="14">
        <v>3.9474</v>
      </c>
    </row>
    <row r="4260" spans="1:11" x14ac:dyDescent="0.25">
      <c r="A4260" s="2">
        <v>44076</v>
      </c>
      <c r="B4260" s="18">
        <f t="shared" si="132"/>
        <v>2020</v>
      </c>
      <c r="C4260" s="18">
        <f t="shared" si="133"/>
        <v>9</v>
      </c>
      <c r="D4260" s="3" t="s">
        <v>2427</v>
      </c>
      <c r="E4260" s="3" t="s">
        <v>18</v>
      </c>
      <c r="F4260" s="3" t="s">
        <v>19</v>
      </c>
      <c r="G4260" s="3" t="s">
        <v>40</v>
      </c>
      <c r="H4260" s="3" t="s">
        <v>916</v>
      </c>
      <c r="I4260" s="11">
        <v>101.4</v>
      </c>
      <c r="J4260" s="18">
        <v>5</v>
      </c>
      <c r="K4260" s="12">
        <v>2.726</v>
      </c>
    </row>
    <row r="4261" spans="1:11" x14ac:dyDescent="0.25">
      <c r="A4261" s="4">
        <v>44076</v>
      </c>
      <c r="B4261" s="19">
        <f t="shared" si="132"/>
        <v>2020</v>
      </c>
      <c r="C4261" s="19">
        <f t="shared" si="133"/>
        <v>9</v>
      </c>
      <c r="D4261" s="5" t="s">
        <v>2142</v>
      </c>
      <c r="E4261" s="5" t="s">
        <v>94</v>
      </c>
      <c r="F4261" s="5" t="s">
        <v>11</v>
      </c>
      <c r="G4261" s="5" t="s">
        <v>51</v>
      </c>
      <c r="H4261" s="5" t="s">
        <v>1748</v>
      </c>
      <c r="I4261" s="13">
        <v>125.54</v>
      </c>
      <c r="J4261" s="19">
        <v>2</v>
      </c>
      <c r="K4261" s="14">
        <v>3.4620000000000002</v>
      </c>
    </row>
    <row r="4262" spans="1:11" x14ac:dyDescent="0.25">
      <c r="A4262" s="2">
        <v>44076</v>
      </c>
      <c r="B4262" s="18">
        <f t="shared" si="132"/>
        <v>2020</v>
      </c>
      <c r="C4262" s="18">
        <f t="shared" si="133"/>
        <v>9</v>
      </c>
      <c r="D4262" s="3" t="s">
        <v>1755</v>
      </c>
      <c r="E4262" s="3" t="s">
        <v>164</v>
      </c>
      <c r="F4262" s="3" t="s">
        <v>19</v>
      </c>
      <c r="G4262" s="3" t="s">
        <v>116</v>
      </c>
      <c r="H4262" s="3" t="s">
        <v>590</v>
      </c>
      <c r="I4262" s="11">
        <v>112</v>
      </c>
      <c r="J4262" s="18">
        <v>4</v>
      </c>
      <c r="K4262" s="12">
        <v>5.6</v>
      </c>
    </row>
    <row r="4263" spans="1:11" x14ac:dyDescent="0.25">
      <c r="A4263" s="4">
        <v>44076</v>
      </c>
      <c r="B4263" s="19">
        <f t="shared" si="132"/>
        <v>2020</v>
      </c>
      <c r="C4263" s="19">
        <f t="shared" si="133"/>
        <v>9</v>
      </c>
      <c r="D4263" s="5" t="s">
        <v>2142</v>
      </c>
      <c r="E4263" s="5" t="s">
        <v>94</v>
      </c>
      <c r="F4263" s="5" t="s">
        <v>19</v>
      </c>
      <c r="G4263" s="5" t="s">
        <v>40</v>
      </c>
      <c r="H4263" s="5" t="s">
        <v>1938</v>
      </c>
      <c r="I4263" s="13">
        <v>144.1</v>
      </c>
      <c r="J4263" s="19">
        <v>2</v>
      </c>
      <c r="K4263" s="14">
        <v>6.468</v>
      </c>
    </row>
    <row r="4264" spans="1:11" x14ac:dyDescent="0.25">
      <c r="A4264" s="2">
        <v>44076</v>
      </c>
      <c r="B4264" s="18">
        <f t="shared" si="132"/>
        <v>2020</v>
      </c>
      <c r="C4264" s="18">
        <f t="shared" si="133"/>
        <v>9</v>
      </c>
      <c r="D4264" s="3" t="s">
        <v>2142</v>
      </c>
      <c r="E4264" s="3" t="s">
        <v>94</v>
      </c>
      <c r="F4264" s="3" t="s">
        <v>19</v>
      </c>
      <c r="G4264" s="3" t="s">
        <v>127</v>
      </c>
      <c r="H4264" s="3" t="s">
        <v>334</v>
      </c>
      <c r="I4264" s="11">
        <v>145.9</v>
      </c>
      <c r="J4264" s="18">
        <v>6</v>
      </c>
      <c r="K4264" s="12">
        <v>9.0719999999999992</v>
      </c>
    </row>
    <row r="4265" spans="1:11" x14ac:dyDescent="0.25">
      <c r="A4265" s="4">
        <v>44076</v>
      </c>
      <c r="B4265" s="19">
        <f t="shared" si="132"/>
        <v>2020</v>
      </c>
      <c r="C4265" s="19">
        <f t="shared" si="133"/>
        <v>9</v>
      </c>
      <c r="D4265" s="5" t="s">
        <v>1694</v>
      </c>
      <c r="E4265" s="5" t="s">
        <v>164</v>
      </c>
      <c r="F4265" s="5" t="s">
        <v>14</v>
      </c>
      <c r="G4265" s="5" t="s">
        <v>24</v>
      </c>
      <c r="H4265" s="5" t="s">
        <v>1942</v>
      </c>
      <c r="I4265" s="13">
        <v>142.68</v>
      </c>
      <c r="J4265" s="19">
        <v>3</v>
      </c>
      <c r="K4265" s="14">
        <v>-7.1189999999999998</v>
      </c>
    </row>
    <row r="4266" spans="1:11" x14ac:dyDescent="0.25">
      <c r="A4266" s="2">
        <v>44076</v>
      </c>
      <c r="B4266" s="18">
        <f t="shared" si="132"/>
        <v>2020</v>
      </c>
      <c r="C4266" s="18">
        <f t="shared" si="133"/>
        <v>9</v>
      </c>
      <c r="D4266" s="3" t="s">
        <v>1056</v>
      </c>
      <c r="E4266" s="3" t="s">
        <v>18</v>
      </c>
      <c r="F4266" s="3" t="s">
        <v>19</v>
      </c>
      <c r="G4266" s="3" t="s">
        <v>121</v>
      </c>
      <c r="H4266" s="3" t="s">
        <v>1408</v>
      </c>
      <c r="I4266" s="11">
        <v>179.1</v>
      </c>
      <c r="J4266" s="18">
        <v>5</v>
      </c>
      <c r="K4266" s="12">
        <v>11.206</v>
      </c>
    </row>
    <row r="4267" spans="1:11" x14ac:dyDescent="0.25">
      <c r="A4267" s="4">
        <v>44077</v>
      </c>
      <c r="B4267" s="19">
        <f t="shared" si="132"/>
        <v>2020</v>
      </c>
      <c r="C4267" s="19">
        <f t="shared" si="133"/>
        <v>9</v>
      </c>
      <c r="D4267" s="5" t="s">
        <v>2431</v>
      </c>
      <c r="E4267" s="5" t="s">
        <v>94</v>
      </c>
      <c r="F4267" s="5" t="s">
        <v>11</v>
      </c>
      <c r="G4267" s="5" t="s">
        <v>112</v>
      </c>
      <c r="H4267" s="5" t="s">
        <v>1297</v>
      </c>
      <c r="I4267" s="13">
        <v>105.801</v>
      </c>
      <c r="J4267" s="19">
        <v>1</v>
      </c>
      <c r="K4267" s="14">
        <v>14.124599999999999</v>
      </c>
    </row>
    <row r="4268" spans="1:11" x14ac:dyDescent="0.25">
      <c r="A4268" s="2">
        <v>44077</v>
      </c>
      <c r="B4268" s="18">
        <f t="shared" si="132"/>
        <v>2020</v>
      </c>
      <c r="C4268" s="18">
        <f t="shared" si="133"/>
        <v>9</v>
      </c>
      <c r="D4268" s="3" t="s">
        <v>170</v>
      </c>
      <c r="E4268" s="3" t="s">
        <v>18</v>
      </c>
      <c r="F4268" s="3" t="s">
        <v>19</v>
      </c>
      <c r="G4268" s="3" t="s">
        <v>32</v>
      </c>
      <c r="H4268" s="3" t="s">
        <v>97</v>
      </c>
      <c r="I4268" s="11">
        <v>113.56</v>
      </c>
      <c r="J4268" s="18">
        <v>5</v>
      </c>
      <c r="K4268" s="12">
        <v>28.896000000000001</v>
      </c>
    </row>
    <row r="4269" spans="1:11" x14ac:dyDescent="0.25">
      <c r="A4269" s="4">
        <v>44077</v>
      </c>
      <c r="B4269" s="19">
        <f t="shared" si="132"/>
        <v>2020</v>
      </c>
      <c r="C4269" s="19">
        <f t="shared" si="133"/>
        <v>9</v>
      </c>
      <c r="D4269" s="5" t="s">
        <v>441</v>
      </c>
      <c r="E4269" s="5" t="s">
        <v>164</v>
      </c>
      <c r="F4269" s="5" t="s">
        <v>14</v>
      </c>
      <c r="G4269" s="5" t="s">
        <v>24</v>
      </c>
      <c r="H4269" s="5" t="s">
        <v>2054</v>
      </c>
      <c r="I4269" s="13">
        <v>135.80000000000001</v>
      </c>
      <c r="J4269" s="19">
        <v>2</v>
      </c>
      <c r="K4269" s="14">
        <v>21.42</v>
      </c>
    </row>
    <row r="4270" spans="1:11" x14ac:dyDescent="0.25">
      <c r="A4270" s="2">
        <v>44077</v>
      </c>
      <c r="B4270" s="18">
        <f t="shared" si="132"/>
        <v>2020</v>
      </c>
      <c r="C4270" s="18">
        <f t="shared" si="133"/>
        <v>9</v>
      </c>
      <c r="D4270" s="3" t="s">
        <v>859</v>
      </c>
      <c r="E4270" s="3" t="s">
        <v>23</v>
      </c>
      <c r="F4270" s="3" t="s">
        <v>11</v>
      </c>
      <c r="G4270" s="3" t="s">
        <v>51</v>
      </c>
      <c r="H4270" s="3" t="s">
        <v>2247</v>
      </c>
      <c r="I4270" s="11">
        <v>142.4</v>
      </c>
      <c r="J4270" s="18">
        <v>5</v>
      </c>
      <c r="K4270" s="12">
        <v>-105.69</v>
      </c>
    </row>
    <row r="4271" spans="1:11" x14ac:dyDescent="0.25">
      <c r="A4271" s="4">
        <v>44077</v>
      </c>
      <c r="B4271" s="19">
        <f t="shared" si="132"/>
        <v>2020</v>
      </c>
      <c r="C4271" s="19">
        <f t="shared" si="133"/>
        <v>9</v>
      </c>
      <c r="D4271" s="5" t="s">
        <v>2431</v>
      </c>
      <c r="E4271" s="5" t="s">
        <v>94</v>
      </c>
      <c r="F4271" s="5" t="s">
        <v>11</v>
      </c>
      <c r="G4271" s="5" t="s">
        <v>112</v>
      </c>
      <c r="H4271" s="5" t="s">
        <v>922</v>
      </c>
      <c r="I4271" s="13">
        <v>193.76400000000001</v>
      </c>
      <c r="J4271" s="19">
        <v>2</v>
      </c>
      <c r="K4271" s="14">
        <v>-8.0784000000000002</v>
      </c>
    </row>
    <row r="4272" spans="1:11" x14ac:dyDescent="0.25">
      <c r="A4272" s="2">
        <v>44077</v>
      </c>
      <c r="B4272" s="18">
        <f t="shared" si="132"/>
        <v>2020</v>
      </c>
      <c r="C4272" s="18">
        <f t="shared" si="133"/>
        <v>9</v>
      </c>
      <c r="D4272" s="3" t="s">
        <v>877</v>
      </c>
      <c r="E4272" s="3" t="s">
        <v>18</v>
      </c>
      <c r="F4272" s="3" t="s">
        <v>11</v>
      </c>
      <c r="G4272" s="3" t="s">
        <v>12</v>
      </c>
      <c r="H4272" s="3" t="s">
        <v>1057</v>
      </c>
      <c r="I4272" s="11">
        <v>274.666</v>
      </c>
      <c r="J4272" s="18">
        <v>2</v>
      </c>
      <c r="K4272" s="12">
        <v>14.098000000000001</v>
      </c>
    </row>
    <row r="4273" spans="1:11" x14ac:dyDescent="0.25">
      <c r="A4273" s="4">
        <v>44077</v>
      </c>
      <c r="B4273" s="19">
        <f t="shared" si="132"/>
        <v>2020</v>
      </c>
      <c r="C4273" s="19">
        <f t="shared" si="133"/>
        <v>9</v>
      </c>
      <c r="D4273" s="5" t="s">
        <v>170</v>
      </c>
      <c r="E4273" s="5" t="s">
        <v>18</v>
      </c>
      <c r="F4273" s="5" t="s">
        <v>14</v>
      </c>
      <c r="G4273" s="5" t="s">
        <v>24</v>
      </c>
      <c r="H4273" s="5" t="s">
        <v>418</v>
      </c>
      <c r="I4273" s="13">
        <v>313.97000000000003</v>
      </c>
      <c r="J4273" s="19">
        <v>3</v>
      </c>
      <c r="K4273" s="14">
        <v>85.491</v>
      </c>
    </row>
    <row r="4274" spans="1:11" x14ac:dyDescent="0.25">
      <c r="A4274" s="2">
        <v>44077</v>
      </c>
      <c r="B4274" s="18">
        <f t="shared" si="132"/>
        <v>2020</v>
      </c>
      <c r="C4274" s="18">
        <f t="shared" si="133"/>
        <v>9</v>
      </c>
      <c r="D4274" s="3" t="s">
        <v>2431</v>
      </c>
      <c r="E4274" s="3" t="s">
        <v>94</v>
      </c>
      <c r="F4274" s="3" t="s">
        <v>19</v>
      </c>
      <c r="G4274" s="3" t="s">
        <v>53</v>
      </c>
      <c r="H4274" s="3" t="s">
        <v>669</v>
      </c>
      <c r="I4274" s="11">
        <v>469.4</v>
      </c>
      <c r="J4274" s="18">
        <v>4</v>
      </c>
      <c r="K4274" s="12">
        <v>201.31200000000001</v>
      </c>
    </row>
    <row r="4275" spans="1:11" x14ac:dyDescent="0.25">
      <c r="A4275" s="4">
        <v>44077</v>
      </c>
      <c r="B4275" s="19">
        <f t="shared" si="132"/>
        <v>2020</v>
      </c>
      <c r="C4275" s="19">
        <f t="shared" si="133"/>
        <v>9</v>
      </c>
      <c r="D4275" s="5" t="s">
        <v>2431</v>
      </c>
      <c r="E4275" s="5" t="s">
        <v>94</v>
      </c>
      <c r="F4275" s="5" t="s">
        <v>19</v>
      </c>
      <c r="G4275" s="5" t="s">
        <v>40</v>
      </c>
      <c r="H4275" s="5" t="s">
        <v>366</v>
      </c>
      <c r="I4275" s="13">
        <v>97.56</v>
      </c>
      <c r="J4275" s="19">
        <v>2</v>
      </c>
      <c r="K4275" s="14">
        <v>2.2240000000000002</v>
      </c>
    </row>
    <row r="4276" spans="1:11" x14ac:dyDescent="0.25">
      <c r="A4276" s="2">
        <v>44077</v>
      </c>
      <c r="B4276" s="18">
        <f t="shared" si="132"/>
        <v>2020</v>
      </c>
      <c r="C4276" s="18">
        <f t="shared" si="133"/>
        <v>9</v>
      </c>
      <c r="D4276" s="3" t="s">
        <v>441</v>
      </c>
      <c r="E4276" s="3" t="s">
        <v>164</v>
      </c>
      <c r="F4276" s="3" t="s">
        <v>19</v>
      </c>
      <c r="G4276" s="3" t="s">
        <v>53</v>
      </c>
      <c r="H4276" s="3" t="s">
        <v>2432</v>
      </c>
      <c r="I4276" s="11">
        <v>113.904</v>
      </c>
      <c r="J4276" s="18">
        <v>3</v>
      </c>
      <c r="K4276" s="12">
        <v>3.339</v>
      </c>
    </row>
    <row r="4277" spans="1:11" x14ac:dyDescent="0.25">
      <c r="A4277" s="4">
        <v>44077</v>
      </c>
      <c r="B4277" s="19">
        <f t="shared" si="132"/>
        <v>2020</v>
      </c>
      <c r="C4277" s="19">
        <f t="shared" si="133"/>
        <v>9</v>
      </c>
      <c r="D4277" s="5" t="s">
        <v>1978</v>
      </c>
      <c r="E4277" s="5" t="s">
        <v>18</v>
      </c>
      <c r="F4277" s="5" t="s">
        <v>19</v>
      </c>
      <c r="G4277" s="5" t="s">
        <v>40</v>
      </c>
      <c r="H4277" s="5" t="s">
        <v>1735</v>
      </c>
      <c r="I4277" s="13">
        <v>105.96</v>
      </c>
      <c r="J4277" s="19">
        <v>2</v>
      </c>
      <c r="K4277" s="14">
        <v>1.6688000000000001</v>
      </c>
    </row>
    <row r="4278" spans="1:11" x14ac:dyDescent="0.25">
      <c r="A4278" s="2">
        <v>44077</v>
      </c>
      <c r="B4278" s="18">
        <f t="shared" si="132"/>
        <v>2020</v>
      </c>
      <c r="C4278" s="18">
        <f t="shared" si="133"/>
        <v>9</v>
      </c>
      <c r="D4278" s="3" t="s">
        <v>638</v>
      </c>
      <c r="E4278" s="3" t="s">
        <v>44</v>
      </c>
      <c r="F4278" s="3" t="s">
        <v>19</v>
      </c>
      <c r="G4278" s="3" t="s">
        <v>86</v>
      </c>
      <c r="H4278" s="3" t="s">
        <v>1955</v>
      </c>
      <c r="I4278" s="11">
        <v>113.44799999999999</v>
      </c>
      <c r="J4278" s="18">
        <v>4</v>
      </c>
      <c r="K4278" s="12">
        <v>8.8623999999999992</v>
      </c>
    </row>
    <row r="4279" spans="1:11" x14ac:dyDescent="0.25">
      <c r="A4279" s="4">
        <v>44077</v>
      </c>
      <c r="B4279" s="19">
        <f t="shared" si="132"/>
        <v>2020</v>
      </c>
      <c r="C4279" s="19">
        <f t="shared" si="133"/>
        <v>9</v>
      </c>
      <c r="D4279" s="5" t="s">
        <v>1706</v>
      </c>
      <c r="E4279" s="5" t="s">
        <v>164</v>
      </c>
      <c r="F4279" s="5" t="s">
        <v>19</v>
      </c>
      <c r="G4279" s="5" t="s">
        <v>32</v>
      </c>
      <c r="H4279" s="5" t="s">
        <v>1310</v>
      </c>
      <c r="I4279" s="13">
        <v>129.61600000000001</v>
      </c>
      <c r="J4279" s="19">
        <v>7</v>
      </c>
      <c r="K4279" s="14">
        <v>-68.185599999999994</v>
      </c>
    </row>
    <row r="4280" spans="1:11" x14ac:dyDescent="0.25">
      <c r="A4280" s="2">
        <v>44078</v>
      </c>
      <c r="B4280" s="18">
        <f t="shared" si="132"/>
        <v>2020</v>
      </c>
      <c r="C4280" s="18">
        <f t="shared" si="133"/>
        <v>9</v>
      </c>
      <c r="D4280" s="3" t="s">
        <v>504</v>
      </c>
      <c r="E4280" s="3" t="s">
        <v>465</v>
      </c>
      <c r="F4280" s="3" t="s">
        <v>19</v>
      </c>
      <c r="G4280" s="3" t="s">
        <v>32</v>
      </c>
      <c r="H4280" s="3" t="s">
        <v>2433</v>
      </c>
      <c r="I4280" s="11">
        <v>103.074</v>
      </c>
      <c r="J4280" s="18">
        <v>7</v>
      </c>
      <c r="K4280" s="12">
        <v>-58.716000000000001</v>
      </c>
    </row>
    <row r="4281" spans="1:11" x14ac:dyDescent="0.25">
      <c r="A4281" s="4">
        <v>44078</v>
      </c>
      <c r="B4281" s="19">
        <f t="shared" si="132"/>
        <v>2020</v>
      </c>
      <c r="C4281" s="19">
        <f t="shared" si="133"/>
        <v>9</v>
      </c>
      <c r="D4281" s="5" t="s">
        <v>2419</v>
      </c>
      <c r="E4281" s="5" t="s">
        <v>44</v>
      </c>
      <c r="F4281" s="5" t="s">
        <v>11</v>
      </c>
      <c r="G4281" s="5" t="s">
        <v>112</v>
      </c>
      <c r="H4281" s="5" t="s">
        <v>524</v>
      </c>
      <c r="I4281" s="13">
        <v>112.184</v>
      </c>
      <c r="J4281" s="19">
        <v>2</v>
      </c>
      <c r="K4281" s="14">
        <v>6.0739999999999998</v>
      </c>
    </row>
    <row r="4282" spans="1:11" x14ac:dyDescent="0.25">
      <c r="A4282" s="2">
        <v>44078</v>
      </c>
      <c r="B4282" s="18">
        <f t="shared" si="132"/>
        <v>2020</v>
      </c>
      <c r="C4282" s="18">
        <f t="shared" si="133"/>
        <v>9</v>
      </c>
      <c r="D4282" s="3" t="s">
        <v>173</v>
      </c>
      <c r="E4282" s="3" t="s">
        <v>94</v>
      </c>
      <c r="F4282" s="3" t="s">
        <v>14</v>
      </c>
      <c r="G4282" s="3" t="s">
        <v>24</v>
      </c>
      <c r="H4282" s="3" t="s">
        <v>132</v>
      </c>
      <c r="I4282" s="11">
        <v>140.96</v>
      </c>
      <c r="J4282" s="18">
        <v>4</v>
      </c>
      <c r="K4282" s="12">
        <v>39.5428</v>
      </c>
    </row>
    <row r="4283" spans="1:11" x14ac:dyDescent="0.25">
      <c r="A4283" s="4">
        <v>44078</v>
      </c>
      <c r="B4283" s="19">
        <f t="shared" si="132"/>
        <v>2020</v>
      </c>
      <c r="C4283" s="19">
        <f t="shared" si="133"/>
        <v>9</v>
      </c>
      <c r="D4283" s="5" t="s">
        <v>1330</v>
      </c>
      <c r="E4283" s="5" t="s">
        <v>18</v>
      </c>
      <c r="F4283" s="5" t="s">
        <v>19</v>
      </c>
      <c r="G4283" s="5" t="s">
        <v>20</v>
      </c>
      <c r="H4283" s="5" t="s">
        <v>2354</v>
      </c>
      <c r="I4283" s="13">
        <v>235.85</v>
      </c>
      <c r="J4283" s="19">
        <v>5</v>
      </c>
      <c r="K4283" s="14">
        <v>65.355000000000004</v>
      </c>
    </row>
    <row r="4284" spans="1:11" x14ac:dyDescent="0.25">
      <c r="A4284" s="2">
        <v>44078</v>
      </c>
      <c r="B4284" s="18">
        <f t="shared" si="132"/>
        <v>2020</v>
      </c>
      <c r="C4284" s="18">
        <f t="shared" si="133"/>
        <v>9</v>
      </c>
      <c r="D4284" s="3" t="s">
        <v>1949</v>
      </c>
      <c r="E4284" s="3" t="s">
        <v>18</v>
      </c>
      <c r="F4284" s="3" t="s">
        <v>19</v>
      </c>
      <c r="G4284" s="3" t="s">
        <v>20</v>
      </c>
      <c r="H4284" s="3" t="s">
        <v>1944</v>
      </c>
      <c r="I4284" s="11">
        <v>469.1</v>
      </c>
      <c r="J4284" s="18">
        <v>2</v>
      </c>
      <c r="K4284" s="12">
        <v>105.27500000000001</v>
      </c>
    </row>
    <row r="4285" spans="1:11" x14ac:dyDescent="0.25">
      <c r="A4285" s="4">
        <v>44078</v>
      </c>
      <c r="B4285" s="19">
        <f t="shared" si="132"/>
        <v>2020</v>
      </c>
      <c r="C4285" s="19">
        <f t="shared" si="133"/>
        <v>9</v>
      </c>
      <c r="D4285" s="5" t="s">
        <v>1330</v>
      </c>
      <c r="E4285" s="5" t="s">
        <v>18</v>
      </c>
      <c r="F4285" s="5" t="s">
        <v>19</v>
      </c>
      <c r="G4285" s="5" t="s">
        <v>32</v>
      </c>
      <c r="H4285" s="5" t="s">
        <v>1920</v>
      </c>
      <c r="I4285" s="13">
        <v>522.98400000000004</v>
      </c>
      <c r="J4285" s="19">
        <v>2</v>
      </c>
      <c r="K4285" s="14">
        <v>152.495</v>
      </c>
    </row>
    <row r="4286" spans="1:11" x14ac:dyDescent="0.25">
      <c r="A4286" s="2">
        <v>44078</v>
      </c>
      <c r="B4286" s="18">
        <f t="shared" si="132"/>
        <v>2020</v>
      </c>
      <c r="C4286" s="18">
        <f t="shared" si="133"/>
        <v>9</v>
      </c>
      <c r="D4286" s="3" t="s">
        <v>1378</v>
      </c>
      <c r="E4286" s="3" t="s">
        <v>164</v>
      </c>
      <c r="F4286" s="3" t="s">
        <v>11</v>
      </c>
      <c r="G4286" s="3" t="s">
        <v>12</v>
      </c>
      <c r="H4286" s="3" t="s">
        <v>2434</v>
      </c>
      <c r="I4286" s="11">
        <v>843.17399999999998</v>
      </c>
      <c r="J4286" s="18">
        <v>9</v>
      </c>
      <c r="K4286" s="12">
        <v>-117.88200000000001</v>
      </c>
    </row>
    <row r="4287" spans="1:11" x14ac:dyDescent="0.25">
      <c r="A4287" s="4">
        <v>44078</v>
      </c>
      <c r="B4287" s="19">
        <f t="shared" si="132"/>
        <v>2020</v>
      </c>
      <c r="C4287" s="19">
        <f t="shared" si="133"/>
        <v>9</v>
      </c>
      <c r="D4287" s="5" t="s">
        <v>1605</v>
      </c>
      <c r="E4287" s="5" t="s">
        <v>18</v>
      </c>
      <c r="F4287" s="5" t="s">
        <v>11</v>
      </c>
      <c r="G4287" s="5" t="s">
        <v>30</v>
      </c>
      <c r="H4287" s="5" t="s">
        <v>2020</v>
      </c>
      <c r="I4287" s="13">
        <v>1334.3520000000001</v>
      </c>
      <c r="J4287" s="19">
        <v>3</v>
      </c>
      <c r="K4287" s="14">
        <v>-99.176400000000001</v>
      </c>
    </row>
    <row r="4288" spans="1:11" x14ac:dyDescent="0.25">
      <c r="A4288" s="2">
        <v>44078</v>
      </c>
      <c r="B4288" s="18">
        <f t="shared" si="132"/>
        <v>2020</v>
      </c>
      <c r="C4288" s="18">
        <f t="shared" si="133"/>
        <v>9</v>
      </c>
      <c r="D4288" s="3" t="s">
        <v>646</v>
      </c>
      <c r="E4288" s="3" t="s">
        <v>18</v>
      </c>
      <c r="F4288" s="3" t="s">
        <v>11</v>
      </c>
      <c r="G4288" s="3" t="s">
        <v>30</v>
      </c>
      <c r="H4288" s="3" t="s">
        <v>1016</v>
      </c>
      <c r="I4288" s="11">
        <v>1511.2719999999999</v>
      </c>
      <c r="J4288" s="18">
        <v>8</v>
      </c>
      <c r="K4288" s="12">
        <v>92.391999999999996</v>
      </c>
    </row>
    <row r="4289" spans="1:11" x14ac:dyDescent="0.25">
      <c r="A4289" s="4">
        <v>44078</v>
      </c>
      <c r="B4289" s="19">
        <f t="shared" si="132"/>
        <v>2020</v>
      </c>
      <c r="C4289" s="19">
        <f t="shared" si="133"/>
        <v>9</v>
      </c>
      <c r="D4289" s="5" t="s">
        <v>1515</v>
      </c>
      <c r="E4289" s="5" t="s">
        <v>67</v>
      </c>
      <c r="F4289" s="5" t="s">
        <v>19</v>
      </c>
      <c r="G4289" s="5" t="s">
        <v>32</v>
      </c>
      <c r="H4289" s="5" t="s">
        <v>101</v>
      </c>
      <c r="I4289" s="13">
        <v>88.367999999999995</v>
      </c>
      <c r="J4289" s="19">
        <v>2</v>
      </c>
      <c r="K4289" s="14">
        <v>-3.0575999999999999</v>
      </c>
    </row>
    <row r="4290" spans="1:11" x14ac:dyDescent="0.25">
      <c r="A4290" s="2">
        <v>44078</v>
      </c>
      <c r="B4290" s="18">
        <f t="shared" ref="B4290:B4353" si="134">YEAR(A4290)</f>
        <v>2020</v>
      </c>
      <c r="C4290" s="18">
        <f t="shared" ref="C4290:C4353" si="135">MONTH(A4290)</f>
        <v>9</v>
      </c>
      <c r="D4290" s="3" t="s">
        <v>1378</v>
      </c>
      <c r="E4290" s="3" t="s">
        <v>164</v>
      </c>
      <c r="F4290" s="3" t="s">
        <v>19</v>
      </c>
      <c r="G4290" s="3" t="s">
        <v>40</v>
      </c>
      <c r="H4290" s="3" t="s">
        <v>1665</v>
      </c>
      <c r="I4290" s="11">
        <v>88.912000000000006</v>
      </c>
      <c r="J4290" s="18">
        <v>3</v>
      </c>
      <c r="K4290" s="12">
        <v>0.86399999999999999</v>
      </c>
    </row>
    <row r="4291" spans="1:11" x14ac:dyDescent="0.25">
      <c r="A4291" s="4">
        <v>44078</v>
      </c>
      <c r="B4291" s="19">
        <f t="shared" si="134"/>
        <v>2020</v>
      </c>
      <c r="C4291" s="19">
        <f t="shared" si="135"/>
        <v>9</v>
      </c>
      <c r="D4291" s="5" t="s">
        <v>254</v>
      </c>
      <c r="E4291" s="5" t="s">
        <v>23</v>
      </c>
      <c r="F4291" s="5" t="s">
        <v>19</v>
      </c>
      <c r="G4291" s="5" t="s">
        <v>40</v>
      </c>
      <c r="H4291" s="5" t="s">
        <v>1551</v>
      </c>
      <c r="I4291" s="13">
        <v>120.19199999999999</v>
      </c>
      <c r="J4291" s="19">
        <v>7</v>
      </c>
      <c r="K4291" s="14">
        <v>3.1850000000000001</v>
      </c>
    </row>
    <row r="4292" spans="1:11" x14ac:dyDescent="0.25">
      <c r="A4292" s="2">
        <v>44078</v>
      </c>
      <c r="B4292" s="18">
        <f t="shared" si="134"/>
        <v>2020</v>
      </c>
      <c r="C4292" s="18">
        <f t="shared" si="135"/>
        <v>9</v>
      </c>
      <c r="D4292" s="3" t="s">
        <v>2431</v>
      </c>
      <c r="E4292" s="3" t="s">
        <v>18</v>
      </c>
      <c r="F4292" s="3" t="s">
        <v>19</v>
      </c>
      <c r="G4292" s="3" t="s">
        <v>53</v>
      </c>
      <c r="H4292" s="3" t="s">
        <v>2435</v>
      </c>
      <c r="I4292" s="11">
        <v>100.96</v>
      </c>
      <c r="J4292" s="18">
        <v>2</v>
      </c>
      <c r="K4292" s="12">
        <v>6.2207999999999997</v>
      </c>
    </row>
    <row r="4293" spans="1:11" x14ac:dyDescent="0.25">
      <c r="A4293" s="4">
        <v>44078</v>
      </c>
      <c r="B4293" s="19">
        <f t="shared" si="134"/>
        <v>2020</v>
      </c>
      <c r="C4293" s="19">
        <f t="shared" si="135"/>
        <v>9</v>
      </c>
      <c r="D4293" s="5" t="s">
        <v>702</v>
      </c>
      <c r="E4293" s="5" t="s">
        <v>39</v>
      </c>
      <c r="F4293" s="5" t="s">
        <v>14</v>
      </c>
      <c r="G4293" s="5" t="s">
        <v>24</v>
      </c>
      <c r="H4293" s="5" t="s">
        <v>1995</v>
      </c>
      <c r="I4293" s="13">
        <v>94.04</v>
      </c>
      <c r="J4293" s="19">
        <v>4</v>
      </c>
      <c r="K4293" s="14">
        <v>-1.4279999999999999</v>
      </c>
    </row>
    <row r="4294" spans="1:11" x14ac:dyDescent="0.25">
      <c r="A4294" s="2">
        <v>44078</v>
      </c>
      <c r="B4294" s="18">
        <f t="shared" si="134"/>
        <v>2020</v>
      </c>
      <c r="C4294" s="18">
        <f t="shared" si="135"/>
        <v>9</v>
      </c>
      <c r="D4294" s="3" t="s">
        <v>646</v>
      </c>
      <c r="E4294" s="3" t="s">
        <v>18</v>
      </c>
      <c r="F4294" s="3" t="s">
        <v>19</v>
      </c>
      <c r="G4294" s="3" t="s">
        <v>32</v>
      </c>
      <c r="H4294" s="3" t="s">
        <v>1615</v>
      </c>
      <c r="I4294" s="11">
        <v>119.34399999999999</v>
      </c>
      <c r="J4294" s="18">
        <v>6</v>
      </c>
      <c r="K4294" s="12">
        <v>4.3368000000000002</v>
      </c>
    </row>
    <row r="4295" spans="1:11" x14ac:dyDescent="0.25">
      <c r="A4295" s="4">
        <v>44078</v>
      </c>
      <c r="B4295" s="19">
        <f t="shared" si="134"/>
        <v>2020</v>
      </c>
      <c r="C4295" s="19">
        <f t="shared" si="135"/>
        <v>9</v>
      </c>
      <c r="D4295" s="5" t="s">
        <v>636</v>
      </c>
      <c r="E4295" s="5" t="s">
        <v>23</v>
      </c>
      <c r="F4295" s="5" t="s">
        <v>19</v>
      </c>
      <c r="G4295" s="5" t="s">
        <v>40</v>
      </c>
      <c r="H4295" s="5" t="s">
        <v>1779</v>
      </c>
      <c r="I4295" s="13">
        <v>108.384</v>
      </c>
      <c r="J4295" s="19">
        <v>1</v>
      </c>
      <c r="K4295" s="14">
        <v>3.798</v>
      </c>
    </row>
    <row r="4296" spans="1:11" x14ac:dyDescent="0.25">
      <c r="A4296" s="2">
        <v>44078</v>
      </c>
      <c r="B4296" s="18">
        <f t="shared" si="134"/>
        <v>2020</v>
      </c>
      <c r="C4296" s="18">
        <f t="shared" si="135"/>
        <v>9</v>
      </c>
      <c r="D4296" s="3" t="s">
        <v>1515</v>
      </c>
      <c r="E4296" s="3" t="s">
        <v>67</v>
      </c>
      <c r="F4296" s="3" t="s">
        <v>19</v>
      </c>
      <c r="G4296" s="3" t="s">
        <v>40</v>
      </c>
      <c r="H4296" s="3" t="s">
        <v>1089</v>
      </c>
      <c r="I4296" s="11">
        <v>125.256</v>
      </c>
      <c r="J4296" s="18">
        <v>4</v>
      </c>
      <c r="K4296" s="12">
        <v>0.61919999999999997</v>
      </c>
    </row>
    <row r="4297" spans="1:11" x14ac:dyDescent="0.25">
      <c r="A4297" s="4">
        <v>44078</v>
      </c>
      <c r="B4297" s="19">
        <f t="shared" si="134"/>
        <v>2020</v>
      </c>
      <c r="C4297" s="19">
        <f t="shared" si="135"/>
        <v>9</v>
      </c>
      <c r="D4297" s="5" t="s">
        <v>1515</v>
      </c>
      <c r="E4297" s="5" t="s">
        <v>67</v>
      </c>
      <c r="F4297" s="5" t="s">
        <v>19</v>
      </c>
      <c r="G4297" s="5" t="s">
        <v>53</v>
      </c>
      <c r="H4297" s="5" t="s">
        <v>147</v>
      </c>
      <c r="I4297" s="13">
        <v>107.52</v>
      </c>
      <c r="J4297" s="19">
        <v>4</v>
      </c>
      <c r="K4297" s="14">
        <v>3.7440000000000002</v>
      </c>
    </row>
    <row r="4298" spans="1:11" x14ac:dyDescent="0.25">
      <c r="A4298" s="2">
        <v>44078</v>
      </c>
      <c r="B4298" s="18">
        <f t="shared" si="134"/>
        <v>2020</v>
      </c>
      <c r="C4298" s="18">
        <f t="shared" si="135"/>
        <v>9</v>
      </c>
      <c r="D4298" s="3" t="s">
        <v>2419</v>
      </c>
      <c r="E4298" s="3" t="s">
        <v>44</v>
      </c>
      <c r="F4298" s="3" t="s">
        <v>19</v>
      </c>
      <c r="G4298" s="3" t="s">
        <v>53</v>
      </c>
      <c r="H4298" s="3" t="s">
        <v>1194</v>
      </c>
      <c r="I4298" s="11">
        <v>133.36799999999999</v>
      </c>
      <c r="J4298" s="18">
        <v>2</v>
      </c>
      <c r="K4298" s="12">
        <v>3.6288</v>
      </c>
    </row>
    <row r="4299" spans="1:11" x14ac:dyDescent="0.25">
      <c r="A4299" s="4">
        <v>44078</v>
      </c>
      <c r="B4299" s="19">
        <f t="shared" si="134"/>
        <v>2020</v>
      </c>
      <c r="C4299" s="19">
        <f t="shared" si="135"/>
        <v>9</v>
      </c>
      <c r="D4299" s="5" t="s">
        <v>817</v>
      </c>
      <c r="E4299" s="5" t="s">
        <v>18</v>
      </c>
      <c r="F4299" s="5" t="s">
        <v>19</v>
      </c>
      <c r="G4299" s="5" t="s">
        <v>32</v>
      </c>
      <c r="H4299" s="5" t="s">
        <v>361</v>
      </c>
      <c r="I4299" s="13">
        <v>124.80800000000001</v>
      </c>
      <c r="J4299" s="19">
        <v>3</v>
      </c>
      <c r="K4299" s="14">
        <v>4.1327999999999996</v>
      </c>
    </row>
    <row r="4300" spans="1:11" x14ac:dyDescent="0.25">
      <c r="A4300" s="2">
        <v>44078</v>
      </c>
      <c r="B4300" s="18">
        <f t="shared" si="134"/>
        <v>2020</v>
      </c>
      <c r="C4300" s="18">
        <f t="shared" si="135"/>
        <v>9</v>
      </c>
      <c r="D4300" s="3" t="s">
        <v>254</v>
      </c>
      <c r="E4300" s="3" t="s">
        <v>23</v>
      </c>
      <c r="F4300" s="3" t="s">
        <v>19</v>
      </c>
      <c r="G4300" s="3" t="s">
        <v>20</v>
      </c>
      <c r="H4300" s="3" t="s">
        <v>2410</v>
      </c>
      <c r="I4300" s="11">
        <v>102.78400000000001</v>
      </c>
      <c r="J4300" s="18">
        <v>1</v>
      </c>
      <c r="K4300" s="12">
        <v>-0.20979999999999999</v>
      </c>
    </row>
    <row r="4301" spans="1:11" x14ac:dyDescent="0.25">
      <c r="A4301" s="4">
        <v>44078</v>
      </c>
      <c r="B4301" s="19">
        <f t="shared" si="134"/>
        <v>2020</v>
      </c>
      <c r="C4301" s="19">
        <f t="shared" si="135"/>
        <v>9</v>
      </c>
      <c r="D4301" s="5" t="s">
        <v>1330</v>
      </c>
      <c r="E4301" s="5" t="s">
        <v>18</v>
      </c>
      <c r="F4301" s="5" t="s">
        <v>14</v>
      </c>
      <c r="G4301" s="5" t="s">
        <v>15</v>
      </c>
      <c r="H4301" s="5" t="s">
        <v>2290</v>
      </c>
      <c r="I4301" s="13">
        <v>139.56</v>
      </c>
      <c r="J4301" s="19">
        <v>1</v>
      </c>
      <c r="K4301" s="14">
        <v>1.7375</v>
      </c>
    </row>
    <row r="4302" spans="1:11" x14ac:dyDescent="0.25">
      <c r="A4302" s="2">
        <v>44078</v>
      </c>
      <c r="B4302" s="18">
        <f t="shared" si="134"/>
        <v>2020</v>
      </c>
      <c r="C4302" s="18">
        <f t="shared" si="135"/>
        <v>9</v>
      </c>
      <c r="D4302" s="3" t="s">
        <v>254</v>
      </c>
      <c r="E4302" s="3" t="s">
        <v>23</v>
      </c>
      <c r="F4302" s="3" t="s">
        <v>19</v>
      </c>
      <c r="G4302" s="3" t="s">
        <v>40</v>
      </c>
      <c r="H4302" s="3" t="s">
        <v>2436</v>
      </c>
      <c r="I4302" s="11">
        <v>105.12</v>
      </c>
      <c r="J4302" s="18">
        <v>5</v>
      </c>
      <c r="K4302" s="12">
        <v>3.7719999999999998</v>
      </c>
    </row>
    <row r="4303" spans="1:11" x14ac:dyDescent="0.25">
      <c r="A4303" s="4">
        <v>44078</v>
      </c>
      <c r="B4303" s="19">
        <f t="shared" si="134"/>
        <v>2020</v>
      </c>
      <c r="C4303" s="19">
        <f t="shared" si="135"/>
        <v>9</v>
      </c>
      <c r="D4303" s="5" t="s">
        <v>2431</v>
      </c>
      <c r="E4303" s="5" t="s">
        <v>18</v>
      </c>
      <c r="F4303" s="5" t="s">
        <v>14</v>
      </c>
      <c r="G4303" s="5" t="s">
        <v>15</v>
      </c>
      <c r="H4303" s="5" t="s">
        <v>1257</v>
      </c>
      <c r="I4303" s="13">
        <v>123.176</v>
      </c>
      <c r="J4303" s="19">
        <v>3</v>
      </c>
      <c r="K4303" s="14">
        <v>15.111599999999999</v>
      </c>
    </row>
    <row r="4304" spans="1:11" x14ac:dyDescent="0.25">
      <c r="A4304" s="2">
        <v>44078</v>
      </c>
      <c r="B4304" s="18">
        <f t="shared" si="134"/>
        <v>2020</v>
      </c>
      <c r="C4304" s="18">
        <f t="shared" si="135"/>
        <v>9</v>
      </c>
      <c r="D4304" s="3" t="s">
        <v>445</v>
      </c>
      <c r="E4304" s="3" t="s">
        <v>104</v>
      </c>
      <c r="F4304" s="3" t="s">
        <v>19</v>
      </c>
      <c r="G4304" s="3" t="s">
        <v>116</v>
      </c>
      <c r="H4304" s="3" t="s">
        <v>301</v>
      </c>
      <c r="I4304" s="11">
        <v>141.82</v>
      </c>
      <c r="J4304" s="18">
        <v>6</v>
      </c>
      <c r="K4304" s="12">
        <v>6.9653999999999998</v>
      </c>
    </row>
    <row r="4305" spans="1:11" x14ac:dyDescent="0.25">
      <c r="A4305" s="4">
        <v>44078</v>
      </c>
      <c r="B4305" s="19">
        <f t="shared" si="134"/>
        <v>2020</v>
      </c>
      <c r="C4305" s="19">
        <f t="shared" si="135"/>
        <v>9</v>
      </c>
      <c r="D4305" s="5" t="s">
        <v>1515</v>
      </c>
      <c r="E4305" s="5" t="s">
        <v>67</v>
      </c>
      <c r="F4305" s="5" t="s">
        <v>19</v>
      </c>
      <c r="G4305" s="5" t="s">
        <v>32</v>
      </c>
      <c r="H4305" s="5" t="s">
        <v>1657</v>
      </c>
      <c r="I4305" s="13">
        <v>122.56</v>
      </c>
      <c r="J4305" s="19">
        <v>5</v>
      </c>
      <c r="K4305" s="14">
        <v>-20.448</v>
      </c>
    </row>
    <row r="4306" spans="1:11" x14ac:dyDescent="0.25">
      <c r="A4306" s="2">
        <v>44078</v>
      </c>
      <c r="B4306" s="18">
        <f t="shared" si="134"/>
        <v>2020</v>
      </c>
      <c r="C4306" s="18">
        <f t="shared" si="135"/>
        <v>9</v>
      </c>
      <c r="D4306" s="3" t="s">
        <v>1378</v>
      </c>
      <c r="E4306" s="3" t="s">
        <v>164</v>
      </c>
      <c r="F4306" s="3" t="s">
        <v>19</v>
      </c>
      <c r="G4306" s="3" t="s">
        <v>53</v>
      </c>
      <c r="H4306" s="3" t="s">
        <v>2061</v>
      </c>
      <c r="I4306" s="11">
        <v>150.76</v>
      </c>
      <c r="J4306" s="18">
        <v>3</v>
      </c>
      <c r="K4306" s="12">
        <v>5.55</v>
      </c>
    </row>
    <row r="4307" spans="1:11" x14ac:dyDescent="0.25">
      <c r="A4307" s="4">
        <v>44078</v>
      </c>
      <c r="B4307" s="19">
        <f t="shared" si="134"/>
        <v>2020</v>
      </c>
      <c r="C4307" s="19">
        <f t="shared" si="135"/>
        <v>9</v>
      </c>
      <c r="D4307" s="5" t="s">
        <v>842</v>
      </c>
      <c r="E4307" s="5" t="s">
        <v>18</v>
      </c>
      <c r="F4307" s="5" t="s">
        <v>19</v>
      </c>
      <c r="G4307" s="5" t="s">
        <v>20</v>
      </c>
      <c r="H4307" s="5" t="s">
        <v>1073</v>
      </c>
      <c r="I4307" s="13">
        <v>151.32</v>
      </c>
      <c r="J4307" s="19">
        <v>4</v>
      </c>
      <c r="K4307" s="14">
        <v>0.54320000000000002</v>
      </c>
    </row>
    <row r="4308" spans="1:11" x14ac:dyDescent="0.25">
      <c r="A4308" s="2">
        <v>44079</v>
      </c>
      <c r="B4308" s="18">
        <f t="shared" si="134"/>
        <v>2020</v>
      </c>
      <c r="C4308" s="18">
        <f t="shared" si="135"/>
        <v>9</v>
      </c>
      <c r="D4308" s="3" t="s">
        <v>1006</v>
      </c>
      <c r="E4308" s="3" t="s">
        <v>219</v>
      </c>
      <c r="F4308" s="3" t="s">
        <v>19</v>
      </c>
      <c r="G4308" s="3" t="s">
        <v>40</v>
      </c>
      <c r="H4308" s="3" t="s">
        <v>2059</v>
      </c>
      <c r="I4308" s="11">
        <v>115.96</v>
      </c>
      <c r="J4308" s="18">
        <v>5</v>
      </c>
      <c r="K4308" s="12">
        <v>7.1959999999999997</v>
      </c>
    </row>
    <row r="4309" spans="1:11" x14ac:dyDescent="0.25">
      <c r="A4309" s="4">
        <v>44079</v>
      </c>
      <c r="B4309" s="19">
        <f t="shared" si="134"/>
        <v>2020</v>
      </c>
      <c r="C4309" s="19">
        <f t="shared" si="135"/>
        <v>9</v>
      </c>
      <c r="D4309" s="5" t="s">
        <v>1006</v>
      </c>
      <c r="E4309" s="5" t="s">
        <v>219</v>
      </c>
      <c r="F4309" s="5" t="s">
        <v>14</v>
      </c>
      <c r="G4309" s="5" t="s">
        <v>24</v>
      </c>
      <c r="H4309" s="5" t="s">
        <v>2164</v>
      </c>
      <c r="I4309" s="13">
        <v>133.56800000000001</v>
      </c>
      <c r="J4309" s="19">
        <v>4</v>
      </c>
      <c r="K4309" s="14">
        <v>-1.1195999999999999</v>
      </c>
    </row>
    <row r="4310" spans="1:11" x14ac:dyDescent="0.25">
      <c r="A4310" s="2">
        <v>44079</v>
      </c>
      <c r="B4310" s="18">
        <f t="shared" si="134"/>
        <v>2020</v>
      </c>
      <c r="C4310" s="18">
        <f t="shared" si="135"/>
        <v>9</v>
      </c>
      <c r="D4310" s="3" t="s">
        <v>1530</v>
      </c>
      <c r="E4310" s="3" t="s">
        <v>44</v>
      </c>
      <c r="F4310" s="3" t="s">
        <v>19</v>
      </c>
      <c r="G4310" s="3" t="s">
        <v>20</v>
      </c>
      <c r="H4310" s="3" t="s">
        <v>494</v>
      </c>
      <c r="I4310" s="11">
        <v>158.184</v>
      </c>
      <c r="J4310" s="18">
        <v>2</v>
      </c>
      <c r="K4310" s="12">
        <v>-29.436800000000002</v>
      </c>
    </row>
    <row r="4311" spans="1:11" x14ac:dyDescent="0.25">
      <c r="A4311" s="4">
        <v>44079</v>
      </c>
      <c r="B4311" s="19">
        <f t="shared" si="134"/>
        <v>2020</v>
      </c>
      <c r="C4311" s="19">
        <f t="shared" si="135"/>
        <v>9</v>
      </c>
      <c r="D4311" s="5" t="s">
        <v>822</v>
      </c>
      <c r="E4311" s="5" t="s">
        <v>70</v>
      </c>
      <c r="F4311" s="5" t="s">
        <v>19</v>
      </c>
      <c r="G4311" s="5" t="s">
        <v>40</v>
      </c>
      <c r="H4311" s="5" t="s">
        <v>944</v>
      </c>
      <c r="I4311" s="13">
        <v>89.78</v>
      </c>
      <c r="J4311" s="19">
        <v>1</v>
      </c>
      <c r="K4311" s="14">
        <v>0.7228</v>
      </c>
    </row>
    <row r="4312" spans="1:11" x14ac:dyDescent="0.25">
      <c r="A4312" s="2">
        <v>44079</v>
      </c>
      <c r="B4312" s="18">
        <f t="shared" si="134"/>
        <v>2020</v>
      </c>
      <c r="C4312" s="18">
        <f t="shared" si="135"/>
        <v>9</v>
      </c>
      <c r="D4312" s="3" t="s">
        <v>1006</v>
      </c>
      <c r="E4312" s="3" t="s">
        <v>219</v>
      </c>
      <c r="F4312" s="3" t="s">
        <v>19</v>
      </c>
      <c r="G4312" s="3" t="s">
        <v>53</v>
      </c>
      <c r="H4312" s="3" t="s">
        <v>2435</v>
      </c>
      <c r="I4312" s="11">
        <v>144.55199999999999</v>
      </c>
      <c r="J4312" s="18">
        <v>3</v>
      </c>
      <c r="K4312" s="12">
        <v>5.4432</v>
      </c>
    </row>
    <row r="4313" spans="1:11" x14ac:dyDescent="0.25">
      <c r="A4313" s="4">
        <v>44081</v>
      </c>
      <c r="B4313" s="19">
        <f t="shared" si="134"/>
        <v>2020</v>
      </c>
      <c r="C4313" s="19">
        <f t="shared" si="135"/>
        <v>9</v>
      </c>
      <c r="D4313" s="5" t="s">
        <v>479</v>
      </c>
      <c r="E4313" s="5" t="s">
        <v>219</v>
      </c>
      <c r="F4313" s="5" t="s">
        <v>19</v>
      </c>
      <c r="G4313" s="5" t="s">
        <v>121</v>
      </c>
      <c r="H4313" s="5" t="s">
        <v>661</v>
      </c>
      <c r="I4313" s="13">
        <v>102.568</v>
      </c>
      <c r="J4313" s="19">
        <v>2</v>
      </c>
      <c r="K4313" s="14">
        <v>7.1372</v>
      </c>
    </row>
    <row r="4314" spans="1:11" x14ac:dyDescent="0.25">
      <c r="A4314" s="2">
        <v>44081</v>
      </c>
      <c r="B4314" s="18">
        <f t="shared" si="134"/>
        <v>2020</v>
      </c>
      <c r="C4314" s="18">
        <f t="shared" si="135"/>
        <v>9</v>
      </c>
      <c r="D4314" s="3" t="s">
        <v>1134</v>
      </c>
      <c r="E4314" s="3" t="s">
        <v>70</v>
      </c>
      <c r="F4314" s="3" t="s">
        <v>11</v>
      </c>
      <c r="G4314" s="3" t="s">
        <v>51</v>
      </c>
      <c r="H4314" s="3" t="s">
        <v>297</v>
      </c>
      <c r="I4314" s="11">
        <v>115.96</v>
      </c>
      <c r="J4314" s="18">
        <v>4</v>
      </c>
      <c r="K4314" s="12">
        <v>34.812800000000003</v>
      </c>
    </row>
    <row r="4315" spans="1:11" x14ac:dyDescent="0.25">
      <c r="A4315" s="4">
        <v>44081</v>
      </c>
      <c r="B4315" s="19">
        <f t="shared" si="134"/>
        <v>2020</v>
      </c>
      <c r="C4315" s="19">
        <f t="shared" si="135"/>
        <v>9</v>
      </c>
      <c r="D4315" s="5" t="s">
        <v>2437</v>
      </c>
      <c r="E4315" s="5" t="s">
        <v>472</v>
      </c>
      <c r="F4315" s="5" t="s">
        <v>14</v>
      </c>
      <c r="G4315" s="5" t="s">
        <v>24</v>
      </c>
      <c r="H4315" s="5" t="s">
        <v>1719</v>
      </c>
      <c r="I4315" s="13">
        <v>125.52</v>
      </c>
      <c r="J4315" s="19">
        <v>4</v>
      </c>
      <c r="K4315" s="14">
        <v>46.543199999999999</v>
      </c>
    </row>
    <row r="4316" spans="1:11" x14ac:dyDescent="0.25">
      <c r="A4316" s="2">
        <v>44081</v>
      </c>
      <c r="B4316" s="18">
        <f t="shared" si="134"/>
        <v>2020</v>
      </c>
      <c r="C4316" s="18">
        <f t="shared" si="135"/>
        <v>9</v>
      </c>
      <c r="D4316" s="3" t="s">
        <v>955</v>
      </c>
      <c r="E4316" s="3" t="s">
        <v>1156</v>
      </c>
      <c r="F4316" s="3" t="s">
        <v>14</v>
      </c>
      <c r="G4316" s="3" t="s">
        <v>15</v>
      </c>
      <c r="H4316" s="3" t="s">
        <v>2438</v>
      </c>
      <c r="I4316" s="11">
        <v>166.56</v>
      </c>
      <c r="J4316" s="18">
        <v>4</v>
      </c>
      <c r="K4316" s="12">
        <v>47.46</v>
      </c>
    </row>
    <row r="4317" spans="1:11" x14ac:dyDescent="0.25">
      <c r="A4317" s="4">
        <v>44081</v>
      </c>
      <c r="B4317" s="19">
        <f t="shared" si="134"/>
        <v>2020</v>
      </c>
      <c r="C4317" s="19">
        <f t="shared" si="135"/>
        <v>9</v>
      </c>
      <c r="D4317" s="5" t="s">
        <v>2437</v>
      </c>
      <c r="E4317" s="5" t="s">
        <v>472</v>
      </c>
      <c r="F4317" s="5" t="s">
        <v>11</v>
      </c>
      <c r="G4317" s="5" t="s">
        <v>51</v>
      </c>
      <c r="H4317" s="5" t="s">
        <v>2439</v>
      </c>
      <c r="I4317" s="13">
        <v>170.3</v>
      </c>
      <c r="J4317" s="19">
        <v>5</v>
      </c>
      <c r="K4317" s="14">
        <v>37.884</v>
      </c>
    </row>
    <row r="4318" spans="1:11" x14ac:dyDescent="0.25">
      <c r="A4318" s="2">
        <v>44081</v>
      </c>
      <c r="B4318" s="18">
        <f t="shared" si="134"/>
        <v>2020</v>
      </c>
      <c r="C4318" s="18">
        <f t="shared" si="135"/>
        <v>9</v>
      </c>
      <c r="D4318" s="3" t="s">
        <v>1458</v>
      </c>
      <c r="E4318" s="3" t="s">
        <v>18</v>
      </c>
      <c r="F4318" s="3" t="s">
        <v>11</v>
      </c>
      <c r="G4318" s="3" t="s">
        <v>112</v>
      </c>
      <c r="H4318" s="3" t="s">
        <v>922</v>
      </c>
      <c r="I4318" s="11">
        <v>192.56800000000001</v>
      </c>
      <c r="J4318" s="18">
        <v>2</v>
      </c>
      <c r="K4318" s="12">
        <v>-28.2744</v>
      </c>
    </row>
    <row r="4319" spans="1:11" x14ac:dyDescent="0.25">
      <c r="A4319" s="4">
        <v>44081</v>
      </c>
      <c r="B4319" s="19">
        <f t="shared" si="134"/>
        <v>2020</v>
      </c>
      <c r="C4319" s="19">
        <f t="shared" si="135"/>
        <v>9</v>
      </c>
      <c r="D4319" s="5" t="s">
        <v>1106</v>
      </c>
      <c r="E4319" s="5" t="s">
        <v>465</v>
      </c>
      <c r="F4319" s="5" t="s">
        <v>14</v>
      </c>
      <c r="G4319" s="5" t="s">
        <v>24</v>
      </c>
      <c r="H4319" s="5" t="s">
        <v>139</v>
      </c>
      <c r="I4319" s="13">
        <v>311.94400000000002</v>
      </c>
      <c r="J4319" s="19">
        <v>7</v>
      </c>
      <c r="K4319" s="14">
        <v>80.483900000000006</v>
      </c>
    </row>
    <row r="4320" spans="1:11" x14ac:dyDescent="0.25">
      <c r="A4320" s="2">
        <v>44081</v>
      </c>
      <c r="B4320" s="18">
        <f t="shared" si="134"/>
        <v>2020</v>
      </c>
      <c r="C4320" s="18">
        <f t="shared" si="135"/>
        <v>9</v>
      </c>
      <c r="D4320" s="3" t="s">
        <v>1134</v>
      </c>
      <c r="E4320" s="3" t="s">
        <v>70</v>
      </c>
      <c r="F4320" s="3" t="s">
        <v>14</v>
      </c>
      <c r="G4320" s="3" t="s">
        <v>15</v>
      </c>
      <c r="H4320" s="3" t="s">
        <v>2440</v>
      </c>
      <c r="I4320" s="11">
        <v>485.71199999999999</v>
      </c>
      <c r="J4320" s="18">
        <v>2</v>
      </c>
      <c r="K4320" s="12">
        <v>34.178400000000003</v>
      </c>
    </row>
    <row r="4321" spans="1:11" x14ac:dyDescent="0.25">
      <c r="A4321" s="4">
        <v>44081</v>
      </c>
      <c r="B4321" s="19">
        <f t="shared" si="134"/>
        <v>2020</v>
      </c>
      <c r="C4321" s="19">
        <f t="shared" si="135"/>
        <v>9</v>
      </c>
      <c r="D4321" s="5" t="s">
        <v>1985</v>
      </c>
      <c r="E4321" s="5" t="s">
        <v>94</v>
      </c>
      <c r="F4321" s="5" t="s">
        <v>19</v>
      </c>
      <c r="G4321" s="5" t="s">
        <v>20</v>
      </c>
      <c r="H4321" s="5" t="s">
        <v>2214</v>
      </c>
      <c r="I4321" s="13">
        <v>491.08</v>
      </c>
      <c r="J4321" s="19">
        <v>8</v>
      </c>
      <c r="K4321" s="14">
        <v>133.86240000000001</v>
      </c>
    </row>
    <row r="4322" spans="1:11" x14ac:dyDescent="0.25">
      <c r="A4322" s="2">
        <v>44081</v>
      </c>
      <c r="B4322" s="18">
        <f t="shared" si="134"/>
        <v>2020</v>
      </c>
      <c r="C4322" s="18">
        <f t="shared" si="135"/>
        <v>9</v>
      </c>
      <c r="D4322" s="3" t="s">
        <v>471</v>
      </c>
      <c r="E4322" s="3" t="s">
        <v>472</v>
      </c>
      <c r="F4322" s="3" t="s">
        <v>19</v>
      </c>
      <c r="G4322" s="3" t="s">
        <v>32</v>
      </c>
      <c r="H4322" s="3" t="s">
        <v>1566</v>
      </c>
      <c r="I4322" s="11">
        <v>1600.94</v>
      </c>
      <c r="J4322" s="18">
        <v>3</v>
      </c>
      <c r="K4322" s="12">
        <v>757.41120000000001</v>
      </c>
    </row>
    <row r="4323" spans="1:11" x14ac:dyDescent="0.25">
      <c r="A4323" s="4">
        <v>44081</v>
      </c>
      <c r="B4323" s="19">
        <f t="shared" si="134"/>
        <v>2020</v>
      </c>
      <c r="C4323" s="19">
        <f t="shared" si="135"/>
        <v>9</v>
      </c>
      <c r="D4323" s="5" t="s">
        <v>1936</v>
      </c>
      <c r="E4323" s="5" t="s">
        <v>39</v>
      </c>
      <c r="F4323" s="5" t="s">
        <v>19</v>
      </c>
      <c r="G4323" s="5" t="s">
        <v>86</v>
      </c>
      <c r="H4323" s="5" t="s">
        <v>620</v>
      </c>
      <c r="I4323" s="13">
        <v>92.896000000000001</v>
      </c>
      <c r="J4323" s="19">
        <v>3</v>
      </c>
      <c r="K4323" s="14">
        <v>1.6524000000000001</v>
      </c>
    </row>
    <row r="4324" spans="1:11" x14ac:dyDescent="0.25">
      <c r="A4324" s="2">
        <v>44081</v>
      </c>
      <c r="B4324" s="18">
        <f t="shared" si="134"/>
        <v>2020</v>
      </c>
      <c r="C4324" s="18">
        <f t="shared" si="135"/>
        <v>9</v>
      </c>
      <c r="D4324" s="3" t="s">
        <v>84</v>
      </c>
      <c r="E4324" s="3" t="s">
        <v>198</v>
      </c>
      <c r="F4324" s="3" t="s">
        <v>19</v>
      </c>
      <c r="G4324" s="3" t="s">
        <v>32</v>
      </c>
      <c r="H4324" s="3" t="s">
        <v>388</v>
      </c>
      <c r="I4324" s="11">
        <v>70.856999999999999</v>
      </c>
      <c r="J4324" s="18">
        <v>3</v>
      </c>
      <c r="K4324" s="12">
        <v>-6.0236999999999998</v>
      </c>
    </row>
    <row r="4325" spans="1:11" x14ac:dyDescent="0.25">
      <c r="A4325" s="4">
        <v>44081</v>
      </c>
      <c r="B4325" s="19">
        <f t="shared" si="134"/>
        <v>2020</v>
      </c>
      <c r="C4325" s="19">
        <f t="shared" si="135"/>
        <v>9</v>
      </c>
      <c r="D4325" s="5" t="s">
        <v>81</v>
      </c>
      <c r="E4325" s="5" t="s">
        <v>56</v>
      </c>
      <c r="F4325" s="5" t="s">
        <v>14</v>
      </c>
      <c r="G4325" s="5" t="s">
        <v>24</v>
      </c>
      <c r="H4325" s="5" t="s">
        <v>1004</v>
      </c>
      <c r="I4325" s="13">
        <v>81.48</v>
      </c>
      <c r="J4325" s="19">
        <v>1</v>
      </c>
      <c r="K4325" s="14">
        <v>1.8872</v>
      </c>
    </row>
    <row r="4326" spans="1:11" x14ac:dyDescent="0.25">
      <c r="A4326" s="2">
        <v>44081</v>
      </c>
      <c r="B4326" s="18">
        <f t="shared" si="134"/>
        <v>2020</v>
      </c>
      <c r="C4326" s="18">
        <f t="shared" si="135"/>
        <v>9</v>
      </c>
      <c r="D4326" s="3" t="s">
        <v>1936</v>
      </c>
      <c r="E4326" s="3" t="s">
        <v>39</v>
      </c>
      <c r="F4326" s="3" t="s">
        <v>19</v>
      </c>
      <c r="G4326" s="3" t="s">
        <v>53</v>
      </c>
      <c r="H4326" s="3" t="s">
        <v>1752</v>
      </c>
      <c r="I4326" s="11">
        <v>93.552000000000007</v>
      </c>
      <c r="J4326" s="18">
        <v>3</v>
      </c>
      <c r="K4326" s="12">
        <v>5.4432</v>
      </c>
    </row>
    <row r="4327" spans="1:11" x14ac:dyDescent="0.25">
      <c r="A4327" s="4">
        <v>44081</v>
      </c>
      <c r="B4327" s="19">
        <f t="shared" si="134"/>
        <v>2020</v>
      </c>
      <c r="C4327" s="19">
        <f t="shared" si="135"/>
        <v>9</v>
      </c>
      <c r="D4327" s="5" t="s">
        <v>1936</v>
      </c>
      <c r="E4327" s="5" t="s">
        <v>39</v>
      </c>
      <c r="F4327" s="5" t="s">
        <v>19</v>
      </c>
      <c r="G4327" s="5" t="s">
        <v>127</v>
      </c>
      <c r="H4327" s="5" t="s">
        <v>861</v>
      </c>
      <c r="I4327" s="13">
        <v>126.24</v>
      </c>
      <c r="J4327" s="19">
        <v>5</v>
      </c>
      <c r="K4327" s="14">
        <v>9.8684999999999992</v>
      </c>
    </row>
    <row r="4328" spans="1:11" x14ac:dyDescent="0.25">
      <c r="A4328" s="2">
        <v>44081</v>
      </c>
      <c r="B4328" s="18">
        <f t="shared" si="134"/>
        <v>2020</v>
      </c>
      <c r="C4328" s="18">
        <f t="shared" si="135"/>
        <v>9</v>
      </c>
      <c r="D4328" s="3" t="s">
        <v>1196</v>
      </c>
      <c r="E4328" s="3" t="s">
        <v>883</v>
      </c>
      <c r="F4328" s="3" t="s">
        <v>19</v>
      </c>
      <c r="G4328" s="3" t="s">
        <v>53</v>
      </c>
      <c r="H4328" s="3" t="s">
        <v>2441</v>
      </c>
      <c r="I4328" s="11">
        <v>118.9</v>
      </c>
      <c r="J4328" s="18">
        <v>5</v>
      </c>
      <c r="K4328" s="12">
        <v>7.774</v>
      </c>
    </row>
    <row r="4329" spans="1:11" x14ac:dyDescent="0.25">
      <c r="A4329" s="4">
        <v>44081</v>
      </c>
      <c r="B4329" s="19">
        <f t="shared" si="134"/>
        <v>2020</v>
      </c>
      <c r="C4329" s="19">
        <f t="shared" si="135"/>
        <v>9</v>
      </c>
      <c r="D4329" s="5" t="s">
        <v>955</v>
      </c>
      <c r="E4329" s="5" t="s">
        <v>1156</v>
      </c>
      <c r="F4329" s="5" t="s">
        <v>11</v>
      </c>
      <c r="G4329" s="5" t="s">
        <v>51</v>
      </c>
      <c r="H4329" s="5" t="s">
        <v>838</v>
      </c>
      <c r="I4329" s="13">
        <v>129.16</v>
      </c>
      <c r="J4329" s="19">
        <v>2</v>
      </c>
      <c r="K4329" s="14">
        <v>10.5672</v>
      </c>
    </row>
    <row r="4330" spans="1:11" x14ac:dyDescent="0.25">
      <c r="A4330" s="2">
        <v>44081</v>
      </c>
      <c r="B4330" s="18">
        <f t="shared" si="134"/>
        <v>2020</v>
      </c>
      <c r="C4330" s="18">
        <f t="shared" si="135"/>
        <v>9</v>
      </c>
      <c r="D4330" s="3" t="s">
        <v>1106</v>
      </c>
      <c r="E4330" s="3" t="s">
        <v>465</v>
      </c>
      <c r="F4330" s="3" t="s">
        <v>19</v>
      </c>
      <c r="G4330" s="3" t="s">
        <v>20</v>
      </c>
      <c r="H4330" s="3" t="s">
        <v>505</v>
      </c>
      <c r="I4330" s="11">
        <v>130.68</v>
      </c>
      <c r="J4330" s="18">
        <v>3</v>
      </c>
      <c r="K4330" s="12">
        <v>2.355</v>
      </c>
    </row>
    <row r="4331" spans="1:11" x14ac:dyDescent="0.25">
      <c r="A4331" s="4">
        <v>44081</v>
      </c>
      <c r="B4331" s="19">
        <f t="shared" si="134"/>
        <v>2020</v>
      </c>
      <c r="C4331" s="19">
        <f t="shared" si="135"/>
        <v>9</v>
      </c>
      <c r="D4331" s="5" t="s">
        <v>1886</v>
      </c>
      <c r="E4331" s="5" t="s">
        <v>18</v>
      </c>
      <c r="F4331" s="5" t="s">
        <v>11</v>
      </c>
      <c r="G4331" s="5" t="s">
        <v>51</v>
      </c>
      <c r="H4331" s="5" t="s">
        <v>584</v>
      </c>
      <c r="I4331" s="13">
        <v>137.76</v>
      </c>
      <c r="J4331" s="19">
        <v>4</v>
      </c>
      <c r="K4331" s="14">
        <v>8.2992000000000008</v>
      </c>
    </row>
    <row r="4332" spans="1:11" x14ac:dyDescent="0.25">
      <c r="A4332" s="2">
        <v>44081</v>
      </c>
      <c r="B4332" s="18">
        <f t="shared" si="134"/>
        <v>2020</v>
      </c>
      <c r="C4332" s="18">
        <f t="shared" si="135"/>
        <v>9</v>
      </c>
      <c r="D4332" s="3" t="s">
        <v>1501</v>
      </c>
      <c r="E4332" s="3" t="s">
        <v>18</v>
      </c>
      <c r="F4332" s="3" t="s">
        <v>11</v>
      </c>
      <c r="G4332" s="3" t="s">
        <v>51</v>
      </c>
      <c r="H4332" s="3" t="s">
        <v>1884</v>
      </c>
      <c r="I4332" s="11">
        <v>142.94</v>
      </c>
      <c r="J4332" s="18">
        <v>3</v>
      </c>
      <c r="K4332" s="12">
        <v>2.3969999999999998</v>
      </c>
    </row>
    <row r="4333" spans="1:11" x14ac:dyDescent="0.25">
      <c r="A4333" s="4">
        <v>44081</v>
      </c>
      <c r="B4333" s="19">
        <f t="shared" si="134"/>
        <v>2020</v>
      </c>
      <c r="C4333" s="19">
        <f t="shared" si="135"/>
        <v>9</v>
      </c>
      <c r="D4333" s="5" t="s">
        <v>1134</v>
      </c>
      <c r="E4333" s="5" t="s">
        <v>70</v>
      </c>
      <c r="F4333" s="5" t="s">
        <v>19</v>
      </c>
      <c r="G4333" s="5" t="s">
        <v>40</v>
      </c>
      <c r="H4333" s="5" t="s">
        <v>2334</v>
      </c>
      <c r="I4333" s="13">
        <v>138.97999999999999</v>
      </c>
      <c r="J4333" s="19">
        <v>1</v>
      </c>
      <c r="K4333" s="14">
        <v>7.2744</v>
      </c>
    </row>
    <row r="4334" spans="1:11" x14ac:dyDescent="0.25">
      <c r="A4334" s="2">
        <v>44081</v>
      </c>
      <c r="B4334" s="18">
        <f t="shared" si="134"/>
        <v>2020</v>
      </c>
      <c r="C4334" s="18">
        <f t="shared" si="135"/>
        <v>9</v>
      </c>
      <c r="D4334" s="3" t="s">
        <v>1196</v>
      </c>
      <c r="E4334" s="3" t="s">
        <v>883</v>
      </c>
      <c r="F4334" s="3" t="s">
        <v>19</v>
      </c>
      <c r="G4334" s="3" t="s">
        <v>53</v>
      </c>
      <c r="H4334" s="3" t="s">
        <v>998</v>
      </c>
      <c r="I4334" s="11">
        <v>144.96</v>
      </c>
      <c r="J4334" s="18">
        <v>2</v>
      </c>
      <c r="K4334" s="12">
        <v>18.781199999999998</v>
      </c>
    </row>
    <row r="4335" spans="1:11" x14ac:dyDescent="0.25">
      <c r="A4335" s="4">
        <v>44081</v>
      </c>
      <c r="B4335" s="19">
        <f t="shared" si="134"/>
        <v>2020</v>
      </c>
      <c r="C4335" s="19">
        <f t="shared" si="135"/>
        <v>9</v>
      </c>
      <c r="D4335" s="5" t="s">
        <v>2414</v>
      </c>
      <c r="E4335" s="5" t="s">
        <v>164</v>
      </c>
      <c r="F4335" s="5" t="s">
        <v>19</v>
      </c>
      <c r="G4335" s="5" t="s">
        <v>53</v>
      </c>
      <c r="H4335" s="5" t="s">
        <v>172</v>
      </c>
      <c r="I4335" s="13">
        <v>157.00800000000001</v>
      </c>
      <c r="J4335" s="19">
        <v>9</v>
      </c>
      <c r="K4335" s="14">
        <v>26.465399999999999</v>
      </c>
    </row>
    <row r="4336" spans="1:11" x14ac:dyDescent="0.25">
      <c r="A4336" s="2">
        <v>44082</v>
      </c>
      <c r="B4336" s="18">
        <f t="shared" si="134"/>
        <v>2020</v>
      </c>
      <c r="C4336" s="18">
        <f t="shared" si="135"/>
        <v>9</v>
      </c>
      <c r="D4336" s="3" t="s">
        <v>1731</v>
      </c>
      <c r="E4336" s="3" t="s">
        <v>44</v>
      </c>
      <c r="F4336" s="3" t="s">
        <v>19</v>
      </c>
      <c r="G4336" s="3" t="s">
        <v>20</v>
      </c>
      <c r="H4336" s="3" t="s">
        <v>2442</v>
      </c>
      <c r="I4336" s="11">
        <v>105.68</v>
      </c>
      <c r="J4336" s="18">
        <v>5</v>
      </c>
      <c r="K4336" s="12">
        <v>5.3970000000000002</v>
      </c>
    </row>
    <row r="4337" spans="1:11" x14ac:dyDescent="0.25">
      <c r="A4337" s="4">
        <v>44082</v>
      </c>
      <c r="B4337" s="19">
        <f t="shared" si="134"/>
        <v>2020</v>
      </c>
      <c r="C4337" s="19">
        <f t="shared" si="135"/>
        <v>9</v>
      </c>
      <c r="D4337" s="5" t="s">
        <v>2150</v>
      </c>
      <c r="E4337" s="5" t="s">
        <v>67</v>
      </c>
      <c r="F4337" s="5" t="s">
        <v>14</v>
      </c>
      <c r="G4337" s="5" t="s">
        <v>24</v>
      </c>
      <c r="H4337" s="5" t="s">
        <v>1947</v>
      </c>
      <c r="I4337" s="13">
        <v>133.83199999999999</v>
      </c>
      <c r="J4337" s="19">
        <v>4</v>
      </c>
      <c r="K4337" s="14">
        <v>33.589199999999998</v>
      </c>
    </row>
    <row r="4338" spans="1:11" x14ac:dyDescent="0.25">
      <c r="A4338" s="2">
        <v>44082</v>
      </c>
      <c r="B4338" s="18">
        <f t="shared" si="134"/>
        <v>2020</v>
      </c>
      <c r="C4338" s="18">
        <f t="shared" si="135"/>
        <v>9</v>
      </c>
      <c r="D4338" s="3" t="s">
        <v>1731</v>
      </c>
      <c r="E4338" s="3" t="s">
        <v>44</v>
      </c>
      <c r="F4338" s="3" t="s">
        <v>14</v>
      </c>
      <c r="G4338" s="3" t="s">
        <v>15</v>
      </c>
      <c r="H4338" s="3" t="s">
        <v>2046</v>
      </c>
      <c r="I4338" s="11">
        <v>168.376</v>
      </c>
      <c r="J4338" s="18">
        <v>3</v>
      </c>
      <c r="K4338" s="12">
        <v>13.857900000000001</v>
      </c>
    </row>
    <row r="4339" spans="1:11" x14ac:dyDescent="0.25">
      <c r="A4339" s="4">
        <v>44082</v>
      </c>
      <c r="B4339" s="19">
        <f t="shared" si="134"/>
        <v>2020</v>
      </c>
      <c r="C4339" s="19">
        <f t="shared" si="135"/>
        <v>9</v>
      </c>
      <c r="D4339" s="5" t="s">
        <v>1180</v>
      </c>
      <c r="E4339" s="5" t="s">
        <v>23</v>
      </c>
      <c r="F4339" s="5" t="s">
        <v>11</v>
      </c>
      <c r="G4339" s="5" t="s">
        <v>112</v>
      </c>
      <c r="H4339" s="5" t="s">
        <v>1143</v>
      </c>
      <c r="I4339" s="13">
        <v>224.43</v>
      </c>
      <c r="J4339" s="19">
        <v>5</v>
      </c>
      <c r="K4339" s="14">
        <v>-39.637</v>
      </c>
    </row>
    <row r="4340" spans="1:11" x14ac:dyDescent="0.25">
      <c r="A4340" s="2">
        <v>44082</v>
      </c>
      <c r="B4340" s="18">
        <f t="shared" si="134"/>
        <v>2020</v>
      </c>
      <c r="C4340" s="18">
        <f t="shared" si="135"/>
        <v>9</v>
      </c>
      <c r="D4340" s="3" t="s">
        <v>1548</v>
      </c>
      <c r="E4340" s="3" t="s">
        <v>39</v>
      </c>
      <c r="F4340" s="3" t="s">
        <v>14</v>
      </c>
      <c r="G4340" s="3" t="s">
        <v>15</v>
      </c>
      <c r="H4340" s="3" t="s">
        <v>2291</v>
      </c>
      <c r="I4340" s="11">
        <v>299.52800000000002</v>
      </c>
      <c r="J4340" s="18">
        <v>2</v>
      </c>
      <c r="K4340" s="12">
        <v>-47.396799999999999</v>
      </c>
    </row>
    <row r="4341" spans="1:11" x14ac:dyDescent="0.25">
      <c r="A4341" s="4">
        <v>44082</v>
      </c>
      <c r="B4341" s="19">
        <f t="shared" si="134"/>
        <v>2020</v>
      </c>
      <c r="C4341" s="19">
        <f t="shared" si="135"/>
        <v>9</v>
      </c>
      <c r="D4341" s="5" t="s">
        <v>1180</v>
      </c>
      <c r="E4341" s="5" t="s">
        <v>23</v>
      </c>
      <c r="F4341" s="5" t="s">
        <v>14</v>
      </c>
      <c r="G4341" s="5" t="s">
        <v>36</v>
      </c>
      <c r="H4341" s="5" t="s">
        <v>1547</v>
      </c>
      <c r="I4341" s="13">
        <v>331.98399999999998</v>
      </c>
      <c r="J4341" s="19">
        <v>2</v>
      </c>
      <c r="K4341" s="14">
        <v>107.99460000000001</v>
      </c>
    </row>
    <row r="4342" spans="1:11" x14ac:dyDescent="0.25">
      <c r="A4342" s="2">
        <v>44082</v>
      </c>
      <c r="B4342" s="18">
        <f t="shared" si="134"/>
        <v>2020</v>
      </c>
      <c r="C4342" s="18">
        <f t="shared" si="135"/>
        <v>9</v>
      </c>
      <c r="D4342" s="3" t="s">
        <v>2273</v>
      </c>
      <c r="E4342" s="3" t="s">
        <v>164</v>
      </c>
      <c r="F4342" s="3" t="s">
        <v>11</v>
      </c>
      <c r="G4342" s="3" t="s">
        <v>30</v>
      </c>
      <c r="H4342" s="3" t="s">
        <v>2443</v>
      </c>
      <c r="I4342" s="11">
        <v>780.625</v>
      </c>
      <c r="J4342" s="18">
        <v>7</v>
      </c>
      <c r="K4342" s="12">
        <v>-566.5625</v>
      </c>
    </row>
    <row r="4343" spans="1:11" x14ac:dyDescent="0.25">
      <c r="A4343" s="4">
        <v>44082</v>
      </c>
      <c r="B4343" s="19">
        <f t="shared" si="134"/>
        <v>2020</v>
      </c>
      <c r="C4343" s="19">
        <f t="shared" si="135"/>
        <v>9</v>
      </c>
      <c r="D4343" s="5" t="s">
        <v>1180</v>
      </c>
      <c r="E4343" s="5" t="s">
        <v>23</v>
      </c>
      <c r="F4343" s="5" t="s">
        <v>11</v>
      </c>
      <c r="G4343" s="5" t="s">
        <v>51</v>
      </c>
      <c r="H4343" s="5" t="s">
        <v>2209</v>
      </c>
      <c r="I4343" s="13">
        <v>118.184</v>
      </c>
      <c r="J4343" s="19">
        <v>2</v>
      </c>
      <c r="K4343" s="14">
        <v>-11.651199999999999</v>
      </c>
    </row>
    <row r="4344" spans="1:11" x14ac:dyDescent="0.25">
      <c r="A4344" s="2">
        <v>44082</v>
      </c>
      <c r="B4344" s="18">
        <f t="shared" si="134"/>
        <v>2020</v>
      </c>
      <c r="C4344" s="18">
        <f t="shared" si="135"/>
        <v>9</v>
      </c>
      <c r="D4344" s="3" t="s">
        <v>2147</v>
      </c>
      <c r="E4344" s="3" t="s">
        <v>67</v>
      </c>
      <c r="F4344" s="3" t="s">
        <v>14</v>
      </c>
      <c r="G4344" s="3" t="s">
        <v>24</v>
      </c>
      <c r="H4344" s="3" t="s">
        <v>2444</v>
      </c>
      <c r="I4344" s="11">
        <v>105.096</v>
      </c>
      <c r="J4344" s="18">
        <v>1</v>
      </c>
      <c r="K4344" s="12">
        <v>1.7055</v>
      </c>
    </row>
    <row r="4345" spans="1:11" x14ac:dyDescent="0.25">
      <c r="A4345" s="4">
        <v>44082</v>
      </c>
      <c r="B4345" s="19">
        <f t="shared" si="134"/>
        <v>2020</v>
      </c>
      <c r="C4345" s="19">
        <f t="shared" si="135"/>
        <v>9</v>
      </c>
      <c r="D4345" s="5" t="s">
        <v>1180</v>
      </c>
      <c r="E4345" s="5" t="s">
        <v>23</v>
      </c>
      <c r="F4345" s="5" t="s">
        <v>19</v>
      </c>
      <c r="G4345" s="5" t="s">
        <v>53</v>
      </c>
      <c r="H4345" s="5" t="s">
        <v>2445</v>
      </c>
      <c r="I4345" s="13">
        <v>115.736</v>
      </c>
      <c r="J4345" s="19">
        <v>4</v>
      </c>
      <c r="K4345" s="14">
        <v>7.2576000000000001</v>
      </c>
    </row>
    <row r="4346" spans="1:11" x14ac:dyDescent="0.25">
      <c r="A4346" s="2">
        <v>44082</v>
      </c>
      <c r="B4346" s="18">
        <f t="shared" si="134"/>
        <v>2020</v>
      </c>
      <c r="C4346" s="18">
        <f t="shared" si="135"/>
        <v>9</v>
      </c>
      <c r="D4346" s="3" t="s">
        <v>1180</v>
      </c>
      <c r="E4346" s="3" t="s">
        <v>23</v>
      </c>
      <c r="F4346" s="3" t="s">
        <v>19</v>
      </c>
      <c r="G4346" s="3" t="s">
        <v>116</v>
      </c>
      <c r="H4346" s="3" t="s">
        <v>2129</v>
      </c>
      <c r="I4346" s="11">
        <v>120.92</v>
      </c>
      <c r="J4346" s="18">
        <v>5</v>
      </c>
      <c r="K4346" s="12">
        <v>15.497999999999999</v>
      </c>
    </row>
    <row r="4347" spans="1:11" x14ac:dyDescent="0.25">
      <c r="A4347" s="4">
        <v>44082</v>
      </c>
      <c r="B4347" s="19">
        <f t="shared" si="134"/>
        <v>2020</v>
      </c>
      <c r="C4347" s="19">
        <f t="shared" si="135"/>
        <v>9</v>
      </c>
      <c r="D4347" s="5" t="s">
        <v>1180</v>
      </c>
      <c r="E4347" s="5" t="s">
        <v>23</v>
      </c>
      <c r="F4347" s="5" t="s">
        <v>19</v>
      </c>
      <c r="G4347" s="5" t="s">
        <v>32</v>
      </c>
      <c r="H4347" s="5" t="s">
        <v>1310</v>
      </c>
      <c r="I4347" s="13">
        <v>125.616</v>
      </c>
      <c r="J4347" s="19">
        <v>7</v>
      </c>
      <c r="K4347" s="14">
        <v>-68.185599999999994</v>
      </c>
    </row>
    <row r="4348" spans="1:11" x14ac:dyDescent="0.25">
      <c r="A4348" s="2">
        <v>44082</v>
      </c>
      <c r="B4348" s="18">
        <f t="shared" si="134"/>
        <v>2020</v>
      </c>
      <c r="C4348" s="18">
        <f t="shared" si="135"/>
        <v>9</v>
      </c>
      <c r="D4348" s="3" t="s">
        <v>1808</v>
      </c>
      <c r="E4348" s="3" t="s">
        <v>94</v>
      </c>
      <c r="F4348" s="3" t="s">
        <v>19</v>
      </c>
      <c r="G4348" s="3" t="s">
        <v>20</v>
      </c>
      <c r="H4348" s="3" t="s">
        <v>2210</v>
      </c>
      <c r="I4348" s="11">
        <v>165.12</v>
      </c>
      <c r="J4348" s="18">
        <v>4</v>
      </c>
      <c r="K4348" s="12">
        <v>16.9312</v>
      </c>
    </row>
    <row r="4349" spans="1:11" x14ac:dyDescent="0.25">
      <c r="A4349" s="4">
        <v>44082</v>
      </c>
      <c r="B4349" s="19">
        <f t="shared" si="134"/>
        <v>2020</v>
      </c>
      <c r="C4349" s="19">
        <f t="shared" si="135"/>
        <v>9</v>
      </c>
      <c r="D4349" s="5" t="s">
        <v>2446</v>
      </c>
      <c r="E4349" s="5" t="s">
        <v>23</v>
      </c>
      <c r="F4349" s="5" t="s">
        <v>14</v>
      </c>
      <c r="G4349" s="5" t="s">
        <v>24</v>
      </c>
      <c r="H4349" s="5" t="s">
        <v>1296</v>
      </c>
      <c r="I4349" s="13">
        <v>153.19999999999999</v>
      </c>
      <c r="J4349" s="19">
        <v>6</v>
      </c>
      <c r="K4349" s="14">
        <v>20.234999999999999</v>
      </c>
    </row>
    <row r="4350" spans="1:11" x14ac:dyDescent="0.25">
      <c r="A4350" s="2">
        <v>44083</v>
      </c>
      <c r="B4350" s="18">
        <f t="shared" si="134"/>
        <v>2020</v>
      </c>
      <c r="C4350" s="18">
        <f t="shared" si="135"/>
        <v>9</v>
      </c>
      <c r="D4350" s="3" t="s">
        <v>1872</v>
      </c>
      <c r="E4350" s="3" t="s">
        <v>1148</v>
      </c>
      <c r="F4350" s="3" t="s">
        <v>19</v>
      </c>
      <c r="G4350" s="3" t="s">
        <v>20</v>
      </c>
      <c r="H4350" s="3" t="s">
        <v>182</v>
      </c>
      <c r="I4350" s="11">
        <v>101.45</v>
      </c>
      <c r="J4350" s="18">
        <v>5</v>
      </c>
      <c r="K4350" s="12">
        <v>14.677</v>
      </c>
    </row>
    <row r="4351" spans="1:11" x14ac:dyDescent="0.25">
      <c r="A4351" s="4">
        <v>44083</v>
      </c>
      <c r="B4351" s="19">
        <f t="shared" si="134"/>
        <v>2020</v>
      </c>
      <c r="C4351" s="19">
        <f t="shared" si="135"/>
        <v>9</v>
      </c>
      <c r="D4351" s="5" t="s">
        <v>1573</v>
      </c>
      <c r="E4351" s="5" t="s">
        <v>18</v>
      </c>
      <c r="F4351" s="5" t="s">
        <v>19</v>
      </c>
      <c r="G4351" s="5" t="s">
        <v>20</v>
      </c>
      <c r="H4351" s="5" t="s">
        <v>1714</v>
      </c>
      <c r="I4351" s="13">
        <v>133.87</v>
      </c>
      <c r="J4351" s="19">
        <v>3</v>
      </c>
      <c r="K4351" s="14">
        <v>23.968800000000002</v>
      </c>
    </row>
    <row r="4352" spans="1:11" x14ac:dyDescent="0.25">
      <c r="A4352" s="2">
        <v>44083</v>
      </c>
      <c r="B4352" s="18">
        <f t="shared" si="134"/>
        <v>2020</v>
      </c>
      <c r="C4352" s="18">
        <f t="shared" si="135"/>
        <v>9</v>
      </c>
      <c r="D4352" s="3" t="s">
        <v>1985</v>
      </c>
      <c r="E4352" s="3" t="s">
        <v>39</v>
      </c>
      <c r="F4352" s="3" t="s">
        <v>14</v>
      </c>
      <c r="G4352" s="3" t="s">
        <v>24</v>
      </c>
      <c r="H4352" s="3" t="s">
        <v>368</v>
      </c>
      <c r="I4352" s="11">
        <v>136.88</v>
      </c>
      <c r="J4352" s="18">
        <v>3</v>
      </c>
      <c r="K4352" s="12">
        <v>28.763999999999999</v>
      </c>
    </row>
    <row r="4353" spans="1:11" x14ac:dyDescent="0.25">
      <c r="A4353" s="4">
        <v>44083</v>
      </c>
      <c r="B4353" s="19">
        <f t="shared" si="134"/>
        <v>2020</v>
      </c>
      <c r="C4353" s="19">
        <f t="shared" si="135"/>
        <v>9</v>
      </c>
      <c r="D4353" s="5" t="s">
        <v>1985</v>
      </c>
      <c r="E4353" s="5" t="s">
        <v>39</v>
      </c>
      <c r="F4353" s="5" t="s">
        <v>11</v>
      </c>
      <c r="G4353" s="5" t="s">
        <v>112</v>
      </c>
      <c r="H4353" s="5" t="s">
        <v>922</v>
      </c>
      <c r="I4353" s="13">
        <v>167.37200000000001</v>
      </c>
      <c r="J4353" s="19">
        <v>2</v>
      </c>
      <c r="K4353" s="14">
        <v>-48.470399999999998</v>
      </c>
    </row>
    <row r="4354" spans="1:11" x14ac:dyDescent="0.25">
      <c r="A4354" s="2">
        <v>44083</v>
      </c>
      <c r="B4354" s="18">
        <f t="shared" ref="B4354:B4417" si="136">YEAR(A4354)</f>
        <v>2020</v>
      </c>
      <c r="C4354" s="18">
        <f t="shared" ref="C4354:C4417" si="137">MONTH(A4354)</f>
        <v>9</v>
      </c>
      <c r="D4354" s="3" t="s">
        <v>1893</v>
      </c>
      <c r="E4354" s="3" t="s">
        <v>18</v>
      </c>
      <c r="F4354" s="3" t="s">
        <v>14</v>
      </c>
      <c r="G4354" s="3" t="s">
        <v>24</v>
      </c>
      <c r="H4354" s="3" t="s">
        <v>2140</v>
      </c>
      <c r="I4354" s="11">
        <v>180.96</v>
      </c>
      <c r="J4354" s="18">
        <v>4</v>
      </c>
      <c r="K4354" s="12">
        <v>51.187199999999997</v>
      </c>
    </row>
    <row r="4355" spans="1:11" x14ac:dyDescent="0.25">
      <c r="A4355" s="4">
        <v>44083</v>
      </c>
      <c r="B4355" s="19">
        <f t="shared" si="136"/>
        <v>2020</v>
      </c>
      <c r="C4355" s="19">
        <f t="shared" si="137"/>
        <v>9</v>
      </c>
      <c r="D4355" s="5" t="s">
        <v>2087</v>
      </c>
      <c r="E4355" s="5" t="s">
        <v>219</v>
      </c>
      <c r="F4355" s="5" t="s">
        <v>19</v>
      </c>
      <c r="G4355" s="5" t="s">
        <v>53</v>
      </c>
      <c r="H4355" s="5" t="s">
        <v>2192</v>
      </c>
      <c r="I4355" s="13">
        <v>213.536</v>
      </c>
      <c r="J4355" s="19">
        <v>4</v>
      </c>
      <c r="K4355" s="14">
        <v>62.137599999999999</v>
      </c>
    </row>
    <row r="4356" spans="1:11" x14ac:dyDescent="0.25">
      <c r="A4356" s="2">
        <v>44083</v>
      </c>
      <c r="B4356" s="18">
        <f t="shared" si="136"/>
        <v>2020</v>
      </c>
      <c r="C4356" s="18">
        <f t="shared" si="137"/>
        <v>9</v>
      </c>
      <c r="D4356" s="3" t="s">
        <v>194</v>
      </c>
      <c r="E4356" s="3" t="s">
        <v>18</v>
      </c>
      <c r="F4356" s="3" t="s">
        <v>11</v>
      </c>
      <c r="G4356" s="3" t="s">
        <v>112</v>
      </c>
      <c r="H4356" s="3" t="s">
        <v>936</v>
      </c>
      <c r="I4356" s="11">
        <v>286.92</v>
      </c>
      <c r="J4356" s="18">
        <v>5</v>
      </c>
      <c r="K4356" s="12">
        <v>-15.244999999999999</v>
      </c>
    </row>
    <row r="4357" spans="1:11" x14ac:dyDescent="0.25">
      <c r="A4357" s="4">
        <v>44083</v>
      </c>
      <c r="B4357" s="19">
        <f t="shared" si="136"/>
        <v>2020</v>
      </c>
      <c r="C4357" s="19">
        <f t="shared" si="137"/>
        <v>9</v>
      </c>
      <c r="D4357" s="5" t="s">
        <v>2087</v>
      </c>
      <c r="E4357" s="5" t="s">
        <v>219</v>
      </c>
      <c r="F4357" s="5" t="s">
        <v>19</v>
      </c>
      <c r="G4357" s="5" t="s">
        <v>20</v>
      </c>
      <c r="H4357" s="5" t="s">
        <v>2415</v>
      </c>
      <c r="I4357" s="13">
        <v>292.48</v>
      </c>
      <c r="J4357" s="19">
        <v>2</v>
      </c>
      <c r="K4357" s="14">
        <v>-3.2309999999999999</v>
      </c>
    </row>
    <row r="4358" spans="1:11" x14ac:dyDescent="0.25">
      <c r="A4358" s="2">
        <v>44083</v>
      </c>
      <c r="B4358" s="18">
        <f t="shared" si="136"/>
        <v>2020</v>
      </c>
      <c r="C4358" s="18">
        <f t="shared" si="137"/>
        <v>9</v>
      </c>
      <c r="D4358" s="3" t="s">
        <v>1985</v>
      </c>
      <c r="E4358" s="3" t="s">
        <v>39</v>
      </c>
      <c r="F4358" s="3" t="s">
        <v>14</v>
      </c>
      <c r="G4358" s="3" t="s">
        <v>24</v>
      </c>
      <c r="H4358" s="3" t="s">
        <v>717</v>
      </c>
      <c r="I4358" s="11">
        <v>292.69600000000003</v>
      </c>
      <c r="J4358" s="18">
        <v>3</v>
      </c>
      <c r="K4358" s="12">
        <v>64.674000000000007</v>
      </c>
    </row>
    <row r="4359" spans="1:11" x14ac:dyDescent="0.25">
      <c r="A4359" s="4">
        <v>44083</v>
      </c>
      <c r="B4359" s="19">
        <f t="shared" si="136"/>
        <v>2020</v>
      </c>
      <c r="C4359" s="19">
        <f t="shared" si="137"/>
        <v>9</v>
      </c>
      <c r="D4359" s="5" t="s">
        <v>1872</v>
      </c>
      <c r="E4359" s="5" t="s">
        <v>1148</v>
      </c>
      <c r="F4359" s="5" t="s">
        <v>19</v>
      </c>
      <c r="G4359" s="5" t="s">
        <v>20</v>
      </c>
      <c r="H4359" s="5" t="s">
        <v>273</v>
      </c>
      <c r="I4359" s="13">
        <v>667.81</v>
      </c>
      <c r="J4359" s="19">
        <v>7</v>
      </c>
      <c r="K4359" s="14">
        <v>12.5762</v>
      </c>
    </row>
    <row r="4360" spans="1:11" x14ac:dyDescent="0.25">
      <c r="A4360" s="2">
        <v>44083</v>
      </c>
      <c r="B4360" s="18">
        <f t="shared" si="136"/>
        <v>2020</v>
      </c>
      <c r="C4360" s="18">
        <f t="shared" si="137"/>
        <v>9</v>
      </c>
      <c r="D4360" s="3" t="s">
        <v>1985</v>
      </c>
      <c r="E4360" s="3" t="s">
        <v>39</v>
      </c>
      <c r="F4360" s="3" t="s">
        <v>14</v>
      </c>
      <c r="G4360" s="3" t="s">
        <v>15</v>
      </c>
      <c r="H4360" s="3" t="s">
        <v>2050</v>
      </c>
      <c r="I4360" s="11">
        <v>1981.9580000000001</v>
      </c>
      <c r="J4360" s="18">
        <v>7</v>
      </c>
      <c r="K4360" s="12">
        <v>-386.39159999999998</v>
      </c>
    </row>
    <row r="4361" spans="1:11" x14ac:dyDescent="0.25">
      <c r="A4361" s="4">
        <v>44083</v>
      </c>
      <c r="B4361" s="19">
        <f t="shared" si="136"/>
        <v>2020</v>
      </c>
      <c r="C4361" s="19">
        <f t="shared" si="137"/>
        <v>9</v>
      </c>
      <c r="D4361" s="5" t="s">
        <v>1985</v>
      </c>
      <c r="E4361" s="5" t="s">
        <v>39</v>
      </c>
      <c r="F4361" s="5" t="s">
        <v>19</v>
      </c>
      <c r="G4361" s="5" t="s">
        <v>32</v>
      </c>
      <c r="H4361" s="5" t="s">
        <v>643</v>
      </c>
      <c r="I4361" s="13">
        <v>94.036000000000001</v>
      </c>
      <c r="J4361" s="19">
        <v>2</v>
      </c>
      <c r="K4361" s="14">
        <v>-2.3275999999999999</v>
      </c>
    </row>
    <row r="4362" spans="1:11" x14ac:dyDescent="0.25">
      <c r="A4362" s="2">
        <v>44083</v>
      </c>
      <c r="B4362" s="18">
        <f t="shared" si="136"/>
        <v>2020</v>
      </c>
      <c r="C4362" s="18">
        <f t="shared" si="137"/>
        <v>9</v>
      </c>
      <c r="D4362" s="3" t="s">
        <v>2289</v>
      </c>
      <c r="E4362" s="3" t="s">
        <v>67</v>
      </c>
      <c r="F4362" s="3" t="s">
        <v>19</v>
      </c>
      <c r="G4362" s="3" t="s">
        <v>32</v>
      </c>
      <c r="H4362" s="3" t="s">
        <v>1724</v>
      </c>
      <c r="I4362" s="11">
        <v>102.258</v>
      </c>
      <c r="J4362" s="18">
        <v>2</v>
      </c>
      <c r="K4362" s="12">
        <v>-5.2149999999999999</v>
      </c>
    </row>
    <row r="4363" spans="1:11" x14ac:dyDescent="0.25">
      <c r="A4363" s="4">
        <v>44083</v>
      </c>
      <c r="B4363" s="19">
        <f t="shared" si="136"/>
        <v>2020</v>
      </c>
      <c r="C4363" s="19">
        <f t="shared" si="137"/>
        <v>9</v>
      </c>
      <c r="D4363" s="5" t="s">
        <v>1833</v>
      </c>
      <c r="E4363" s="5" t="s">
        <v>198</v>
      </c>
      <c r="F4363" s="5" t="s">
        <v>19</v>
      </c>
      <c r="G4363" s="5" t="s">
        <v>53</v>
      </c>
      <c r="H4363" s="5" t="s">
        <v>2205</v>
      </c>
      <c r="I4363" s="13">
        <v>73.367999999999995</v>
      </c>
      <c r="J4363" s="19">
        <v>2</v>
      </c>
      <c r="K4363" s="14">
        <v>2.3879999999999999</v>
      </c>
    </row>
    <row r="4364" spans="1:11" x14ac:dyDescent="0.25">
      <c r="A4364" s="2">
        <v>44083</v>
      </c>
      <c r="B4364" s="18">
        <f t="shared" si="136"/>
        <v>2020</v>
      </c>
      <c r="C4364" s="18">
        <f t="shared" si="137"/>
        <v>9</v>
      </c>
      <c r="D4364" s="3" t="s">
        <v>73</v>
      </c>
      <c r="E4364" s="3" t="s">
        <v>365</v>
      </c>
      <c r="F4364" s="3" t="s">
        <v>19</v>
      </c>
      <c r="G4364" s="3" t="s">
        <v>86</v>
      </c>
      <c r="H4364" s="3" t="s">
        <v>2447</v>
      </c>
      <c r="I4364" s="11">
        <v>89.48</v>
      </c>
      <c r="J4364" s="18">
        <v>2</v>
      </c>
      <c r="K4364" s="12">
        <v>8.2156000000000002</v>
      </c>
    </row>
    <row r="4365" spans="1:11" x14ac:dyDescent="0.25">
      <c r="A4365" s="4">
        <v>44083</v>
      </c>
      <c r="B4365" s="19">
        <f t="shared" si="136"/>
        <v>2020</v>
      </c>
      <c r="C4365" s="19">
        <f t="shared" si="137"/>
        <v>9</v>
      </c>
      <c r="D4365" s="5" t="s">
        <v>1985</v>
      </c>
      <c r="E4365" s="5" t="s">
        <v>39</v>
      </c>
      <c r="F4365" s="5" t="s">
        <v>11</v>
      </c>
      <c r="G4365" s="5" t="s">
        <v>51</v>
      </c>
      <c r="H4365" s="5" t="s">
        <v>2448</v>
      </c>
      <c r="I4365" s="13">
        <v>88.024000000000001</v>
      </c>
      <c r="J4365" s="19">
        <v>2</v>
      </c>
      <c r="K4365" s="14">
        <v>1.7023999999999999</v>
      </c>
    </row>
    <row r="4366" spans="1:11" x14ac:dyDescent="0.25">
      <c r="A4366" s="2">
        <v>44083</v>
      </c>
      <c r="B4366" s="18">
        <f t="shared" si="136"/>
        <v>2020</v>
      </c>
      <c r="C4366" s="18">
        <f t="shared" si="137"/>
        <v>9</v>
      </c>
      <c r="D4366" s="3" t="s">
        <v>1985</v>
      </c>
      <c r="E4366" s="3" t="s">
        <v>39</v>
      </c>
      <c r="F4366" s="3" t="s">
        <v>19</v>
      </c>
      <c r="G4366" s="3" t="s">
        <v>32</v>
      </c>
      <c r="H4366" s="3" t="s">
        <v>605</v>
      </c>
      <c r="I4366" s="11">
        <v>124.503</v>
      </c>
      <c r="J4366" s="18">
        <v>1</v>
      </c>
      <c r="K4366" s="12">
        <v>-3.6023999999999998</v>
      </c>
    </row>
    <row r="4367" spans="1:11" x14ac:dyDescent="0.25">
      <c r="A4367" s="4">
        <v>44083</v>
      </c>
      <c r="B4367" s="19">
        <f t="shared" si="136"/>
        <v>2020</v>
      </c>
      <c r="C4367" s="19">
        <f t="shared" si="137"/>
        <v>9</v>
      </c>
      <c r="D4367" s="5" t="s">
        <v>194</v>
      </c>
      <c r="E4367" s="5" t="s">
        <v>18</v>
      </c>
      <c r="F4367" s="5" t="s">
        <v>19</v>
      </c>
      <c r="G4367" s="5" t="s">
        <v>40</v>
      </c>
      <c r="H4367" s="5" t="s">
        <v>1080</v>
      </c>
      <c r="I4367" s="13">
        <v>132.56</v>
      </c>
      <c r="J4367" s="19">
        <v>2</v>
      </c>
      <c r="K4367" s="14">
        <v>1.9024000000000001</v>
      </c>
    </row>
    <row r="4368" spans="1:11" x14ac:dyDescent="0.25">
      <c r="A4368" s="2">
        <v>44083</v>
      </c>
      <c r="B4368" s="18">
        <f t="shared" si="136"/>
        <v>2020</v>
      </c>
      <c r="C4368" s="18">
        <f t="shared" si="137"/>
        <v>9</v>
      </c>
      <c r="D4368" s="3" t="s">
        <v>1985</v>
      </c>
      <c r="E4368" s="3" t="s">
        <v>39</v>
      </c>
      <c r="F4368" s="3" t="s">
        <v>19</v>
      </c>
      <c r="G4368" s="3" t="s">
        <v>40</v>
      </c>
      <c r="H4368" s="3" t="s">
        <v>2116</v>
      </c>
      <c r="I4368" s="11">
        <v>105.672</v>
      </c>
      <c r="J4368" s="18">
        <v>1</v>
      </c>
      <c r="K4368" s="12">
        <v>1.5768</v>
      </c>
    </row>
    <row r="4369" spans="1:11" x14ac:dyDescent="0.25">
      <c r="A4369" s="4">
        <v>44083</v>
      </c>
      <c r="B4369" s="19">
        <f t="shared" si="136"/>
        <v>2020</v>
      </c>
      <c r="C4369" s="19">
        <f t="shared" si="137"/>
        <v>9</v>
      </c>
      <c r="D4369" s="5" t="s">
        <v>2087</v>
      </c>
      <c r="E4369" s="5" t="s">
        <v>219</v>
      </c>
      <c r="F4369" s="5" t="s">
        <v>19</v>
      </c>
      <c r="G4369" s="5" t="s">
        <v>265</v>
      </c>
      <c r="H4369" s="5" t="s">
        <v>538</v>
      </c>
      <c r="I4369" s="13">
        <v>101.83199999999999</v>
      </c>
      <c r="J4369" s="19">
        <v>3</v>
      </c>
      <c r="K4369" s="14">
        <v>-1.9872000000000001</v>
      </c>
    </row>
    <row r="4370" spans="1:11" x14ac:dyDescent="0.25">
      <c r="A4370" s="2">
        <v>44083</v>
      </c>
      <c r="B4370" s="18">
        <f t="shared" si="136"/>
        <v>2020</v>
      </c>
      <c r="C4370" s="18">
        <f t="shared" si="137"/>
        <v>9</v>
      </c>
      <c r="D4370" s="3" t="s">
        <v>2289</v>
      </c>
      <c r="E4370" s="3" t="s">
        <v>67</v>
      </c>
      <c r="F4370" s="3" t="s">
        <v>19</v>
      </c>
      <c r="G4370" s="3" t="s">
        <v>32</v>
      </c>
      <c r="H4370" s="3" t="s">
        <v>2161</v>
      </c>
      <c r="I4370" s="11">
        <v>131.86000000000001</v>
      </c>
      <c r="J4370" s="18">
        <v>3</v>
      </c>
      <c r="K4370" s="12">
        <v>-3.5640000000000001</v>
      </c>
    </row>
    <row r="4371" spans="1:11" x14ac:dyDescent="0.25">
      <c r="A4371" s="4">
        <v>44083</v>
      </c>
      <c r="B4371" s="19">
        <f t="shared" si="136"/>
        <v>2020</v>
      </c>
      <c r="C4371" s="19">
        <f t="shared" si="137"/>
        <v>9</v>
      </c>
      <c r="D4371" s="5" t="s">
        <v>574</v>
      </c>
      <c r="E4371" s="5" t="s">
        <v>67</v>
      </c>
      <c r="F4371" s="5" t="s">
        <v>19</v>
      </c>
      <c r="G4371" s="5" t="s">
        <v>40</v>
      </c>
      <c r="H4371" s="5" t="s">
        <v>2301</v>
      </c>
      <c r="I4371" s="13">
        <v>104.92</v>
      </c>
      <c r="J4371" s="19">
        <v>5</v>
      </c>
      <c r="K4371" s="14">
        <v>3.8879999999999999</v>
      </c>
    </row>
    <row r="4372" spans="1:11" x14ac:dyDescent="0.25">
      <c r="A4372" s="2">
        <v>44083</v>
      </c>
      <c r="B4372" s="18">
        <f t="shared" si="136"/>
        <v>2020</v>
      </c>
      <c r="C4372" s="18">
        <f t="shared" si="137"/>
        <v>9</v>
      </c>
      <c r="D4372" s="3" t="s">
        <v>493</v>
      </c>
      <c r="E4372" s="3" t="s">
        <v>465</v>
      </c>
      <c r="F4372" s="3" t="s">
        <v>19</v>
      </c>
      <c r="G4372" s="3" t="s">
        <v>121</v>
      </c>
      <c r="H4372" s="3" t="s">
        <v>568</v>
      </c>
      <c r="I4372" s="11">
        <v>135.17599999999999</v>
      </c>
      <c r="J4372" s="18">
        <v>1</v>
      </c>
      <c r="K4372" s="12">
        <v>0.83819999999999995</v>
      </c>
    </row>
    <row r="4373" spans="1:11" x14ac:dyDescent="0.25">
      <c r="A4373" s="4">
        <v>44083</v>
      </c>
      <c r="B4373" s="19">
        <f t="shared" si="136"/>
        <v>2020</v>
      </c>
      <c r="C4373" s="19">
        <f t="shared" si="137"/>
        <v>9</v>
      </c>
      <c r="D4373" s="5" t="s">
        <v>705</v>
      </c>
      <c r="E4373" s="5" t="s">
        <v>23</v>
      </c>
      <c r="F4373" s="5" t="s">
        <v>19</v>
      </c>
      <c r="G4373" s="5" t="s">
        <v>127</v>
      </c>
      <c r="H4373" s="5" t="s">
        <v>1693</v>
      </c>
      <c r="I4373" s="13">
        <v>120.85599999999999</v>
      </c>
      <c r="J4373" s="19">
        <v>4</v>
      </c>
      <c r="K4373" s="14">
        <v>3.4496000000000002</v>
      </c>
    </row>
    <row r="4374" spans="1:11" x14ac:dyDescent="0.25">
      <c r="A4374" s="2">
        <v>44083</v>
      </c>
      <c r="B4374" s="18">
        <f t="shared" si="136"/>
        <v>2020</v>
      </c>
      <c r="C4374" s="18">
        <f t="shared" si="137"/>
        <v>9</v>
      </c>
      <c r="D4374" s="3" t="s">
        <v>2289</v>
      </c>
      <c r="E4374" s="3" t="s">
        <v>67</v>
      </c>
      <c r="F4374" s="3" t="s">
        <v>19</v>
      </c>
      <c r="G4374" s="3" t="s">
        <v>127</v>
      </c>
      <c r="H4374" s="3" t="s">
        <v>2280</v>
      </c>
      <c r="I4374" s="11">
        <v>140.71199999999999</v>
      </c>
      <c r="J4374" s="18">
        <v>6</v>
      </c>
      <c r="K4374" s="12">
        <v>5.9778000000000002</v>
      </c>
    </row>
    <row r="4375" spans="1:11" x14ac:dyDescent="0.25">
      <c r="A4375" s="4">
        <v>44083</v>
      </c>
      <c r="B4375" s="19">
        <f t="shared" si="136"/>
        <v>2020</v>
      </c>
      <c r="C4375" s="19">
        <f t="shared" si="137"/>
        <v>9</v>
      </c>
      <c r="D4375" s="5" t="s">
        <v>2087</v>
      </c>
      <c r="E4375" s="5" t="s">
        <v>219</v>
      </c>
      <c r="F4375" s="5" t="s">
        <v>11</v>
      </c>
      <c r="G4375" s="5" t="s">
        <v>51</v>
      </c>
      <c r="H4375" s="5" t="s">
        <v>692</v>
      </c>
      <c r="I4375" s="13">
        <v>151.136</v>
      </c>
      <c r="J4375" s="19">
        <v>3</v>
      </c>
      <c r="K4375" s="14">
        <v>4.2408000000000001</v>
      </c>
    </row>
    <row r="4376" spans="1:11" x14ac:dyDescent="0.25">
      <c r="A4376" s="2">
        <v>44083</v>
      </c>
      <c r="B4376" s="18">
        <f t="shared" si="136"/>
        <v>2020</v>
      </c>
      <c r="C4376" s="18">
        <f t="shared" si="137"/>
        <v>9</v>
      </c>
      <c r="D4376" s="3" t="s">
        <v>493</v>
      </c>
      <c r="E4376" s="3" t="s">
        <v>465</v>
      </c>
      <c r="F4376" s="3" t="s">
        <v>19</v>
      </c>
      <c r="G4376" s="3" t="s">
        <v>53</v>
      </c>
      <c r="H4376" s="3" t="s">
        <v>1510</v>
      </c>
      <c r="I4376" s="11">
        <v>162.10400000000001</v>
      </c>
      <c r="J4376" s="18">
        <v>6</v>
      </c>
      <c r="K4376" s="12">
        <v>11.2752</v>
      </c>
    </row>
    <row r="4377" spans="1:11" x14ac:dyDescent="0.25">
      <c r="A4377" s="4">
        <v>44083</v>
      </c>
      <c r="B4377" s="19">
        <f t="shared" si="136"/>
        <v>2020</v>
      </c>
      <c r="C4377" s="19">
        <f t="shared" si="137"/>
        <v>9</v>
      </c>
      <c r="D4377" s="5" t="s">
        <v>574</v>
      </c>
      <c r="E4377" s="5" t="s">
        <v>67</v>
      </c>
      <c r="F4377" s="5" t="s">
        <v>11</v>
      </c>
      <c r="G4377" s="5" t="s">
        <v>51</v>
      </c>
      <c r="H4377" s="5" t="s">
        <v>220</v>
      </c>
      <c r="I4377" s="13">
        <v>171.11199999999999</v>
      </c>
      <c r="J4377" s="19">
        <v>2</v>
      </c>
      <c r="K4377" s="14">
        <v>-9.0904000000000007</v>
      </c>
    </row>
    <row r="4378" spans="1:11" x14ac:dyDescent="0.25">
      <c r="A4378" s="2">
        <v>44083</v>
      </c>
      <c r="B4378" s="18">
        <f t="shared" si="136"/>
        <v>2020</v>
      </c>
      <c r="C4378" s="18">
        <f t="shared" si="137"/>
        <v>9</v>
      </c>
      <c r="D4378" s="3" t="s">
        <v>194</v>
      </c>
      <c r="E4378" s="3" t="s">
        <v>18</v>
      </c>
      <c r="F4378" s="3" t="s">
        <v>19</v>
      </c>
      <c r="G4378" s="3" t="s">
        <v>53</v>
      </c>
      <c r="H4378" s="3" t="s">
        <v>1692</v>
      </c>
      <c r="I4378" s="11">
        <v>145.52000000000001</v>
      </c>
      <c r="J4378" s="18">
        <v>9</v>
      </c>
      <c r="K4378" s="12">
        <v>22.8096</v>
      </c>
    </row>
    <row r="4379" spans="1:11" x14ac:dyDescent="0.25">
      <c r="A4379" s="4">
        <v>44084</v>
      </c>
      <c r="B4379" s="19">
        <f t="shared" si="136"/>
        <v>2020</v>
      </c>
      <c r="C4379" s="19">
        <f t="shared" si="137"/>
        <v>9</v>
      </c>
      <c r="D4379" s="5" t="s">
        <v>1290</v>
      </c>
      <c r="E4379" s="5" t="s">
        <v>67</v>
      </c>
      <c r="F4379" s="5" t="s">
        <v>19</v>
      </c>
      <c r="G4379" s="5" t="s">
        <v>53</v>
      </c>
      <c r="H4379" s="5" t="s">
        <v>2053</v>
      </c>
      <c r="I4379" s="13">
        <v>133.05600000000001</v>
      </c>
      <c r="J4379" s="19">
        <v>3</v>
      </c>
      <c r="K4379" s="14">
        <v>28.706399999999999</v>
      </c>
    </row>
    <row r="4380" spans="1:11" x14ac:dyDescent="0.25">
      <c r="A4380" s="2">
        <v>44084</v>
      </c>
      <c r="B4380" s="18">
        <f t="shared" si="136"/>
        <v>2020</v>
      </c>
      <c r="C4380" s="18">
        <f t="shared" si="137"/>
        <v>9</v>
      </c>
      <c r="D4380" s="3" t="s">
        <v>949</v>
      </c>
      <c r="E4380" s="3" t="s">
        <v>472</v>
      </c>
      <c r="F4380" s="3" t="s">
        <v>14</v>
      </c>
      <c r="G4380" s="3" t="s">
        <v>24</v>
      </c>
      <c r="H4380" s="3" t="s">
        <v>25</v>
      </c>
      <c r="I4380" s="11">
        <v>138.80000000000001</v>
      </c>
      <c r="J4380" s="18">
        <v>6</v>
      </c>
      <c r="K4380" s="12">
        <v>6.7679999999999998</v>
      </c>
    </row>
    <row r="4381" spans="1:11" x14ac:dyDescent="0.25">
      <c r="A4381" s="4">
        <v>44084</v>
      </c>
      <c r="B4381" s="19">
        <f t="shared" si="136"/>
        <v>2020</v>
      </c>
      <c r="C4381" s="19">
        <f t="shared" si="137"/>
        <v>9</v>
      </c>
      <c r="D4381" s="5" t="s">
        <v>880</v>
      </c>
      <c r="E4381" s="5" t="s">
        <v>164</v>
      </c>
      <c r="F4381" s="5" t="s">
        <v>14</v>
      </c>
      <c r="G4381" s="5" t="s">
        <v>15</v>
      </c>
      <c r="H4381" s="5" t="s">
        <v>131</v>
      </c>
      <c r="I4381" s="13">
        <v>183.16800000000001</v>
      </c>
      <c r="J4381" s="19">
        <v>4</v>
      </c>
      <c r="K4381" s="14">
        <v>16.5564</v>
      </c>
    </row>
    <row r="4382" spans="1:11" x14ac:dyDescent="0.25">
      <c r="A4382" s="2">
        <v>44084</v>
      </c>
      <c r="B4382" s="18">
        <f t="shared" si="136"/>
        <v>2020</v>
      </c>
      <c r="C4382" s="18">
        <f t="shared" si="137"/>
        <v>9</v>
      </c>
      <c r="D4382" s="3" t="s">
        <v>1609</v>
      </c>
      <c r="E4382" s="3" t="s">
        <v>67</v>
      </c>
      <c r="F4382" s="3" t="s">
        <v>14</v>
      </c>
      <c r="G4382" s="3" t="s">
        <v>15</v>
      </c>
      <c r="H4382" s="3" t="s">
        <v>1364</v>
      </c>
      <c r="I4382" s="11">
        <v>282.89600000000002</v>
      </c>
      <c r="J4382" s="18">
        <v>2</v>
      </c>
      <c r="K4382" s="12">
        <v>-56.3108</v>
      </c>
    </row>
    <row r="4383" spans="1:11" x14ac:dyDescent="0.25">
      <c r="A4383" s="4">
        <v>44084</v>
      </c>
      <c r="B4383" s="19">
        <f t="shared" si="136"/>
        <v>2020</v>
      </c>
      <c r="C4383" s="19">
        <f t="shared" si="137"/>
        <v>9</v>
      </c>
      <c r="D4383" s="5" t="s">
        <v>949</v>
      </c>
      <c r="E4383" s="5" t="s">
        <v>472</v>
      </c>
      <c r="F4383" s="5" t="s">
        <v>19</v>
      </c>
      <c r="G4383" s="5" t="s">
        <v>20</v>
      </c>
      <c r="H4383" s="5" t="s">
        <v>2263</v>
      </c>
      <c r="I4383" s="13">
        <v>300.29000000000002</v>
      </c>
      <c r="J4383" s="19">
        <v>3</v>
      </c>
      <c r="K4383" s="14">
        <v>17.177399999999999</v>
      </c>
    </row>
    <row r="4384" spans="1:11" x14ac:dyDescent="0.25">
      <c r="A4384" s="2">
        <v>44084</v>
      </c>
      <c r="B4384" s="18">
        <f t="shared" si="136"/>
        <v>2020</v>
      </c>
      <c r="C4384" s="18">
        <f t="shared" si="137"/>
        <v>9</v>
      </c>
      <c r="D4384" s="3" t="s">
        <v>949</v>
      </c>
      <c r="E4384" s="3" t="s">
        <v>472</v>
      </c>
      <c r="F4384" s="3" t="s">
        <v>14</v>
      </c>
      <c r="G4384" s="3" t="s">
        <v>24</v>
      </c>
      <c r="H4384" s="3" t="s">
        <v>1915</v>
      </c>
      <c r="I4384" s="11">
        <v>324.85000000000002</v>
      </c>
      <c r="J4384" s="18">
        <v>5</v>
      </c>
      <c r="K4384" s="12">
        <v>53.433</v>
      </c>
    </row>
    <row r="4385" spans="1:11" x14ac:dyDescent="0.25">
      <c r="A4385" s="4">
        <v>44084</v>
      </c>
      <c r="B4385" s="19">
        <f t="shared" si="136"/>
        <v>2020</v>
      </c>
      <c r="C4385" s="19">
        <f t="shared" si="137"/>
        <v>9</v>
      </c>
      <c r="D4385" s="5" t="s">
        <v>1604</v>
      </c>
      <c r="E4385" s="5" t="s">
        <v>18</v>
      </c>
      <c r="F4385" s="5" t="s">
        <v>11</v>
      </c>
      <c r="G4385" s="5" t="s">
        <v>112</v>
      </c>
      <c r="H4385" s="5" t="s">
        <v>1286</v>
      </c>
      <c r="I4385" s="13">
        <v>382.35199999999998</v>
      </c>
      <c r="J4385" s="19">
        <v>3</v>
      </c>
      <c r="K4385" s="14">
        <v>27.176400000000001</v>
      </c>
    </row>
    <row r="4386" spans="1:11" x14ac:dyDescent="0.25">
      <c r="A4386" s="2">
        <v>44084</v>
      </c>
      <c r="B4386" s="18">
        <f t="shared" si="136"/>
        <v>2020</v>
      </c>
      <c r="C4386" s="18">
        <f t="shared" si="137"/>
        <v>9</v>
      </c>
      <c r="D4386" s="3" t="s">
        <v>1125</v>
      </c>
      <c r="E4386" s="3" t="s">
        <v>164</v>
      </c>
      <c r="F4386" s="3" t="s">
        <v>19</v>
      </c>
      <c r="G4386" s="3" t="s">
        <v>32</v>
      </c>
      <c r="H4386" s="3" t="s">
        <v>178</v>
      </c>
      <c r="I4386" s="11">
        <v>804.59400000000005</v>
      </c>
      <c r="J4386" s="18">
        <v>3</v>
      </c>
      <c r="K4386" s="12">
        <v>-1143.8910000000001</v>
      </c>
    </row>
    <row r="4387" spans="1:11" x14ac:dyDescent="0.25">
      <c r="A4387" s="4">
        <v>44084</v>
      </c>
      <c r="B4387" s="19">
        <f t="shared" si="136"/>
        <v>2020</v>
      </c>
      <c r="C4387" s="19">
        <f t="shared" si="137"/>
        <v>9</v>
      </c>
      <c r="D4387" s="5" t="s">
        <v>2449</v>
      </c>
      <c r="E4387" s="5" t="s">
        <v>109</v>
      </c>
      <c r="F4387" s="5" t="s">
        <v>19</v>
      </c>
      <c r="G4387" s="5" t="s">
        <v>32</v>
      </c>
      <c r="H4387" s="5" t="s">
        <v>2450</v>
      </c>
      <c r="I4387" s="13">
        <v>73.78</v>
      </c>
      <c r="J4387" s="19">
        <v>1</v>
      </c>
      <c r="K4387" s="14">
        <v>1.3622000000000001</v>
      </c>
    </row>
    <row r="4388" spans="1:11" x14ac:dyDescent="0.25">
      <c r="A4388" s="2">
        <v>44084</v>
      </c>
      <c r="B4388" s="18">
        <f t="shared" si="136"/>
        <v>2020</v>
      </c>
      <c r="C4388" s="18">
        <f t="shared" si="137"/>
        <v>9</v>
      </c>
      <c r="D4388" s="3" t="s">
        <v>2022</v>
      </c>
      <c r="E4388" s="3" t="s">
        <v>94</v>
      </c>
      <c r="F4388" s="3" t="s">
        <v>19</v>
      </c>
      <c r="G4388" s="3" t="s">
        <v>53</v>
      </c>
      <c r="H4388" s="3" t="s">
        <v>1373</v>
      </c>
      <c r="I4388" s="11">
        <v>100.76</v>
      </c>
      <c r="J4388" s="18">
        <v>2</v>
      </c>
      <c r="K4388" s="12">
        <v>9.0047999999999995</v>
      </c>
    </row>
    <row r="4389" spans="1:11" x14ac:dyDescent="0.25">
      <c r="A4389" s="4">
        <v>44084</v>
      </c>
      <c r="B4389" s="19">
        <f t="shared" si="136"/>
        <v>2020</v>
      </c>
      <c r="C4389" s="19">
        <f t="shared" si="137"/>
        <v>9</v>
      </c>
      <c r="D4389" s="5" t="s">
        <v>1604</v>
      </c>
      <c r="E4389" s="5" t="s">
        <v>18</v>
      </c>
      <c r="F4389" s="5" t="s">
        <v>19</v>
      </c>
      <c r="G4389" s="5" t="s">
        <v>32</v>
      </c>
      <c r="H4389" s="5" t="s">
        <v>539</v>
      </c>
      <c r="I4389" s="13">
        <v>113.184</v>
      </c>
      <c r="J4389" s="19">
        <v>2</v>
      </c>
      <c r="K4389" s="14">
        <v>2.2450000000000001</v>
      </c>
    </row>
    <row r="4390" spans="1:11" x14ac:dyDescent="0.25">
      <c r="A4390" s="2">
        <v>44084</v>
      </c>
      <c r="B4390" s="18">
        <f t="shared" si="136"/>
        <v>2020</v>
      </c>
      <c r="C4390" s="18">
        <f t="shared" si="137"/>
        <v>9</v>
      </c>
      <c r="D4390" s="3" t="s">
        <v>949</v>
      </c>
      <c r="E4390" s="3" t="s">
        <v>472</v>
      </c>
      <c r="F4390" s="3" t="s">
        <v>19</v>
      </c>
      <c r="G4390" s="3" t="s">
        <v>32</v>
      </c>
      <c r="H4390" s="3" t="s">
        <v>2161</v>
      </c>
      <c r="I4390" s="11">
        <v>113.2</v>
      </c>
      <c r="J4390" s="18">
        <v>3</v>
      </c>
      <c r="K4390" s="12">
        <v>7.7759999999999998</v>
      </c>
    </row>
    <row r="4391" spans="1:11" x14ac:dyDescent="0.25">
      <c r="A4391" s="4">
        <v>44084</v>
      </c>
      <c r="B4391" s="19">
        <f t="shared" si="136"/>
        <v>2020</v>
      </c>
      <c r="C4391" s="19">
        <f t="shared" si="137"/>
        <v>9</v>
      </c>
      <c r="D4391" s="5" t="s">
        <v>949</v>
      </c>
      <c r="E4391" s="5" t="s">
        <v>472</v>
      </c>
      <c r="F4391" s="5" t="s">
        <v>19</v>
      </c>
      <c r="G4391" s="5" t="s">
        <v>53</v>
      </c>
      <c r="H4391" s="5" t="s">
        <v>1627</v>
      </c>
      <c r="I4391" s="13">
        <v>92.9</v>
      </c>
      <c r="J4391" s="19">
        <v>5</v>
      </c>
      <c r="K4391" s="14">
        <v>11.702999999999999</v>
      </c>
    </row>
    <row r="4392" spans="1:11" x14ac:dyDescent="0.25">
      <c r="A4392" s="2">
        <v>44084</v>
      </c>
      <c r="B4392" s="18">
        <f t="shared" si="136"/>
        <v>2020</v>
      </c>
      <c r="C4392" s="18">
        <f t="shared" si="137"/>
        <v>9</v>
      </c>
      <c r="D4392" s="3" t="s">
        <v>949</v>
      </c>
      <c r="E4392" s="3" t="s">
        <v>472</v>
      </c>
      <c r="F4392" s="3" t="s">
        <v>19</v>
      </c>
      <c r="G4392" s="3" t="s">
        <v>32</v>
      </c>
      <c r="H4392" s="3" t="s">
        <v>741</v>
      </c>
      <c r="I4392" s="11">
        <v>110.71</v>
      </c>
      <c r="J4392" s="18">
        <v>3</v>
      </c>
      <c r="K4392" s="12">
        <v>6.5808</v>
      </c>
    </row>
    <row r="4393" spans="1:11" x14ac:dyDescent="0.25">
      <c r="A4393" s="4">
        <v>44084</v>
      </c>
      <c r="B4393" s="19">
        <f t="shared" si="136"/>
        <v>2020</v>
      </c>
      <c r="C4393" s="19">
        <f t="shared" si="137"/>
        <v>9</v>
      </c>
      <c r="D4393" s="5" t="s">
        <v>949</v>
      </c>
      <c r="E4393" s="5" t="s">
        <v>472</v>
      </c>
      <c r="F4393" s="5" t="s">
        <v>19</v>
      </c>
      <c r="G4393" s="5" t="s">
        <v>121</v>
      </c>
      <c r="H4393" s="5" t="s">
        <v>2451</v>
      </c>
      <c r="I4393" s="13">
        <v>104.18</v>
      </c>
      <c r="J4393" s="19">
        <v>2</v>
      </c>
      <c r="K4393" s="14">
        <v>7.2539999999999996</v>
      </c>
    </row>
    <row r="4394" spans="1:11" x14ac:dyDescent="0.25">
      <c r="A4394" s="2">
        <v>44084</v>
      </c>
      <c r="B4394" s="18">
        <f t="shared" si="136"/>
        <v>2020</v>
      </c>
      <c r="C4394" s="18">
        <f t="shared" si="137"/>
        <v>9</v>
      </c>
      <c r="D4394" s="3" t="s">
        <v>2446</v>
      </c>
      <c r="E4394" s="3" t="s">
        <v>370</v>
      </c>
      <c r="F4394" s="3" t="s">
        <v>19</v>
      </c>
      <c r="G4394" s="3" t="s">
        <v>40</v>
      </c>
      <c r="H4394" s="3" t="s">
        <v>1224</v>
      </c>
      <c r="I4394" s="11">
        <v>145.88</v>
      </c>
      <c r="J4394" s="18">
        <v>2</v>
      </c>
      <c r="K4394" s="12">
        <v>3.72</v>
      </c>
    </row>
    <row r="4395" spans="1:11" x14ac:dyDescent="0.25">
      <c r="A4395" s="4">
        <v>44084</v>
      </c>
      <c r="B4395" s="19">
        <f t="shared" si="136"/>
        <v>2020</v>
      </c>
      <c r="C4395" s="19">
        <f t="shared" si="137"/>
        <v>9</v>
      </c>
      <c r="D4395" s="5" t="s">
        <v>1609</v>
      </c>
      <c r="E4395" s="5" t="s">
        <v>67</v>
      </c>
      <c r="F4395" s="5" t="s">
        <v>14</v>
      </c>
      <c r="G4395" s="5" t="s">
        <v>24</v>
      </c>
      <c r="H4395" s="5" t="s">
        <v>2452</v>
      </c>
      <c r="I4395" s="13">
        <v>158.05600000000001</v>
      </c>
      <c r="J4395" s="19">
        <v>4</v>
      </c>
      <c r="K4395" s="14">
        <v>8.8008000000000006</v>
      </c>
    </row>
    <row r="4396" spans="1:11" x14ac:dyDescent="0.25">
      <c r="A4396" s="2">
        <v>44084</v>
      </c>
      <c r="B4396" s="18">
        <f t="shared" si="136"/>
        <v>2020</v>
      </c>
      <c r="C4396" s="18">
        <f t="shared" si="137"/>
        <v>9</v>
      </c>
      <c r="D4396" s="3" t="s">
        <v>949</v>
      </c>
      <c r="E4396" s="3" t="s">
        <v>472</v>
      </c>
      <c r="F4396" s="3" t="s">
        <v>19</v>
      </c>
      <c r="G4396" s="3" t="s">
        <v>121</v>
      </c>
      <c r="H4396" s="3" t="s">
        <v>2125</v>
      </c>
      <c r="I4396" s="11">
        <v>147.99</v>
      </c>
      <c r="J4396" s="18">
        <v>3</v>
      </c>
      <c r="K4396" s="12">
        <v>14.6157</v>
      </c>
    </row>
    <row r="4397" spans="1:11" x14ac:dyDescent="0.25">
      <c r="A4397" s="4">
        <v>44085</v>
      </c>
      <c r="B4397" s="19">
        <f t="shared" si="136"/>
        <v>2020</v>
      </c>
      <c r="C4397" s="19">
        <f t="shared" si="137"/>
        <v>9</v>
      </c>
      <c r="D4397" s="5" t="s">
        <v>2453</v>
      </c>
      <c r="E4397" s="5" t="s">
        <v>70</v>
      </c>
      <c r="F4397" s="5" t="s">
        <v>19</v>
      </c>
      <c r="G4397" s="5" t="s">
        <v>53</v>
      </c>
      <c r="H4397" s="5" t="s">
        <v>468</v>
      </c>
      <c r="I4397" s="13">
        <v>108.28</v>
      </c>
      <c r="J4397" s="19">
        <v>11</v>
      </c>
      <c r="K4397" s="14">
        <v>34.214399999999998</v>
      </c>
    </row>
    <row r="4398" spans="1:11" x14ac:dyDescent="0.25">
      <c r="A4398" s="2">
        <v>44085</v>
      </c>
      <c r="B4398" s="18">
        <f t="shared" si="136"/>
        <v>2020</v>
      </c>
      <c r="C4398" s="18">
        <f t="shared" si="137"/>
        <v>9</v>
      </c>
      <c r="D4398" s="3" t="s">
        <v>1290</v>
      </c>
      <c r="E4398" s="3" t="s">
        <v>18</v>
      </c>
      <c r="F4398" s="3" t="s">
        <v>14</v>
      </c>
      <c r="G4398" s="3" t="s">
        <v>15</v>
      </c>
      <c r="H4398" s="3" t="s">
        <v>1176</v>
      </c>
      <c r="I4398" s="11">
        <v>175.952</v>
      </c>
      <c r="J4398" s="18">
        <v>6</v>
      </c>
      <c r="K4398" s="12">
        <v>17.994</v>
      </c>
    </row>
    <row r="4399" spans="1:11" x14ac:dyDescent="0.25">
      <c r="A4399" s="4">
        <v>44085</v>
      </c>
      <c r="B4399" s="19">
        <f t="shared" si="136"/>
        <v>2020</v>
      </c>
      <c r="C4399" s="19">
        <f t="shared" si="137"/>
        <v>9</v>
      </c>
      <c r="D4399" s="5" t="s">
        <v>540</v>
      </c>
      <c r="E4399" s="5" t="s">
        <v>109</v>
      </c>
      <c r="F4399" s="5" t="s">
        <v>19</v>
      </c>
      <c r="G4399" s="5" t="s">
        <v>53</v>
      </c>
      <c r="H4399" s="5" t="s">
        <v>77</v>
      </c>
      <c r="I4399" s="13">
        <v>197.66</v>
      </c>
      <c r="J4399" s="19">
        <v>7</v>
      </c>
      <c r="K4399" s="14">
        <v>84.943600000000004</v>
      </c>
    </row>
    <row r="4400" spans="1:11" x14ac:dyDescent="0.25">
      <c r="A4400" s="2">
        <v>44085</v>
      </c>
      <c r="B4400" s="18">
        <f t="shared" si="136"/>
        <v>2020</v>
      </c>
      <c r="C4400" s="18">
        <f t="shared" si="137"/>
        <v>9</v>
      </c>
      <c r="D4400" s="3" t="s">
        <v>2453</v>
      </c>
      <c r="E4400" s="3" t="s">
        <v>70</v>
      </c>
      <c r="F4400" s="3" t="s">
        <v>11</v>
      </c>
      <c r="G4400" s="3" t="s">
        <v>112</v>
      </c>
      <c r="H4400" s="3" t="s">
        <v>1630</v>
      </c>
      <c r="I4400" s="11">
        <v>209.56800000000001</v>
      </c>
      <c r="J4400" s="18">
        <v>2</v>
      </c>
      <c r="K4400" s="12">
        <v>8.8783999999999992</v>
      </c>
    </row>
    <row r="4401" spans="1:11" x14ac:dyDescent="0.25">
      <c r="A4401" s="4">
        <v>44085</v>
      </c>
      <c r="B4401" s="19">
        <f t="shared" si="136"/>
        <v>2020</v>
      </c>
      <c r="C4401" s="19">
        <f t="shared" si="137"/>
        <v>9</v>
      </c>
      <c r="D4401" s="5" t="s">
        <v>2449</v>
      </c>
      <c r="E4401" s="5" t="s">
        <v>195</v>
      </c>
      <c r="F4401" s="5" t="s">
        <v>19</v>
      </c>
      <c r="G4401" s="5" t="s">
        <v>121</v>
      </c>
      <c r="H4401" s="5" t="s">
        <v>696</v>
      </c>
      <c r="I4401" s="13">
        <v>217.68</v>
      </c>
      <c r="J4401" s="19">
        <v>4</v>
      </c>
      <c r="K4401" s="14">
        <v>50.876800000000003</v>
      </c>
    </row>
    <row r="4402" spans="1:11" x14ac:dyDescent="0.25">
      <c r="A4402" s="2">
        <v>44085</v>
      </c>
      <c r="B4402" s="18">
        <f t="shared" si="136"/>
        <v>2020</v>
      </c>
      <c r="C4402" s="18">
        <f t="shared" si="137"/>
        <v>9</v>
      </c>
      <c r="D4402" s="3" t="s">
        <v>1936</v>
      </c>
      <c r="E4402" s="3" t="s">
        <v>18</v>
      </c>
      <c r="F4402" s="3" t="s">
        <v>19</v>
      </c>
      <c r="G4402" s="3" t="s">
        <v>121</v>
      </c>
      <c r="H4402" s="3" t="s">
        <v>685</v>
      </c>
      <c r="I4402" s="11">
        <v>447.6</v>
      </c>
      <c r="J4402" s="18">
        <v>5</v>
      </c>
      <c r="K4402" s="12">
        <v>113.848</v>
      </c>
    </row>
    <row r="4403" spans="1:11" x14ac:dyDescent="0.25">
      <c r="A4403" s="4">
        <v>44085</v>
      </c>
      <c r="B4403" s="19">
        <f t="shared" si="136"/>
        <v>2020</v>
      </c>
      <c r="C4403" s="19">
        <f t="shared" si="137"/>
        <v>9</v>
      </c>
      <c r="D4403" s="5" t="s">
        <v>745</v>
      </c>
      <c r="E4403" s="5" t="s">
        <v>23</v>
      </c>
      <c r="F4403" s="5" t="s">
        <v>11</v>
      </c>
      <c r="G4403" s="5" t="s">
        <v>30</v>
      </c>
      <c r="H4403" s="5" t="s">
        <v>2355</v>
      </c>
      <c r="I4403" s="13">
        <v>527.19000000000005</v>
      </c>
      <c r="J4403" s="19">
        <v>5</v>
      </c>
      <c r="K4403" s="14">
        <v>-65.852999999999994</v>
      </c>
    </row>
    <row r="4404" spans="1:11" x14ac:dyDescent="0.25">
      <c r="A4404" s="2">
        <v>44085</v>
      </c>
      <c r="B4404" s="18">
        <f t="shared" si="136"/>
        <v>2020</v>
      </c>
      <c r="C4404" s="18">
        <f t="shared" si="137"/>
        <v>9</v>
      </c>
      <c r="D4404" s="3" t="s">
        <v>2453</v>
      </c>
      <c r="E4404" s="3" t="s">
        <v>70</v>
      </c>
      <c r="F4404" s="3" t="s">
        <v>19</v>
      </c>
      <c r="G4404" s="3" t="s">
        <v>32</v>
      </c>
      <c r="H4404" s="3" t="s">
        <v>550</v>
      </c>
      <c r="I4404" s="11">
        <v>1509.96</v>
      </c>
      <c r="J4404" s="18">
        <v>5</v>
      </c>
      <c r="K4404" s="12">
        <v>459.98750000000001</v>
      </c>
    </row>
    <row r="4405" spans="1:11" x14ac:dyDescent="0.25">
      <c r="A4405" s="4">
        <v>44085</v>
      </c>
      <c r="B4405" s="19">
        <f t="shared" si="136"/>
        <v>2020</v>
      </c>
      <c r="C4405" s="19">
        <f t="shared" si="137"/>
        <v>9</v>
      </c>
      <c r="D4405" s="5" t="s">
        <v>379</v>
      </c>
      <c r="E4405" s="5" t="s">
        <v>18</v>
      </c>
      <c r="F4405" s="5" t="s">
        <v>11</v>
      </c>
      <c r="G4405" s="5" t="s">
        <v>112</v>
      </c>
      <c r="H4405" s="5" t="s">
        <v>2454</v>
      </c>
      <c r="I4405" s="13">
        <v>2101.2719999999999</v>
      </c>
      <c r="J4405" s="19">
        <v>8</v>
      </c>
      <c r="K4405" s="14">
        <v>256.78399999999999</v>
      </c>
    </row>
    <row r="4406" spans="1:11" x14ac:dyDescent="0.25">
      <c r="A4406" s="2">
        <v>44085</v>
      </c>
      <c r="B4406" s="18">
        <f t="shared" si="136"/>
        <v>2020</v>
      </c>
      <c r="C4406" s="18">
        <f t="shared" si="137"/>
        <v>9</v>
      </c>
      <c r="D4406" s="3" t="s">
        <v>745</v>
      </c>
      <c r="E4406" s="3" t="s">
        <v>23</v>
      </c>
      <c r="F4406" s="3" t="s">
        <v>19</v>
      </c>
      <c r="G4406" s="3" t="s">
        <v>121</v>
      </c>
      <c r="H4406" s="3" t="s">
        <v>346</v>
      </c>
      <c r="I4406" s="11">
        <v>86.555999999999997</v>
      </c>
      <c r="J4406" s="18">
        <v>2</v>
      </c>
      <c r="K4406" s="12">
        <v>-4.2012</v>
      </c>
    </row>
    <row r="4407" spans="1:11" x14ac:dyDescent="0.25">
      <c r="A4407" s="4">
        <v>44085</v>
      </c>
      <c r="B4407" s="19">
        <f t="shared" si="136"/>
        <v>2020</v>
      </c>
      <c r="C4407" s="19">
        <f t="shared" si="137"/>
        <v>9</v>
      </c>
      <c r="D4407" s="5" t="s">
        <v>2449</v>
      </c>
      <c r="E4407" s="5" t="s">
        <v>195</v>
      </c>
      <c r="F4407" s="5" t="s">
        <v>19</v>
      </c>
      <c r="G4407" s="5" t="s">
        <v>116</v>
      </c>
      <c r="H4407" s="5" t="s">
        <v>288</v>
      </c>
      <c r="I4407" s="13">
        <v>124.2</v>
      </c>
      <c r="J4407" s="19">
        <v>4</v>
      </c>
      <c r="K4407" s="14">
        <v>6.6740000000000004</v>
      </c>
    </row>
    <row r="4408" spans="1:11" x14ac:dyDescent="0.25">
      <c r="A4408" s="2">
        <v>44085</v>
      </c>
      <c r="B4408" s="18">
        <f t="shared" si="136"/>
        <v>2020</v>
      </c>
      <c r="C4408" s="18">
        <f t="shared" si="137"/>
        <v>9</v>
      </c>
      <c r="D4408" s="3" t="s">
        <v>1344</v>
      </c>
      <c r="E4408" s="3" t="s">
        <v>164</v>
      </c>
      <c r="F4408" s="3" t="s">
        <v>19</v>
      </c>
      <c r="G4408" s="3" t="s">
        <v>116</v>
      </c>
      <c r="H4408" s="3" t="s">
        <v>864</v>
      </c>
      <c r="I4408" s="11">
        <v>101.52800000000001</v>
      </c>
      <c r="J4408" s="18">
        <v>4</v>
      </c>
      <c r="K4408" s="12">
        <v>3.29</v>
      </c>
    </row>
    <row r="4409" spans="1:11" x14ac:dyDescent="0.25">
      <c r="A4409" s="4">
        <v>44085</v>
      </c>
      <c r="B4409" s="19">
        <f t="shared" si="136"/>
        <v>2020</v>
      </c>
      <c r="C4409" s="19">
        <f t="shared" si="137"/>
        <v>9</v>
      </c>
      <c r="D4409" s="5" t="s">
        <v>2453</v>
      </c>
      <c r="E4409" s="5" t="s">
        <v>70</v>
      </c>
      <c r="F4409" s="5" t="s">
        <v>19</v>
      </c>
      <c r="G4409" s="5" t="s">
        <v>53</v>
      </c>
      <c r="H4409" s="5" t="s">
        <v>466</v>
      </c>
      <c r="I4409" s="13">
        <v>116.44</v>
      </c>
      <c r="J4409" s="19">
        <v>3</v>
      </c>
      <c r="K4409" s="14">
        <v>9.3312000000000008</v>
      </c>
    </row>
    <row r="4410" spans="1:11" x14ac:dyDescent="0.25">
      <c r="A4410" s="2">
        <v>44085</v>
      </c>
      <c r="B4410" s="18">
        <f t="shared" si="136"/>
        <v>2020</v>
      </c>
      <c r="C4410" s="18">
        <f t="shared" si="137"/>
        <v>9</v>
      </c>
      <c r="D4410" s="3" t="s">
        <v>1290</v>
      </c>
      <c r="E4410" s="3" t="s">
        <v>18</v>
      </c>
      <c r="F4410" s="3" t="s">
        <v>19</v>
      </c>
      <c r="G4410" s="3" t="s">
        <v>53</v>
      </c>
      <c r="H4410" s="3" t="s">
        <v>1268</v>
      </c>
      <c r="I4410" s="11">
        <v>115.44</v>
      </c>
      <c r="J4410" s="18">
        <v>3</v>
      </c>
      <c r="K4410" s="12">
        <v>9.3312000000000008</v>
      </c>
    </row>
    <row r="4411" spans="1:11" x14ac:dyDescent="0.25">
      <c r="A4411" s="4">
        <v>44085</v>
      </c>
      <c r="B4411" s="19">
        <f t="shared" si="136"/>
        <v>2020</v>
      </c>
      <c r="C4411" s="19">
        <f t="shared" si="137"/>
        <v>9</v>
      </c>
      <c r="D4411" s="5" t="s">
        <v>379</v>
      </c>
      <c r="E4411" s="5" t="s">
        <v>18</v>
      </c>
      <c r="F4411" s="5" t="s">
        <v>19</v>
      </c>
      <c r="G4411" s="5" t="s">
        <v>86</v>
      </c>
      <c r="H4411" s="5" t="s">
        <v>582</v>
      </c>
      <c r="I4411" s="13">
        <v>109.18</v>
      </c>
      <c r="J4411" s="19">
        <v>2</v>
      </c>
      <c r="K4411" s="14">
        <v>10.8682</v>
      </c>
    </row>
    <row r="4412" spans="1:11" x14ac:dyDescent="0.25">
      <c r="A4412" s="2">
        <v>44085</v>
      </c>
      <c r="B4412" s="18">
        <f t="shared" si="136"/>
        <v>2020</v>
      </c>
      <c r="C4412" s="18">
        <f t="shared" si="137"/>
        <v>9</v>
      </c>
      <c r="D4412" s="3" t="s">
        <v>1553</v>
      </c>
      <c r="E4412" s="3" t="s">
        <v>44</v>
      </c>
      <c r="F4412" s="3" t="s">
        <v>11</v>
      </c>
      <c r="G4412" s="3" t="s">
        <v>51</v>
      </c>
      <c r="H4412" s="3" t="s">
        <v>1179</v>
      </c>
      <c r="I4412" s="11">
        <v>111.504</v>
      </c>
      <c r="J4412" s="18">
        <v>1</v>
      </c>
      <c r="K4412" s="12">
        <v>6.0381999999999998</v>
      </c>
    </row>
    <row r="4413" spans="1:11" x14ac:dyDescent="0.25">
      <c r="A4413" s="4">
        <v>44085</v>
      </c>
      <c r="B4413" s="19">
        <f t="shared" si="136"/>
        <v>2020</v>
      </c>
      <c r="C4413" s="19">
        <f t="shared" si="137"/>
        <v>9</v>
      </c>
      <c r="D4413" s="5" t="s">
        <v>379</v>
      </c>
      <c r="E4413" s="5" t="s">
        <v>18</v>
      </c>
      <c r="F4413" s="5" t="s">
        <v>19</v>
      </c>
      <c r="G4413" s="5" t="s">
        <v>53</v>
      </c>
      <c r="H4413" s="5" t="s">
        <v>1822</v>
      </c>
      <c r="I4413" s="13">
        <v>115.96</v>
      </c>
      <c r="J4413" s="19">
        <v>2</v>
      </c>
      <c r="K4413" s="14">
        <v>6.2207999999999997</v>
      </c>
    </row>
    <row r="4414" spans="1:11" x14ac:dyDescent="0.25">
      <c r="A4414" s="2">
        <v>44085</v>
      </c>
      <c r="B4414" s="18">
        <f t="shared" si="136"/>
        <v>2020</v>
      </c>
      <c r="C4414" s="18">
        <f t="shared" si="137"/>
        <v>9</v>
      </c>
      <c r="D4414" s="3" t="s">
        <v>1936</v>
      </c>
      <c r="E4414" s="3" t="s">
        <v>18</v>
      </c>
      <c r="F4414" s="3" t="s">
        <v>11</v>
      </c>
      <c r="G4414" s="3" t="s">
        <v>51</v>
      </c>
      <c r="H4414" s="3" t="s">
        <v>1493</v>
      </c>
      <c r="I4414" s="11">
        <v>114.36</v>
      </c>
      <c r="J4414" s="18">
        <v>4</v>
      </c>
      <c r="K4414" s="12">
        <v>11.6496</v>
      </c>
    </row>
    <row r="4415" spans="1:11" x14ac:dyDescent="0.25">
      <c r="A4415" s="4">
        <v>44085</v>
      </c>
      <c r="B4415" s="19">
        <f t="shared" si="136"/>
        <v>2020</v>
      </c>
      <c r="C4415" s="19">
        <f t="shared" si="137"/>
        <v>9</v>
      </c>
      <c r="D4415" s="5" t="s">
        <v>1344</v>
      </c>
      <c r="E4415" s="5" t="s">
        <v>164</v>
      </c>
      <c r="F4415" s="5" t="s">
        <v>19</v>
      </c>
      <c r="G4415" s="5" t="s">
        <v>53</v>
      </c>
      <c r="H4415" s="5" t="s">
        <v>2277</v>
      </c>
      <c r="I4415" s="13">
        <v>107.544</v>
      </c>
      <c r="J4415" s="19">
        <v>6</v>
      </c>
      <c r="K4415" s="14">
        <v>6.42</v>
      </c>
    </row>
    <row r="4416" spans="1:11" x14ac:dyDescent="0.25">
      <c r="A4416" s="2">
        <v>44085</v>
      </c>
      <c r="B4416" s="18">
        <f t="shared" si="136"/>
        <v>2020</v>
      </c>
      <c r="C4416" s="18">
        <f t="shared" si="137"/>
        <v>9</v>
      </c>
      <c r="D4416" s="3" t="s">
        <v>745</v>
      </c>
      <c r="E4416" s="3" t="s">
        <v>23</v>
      </c>
      <c r="F4416" s="3" t="s">
        <v>19</v>
      </c>
      <c r="G4416" s="3" t="s">
        <v>53</v>
      </c>
      <c r="H4416" s="3" t="s">
        <v>2195</v>
      </c>
      <c r="I4416" s="11">
        <v>127.27200000000001</v>
      </c>
      <c r="J4416" s="18">
        <v>3</v>
      </c>
      <c r="K4416" s="12">
        <v>3.21</v>
      </c>
    </row>
    <row r="4417" spans="1:11" x14ac:dyDescent="0.25">
      <c r="A4417" s="4">
        <v>44085</v>
      </c>
      <c r="B4417" s="19">
        <f t="shared" si="136"/>
        <v>2020</v>
      </c>
      <c r="C4417" s="19">
        <f t="shared" si="137"/>
        <v>9</v>
      </c>
      <c r="D4417" s="5" t="s">
        <v>1936</v>
      </c>
      <c r="E4417" s="5" t="s">
        <v>181</v>
      </c>
      <c r="F4417" s="5" t="s">
        <v>19</v>
      </c>
      <c r="G4417" s="5" t="s">
        <v>121</v>
      </c>
      <c r="H4417" s="5" t="s">
        <v>2078</v>
      </c>
      <c r="I4417" s="13">
        <v>171.9</v>
      </c>
      <c r="J4417" s="19">
        <v>5</v>
      </c>
      <c r="K4417" s="14">
        <v>20.37</v>
      </c>
    </row>
    <row r="4418" spans="1:11" x14ac:dyDescent="0.25">
      <c r="A4418" s="2">
        <v>44085</v>
      </c>
      <c r="B4418" s="18">
        <f t="shared" ref="B4418:B4481" si="138">YEAR(A4418)</f>
        <v>2020</v>
      </c>
      <c r="C4418" s="18">
        <f t="shared" ref="C4418:C4481" si="139">MONTH(A4418)</f>
        <v>9</v>
      </c>
      <c r="D4418" s="3" t="s">
        <v>2453</v>
      </c>
      <c r="E4418" s="3" t="s">
        <v>70</v>
      </c>
      <c r="F4418" s="3" t="s">
        <v>14</v>
      </c>
      <c r="G4418" s="3" t="s">
        <v>15</v>
      </c>
      <c r="H4418" s="3" t="s">
        <v>2455</v>
      </c>
      <c r="I4418" s="11">
        <v>163.96</v>
      </c>
      <c r="J4418" s="18">
        <v>5</v>
      </c>
      <c r="K4418" s="12">
        <v>-17.991</v>
      </c>
    </row>
    <row r="4419" spans="1:11" x14ac:dyDescent="0.25">
      <c r="A4419" s="4">
        <v>44086</v>
      </c>
      <c r="B4419" s="19">
        <f t="shared" si="138"/>
        <v>2020</v>
      </c>
      <c r="C4419" s="19">
        <f t="shared" si="139"/>
        <v>9</v>
      </c>
      <c r="D4419" s="5" t="s">
        <v>2456</v>
      </c>
      <c r="E4419" s="5" t="s">
        <v>10</v>
      </c>
      <c r="F4419" s="5" t="s">
        <v>19</v>
      </c>
      <c r="G4419" s="5" t="s">
        <v>121</v>
      </c>
      <c r="H4419" s="5" t="s">
        <v>1522</v>
      </c>
      <c r="I4419" s="13">
        <v>137.86000000000001</v>
      </c>
      <c r="J4419" s="19">
        <v>7</v>
      </c>
      <c r="K4419" s="14">
        <v>26.349399999999999</v>
      </c>
    </row>
    <row r="4420" spans="1:11" x14ac:dyDescent="0.25">
      <c r="A4420" s="2">
        <v>44086</v>
      </c>
      <c r="B4420" s="18">
        <f t="shared" si="138"/>
        <v>2020</v>
      </c>
      <c r="C4420" s="18">
        <f t="shared" si="139"/>
        <v>9</v>
      </c>
      <c r="D4420" s="3" t="s">
        <v>2456</v>
      </c>
      <c r="E4420" s="3" t="s">
        <v>10</v>
      </c>
      <c r="F4420" s="3" t="s">
        <v>19</v>
      </c>
      <c r="G4420" s="3" t="s">
        <v>53</v>
      </c>
      <c r="H4420" s="3" t="s">
        <v>566</v>
      </c>
      <c r="I4420" s="11">
        <v>142.85</v>
      </c>
      <c r="J4420" s="18">
        <v>5</v>
      </c>
      <c r="K4420" s="12">
        <v>45.527999999999999</v>
      </c>
    </row>
    <row r="4421" spans="1:11" x14ac:dyDescent="0.25">
      <c r="A4421" s="4">
        <v>44086</v>
      </c>
      <c r="B4421" s="19">
        <f t="shared" si="138"/>
        <v>2020</v>
      </c>
      <c r="C4421" s="19">
        <f t="shared" si="139"/>
        <v>9</v>
      </c>
      <c r="D4421" s="5" t="s">
        <v>1950</v>
      </c>
      <c r="E4421" s="5" t="s">
        <v>18</v>
      </c>
      <c r="F4421" s="5" t="s">
        <v>19</v>
      </c>
      <c r="G4421" s="5" t="s">
        <v>53</v>
      </c>
      <c r="H4421" s="5" t="s">
        <v>1229</v>
      </c>
      <c r="I4421" s="13">
        <v>180.44</v>
      </c>
      <c r="J4421" s="19">
        <v>3</v>
      </c>
      <c r="K4421" s="14">
        <v>79.891199999999998</v>
      </c>
    </row>
    <row r="4422" spans="1:11" x14ac:dyDescent="0.25">
      <c r="A4422" s="2">
        <v>44086</v>
      </c>
      <c r="B4422" s="18">
        <f t="shared" si="138"/>
        <v>2020</v>
      </c>
      <c r="C4422" s="18">
        <f t="shared" si="139"/>
        <v>9</v>
      </c>
      <c r="D4422" s="3" t="s">
        <v>653</v>
      </c>
      <c r="E4422" s="3" t="s">
        <v>18</v>
      </c>
      <c r="F4422" s="3" t="s">
        <v>11</v>
      </c>
      <c r="G4422" s="3" t="s">
        <v>51</v>
      </c>
      <c r="H4422" s="3" t="s">
        <v>776</v>
      </c>
      <c r="I4422" s="11">
        <v>115.36</v>
      </c>
      <c r="J4422" s="18">
        <v>2</v>
      </c>
      <c r="K4422" s="12">
        <v>3.0095999999999998</v>
      </c>
    </row>
    <row r="4423" spans="1:11" x14ac:dyDescent="0.25">
      <c r="A4423" s="4">
        <v>44086</v>
      </c>
      <c r="B4423" s="19">
        <f t="shared" si="138"/>
        <v>2020</v>
      </c>
      <c r="C4423" s="19">
        <f t="shared" si="139"/>
        <v>9</v>
      </c>
      <c r="D4423" s="5" t="s">
        <v>2456</v>
      </c>
      <c r="E4423" s="5" t="s">
        <v>10</v>
      </c>
      <c r="F4423" s="5" t="s">
        <v>19</v>
      </c>
      <c r="G4423" s="5" t="s">
        <v>53</v>
      </c>
      <c r="H4423" s="5" t="s">
        <v>2313</v>
      </c>
      <c r="I4423" s="13">
        <v>142.9</v>
      </c>
      <c r="J4423" s="19">
        <v>5</v>
      </c>
      <c r="K4423" s="14">
        <v>19.95</v>
      </c>
    </row>
    <row r="4424" spans="1:11" x14ac:dyDescent="0.25">
      <c r="A4424" s="2">
        <v>44086</v>
      </c>
      <c r="B4424" s="18">
        <f t="shared" si="138"/>
        <v>2020</v>
      </c>
      <c r="C4424" s="18">
        <f t="shared" si="139"/>
        <v>9</v>
      </c>
      <c r="D4424" s="3" t="s">
        <v>1416</v>
      </c>
      <c r="E4424" s="3" t="s">
        <v>883</v>
      </c>
      <c r="F4424" s="3" t="s">
        <v>19</v>
      </c>
      <c r="G4424" s="3" t="s">
        <v>32</v>
      </c>
      <c r="H4424" s="3" t="s">
        <v>616</v>
      </c>
      <c r="I4424" s="11">
        <v>150.78</v>
      </c>
      <c r="J4424" s="18">
        <v>3</v>
      </c>
      <c r="K4424" s="12">
        <v>22.89</v>
      </c>
    </row>
    <row r="4425" spans="1:11" x14ac:dyDescent="0.25">
      <c r="A4425" s="4">
        <v>44086</v>
      </c>
      <c r="B4425" s="19">
        <f t="shared" si="138"/>
        <v>2020</v>
      </c>
      <c r="C4425" s="19">
        <f t="shared" si="139"/>
        <v>9</v>
      </c>
      <c r="D4425" s="5" t="s">
        <v>1416</v>
      </c>
      <c r="E4425" s="5" t="s">
        <v>883</v>
      </c>
      <c r="F4425" s="5" t="s">
        <v>19</v>
      </c>
      <c r="G4425" s="5" t="s">
        <v>53</v>
      </c>
      <c r="H4425" s="5" t="s">
        <v>690</v>
      </c>
      <c r="I4425" s="13">
        <v>138.36000000000001</v>
      </c>
      <c r="J4425" s="19">
        <v>7</v>
      </c>
      <c r="K4425" s="14">
        <v>21.7728</v>
      </c>
    </row>
    <row r="4426" spans="1:11" x14ac:dyDescent="0.25">
      <c r="A4426" s="2">
        <v>44087</v>
      </c>
      <c r="B4426" s="18">
        <f t="shared" si="138"/>
        <v>2020</v>
      </c>
      <c r="C4426" s="18">
        <f t="shared" si="139"/>
        <v>9</v>
      </c>
      <c r="D4426" s="3" t="s">
        <v>2256</v>
      </c>
      <c r="E4426" s="3" t="s">
        <v>35</v>
      </c>
      <c r="F4426" s="3" t="s">
        <v>19</v>
      </c>
      <c r="G4426" s="3" t="s">
        <v>40</v>
      </c>
      <c r="H4426" s="3" t="s">
        <v>2075</v>
      </c>
      <c r="I4426" s="11">
        <v>130.91999999999999</v>
      </c>
      <c r="J4426" s="18">
        <v>5</v>
      </c>
      <c r="K4426" s="12">
        <v>2.786</v>
      </c>
    </row>
    <row r="4427" spans="1:11" x14ac:dyDescent="0.25">
      <c r="A4427" s="4">
        <v>44088</v>
      </c>
      <c r="B4427" s="19">
        <f t="shared" si="138"/>
        <v>2020</v>
      </c>
      <c r="C4427" s="19">
        <f t="shared" si="139"/>
        <v>9</v>
      </c>
      <c r="D4427" s="5" t="s">
        <v>2147</v>
      </c>
      <c r="E4427" s="5" t="s">
        <v>35</v>
      </c>
      <c r="F4427" s="5" t="s">
        <v>19</v>
      </c>
      <c r="G4427" s="5" t="s">
        <v>53</v>
      </c>
      <c r="H4427" s="5" t="s">
        <v>1999</v>
      </c>
      <c r="I4427" s="13">
        <v>102.352</v>
      </c>
      <c r="J4427" s="19">
        <v>3</v>
      </c>
      <c r="K4427" s="14">
        <v>23.234999999999999</v>
      </c>
    </row>
    <row r="4428" spans="1:11" x14ac:dyDescent="0.25">
      <c r="A4428" s="2">
        <v>44088</v>
      </c>
      <c r="B4428" s="18">
        <f t="shared" si="138"/>
        <v>2020</v>
      </c>
      <c r="C4428" s="18">
        <f t="shared" si="139"/>
        <v>9</v>
      </c>
      <c r="D4428" s="3" t="s">
        <v>2457</v>
      </c>
      <c r="E4428" s="3" t="s">
        <v>94</v>
      </c>
      <c r="F4428" s="3" t="s">
        <v>19</v>
      </c>
      <c r="G4428" s="3" t="s">
        <v>20</v>
      </c>
      <c r="H4428" s="3" t="s">
        <v>1635</v>
      </c>
      <c r="I4428" s="11">
        <v>102.98</v>
      </c>
      <c r="J4428" s="18">
        <v>1</v>
      </c>
      <c r="K4428" s="12">
        <v>3.5489999999999999</v>
      </c>
    </row>
    <row r="4429" spans="1:11" x14ac:dyDescent="0.25">
      <c r="A4429" s="4">
        <v>44088</v>
      </c>
      <c r="B4429" s="19">
        <f t="shared" si="138"/>
        <v>2020</v>
      </c>
      <c r="C4429" s="19">
        <f t="shared" si="139"/>
        <v>9</v>
      </c>
      <c r="D4429" s="5" t="s">
        <v>73</v>
      </c>
      <c r="E4429" s="5" t="s">
        <v>18</v>
      </c>
      <c r="F4429" s="5" t="s">
        <v>19</v>
      </c>
      <c r="G4429" s="5" t="s">
        <v>127</v>
      </c>
      <c r="H4429" s="5" t="s">
        <v>2230</v>
      </c>
      <c r="I4429" s="13">
        <v>106.7</v>
      </c>
      <c r="J4429" s="19">
        <v>9</v>
      </c>
      <c r="K4429" s="14">
        <v>26.082000000000001</v>
      </c>
    </row>
    <row r="4430" spans="1:11" x14ac:dyDescent="0.25">
      <c r="A4430" s="2">
        <v>44088</v>
      </c>
      <c r="B4430" s="18">
        <f t="shared" si="138"/>
        <v>2020</v>
      </c>
      <c r="C4430" s="18">
        <f t="shared" si="139"/>
        <v>9</v>
      </c>
      <c r="D4430" s="3" t="s">
        <v>369</v>
      </c>
      <c r="E4430" s="3" t="s">
        <v>39</v>
      </c>
      <c r="F4430" s="3" t="s">
        <v>11</v>
      </c>
      <c r="G4430" s="3" t="s">
        <v>51</v>
      </c>
      <c r="H4430" s="3" t="s">
        <v>2374</v>
      </c>
      <c r="I4430" s="11">
        <v>150.93600000000001</v>
      </c>
      <c r="J4430" s="18">
        <v>8</v>
      </c>
      <c r="K4430" s="12">
        <v>4.7976000000000001</v>
      </c>
    </row>
    <row r="4431" spans="1:11" x14ac:dyDescent="0.25">
      <c r="A4431" s="4">
        <v>44088</v>
      </c>
      <c r="B4431" s="19">
        <f t="shared" si="138"/>
        <v>2020</v>
      </c>
      <c r="C4431" s="19">
        <f t="shared" si="139"/>
        <v>9</v>
      </c>
      <c r="D4431" s="5" t="s">
        <v>369</v>
      </c>
      <c r="E4431" s="5" t="s">
        <v>39</v>
      </c>
      <c r="F4431" s="5" t="s">
        <v>11</v>
      </c>
      <c r="G4431" s="5" t="s">
        <v>112</v>
      </c>
      <c r="H4431" s="5" t="s">
        <v>1497</v>
      </c>
      <c r="I4431" s="13">
        <v>155.37200000000001</v>
      </c>
      <c r="J4431" s="19">
        <v>2</v>
      </c>
      <c r="K4431" s="14">
        <v>-29.152799999999999</v>
      </c>
    </row>
    <row r="4432" spans="1:11" x14ac:dyDescent="0.25">
      <c r="A4432" s="2">
        <v>44088</v>
      </c>
      <c r="B4432" s="18">
        <f t="shared" si="138"/>
        <v>2020</v>
      </c>
      <c r="C4432" s="18">
        <f t="shared" si="139"/>
        <v>9</v>
      </c>
      <c r="D4432" s="3" t="s">
        <v>369</v>
      </c>
      <c r="E4432" s="3" t="s">
        <v>39</v>
      </c>
      <c r="F4432" s="3" t="s">
        <v>14</v>
      </c>
      <c r="G4432" s="3" t="s">
        <v>188</v>
      </c>
      <c r="H4432" s="3" t="s">
        <v>2458</v>
      </c>
      <c r="I4432" s="11">
        <v>264.17</v>
      </c>
      <c r="J4432" s="18">
        <v>2</v>
      </c>
      <c r="K4432" s="12">
        <v>-168.81899999999999</v>
      </c>
    </row>
    <row r="4433" spans="1:11" x14ac:dyDescent="0.25">
      <c r="A4433" s="4">
        <v>44088</v>
      </c>
      <c r="B4433" s="19">
        <f t="shared" si="138"/>
        <v>2020</v>
      </c>
      <c r="C4433" s="19">
        <f t="shared" si="139"/>
        <v>9</v>
      </c>
      <c r="D4433" s="5" t="s">
        <v>2457</v>
      </c>
      <c r="E4433" s="5" t="s">
        <v>94</v>
      </c>
      <c r="F4433" s="5" t="s">
        <v>11</v>
      </c>
      <c r="G4433" s="5" t="s">
        <v>112</v>
      </c>
      <c r="H4433" s="5" t="s">
        <v>752</v>
      </c>
      <c r="I4433" s="13">
        <v>624.41</v>
      </c>
      <c r="J4433" s="19">
        <v>5</v>
      </c>
      <c r="K4433" s="14">
        <v>-6.5490000000000004</v>
      </c>
    </row>
    <row r="4434" spans="1:11" x14ac:dyDescent="0.25">
      <c r="A4434" s="2">
        <v>44088</v>
      </c>
      <c r="B4434" s="18">
        <f t="shared" si="138"/>
        <v>2020</v>
      </c>
      <c r="C4434" s="18">
        <f t="shared" si="139"/>
        <v>9</v>
      </c>
      <c r="D4434" s="3" t="s">
        <v>1368</v>
      </c>
      <c r="E4434" s="3" t="s">
        <v>67</v>
      </c>
      <c r="F4434" s="3" t="s">
        <v>14</v>
      </c>
      <c r="G4434" s="3" t="s">
        <v>24</v>
      </c>
      <c r="H4434" s="3" t="s">
        <v>1819</v>
      </c>
      <c r="I4434" s="11">
        <v>943.94399999999996</v>
      </c>
      <c r="J4434" s="18">
        <v>7</v>
      </c>
      <c r="K4434" s="12">
        <v>190.38810000000001</v>
      </c>
    </row>
    <row r="4435" spans="1:11" x14ac:dyDescent="0.25">
      <c r="A4435" s="4">
        <v>44088</v>
      </c>
      <c r="B4435" s="19">
        <f t="shared" si="138"/>
        <v>2020</v>
      </c>
      <c r="C4435" s="19">
        <f t="shared" si="139"/>
        <v>9</v>
      </c>
      <c r="D4435" s="5" t="s">
        <v>2147</v>
      </c>
      <c r="E4435" s="5" t="s">
        <v>35</v>
      </c>
      <c r="F4435" s="5" t="s">
        <v>19</v>
      </c>
      <c r="G4435" s="5" t="s">
        <v>121</v>
      </c>
      <c r="H4435" s="5" t="s">
        <v>1360</v>
      </c>
      <c r="I4435" s="13">
        <v>977.78399999999999</v>
      </c>
      <c r="J4435" s="19">
        <v>4</v>
      </c>
      <c r="K4435" s="14">
        <v>94.278400000000005</v>
      </c>
    </row>
    <row r="4436" spans="1:11" x14ac:dyDescent="0.25">
      <c r="A4436" s="2">
        <v>44088</v>
      </c>
      <c r="B4436" s="18">
        <f t="shared" si="138"/>
        <v>2020</v>
      </c>
      <c r="C4436" s="18">
        <f t="shared" si="139"/>
        <v>9</v>
      </c>
      <c r="D4436" s="3" t="s">
        <v>2457</v>
      </c>
      <c r="E4436" s="3" t="s">
        <v>94</v>
      </c>
      <c r="F4436" s="3" t="s">
        <v>14</v>
      </c>
      <c r="G4436" s="3" t="s">
        <v>15</v>
      </c>
      <c r="H4436" s="3" t="s">
        <v>343</v>
      </c>
      <c r="I4436" s="11">
        <v>1125.8499999999999</v>
      </c>
      <c r="J4436" s="18">
        <v>3</v>
      </c>
      <c r="K4436" s="12">
        <v>323.95499999999998</v>
      </c>
    </row>
    <row r="4437" spans="1:11" x14ac:dyDescent="0.25">
      <c r="A4437" s="4">
        <v>44088</v>
      </c>
      <c r="B4437" s="19">
        <f t="shared" si="138"/>
        <v>2020</v>
      </c>
      <c r="C4437" s="19">
        <f t="shared" si="139"/>
        <v>9</v>
      </c>
      <c r="D4437" s="5" t="s">
        <v>369</v>
      </c>
      <c r="E4437" s="5" t="s">
        <v>39</v>
      </c>
      <c r="F4437" s="5" t="s">
        <v>19</v>
      </c>
      <c r="G4437" s="5" t="s">
        <v>32</v>
      </c>
      <c r="H4437" s="5" t="s">
        <v>849</v>
      </c>
      <c r="I4437" s="13">
        <v>68.882000000000005</v>
      </c>
      <c r="J4437" s="19">
        <v>2</v>
      </c>
      <c r="K4437" s="14">
        <v>-2.5880000000000001</v>
      </c>
    </row>
    <row r="4438" spans="1:11" x14ac:dyDescent="0.25">
      <c r="A4438" s="2">
        <v>44088</v>
      </c>
      <c r="B4438" s="18">
        <f t="shared" si="138"/>
        <v>2020</v>
      </c>
      <c r="C4438" s="18">
        <f t="shared" si="139"/>
        <v>9</v>
      </c>
      <c r="D4438" s="3" t="s">
        <v>427</v>
      </c>
      <c r="E4438" s="3" t="s">
        <v>94</v>
      </c>
      <c r="F4438" s="3" t="s">
        <v>19</v>
      </c>
      <c r="G4438" s="3" t="s">
        <v>53</v>
      </c>
      <c r="H4438" s="3" t="s">
        <v>2191</v>
      </c>
      <c r="I4438" s="11">
        <v>90.56</v>
      </c>
      <c r="J4438" s="18">
        <v>2</v>
      </c>
      <c r="K4438" s="12">
        <v>3.8519999999999999</v>
      </c>
    </row>
    <row r="4439" spans="1:11" x14ac:dyDescent="0.25">
      <c r="A4439" s="4">
        <v>44088</v>
      </c>
      <c r="B4439" s="19">
        <f t="shared" si="138"/>
        <v>2020</v>
      </c>
      <c r="C4439" s="19">
        <f t="shared" si="139"/>
        <v>9</v>
      </c>
      <c r="D4439" s="5" t="s">
        <v>427</v>
      </c>
      <c r="E4439" s="5" t="s">
        <v>94</v>
      </c>
      <c r="F4439" s="5" t="s">
        <v>19</v>
      </c>
      <c r="G4439" s="5" t="s">
        <v>53</v>
      </c>
      <c r="H4439" s="5" t="s">
        <v>1899</v>
      </c>
      <c r="I4439" s="13">
        <v>119.56</v>
      </c>
      <c r="J4439" s="19">
        <v>2</v>
      </c>
      <c r="K4439" s="14">
        <v>5.6643999999999997</v>
      </c>
    </row>
    <row r="4440" spans="1:11" x14ac:dyDescent="0.25">
      <c r="A4440" s="2">
        <v>44088</v>
      </c>
      <c r="B4440" s="18">
        <f t="shared" si="138"/>
        <v>2020</v>
      </c>
      <c r="C4440" s="18">
        <f t="shared" si="139"/>
        <v>9</v>
      </c>
      <c r="D4440" s="3" t="s">
        <v>2457</v>
      </c>
      <c r="E4440" s="3" t="s">
        <v>94</v>
      </c>
      <c r="F4440" s="3" t="s">
        <v>19</v>
      </c>
      <c r="G4440" s="3" t="s">
        <v>40</v>
      </c>
      <c r="H4440" s="3" t="s">
        <v>2304</v>
      </c>
      <c r="I4440" s="11">
        <v>94.95</v>
      </c>
      <c r="J4440" s="18">
        <v>5</v>
      </c>
      <c r="K4440" s="12">
        <v>8.6854999999999993</v>
      </c>
    </row>
    <row r="4441" spans="1:11" x14ac:dyDescent="0.25">
      <c r="A4441" s="4">
        <v>44088</v>
      </c>
      <c r="B4441" s="19">
        <f t="shared" si="138"/>
        <v>2020</v>
      </c>
      <c r="C4441" s="19">
        <f t="shared" si="139"/>
        <v>9</v>
      </c>
      <c r="D4441" s="5" t="s">
        <v>369</v>
      </c>
      <c r="E4441" s="5" t="s">
        <v>39</v>
      </c>
      <c r="F4441" s="5" t="s">
        <v>14</v>
      </c>
      <c r="G4441" s="5" t="s">
        <v>188</v>
      </c>
      <c r="H4441" s="5" t="s">
        <v>2459</v>
      </c>
      <c r="I4441" s="13">
        <v>99.584999999999994</v>
      </c>
      <c r="J4441" s="19">
        <v>1</v>
      </c>
      <c r="K4441" s="14">
        <v>-18.038499999999999</v>
      </c>
    </row>
    <row r="4442" spans="1:11" x14ac:dyDescent="0.25">
      <c r="A4442" s="2">
        <v>44088</v>
      </c>
      <c r="B4442" s="18">
        <f t="shared" si="138"/>
        <v>2020</v>
      </c>
      <c r="C4442" s="18">
        <f t="shared" si="139"/>
        <v>9</v>
      </c>
      <c r="D4442" s="3" t="s">
        <v>197</v>
      </c>
      <c r="E4442" s="3" t="s">
        <v>365</v>
      </c>
      <c r="F4442" s="3" t="s">
        <v>19</v>
      </c>
      <c r="G4442" s="3" t="s">
        <v>53</v>
      </c>
      <c r="H4442" s="3" t="s">
        <v>915</v>
      </c>
      <c r="I4442" s="11">
        <v>145.05000000000001</v>
      </c>
      <c r="J4442" s="18">
        <v>3</v>
      </c>
      <c r="K4442" s="12">
        <v>8.7629999999999999</v>
      </c>
    </row>
    <row r="4443" spans="1:11" x14ac:dyDescent="0.25">
      <c r="A4443" s="4">
        <v>44088</v>
      </c>
      <c r="B4443" s="19">
        <f t="shared" si="138"/>
        <v>2020</v>
      </c>
      <c r="C4443" s="19">
        <f t="shared" si="139"/>
        <v>9</v>
      </c>
      <c r="D4443" s="5" t="s">
        <v>369</v>
      </c>
      <c r="E4443" s="5" t="s">
        <v>39</v>
      </c>
      <c r="F4443" s="5" t="s">
        <v>19</v>
      </c>
      <c r="G4443" s="5" t="s">
        <v>32</v>
      </c>
      <c r="H4443" s="5" t="s">
        <v>616</v>
      </c>
      <c r="I4443" s="13">
        <v>143.31200000000001</v>
      </c>
      <c r="J4443" s="19">
        <v>4</v>
      </c>
      <c r="K4443" s="14">
        <v>-12.208</v>
      </c>
    </row>
    <row r="4444" spans="1:11" x14ac:dyDescent="0.25">
      <c r="A4444" s="2">
        <v>44088</v>
      </c>
      <c r="B4444" s="18">
        <f t="shared" si="138"/>
        <v>2020</v>
      </c>
      <c r="C4444" s="18">
        <f t="shared" si="139"/>
        <v>9</v>
      </c>
      <c r="D4444" s="3" t="s">
        <v>406</v>
      </c>
      <c r="E4444" s="3" t="s">
        <v>85</v>
      </c>
      <c r="F4444" s="3" t="s">
        <v>19</v>
      </c>
      <c r="G4444" s="3" t="s">
        <v>40</v>
      </c>
      <c r="H4444" s="3" t="s">
        <v>1866</v>
      </c>
      <c r="I4444" s="11">
        <v>150.94999999999999</v>
      </c>
      <c r="J4444" s="18">
        <v>3</v>
      </c>
      <c r="K4444" s="12">
        <v>18.446999999999999</v>
      </c>
    </row>
    <row r="4445" spans="1:11" x14ac:dyDescent="0.25">
      <c r="A4445" s="4">
        <v>44089</v>
      </c>
      <c r="B4445" s="19">
        <f t="shared" si="138"/>
        <v>2020</v>
      </c>
      <c r="C4445" s="19">
        <f t="shared" si="139"/>
        <v>9</v>
      </c>
      <c r="D4445" s="5" t="s">
        <v>2460</v>
      </c>
      <c r="E4445" s="5" t="s">
        <v>85</v>
      </c>
      <c r="F4445" s="5" t="s">
        <v>19</v>
      </c>
      <c r="G4445" s="5" t="s">
        <v>20</v>
      </c>
      <c r="H4445" s="5" t="s">
        <v>1528</v>
      </c>
      <c r="I4445" s="13">
        <v>104.96</v>
      </c>
      <c r="J4445" s="19">
        <v>2</v>
      </c>
      <c r="K4445" s="14">
        <v>0</v>
      </c>
    </row>
    <row r="4446" spans="1:11" x14ac:dyDescent="0.25">
      <c r="A4446" s="2">
        <v>44089</v>
      </c>
      <c r="B4446" s="18">
        <f t="shared" si="138"/>
        <v>2020</v>
      </c>
      <c r="C4446" s="18">
        <f t="shared" si="139"/>
        <v>9</v>
      </c>
      <c r="D4446" s="3" t="s">
        <v>335</v>
      </c>
      <c r="E4446" s="3" t="s">
        <v>18</v>
      </c>
      <c r="F4446" s="3" t="s">
        <v>19</v>
      </c>
      <c r="G4446" s="3" t="s">
        <v>40</v>
      </c>
      <c r="H4446" s="3" t="s">
        <v>2182</v>
      </c>
      <c r="I4446" s="11">
        <v>139.30000000000001</v>
      </c>
      <c r="J4446" s="18">
        <v>10</v>
      </c>
      <c r="K4446" s="12">
        <v>41.706000000000003</v>
      </c>
    </row>
    <row r="4447" spans="1:11" x14ac:dyDescent="0.25">
      <c r="A4447" s="4">
        <v>44089</v>
      </c>
      <c r="B4447" s="19">
        <f t="shared" si="138"/>
        <v>2020</v>
      </c>
      <c r="C4447" s="19">
        <f t="shared" si="139"/>
        <v>9</v>
      </c>
      <c r="D4447" s="5" t="s">
        <v>335</v>
      </c>
      <c r="E4447" s="5" t="s">
        <v>18</v>
      </c>
      <c r="F4447" s="5" t="s">
        <v>19</v>
      </c>
      <c r="G4447" s="5" t="s">
        <v>121</v>
      </c>
      <c r="H4447" s="5" t="s">
        <v>284</v>
      </c>
      <c r="I4447" s="13">
        <v>153.96</v>
      </c>
      <c r="J4447" s="19">
        <v>2</v>
      </c>
      <c r="K4447" s="14">
        <v>30.508800000000001</v>
      </c>
    </row>
    <row r="4448" spans="1:11" x14ac:dyDescent="0.25">
      <c r="A4448" s="2">
        <v>44089</v>
      </c>
      <c r="B4448" s="18">
        <f t="shared" si="138"/>
        <v>2020</v>
      </c>
      <c r="C4448" s="18">
        <f t="shared" si="139"/>
        <v>9</v>
      </c>
      <c r="D4448" s="3" t="s">
        <v>2211</v>
      </c>
      <c r="E4448" s="3" t="s">
        <v>219</v>
      </c>
      <c r="F4448" s="3" t="s">
        <v>19</v>
      </c>
      <c r="G4448" s="3" t="s">
        <v>53</v>
      </c>
      <c r="H4448" s="3" t="s">
        <v>99</v>
      </c>
      <c r="I4448" s="11">
        <v>208.96</v>
      </c>
      <c r="J4448" s="18">
        <v>5</v>
      </c>
      <c r="K4448" s="12">
        <v>59.435499999999998</v>
      </c>
    </row>
    <row r="4449" spans="1:11" x14ac:dyDescent="0.25">
      <c r="A4449" s="4">
        <v>44089</v>
      </c>
      <c r="B4449" s="19">
        <f t="shared" si="138"/>
        <v>2020</v>
      </c>
      <c r="C4449" s="19">
        <f t="shared" si="139"/>
        <v>9</v>
      </c>
      <c r="D4449" s="5" t="s">
        <v>1022</v>
      </c>
      <c r="E4449" s="5" t="s">
        <v>18</v>
      </c>
      <c r="F4449" s="5" t="s">
        <v>11</v>
      </c>
      <c r="G4449" s="5" t="s">
        <v>112</v>
      </c>
      <c r="H4449" s="5" t="s">
        <v>1629</v>
      </c>
      <c r="I4449" s="13">
        <v>227.75200000000001</v>
      </c>
      <c r="J4449" s="19">
        <v>3</v>
      </c>
      <c r="K4449" s="14">
        <v>-20.784600000000001</v>
      </c>
    </row>
    <row r="4450" spans="1:11" x14ac:dyDescent="0.25">
      <c r="A4450" s="2">
        <v>44089</v>
      </c>
      <c r="B4450" s="18">
        <f t="shared" si="138"/>
        <v>2020</v>
      </c>
      <c r="C4450" s="18">
        <f t="shared" si="139"/>
        <v>9</v>
      </c>
      <c r="D4450" s="3" t="s">
        <v>335</v>
      </c>
      <c r="E4450" s="3" t="s">
        <v>18</v>
      </c>
      <c r="F4450" s="3" t="s">
        <v>11</v>
      </c>
      <c r="G4450" s="3" t="s">
        <v>112</v>
      </c>
      <c r="H4450" s="3" t="s">
        <v>1262</v>
      </c>
      <c r="I4450" s="11">
        <v>241.352</v>
      </c>
      <c r="J4450" s="18">
        <v>3</v>
      </c>
      <c r="K4450" s="12">
        <v>0</v>
      </c>
    </row>
    <row r="4451" spans="1:11" x14ac:dyDescent="0.25">
      <c r="A4451" s="4">
        <v>44089</v>
      </c>
      <c r="B4451" s="19">
        <f t="shared" si="138"/>
        <v>2020</v>
      </c>
      <c r="C4451" s="19">
        <f t="shared" si="139"/>
        <v>9</v>
      </c>
      <c r="D4451" s="5" t="s">
        <v>1956</v>
      </c>
      <c r="E4451" s="5" t="s">
        <v>370</v>
      </c>
      <c r="F4451" s="5" t="s">
        <v>19</v>
      </c>
      <c r="G4451" s="5" t="s">
        <v>32</v>
      </c>
      <c r="H4451" s="5" t="s">
        <v>2461</v>
      </c>
      <c r="I4451" s="13">
        <v>291.48</v>
      </c>
      <c r="J4451" s="19">
        <v>7</v>
      </c>
      <c r="K4451" s="14">
        <v>116.3904</v>
      </c>
    </row>
    <row r="4452" spans="1:11" x14ac:dyDescent="0.25">
      <c r="A4452" s="2">
        <v>44089</v>
      </c>
      <c r="B4452" s="18">
        <f t="shared" si="138"/>
        <v>2020</v>
      </c>
      <c r="C4452" s="18">
        <f t="shared" si="139"/>
        <v>9</v>
      </c>
      <c r="D4452" s="3" t="s">
        <v>2419</v>
      </c>
      <c r="E4452" s="3" t="s">
        <v>1156</v>
      </c>
      <c r="F4452" s="3" t="s">
        <v>19</v>
      </c>
      <c r="G4452" s="3" t="s">
        <v>32</v>
      </c>
      <c r="H4452" s="3" t="s">
        <v>2167</v>
      </c>
      <c r="I4452" s="11">
        <v>317.05599999999998</v>
      </c>
      <c r="J4452" s="18">
        <v>9</v>
      </c>
      <c r="K4452" s="12">
        <v>106.95780000000001</v>
      </c>
    </row>
    <row r="4453" spans="1:11" x14ac:dyDescent="0.25">
      <c r="A4453" s="4">
        <v>44089</v>
      </c>
      <c r="B4453" s="19">
        <f t="shared" si="138"/>
        <v>2020</v>
      </c>
      <c r="C4453" s="19">
        <f t="shared" si="139"/>
        <v>9</v>
      </c>
      <c r="D4453" s="5" t="s">
        <v>822</v>
      </c>
      <c r="E4453" s="5" t="s">
        <v>18</v>
      </c>
      <c r="F4453" s="5" t="s">
        <v>11</v>
      </c>
      <c r="G4453" s="5" t="s">
        <v>30</v>
      </c>
      <c r="H4453" s="5" t="s">
        <v>1027</v>
      </c>
      <c r="I4453" s="13">
        <v>335.904</v>
      </c>
      <c r="J4453" s="19">
        <v>1</v>
      </c>
      <c r="K4453" s="14">
        <v>11.283899999999999</v>
      </c>
    </row>
    <row r="4454" spans="1:11" x14ac:dyDescent="0.25">
      <c r="A4454" s="2">
        <v>44089</v>
      </c>
      <c r="B4454" s="18">
        <f t="shared" si="138"/>
        <v>2020</v>
      </c>
      <c r="C4454" s="18">
        <f t="shared" si="139"/>
        <v>9</v>
      </c>
      <c r="D4454" s="3" t="s">
        <v>456</v>
      </c>
      <c r="E4454" s="3" t="s">
        <v>164</v>
      </c>
      <c r="F4454" s="3" t="s">
        <v>14</v>
      </c>
      <c r="G4454" s="3" t="s">
        <v>15</v>
      </c>
      <c r="H4454" s="3" t="s">
        <v>1885</v>
      </c>
      <c r="I4454" s="11">
        <v>368.976</v>
      </c>
      <c r="J4454" s="18">
        <v>3</v>
      </c>
      <c r="K4454" s="12">
        <v>20.2485</v>
      </c>
    </row>
    <row r="4455" spans="1:11" x14ac:dyDescent="0.25">
      <c r="A4455" s="4">
        <v>44089</v>
      </c>
      <c r="B4455" s="19">
        <f t="shared" si="138"/>
        <v>2020</v>
      </c>
      <c r="C4455" s="19">
        <f t="shared" si="139"/>
        <v>9</v>
      </c>
      <c r="D4455" s="5" t="s">
        <v>1022</v>
      </c>
      <c r="E4455" s="5" t="s">
        <v>18</v>
      </c>
      <c r="F4455" s="5" t="s">
        <v>14</v>
      </c>
      <c r="G4455" s="5" t="s">
        <v>15</v>
      </c>
      <c r="H4455" s="5" t="s">
        <v>1334</v>
      </c>
      <c r="I4455" s="13">
        <v>416.54399999999998</v>
      </c>
      <c r="J4455" s="19">
        <v>7</v>
      </c>
      <c r="K4455" s="14">
        <v>32.335099999999997</v>
      </c>
    </row>
    <row r="4456" spans="1:11" x14ac:dyDescent="0.25">
      <c r="A4456" s="2">
        <v>44089</v>
      </c>
      <c r="B4456" s="18">
        <f t="shared" si="138"/>
        <v>2020</v>
      </c>
      <c r="C4456" s="18">
        <f t="shared" si="139"/>
        <v>9</v>
      </c>
      <c r="D4456" s="3" t="s">
        <v>2460</v>
      </c>
      <c r="E4456" s="3" t="s">
        <v>85</v>
      </c>
      <c r="F4456" s="3" t="s">
        <v>14</v>
      </c>
      <c r="G4456" s="3" t="s">
        <v>15</v>
      </c>
      <c r="H4456" s="3" t="s">
        <v>2462</v>
      </c>
      <c r="I4456" s="11">
        <v>429.94</v>
      </c>
      <c r="J4456" s="18">
        <v>6</v>
      </c>
      <c r="K4456" s="12">
        <v>102.9444</v>
      </c>
    </row>
    <row r="4457" spans="1:11" x14ac:dyDescent="0.25">
      <c r="A4457" s="4">
        <v>44089</v>
      </c>
      <c r="B4457" s="19">
        <f t="shared" si="138"/>
        <v>2020</v>
      </c>
      <c r="C4457" s="19">
        <f t="shared" si="139"/>
        <v>9</v>
      </c>
      <c r="D4457" s="5" t="s">
        <v>335</v>
      </c>
      <c r="E4457" s="5" t="s">
        <v>18</v>
      </c>
      <c r="F4457" s="5" t="s">
        <v>11</v>
      </c>
      <c r="G4457" s="5" t="s">
        <v>51</v>
      </c>
      <c r="H4457" s="5" t="s">
        <v>799</v>
      </c>
      <c r="I4457" s="13">
        <v>549.9</v>
      </c>
      <c r="J4457" s="19">
        <v>5</v>
      </c>
      <c r="K4457" s="14">
        <v>105.98</v>
      </c>
    </row>
    <row r="4458" spans="1:11" x14ac:dyDescent="0.25">
      <c r="A4458" s="2">
        <v>44089</v>
      </c>
      <c r="B4458" s="18">
        <f t="shared" si="138"/>
        <v>2020</v>
      </c>
      <c r="C4458" s="18">
        <f t="shared" si="139"/>
        <v>9</v>
      </c>
      <c r="D4458" s="3" t="s">
        <v>2460</v>
      </c>
      <c r="E4458" s="3" t="s">
        <v>85</v>
      </c>
      <c r="F4458" s="3" t="s">
        <v>11</v>
      </c>
      <c r="G4458" s="3" t="s">
        <v>112</v>
      </c>
      <c r="H4458" s="3" t="s">
        <v>1718</v>
      </c>
      <c r="I4458" s="11">
        <v>555.96</v>
      </c>
      <c r="J4458" s="18">
        <v>4</v>
      </c>
      <c r="K4458" s="12">
        <v>143.62880000000001</v>
      </c>
    </row>
    <row r="4459" spans="1:11" x14ac:dyDescent="0.25">
      <c r="A4459" s="4">
        <v>44089</v>
      </c>
      <c r="B4459" s="19">
        <f t="shared" si="138"/>
        <v>2020</v>
      </c>
      <c r="C4459" s="19">
        <f t="shared" si="139"/>
        <v>9</v>
      </c>
      <c r="D4459" s="5" t="s">
        <v>1956</v>
      </c>
      <c r="E4459" s="5" t="s">
        <v>370</v>
      </c>
      <c r="F4459" s="5" t="s">
        <v>11</v>
      </c>
      <c r="G4459" s="5" t="s">
        <v>12</v>
      </c>
      <c r="H4459" s="5" t="s">
        <v>57</v>
      </c>
      <c r="I4459" s="13">
        <v>801.94</v>
      </c>
      <c r="J4459" s="19">
        <v>3</v>
      </c>
      <c r="K4459" s="14">
        <v>203.56440000000001</v>
      </c>
    </row>
    <row r="4460" spans="1:11" x14ac:dyDescent="0.25">
      <c r="A4460" s="2">
        <v>44089</v>
      </c>
      <c r="B4460" s="18">
        <f t="shared" si="138"/>
        <v>2020</v>
      </c>
      <c r="C4460" s="18">
        <f t="shared" si="139"/>
        <v>9</v>
      </c>
      <c r="D4460" s="3" t="s">
        <v>1022</v>
      </c>
      <c r="E4460" s="3" t="s">
        <v>18</v>
      </c>
      <c r="F4460" s="3" t="s">
        <v>19</v>
      </c>
      <c r="G4460" s="3" t="s">
        <v>32</v>
      </c>
      <c r="H4460" s="3" t="s">
        <v>1564</v>
      </c>
      <c r="I4460" s="11">
        <v>2385.4879999999998</v>
      </c>
      <c r="J4460" s="18">
        <v>7</v>
      </c>
      <c r="K4460" s="12">
        <v>884.05799999999999</v>
      </c>
    </row>
    <row r="4461" spans="1:11" x14ac:dyDescent="0.25">
      <c r="A4461" s="4">
        <v>44089</v>
      </c>
      <c r="B4461" s="19">
        <f t="shared" si="138"/>
        <v>2020</v>
      </c>
      <c r="C4461" s="19">
        <f t="shared" si="139"/>
        <v>9</v>
      </c>
      <c r="D4461" s="5" t="s">
        <v>335</v>
      </c>
      <c r="E4461" s="5" t="s">
        <v>18</v>
      </c>
      <c r="F4461" s="5" t="s">
        <v>19</v>
      </c>
      <c r="G4461" s="5" t="s">
        <v>32</v>
      </c>
      <c r="H4461" s="5" t="s">
        <v>2463</v>
      </c>
      <c r="I4461" s="13">
        <v>118.688</v>
      </c>
      <c r="J4461" s="19">
        <v>1</v>
      </c>
      <c r="K4461" s="14">
        <v>0.84</v>
      </c>
    </row>
    <row r="4462" spans="1:11" x14ac:dyDescent="0.25">
      <c r="A4462" s="2">
        <v>44089</v>
      </c>
      <c r="B4462" s="18">
        <f t="shared" si="138"/>
        <v>2020</v>
      </c>
      <c r="C4462" s="18">
        <f t="shared" si="139"/>
        <v>9</v>
      </c>
      <c r="D4462" s="3" t="s">
        <v>1342</v>
      </c>
      <c r="E4462" s="3" t="s">
        <v>23</v>
      </c>
      <c r="F4462" s="3" t="s">
        <v>19</v>
      </c>
      <c r="G4462" s="3" t="s">
        <v>40</v>
      </c>
      <c r="H4462" s="3" t="s">
        <v>1490</v>
      </c>
      <c r="I4462" s="11">
        <v>122.744</v>
      </c>
      <c r="J4462" s="18">
        <v>2</v>
      </c>
      <c r="K4462" s="12">
        <v>8.3328000000000007</v>
      </c>
    </row>
    <row r="4463" spans="1:11" x14ac:dyDescent="0.25">
      <c r="A4463" s="4">
        <v>44089</v>
      </c>
      <c r="B4463" s="19">
        <f t="shared" si="138"/>
        <v>2020</v>
      </c>
      <c r="C4463" s="19">
        <f t="shared" si="139"/>
        <v>9</v>
      </c>
      <c r="D4463" s="5" t="s">
        <v>790</v>
      </c>
      <c r="E4463" s="5" t="s">
        <v>70</v>
      </c>
      <c r="F4463" s="5" t="s">
        <v>19</v>
      </c>
      <c r="G4463" s="5" t="s">
        <v>40</v>
      </c>
      <c r="H4463" s="5" t="s">
        <v>1639</v>
      </c>
      <c r="I4463" s="13">
        <v>131.41999999999999</v>
      </c>
      <c r="J4463" s="19">
        <v>3</v>
      </c>
      <c r="K4463" s="14">
        <v>5.2164000000000001</v>
      </c>
    </row>
    <row r="4464" spans="1:11" x14ac:dyDescent="0.25">
      <c r="A4464" s="2">
        <v>44089</v>
      </c>
      <c r="B4464" s="18">
        <f t="shared" si="138"/>
        <v>2020</v>
      </c>
      <c r="C4464" s="18">
        <f t="shared" si="139"/>
        <v>9</v>
      </c>
      <c r="D4464" s="3" t="s">
        <v>1448</v>
      </c>
      <c r="E4464" s="3" t="s">
        <v>94</v>
      </c>
      <c r="F4464" s="3" t="s">
        <v>11</v>
      </c>
      <c r="G4464" s="3" t="s">
        <v>51</v>
      </c>
      <c r="H4464" s="3" t="s">
        <v>462</v>
      </c>
      <c r="I4464" s="11">
        <v>124.56</v>
      </c>
      <c r="J4464" s="18">
        <v>7</v>
      </c>
      <c r="K4464" s="12">
        <v>12.090400000000001</v>
      </c>
    </row>
    <row r="4465" spans="1:11" x14ac:dyDescent="0.25">
      <c r="A4465" s="4">
        <v>44089</v>
      </c>
      <c r="B4465" s="19">
        <f t="shared" si="138"/>
        <v>2020</v>
      </c>
      <c r="C4465" s="19">
        <f t="shared" si="139"/>
        <v>9</v>
      </c>
      <c r="D4465" s="5" t="s">
        <v>1956</v>
      </c>
      <c r="E4465" s="5" t="s">
        <v>370</v>
      </c>
      <c r="F4465" s="5" t="s">
        <v>19</v>
      </c>
      <c r="G4465" s="5" t="s">
        <v>40</v>
      </c>
      <c r="H4465" s="5" t="s">
        <v>2464</v>
      </c>
      <c r="I4465" s="13">
        <v>140.28</v>
      </c>
      <c r="J4465" s="19">
        <v>2</v>
      </c>
      <c r="K4465" s="14">
        <v>6.5119999999999996</v>
      </c>
    </row>
    <row r="4466" spans="1:11" x14ac:dyDescent="0.25">
      <c r="A4466" s="2">
        <v>44089</v>
      </c>
      <c r="B4466" s="18">
        <f t="shared" si="138"/>
        <v>2020</v>
      </c>
      <c r="C4466" s="18">
        <f t="shared" si="139"/>
        <v>9</v>
      </c>
      <c r="D4466" s="3" t="s">
        <v>84</v>
      </c>
      <c r="E4466" s="3" t="s">
        <v>91</v>
      </c>
      <c r="F4466" s="3" t="s">
        <v>19</v>
      </c>
      <c r="G4466" s="3" t="s">
        <v>20</v>
      </c>
      <c r="H4466" s="3" t="s">
        <v>2465</v>
      </c>
      <c r="I4466" s="11">
        <v>120.62</v>
      </c>
      <c r="J4466" s="18">
        <v>2</v>
      </c>
      <c r="K4466" s="12">
        <v>10.813599999999999</v>
      </c>
    </row>
    <row r="4467" spans="1:11" x14ac:dyDescent="0.25">
      <c r="A4467" s="4">
        <v>44089</v>
      </c>
      <c r="B4467" s="19">
        <f t="shared" si="138"/>
        <v>2020</v>
      </c>
      <c r="C4467" s="19">
        <f t="shared" si="139"/>
        <v>9</v>
      </c>
      <c r="D4467" s="5" t="s">
        <v>1843</v>
      </c>
      <c r="E4467" s="5" t="s">
        <v>23</v>
      </c>
      <c r="F4467" s="5" t="s">
        <v>19</v>
      </c>
      <c r="G4467" s="5" t="s">
        <v>53</v>
      </c>
      <c r="H4467" s="5" t="s">
        <v>2466</v>
      </c>
      <c r="I4467" s="13">
        <v>165.87200000000001</v>
      </c>
      <c r="J4467" s="19">
        <v>8</v>
      </c>
      <c r="K4467" s="14">
        <v>11.553599999999999</v>
      </c>
    </row>
    <row r="4468" spans="1:11" x14ac:dyDescent="0.25">
      <c r="A4468" s="2">
        <v>44089</v>
      </c>
      <c r="B4468" s="18">
        <f t="shared" si="138"/>
        <v>2020</v>
      </c>
      <c r="C4468" s="18">
        <f t="shared" si="139"/>
        <v>9</v>
      </c>
      <c r="D4468" s="3" t="s">
        <v>84</v>
      </c>
      <c r="E4468" s="3" t="s">
        <v>91</v>
      </c>
      <c r="F4468" s="3" t="s">
        <v>14</v>
      </c>
      <c r="G4468" s="3" t="s">
        <v>24</v>
      </c>
      <c r="H4468" s="3" t="s">
        <v>2467</v>
      </c>
      <c r="I4468" s="11">
        <v>156.97999999999999</v>
      </c>
      <c r="J4468" s="18">
        <v>2</v>
      </c>
      <c r="K4468" s="12">
        <v>10.7964</v>
      </c>
    </row>
    <row r="4469" spans="1:11" x14ac:dyDescent="0.25">
      <c r="A4469" s="4">
        <v>44089</v>
      </c>
      <c r="B4469" s="19">
        <f t="shared" si="138"/>
        <v>2020</v>
      </c>
      <c r="C4469" s="19">
        <f t="shared" si="139"/>
        <v>9</v>
      </c>
      <c r="D4469" s="5" t="s">
        <v>2460</v>
      </c>
      <c r="E4469" s="5" t="s">
        <v>85</v>
      </c>
      <c r="F4469" s="5" t="s">
        <v>11</v>
      </c>
      <c r="G4469" s="5" t="s">
        <v>51</v>
      </c>
      <c r="H4469" s="5" t="s">
        <v>68</v>
      </c>
      <c r="I4469" s="13">
        <v>165.4</v>
      </c>
      <c r="J4469" s="19">
        <v>5</v>
      </c>
      <c r="K4469" s="14">
        <v>18.96</v>
      </c>
    </row>
    <row r="4470" spans="1:11" x14ac:dyDescent="0.25">
      <c r="A4470" s="2">
        <v>44089</v>
      </c>
      <c r="B4470" s="18">
        <f t="shared" si="138"/>
        <v>2020</v>
      </c>
      <c r="C4470" s="18">
        <f t="shared" si="139"/>
        <v>9</v>
      </c>
      <c r="D4470" s="3" t="s">
        <v>1956</v>
      </c>
      <c r="E4470" s="3" t="s">
        <v>370</v>
      </c>
      <c r="F4470" s="3" t="s">
        <v>14</v>
      </c>
      <c r="G4470" s="3" t="s">
        <v>15</v>
      </c>
      <c r="H4470" s="3" t="s">
        <v>1381</v>
      </c>
      <c r="I4470" s="11">
        <v>146.99</v>
      </c>
      <c r="J4470" s="18">
        <v>1</v>
      </c>
      <c r="K4470" s="12">
        <v>11.597099999999999</v>
      </c>
    </row>
    <row r="4471" spans="1:11" x14ac:dyDescent="0.25">
      <c r="A4471" s="4">
        <v>44090</v>
      </c>
      <c r="B4471" s="19">
        <f t="shared" si="138"/>
        <v>2020</v>
      </c>
      <c r="C4471" s="19">
        <f t="shared" si="139"/>
        <v>9</v>
      </c>
      <c r="D4471" s="5" t="s">
        <v>747</v>
      </c>
      <c r="E4471" s="5" t="s">
        <v>39</v>
      </c>
      <c r="F4471" s="5" t="s">
        <v>14</v>
      </c>
      <c r="G4471" s="5" t="s">
        <v>24</v>
      </c>
      <c r="H4471" s="5" t="s">
        <v>553</v>
      </c>
      <c r="I4471" s="13">
        <v>109.976</v>
      </c>
      <c r="J4471" s="19">
        <v>3</v>
      </c>
      <c r="K4471" s="14">
        <v>19.793399999999998</v>
      </c>
    </row>
    <row r="4472" spans="1:11" x14ac:dyDescent="0.25">
      <c r="A4472" s="2">
        <v>44090</v>
      </c>
      <c r="B4472" s="18">
        <f t="shared" si="138"/>
        <v>2020</v>
      </c>
      <c r="C4472" s="18">
        <f t="shared" si="139"/>
        <v>9</v>
      </c>
      <c r="D4472" s="3" t="s">
        <v>747</v>
      </c>
      <c r="E4472" s="3" t="s">
        <v>39</v>
      </c>
      <c r="F4472" s="3" t="s">
        <v>19</v>
      </c>
      <c r="G4472" s="3" t="s">
        <v>32</v>
      </c>
      <c r="H4472" s="3" t="s">
        <v>2027</v>
      </c>
      <c r="I4472" s="11">
        <v>585.19399999999996</v>
      </c>
      <c r="J4472" s="18">
        <v>2</v>
      </c>
      <c r="K4472" s="12">
        <v>-412.61540000000002</v>
      </c>
    </row>
    <row r="4473" spans="1:11" x14ac:dyDescent="0.25">
      <c r="A4473" s="4">
        <v>44090</v>
      </c>
      <c r="B4473" s="19">
        <f t="shared" si="138"/>
        <v>2020</v>
      </c>
      <c r="C4473" s="19">
        <f t="shared" si="139"/>
        <v>9</v>
      </c>
      <c r="D4473" s="5" t="s">
        <v>530</v>
      </c>
      <c r="E4473" s="5" t="s">
        <v>18</v>
      </c>
      <c r="F4473" s="5" t="s">
        <v>19</v>
      </c>
      <c r="G4473" s="5" t="s">
        <v>40</v>
      </c>
      <c r="H4473" s="5" t="s">
        <v>2340</v>
      </c>
      <c r="I4473" s="13">
        <v>92.98</v>
      </c>
      <c r="J4473" s="19">
        <v>1</v>
      </c>
      <c r="K4473" s="14">
        <v>1.5548</v>
      </c>
    </row>
    <row r="4474" spans="1:11" x14ac:dyDescent="0.25">
      <c r="A4474" s="2">
        <v>44090</v>
      </c>
      <c r="B4474" s="18">
        <f t="shared" si="138"/>
        <v>2020</v>
      </c>
      <c r="C4474" s="18">
        <f t="shared" si="139"/>
        <v>9</v>
      </c>
      <c r="D4474" s="3" t="s">
        <v>1368</v>
      </c>
      <c r="E4474" s="3" t="s">
        <v>18</v>
      </c>
      <c r="F4474" s="3" t="s">
        <v>19</v>
      </c>
      <c r="G4474" s="3" t="s">
        <v>116</v>
      </c>
      <c r="H4474" s="3" t="s">
        <v>1789</v>
      </c>
      <c r="I4474" s="11">
        <v>110.9</v>
      </c>
      <c r="J4474" s="18">
        <v>5</v>
      </c>
      <c r="K4474" s="12">
        <v>8.7710000000000008</v>
      </c>
    </row>
    <row r="4475" spans="1:11" x14ac:dyDescent="0.25">
      <c r="A4475" s="4">
        <v>44090</v>
      </c>
      <c r="B4475" s="19">
        <f t="shared" si="138"/>
        <v>2020</v>
      </c>
      <c r="C4475" s="19">
        <f t="shared" si="139"/>
        <v>9</v>
      </c>
      <c r="D4475" s="5" t="s">
        <v>720</v>
      </c>
      <c r="E4475" s="5" t="s">
        <v>195</v>
      </c>
      <c r="F4475" s="5" t="s">
        <v>14</v>
      </c>
      <c r="G4475" s="5" t="s">
        <v>24</v>
      </c>
      <c r="H4475" s="5" t="s">
        <v>1803</v>
      </c>
      <c r="I4475" s="13">
        <v>99</v>
      </c>
      <c r="J4475" s="19">
        <v>1</v>
      </c>
      <c r="K4475" s="14">
        <v>3.24</v>
      </c>
    </row>
    <row r="4476" spans="1:11" x14ac:dyDescent="0.25">
      <c r="A4476" s="2">
        <v>44090</v>
      </c>
      <c r="B4476" s="18">
        <f t="shared" si="138"/>
        <v>2020</v>
      </c>
      <c r="C4476" s="18">
        <f t="shared" si="139"/>
        <v>9</v>
      </c>
      <c r="D4476" s="3" t="s">
        <v>410</v>
      </c>
      <c r="E4476" s="3" t="s">
        <v>39</v>
      </c>
      <c r="F4476" s="3" t="s">
        <v>19</v>
      </c>
      <c r="G4476" s="3" t="s">
        <v>53</v>
      </c>
      <c r="H4476" s="3" t="s">
        <v>1279</v>
      </c>
      <c r="I4476" s="11">
        <v>109.736</v>
      </c>
      <c r="J4476" s="18">
        <v>4</v>
      </c>
      <c r="K4476" s="12">
        <v>7.2576000000000001</v>
      </c>
    </row>
    <row r="4477" spans="1:11" x14ac:dyDescent="0.25">
      <c r="A4477" s="4">
        <v>44090</v>
      </c>
      <c r="B4477" s="19">
        <f t="shared" si="138"/>
        <v>2020</v>
      </c>
      <c r="C4477" s="19">
        <f t="shared" si="139"/>
        <v>9</v>
      </c>
      <c r="D4477" s="5" t="s">
        <v>1153</v>
      </c>
      <c r="E4477" s="5" t="s">
        <v>23</v>
      </c>
      <c r="F4477" s="5" t="s">
        <v>19</v>
      </c>
      <c r="G4477" s="5" t="s">
        <v>86</v>
      </c>
      <c r="H4477" s="5" t="s">
        <v>827</v>
      </c>
      <c r="I4477" s="13">
        <v>107.568</v>
      </c>
      <c r="J4477" s="19">
        <v>2</v>
      </c>
      <c r="K4477" s="14">
        <v>6.3684000000000003</v>
      </c>
    </row>
    <row r="4478" spans="1:11" x14ac:dyDescent="0.25">
      <c r="A4478" s="2">
        <v>44090</v>
      </c>
      <c r="B4478" s="18">
        <f t="shared" si="138"/>
        <v>2020</v>
      </c>
      <c r="C4478" s="18">
        <f t="shared" si="139"/>
        <v>9</v>
      </c>
      <c r="D4478" s="3" t="s">
        <v>530</v>
      </c>
      <c r="E4478" s="3" t="s">
        <v>18</v>
      </c>
      <c r="F4478" s="3" t="s">
        <v>19</v>
      </c>
      <c r="G4478" s="3" t="s">
        <v>53</v>
      </c>
      <c r="H4478" s="3" t="s">
        <v>1435</v>
      </c>
      <c r="I4478" s="11">
        <v>115.82</v>
      </c>
      <c r="J4478" s="18">
        <v>2</v>
      </c>
      <c r="K4478" s="12">
        <v>4.0571999999999999</v>
      </c>
    </row>
    <row r="4479" spans="1:11" x14ac:dyDescent="0.25">
      <c r="A4479" s="4">
        <v>44090</v>
      </c>
      <c r="B4479" s="19">
        <f t="shared" si="138"/>
        <v>2020</v>
      </c>
      <c r="C4479" s="19">
        <f t="shared" si="139"/>
        <v>9</v>
      </c>
      <c r="D4479" s="5" t="s">
        <v>747</v>
      </c>
      <c r="E4479" s="5" t="s">
        <v>39</v>
      </c>
      <c r="F4479" s="5" t="s">
        <v>19</v>
      </c>
      <c r="G4479" s="5" t="s">
        <v>32</v>
      </c>
      <c r="H4479" s="5" t="s">
        <v>847</v>
      </c>
      <c r="I4479" s="13">
        <v>98.444000000000003</v>
      </c>
      <c r="J4479" s="19">
        <v>2</v>
      </c>
      <c r="K4479" s="14">
        <v>-2.7551999999999999</v>
      </c>
    </row>
    <row r="4480" spans="1:11" x14ac:dyDescent="0.25">
      <c r="A4480" s="2">
        <v>44090</v>
      </c>
      <c r="B4480" s="18">
        <f t="shared" si="138"/>
        <v>2020</v>
      </c>
      <c r="C4480" s="18">
        <f t="shared" si="139"/>
        <v>9</v>
      </c>
      <c r="D4480" s="3" t="s">
        <v>747</v>
      </c>
      <c r="E4480" s="3" t="s">
        <v>39</v>
      </c>
      <c r="F4480" s="3" t="s">
        <v>11</v>
      </c>
      <c r="G4480" s="3" t="s">
        <v>51</v>
      </c>
      <c r="H4480" s="3" t="s">
        <v>1537</v>
      </c>
      <c r="I4480" s="11">
        <v>149.512</v>
      </c>
      <c r="J4480" s="18">
        <v>3</v>
      </c>
      <c r="K4480" s="12">
        <v>2.2511999999999999</v>
      </c>
    </row>
    <row r="4481" spans="1:11" x14ac:dyDescent="0.25">
      <c r="A4481" s="4">
        <v>44090</v>
      </c>
      <c r="B4481" s="19">
        <f t="shared" si="138"/>
        <v>2020</v>
      </c>
      <c r="C4481" s="19">
        <f t="shared" si="139"/>
        <v>9</v>
      </c>
      <c r="D4481" s="5" t="s">
        <v>747</v>
      </c>
      <c r="E4481" s="5" t="s">
        <v>39</v>
      </c>
      <c r="F4481" s="5" t="s">
        <v>14</v>
      </c>
      <c r="G4481" s="5" t="s">
        <v>24</v>
      </c>
      <c r="H4481" s="5" t="s">
        <v>106</v>
      </c>
      <c r="I4481" s="13">
        <v>125.98399999999999</v>
      </c>
      <c r="J4481" s="19">
        <v>2</v>
      </c>
      <c r="K4481" s="14">
        <v>14.395200000000001</v>
      </c>
    </row>
    <row r="4482" spans="1:11" x14ac:dyDescent="0.25">
      <c r="A4482" s="2">
        <v>44090</v>
      </c>
      <c r="B4482" s="18">
        <f t="shared" ref="B4482:B4545" si="140">YEAR(A4482)</f>
        <v>2020</v>
      </c>
      <c r="C4482" s="18">
        <f t="shared" ref="C4482:C4545" si="141">MONTH(A4482)</f>
        <v>9</v>
      </c>
      <c r="D4482" s="3" t="s">
        <v>549</v>
      </c>
      <c r="E4482" s="3" t="s">
        <v>39</v>
      </c>
      <c r="F4482" s="3" t="s">
        <v>19</v>
      </c>
      <c r="G4482" s="3" t="s">
        <v>53</v>
      </c>
      <c r="H4482" s="3" t="s">
        <v>2277</v>
      </c>
      <c r="I4482" s="11">
        <v>142.54400000000001</v>
      </c>
      <c r="J4482" s="18">
        <v>6</v>
      </c>
      <c r="K4482" s="12">
        <v>6.42</v>
      </c>
    </row>
    <row r="4483" spans="1:11" x14ac:dyDescent="0.25">
      <c r="A4483" s="4">
        <v>44090</v>
      </c>
      <c r="B4483" s="19">
        <f t="shared" si="140"/>
        <v>2020</v>
      </c>
      <c r="C4483" s="19">
        <f t="shared" si="141"/>
        <v>9</v>
      </c>
      <c r="D4483" s="5" t="s">
        <v>1153</v>
      </c>
      <c r="E4483" s="5" t="s">
        <v>23</v>
      </c>
      <c r="F4483" s="5" t="s">
        <v>14</v>
      </c>
      <c r="G4483" s="5" t="s">
        <v>15</v>
      </c>
      <c r="H4483" s="5" t="s">
        <v>1424</v>
      </c>
      <c r="I4483" s="13">
        <v>162.99199999999999</v>
      </c>
      <c r="J4483" s="19">
        <v>1</v>
      </c>
      <c r="K4483" s="14">
        <v>5.5991999999999997</v>
      </c>
    </row>
    <row r="4484" spans="1:11" x14ac:dyDescent="0.25">
      <c r="A4484" s="2">
        <v>44091</v>
      </c>
      <c r="B4484" s="18">
        <f t="shared" si="140"/>
        <v>2020</v>
      </c>
      <c r="C4484" s="18">
        <f t="shared" si="141"/>
        <v>9</v>
      </c>
      <c r="D4484" s="3" t="s">
        <v>1652</v>
      </c>
      <c r="E4484" s="3" t="s">
        <v>499</v>
      </c>
      <c r="F4484" s="3" t="s">
        <v>14</v>
      </c>
      <c r="G4484" s="3" t="s">
        <v>24</v>
      </c>
      <c r="H4484" s="3" t="s">
        <v>553</v>
      </c>
      <c r="I4484" s="11">
        <v>120.97</v>
      </c>
      <c r="J4484" s="18">
        <v>3</v>
      </c>
      <c r="K4484" s="12">
        <v>37.787399999999998</v>
      </c>
    </row>
    <row r="4485" spans="1:11" x14ac:dyDescent="0.25">
      <c r="A4485" s="4">
        <v>44091</v>
      </c>
      <c r="B4485" s="19">
        <f t="shared" si="140"/>
        <v>2020</v>
      </c>
      <c r="C4485" s="19">
        <f t="shared" si="141"/>
        <v>9</v>
      </c>
      <c r="D4485" s="5" t="s">
        <v>1448</v>
      </c>
      <c r="E4485" s="5" t="s">
        <v>109</v>
      </c>
      <c r="F4485" s="5" t="s">
        <v>19</v>
      </c>
      <c r="G4485" s="5" t="s">
        <v>53</v>
      </c>
      <c r="H4485" s="5" t="s">
        <v>172</v>
      </c>
      <c r="I4485" s="13">
        <v>133.32</v>
      </c>
      <c r="J4485" s="19">
        <v>3</v>
      </c>
      <c r="K4485" s="14">
        <v>49.970399999999998</v>
      </c>
    </row>
    <row r="4486" spans="1:11" x14ac:dyDescent="0.25">
      <c r="A4486" s="2">
        <v>44091</v>
      </c>
      <c r="B4486" s="18">
        <f t="shared" si="140"/>
        <v>2020</v>
      </c>
      <c r="C4486" s="18">
        <f t="shared" si="141"/>
        <v>9</v>
      </c>
      <c r="D4486" s="3" t="s">
        <v>1960</v>
      </c>
      <c r="E4486" s="3" t="s">
        <v>1156</v>
      </c>
      <c r="F4486" s="3" t="s">
        <v>19</v>
      </c>
      <c r="G4486" s="3" t="s">
        <v>53</v>
      </c>
      <c r="H4486" s="3" t="s">
        <v>1963</v>
      </c>
      <c r="I4486" s="11">
        <v>191.88</v>
      </c>
      <c r="J4486" s="18">
        <v>3</v>
      </c>
      <c r="K4486" s="12">
        <v>80.791200000000003</v>
      </c>
    </row>
    <row r="4487" spans="1:11" x14ac:dyDescent="0.25">
      <c r="A4487" s="4">
        <v>44091</v>
      </c>
      <c r="B4487" s="19">
        <f t="shared" si="140"/>
        <v>2020</v>
      </c>
      <c r="C4487" s="19">
        <f t="shared" si="141"/>
        <v>9</v>
      </c>
      <c r="D4487" s="5" t="s">
        <v>1960</v>
      </c>
      <c r="E4487" s="5" t="s">
        <v>1156</v>
      </c>
      <c r="F4487" s="5" t="s">
        <v>19</v>
      </c>
      <c r="G4487" s="5" t="s">
        <v>20</v>
      </c>
      <c r="H4487" s="5" t="s">
        <v>386</v>
      </c>
      <c r="I4487" s="13">
        <v>273.74</v>
      </c>
      <c r="J4487" s="19">
        <v>2</v>
      </c>
      <c r="K4487" s="14">
        <v>65.435000000000002</v>
      </c>
    </row>
    <row r="4488" spans="1:11" x14ac:dyDescent="0.25">
      <c r="A4488" s="2">
        <v>44091</v>
      </c>
      <c r="B4488" s="18">
        <f t="shared" si="140"/>
        <v>2020</v>
      </c>
      <c r="C4488" s="18">
        <f t="shared" si="141"/>
        <v>9</v>
      </c>
      <c r="D4488" s="3" t="s">
        <v>360</v>
      </c>
      <c r="E4488" s="3" t="s">
        <v>23</v>
      </c>
      <c r="F4488" s="3" t="s">
        <v>11</v>
      </c>
      <c r="G4488" s="3" t="s">
        <v>112</v>
      </c>
      <c r="H4488" s="3" t="s">
        <v>1847</v>
      </c>
      <c r="I4488" s="11">
        <v>348.43</v>
      </c>
      <c r="J4488" s="18">
        <v>5</v>
      </c>
      <c r="K4488" s="12">
        <v>-77.332999999999998</v>
      </c>
    </row>
    <row r="4489" spans="1:11" x14ac:dyDescent="0.25">
      <c r="A4489" s="4">
        <v>44091</v>
      </c>
      <c r="B4489" s="19">
        <f t="shared" si="140"/>
        <v>2020</v>
      </c>
      <c r="C4489" s="19">
        <f t="shared" si="141"/>
        <v>9</v>
      </c>
      <c r="D4489" s="5" t="s">
        <v>448</v>
      </c>
      <c r="E4489" s="5" t="s">
        <v>85</v>
      </c>
      <c r="F4489" s="5" t="s">
        <v>14</v>
      </c>
      <c r="G4489" s="5" t="s">
        <v>188</v>
      </c>
      <c r="H4489" s="5" t="s">
        <v>2468</v>
      </c>
      <c r="I4489" s="13">
        <v>494</v>
      </c>
      <c r="J4489" s="19">
        <v>4</v>
      </c>
      <c r="K4489" s="14">
        <v>225.6</v>
      </c>
    </row>
    <row r="4490" spans="1:11" x14ac:dyDescent="0.25">
      <c r="A4490" s="2">
        <v>44091</v>
      </c>
      <c r="B4490" s="18">
        <f t="shared" si="140"/>
        <v>2020</v>
      </c>
      <c r="C4490" s="18">
        <f t="shared" si="141"/>
        <v>9</v>
      </c>
      <c r="D4490" s="3" t="s">
        <v>1448</v>
      </c>
      <c r="E4490" s="3" t="s">
        <v>109</v>
      </c>
      <c r="F4490" s="3" t="s">
        <v>11</v>
      </c>
      <c r="G4490" s="3" t="s">
        <v>112</v>
      </c>
      <c r="H4490" s="3" t="s">
        <v>114</v>
      </c>
      <c r="I4490" s="11">
        <v>771.92</v>
      </c>
      <c r="J4490" s="18">
        <v>4</v>
      </c>
      <c r="K4490" s="12">
        <v>188.2192</v>
      </c>
    </row>
    <row r="4491" spans="1:11" x14ac:dyDescent="0.25">
      <c r="A4491" s="4">
        <v>44091</v>
      </c>
      <c r="B4491" s="19">
        <f t="shared" si="140"/>
        <v>2020</v>
      </c>
      <c r="C4491" s="19">
        <f t="shared" si="141"/>
        <v>9</v>
      </c>
      <c r="D4491" s="5" t="s">
        <v>1960</v>
      </c>
      <c r="E4491" s="5" t="s">
        <v>1156</v>
      </c>
      <c r="F4491" s="5" t="s">
        <v>11</v>
      </c>
      <c r="G4491" s="5" t="s">
        <v>12</v>
      </c>
      <c r="H4491" s="5" t="s">
        <v>2469</v>
      </c>
      <c r="I4491" s="13">
        <v>1319.94</v>
      </c>
      <c r="J4491" s="19">
        <v>3</v>
      </c>
      <c r="K4491" s="14">
        <v>77.576400000000007</v>
      </c>
    </row>
    <row r="4492" spans="1:11" x14ac:dyDescent="0.25">
      <c r="A4492" s="2">
        <v>44091</v>
      </c>
      <c r="B4492" s="18">
        <f t="shared" si="140"/>
        <v>2020</v>
      </c>
      <c r="C4492" s="18">
        <f t="shared" si="141"/>
        <v>9</v>
      </c>
      <c r="D4492" s="3" t="s">
        <v>360</v>
      </c>
      <c r="E4492" s="3" t="s">
        <v>23</v>
      </c>
      <c r="F4492" s="3" t="s">
        <v>14</v>
      </c>
      <c r="G4492" s="3" t="s">
        <v>15</v>
      </c>
      <c r="H4492" s="3" t="s">
        <v>2404</v>
      </c>
      <c r="I4492" s="11">
        <v>1448.76</v>
      </c>
      <c r="J4492" s="18">
        <v>6</v>
      </c>
      <c r="K4492" s="12">
        <v>88.484999999999999</v>
      </c>
    </row>
    <row r="4493" spans="1:11" x14ac:dyDescent="0.25">
      <c r="A4493" s="4">
        <v>44091</v>
      </c>
      <c r="B4493" s="19">
        <f t="shared" si="140"/>
        <v>2020</v>
      </c>
      <c r="C4493" s="19">
        <f t="shared" si="141"/>
        <v>9</v>
      </c>
      <c r="D4493" s="5" t="s">
        <v>1960</v>
      </c>
      <c r="E4493" s="5" t="s">
        <v>1156</v>
      </c>
      <c r="F4493" s="5" t="s">
        <v>19</v>
      </c>
      <c r="G4493" s="5" t="s">
        <v>32</v>
      </c>
      <c r="H4493" s="5" t="s">
        <v>593</v>
      </c>
      <c r="I4493" s="13">
        <v>117.78400000000001</v>
      </c>
      <c r="J4493" s="19">
        <v>3</v>
      </c>
      <c r="K4493" s="14">
        <v>4.2717000000000001</v>
      </c>
    </row>
    <row r="4494" spans="1:11" x14ac:dyDescent="0.25">
      <c r="A4494" s="2">
        <v>44091</v>
      </c>
      <c r="B4494" s="18">
        <f t="shared" si="140"/>
        <v>2020</v>
      </c>
      <c r="C4494" s="18">
        <f t="shared" si="141"/>
        <v>9</v>
      </c>
      <c r="D4494" s="3" t="s">
        <v>360</v>
      </c>
      <c r="E4494" s="3" t="s">
        <v>23</v>
      </c>
      <c r="F4494" s="3" t="s">
        <v>19</v>
      </c>
      <c r="G4494" s="3" t="s">
        <v>32</v>
      </c>
      <c r="H4494" s="3" t="s">
        <v>258</v>
      </c>
      <c r="I4494" s="11">
        <v>111.8</v>
      </c>
      <c r="J4494" s="18">
        <v>5</v>
      </c>
      <c r="K4494" s="12">
        <v>-10.15</v>
      </c>
    </row>
    <row r="4495" spans="1:11" x14ac:dyDescent="0.25">
      <c r="A4495" s="4">
        <v>44091</v>
      </c>
      <c r="B4495" s="19">
        <f t="shared" si="140"/>
        <v>2020</v>
      </c>
      <c r="C4495" s="19">
        <f t="shared" si="141"/>
        <v>9</v>
      </c>
      <c r="D4495" s="5" t="s">
        <v>1960</v>
      </c>
      <c r="E4495" s="5" t="s">
        <v>1156</v>
      </c>
      <c r="F4495" s="5" t="s">
        <v>19</v>
      </c>
      <c r="G4495" s="5" t="s">
        <v>127</v>
      </c>
      <c r="H4495" s="5" t="s">
        <v>2470</v>
      </c>
      <c r="I4495" s="13">
        <v>123.4</v>
      </c>
      <c r="J4495" s="19">
        <v>5</v>
      </c>
      <c r="K4495" s="14">
        <v>7.056</v>
      </c>
    </row>
    <row r="4496" spans="1:11" x14ac:dyDescent="0.25">
      <c r="A4496" s="2">
        <v>44091</v>
      </c>
      <c r="B4496" s="18">
        <f t="shared" si="140"/>
        <v>2020</v>
      </c>
      <c r="C4496" s="18">
        <f t="shared" si="141"/>
        <v>9</v>
      </c>
      <c r="D4496" s="3" t="s">
        <v>1960</v>
      </c>
      <c r="E4496" s="3" t="s">
        <v>1156</v>
      </c>
      <c r="F4496" s="3" t="s">
        <v>19</v>
      </c>
      <c r="G4496" s="3" t="s">
        <v>32</v>
      </c>
      <c r="H4496" s="3" t="s">
        <v>443</v>
      </c>
      <c r="I4496" s="11">
        <v>126.584</v>
      </c>
      <c r="J4496" s="18">
        <v>2</v>
      </c>
      <c r="K4496" s="12">
        <v>8.9543999999999997</v>
      </c>
    </row>
    <row r="4497" spans="1:11" x14ac:dyDescent="0.25">
      <c r="A4497" s="4">
        <v>44091</v>
      </c>
      <c r="B4497" s="19">
        <f t="shared" si="140"/>
        <v>2020</v>
      </c>
      <c r="C4497" s="19">
        <f t="shared" si="141"/>
        <v>9</v>
      </c>
      <c r="D4497" s="5" t="s">
        <v>360</v>
      </c>
      <c r="E4497" s="5" t="s">
        <v>23</v>
      </c>
      <c r="F4497" s="5" t="s">
        <v>19</v>
      </c>
      <c r="G4497" s="5" t="s">
        <v>40</v>
      </c>
      <c r="H4497" s="5" t="s">
        <v>1419</v>
      </c>
      <c r="I4497" s="13">
        <v>133.91200000000001</v>
      </c>
      <c r="J4497" s="19">
        <v>3</v>
      </c>
      <c r="K4497" s="14">
        <v>3.2214</v>
      </c>
    </row>
    <row r="4498" spans="1:11" x14ac:dyDescent="0.25">
      <c r="A4498" s="2">
        <v>44091</v>
      </c>
      <c r="B4498" s="18">
        <f t="shared" si="140"/>
        <v>2020</v>
      </c>
      <c r="C4498" s="18">
        <f t="shared" si="141"/>
        <v>9</v>
      </c>
      <c r="D4498" s="3" t="s">
        <v>448</v>
      </c>
      <c r="E4498" s="3" t="s">
        <v>85</v>
      </c>
      <c r="F4498" s="3" t="s">
        <v>19</v>
      </c>
      <c r="G4498" s="3" t="s">
        <v>20</v>
      </c>
      <c r="H4498" s="3" t="s">
        <v>1990</v>
      </c>
      <c r="I4498" s="11">
        <v>121.05</v>
      </c>
      <c r="J4498" s="18">
        <v>3</v>
      </c>
      <c r="K4498" s="12">
        <v>9.5340000000000007</v>
      </c>
    </row>
    <row r="4499" spans="1:11" x14ac:dyDescent="0.25">
      <c r="A4499" s="4">
        <v>44091</v>
      </c>
      <c r="B4499" s="19">
        <f t="shared" si="140"/>
        <v>2020</v>
      </c>
      <c r="C4499" s="19">
        <f t="shared" si="141"/>
        <v>9</v>
      </c>
      <c r="D4499" s="5" t="s">
        <v>1960</v>
      </c>
      <c r="E4499" s="5" t="s">
        <v>1156</v>
      </c>
      <c r="F4499" s="5" t="s">
        <v>19</v>
      </c>
      <c r="G4499" s="5" t="s">
        <v>32</v>
      </c>
      <c r="H4499" s="5" t="s">
        <v>539</v>
      </c>
      <c r="I4499" s="13">
        <v>119.776</v>
      </c>
      <c r="J4499" s="19">
        <v>3</v>
      </c>
      <c r="K4499" s="14">
        <v>3.5022000000000002</v>
      </c>
    </row>
    <row r="4500" spans="1:11" x14ac:dyDescent="0.25">
      <c r="A4500" s="2">
        <v>44091</v>
      </c>
      <c r="B4500" s="18">
        <f t="shared" si="140"/>
        <v>2020</v>
      </c>
      <c r="C4500" s="18">
        <f t="shared" si="141"/>
        <v>9</v>
      </c>
      <c r="D4500" s="3" t="s">
        <v>1444</v>
      </c>
      <c r="E4500" s="3" t="s">
        <v>70</v>
      </c>
      <c r="F4500" s="3" t="s">
        <v>19</v>
      </c>
      <c r="G4500" s="3" t="s">
        <v>53</v>
      </c>
      <c r="H4500" s="3" t="s">
        <v>2471</v>
      </c>
      <c r="I4500" s="11">
        <v>135.96</v>
      </c>
      <c r="J4500" s="18">
        <v>2</v>
      </c>
      <c r="K4500" s="12">
        <v>6.3503999999999996</v>
      </c>
    </row>
    <row r="4501" spans="1:11" x14ac:dyDescent="0.25">
      <c r="A4501" s="4">
        <v>44092</v>
      </c>
      <c r="B4501" s="19">
        <f t="shared" si="140"/>
        <v>2020</v>
      </c>
      <c r="C4501" s="19">
        <f t="shared" si="141"/>
        <v>9</v>
      </c>
      <c r="D4501" s="5" t="s">
        <v>1642</v>
      </c>
      <c r="E4501" s="5" t="s">
        <v>1868</v>
      </c>
      <c r="F4501" s="5" t="s">
        <v>14</v>
      </c>
      <c r="G4501" s="5" t="s">
        <v>24</v>
      </c>
      <c r="H4501" s="5" t="s">
        <v>2341</v>
      </c>
      <c r="I4501" s="13">
        <v>111.34</v>
      </c>
      <c r="J4501" s="19">
        <v>3</v>
      </c>
      <c r="K4501" s="14">
        <v>8.1072000000000006</v>
      </c>
    </row>
    <row r="4502" spans="1:11" x14ac:dyDescent="0.25">
      <c r="A4502" s="2">
        <v>44092</v>
      </c>
      <c r="B4502" s="18">
        <f t="shared" si="140"/>
        <v>2020</v>
      </c>
      <c r="C4502" s="18">
        <f t="shared" si="141"/>
        <v>9</v>
      </c>
      <c r="D4502" s="3" t="s">
        <v>2055</v>
      </c>
      <c r="E4502" s="3" t="s">
        <v>109</v>
      </c>
      <c r="F4502" s="3" t="s">
        <v>14</v>
      </c>
      <c r="G4502" s="3" t="s">
        <v>15</v>
      </c>
      <c r="H4502" s="3" t="s">
        <v>814</v>
      </c>
      <c r="I4502" s="11">
        <v>136.68</v>
      </c>
      <c r="J4502" s="18">
        <v>8</v>
      </c>
      <c r="K4502" s="12">
        <v>26.790400000000002</v>
      </c>
    </row>
    <row r="4503" spans="1:11" x14ac:dyDescent="0.25">
      <c r="A4503" s="4">
        <v>44092</v>
      </c>
      <c r="B4503" s="19">
        <f t="shared" si="140"/>
        <v>2020</v>
      </c>
      <c r="C4503" s="19">
        <f t="shared" si="141"/>
        <v>9</v>
      </c>
      <c r="D4503" s="5" t="s">
        <v>1759</v>
      </c>
      <c r="E4503" s="5" t="s">
        <v>23</v>
      </c>
      <c r="F4503" s="5" t="s">
        <v>19</v>
      </c>
      <c r="G4503" s="5" t="s">
        <v>86</v>
      </c>
      <c r="H4503" s="5" t="s">
        <v>1983</v>
      </c>
      <c r="I4503" s="13">
        <v>136.84800000000001</v>
      </c>
      <c r="J4503" s="19">
        <v>4</v>
      </c>
      <c r="K4503" s="14">
        <v>35.89</v>
      </c>
    </row>
    <row r="4504" spans="1:11" x14ac:dyDescent="0.25">
      <c r="A4504" s="2">
        <v>44092</v>
      </c>
      <c r="B4504" s="18">
        <f t="shared" si="140"/>
        <v>2020</v>
      </c>
      <c r="C4504" s="18">
        <f t="shared" si="141"/>
        <v>9</v>
      </c>
      <c r="D4504" s="3" t="s">
        <v>2055</v>
      </c>
      <c r="E4504" s="3" t="s">
        <v>109</v>
      </c>
      <c r="F4504" s="3" t="s">
        <v>19</v>
      </c>
      <c r="G4504" s="3" t="s">
        <v>40</v>
      </c>
      <c r="H4504" s="3" t="s">
        <v>1779</v>
      </c>
      <c r="I4504" s="11">
        <v>155.94</v>
      </c>
      <c r="J4504" s="18">
        <v>3</v>
      </c>
      <c r="K4504" s="12">
        <v>34.182000000000002</v>
      </c>
    </row>
    <row r="4505" spans="1:11" x14ac:dyDescent="0.25">
      <c r="A4505" s="4">
        <v>44092</v>
      </c>
      <c r="B4505" s="19">
        <f t="shared" si="140"/>
        <v>2020</v>
      </c>
      <c r="C4505" s="19">
        <f t="shared" si="141"/>
        <v>9</v>
      </c>
      <c r="D4505" s="5" t="s">
        <v>887</v>
      </c>
      <c r="E4505" s="5" t="s">
        <v>18</v>
      </c>
      <c r="F4505" s="5" t="s">
        <v>19</v>
      </c>
      <c r="G4505" s="5" t="s">
        <v>53</v>
      </c>
      <c r="H4505" s="5" t="s">
        <v>637</v>
      </c>
      <c r="I4505" s="13">
        <v>186.7</v>
      </c>
      <c r="J4505" s="19">
        <v>3</v>
      </c>
      <c r="K4505" s="14">
        <v>68.975999999999999</v>
      </c>
    </row>
    <row r="4506" spans="1:11" x14ac:dyDescent="0.25">
      <c r="A4506" s="2">
        <v>44092</v>
      </c>
      <c r="B4506" s="18">
        <f t="shared" si="140"/>
        <v>2020</v>
      </c>
      <c r="C4506" s="18">
        <f t="shared" si="141"/>
        <v>9</v>
      </c>
      <c r="D4506" s="3" t="s">
        <v>2055</v>
      </c>
      <c r="E4506" s="3" t="s">
        <v>109</v>
      </c>
      <c r="F4506" s="3" t="s">
        <v>19</v>
      </c>
      <c r="G4506" s="3" t="s">
        <v>53</v>
      </c>
      <c r="H4506" s="3" t="s">
        <v>2285</v>
      </c>
      <c r="I4506" s="11">
        <v>260.55</v>
      </c>
      <c r="J4506" s="18">
        <v>5</v>
      </c>
      <c r="K4506" s="12">
        <v>114.9385</v>
      </c>
    </row>
    <row r="4507" spans="1:11" x14ac:dyDescent="0.25">
      <c r="A4507" s="4">
        <v>44092</v>
      </c>
      <c r="B4507" s="19">
        <f t="shared" si="140"/>
        <v>2020</v>
      </c>
      <c r="C4507" s="19">
        <f t="shared" si="141"/>
        <v>9</v>
      </c>
      <c r="D4507" s="5" t="s">
        <v>2055</v>
      </c>
      <c r="E4507" s="5" t="s">
        <v>109</v>
      </c>
      <c r="F4507" s="5" t="s">
        <v>14</v>
      </c>
      <c r="G4507" s="5" t="s">
        <v>15</v>
      </c>
      <c r="H4507" s="5" t="s">
        <v>1526</v>
      </c>
      <c r="I4507" s="13">
        <v>429.98</v>
      </c>
      <c r="J4507" s="19">
        <v>2</v>
      </c>
      <c r="K4507" s="14">
        <v>119.4742</v>
      </c>
    </row>
    <row r="4508" spans="1:11" x14ac:dyDescent="0.25">
      <c r="A4508" s="2">
        <v>44092</v>
      </c>
      <c r="B4508" s="18">
        <f t="shared" si="140"/>
        <v>2020</v>
      </c>
      <c r="C4508" s="18">
        <f t="shared" si="141"/>
        <v>9</v>
      </c>
      <c r="D4508" s="3" t="s">
        <v>431</v>
      </c>
      <c r="E4508" s="3" t="s">
        <v>94</v>
      </c>
      <c r="F4508" s="3" t="s">
        <v>11</v>
      </c>
      <c r="G4508" s="3" t="s">
        <v>51</v>
      </c>
      <c r="H4508" s="3" t="s">
        <v>80</v>
      </c>
      <c r="I4508" s="11">
        <v>102.82</v>
      </c>
      <c r="J4508" s="18">
        <v>2</v>
      </c>
      <c r="K4508" s="12">
        <v>3.2406000000000001</v>
      </c>
    </row>
    <row r="4509" spans="1:11" x14ac:dyDescent="0.25">
      <c r="A4509" s="4">
        <v>44092</v>
      </c>
      <c r="B4509" s="19">
        <f t="shared" si="140"/>
        <v>2020</v>
      </c>
      <c r="C4509" s="19">
        <f t="shared" si="141"/>
        <v>9</v>
      </c>
      <c r="D4509" s="5" t="s">
        <v>1642</v>
      </c>
      <c r="E4509" s="5" t="s">
        <v>1868</v>
      </c>
      <c r="F4509" s="5" t="s">
        <v>19</v>
      </c>
      <c r="G4509" s="5" t="s">
        <v>32</v>
      </c>
      <c r="H4509" s="5" t="s">
        <v>1273</v>
      </c>
      <c r="I4509" s="13">
        <v>108.08</v>
      </c>
      <c r="J4509" s="19">
        <v>7</v>
      </c>
      <c r="K4509" s="14">
        <v>3.528</v>
      </c>
    </row>
    <row r="4510" spans="1:11" x14ac:dyDescent="0.25">
      <c r="A4510" s="2">
        <v>44092</v>
      </c>
      <c r="B4510" s="18">
        <f t="shared" si="140"/>
        <v>2020</v>
      </c>
      <c r="C4510" s="18">
        <f t="shared" si="141"/>
        <v>9</v>
      </c>
      <c r="D4510" s="3" t="s">
        <v>431</v>
      </c>
      <c r="E4510" s="3" t="s">
        <v>94</v>
      </c>
      <c r="F4510" s="3" t="s">
        <v>19</v>
      </c>
      <c r="G4510" s="3" t="s">
        <v>53</v>
      </c>
      <c r="H4510" s="3" t="s">
        <v>2332</v>
      </c>
      <c r="I4510" s="11">
        <v>99.44</v>
      </c>
      <c r="J4510" s="18">
        <v>3</v>
      </c>
      <c r="K4510" s="12">
        <v>9.3312000000000008</v>
      </c>
    </row>
    <row r="4511" spans="1:11" x14ac:dyDescent="0.25">
      <c r="A4511" s="4">
        <v>44092</v>
      </c>
      <c r="B4511" s="19">
        <f t="shared" si="140"/>
        <v>2020</v>
      </c>
      <c r="C4511" s="19">
        <f t="shared" si="141"/>
        <v>9</v>
      </c>
      <c r="D4511" s="5" t="s">
        <v>887</v>
      </c>
      <c r="E4511" s="5" t="s">
        <v>18</v>
      </c>
      <c r="F4511" s="5" t="s">
        <v>19</v>
      </c>
      <c r="G4511" s="5" t="s">
        <v>40</v>
      </c>
      <c r="H4511" s="5" t="s">
        <v>961</v>
      </c>
      <c r="I4511" s="13">
        <v>116.82</v>
      </c>
      <c r="J4511" s="19">
        <v>3</v>
      </c>
      <c r="K4511" s="14">
        <v>2.3814000000000002</v>
      </c>
    </row>
    <row r="4512" spans="1:11" x14ac:dyDescent="0.25">
      <c r="A4512" s="2">
        <v>44092</v>
      </c>
      <c r="B4512" s="18">
        <f t="shared" si="140"/>
        <v>2020</v>
      </c>
      <c r="C4512" s="18">
        <f t="shared" si="141"/>
        <v>9</v>
      </c>
      <c r="D4512" s="3" t="s">
        <v>2098</v>
      </c>
      <c r="E4512" s="3" t="s">
        <v>651</v>
      </c>
      <c r="F4512" s="3" t="s">
        <v>19</v>
      </c>
      <c r="G4512" s="3" t="s">
        <v>53</v>
      </c>
      <c r="H4512" s="3" t="s">
        <v>2313</v>
      </c>
      <c r="I4512" s="11">
        <v>99.96</v>
      </c>
      <c r="J4512" s="18">
        <v>2</v>
      </c>
      <c r="K4512" s="12">
        <v>7.98</v>
      </c>
    </row>
    <row r="4513" spans="1:11" x14ac:dyDescent="0.25">
      <c r="A4513" s="4">
        <v>44092</v>
      </c>
      <c r="B4513" s="19">
        <f t="shared" si="140"/>
        <v>2020</v>
      </c>
      <c r="C4513" s="19">
        <f t="shared" si="141"/>
        <v>9</v>
      </c>
      <c r="D4513" s="5" t="s">
        <v>489</v>
      </c>
      <c r="E4513" s="5" t="s">
        <v>23</v>
      </c>
      <c r="F4513" s="5" t="s">
        <v>19</v>
      </c>
      <c r="G4513" s="5" t="s">
        <v>40</v>
      </c>
      <c r="H4513" s="5" t="s">
        <v>990</v>
      </c>
      <c r="I4513" s="13">
        <v>99.927999999999997</v>
      </c>
      <c r="J4513" s="19">
        <v>2</v>
      </c>
      <c r="K4513" s="14">
        <v>0.55800000000000005</v>
      </c>
    </row>
    <row r="4514" spans="1:11" x14ac:dyDescent="0.25">
      <c r="A4514" s="2">
        <v>44092</v>
      </c>
      <c r="B4514" s="18">
        <f t="shared" si="140"/>
        <v>2020</v>
      </c>
      <c r="C4514" s="18">
        <f t="shared" si="141"/>
        <v>9</v>
      </c>
      <c r="D4514" s="3" t="s">
        <v>1180</v>
      </c>
      <c r="E4514" s="3" t="s">
        <v>56</v>
      </c>
      <c r="F4514" s="3" t="s">
        <v>19</v>
      </c>
      <c r="G4514" s="3" t="s">
        <v>53</v>
      </c>
      <c r="H4514" s="3" t="s">
        <v>675</v>
      </c>
      <c r="I4514" s="11">
        <v>134.72</v>
      </c>
      <c r="J4514" s="18">
        <v>4</v>
      </c>
      <c r="K4514" s="12">
        <v>10.224</v>
      </c>
    </row>
    <row r="4515" spans="1:11" x14ac:dyDescent="0.25">
      <c r="A4515" s="4">
        <v>44092</v>
      </c>
      <c r="B4515" s="19">
        <f t="shared" si="140"/>
        <v>2020</v>
      </c>
      <c r="C4515" s="19">
        <f t="shared" si="141"/>
        <v>9</v>
      </c>
      <c r="D4515" s="5" t="s">
        <v>887</v>
      </c>
      <c r="E4515" s="5" t="s">
        <v>18</v>
      </c>
      <c r="F4515" s="5" t="s">
        <v>19</v>
      </c>
      <c r="G4515" s="5" t="s">
        <v>86</v>
      </c>
      <c r="H4515" s="5" t="s">
        <v>1374</v>
      </c>
      <c r="I4515" s="13">
        <v>119.86</v>
      </c>
      <c r="J4515" s="19">
        <v>3</v>
      </c>
      <c r="K4515" s="14">
        <v>5.1041999999999996</v>
      </c>
    </row>
    <row r="4516" spans="1:11" x14ac:dyDescent="0.25">
      <c r="A4516" s="2">
        <v>44092</v>
      </c>
      <c r="B4516" s="18">
        <f t="shared" si="140"/>
        <v>2020</v>
      </c>
      <c r="C4516" s="18">
        <f t="shared" si="141"/>
        <v>9</v>
      </c>
      <c r="D4516" s="3" t="s">
        <v>2055</v>
      </c>
      <c r="E4516" s="3" t="s">
        <v>109</v>
      </c>
      <c r="F4516" s="3" t="s">
        <v>11</v>
      </c>
      <c r="G4516" s="3" t="s">
        <v>51</v>
      </c>
      <c r="H4516" s="3" t="s">
        <v>2472</v>
      </c>
      <c r="I4516" s="11">
        <v>146.32</v>
      </c>
      <c r="J4516" s="18">
        <v>4</v>
      </c>
      <c r="K4516" s="12">
        <v>6.9088000000000003</v>
      </c>
    </row>
    <row r="4517" spans="1:11" x14ac:dyDescent="0.25">
      <c r="A4517" s="4">
        <v>44092</v>
      </c>
      <c r="B4517" s="19">
        <f t="shared" si="140"/>
        <v>2020</v>
      </c>
      <c r="C4517" s="19">
        <f t="shared" si="141"/>
        <v>9</v>
      </c>
      <c r="D4517" s="5" t="s">
        <v>2055</v>
      </c>
      <c r="E4517" s="5" t="s">
        <v>109</v>
      </c>
      <c r="F4517" s="5" t="s">
        <v>19</v>
      </c>
      <c r="G4517" s="5" t="s">
        <v>53</v>
      </c>
      <c r="H4517" s="5" t="s">
        <v>1390</v>
      </c>
      <c r="I4517" s="13">
        <v>144.91999999999999</v>
      </c>
      <c r="J4517" s="19">
        <v>4</v>
      </c>
      <c r="K4517" s="14">
        <v>12.441599999999999</v>
      </c>
    </row>
    <row r="4518" spans="1:11" x14ac:dyDescent="0.25">
      <c r="A4518" s="2">
        <v>44092</v>
      </c>
      <c r="B4518" s="18">
        <f t="shared" si="140"/>
        <v>2020</v>
      </c>
      <c r="C4518" s="18">
        <f t="shared" si="141"/>
        <v>9</v>
      </c>
      <c r="D4518" s="3" t="s">
        <v>489</v>
      </c>
      <c r="E4518" s="3" t="s">
        <v>23</v>
      </c>
      <c r="F4518" s="3" t="s">
        <v>19</v>
      </c>
      <c r="G4518" s="3" t="s">
        <v>20</v>
      </c>
      <c r="H4518" s="3" t="s">
        <v>1539</v>
      </c>
      <c r="I4518" s="11">
        <v>153.584</v>
      </c>
      <c r="J4518" s="18">
        <v>2</v>
      </c>
      <c r="K4518" s="12">
        <v>-2.9740000000000002</v>
      </c>
    </row>
    <row r="4519" spans="1:11" x14ac:dyDescent="0.25">
      <c r="A4519" s="4">
        <v>44092</v>
      </c>
      <c r="B4519" s="19">
        <f t="shared" si="140"/>
        <v>2020</v>
      </c>
      <c r="C4519" s="19">
        <f t="shared" si="141"/>
        <v>9</v>
      </c>
      <c r="D4519" s="5" t="s">
        <v>2055</v>
      </c>
      <c r="E4519" s="5" t="s">
        <v>109</v>
      </c>
      <c r="F4519" s="5" t="s">
        <v>19</v>
      </c>
      <c r="G4519" s="5" t="s">
        <v>265</v>
      </c>
      <c r="H4519" s="5" t="s">
        <v>1270</v>
      </c>
      <c r="I4519" s="13">
        <v>167.48</v>
      </c>
      <c r="J4519" s="19">
        <v>2</v>
      </c>
      <c r="K4519" s="14">
        <v>9.9992000000000001</v>
      </c>
    </row>
    <row r="4520" spans="1:11" x14ac:dyDescent="0.25">
      <c r="A4520" s="2">
        <v>44092</v>
      </c>
      <c r="B4520" s="18">
        <f t="shared" si="140"/>
        <v>2020</v>
      </c>
      <c r="C4520" s="18">
        <f t="shared" si="141"/>
        <v>9</v>
      </c>
      <c r="D4520" s="3" t="s">
        <v>2055</v>
      </c>
      <c r="E4520" s="3" t="s">
        <v>109</v>
      </c>
      <c r="F4520" s="3" t="s">
        <v>19</v>
      </c>
      <c r="G4520" s="3" t="s">
        <v>53</v>
      </c>
      <c r="H4520" s="3" t="s">
        <v>2473</v>
      </c>
      <c r="I4520" s="11">
        <v>137.96</v>
      </c>
      <c r="J4520" s="18">
        <v>7</v>
      </c>
      <c r="K4520" s="12">
        <v>24.460799999999999</v>
      </c>
    </row>
    <row r="4521" spans="1:11" x14ac:dyDescent="0.25">
      <c r="A4521" s="4">
        <v>44093</v>
      </c>
      <c r="B4521" s="19">
        <f t="shared" si="140"/>
        <v>2020</v>
      </c>
      <c r="C4521" s="19">
        <f t="shared" si="141"/>
        <v>9</v>
      </c>
      <c r="D4521" s="5" t="s">
        <v>231</v>
      </c>
      <c r="E4521" s="5" t="s">
        <v>465</v>
      </c>
      <c r="F4521" s="5" t="s">
        <v>11</v>
      </c>
      <c r="G4521" s="5" t="s">
        <v>12</v>
      </c>
      <c r="H4521" s="5" t="s">
        <v>2253</v>
      </c>
      <c r="I4521" s="13">
        <v>111.58799999999999</v>
      </c>
      <c r="J4521" s="19">
        <v>2</v>
      </c>
      <c r="K4521" s="14">
        <v>-128.2388</v>
      </c>
    </row>
    <row r="4522" spans="1:11" x14ac:dyDescent="0.25">
      <c r="A4522" s="2">
        <v>44093</v>
      </c>
      <c r="B4522" s="18">
        <f t="shared" si="140"/>
        <v>2020</v>
      </c>
      <c r="C4522" s="18">
        <f t="shared" si="141"/>
        <v>9</v>
      </c>
      <c r="D4522" s="3" t="s">
        <v>185</v>
      </c>
      <c r="E4522" s="3" t="s">
        <v>198</v>
      </c>
      <c r="F4522" s="3" t="s">
        <v>14</v>
      </c>
      <c r="G4522" s="3" t="s">
        <v>24</v>
      </c>
      <c r="H4522" s="3" t="s">
        <v>965</v>
      </c>
      <c r="I4522" s="11">
        <v>113.584</v>
      </c>
      <c r="J4522" s="18">
        <v>2</v>
      </c>
      <c r="K4522" s="12">
        <v>4.4791999999999996</v>
      </c>
    </row>
    <row r="4523" spans="1:11" x14ac:dyDescent="0.25">
      <c r="A4523" s="4">
        <v>44093</v>
      </c>
      <c r="B4523" s="19">
        <f t="shared" si="140"/>
        <v>2020</v>
      </c>
      <c r="C4523" s="19">
        <f t="shared" si="141"/>
        <v>9</v>
      </c>
      <c r="D4523" s="5" t="s">
        <v>565</v>
      </c>
      <c r="E4523" s="5" t="s">
        <v>44</v>
      </c>
      <c r="F4523" s="5" t="s">
        <v>19</v>
      </c>
      <c r="G4523" s="5" t="s">
        <v>20</v>
      </c>
      <c r="H4523" s="5" t="s">
        <v>2214</v>
      </c>
      <c r="I4523" s="13">
        <v>123.616</v>
      </c>
      <c r="J4523" s="19">
        <v>2</v>
      </c>
      <c r="K4523" s="14">
        <v>9.5616000000000003</v>
      </c>
    </row>
    <row r="4524" spans="1:11" x14ac:dyDescent="0.25">
      <c r="A4524" s="2">
        <v>44093</v>
      </c>
      <c r="B4524" s="18">
        <f t="shared" si="140"/>
        <v>2020</v>
      </c>
      <c r="C4524" s="18">
        <f t="shared" si="141"/>
        <v>9</v>
      </c>
      <c r="D4524" s="3" t="s">
        <v>1088</v>
      </c>
      <c r="E4524" s="3" t="s">
        <v>18</v>
      </c>
      <c r="F4524" s="3" t="s">
        <v>14</v>
      </c>
      <c r="G4524" s="3" t="s">
        <v>24</v>
      </c>
      <c r="H4524" s="3" t="s">
        <v>1807</v>
      </c>
      <c r="I4524" s="11">
        <v>177.95</v>
      </c>
      <c r="J4524" s="18">
        <v>5</v>
      </c>
      <c r="K4524" s="12">
        <v>31.4895</v>
      </c>
    </row>
    <row r="4525" spans="1:11" x14ac:dyDescent="0.25">
      <c r="A4525" s="4">
        <v>44093</v>
      </c>
      <c r="B4525" s="19">
        <f t="shared" si="140"/>
        <v>2020</v>
      </c>
      <c r="C4525" s="19">
        <f t="shared" si="141"/>
        <v>9</v>
      </c>
      <c r="D4525" s="5" t="s">
        <v>231</v>
      </c>
      <c r="E4525" s="5" t="s">
        <v>465</v>
      </c>
      <c r="F4525" s="5" t="s">
        <v>14</v>
      </c>
      <c r="G4525" s="5" t="s">
        <v>15</v>
      </c>
      <c r="H4525" s="5" t="s">
        <v>1222</v>
      </c>
      <c r="I4525" s="13">
        <v>216.976</v>
      </c>
      <c r="J4525" s="19">
        <v>3</v>
      </c>
      <c r="K4525" s="14">
        <v>19.197600000000001</v>
      </c>
    </row>
    <row r="4526" spans="1:11" x14ac:dyDescent="0.25">
      <c r="A4526" s="2">
        <v>44093</v>
      </c>
      <c r="B4526" s="18">
        <f t="shared" si="140"/>
        <v>2020</v>
      </c>
      <c r="C4526" s="18">
        <f t="shared" si="141"/>
        <v>9</v>
      </c>
      <c r="D4526" s="3" t="s">
        <v>231</v>
      </c>
      <c r="E4526" s="3" t="s">
        <v>465</v>
      </c>
      <c r="F4526" s="3" t="s">
        <v>11</v>
      </c>
      <c r="G4526" s="3" t="s">
        <v>51</v>
      </c>
      <c r="H4526" s="3" t="s">
        <v>411</v>
      </c>
      <c r="I4526" s="11">
        <v>430.21600000000001</v>
      </c>
      <c r="J4526" s="18">
        <v>8</v>
      </c>
      <c r="K4526" s="12">
        <v>61.382399999999997</v>
      </c>
    </row>
    <row r="4527" spans="1:11" x14ac:dyDescent="0.25">
      <c r="A4527" s="4">
        <v>44093</v>
      </c>
      <c r="B4527" s="19">
        <f t="shared" si="140"/>
        <v>2020</v>
      </c>
      <c r="C4527" s="19">
        <f t="shared" si="141"/>
        <v>9</v>
      </c>
      <c r="D4527" s="5" t="s">
        <v>185</v>
      </c>
      <c r="E4527" s="5" t="s">
        <v>198</v>
      </c>
      <c r="F4527" s="5" t="s">
        <v>14</v>
      </c>
      <c r="G4527" s="5" t="s">
        <v>15</v>
      </c>
      <c r="H4527" s="5" t="s">
        <v>2404</v>
      </c>
      <c r="I4527" s="13">
        <v>511.92</v>
      </c>
      <c r="J4527" s="19">
        <v>2</v>
      </c>
      <c r="K4527" s="14">
        <v>29.495000000000001</v>
      </c>
    </row>
    <row r="4528" spans="1:11" x14ac:dyDescent="0.25">
      <c r="A4528" s="2">
        <v>44093</v>
      </c>
      <c r="B4528" s="18">
        <f t="shared" si="140"/>
        <v>2020</v>
      </c>
      <c r="C4528" s="18">
        <f t="shared" si="141"/>
        <v>9</v>
      </c>
      <c r="D4528" s="3" t="s">
        <v>2378</v>
      </c>
      <c r="E4528" s="3" t="s">
        <v>39</v>
      </c>
      <c r="F4528" s="3" t="s">
        <v>19</v>
      </c>
      <c r="G4528" s="3" t="s">
        <v>32</v>
      </c>
      <c r="H4528" s="3" t="s">
        <v>1474</v>
      </c>
      <c r="I4528" s="11">
        <v>84.841999999999999</v>
      </c>
      <c r="J4528" s="18">
        <v>3</v>
      </c>
      <c r="K4528" s="12">
        <v>-3.3894000000000002</v>
      </c>
    </row>
    <row r="4529" spans="1:11" x14ac:dyDescent="0.25">
      <c r="A4529" s="4">
        <v>44093</v>
      </c>
      <c r="B4529" s="19">
        <f t="shared" si="140"/>
        <v>2020</v>
      </c>
      <c r="C4529" s="19">
        <f t="shared" si="141"/>
        <v>9</v>
      </c>
      <c r="D4529" s="5" t="s">
        <v>1088</v>
      </c>
      <c r="E4529" s="5" t="s">
        <v>18</v>
      </c>
      <c r="F4529" s="5" t="s">
        <v>19</v>
      </c>
      <c r="G4529" s="5" t="s">
        <v>40</v>
      </c>
      <c r="H4529" s="5" t="s">
        <v>478</v>
      </c>
      <c r="I4529" s="13">
        <v>100.74</v>
      </c>
      <c r="J4529" s="19">
        <v>3</v>
      </c>
      <c r="K4529" s="14">
        <v>4.8545999999999996</v>
      </c>
    </row>
    <row r="4530" spans="1:11" x14ac:dyDescent="0.25">
      <c r="A4530" s="2">
        <v>44093</v>
      </c>
      <c r="B4530" s="18">
        <f t="shared" si="140"/>
        <v>2020</v>
      </c>
      <c r="C4530" s="18">
        <f t="shared" si="141"/>
        <v>9</v>
      </c>
      <c r="D4530" s="3" t="s">
        <v>185</v>
      </c>
      <c r="E4530" s="3" t="s">
        <v>198</v>
      </c>
      <c r="F4530" s="3" t="s">
        <v>19</v>
      </c>
      <c r="G4530" s="3" t="s">
        <v>32</v>
      </c>
      <c r="H4530" s="3" t="s">
        <v>58</v>
      </c>
      <c r="I4530" s="11">
        <v>99.18</v>
      </c>
      <c r="J4530" s="18">
        <v>4</v>
      </c>
      <c r="K4530" s="12">
        <v>-13.938000000000001</v>
      </c>
    </row>
    <row r="4531" spans="1:11" x14ac:dyDescent="0.25">
      <c r="A4531" s="4">
        <v>44093</v>
      </c>
      <c r="B4531" s="19">
        <f t="shared" si="140"/>
        <v>2020</v>
      </c>
      <c r="C4531" s="19">
        <f t="shared" si="141"/>
        <v>9</v>
      </c>
      <c r="D4531" s="5" t="s">
        <v>185</v>
      </c>
      <c r="E4531" s="5" t="s">
        <v>198</v>
      </c>
      <c r="F4531" s="5" t="s">
        <v>19</v>
      </c>
      <c r="G4531" s="5" t="s">
        <v>20</v>
      </c>
      <c r="H4531" s="5" t="s">
        <v>748</v>
      </c>
      <c r="I4531" s="13">
        <v>135.624</v>
      </c>
      <c r="J4531" s="19">
        <v>2</v>
      </c>
      <c r="K4531" s="14">
        <v>-2.5247999999999999</v>
      </c>
    </row>
    <row r="4532" spans="1:11" x14ac:dyDescent="0.25">
      <c r="A4532" s="2">
        <v>44093</v>
      </c>
      <c r="B4532" s="18">
        <f t="shared" si="140"/>
        <v>2020</v>
      </c>
      <c r="C4532" s="18">
        <f t="shared" si="141"/>
        <v>9</v>
      </c>
      <c r="D4532" s="3" t="s">
        <v>1088</v>
      </c>
      <c r="E4532" s="3" t="s">
        <v>18</v>
      </c>
      <c r="F4532" s="3" t="s">
        <v>19</v>
      </c>
      <c r="G4532" s="3" t="s">
        <v>40</v>
      </c>
      <c r="H4532" s="3" t="s">
        <v>1258</v>
      </c>
      <c r="I4532" s="11">
        <v>146.32</v>
      </c>
      <c r="J4532" s="18">
        <v>2</v>
      </c>
      <c r="K4532" s="12">
        <v>6.0632000000000001</v>
      </c>
    </row>
    <row r="4533" spans="1:11" x14ac:dyDescent="0.25">
      <c r="A4533" s="4">
        <v>44093</v>
      </c>
      <c r="B4533" s="19">
        <f t="shared" si="140"/>
        <v>2020</v>
      </c>
      <c r="C4533" s="19">
        <f t="shared" si="141"/>
        <v>9</v>
      </c>
      <c r="D4533" s="5" t="s">
        <v>231</v>
      </c>
      <c r="E4533" s="5" t="s">
        <v>465</v>
      </c>
      <c r="F4533" s="5" t="s">
        <v>19</v>
      </c>
      <c r="G4533" s="5" t="s">
        <v>40</v>
      </c>
      <c r="H4533" s="5" t="s">
        <v>2182</v>
      </c>
      <c r="I4533" s="13">
        <v>131.83199999999999</v>
      </c>
      <c r="J4533" s="19">
        <v>3</v>
      </c>
      <c r="K4533" s="14">
        <v>6.5537999999999998</v>
      </c>
    </row>
    <row r="4534" spans="1:11" x14ac:dyDescent="0.25">
      <c r="A4534" s="2">
        <v>44093</v>
      </c>
      <c r="B4534" s="18">
        <f t="shared" si="140"/>
        <v>2020</v>
      </c>
      <c r="C4534" s="18">
        <f t="shared" si="141"/>
        <v>9</v>
      </c>
      <c r="D4534" s="3" t="s">
        <v>653</v>
      </c>
      <c r="E4534" s="3" t="s">
        <v>94</v>
      </c>
      <c r="F4534" s="3" t="s">
        <v>19</v>
      </c>
      <c r="G4534" s="3" t="s">
        <v>53</v>
      </c>
      <c r="H4534" s="3" t="s">
        <v>957</v>
      </c>
      <c r="I4534" s="11">
        <v>128.4</v>
      </c>
      <c r="J4534" s="18">
        <v>5</v>
      </c>
      <c r="K4534" s="12">
        <v>15.552</v>
      </c>
    </row>
    <row r="4535" spans="1:11" x14ac:dyDescent="0.25">
      <c r="A4535" s="4">
        <v>44093</v>
      </c>
      <c r="B4535" s="19">
        <f t="shared" si="140"/>
        <v>2020</v>
      </c>
      <c r="C4535" s="19">
        <f t="shared" si="141"/>
        <v>9</v>
      </c>
      <c r="D4535" s="5" t="s">
        <v>390</v>
      </c>
      <c r="E4535" s="5" t="s">
        <v>109</v>
      </c>
      <c r="F4535" s="5" t="s">
        <v>19</v>
      </c>
      <c r="G4535" s="5" t="s">
        <v>40</v>
      </c>
      <c r="H4535" s="5" t="s">
        <v>1571</v>
      </c>
      <c r="I4535" s="13">
        <v>158.4</v>
      </c>
      <c r="J4535" s="19">
        <v>5</v>
      </c>
      <c r="K4535" s="14">
        <v>13.452</v>
      </c>
    </row>
    <row r="4536" spans="1:11" x14ac:dyDescent="0.25">
      <c r="A4536" s="2">
        <v>44094</v>
      </c>
      <c r="B4536" s="18">
        <f t="shared" si="140"/>
        <v>2020</v>
      </c>
      <c r="C4536" s="18">
        <f t="shared" si="141"/>
        <v>9</v>
      </c>
      <c r="D4536" s="3" t="s">
        <v>1026</v>
      </c>
      <c r="E4536" s="3" t="s">
        <v>94</v>
      </c>
      <c r="F4536" s="3" t="s">
        <v>14</v>
      </c>
      <c r="G4536" s="3" t="s">
        <v>24</v>
      </c>
      <c r="H4536" s="3" t="s">
        <v>804</v>
      </c>
      <c r="I4536" s="11">
        <v>113.64</v>
      </c>
      <c r="J4536" s="18">
        <v>2</v>
      </c>
      <c r="K4536" s="12">
        <v>21.792000000000002</v>
      </c>
    </row>
    <row r="4537" spans="1:11" x14ac:dyDescent="0.25">
      <c r="A4537" s="4">
        <v>44094</v>
      </c>
      <c r="B4537" s="19">
        <f t="shared" si="140"/>
        <v>2020</v>
      </c>
      <c r="C4537" s="19">
        <f t="shared" si="141"/>
        <v>9</v>
      </c>
      <c r="D4537" s="5" t="s">
        <v>1026</v>
      </c>
      <c r="E4537" s="5" t="s">
        <v>94</v>
      </c>
      <c r="F4537" s="5" t="s">
        <v>11</v>
      </c>
      <c r="G4537" s="5" t="s">
        <v>112</v>
      </c>
      <c r="H4537" s="5" t="s">
        <v>1182</v>
      </c>
      <c r="I4537" s="13">
        <v>116.991</v>
      </c>
      <c r="J4537" s="19">
        <v>1</v>
      </c>
      <c r="K4537" s="14">
        <v>8.0991</v>
      </c>
    </row>
    <row r="4538" spans="1:11" x14ac:dyDescent="0.25">
      <c r="A4538" s="2">
        <v>44094</v>
      </c>
      <c r="B4538" s="18">
        <f t="shared" si="140"/>
        <v>2020</v>
      </c>
      <c r="C4538" s="18">
        <f t="shared" si="141"/>
        <v>9</v>
      </c>
      <c r="D4538" s="3" t="s">
        <v>1026</v>
      </c>
      <c r="E4538" s="3" t="s">
        <v>94</v>
      </c>
      <c r="F4538" s="3" t="s">
        <v>14</v>
      </c>
      <c r="G4538" s="3" t="s">
        <v>15</v>
      </c>
      <c r="H4538" s="3" t="s">
        <v>210</v>
      </c>
      <c r="I4538" s="11">
        <v>124.85</v>
      </c>
      <c r="J4538" s="18">
        <v>3</v>
      </c>
      <c r="K4538" s="12">
        <v>28.3095</v>
      </c>
    </row>
    <row r="4539" spans="1:11" x14ac:dyDescent="0.25">
      <c r="A4539" s="4">
        <v>44094</v>
      </c>
      <c r="B4539" s="19">
        <f t="shared" si="140"/>
        <v>2020</v>
      </c>
      <c r="C4539" s="19">
        <f t="shared" si="141"/>
        <v>9</v>
      </c>
      <c r="D4539" s="5" t="s">
        <v>1026</v>
      </c>
      <c r="E4539" s="5" t="s">
        <v>94</v>
      </c>
      <c r="F4539" s="5" t="s">
        <v>14</v>
      </c>
      <c r="G4539" s="5" t="s">
        <v>24</v>
      </c>
      <c r="H4539" s="5" t="s">
        <v>2474</v>
      </c>
      <c r="I4539" s="13">
        <v>237.8</v>
      </c>
      <c r="J4539" s="19">
        <v>2</v>
      </c>
      <c r="K4539" s="14">
        <v>95.76</v>
      </c>
    </row>
    <row r="4540" spans="1:11" x14ac:dyDescent="0.25">
      <c r="A4540" s="2">
        <v>44094</v>
      </c>
      <c r="B4540" s="18">
        <f t="shared" si="140"/>
        <v>2020</v>
      </c>
      <c r="C4540" s="18">
        <f t="shared" si="141"/>
        <v>9</v>
      </c>
      <c r="D4540" s="3" t="s">
        <v>1026</v>
      </c>
      <c r="E4540" s="3" t="s">
        <v>94</v>
      </c>
      <c r="F4540" s="3" t="s">
        <v>11</v>
      </c>
      <c r="G4540" s="3" t="s">
        <v>112</v>
      </c>
      <c r="H4540" s="3" t="s">
        <v>1095</v>
      </c>
      <c r="I4540" s="11">
        <v>318.64600000000002</v>
      </c>
      <c r="J4540" s="18">
        <v>3</v>
      </c>
      <c r="K4540" s="12">
        <v>18.176400000000001</v>
      </c>
    </row>
    <row r="4541" spans="1:11" x14ac:dyDescent="0.25">
      <c r="A4541" s="4">
        <v>44094</v>
      </c>
      <c r="B4541" s="19">
        <f t="shared" si="140"/>
        <v>2020</v>
      </c>
      <c r="C4541" s="19">
        <f t="shared" si="141"/>
        <v>9</v>
      </c>
      <c r="D4541" s="5" t="s">
        <v>1026</v>
      </c>
      <c r="E4541" s="5" t="s">
        <v>94</v>
      </c>
      <c r="F4541" s="5" t="s">
        <v>14</v>
      </c>
      <c r="G4541" s="5" t="s">
        <v>15</v>
      </c>
      <c r="H4541" s="5" t="s">
        <v>381</v>
      </c>
      <c r="I4541" s="13">
        <v>1344.66</v>
      </c>
      <c r="J4541" s="19">
        <v>2</v>
      </c>
      <c r="K4541" s="14">
        <v>350.90820000000002</v>
      </c>
    </row>
    <row r="4542" spans="1:11" x14ac:dyDescent="0.25">
      <c r="A4542" s="2">
        <v>44094</v>
      </c>
      <c r="B4542" s="18">
        <f t="shared" si="140"/>
        <v>2020</v>
      </c>
      <c r="C4542" s="18">
        <f t="shared" si="141"/>
        <v>9</v>
      </c>
      <c r="D4542" s="3" t="s">
        <v>1026</v>
      </c>
      <c r="E4542" s="3" t="s">
        <v>94</v>
      </c>
      <c r="F4542" s="3" t="s">
        <v>11</v>
      </c>
      <c r="G4542" s="3" t="s">
        <v>112</v>
      </c>
      <c r="H4542" s="3" t="s">
        <v>948</v>
      </c>
      <c r="I4542" s="11">
        <v>2284.41</v>
      </c>
      <c r="J4542" s="18">
        <v>5</v>
      </c>
      <c r="K4542" s="12">
        <v>375.73500000000001</v>
      </c>
    </row>
    <row r="4543" spans="1:11" x14ac:dyDescent="0.25">
      <c r="A4543" s="4">
        <v>44094</v>
      </c>
      <c r="B4543" s="19">
        <f t="shared" si="140"/>
        <v>2020</v>
      </c>
      <c r="C4543" s="19">
        <f t="shared" si="141"/>
        <v>9</v>
      </c>
      <c r="D4543" s="5" t="s">
        <v>1026</v>
      </c>
      <c r="E4543" s="5" t="s">
        <v>94</v>
      </c>
      <c r="F4543" s="5" t="s">
        <v>11</v>
      </c>
      <c r="G4543" s="5" t="s">
        <v>112</v>
      </c>
      <c r="H4543" s="5" t="s">
        <v>623</v>
      </c>
      <c r="I4543" s="13">
        <v>2903.127</v>
      </c>
      <c r="J4543" s="19">
        <v>11</v>
      </c>
      <c r="K4543" s="14">
        <v>609.71569999999997</v>
      </c>
    </row>
    <row r="4544" spans="1:11" x14ac:dyDescent="0.25">
      <c r="A4544" s="2">
        <v>44094</v>
      </c>
      <c r="B4544" s="18">
        <f t="shared" si="140"/>
        <v>2020</v>
      </c>
      <c r="C4544" s="18">
        <f t="shared" si="141"/>
        <v>9</v>
      </c>
      <c r="D4544" s="3" t="s">
        <v>1026</v>
      </c>
      <c r="E4544" s="3" t="s">
        <v>94</v>
      </c>
      <c r="F4544" s="3" t="s">
        <v>19</v>
      </c>
      <c r="G4544" s="3" t="s">
        <v>32</v>
      </c>
      <c r="H4544" s="3" t="s">
        <v>885</v>
      </c>
      <c r="I4544" s="11">
        <v>119.78400000000001</v>
      </c>
      <c r="J4544" s="18">
        <v>3</v>
      </c>
      <c r="K4544" s="12">
        <v>3.9771000000000001</v>
      </c>
    </row>
    <row r="4545" spans="1:11" x14ac:dyDescent="0.25">
      <c r="A4545" s="4">
        <v>44094</v>
      </c>
      <c r="B4545" s="19">
        <f t="shared" si="140"/>
        <v>2020</v>
      </c>
      <c r="C4545" s="19">
        <f t="shared" si="141"/>
        <v>9</v>
      </c>
      <c r="D4545" s="5" t="s">
        <v>1026</v>
      </c>
      <c r="E4545" s="5" t="s">
        <v>94</v>
      </c>
      <c r="F4545" s="5" t="s">
        <v>19</v>
      </c>
      <c r="G4545" s="5" t="s">
        <v>116</v>
      </c>
      <c r="H4545" s="5" t="s">
        <v>249</v>
      </c>
      <c r="I4545" s="13">
        <v>108.36</v>
      </c>
      <c r="J4545" s="19">
        <v>2</v>
      </c>
      <c r="K4545" s="14">
        <v>1.7876000000000001</v>
      </c>
    </row>
    <row r="4546" spans="1:11" x14ac:dyDescent="0.25">
      <c r="A4546" s="2">
        <v>44094</v>
      </c>
      <c r="B4546" s="18">
        <f t="shared" ref="B4546:B4609" si="142">YEAR(A4546)</f>
        <v>2020</v>
      </c>
      <c r="C4546" s="18">
        <f t="shared" ref="C4546:C4609" si="143">MONTH(A4546)</f>
        <v>9</v>
      </c>
      <c r="D4546" s="3" t="s">
        <v>1026</v>
      </c>
      <c r="E4546" s="3" t="s">
        <v>94</v>
      </c>
      <c r="F4546" s="3" t="s">
        <v>19</v>
      </c>
      <c r="G4546" s="3" t="s">
        <v>53</v>
      </c>
      <c r="H4546" s="3" t="s">
        <v>573</v>
      </c>
      <c r="I4546" s="11">
        <v>122.76</v>
      </c>
      <c r="J4546" s="18">
        <v>2</v>
      </c>
      <c r="K4546" s="12">
        <v>6.3296000000000001</v>
      </c>
    </row>
    <row r="4547" spans="1:11" x14ac:dyDescent="0.25">
      <c r="A4547" s="4">
        <v>44094</v>
      </c>
      <c r="B4547" s="19">
        <f t="shared" si="142"/>
        <v>2020</v>
      </c>
      <c r="C4547" s="19">
        <f t="shared" si="143"/>
        <v>9</v>
      </c>
      <c r="D4547" s="5" t="s">
        <v>1026</v>
      </c>
      <c r="E4547" s="5" t="s">
        <v>94</v>
      </c>
      <c r="F4547" s="5" t="s">
        <v>19</v>
      </c>
      <c r="G4547" s="5" t="s">
        <v>53</v>
      </c>
      <c r="H4547" s="5" t="s">
        <v>618</v>
      </c>
      <c r="I4547" s="13">
        <v>142.52000000000001</v>
      </c>
      <c r="J4547" s="19">
        <v>9</v>
      </c>
      <c r="K4547" s="14">
        <v>18.104399999999998</v>
      </c>
    </row>
    <row r="4548" spans="1:11" x14ac:dyDescent="0.25">
      <c r="A4548" s="2">
        <v>44094</v>
      </c>
      <c r="B4548" s="18">
        <f t="shared" si="142"/>
        <v>2020</v>
      </c>
      <c r="C4548" s="18">
        <f t="shared" si="143"/>
        <v>9</v>
      </c>
      <c r="D4548" s="3" t="s">
        <v>1026</v>
      </c>
      <c r="E4548" s="3" t="s">
        <v>94</v>
      </c>
      <c r="F4548" s="3" t="s">
        <v>14</v>
      </c>
      <c r="G4548" s="3" t="s">
        <v>24</v>
      </c>
      <c r="H4548" s="3" t="s">
        <v>2250</v>
      </c>
      <c r="I4548" s="11">
        <v>170.97</v>
      </c>
      <c r="J4548" s="18">
        <v>3</v>
      </c>
      <c r="K4548" s="12">
        <v>20.389800000000001</v>
      </c>
    </row>
    <row r="4549" spans="1:11" x14ac:dyDescent="0.25">
      <c r="A4549" s="4">
        <v>44094</v>
      </c>
      <c r="B4549" s="19">
        <f t="shared" si="142"/>
        <v>2020</v>
      </c>
      <c r="C4549" s="19">
        <f t="shared" si="143"/>
        <v>9</v>
      </c>
      <c r="D4549" s="5" t="s">
        <v>1026</v>
      </c>
      <c r="E4549" s="5" t="s">
        <v>94</v>
      </c>
      <c r="F4549" s="5" t="s">
        <v>19</v>
      </c>
      <c r="G4549" s="5" t="s">
        <v>20</v>
      </c>
      <c r="H4549" s="5" t="s">
        <v>1990</v>
      </c>
      <c r="I4549" s="13">
        <v>154.4</v>
      </c>
      <c r="J4549" s="19">
        <v>4</v>
      </c>
      <c r="K4549" s="14">
        <v>12.712</v>
      </c>
    </row>
    <row r="4550" spans="1:11" x14ac:dyDescent="0.25">
      <c r="A4550" s="2">
        <v>44095</v>
      </c>
      <c r="B4550" s="18">
        <f t="shared" si="142"/>
        <v>2020</v>
      </c>
      <c r="C4550" s="18">
        <f t="shared" si="143"/>
        <v>9</v>
      </c>
      <c r="D4550" s="3" t="s">
        <v>2475</v>
      </c>
      <c r="E4550" s="3" t="s">
        <v>70</v>
      </c>
      <c r="F4550" s="3" t="s">
        <v>14</v>
      </c>
      <c r="G4550" s="3" t="s">
        <v>24</v>
      </c>
      <c r="H4550" s="3" t="s">
        <v>2476</v>
      </c>
      <c r="I4550" s="11">
        <v>122.98</v>
      </c>
      <c r="J4550" s="18">
        <v>2</v>
      </c>
      <c r="K4550" s="12">
        <v>26.3934</v>
      </c>
    </row>
    <row r="4551" spans="1:11" x14ac:dyDescent="0.25">
      <c r="A4551" s="4">
        <v>44095</v>
      </c>
      <c r="B4551" s="19">
        <f t="shared" si="142"/>
        <v>2020</v>
      </c>
      <c r="C4551" s="19">
        <f t="shared" si="143"/>
        <v>9</v>
      </c>
      <c r="D4551" s="5" t="s">
        <v>1540</v>
      </c>
      <c r="E4551" s="5" t="s">
        <v>109</v>
      </c>
      <c r="F4551" s="5" t="s">
        <v>19</v>
      </c>
      <c r="G4551" s="5" t="s">
        <v>121</v>
      </c>
      <c r="H4551" s="5" t="s">
        <v>1043</v>
      </c>
      <c r="I4551" s="13">
        <v>125.48</v>
      </c>
      <c r="J4551" s="19">
        <v>1</v>
      </c>
      <c r="K4551" s="14">
        <v>24.143999999999998</v>
      </c>
    </row>
    <row r="4552" spans="1:11" x14ac:dyDescent="0.25">
      <c r="A4552" s="2">
        <v>44095</v>
      </c>
      <c r="B4552" s="18">
        <f t="shared" si="142"/>
        <v>2020</v>
      </c>
      <c r="C4552" s="18">
        <f t="shared" si="143"/>
        <v>9</v>
      </c>
      <c r="D4552" s="3" t="s">
        <v>1677</v>
      </c>
      <c r="E4552" s="3" t="s">
        <v>39</v>
      </c>
      <c r="F4552" s="3" t="s">
        <v>19</v>
      </c>
      <c r="G4552" s="3" t="s">
        <v>32</v>
      </c>
      <c r="H4552" s="3" t="s">
        <v>408</v>
      </c>
      <c r="I4552" s="11">
        <v>104.908</v>
      </c>
      <c r="J4552" s="18">
        <v>2</v>
      </c>
      <c r="K4552" s="12">
        <v>-1.5264</v>
      </c>
    </row>
    <row r="4553" spans="1:11" x14ac:dyDescent="0.25">
      <c r="A4553" s="4">
        <v>44095</v>
      </c>
      <c r="B4553" s="19">
        <f t="shared" si="142"/>
        <v>2020</v>
      </c>
      <c r="C4553" s="19">
        <f t="shared" si="143"/>
        <v>9</v>
      </c>
      <c r="D4553" s="5" t="s">
        <v>292</v>
      </c>
      <c r="E4553" s="5" t="s">
        <v>44</v>
      </c>
      <c r="F4553" s="5" t="s">
        <v>19</v>
      </c>
      <c r="G4553" s="5" t="s">
        <v>32</v>
      </c>
      <c r="H4553" s="5" t="s">
        <v>2167</v>
      </c>
      <c r="I4553" s="13">
        <v>111.294</v>
      </c>
      <c r="J4553" s="19">
        <v>1</v>
      </c>
      <c r="K4553" s="14">
        <v>-8.6058000000000003</v>
      </c>
    </row>
    <row r="4554" spans="1:11" x14ac:dyDescent="0.25">
      <c r="A4554" s="2">
        <v>44095</v>
      </c>
      <c r="B4554" s="18">
        <f t="shared" si="142"/>
        <v>2020</v>
      </c>
      <c r="C4554" s="18">
        <f t="shared" si="143"/>
        <v>9</v>
      </c>
      <c r="D4554" s="3" t="s">
        <v>9</v>
      </c>
      <c r="E4554" s="3" t="s">
        <v>18</v>
      </c>
      <c r="F4554" s="3" t="s">
        <v>19</v>
      </c>
      <c r="G4554" s="3" t="s">
        <v>20</v>
      </c>
      <c r="H4554" s="3" t="s">
        <v>1743</v>
      </c>
      <c r="I4554" s="11">
        <v>146.51</v>
      </c>
      <c r="J4554" s="18">
        <v>1</v>
      </c>
      <c r="K4554" s="12">
        <v>3.8774999999999999</v>
      </c>
    </row>
    <row r="4555" spans="1:11" x14ac:dyDescent="0.25">
      <c r="A4555" s="4">
        <v>44095</v>
      </c>
      <c r="B4555" s="19">
        <f t="shared" si="142"/>
        <v>2020</v>
      </c>
      <c r="C4555" s="19">
        <f t="shared" si="143"/>
        <v>9</v>
      </c>
      <c r="D4555" s="5" t="s">
        <v>2407</v>
      </c>
      <c r="E4555" s="5" t="s">
        <v>387</v>
      </c>
      <c r="F4555" s="5" t="s">
        <v>19</v>
      </c>
      <c r="G4555" s="5" t="s">
        <v>32</v>
      </c>
      <c r="H4555" s="5" t="s">
        <v>168</v>
      </c>
      <c r="I4555" s="13">
        <v>123.16</v>
      </c>
      <c r="J4555" s="19">
        <v>7</v>
      </c>
      <c r="K4555" s="14">
        <v>9.8783999999999992</v>
      </c>
    </row>
    <row r="4556" spans="1:11" x14ac:dyDescent="0.25">
      <c r="A4556" s="2">
        <v>44095</v>
      </c>
      <c r="B4556" s="18">
        <f t="shared" si="142"/>
        <v>2020</v>
      </c>
      <c r="C4556" s="18">
        <f t="shared" si="143"/>
        <v>9</v>
      </c>
      <c r="D4556" s="3" t="s">
        <v>1699</v>
      </c>
      <c r="E4556" s="3" t="s">
        <v>18</v>
      </c>
      <c r="F4556" s="3" t="s">
        <v>19</v>
      </c>
      <c r="G4556" s="3" t="s">
        <v>53</v>
      </c>
      <c r="H4556" s="3" t="s">
        <v>2313</v>
      </c>
      <c r="I4556" s="11">
        <v>165.86</v>
      </c>
      <c r="J4556" s="18">
        <v>7</v>
      </c>
      <c r="K4556" s="12">
        <v>27.93</v>
      </c>
    </row>
    <row r="4557" spans="1:11" x14ac:dyDescent="0.25">
      <c r="A4557" s="4">
        <v>44095</v>
      </c>
      <c r="B4557" s="19">
        <f t="shared" si="142"/>
        <v>2020</v>
      </c>
      <c r="C4557" s="19">
        <f t="shared" si="143"/>
        <v>9</v>
      </c>
      <c r="D4557" s="5" t="s">
        <v>2475</v>
      </c>
      <c r="E4557" s="5" t="s">
        <v>70</v>
      </c>
      <c r="F4557" s="5" t="s">
        <v>14</v>
      </c>
      <c r="G4557" s="5" t="s">
        <v>24</v>
      </c>
      <c r="H4557" s="5" t="s">
        <v>1358</v>
      </c>
      <c r="I4557" s="13">
        <v>172.98</v>
      </c>
      <c r="J4557" s="19">
        <v>2</v>
      </c>
      <c r="K4557" s="14">
        <v>15.1158</v>
      </c>
    </row>
    <row r="4558" spans="1:11" x14ac:dyDescent="0.25">
      <c r="A4558" s="2">
        <v>44096</v>
      </c>
      <c r="B4558" s="18">
        <f t="shared" si="142"/>
        <v>2020</v>
      </c>
      <c r="C4558" s="18">
        <f t="shared" si="143"/>
        <v>9</v>
      </c>
      <c r="D4558" s="3" t="s">
        <v>331</v>
      </c>
      <c r="E4558" s="3" t="s">
        <v>104</v>
      </c>
      <c r="F4558" s="3" t="s">
        <v>19</v>
      </c>
      <c r="G4558" s="3" t="s">
        <v>20</v>
      </c>
      <c r="H4558" s="3" t="s">
        <v>1525</v>
      </c>
      <c r="I4558" s="11">
        <v>109.4</v>
      </c>
      <c r="J4558" s="18">
        <v>5</v>
      </c>
      <c r="K4558" s="12">
        <v>17.524000000000001</v>
      </c>
    </row>
    <row r="4559" spans="1:11" x14ac:dyDescent="0.25">
      <c r="A4559" s="4">
        <v>44096</v>
      </c>
      <c r="B4559" s="19">
        <f t="shared" si="142"/>
        <v>2020</v>
      </c>
      <c r="C4559" s="19">
        <f t="shared" si="143"/>
        <v>9</v>
      </c>
      <c r="D4559" s="5" t="s">
        <v>1458</v>
      </c>
      <c r="E4559" s="5" t="s">
        <v>39</v>
      </c>
      <c r="F4559" s="5" t="s">
        <v>14</v>
      </c>
      <c r="G4559" s="5" t="s">
        <v>24</v>
      </c>
      <c r="H4559" s="5" t="s">
        <v>139</v>
      </c>
      <c r="I4559" s="13">
        <v>110.98399999999999</v>
      </c>
      <c r="J4559" s="19">
        <v>2</v>
      </c>
      <c r="K4559" s="14">
        <v>22.9954</v>
      </c>
    </row>
    <row r="4560" spans="1:11" x14ac:dyDescent="0.25">
      <c r="A4560" s="2">
        <v>44096</v>
      </c>
      <c r="B4560" s="18">
        <f t="shared" si="142"/>
        <v>2020</v>
      </c>
      <c r="C4560" s="18">
        <f t="shared" si="143"/>
        <v>9</v>
      </c>
      <c r="D4560" s="3" t="s">
        <v>892</v>
      </c>
      <c r="E4560" s="3" t="s">
        <v>56</v>
      </c>
      <c r="F4560" s="3" t="s">
        <v>14</v>
      </c>
      <c r="G4560" s="3" t="s">
        <v>15</v>
      </c>
      <c r="H4560" s="3" t="s">
        <v>2477</v>
      </c>
      <c r="I4560" s="11">
        <v>136.97</v>
      </c>
      <c r="J4560" s="18">
        <v>3</v>
      </c>
      <c r="K4560" s="12">
        <v>25.221299999999999</v>
      </c>
    </row>
    <row r="4561" spans="1:11" x14ac:dyDescent="0.25">
      <c r="A4561" s="4">
        <v>44096</v>
      </c>
      <c r="B4561" s="19">
        <f t="shared" si="142"/>
        <v>2020</v>
      </c>
      <c r="C4561" s="19">
        <f t="shared" si="143"/>
        <v>9</v>
      </c>
      <c r="D4561" s="5" t="s">
        <v>892</v>
      </c>
      <c r="E4561" s="5" t="s">
        <v>56</v>
      </c>
      <c r="F4561" s="5" t="s">
        <v>14</v>
      </c>
      <c r="G4561" s="5" t="s">
        <v>24</v>
      </c>
      <c r="H4561" s="5" t="s">
        <v>789</v>
      </c>
      <c r="I4561" s="13">
        <v>142.16</v>
      </c>
      <c r="J4561" s="19">
        <v>6</v>
      </c>
      <c r="K4561" s="14">
        <v>9.8160000000000007</v>
      </c>
    </row>
    <row r="4562" spans="1:11" x14ac:dyDescent="0.25">
      <c r="A4562" s="2">
        <v>44096</v>
      </c>
      <c r="B4562" s="18">
        <f t="shared" si="142"/>
        <v>2020</v>
      </c>
      <c r="C4562" s="18">
        <f t="shared" si="143"/>
        <v>9</v>
      </c>
      <c r="D4562" s="3" t="s">
        <v>729</v>
      </c>
      <c r="E4562" s="3" t="s">
        <v>365</v>
      </c>
      <c r="F4562" s="3" t="s">
        <v>11</v>
      </c>
      <c r="G4562" s="3" t="s">
        <v>12</v>
      </c>
      <c r="H4562" s="3" t="s">
        <v>2253</v>
      </c>
      <c r="I4562" s="11">
        <v>252.96</v>
      </c>
      <c r="J4562" s="18">
        <v>2</v>
      </c>
      <c r="K4562" s="12">
        <v>41.133200000000002</v>
      </c>
    </row>
    <row r="4563" spans="1:11" x14ac:dyDescent="0.25">
      <c r="A4563" s="4">
        <v>44096</v>
      </c>
      <c r="B4563" s="19">
        <f t="shared" si="142"/>
        <v>2020</v>
      </c>
      <c r="C4563" s="19">
        <f t="shared" si="143"/>
        <v>9</v>
      </c>
      <c r="D4563" s="5" t="s">
        <v>892</v>
      </c>
      <c r="E4563" s="5" t="s">
        <v>56</v>
      </c>
      <c r="F4563" s="5" t="s">
        <v>19</v>
      </c>
      <c r="G4563" s="5" t="s">
        <v>53</v>
      </c>
      <c r="H4563" s="5" t="s">
        <v>2478</v>
      </c>
      <c r="I4563" s="13">
        <v>268.83999999999997</v>
      </c>
      <c r="J4563" s="19">
        <v>4</v>
      </c>
      <c r="K4563" s="14">
        <v>107.7216</v>
      </c>
    </row>
    <row r="4564" spans="1:11" x14ac:dyDescent="0.25">
      <c r="A4564" s="2">
        <v>44096</v>
      </c>
      <c r="B4564" s="18">
        <f t="shared" si="142"/>
        <v>2020</v>
      </c>
      <c r="C4564" s="18">
        <f t="shared" si="143"/>
        <v>9</v>
      </c>
      <c r="D4564" s="3" t="s">
        <v>221</v>
      </c>
      <c r="E4564" s="3" t="s">
        <v>309</v>
      </c>
      <c r="F4564" s="3" t="s">
        <v>14</v>
      </c>
      <c r="G4564" s="3" t="s">
        <v>15</v>
      </c>
      <c r="H4564" s="3" t="s">
        <v>1988</v>
      </c>
      <c r="I4564" s="11">
        <v>429.98</v>
      </c>
      <c r="J4564" s="18">
        <v>2</v>
      </c>
      <c r="K4564" s="12">
        <v>113.6742</v>
      </c>
    </row>
    <row r="4565" spans="1:11" x14ac:dyDescent="0.25">
      <c r="A4565" s="4">
        <v>44096</v>
      </c>
      <c r="B4565" s="19">
        <f t="shared" si="142"/>
        <v>2020</v>
      </c>
      <c r="C4565" s="19">
        <f t="shared" si="143"/>
        <v>9</v>
      </c>
      <c r="D4565" s="5" t="s">
        <v>1697</v>
      </c>
      <c r="E4565" s="5" t="s">
        <v>589</v>
      </c>
      <c r="F4565" s="5" t="s">
        <v>19</v>
      </c>
      <c r="G4565" s="5" t="s">
        <v>32</v>
      </c>
      <c r="H4565" s="5" t="s">
        <v>420</v>
      </c>
      <c r="I4565" s="13">
        <v>720.96</v>
      </c>
      <c r="J4565" s="19">
        <v>4</v>
      </c>
      <c r="K4565" s="14">
        <v>318.30160000000001</v>
      </c>
    </row>
    <row r="4566" spans="1:11" x14ac:dyDescent="0.25">
      <c r="A4566" s="2">
        <v>44096</v>
      </c>
      <c r="B4566" s="18">
        <f t="shared" si="142"/>
        <v>2020</v>
      </c>
      <c r="C4566" s="18">
        <f t="shared" si="143"/>
        <v>9</v>
      </c>
      <c r="D4566" s="3" t="s">
        <v>574</v>
      </c>
      <c r="E4566" s="3" t="s">
        <v>94</v>
      </c>
      <c r="F4566" s="3" t="s">
        <v>14</v>
      </c>
      <c r="G4566" s="3" t="s">
        <v>24</v>
      </c>
      <c r="H4566" s="3" t="s">
        <v>1406</v>
      </c>
      <c r="I4566" s="11">
        <v>1106</v>
      </c>
      <c r="J4566" s="18">
        <v>9</v>
      </c>
      <c r="K4566" s="12">
        <v>171.36</v>
      </c>
    </row>
    <row r="4567" spans="1:11" x14ac:dyDescent="0.25">
      <c r="A4567" s="4">
        <v>44096</v>
      </c>
      <c r="B4567" s="19">
        <f t="shared" si="142"/>
        <v>2020</v>
      </c>
      <c r="C4567" s="19">
        <f t="shared" si="143"/>
        <v>9</v>
      </c>
      <c r="D4567" s="5" t="s">
        <v>1458</v>
      </c>
      <c r="E4567" s="5" t="s">
        <v>39</v>
      </c>
      <c r="F4567" s="5" t="s">
        <v>19</v>
      </c>
      <c r="G4567" s="5" t="s">
        <v>265</v>
      </c>
      <c r="H4567" s="5" t="s">
        <v>2086</v>
      </c>
      <c r="I4567" s="13">
        <v>4692.7359999999999</v>
      </c>
      <c r="J4567" s="19">
        <v>7</v>
      </c>
      <c r="K4567" s="14">
        <v>-1049.3406</v>
      </c>
    </row>
    <row r="4568" spans="1:11" x14ac:dyDescent="0.25">
      <c r="A4568" s="2">
        <v>44096</v>
      </c>
      <c r="B4568" s="18">
        <f t="shared" si="142"/>
        <v>2020</v>
      </c>
      <c r="C4568" s="18">
        <f t="shared" si="143"/>
        <v>9</v>
      </c>
      <c r="D4568" s="3" t="s">
        <v>469</v>
      </c>
      <c r="E4568" s="3" t="s">
        <v>109</v>
      </c>
      <c r="F4568" s="3" t="s">
        <v>19</v>
      </c>
      <c r="G4568" s="3" t="s">
        <v>40</v>
      </c>
      <c r="H4568" s="3" t="s">
        <v>2479</v>
      </c>
      <c r="I4568" s="11">
        <v>111.94</v>
      </c>
      <c r="J4568" s="18">
        <v>3</v>
      </c>
      <c r="K4568" s="12">
        <v>6.4584000000000001</v>
      </c>
    </row>
    <row r="4569" spans="1:11" x14ac:dyDescent="0.25">
      <c r="A4569" s="4">
        <v>44096</v>
      </c>
      <c r="B4569" s="19">
        <f t="shared" si="142"/>
        <v>2020</v>
      </c>
      <c r="C4569" s="19">
        <f t="shared" si="143"/>
        <v>9</v>
      </c>
      <c r="D4569" s="5" t="s">
        <v>469</v>
      </c>
      <c r="E4569" s="5" t="s">
        <v>109</v>
      </c>
      <c r="F4569" s="5" t="s">
        <v>19</v>
      </c>
      <c r="G4569" s="5" t="s">
        <v>53</v>
      </c>
      <c r="H4569" s="5" t="s">
        <v>2480</v>
      </c>
      <c r="I4569" s="13">
        <v>114.96</v>
      </c>
      <c r="J4569" s="19">
        <v>2</v>
      </c>
      <c r="K4569" s="14">
        <v>6.2207999999999997</v>
      </c>
    </row>
    <row r="4570" spans="1:11" x14ac:dyDescent="0.25">
      <c r="A4570" s="2">
        <v>44096</v>
      </c>
      <c r="B4570" s="18">
        <f t="shared" si="142"/>
        <v>2020</v>
      </c>
      <c r="C4570" s="18">
        <f t="shared" si="143"/>
        <v>9</v>
      </c>
      <c r="D4570" s="3" t="s">
        <v>887</v>
      </c>
      <c r="E4570" s="3" t="s">
        <v>23</v>
      </c>
      <c r="F4570" s="3" t="s">
        <v>19</v>
      </c>
      <c r="G4570" s="3" t="s">
        <v>86</v>
      </c>
      <c r="H4570" s="3" t="s">
        <v>176</v>
      </c>
      <c r="I4570" s="11">
        <v>102.392</v>
      </c>
      <c r="J4570" s="18">
        <v>3</v>
      </c>
      <c r="K4570" s="12">
        <v>5.0220000000000002</v>
      </c>
    </row>
    <row r="4571" spans="1:11" x14ac:dyDescent="0.25">
      <c r="A4571" s="4">
        <v>44096</v>
      </c>
      <c r="B4571" s="19">
        <f t="shared" si="142"/>
        <v>2020</v>
      </c>
      <c r="C4571" s="19">
        <f t="shared" si="143"/>
        <v>9</v>
      </c>
      <c r="D4571" s="5" t="s">
        <v>1458</v>
      </c>
      <c r="E4571" s="5" t="s">
        <v>39</v>
      </c>
      <c r="F4571" s="5" t="s">
        <v>19</v>
      </c>
      <c r="G4571" s="5" t="s">
        <v>32</v>
      </c>
      <c r="H4571" s="5" t="s">
        <v>467</v>
      </c>
      <c r="I4571" s="13">
        <v>94.606999999999999</v>
      </c>
      <c r="J4571" s="19">
        <v>1</v>
      </c>
      <c r="K4571" s="14">
        <v>-4.2987000000000002</v>
      </c>
    </row>
    <row r="4572" spans="1:11" x14ac:dyDescent="0.25">
      <c r="A4572" s="2">
        <v>44096</v>
      </c>
      <c r="B4572" s="18">
        <f t="shared" si="142"/>
        <v>2020</v>
      </c>
      <c r="C4572" s="18">
        <f t="shared" si="143"/>
        <v>9</v>
      </c>
      <c r="D4572" s="3" t="s">
        <v>1845</v>
      </c>
      <c r="E4572" s="3" t="s">
        <v>18</v>
      </c>
      <c r="F4572" s="3" t="s">
        <v>19</v>
      </c>
      <c r="G4572" s="3" t="s">
        <v>265</v>
      </c>
      <c r="H4572" s="3" t="s">
        <v>683</v>
      </c>
      <c r="I4572" s="11">
        <v>123.96</v>
      </c>
      <c r="J4572" s="18">
        <v>2</v>
      </c>
      <c r="K4572" s="12">
        <v>6.1487999999999996</v>
      </c>
    </row>
    <row r="4573" spans="1:11" x14ac:dyDescent="0.25">
      <c r="A4573" s="4">
        <v>44096</v>
      </c>
      <c r="B4573" s="19">
        <f t="shared" si="142"/>
        <v>2020</v>
      </c>
      <c r="C4573" s="19">
        <f t="shared" si="143"/>
        <v>9</v>
      </c>
      <c r="D4573" s="5" t="s">
        <v>887</v>
      </c>
      <c r="E4573" s="5" t="s">
        <v>23</v>
      </c>
      <c r="F4573" s="5" t="s">
        <v>19</v>
      </c>
      <c r="G4573" s="5" t="s">
        <v>32</v>
      </c>
      <c r="H4573" s="5" t="s">
        <v>788</v>
      </c>
      <c r="I4573" s="13">
        <v>112.22799999999999</v>
      </c>
      <c r="J4573" s="19">
        <v>7</v>
      </c>
      <c r="K4573" s="14">
        <v>-18.526199999999999</v>
      </c>
    </row>
    <row r="4574" spans="1:11" x14ac:dyDescent="0.25">
      <c r="A4574" s="2">
        <v>44096</v>
      </c>
      <c r="B4574" s="18">
        <f t="shared" si="142"/>
        <v>2020</v>
      </c>
      <c r="C4574" s="18">
        <f t="shared" si="143"/>
        <v>9</v>
      </c>
      <c r="D4574" s="3" t="s">
        <v>1697</v>
      </c>
      <c r="E4574" s="3" t="s">
        <v>589</v>
      </c>
      <c r="F4574" s="3" t="s">
        <v>14</v>
      </c>
      <c r="G4574" s="3" t="s">
        <v>24</v>
      </c>
      <c r="H4574" s="3" t="s">
        <v>362</v>
      </c>
      <c r="I4574" s="11">
        <v>131.94999999999999</v>
      </c>
      <c r="J4574" s="18">
        <v>5</v>
      </c>
      <c r="K4574" s="12">
        <v>15.378</v>
      </c>
    </row>
    <row r="4575" spans="1:11" x14ac:dyDescent="0.25">
      <c r="A4575" s="4">
        <v>44096</v>
      </c>
      <c r="B4575" s="19">
        <f t="shared" si="142"/>
        <v>2020</v>
      </c>
      <c r="C4575" s="19">
        <f t="shared" si="143"/>
        <v>9</v>
      </c>
      <c r="D4575" s="5" t="s">
        <v>574</v>
      </c>
      <c r="E4575" s="5" t="s">
        <v>94</v>
      </c>
      <c r="F4575" s="5" t="s">
        <v>11</v>
      </c>
      <c r="G4575" s="5" t="s">
        <v>51</v>
      </c>
      <c r="H4575" s="5" t="s">
        <v>1321</v>
      </c>
      <c r="I4575" s="13">
        <v>140.07</v>
      </c>
      <c r="J4575" s="19">
        <v>1</v>
      </c>
      <c r="K4575" s="14">
        <v>3.9830999999999999</v>
      </c>
    </row>
    <row r="4576" spans="1:11" x14ac:dyDescent="0.25">
      <c r="A4576" s="2">
        <v>44096</v>
      </c>
      <c r="B4576" s="18">
        <f t="shared" si="142"/>
        <v>2020</v>
      </c>
      <c r="C4576" s="18">
        <f t="shared" si="143"/>
        <v>9</v>
      </c>
      <c r="D4576" s="3" t="s">
        <v>2481</v>
      </c>
      <c r="E4576" s="3" t="s">
        <v>94</v>
      </c>
      <c r="F4576" s="3" t="s">
        <v>19</v>
      </c>
      <c r="G4576" s="3" t="s">
        <v>32</v>
      </c>
      <c r="H4576" s="3" t="s">
        <v>1610</v>
      </c>
      <c r="I4576" s="11">
        <v>113.176</v>
      </c>
      <c r="J4576" s="18">
        <v>3</v>
      </c>
      <c r="K4576" s="12">
        <v>14.563800000000001</v>
      </c>
    </row>
    <row r="4577" spans="1:11" x14ac:dyDescent="0.25">
      <c r="A4577" s="4">
        <v>44096</v>
      </c>
      <c r="B4577" s="19">
        <f t="shared" si="142"/>
        <v>2020</v>
      </c>
      <c r="C4577" s="19">
        <f t="shared" si="143"/>
        <v>9</v>
      </c>
      <c r="D4577" s="5" t="s">
        <v>1890</v>
      </c>
      <c r="E4577" s="5" t="s">
        <v>1868</v>
      </c>
      <c r="F4577" s="5" t="s">
        <v>19</v>
      </c>
      <c r="G4577" s="5" t="s">
        <v>53</v>
      </c>
      <c r="H4577" s="5" t="s">
        <v>709</v>
      </c>
      <c r="I4577" s="13">
        <v>142.18</v>
      </c>
      <c r="J4577" s="19">
        <v>3</v>
      </c>
      <c r="K4577" s="14">
        <v>12.231</v>
      </c>
    </row>
    <row r="4578" spans="1:11" x14ac:dyDescent="0.25">
      <c r="A4578" s="2">
        <v>44096</v>
      </c>
      <c r="B4578" s="18">
        <f t="shared" si="142"/>
        <v>2020</v>
      </c>
      <c r="C4578" s="18">
        <f t="shared" si="143"/>
        <v>9</v>
      </c>
      <c r="D4578" s="3" t="s">
        <v>729</v>
      </c>
      <c r="E4578" s="3" t="s">
        <v>365</v>
      </c>
      <c r="F4578" s="3" t="s">
        <v>19</v>
      </c>
      <c r="G4578" s="3" t="s">
        <v>127</v>
      </c>
      <c r="H4578" s="3" t="s">
        <v>1693</v>
      </c>
      <c r="I4578" s="11">
        <v>149.72</v>
      </c>
      <c r="J4578" s="18">
        <v>9</v>
      </c>
      <c r="K4578" s="12">
        <v>13.3056</v>
      </c>
    </row>
    <row r="4579" spans="1:11" x14ac:dyDescent="0.25">
      <c r="A4579" s="4">
        <v>44096</v>
      </c>
      <c r="B4579" s="19">
        <f t="shared" si="142"/>
        <v>2020</v>
      </c>
      <c r="C4579" s="19">
        <f t="shared" si="143"/>
        <v>9</v>
      </c>
      <c r="D4579" s="5" t="s">
        <v>892</v>
      </c>
      <c r="E4579" s="5" t="s">
        <v>56</v>
      </c>
      <c r="F4579" s="5" t="s">
        <v>19</v>
      </c>
      <c r="G4579" s="5" t="s">
        <v>32</v>
      </c>
      <c r="H4579" s="5" t="s">
        <v>1941</v>
      </c>
      <c r="I4579" s="13">
        <v>130.04</v>
      </c>
      <c r="J4579" s="19">
        <v>8</v>
      </c>
      <c r="K4579" s="14">
        <v>15.5288</v>
      </c>
    </row>
    <row r="4580" spans="1:11" x14ac:dyDescent="0.25">
      <c r="A4580" s="2">
        <v>44097</v>
      </c>
      <c r="B4580" s="18">
        <f t="shared" si="142"/>
        <v>2020</v>
      </c>
      <c r="C4580" s="18">
        <f t="shared" si="143"/>
        <v>9</v>
      </c>
      <c r="D4580" s="3" t="s">
        <v>2073</v>
      </c>
      <c r="E4580" s="3" t="s">
        <v>18</v>
      </c>
      <c r="F4580" s="3" t="s">
        <v>19</v>
      </c>
      <c r="G4580" s="3" t="s">
        <v>32</v>
      </c>
      <c r="H4580" s="3" t="s">
        <v>1607</v>
      </c>
      <c r="I4580" s="11">
        <v>122.96</v>
      </c>
      <c r="J4580" s="18">
        <v>3</v>
      </c>
      <c r="K4580" s="12">
        <v>23.712</v>
      </c>
    </row>
    <row r="4581" spans="1:11" x14ac:dyDescent="0.25">
      <c r="A4581" s="4">
        <v>44097</v>
      </c>
      <c r="B4581" s="19">
        <f t="shared" si="142"/>
        <v>2020</v>
      </c>
      <c r="C4581" s="19">
        <f t="shared" si="143"/>
        <v>9</v>
      </c>
      <c r="D4581" s="5" t="s">
        <v>296</v>
      </c>
      <c r="E4581" s="5" t="s">
        <v>70</v>
      </c>
      <c r="F4581" s="5" t="s">
        <v>19</v>
      </c>
      <c r="G4581" s="5" t="s">
        <v>121</v>
      </c>
      <c r="H4581" s="5" t="s">
        <v>2383</v>
      </c>
      <c r="I4581" s="13">
        <v>137.96</v>
      </c>
      <c r="J4581" s="19">
        <v>2</v>
      </c>
      <c r="K4581" s="14">
        <v>33.588799999999999</v>
      </c>
    </row>
    <row r="4582" spans="1:11" x14ac:dyDescent="0.25">
      <c r="A4582" s="2">
        <v>44097</v>
      </c>
      <c r="B4582" s="18">
        <f t="shared" si="142"/>
        <v>2020</v>
      </c>
      <c r="C4582" s="18">
        <f t="shared" si="143"/>
        <v>9</v>
      </c>
      <c r="D4582" s="3" t="s">
        <v>1948</v>
      </c>
      <c r="E4582" s="3" t="s">
        <v>18</v>
      </c>
      <c r="F4582" s="3" t="s">
        <v>19</v>
      </c>
      <c r="G4582" s="3" t="s">
        <v>121</v>
      </c>
      <c r="H4582" s="3" t="s">
        <v>1043</v>
      </c>
      <c r="I4582" s="11">
        <v>203.96</v>
      </c>
      <c r="J4582" s="18">
        <v>2</v>
      </c>
      <c r="K4582" s="12">
        <v>48.287999999999997</v>
      </c>
    </row>
    <row r="4583" spans="1:11" x14ac:dyDescent="0.25">
      <c r="A4583" s="4">
        <v>44097</v>
      </c>
      <c r="B4583" s="19">
        <f t="shared" si="142"/>
        <v>2020</v>
      </c>
      <c r="C4583" s="19">
        <f t="shared" si="143"/>
        <v>9</v>
      </c>
      <c r="D4583" s="5" t="s">
        <v>2073</v>
      </c>
      <c r="E4583" s="5" t="s">
        <v>18</v>
      </c>
      <c r="F4583" s="5" t="s">
        <v>19</v>
      </c>
      <c r="G4583" s="5" t="s">
        <v>53</v>
      </c>
      <c r="H4583" s="5" t="s">
        <v>767</v>
      </c>
      <c r="I4583" s="13">
        <v>223.04</v>
      </c>
      <c r="J4583" s="19">
        <v>8</v>
      </c>
      <c r="K4583" s="14">
        <v>97.078400000000002</v>
      </c>
    </row>
    <row r="4584" spans="1:11" x14ac:dyDescent="0.25">
      <c r="A4584" s="2">
        <v>44097</v>
      </c>
      <c r="B4584" s="18">
        <f t="shared" si="142"/>
        <v>2020</v>
      </c>
      <c r="C4584" s="18">
        <f t="shared" si="143"/>
        <v>9</v>
      </c>
      <c r="D4584" s="3" t="s">
        <v>638</v>
      </c>
      <c r="E4584" s="3" t="s">
        <v>306</v>
      </c>
      <c r="F4584" s="3" t="s">
        <v>11</v>
      </c>
      <c r="G4584" s="3" t="s">
        <v>12</v>
      </c>
      <c r="H4584" s="3" t="s">
        <v>1174</v>
      </c>
      <c r="I4584" s="11">
        <v>229.58799999999999</v>
      </c>
      <c r="J4584" s="18">
        <v>2</v>
      </c>
      <c r="K4584" s="12">
        <v>-240.78399999999999</v>
      </c>
    </row>
    <row r="4585" spans="1:11" x14ac:dyDescent="0.25">
      <c r="A4585" s="4">
        <v>44097</v>
      </c>
      <c r="B4585" s="19">
        <f t="shared" si="142"/>
        <v>2020</v>
      </c>
      <c r="C4585" s="19">
        <f t="shared" si="143"/>
        <v>9</v>
      </c>
      <c r="D4585" s="5" t="s">
        <v>2419</v>
      </c>
      <c r="E4585" s="5" t="s">
        <v>589</v>
      </c>
      <c r="F4585" s="5" t="s">
        <v>14</v>
      </c>
      <c r="G4585" s="5" t="s">
        <v>24</v>
      </c>
      <c r="H4585" s="5" t="s">
        <v>2140</v>
      </c>
      <c r="I4585" s="13">
        <v>238.95</v>
      </c>
      <c r="J4585" s="19">
        <v>5</v>
      </c>
      <c r="K4585" s="14">
        <v>63.984000000000002</v>
      </c>
    </row>
    <row r="4586" spans="1:11" x14ac:dyDescent="0.25">
      <c r="A4586" s="2">
        <v>44097</v>
      </c>
      <c r="B4586" s="18">
        <f t="shared" si="142"/>
        <v>2020</v>
      </c>
      <c r="C4586" s="18">
        <f t="shared" si="143"/>
        <v>9</v>
      </c>
      <c r="D4586" s="3" t="s">
        <v>224</v>
      </c>
      <c r="E4586" s="3" t="s">
        <v>44</v>
      </c>
      <c r="F4586" s="3" t="s">
        <v>19</v>
      </c>
      <c r="G4586" s="3" t="s">
        <v>53</v>
      </c>
      <c r="H4586" s="3" t="s">
        <v>2420</v>
      </c>
      <c r="I4586" s="11">
        <v>277.64</v>
      </c>
      <c r="J4586" s="18">
        <v>3</v>
      </c>
      <c r="K4586" s="12">
        <v>88.073999999999998</v>
      </c>
    </row>
    <row r="4587" spans="1:11" x14ac:dyDescent="0.25">
      <c r="A4587" s="4">
        <v>44097</v>
      </c>
      <c r="B4587" s="19">
        <f t="shared" si="142"/>
        <v>2020</v>
      </c>
      <c r="C4587" s="19">
        <f t="shared" si="143"/>
        <v>9</v>
      </c>
      <c r="D4587" s="5" t="s">
        <v>632</v>
      </c>
      <c r="E4587" s="5" t="s">
        <v>29</v>
      </c>
      <c r="F4587" s="5" t="s">
        <v>14</v>
      </c>
      <c r="G4587" s="5" t="s">
        <v>24</v>
      </c>
      <c r="H4587" s="5" t="s">
        <v>630</v>
      </c>
      <c r="I4587" s="13">
        <v>316.95999999999998</v>
      </c>
      <c r="J4587" s="19">
        <v>4</v>
      </c>
      <c r="K4587" s="14">
        <v>102.18600000000001</v>
      </c>
    </row>
    <row r="4588" spans="1:11" x14ac:dyDescent="0.25">
      <c r="A4588" s="2">
        <v>44097</v>
      </c>
      <c r="B4588" s="18">
        <f t="shared" si="142"/>
        <v>2020</v>
      </c>
      <c r="C4588" s="18">
        <f t="shared" si="143"/>
        <v>9</v>
      </c>
      <c r="D4588" s="3" t="s">
        <v>2073</v>
      </c>
      <c r="E4588" s="3" t="s">
        <v>18</v>
      </c>
      <c r="F4588" s="3" t="s">
        <v>11</v>
      </c>
      <c r="G4588" s="3" t="s">
        <v>112</v>
      </c>
      <c r="H4588" s="3" t="s">
        <v>2145</v>
      </c>
      <c r="I4588" s="11">
        <v>628.81600000000003</v>
      </c>
      <c r="J4588" s="18">
        <v>2</v>
      </c>
      <c r="K4588" s="12">
        <v>59.4816</v>
      </c>
    </row>
    <row r="4589" spans="1:11" x14ac:dyDescent="0.25">
      <c r="A4589" s="4">
        <v>44097</v>
      </c>
      <c r="B4589" s="19">
        <f t="shared" si="142"/>
        <v>2020</v>
      </c>
      <c r="C4589" s="19">
        <f t="shared" si="143"/>
        <v>9</v>
      </c>
      <c r="D4589" s="5" t="s">
        <v>296</v>
      </c>
      <c r="E4589" s="5" t="s">
        <v>70</v>
      </c>
      <c r="F4589" s="5" t="s">
        <v>19</v>
      </c>
      <c r="G4589" s="5" t="s">
        <v>32</v>
      </c>
      <c r="H4589" s="5" t="s">
        <v>1252</v>
      </c>
      <c r="I4589" s="13">
        <v>100.88</v>
      </c>
      <c r="J4589" s="19">
        <v>1</v>
      </c>
      <c r="K4589" s="14">
        <v>2.3220000000000001</v>
      </c>
    </row>
    <row r="4590" spans="1:11" x14ac:dyDescent="0.25">
      <c r="A4590" s="2">
        <v>44097</v>
      </c>
      <c r="B4590" s="18">
        <f t="shared" si="142"/>
        <v>2020</v>
      </c>
      <c r="C4590" s="18">
        <f t="shared" si="143"/>
        <v>9</v>
      </c>
      <c r="D4590" s="3" t="s">
        <v>385</v>
      </c>
      <c r="E4590" s="3" t="s">
        <v>23</v>
      </c>
      <c r="F4590" s="3" t="s">
        <v>19</v>
      </c>
      <c r="G4590" s="3" t="s">
        <v>53</v>
      </c>
      <c r="H4590" s="3" t="s">
        <v>969</v>
      </c>
      <c r="I4590" s="11">
        <v>95.248000000000005</v>
      </c>
      <c r="J4590" s="18">
        <v>2</v>
      </c>
      <c r="K4590" s="12">
        <v>3.3523999999999998</v>
      </c>
    </row>
    <row r="4591" spans="1:11" x14ac:dyDescent="0.25">
      <c r="A4591" s="4">
        <v>44097</v>
      </c>
      <c r="B4591" s="19">
        <f t="shared" si="142"/>
        <v>2020</v>
      </c>
      <c r="C4591" s="19">
        <f t="shared" si="143"/>
        <v>9</v>
      </c>
      <c r="D4591" s="5" t="s">
        <v>1269</v>
      </c>
      <c r="E4591" s="5" t="s">
        <v>306</v>
      </c>
      <c r="F4591" s="5" t="s">
        <v>19</v>
      </c>
      <c r="G4591" s="5" t="s">
        <v>86</v>
      </c>
      <c r="H4591" s="5" t="s">
        <v>2482</v>
      </c>
      <c r="I4591" s="13">
        <v>130.352</v>
      </c>
      <c r="J4591" s="19">
        <v>3</v>
      </c>
      <c r="K4591" s="14">
        <v>5.2026000000000003</v>
      </c>
    </row>
    <row r="4592" spans="1:11" x14ac:dyDescent="0.25">
      <c r="A4592" s="2">
        <v>44097</v>
      </c>
      <c r="B4592" s="18">
        <f t="shared" si="142"/>
        <v>2020</v>
      </c>
      <c r="C4592" s="18">
        <f t="shared" si="143"/>
        <v>9</v>
      </c>
      <c r="D4592" s="3" t="s">
        <v>296</v>
      </c>
      <c r="E4592" s="3" t="s">
        <v>70</v>
      </c>
      <c r="F4592" s="3" t="s">
        <v>19</v>
      </c>
      <c r="G4592" s="3" t="s">
        <v>20</v>
      </c>
      <c r="H4592" s="3" t="s">
        <v>1197</v>
      </c>
      <c r="I4592" s="11">
        <v>134.44</v>
      </c>
      <c r="J4592" s="18">
        <v>3</v>
      </c>
      <c r="K4592" s="12">
        <v>8.4887999999999995</v>
      </c>
    </row>
    <row r="4593" spans="1:11" x14ac:dyDescent="0.25">
      <c r="A4593" s="4">
        <v>44097</v>
      </c>
      <c r="B4593" s="19">
        <f t="shared" si="142"/>
        <v>2020</v>
      </c>
      <c r="C4593" s="19">
        <f t="shared" si="143"/>
        <v>9</v>
      </c>
      <c r="D4593" s="5" t="s">
        <v>2419</v>
      </c>
      <c r="E4593" s="5" t="s">
        <v>589</v>
      </c>
      <c r="F4593" s="5" t="s">
        <v>19</v>
      </c>
      <c r="G4593" s="5" t="s">
        <v>53</v>
      </c>
      <c r="H4593" s="5" t="s">
        <v>466</v>
      </c>
      <c r="I4593" s="13">
        <v>115.96</v>
      </c>
      <c r="J4593" s="19">
        <v>2</v>
      </c>
      <c r="K4593" s="14">
        <v>6.2207999999999997</v>
      </c>
    </row>
    <row r="4594" spans="1:11" x14ac:dyDescent="0.25">
      <c r="A4594" s="2">
        <v>44097</v>
      </c>
      <c r="B4594" s="18">
        <f t="shared" si="142"/>
        <v>2020</v>
      </c>
      <c r="C4594" s="18">
        <f t="shared" si="143"/>
        <v>9</v>
      </c>
      <c r="D4594" s="3" t="s">
        <v>1948</v>
      </c>
      <c r="E4594" s="3" t="s">
        <v>18</v>
      </c>
      <c r="F4594" s="3" t="s">
        <v>19</v>
      </c>
      <c r="G4594" s="3" t="s">
        <v>32</v>
      </c>
      <c r="H4594" s="3" t="s">
        <v>1912</v>
      </c>
      <c r="I4594" s="11">
        <v>144.82400000000001</v>
      </c>
      <c r="J4594" s="18">
        <v>6</v>
      </c>
      <c r="K4594" s="12">
        <v>9.0383999999999993</v>
      </c>
    </row>
    <row r="4595" spans="1:11" x14ac:dyDescent="0.25">
      <c r="A4595" s="4">
        <v>44097</v>
      </c>
      <c r="B4595" s="19">
        <f t="shared" si="142"/>
        <v>2020</v>
      </c>
      <c r="C4595" s="19">
        <f t="shared" si="143"/>
        <v>9</v>
      </c>
      <c r="D4595" s="5" t="s">
        <v>298</v>
      </c>
      <c r="E4595" s="5" t="s">
        <v>164</v>
      </c>
      <c r="F4595" s="5" t="s">
        <v>19</v>
      </c>
      <c r="G4595" s="5" t="s">
        <v>53</v>
      </c>
      <c r="H4595" s="5" t="s">
        <v>962</v>
      </c>
      <c r="I4595" s="13">
        <v>123.736</v>
      </c>
      <c r="J4595" s="19">
        <v>4</v>
      </c>
      <c r="K4595" s="14">
        <v>7.2576000000000001</v>
      </c>
    </row>
    <row r="4596" spans="1:11" x14ac:dyDescent="0.25">
      <c r="A4596" s="2">
        <v>44097</v>
      </c>
      <c r="B4596" s="18">
        <f t="shared" si="142"/>
        <v>2020</v>
      </c>
      <c r="C4596" s="18">
        <f t="shared" si="143"/>
        <v>9</v>
      </c>
      <c r="D4596" s="3" t="s">
        <v>638</v>
      </c>
      <c r="E4596" s="3" t="s">
        <v>306</v>
      </c>
      <c r="F4596" s="3" t="s">
        <v>14</v>
      </c>
      <c r="G4596" s="3" t="s">
        <v>24</v>
      </c>
      <c r="H4596" s="3" t="s">
        <v>1844</v>
      </c>
      <c r="I4596" s="11">
        <v>132.98400000000001</v>
      </c>
      <c r="J4596" s="18">
        <v>2</v>
      </c>
      <c r="K4596" s="12">
        <v>0.5998</v>
      </c>
    </row>
    <row r="4597" spans="1:11" x14ac:dyDescent="0.25">
      <c r="A4597" s="4">
        <v>44097</v>
      </c>
      <c r="B4597" s="19">
        <f t="shared" si="142"/>
        <v>2020</v>
      </c>
      <c r="C4597" s="19">
        <f t="shared" si="143"/>
        <v>9</v>
      </c>
      <c r="D4597" s="5" t="s">
        <v>298</v>
      </c>
      <c r="E4597" s="5" t="s">
        <v>164</v>
      </c>
      <c r="F4597" s="5" t="s">
        <v>14</v>
      </c>
      <c r="G4597" s="5" t="s">
        <v>15</v>
      </c>
      <c r="H4597" s="5" t="s">
        <v>2483</v>
      </c>
      <c r="I4597" s="13">
        <v>157.98400000000001</v>
      </c>
      <c r="J4597" s="19">
        <v>2</v>
      </c>
      <c r="K4597" s="14">
        <v>-8.9963999999999995</v>
      </c>
    </row>
    <row r="4598" spans="1:11" x14ac:dyDescent="0.25">
      <c r="A4598" s="2">
        <v>44097</v>
      </c>
      <c r="B4598" s="18">
        <f t="shared" si="142"/>
        <v>2020</v>
      </c>
      <c r="C4598" s="18">
        <f t="shared" si="143"/>
        <v>9</v>
      </c>
      <c r="D4598" s="3" t="s">
        <v>951</v>
      </c>
      <c r="E4598" s="3" t="s">
        <v>306</v>
      </c>
      <c r="F4598" s="3" t="s">
        <v>11</v>
      </c>
      <c r="G4598" s="3" t="s">
        <v>51</v>
      </c>
      <c r="H4598" s="3" t="s">
        <v>1494</v>
      </c>
      <c r="I4598" s="11">
        <v>133.328</v>
      </c>
      <c r="J4598" s="18">
        <v>3</v>
      </c>
      <c r="K4598" s="12">
        <v>3.6659999999999999</v>
      </c>
    </row>
    <row r="4599" spans="1:11" x14ac:dyDescent="0.25">
      <c r="A4599" s="4">
        <v>44097</v>
      </c>
      <c r="B4599" s="19">
        <f t="shared" si="142"/>
        <v>2020</v>
      </c>
      <c r="C4599" s="19">
        <f t="shared" si="143"/>
        <v>9</v>
      </c>
      <c r="D4599" s="5" t="s">
        <v>298</v>
      </c>
      <c r="E4599" s="5" t="s">
        <v>164</v>
      </c>
      <c r="F4599" s="5" t="s">
        <v>19</v>
      </c>
      <c r="G4599" s="5" t="s">
        <v>121</v>
      </c>
      <c r="H4599" s="5" t="s">
        <v>820</v>
      </c>
      <c r="I4599" s="13">
        <v>188.17599999999999</v>
      </c>
      <c r="J4599" s="19">
        <v>6</v>
      </c>
      <c r="K4599" s="14">
        <v>-197.5752</v>
      </c>
    </row>
    <row r="4600" spans="1:11" x14ac:dyDescent="0.25">
      <c r="A4600" s="2">
        <v>44098</v>
      </c>
      <c r="B4600" s="18">
        <f t="shared" si="142"/>
        <v>2020</v>
      </c>
      <c r="C4600" s="18">
        <f t="shared" si="143"/>
        <v>9</v>
      </c>
      <c r="D4600" s="3" t="s">
        <v>379</v>
      </c>
      <c r="E4600" s="3" t="s">
        <v>109</v>
      </c>
      <c r="F4600" s="3" t="s">
        <v>14</v>
      </c>
      <c r="G4600" s="3" t="s">
        <v>15</v>
      </c>
      <c r="H4600" s="3" t="s">
        <v>318</v>
      </c>
      <c r="I4600" s="11">
        <v>106.9</v>
      </c>
      <c r="J4600" s="18">
        <v>2</v>
      </c>
      <c r="K4600" s="12">
        <v>25.172000000000001</v>
      </c>
    </row>
    <row r="4601" spans="1:11" x14ac:dyDescent="0.25">
      <c r="A4601" s="4">
        <v>44098</v>
      </c>
      <c r="B4601" s="19">
        <f t="shared" si="142"/>
        <v>2020</v>
      </c>
      <c r="C4601" s="19">
        <f t="shared" si="143"/>
        <v>9</v>
      </c>
      <c r="D4601" s="5" t="s">
        <v>218</v>
      </c>
      <c r="E4601" s="5" t="s">
        <v>387</v>
      </c>
      <c r="F4601" s="5" t="s">
        <v>14</v>
      </c>
      <c r="G4601" s="5" t="s">
        <v>24</v>
      </c>
      <c r="H4601" s="5" t="s">
        <v>1803</v>
      </c>
      <c r="I4601" s="13">
        <v>112</v>
      </c>
      <c r="J4601" s="19">
        <v>4</v>
      </c>
      <c r="K4601" s="14">
        <v>12.96</v>
      </c>
    </row>
    <row r="4602" spans="1:11" x14ac:dyDescent="0.25">
      <c r="A4602" s="2">
        <v>44098</v>
      </c>
      <c r="B4602" s="18">
        <f t="shared" si="142"/>
        <v>2020</v>
      </c>
      <c r="C4602" s="18">
        <f t="shared" si="143"/>
        <v>9</v>
      </c>
      <c r="D4602" s="3" t="s">
        <v>1542</v>
      </c>
      <c r="E4602" s="3" t="s">
        <v>67</v>
      </c>
      <c r="F4602" s="3" t="s">
        <v>11</v>
      </c>
      <c r="G4602" s="3" t="s">
        <v>51</v>
      </c>
      <c r="H4602" s="3" t="s">
        <v>756</v>
      </c>
      <c r="I4602" s="11">
        <v>129.05600000000001</v>
      </c>
      <c r="J4602" s="18">
        <v>3</v>
      </c>
      <c r="K4602" s="12">
        <v>24.4758</v>
      </c>
    </row>
    <row r="4603" spans="1:11" x14ac:dyDescent="0.25">
      <c r="A4603" s="4">
        <v>44098</v>
      </c>
      <c r="B4603" s="19">
        <f t="shared" si="142"/>
        <v>2020</v>
      </c>
      <c r="C4603" s="19">
        <f t="shared" si="143"/>
        <v>9</v>
      </c>
      <c r="D4603" s="5" t="s">
        <v>621</v>
      </c>
      <c r="E4603" s="5" t="s">
        <v>70</v>
      </c>
      <c r="F4603" s="5" t="s">
        <v>11</v>
      </c>
      <c r="G4603" s="5" t="s">
        <v>51</v>
      </c>
      <c r="H4603" s="5" t="s">
        <v>738</v>
      </c>
      <c r="I4603" s="13">
        <v>243.8</v>
      </c>
      <c r="J4603" s="19">
        <v>10</v>
      </c>
      <c r="K4603" s="14">
        <v>71.927999999999997</v>
      </c>
    </row>
    <row r="4604" spans="1:11" x14ac:dyDescent="0.25">
      <c r="A4604" s="2">
        <v>44098</v>
      </c>
      <c r="B4604" s="18">
        <f t="shared" si="142"/>
        <v>2020</v>
      </c>
      <c r="C4604" s="18">
        <f t="shared" si="143"/>
        <v>9</v>
      </c>
      <c r="D4604" s="3" t="s">
        <v>608</v>
      </c>
      <c r="E4604" s="3" t="s">
        <v>44</v>
      </c>
      <c r="F4604" s="3" t="s">
        <v>19</v>
      </c>
      <c r="G4604" s="3" t="s">
        <v>127</v>
      </c>
      <c r="H4604" s="3" t="s">
        <v>1792</v>
      </c>
      <c r="I4604" s="11">
        <v>245.94399999999999</v>
      </c>
      <c r="J4604" s="18">
        <v>3</v>
      </c>
      <c r="K4604" s="12">
        <v>85.529700000000005</v>
      </c>
    </row>
    <row r="4605" spans="1:11" x14ac:dyDescent="0.25">
      <c r="A4605" s="4">
        <v>44098</v>
      </c>
      <c r="B4605" s="19">
        <f t="shared" si="142"/>
        <v>2020</v>
      </c>
      <c r="C4605" s="19">
        <f t="shared" si="143"/>
        <v>9</v>
      </c>
      <c r="D4605" s="5" t="s">
        <v>1757</v>
      </c>
      <c r="E4605" s="5" t="s">
        <v>370</v>
      </c>
      <c r="F4605" s="5" t="s">
        <v>14</v>
      </c>
      <c r="G4605" s="5" t="s">
        <v>15</v>
      </c>
      <c r="H4605" s="5" t="s">
        <v>943</v>
      </c>
      <c r="I4605" s="13">
        <v>432.98</v>
      </c>
      <c r="J4605" s="19">
        <v>2</v>
      </c>
      <c r="K4605" s="14">
        <v>109.7544</v>
      </c>
    </row>
    <row r="4606" spans="1:11" x14ac:dyDescent="0.25">
      <c r="A4606" s="2">
        <v>44098</v>
      </c>
      <c r="B4606" s="18">
        <f t="shared" si="142"/>
        <v>2020</v>
      </c>
      <c r="C4606" s="18">
        <f t="shared" si="143"/>
        <v>9</v>
      </c>
      <c r="D4606" s="3" t="s">
        <v>203</v>
      </c>
      <c r="E4606" s="3" t="s">
        <v>44</v>
      </c>
      <c r="F4606" s="3" t="s">
        <v>14</v>
      </c>
      <c r="G4606" s="3" t="s">
        <v>15</v>
      </c>
      <c r="H4606" s="3" t="s">
        <v>2130</v>
      </c>
      <c r="I4606" s="11">
        <v>433.96</v>
      </c>
      <c r="J4606" s="18">
        <v>5</v>
      </c>
      <c r="K4606" s="12">
        <v>38.396000000000001</v>
      </c>
    </row>
    <row r="4607" spans="1:11" x14ac:dyDescent="0.25">
      <c r="A4607" s="4">
        <v>44098</v>
      </c>
      <c r="B4607" s="19">
        <f t="shared" si="142"/>
        <v>2020</v>
      </c>
      <c r="C4607" s="19">
        <f t="shared" si="143"/>
        <v>9</v>
      </c>
      <c r="D4607" s="5" t="s">
        <v>1757</v>
      </c>
      <c r="E4607" s="5" t="s">
        <v>370</v>
      </c>
      <c r="F4607" s="5" t="s">
        <v>14</v>
      </c>
      <c r="G4607" s="5" t="s">
        <v>15</v>
      </c>
      <c r="H4607" s="5" t="s">
        <v>1563</v>
      </c>
      <c r="I4607" s="13">
        <v>474.85</v>
      </c>
      <c r="J4607" s="19">
        <v>3</v>
      </c>
      <c r="K4607" s="14">
        <v>131.35499999999999</v>
      </c>
    </row>
    <row r="4608" spans="1:11" x14ac:dyDescent="0.25">
      <c r="A4608" s="2">
        <v>44098</v>
      </c>
      <c r="B4608" s="18">
        <f t="shared" si="142"/>
        <v>2020</v>
      </c>
      <c r="C4608" s="18">
        <f t="shared" si="143"/>
        <v>9</v>
      </c>
      <c r="D4608" s="3" t="s">
        <v>1897</v>
      </c>
      <c r="E4608" s="3" t="s">
        <v>18</v>
      </c>
      <c r="F4608" s="3" t="s">
        <v>14</v>
      </c>
      <c r="G4608" s="3" t="s">
        <v>188</v>
      </c>
      <c r="H4608" s="3" t="s">
        <v>2484</v>
      </c>
      <c r="I4608" s="11">
        <v>554.28</v>
      </c>
      <c r="J4608" s="18">
        <v>3</v>
      </c>
      <c r="K4608" s="12">
        <v>177.19800000000001</v>
      </c>
    </row>
    <row r="4609" spans="1:11" x14ac:dyDescent="0.25">
      <c r="A4609" s="4">
        <v>44098</v>
      </c>
      <c r="B4609" s="19">
        <f t="shared" si="142"/>
        <v>2020</v>
      </c>
      <c r="C4609" s="19">
        <f t="shared" si="143"/>
        <v>9</v>
      </c>
      <c r="D4609" s="5" t="s">
        <v>454</v>
      </c>
      <c r="E4609" s="5" t="s">
        <v>164</v>
      </c>
      <c r="F4609" s="5" t="s">
        <v>11</v>
      </c>
      <c r="G4609" s="5" t="s">
        <v>112</v>
      </c>
      <c r="H4609" s="5" t="s">
        <v>2145</v>
      </c>
      <c r="I4609" s="13">
        <v>563.46400000000006</v>
      </c>
      <c r="J4609" s="19">
        <v>2</v>
      </c>
      <c r="K4609" s="14">
        <v>-14.8704</v>
      </c>
    </row>
    <row r="4610" spans="1:11" x14ac:dyDescent="0.25">
      <c r="A4610" s="2">
        <v>44098</v>
      </c>
      <c r="B4610" s="18">
        <f t="shared" ref="B4610:B4673" si="144">YEAR(A4610)</f>
        <v>2020</v>
      </c>
      <c r="C4610" s="18">
        <f t="shared" ref="C4610:C4673" si="145">MONTH(A4610)</f>
        <v>9</v>
      </c>
      <c r="D4610" s="3" t="s">
        <v>218</v>
      </c>
      <c r="E4610" s="3" t="s">
        <v>387</v>
      </c>
      <c r="F4610" s="3" t="s">
        <v>11</v>
      </c>
      <c r="G4610" s="3" t="s">
        <v>112</v>
      </c>
      <c r="H4610" s="3" t="s">
        <v>477</v>
      </c>
      <c r="I4610" s="11">
        <v>649.91999999999996</v>
      </c>
      <c r="J4610" s="18">
        <v>4</v>
      </c>
      <c r="K4610" s="12">
        <v>181.17599999999999</v>
      </c>
    </row>
    <row r="4611" spans="1:11" x14ac:dyDescent="0.25">
      <c r="A4611" s="4">
        <v>44098</v>
      </c>
      <c r="B4611" s="19">
        <f t="shared" si="144"/>
        <v>2020</v>
      </c>
      <c r="C4611" s="19">
        <f t="shared" si="145"/>
        <v>9</v>
      </c>
      <c r="D4611" s="5" t="s">
        <v>218</v>
      </c>
      <c r="E4611" s="5" t="s">
        <v>387</v>
      </c>
      <c r="F4611" s="5" t="s">
        <v>14</v>
      </c>
      <c r="G4611" s="5" t="s">
        <v>24</v>
      </c>
      <c r="H4611" s="5" t="s">
        <v>2152</v>
      </c>
      <c r="I4611" s="13">
        <v>666.9</v>
      </c>
      <c r="J4611" s="19">
        <v>5</v>
      </c>
      <c r="K4611" s="14">
        <v>275.47800000000001</v>
      </c>
    </row>
    <row r="4612" spans="1:11" x14ac:dyDescent="0.25">
      <c r="A4612" s="2">
        <v>44098</v>
      </c>
      <c r="B4612" s="18">
        <f t="shared" si="144"/>
        <v>2020</v>
      </c>
      <c r="C4612" s="18">
        <f t="shared" si="145"/>
        <v>9</v>
      </c>
      <c r="D4612" s="3" t="s">
        <v>1897</v>
      </c>
      <c r="E4612" s="3" t="s">
        <v>18</v>
      </c>
      <c r="F4612" s="3" t="s">
        <v>14</v>
      </c>
      <c r="G4612" s="3" t="s">
        <v>15</v>
      </c>
      <c r="H4612" s="3" t="s">
        <v>941</v>
      </c>
      <c r="I4612" s="11">
        <v>892.2</v>
      </c>
      <c r="J4612" s="18">
        <v>3</v>
      </c>
      <c r="K4612" s="12">
        <v>75.180000000000007</v>
      </c>
    </row>
    <row r="4613" spans="1:11" x14ac:dyDescent="0.25">
      <c r="A4613" s="4">
        <v>44098</v>
      </c>
      <c r="B4613" s="19">
        <f t="shared" si="144"/>
        <v>2020</v>
      </c>
      <c r="C4613" s="19">
        <f t="shared" si="145"/>
        <v>9</v>
      </c>
      <c r="D4613" s="5" t="s">
        <v>1404</v>
      </c>
      <c r="E4613" s="5" t="s">
        <v>67</v>
      </c>
      <c r="F4613" s="5" t="s">
        <v>14</v>
      </c>
      <c r="G4613" s="5" t="s">
        <v>15</v>
      </c>
      <c r="H4613" s="5" t="s">
        <v>381</v>
      </c>
      <c r="I4613" s="13">
        <v>1191.694</v>
      </c>
      <c r="J4613" s="19">
        <v>3</v>
      </c>
      <c r="K4613" s="14">
        <v>-253.43369999999999</v>
      </c>
    </row>
    <row r="4614" spans="1:11" x14ac:dyDescent="0.25">
      <c r="A4614" s="2">
        <v>44098</v>
      </c>
      <c r="B4614" s="18">
        <f t="shared" si="144"/>
        <v>2020</v>
      </c>
      <c r="C4614" s="18">
        <f t="shared" si="145"/>
        <v>9</v>
      </c>
      <c r="D4614" s="3" t="s">
        <v>1248</v>
      </c>
      <c r="E4614" s="3" t="s">
        <v>18</v>
      </c>
      <c r="F4614" s="3" t="s">
        <v>19</v>
      </c>
      <c r="G4614" s="3" t="s">
        <v>265</v>
      </c>
      <c r="H4614" s="3" t="s">
        <v>535</v>
      </c>
      <c r="I4614" s="11">
        <v>109.3</v>
      </c>
      <c r="J4614" s="18">
        <v>2</v>
      </c>
      <c r="K4614" s="12">
        <v>2.19</v>
      </c>
    </row>
    <row r="4615" spans="1:11" x14ac:dyDescent="0.25">
      <c r="A4615" s="4">
        <v>44098</v>
      </c>
      <c r="B4615" s="19">
        <f t="shared" si="144"/>
        <v>2020</v>
      </c>
      <c r="C4615" s="19">
        <f t="shared" si="145"/>
        <v>9</v>
      </c>
      <c r="D4615" s="5" t="s">
        <v>454</v>
      </c>
      <c r="E4615" s="5" t="s">
        <v>164</v>
      </c>
      <c r="F4615" s="5" t="s">
        <v>19</v>
      </c>
      <c r="G4615" s="5" t="s">
        <v>53</v>
      </c>
      <c r="H4615" s="5" t="s">
        <v>2485</v>
      </c>
      <c r="I4615" s="13">
        <v>113.42400000000001</v>
      </c>
      <c r="J4615" s="19">
        <v>3</v>
      </c>
      <c r="K4615" s="14">
        <v>3.7128000000000001</v>
      </c>
    </row>
    <row r="4616" spans="1:11" x14ac:dyDescent="0.25">
      <c r="A4616" s="2">
        <v>44098</v>
      </c>
      <c r="B4616" s="18">
        <f t="shared" si="144"/>
        <v>2020</v>
      </c>
      <c r="C4616" s="18">
        <f t="shared" si="145"/>
        <v>9</v>
      </c>
      <c r="D4616" s="3" t="s">
        <v>379</v>
      </c>
      <c r="E4616" s="3" t="s">
        <v>109</v>
      </c>
      <c r="F4616" s="3" t="s">
        <v>19</v>
      </c>
      <c r="G4616" s="3" t="s">
        <v>40</v>
      </c>
      <c r="H4616" s="3" t="s">
        <v>607</v>
      </c>
      <c r="I4616" s="11">
        <v>98.72</v>
      </c>
      <c r="J4616" s="18">
        <v>3</v>
      </c>
      <c r="K4616" s="12">
        <v>4.9607999999999999</v>
      </c>
    </row>
    <row r="4617" spans="1:11" x14ac:dyDescent="0.25">
      <c r="A4617" s="4">
        <v>44098</v>
      </c>
      <c r="B4617" s="19">
        <f t="shared" si="144"/>
        <v>2020</v>
      </c>
      <c r="C4617" s="19">
        <f t="shared" si="145"/>
        <v>9</v>
      </c>
      <c r="D4617" s="5" t="s">
        <v>203</v>
      </c>
      <c r="E4617" s="5" t="s">
        <v>44</v>
      </c>
      <c r="F4617" s="5" t="s">
        <v>19</v>
      </c>
      <c r="G4617" s="5" t="s">
        <v>32</v>
      </c>
      <c r="H4617" s="5" t="s">
        <v>841</v>
      </c>
      <c r="I4617" s="13">
        <v>94.57</v>
      </c>
      <c r="J4617" s="19">
        <v>3</v>
      </c>
      <c r="K4617" s="14">
        <v>-11.417999999999999</v>
      </c>
    </row>
    <row r="4618" spans="1:11" x14ac:dyDescent="0.25">
      <c r="A4618" s="2">
        <v>44098</v>
      </c>
      <c r="B4618" s="18">
        <f t="shared" si="144"/>
        <v>2020</v>
      </c>
      <c r="C4618" s="18">
        <f t="shared" si="145"/>
        <v>9</v>
      </c>
      <c r="D4618" s="3" t="s">
        <v>379</v>
      </c>
      <c r="E4618" s="3" t="s">
        <v>109</v>
      </c>
      <c r="F4618" s="3" t="s">
        <v>19</v>
      </c>
      <c r="G4618" s="3" t="s">
        <v>127</v>
      </c>
      <c r="H4618" s="3" t="s">
        <v>1263</v>
      </c>
      <c r="I4618" s="11">
        <v>97.75</v>
      </c>
      <c r="J4618" s="18">
        <v>5</v>
      </c>
      <c r="K4618" s="12">
        <v>7.56</v>
      </c>
    </row>
    <row r="4619" spans="1:11" x14ac:dyDescent="0.25">
      <c r="A4619" s="4">
        <v>44098</v>
      </c>
      <c r="B4619" s="19">
        <f t="shared" si="144"/>
        <v>2020</v>
      </c>
      <c r="C4619" s="19">
        <f t="shared" si="145"/>
        <v>9</v>
      </c>
      <c r="D4619" s="5" t="s">
        <v>379</v>
      </c>
      <c r="E4619" s="5" t="s">
        <v>109</v>
      </c>
      <c r="F4619" s="5" t="s">
        <v>19</v>
      </c>
      <c r="G4619" s="5" t="s">
        <v>40</v>
      </c>
      <c r="H4619" s="5" t="s">
        <v>703</v>
      </c>
      <c r="I4619" s="13">
        <v>103.28</v>
      </c>
      <c r="J4619" s="19">
        <v>4</v>
      </c>
      <c r="K4619" s="14">
        <v>3.7128000000000001</v>
      </c>
    </row>
    <row r="4620" spans="1:11" x14ac:dyDescent="0.25">
      <c r="A4620" s="2">
        <v>44098</v>
      </c>
      <c r="B4620" s="18">
        <f t="shared" si="144"/>
        <v>2020</v>
      </c>
      <c r="C4620" s="18">
        <f t="shared" si="145"/>
        <v>9</v>
      </c>
      <c r="D4620" s="3" t="s">
        <v>379</v>
      </c>
      <c r="E4620" s="3" t="s">
        <v>109</v>
      </c>
      <c r="F4620" s="3" t="s">
        <v>19</v>
      </c>
      <c r="G4620" s="3" t="s">
        <v>20</v>
      </c>
      <c r="H4620" s="3" t="s">
        <v>1743</v>
      </c>
      <c r="I4620" s="11">
        <v>127.51</v>
      </c>
      <c r="J4620" s="18">
        <v>1</v>
      </c>
      <c r="K4620" s="12">
        <v>3.8774999999999999</v>
      </c>
    </row>
    <row r="4621" spans="1:11" x14ac:dyDescent="0.25">
      <c r="A4621" s="4">
        <v>44098</v>
      </c>
      <c r="B4621" s="19">
        <f t="shared" si="144"/>
        <v>2020</v>
      </c>
      <c r="C4621" s="19">
        <f t="shared" si="145"/>
        <v>9</v>
      </c>
      <c r="D4621" s="5" t="s">
        <v>608</v>
      </c>
      <c r="E4621" s="5" t="s">
        <v>44</v>
      </c>
      <c r="F4621" s="5" t="s">
        <v>14</v>
      </c>
      <c r="G4621" s="5" t="s">
        <v>24</v>
      </c>
      <c r="H4621" s="5" t="s">
        <v>330</v>
      </c>
      <c r="I4621" s="13">
        <v>114.88</v>
      </c>
      <c r="J4621" s="19">
        <v>3</v>
      </c>
      <c r="K4621" s="14">
        <v>2.4584999999999999</v>
      </c>
    </row>
    <row r="4622" spans="1:11" x14ac:dyDescent="0.25">
      <c r="A4622" s="2">
        <v>44098</v>
      </c>
      <c r="B4622" s="18">
        <f t="shared" si="144"/>
        <v>2020</v>
      </c>
      <c r="C4622" s="18">
        <f t="shared" si="145"/>
        <v>9</v>
      </c>
      <c r="D4622" s="3" t="s">
        <v>81</v>
      </c>
      <c r="E4622" s="3" t="s">
        <v>109</v>
      </c>
      <c r="F4622" s="3" t="s">
        <v>19</v>
      </c>
      <c r="G4622" s="3" t="s">
        <v>20</v>
      </c>
      <c r="H4622" s="3" t="s">
        <v>2014</v>
      </c>
      <c r="I4622" s="11">
        <v>154.29</v>
      </c>
      <c r="J4622" s="18">
        <v>3</v>
      </c>
      <c r="K4622" s="12">
        <v>10.0725</v>
      </c>
    </row>
    <row r="4623" spans="1:11" x14ac:dyDescent="0.25">
      <c r="A4623" s="4">
        <v>44098</v>
      </c>
      <c r="B4623" s="19">
        <f t="shared" si="144"/>
        <v>2020</v>
      </c>
      <c r="C4623" s="19">
        <f t="shared" si="145"/>
        <v>9</v>
      </c>
      <c r="D4623" s="5" t="s">
        <v>81</v>
      </c>
      <c r="E4623" s="5" t="s">
        <v>109</v>
      </c>
      <c r="F4623" s="5" t="s">
        <v>19</v>
      </c>
      <c r="G4623" s="5" t="s">
        <v>32</v>
      </c>
      <c r="H4623" s="5" t="s">
        <v>1395</v>
      </c>
      <c r="I4623" s="13">
        <v>127.71</v>
      </c>
      <c r="J4623" s="19">
        <v>7</v>
      </c>
      <c r="K4623" s="14">
        <v>17.8066</v>
      </c>
    </row>
    <row r="4624" spans="1:11" x14ac:dyDescent="0.25">
      <c r="A4624" s="2">
        <v>44098</v>
      </c>
      <c r="B4624" s="18">
        <f t="shared" si="144"/>
        <v>2020</v>
      </c>
      <c r="C4624" s="18">
        <f t="shared" si="145"/>
        <v>9</v>
      </c>
      <c r="D4624" s="3" t="s">
        <v>1248</v>
      </c>
      <c r="E4624" s="3" t="s">
        <v>18</v>
      </c>
      <c r="F4624" s="3" t="s">
        <v>19</v>
      </c>
      <c r="G4624" s="3" t="s">
        <v>53</v>
      </c>
      <c r="H4624" s="3" t="s">
        <v>1361</v>
      </c>
      <c r="I4624" s="11">
        <v>150.08000000000001</v>
      </c>
      <c r="J4624" s="18">
        <v>6</v>
      </c>
      <c r="K4624" s="12">
        <v>15.229200000000001</v>
      </c>
    </row>
    <row r="4625" spans="1:11" x14ac:dyDescent="0.25">
      <c r="A4625" s="4">
        <v>44099</v>
      </c>
      <c r="B4625" s="19">
        <f t="shared" si="144"/>
        <v>2020</v>
      </c>
      <c r="C4625" s="19">
        <f t="shared" si="145"/>
        <v>9</v>
      </c>
      <c r="D4625" s="5" t="s">
        <v>525</v>
      </c>
      <c r="E4625" s="5" t="s">
        <v>67</v>
      </c>
      <c r="F4625" s="5" t="s">
        <v>14</v>
      </c>
      <c r="G4625" s="5" t="s">
        <v>24</v>
      </c>
      <c r="H4625" s="5" t="s">
        <v>106</v>
      </c>
      <c r="I4625" s="13">
        <v>161.96</v>
      </c>
      <c r="J4625" s="19">
        <v>5</v>
      </c>
      <c r="K4625" s="14">
        <v>35.988</v>
      </c>
    </row>
    <row r="4626" spans="1:11" x14ac:dyDescent="0.25">
      <c r="A4626" s="2">
        <v>44099</v>
      </c>
      <c r="B4626" s="18">
        <f t="shared" si="144"/>
        <v>2020</v>
      </c>
      <c r="C4626" s="18">
        <f t="shared" si="145"/>
        <v>9</v>
      </c>
      <c r="D4626" s="3" t="s">
        <v>859</v>
      </c>
      <c r="E4626" s="3" t="s">
        <v>181</v>
      </c>
      <c r="F4626" s="3" t="s">
        <v>19</v>
      </c>
      <c r="G4626" s="3" t="s">
        <v>20</v>
      </c>
      <c r="H4626" s="3" t="s">
        <v>1249</v>
      </c>
      <c r="I4626" s="11">
        <v>191.55</v>
      </c>
      <c r="J4626" s="18">
        <v>5</v>
      </c>
      <c r="K4626" s="12">
        <v>47.938499999999998</v>
      </c>
    </row>
    <row r="4627" spans="1:11" x14ac:dyDescent="0.25">
      <c r="A4627" s="4">
        <v>44099</v>
      </c>
      <c r="B4627" s="19">
        <f t="shared" si="144"/>
        <v>2020</v>
      </c>
      <c r="C4627" s="19">
        <f t="shared" si="145"/>
        <v>9</v>
      </c>
      <c r="D4627" s="5" t="s">
        <v>1127</v>
      </c>
      <c r="E4627" s="5" t="s">
        <v>39</v>
      </c>
      <c r="F4627" s="5" t="s">
        <v>19</v>
      </c>
      <c r="G4627" s="5" t="s">
        <v>265</v>
      </c>
      <c r="H4627" s="5" t="s">
        <v>1105</v>
      </c>
      <c r="I4627" s="13">
        <v>220.89599999999999</v>
      </c>
      <c r="J4627" s="19">
        <v>2</v>
      </c>
      <c r="K4627" s="14">
        <v>-42.951599999999999</v>
      </c>
    </row>
    <row r="4628" spans="1:11" x14ac:dyDescent="0.25">
      <c r="A4628" s="2">
        <v>44099</v>
      </c>
      <c r="B4628" s="18">
        <f t="shared" si="144"/>
        <v>2020</v>
      </c>
      <c r="C4628" s="18">
        <f t="shared" si="145"/>
        <v>9</v>
      </c>
      <c r="D4628" s="3" t="s">
        <v>1359</v>
      </c>
      <c r="E4628" s="3" t="s">
        <v>387</v>
      </c>
      <c r="F4628" s="3" t="s">
        <v>11</v>
      </c>
      <c r="G4628" s="3" t="s">
        <v>112</v>
      </c>
      <c r="H4628" s="3" t="s">
        <v>1182</v>
      </c>
      <c r="I4628" s="11">
        <v>285.97000000000003</v>
      </c>
      <c r="J4628" s="18">
        <v>3</v>
      </c>
      <c r="K4628" s="12">
        <v>51.2943</v>
      </c>
    </row>
    <row r="4629" spans="1:11" x14ac:dyDescent="0.25">
      <c r="A4629" s="4">
        <v>44099</v>
      </c>
      <c r="B4629" s="19">
        <f t="shared" si="144"/>
        <v>2020</v>
      </c>
      <c r="C4629" s="19">
        <f t="shared" si="145"/>
        <v>9</v>
      </c>
      <c r="D4629" s="5" t="s">
        <v>1772</v>
      </c>
      <c r="E4629" s="5" t="s">
        <v>94</v>
      </c>
      <c r="F4629" s="5" t="s">
        <v>11</v>
      </c>
      <c r="G4629" s="5" t="s">
        <v>112</v>
      </c>
      <c r="H4629" s="5" t="s">
        <v>114</v>
      </c>
      <c r="I4629" s="13">
        <v>503.64600000000002</v>
      </c>
      <c r="J4629" s="19">
        <v>3</v>
      </c>
      <c r="K4629" s="14">
        <v>86.870400000000004</v>
      </c>
    </row>
    <row r="4630" spans="1:11" x14ac:dyDescent="0.25">
      <c r="A4630" s="2">
        <v>44099</v>
      </c>
      <c r="B4630" s="18">
        <f t="shared" si="144"/>
        <v>2020</v>
      </c>
      <c r="C4630" s="18">
        <f t="shared" si="145"/>
        <v>9</v>
      </c>
      <c r="D4630" s="3" t="s">
        <v>1359</v>
      </c>
      <c r="E4630" s="3" t="s">
        <v>387</v>
      </c>
      <c r="F4630" s="3" t="s">
        <v>19</v>
      </c>
      <c r="G4630" s="3" t="s">
        <v>32</v>
      </c>
      <c r="H4630" s="3" t="s">
        <v>1941</v>
      </c>
      <c r="I4630" s="11">
        <v>109.26</v>
      </c>
      <c r="J4630" s="18">
        <v>2</v>
      </c>
      <c r="K4630" s="12">
        <v>3.8822000000000001</v>
      </c>
    </row>
    <row r="4631" spans="1:11" x14ac:dyDescent="0.25">
      <c r="A4631" s="4">
        <v>44099</v>
      </c>
      <c r="B4631" s="19">
        <f t="shared" si="144"/>
        <v>2020</v>
      </c>
      <c r="C4631" s="19">
        <f t="shared" si="145"/>
        <v>9</v>
      </c>
      <c r="D4631" s="5" t="s">
        <v>1127</v>
      </c>
      <c r="E4631" s="5" t="s">
        <v>39</v>
      </c>
      <c r="F4631" s="5" t="s">
        <v>19</v>
      </c>
      <c r="G4631" s="5" t="s">
        <v>32</v>
      </c>
      <c r="H4631" s="5" t="s">
        <v>2423</v>
      </c>
      <c r="I4631" s="13">
        <v>85.594999999999999</v>
      </c>
      <c r="J4631" s="19">
        <v>5</v>
      </c>
      <c r="K4631" s="14">
        <v>-6.3029999999999999</v>
      </c>
    </row>
    <row r="4632" spans="1:11" x14ac:dyDescent="0.25">
      <c r="A4632" s="2">
        <v>44099</v>
      </c>
      <c r="B4632" s="18">
        <f t="shared" si="144"/>
        <v>2020</v>
      </c>
      <c r="C4632" s="18">
        <f t="shared" si="145"/>
        <v>9</v>
      </c>
      <c r="D4632" s="3" t="s">
        <v>1772</v>
      </c>
      <c r="E4632" s="3" t="s">
        <v>94</v>
      </c>
      <c r="F4632" s="3" t="s">
        <v>19</v>
      </c>
      <c r="G4632" s="3" t="s">
        <v>40</v>
      </c>
      <c r="H4632" s="3" t="s">
        <v>944</v>
      </c>
      <c r="I4632" s="11">
        <v>115.56</v>
      </c>
      <c r="J4632" s="18">
        <v>2</v>
      </c>
      <c r="K4632" s="12">
        <v>1.4456</v>
      </c>
    </row>
    <row r="4633" spans="1:11" x14ac:dyDescent="0.25">
      <c r="A4633" s="4">
        <v>44099</v>
      </c>
      <c r="B4633" s="19">
        <f t="shared" si="144"/>
        <v>2020</v>
      </c>
      <c r="C4633" s="19">
        <f t="shared" si="145"/>
        <v>9</v>
      </c>
      <c r="D4633" s="5" t="s">
        <v>525</v>
      </c>
      <c r="E4633" s="5" t="s">
        <v>67</v>
      </c>
      <c r="F4633" s="5" t="s">
        <v>19</v>
      </c>
      <c r="G4633" s="5" t="s">
        <v>40</v>
      </c>
      <c r="H4633" s="5" t="s">
        <v>1124</v>
      </c>
      <c r="I4633" s="13">
        <v>131.608</v>
      </c>
      <c r="J4633" s="19">
        <v>6</v>
      </c>
      <c r="K4633" s="14">
        <v>0.92820000000000003</v>
      </c>
    </row>
    <row r="4634" spans="1:11" x14ac:dyDescent="0.25">
      <c r="A4634" s="2">
        <v>44099</v>
      </c>
      <c r="B4634" s="18">
        <f t="shared" si="144"/>
        <v>2020</v>
      </c>
      <c r="C4634" s="18">
        <f t="shared" si="145"/>
        <v>9</v>
      </c>
      <c r="D4634" s="3" t="s">
        <v>1772</v>
      </c>
      <c r="E4634" s="3" t="s">
        <v>94</v>
      </c>
      <c r="F4634" s="3" t="s">
        <v>19</v>
      </c>
      <c r="G4634" s="3" t="s">
        <v>127</v>
      </c>
      <c r="H4634" s="3" t="s">
        <v>1616</v>
      </c>
      <c r="I4634" s="11">
        <v>123.7</v>
      </c>
      <c r="J4634" s="18">
        <v>2</v>
      </c>
      <c r="K4634" s="12">
        <v>9.9359999999999999</v>
      </c>
    </row>
    <row r="4635" spans="1:11" x14ac:dyDescent="0.25">
      <c r="A4635" s="4">
        <v>44099</v>
      </c>
      <c r="B4635" s="19">
        <f t="shared" si="144"/>
        <v>2020</v>
      </c>
      <c r="C4635" s="19">
        <f t="shared" si="145"/>
        <v>9</v>
      </c>
      <c r="D4635" s="5" t="s">
        <v>2039</v>
      </c>
      <c r="E4635" s="5" t="s">
        <v>67</v>
      </c>
      <c r="F4635" s="5" t="s">
        <v>19</v>
      </c>
      <c r="G4635" s="5" t="s">
        <v>86</v>
      </c>
      <c r="H4635" s="5" t="s">
        <v>399</v>
      </c>
      <c r="I4635" s="13">
        <v>135.44800000000001</v>
      </c>
      <c r="J4635" s="19">
        <v>4</v>
      </c>
      <c r="K4635" s="14">
        <v>8.8623999999999992</v>
      </c>
    </row>
    <row r="4636" spans="1:11" x14ac:dyDescent="0.25">
      <c r="A4636" s="2">
        <v>44099</v>
      </c>
      <c r="B4636" s="18">
        <f t="shared" si="144"/>
        <v>2020</v>
      </c>
      <c r="C4636" s="18">
        <f t="shared" si="145"/>
        <v>9</v>
      </c>
      <c r="D4636" s="3" t="s">
        <v>1908</v>
      </c>
      <c r="E4636" s="3" t="s">
        <v>2104</v>
      </c>
      <c r="F4636" s="3" t="s">
        <v>19</v>
      </c>
      <c r="G4636" s="3" t="s">
        <v>20</v>
      </c>
      <c r="H4636" s="3" t="s">
        <v>2194</v>
      </c>
      <c r="I4636" s="11">
        <v>154.9</v>
      </c>
      <c r="J4636" s="18">
        <v>5</v>
      </c>
      <c r="K4636" s="12">
        <v>10.374000000000001</v>
      </c>
    </row>
    <row r="4637" spans="1:11" x14ac:dyDescent="0.25">
      <c r="A4637" s="4">
        <v>44099</v>
      </c>
      <c r="B4637" s="19">
        <f t="shared" si="144"/>
        <v>2020</v>
      </c>
      <c r="C4637" s="19">
        <f t="shared" si="145"/>
        <v>9</v>
      </c>
      <c r="D4637" s="5" t="s">
        <v>1772</v>
      </c>
      <c r="E4637" s="5" t="s">
        <v>94</v>
      </c>
      <c r="F4637" s="5" t="s">
        <v>11</v>
      </c>
      <c r="G4637" s="5" t="s">
        <v>51</v>
      </c>
      <c r="H4637" s="5" t="s">
        <v>692</v>
      </c>
      <c r="I4637" s="13">
        <v>164.12</v>
      </c>
      <c r="J4637" s="19">
        <v>8</v>
      </c>
      <c r="K4637" s="14">
        <v>20.732800000000001</v>
      </c>
    </row>
    <row r="4638" spans="1:11" x14ac:dyDescent="0.25">
      <c r="A4638" s="2">
        <v>44100</v>
      </c>
      <c r="B4638" s="18">
        <f t="shared" si="144"/>
        <v>2020</v>
      </c>
      <c r="C4638" s="18">
        <f t="shared" si="145"/>
        <v>9</v>
      </c>
      <c r="D4638" s="3" t="s">
        <v>360</v>
      </c>
      <c r="E4638" s="3" t="s">
        <v>44</v>
      </c>
      <c r="F4638" s="3" t="s">
        <v>11</v>
      </c>
      <c r="G4638" s="3" t="s">
        <v>112</v>
      </c>
      <c r="H4638" s="3" t="s">
        <v>752</v>
      </c>
      <c r="I4638" s="11">
        <v>446.13600000000002</v>
      </c>
      <c r="J4638" s="18">
        <v>4</v>
      </c>
      <c r="K4638" s="12">
        <v>-57.6312</v>
      </c>
    </row>
    <row r="4639" spans="1:11" x14ac:dyDescent="0.25">
      <c r="A4639" s="4">
        <v>44100</v>
      </c>
      <c r="B4639" s="19">
        <f t="shared" si="144"/>
        <v>2020</v>
      </c>
      <c r="C4639" s="19">
        <f t="shared" si="145"/>
        <v>9</v>
      </c>
      <c r="D4639" s="5" t="s">
        <v>1227</v>
      </c>
      <c r="E4639" s="5" t="s">
        <v>18</v>
      </c>
      <c r="F4639" s="5" t="s">
        <v>19</v>
      </c>
      <c r="G4639" s="5" t="s">
        <v>32</v>
      </c>
      <c r="H4639" s="5" t="s">
        <v>2417</v>
      </c>
      <c r="I4639" s="13">
        <v>947.17600000000004</v>
      </c>
      <c r="J4639" s="19">
        <v>3</v>
      </c>
      <c r="K4639" s="14">
        <v>314.27190000000002</v>
      </c>
    </row>
    <row r="4640" spans="1:11" x14ac:dyDescent="0.25">
      <c r="A4640" s="2">
        <v>44100</v>
      </c>
      <c r="B4640" s="18">
        <f t="shared" si="144"/>
        <v>2020</v>
      </c>
      <c r="C4640" s="18">
        <f t="shared" si="145"/>
        <v>9</v>
      </c>
      <c r="D4640" s="3" t="s">
        <v>2002</v>
      </c>
      <c r="E4640" s="3" t="s">
        <v>465</v>
      </c>
      <c r="F4640" s="3" t="s">
        <v>19</v>
      </c>
      <c r="G4640" s="3" t="s">
        <v>40</v>
      </c>
      <c r="H4640" s="3" t="s">
        <v>366</v>
      </c>
      <c r="I4640" s="11">
        <v>88.224000000000004</v>
      </c>
      <c r="J4640" s="18">
        <v>1</v>
      </c>
      <c r="K4640" s="12">
        <v>0.55600000000000005</v>
      </c>
    </row>
    <row r="4641" spans="1:11" x14ac:dyDescent="0.25">
      <c r="A4641" s="4">
        <v>44100</v>
      </c>
      <c r="B4641" s="19">
        <f t="shared" si="144"/>
        <v>2020</v>
      </c>
      <c r="C4641" s="19">
        <f t="shared" si="145"/>
        <v>9</v>
      </c>
      <c r="D4641" s="5" t="s">
        <v>1227</v>
      </c>
      <c r="E4641" s="5" t="s">
        <v>18</v>
      </c>
      <c r="F4641" s="5" t="s">
        <v>11</v>
      </c>
      <c r="G4641" s="5" t="s">
        <v>51</v>
      </c>
      <c r="H4641" s="5" t="s">
        <v>2208</v>
      </c>
      <c r="I4641" s="13">
        <v>112.24</v>
      </c>
      <c r="J4641" s="19">
        <v>3</v>
      </c>
      <c r="K4641" s="14">
        <v>2.9567999999999999</v>
      </c>
    </row>
    <row r="4642" spans="1:11" x14ac:dyDescent="0.25">
      <c r="A4642" s="2">
        <v>44100</v>
      </c>
      <c r="B4642" s="18">
        <f t="shared" si="144"/>
        <v>2020</v>
      </c>
      <c r="C4642" s="18">
        <f t="shared" si="145"/>
        <v>9</v>
      </c>
      <c r="D4642" s="3" t="s">
        <v>1227</v>
      </c>
      <c r="E4642" s="3" t="s">
        <v>18</v>
      </c>
      <c r="F4642" s="3" t="s">
        <v>19</v>
      </c>
      <c r="G4642" s="3" t="s">
        <v>32</v>
      </c>
      <c r="H4642" s="3" t="s">
        <v>501</v>
      </c>
      <c r="I4642" s="11">
        <v>90.04</v>
      </c>
      <c r="J4642" s="18">
        <v>3</v>
      </c>
      <c r="K4642" s="12">
        <v>5.5380000000000003</v>
      </c>
    </row>
    <row r="4643" spans="1:11" x14ac:dyDescent="0.25">
      <c r="A4643" s="4">
        <v>44100</v>
      </c>
      <c r="B4643" s="19">
        <f t="shared" si="144"/>
        <v>2020</v>
      </c>
      <c r="C4643" s="19">
        <f t="shared" si="145"/>
        <v>9</v>
      </c>
      <c r="D4643" s="5" t="s">
        <v>1227</v>
      </c>
      <c r="E4643" s="5" t="s">
        <v>18</v>
      </c>
      <c r="F4643" s="5" t="s">
        <v>19</v>
      </c>
      <c r="G4643" s="5" t="s">
        <v>53</v>
      </c>
      <c r="H4643" s="5" t="s">
        <v>1620</v>
      </c>
      <c r="I4643" s="13">
        <v>117.88</v>
      </c>
      <c r="J4643" s="19">
        <v>6</v>
      </c>
      <c r="K4643" s="14">
        <v>16.146000000000001</v>
      </c>
    </row>
    <row r="4644" spans="1:11" x14ac:dyDescent="0.25">
      <c r="A4644" s="2">
        <v>44100</v>
      </c>
      <c r="B4644" s="18">
        <f t="shared" si="144"/>
        <v>2020</v>
      </c>
      <c r="C4644" s="18">
        <f t="shared" si="145"/>
        <v>9</v>
      </c>
      <c r="D4644" s="3" t="s">
        <v>1227</v>
      </c>
      <c r="E4644" s="3" t="s">
        <v>18</v>
      </c>
      <c r="F4644" s="3" t="s">
        <v>19</v>
      </c>
      <c r="G4644" s="3" t="s">
        <v>86</v>
      </c>
      <c r="H4644" s="3" t="s">
        <v>176</v>
      </c>
      <c r="I4644" s="11">
        <v>181.88</v>
      </c>
      <c r="J4644" s="18">
        <v>6</v>
      </c>
      <c r="K4644" s="12">
        <v>33.064799999999998</v>
      </c>
    </row>
    <row r="4645" spans="1:11" x14ac:dyDescent="0.25">
      <c r="A4645" s="4">
        <v>44102</v>
      </c>
      <c r="B4645" s="19">
        <f t="shared" si="144"/>
        <v>2020</v>
      </c>
      <c r="C4645" s="19">
        <f t="shared" si="145"/>
        <v>9</v>
      </c>
      <c r="D4645" s="5" t="s">
        <v>2099</v>
      </c>
      <c r="E4645" s="5" t="s">
        <v>306</v>
      </c>
      <c r="F4645" s="5" t="s">
        <v>19</v>
      </c>
      <c r="G4645" s="5" t="s">
        <v>32</v>
      </c>
      <c r="H4645" s="5" t="s">
        <v>836</v>
      </c>
      <c r="I4645" s="13">
        <v>126.776</v>
      </c>
      <c r="J4645" s="19">
        <v>4</v>
      </c>
      <c r="K4645" s="14">
        <v>-58.861600000000003</v>
      </c>
    </row>
    <row r="4646" spans="1:11" x14ac:dyDescent="0.25">
      <c r="A4646" s="2">
        <v>44102</v>
      </c>
      <c r="B4646" s="18">
        <f t="shared" si="144"/>
        <v>2020</v>
      </c>
      <c r="C4646" s="18">
        <f t="shared" si="145"/>
        <v>9</v>
      </c>
      <c r="D4646" s="3" t="s">
        <v>2099</v>
      </c>
      <c r="E4646" s="3" t="s">
        <v>306</v>
      </c>
      <c r="F4646" s="3" t="s">
        <v>19</v>
      </c>
      <c r="G4646" s="3" t="s">
        <v>20</v>
      </c>
      <c r="H4646" s="3" t="s">
        <v>494</v>
      </c>
      <c r="I4646" s="11">
        <v>186.184</v>
      </c>
      <c r="J4646" s="18">
        <v>2</v>
      </c>
      <c r="K4646" s="12">
        <v>-29.436800000000002</v>
      </c>
    </row>
    <row r="4647" spans="1:11" x14ac:dyDescent="0.25">
      <c r="A4647" s="4">
        <v>44102</v>
      </c>
      <c r="B4647" s="19">
        <f t="shared" si="144"/>
        <v>2020</v>
      </c>
      <c r="C4647" s="19">
        <f t="shared" si="145"/>
        <v>9</v>
      </c>
      <c r="D4647" s="5" t="s">
        <v>2099</v>
      </c>
      <c r="E4647" s="5" t="s">
        <v>306</v>
      </c>
      <c r="F4647" s="5" t="s">
        <v>19</v>
      </c>
      <c r="G4647" s="5" t="s">
        <v>121</v>
      </c>
      <c r="H4647" s="5" t="s">
        <v>938</v>
      </c>
      <c r="I4647" s="13">
        <v>254.792</v>
      </c>
      <c r="J4647" s="19">
        <v>2</v>
      </c>
      <c r="K4647" s="14">
        <v>26.224</v>
      </c>
    </row>
    <row r="4648" spans="1:11" x14ac:dyDescent="0.25">
      <c r="A4648" s="2">
        <v>44102</v>
      </c>
      <c r="B4648" s="18">
        <f t="shared" si="144"/>
        <v>2020</v>
      </c>
      <c r="C4648" s="18">
        <f t="shared" si="145"/>
        <v>9</v>
      </c>
      <c r="D4648" s="3" t="s">
        <v>291</v>
      </c>
      <c r="E4648" s="3" t="s">
        <v>18</v>
      </c>
      <c r="F4648" s="3" t="s">
        <v>11</v>
      </c>
      <c r="G4648" s="3" t="s">
        <v>51</v>
      </c>
      <c r="H4648" s="3" t="s">
        <v>1710</v>
      </c>
      <c r="I4648" s="11">
        <v>80.239999999999995</v>
      </c>
      <c r="J4648" s="18">
        <v>3</v>
      </c>
      <c r="K4648" s="12">
        <v>4.4352</v>
      </c>
    </row>
    <row r="4649" spans="1:11" x14ac:dyDescent="0.25">
      <c r="A4649" s="4">
        <v>44102</v>
      </c>
      <c r="B4649" s="19">
        <f t="shared" si="144"/>
        <v>2020</v>
      </c>
      <c r="C4649" s="19">
        <f t="shared" si="145"/>
        <v>9</v>
      </c>
      <c r="D4649" s="5" t="s">
        <v>1919</v>
      </c>
      <c r="E4649" s="5" t="s">
        <v>44</v>
      </c>
      <c r="F4649" s="5" t="s">
        <v>19</v>
      </c>
      <c r="G4649" s="5" t="s">
        <v>53</v>
      </c>
      <c r="H4649" s="5" t="s">
        <v>2435</v>
      </c>
      <c r="I4649" s="13">
        <v>108.36799999999999</v>
      </c>
      <c r="J4649" s="19">
        <v>2</v>
      </c>
      <c r="K4649" s="14">
        <v>3.6288</v>
      </c>
    </row>
    <row r="4650" spans="1:11" x14ac:dyDescent="0.25">
      <c r="A4650" s="2">
        <v>44102</v>
      </c>
      <c r="B4650" s="18">
        <f t="shared" si="144"/>
        <v>2020</v>
      </c>
      <c r="C4650" s="18">
        <f t="shared" si="145"/>
        <v>9</v>
      </c>
      <c r="D4650" s="3" t="s">
        <v>1778</v>
      </c>
      <c r="E4650" s="3" t="s">
        <v>39</v>
      </c>
      <c r="F4650" s="3" t="s">
        <v>19</v>
      </c>
      <c r="G4650" s="3" t="s">
        <v>32</v>
      </c>
      <c r="H4650" s="3" t="s">
        <v>1210</v>
      </c>
      <c r="I4650" s="11">
        <v>97.655000000000001</v>
      </c>
      <c r="J4650" s="18">
        <v>1</v>
      </c>
      <c r="K4650" s="12">
        <v>-1.8585</v>
      </c>
    </row>
    <row r="4651" spans="1:11" x14ac:dyDescent="0.25">
      <c r="A4651" s="4">
        <v>44102</v>
      </c>
      <c r="B4651" s="19">
        <f t="shared" si="144"/>
        <v>2020</v>
      </c>
      <c r="C4651" s="19">
        <f t="shared" si="145"/>
        <v>9</v>
      </c>
      <c r="D4651" s="5" t="s">
        <v>2099</v>
      </c>
      <c r="E4651" s="5" t="s">
        <v>306</v>
      </c>
      <c r="F4651" s="5" t="s">
        <v>19</v>
      </c>
      <c r="G4651" s="5" t="s">
        <v>53</v>
      </c>
      <c r="H4651" s="5" t="s">
        <v>2337</v>
      </c>
      <c r="I4651" s="13">
        <v>93.352000000000004</v>
      </c>
      <c r="J4651" s="19">
        <v>3</v>
      </c>
      <c r="K4651" s="14">
        <v>5.2026000000000003</v>
      </c>
    </row>
    <row r="4652" spans="1:11" x14ac:dyDescent="0.25">
      <c r="A4652" s="2">
        <v>44102</v>
      </c>
      <c r="B4652" s="18">
        <f t="shared" si="144"/>
        <v>2020</v>
      </c>
      <c r="C4652" s="18">
        <f t="shared" si="145"/>
        <v>9</v>
      </c>
      <c r="D4652" s="3" t="s">
        <v>1740</v>
      </c>
      <c r="E4652" s="3" t="s">
        <v>23</v>
      </c>
      <c r="F4652" s="3" t="s">
        <v>19</v>
      </c>
      <c r="G4652" s="3" t="s">
        <v>265</v>
      </c>
      <c r="H4652" s="3" t="s">
        <v>538</v>
      </c>
      <c r="I4652" s="11">
        <v>110.744</v>
      </c>
      <c r="J4652" s="18">
        <v>1</v>
      </c>
      <c r="K4652" s="12">
        <v>-0.3488</v>
      </c>
    </row>
    <row r="4653" spans="1:11" x14ac:dyDescent="0.25">
      <c r="A4653" s="4">
        <v>44102</v>
      </c>
      <c r="B4653" s="19">
        <f t="shared" si="144"/>
        <v>2020</v>
      </c>
      <c r="C4653" s="19">
        <f t="shared" si="145"/>
        <v>9</v>
      </c>
      <c r="D4653" s="5" t="s">
        <v>2099</v>
      </c>
      <c r="E4653" s="5" t="s">
        <v>306</v>
      </c>
      <c r="F4653" s="5" t="s">
        <v>14</v>
      </c>
      <c r="G4653" s="5" t="s">
        <v>24</v>
      </c>
      <c r="H4653" s="5" t="s">
        <v>1901</v>
      </c>
      <c r="I4653" s="13">
        <v>142.38399999999999</v>
      </c>
      <c r="J4653" s="19">
        <v>2</v>
      </c>
      <c r="K4653" s="14">
        <v>1.3595999999999999</v>
      </c>
    </row>
    <row r="4654" spans="1:11" x14ac:dyDescent="0.25">
      <c r="A4654" s="2">
        <v>44102</v>
      </c>
      <c r="B4654" s="18">
        <f t="shared" si="144"/>
        <v>2020</v>
      </c>
      <c r="C4654" s="18">
        <f t="shared" si="145"/>
        <v>9</v>
      </c>
      <c r="D4654" s="3" t="s">
        <v>2099</v>
      </c>
      <c r="E4654" s="3" t="s">
        <v>306</v>
      </c>
      <c r="F4654" s="3" t="s">
        <v>11</v>
      </c>
      <c r="G4654" s="3" t="s">
        <v>51</v>
      </c>
      <c r="H4654" s="3" t="s">
        <v>1402</v>
      </c>
      <c r="I4654" s="11">
        <v>154.77600000000001</v>
      </c>
      <c r="J4654" s="18">
        <v>1</v>
      </c>
      <c r="K4654" s="12">
        <v>3.2776000000000001</v>
      </c>
    </row>
    <row r="4655" spans="1:11" x14ac:dyDescent="0.25">
      <c r="A4655" s="4">
        <v>44103</v>
      </c>
      <c r="B4655" s="19">
        <f t="shared" si="144"/>
        <v>2020</v>
      </c>
      <c r="C4655" s="19">
        <f t="shared" si="145"/>
        <v>9</v>
      </c>
      <c r="D4655" s="5" t="s">
        <v>2324</v>
      </c>
      <c r="E4655" s="5" t="s">
        <v>67</v>
      </c>
      <c r="F4655" s="5" t="s">
        <v>11</v>
      </c>
      <c r="G4655" s="5" t="s">
        <v>112</v>
      </c>
      <c r="H4655" s="5" t="s">
        <v>1847</v>
      </c>
      <c r="I4655" s="13">
        <v>100.68600000000001</v>
      </c>
      <c r="J4655" s="19">
        <v>1</v>
      </c>
      <c r="K4655" s="14">
        <v>-15.4666</v>
      </c>
    </row>
    <row r="4656" spans="1:11" x14ac:dyDescent="0.25">
      <c r="A4656" s="2">
        <v>44103</v>
      </c>
      <c r="B4656" s="18">
        <f t="shared" si="144"/>
        <v>2020</v>
      </c>
      <c r="C4656" s="18">
        <f t="shared" si="145"/>
        <v>9</v>
      </c>
      <c r="D4656" s="3" t="s">
        <v>247</v>
      </c>
      <c r="E4656" s="3" t="s">
        <v>18</v>
      </c>
      <c r="F4656" s="3" t="s">
        <v>11</v>
      </c>
      <c r="G4656" s="3" t="s">
        <v>51</v>
      </c>
      <c r="H4656" s="3" t="s">
        <v>514</v>
      </c>
      <c r="I4656" s="11">
        <v>101.75</v>
      </c>
      <c r="J4656" s="18">
        <v>1</v>
      </c>
      <c r="K4656" s="12">
        <v>15.525</v>
      </c>
    </row>
    <row r="4657" spans="1:11" x14ac:dyDescent="0.25">
      <c r="A4657" s="4">
        <v>44103</v>
      </c>
      <c r="B4657" s="19">
        <f t="shared" si="144"/>
        <v>2020</v>
      </c>
      <c r="C4657" s="19">
        <f t="shared" si="145"/>
        <v>9</v>
      </c>
      <c r="D4657" s="5" t="s">
        <v>877</v>
      </c>
      <c r="E4657" s="5" t="s">
        <v>18</v>
      </c>
      <c r="F4657" s="5" t="s">
        <v>19</v>
      </c>
      <c r="G4657" s="5" t="s">
        <v>265</v>
      </c>
      <c r="H4657" s="5" t="s">
        <v>904</v>
      </c>
      <c r="I4657" s="13">
        <v>109.3</v>
      </c>
      <c r="J4657" s="19">
        <v>7</v>
      </c>
      <c r="K4657" s="14">
        <v>28.216999999999999</v>
      </c>
    </row>
    <row r="4658" spans="1:11" x14ac:dyDescent="0.25">
      <c r="A4658" s="2">
        <v>44103</v>
      </c>
      <c r="B4658" s="18">
        <f t="shared" si="144"/>
        <v>2020</v>
      </c>
      <c r="C4658" s="18">
        <f t="shared" si="145"/>
        <v>9</v>
      </c>
      <c r="D4658" s="3" t="s">
        <v>247</v>
      </c>
      <c r="E4658" s="3" t="s">
        <v>18</v>
      </c>
      <c r="F4658" s="3" t="s">
        <v>19</v>
      </c>
      <c r="G4658" s="3" t="s">
        <v>121</v>
      </c>
      <c r="H4658" s="3" t="s">
        <v>696</v>
      </c>
      <c r="I4658" s="11">
        <v>115.84</v>
      </c>
      <c r="J4658" s="18">
        <v>2</v>
      </c>
      <c r="K4658" s="12">
        <v>25.438400000000001</v>
      </c>
    </row>
    <row r="4659" spans="1:11" x14ac:dyDescent="0.25">
      <c r="A4659" s="4">
        <v>44103</v>
      </c>
      <c r="B4659" s="19">
        <f t="shared" si="144"/>
        <v>2020</v>
      </c>
      <c r="C4659" s="19">
        <f t="shared" si="145"/>
        <v>9</v>
      </c>
      <c r="D4659" s="5" t="s">
        <v>2350</v>
      </c>
      <c r="E4659" s="5" t="s">
        <v>18</v>
      </c>
      <c r="F4659" s="5" t="s">
        <v>19</v>
      </c>
      <c r="G4659" s="5" t="s">
        <v>40</v>
      </c>
      <c r="H4659" s="5" t="s">
        <v>1713</v>
      </c>
      <c r="I4659" s="13">
        <v>149.19999999999999</v>
      </c>
      <c r="J4659" s="19">
        <v>5</v>
      </c>
      <c r="K4659" s="14">
        <v>25.792000000000002</v>
      </c>
    </row>
    <row r="4660" spans="1:11" x14ac:dyDescent="0.25">
      <c r="A4660" s="2">
        <v>44103</v>
      </c>
      <c r="B4660" s="18">
        <f t="shared" si="144"/>
        <v>2020</v>
      </c>
      <c r="C4660" s="18">
        <f t="shared" si="145"/>
        <v>9</v>
      </c>
      <c r="D4660" s="3" t="s">
        <v>2324</v>
      </c>
      <c r="E4660" s="3" t="s">
        <v>67</v>
      </c>
      <c r="F4660" s="3" t="s">
        <v>14</v>
      </c>
      <c r="G4660" s="3" t="s">
        <v>24</v>
      </c>
      <c r="H4660" s="3" t="s">
        <v>1415</v>
      </c>
      <c r="I4660" s="11">
        <v>278.976</v>
      </c>
      <c r="J4660" s="18">
        <v>3</v>
      </c>
      <c r="K4660" s="12">
        <v>65.993399999999994</v>
      </c>
    </row>
    <row r="4661" spans="1:11" x14ac:dyDescent="0.25">
      <c r="A4661" s="4">
        <v>44103</v>
      </c>
      <c r="B4661" s="19">
        <f t="shared" si="144"/>
        <v>2020</v>
      </c>
      <c r="C4661" s="19">
        <f t="shared" si="145"/>
        <v>9</v>
      </c>
      <c r="D4661" s="5" t="s">
        <v>670</v>
      </c>
      <c r="E4661" s="5" t="s">
        <v>219</v>
      </c>
      <c r="F4661" s="5" t="s">
        <v>19</v>
      </c>
      <c r="G4661" s="5" t="s">
        <v>20</v>
      </c>
      <c r="H4661" s="5" t="s">
        <v>1974</v>
      </c>
      <c r="I4661" s="13">
        <v>293.92</v>
      </c>
      <c r="J4661" s="19">
        <v>5</v>
      </c>
      <c r="K4661" s="14">
        <v>-54.881999999999998</v>
      </c>
    </row>
    <row r="4662" spans="1:11" x14ac:dyDescent="0.25">
      <c r="A4662" s="2">
        <v>44103</v>
      </c>
      <c r="B4662" s="18">
        <f t="shared" si="144"/>
        <v>2020</v>
      </c>
      <c r="C4662" s="18">
        <f t="shared" si="145"/>
        <v>9</v>
      </c>
      <c r="D4662" s="3" t="s">
        <v>1617</v>
      </c>
      <c r="E4662" s="3" t="s">
        <v>23</v>
      </c>
      <c r="F4662" s="3" t="s">
        <v>14</v>
      </c>
      <c r="G4662" s="3" t="s">
        <v>188</v>
      </c>
      <c r="H4662" s="3" t="s">
        <v>2486</v>
      </c>
      <c r="I4662" s="11">
        <v>370.51</v>
      </c>
      <c r="J4662" s="18">
        <v>3</v>
      </c>
      <c r="K4662" s="12">
        <v>44.868000000000002</v>
      </c>
    </row>
    <row r="4663" spans="1:11" x14ac:dyDescent="0.25">
      <c r="A4663" s="4">
        <v>44103</v>
      </c>
      <c r="B4663" s="19">
        <f t="shared" si="144"/>
        <v>2020</v>
      </c>
      <c r="C4663" s="19">
        <f t="shared" si="145"/>
        <v>9</v>
      </c>
      <c r="D4663" s="5" t="s">
        <v>2324</v>
      </c>
      <c r="E4663" s="5" t="s">
        <v>67</v>
      </c>
      <c r="F4663" s="5" t="s">
        <v>11</v>
      </c>
      <c r="G4663" s="5" t="s">
        <v>30</v>
      </c>
      <c r="H4663" s="5" t="s">
        <v>2487</v>
      </c>
      <c r="I4663" s="13">
        <v>372.22</v>
      </c>
      <c r="J4663" s="19">
        <v>2</v>
      </c>
      <c r="K4663" s="14">
        <v>-189.321</v>
      </c>
    </row>
    <row r="4664" spans="1:11" x14ac:dyDescent="0.25">
      <c r="A4664" s="2">
        <v>44103</v>
      </c>
      <c r="B4664" s="18">
        <f t="shared" si="144"/>
        <v>2020</v>
      </c>
      <c r="C4664" s="18">
        <f t="shared" si="145"/>
        <v>9</v>
      </c>
      <c r="D4664" s="3" t="s">
        <v>2324</v>
      </c>
      <c r="E4664" s="3" t="s">
        <v>67</v>
      </c>
      <c r="F4664" s="3" t="s">
        <v>19</v>
      </c>
      <c r="G4664" s="3" t="s">
        <v>53</v>
      </c>
      <c r="H4664" s="3" t="s">
        <v>600</v>
      </c>
      <c r="I4664" s="11">
        <v>85.552000000000007</v>
      </c>
      <c r="J4664" s="18">
        <v>3</v>
      </c>
      <c r="K4664" s="12">
        <v>5.4432</v>
      </c>
    </row>
    <row r="4665" spans="1:11" x14ac:dyDescent="0.25">
      <c r="A4665" s="4">
        <v>44103</v>
      </c>
      <c r="B4665" s="19">
        <f t="shared" si="144"/>
        <v>2020</v>
      </c>
      <c r="C4665" s="19">
        <f t="shared" si="145"/>
        <v>9</v>
      </c>
      <c r="D4665" s="5" t="s">
        <v>1617</v>
      </c>
      <c r="E4665" s="5" t="s">
        <v>23</v>
      </c>
      <c r="F4665" s="5" t="s">
        <v>19</v>
      </c>
      <c r="G4665" s="5" t="s">
        <v>127</v>
      </c>
      <c r="H4665" s="5" t="s">
        <v>739</v>
      </c>
      <c r="I4665" s="13">
        <v>93.968000000000004</v>
      </c>
      <c r="J4665" s="19">
        <v>2</v>
      </c>
      <c r="K4665" s="14">
        <v>2.5895999999999999</v>
      </c>
    </row>
    <row r="4666" spans="1:11" x14ac:dyDescent="0.25">
      <c r="A4666" s="2">
        <v>44103</v>
      </c>
      <c r="B4666" s="18">
        <f t="shared" si="144"/>
        <v>2020</v>
      </c>
      <c r="C4666" s="18">
        <f t="shared" si="145"/>
        <v>9</v>
      </c>
      <c r="D4666" s="3" t="s">
        <v>1954</v>
      </c>
      <c r="E4666" s="3" t="s">
        <v>94</v>
      </c>
      <c r="F4666" s="3" t="s">
        <v>19</v>
      </c>
      <c r="G4666" s="3" t="s">
        <v>86</v>
      </c>
      <c r="H4666" s="3" t="s">
        <v>2139</v>
      </c>
      <c r="I4666" s="11">
        <v>122.98</v>
      </c>
      <c r="J4666" s="18">
        <v>3</v>
      </c>
      <c r="K4666" s="12">
        <v>3.9102000000000001</v>
      </c>
    </row>
    <row r="4667" spans="1:11" x14ac:dyDescent="0.25">
      <c r="A4667" s="4">
        <v>44103</v>
      </c>
      <c r="B4667" s="19">
        <f t="shared" si="144"/>
        <v>2020</v>
      </c>
      <c r="C4667" s="19">
        <f t="shared" si="145"/>
        <v>9</v>
      </c>
      <c r="D4667" s="5" t="s">
        <v>1458</v>
      </c>
      <c r="E4667" s="5" t="s">
        <v>94</v>
      </c>
      <c r="F4667" s="5" t="s">
        <v>19</v>
      </c>
      <c r="G4667" s="5" t="s">
        <v>86</v>
      </c>
      <c r="H4667" s="5" t="s">
        <v>176</v>
      </c>
      <c r="I4667" s="13">
        <v>131.34</v>
      </c>
      <c r="J4667" s="19">
        <v>3</v>
      </c>
      <c r="K4667" s="14">
        <v>10.969799999999999</v>
      </c>
    </row>
    <row r="4668" spans="1:11" x14ac:dyDescent="0.25">
      <c r="A4668" s="2">
        <v>44103</v>
      </c>
      <c r="B4668" s="18">
        <f t="shared" si="144"/>
        <v>2020</v>
      </c>
      <c r="C4668" s="18">
        <f t="shared" si="145"/>
        <v>9</v>
      </c>
      <c r="D4668" s="3" t="s">
        <v>1617</v>
      </c>
      <c r="E4668" s="3" t="s">
        <v>23</v>
      </c>
      <c r="F4668" s="3" t="s">
        <v>19</v>
      </c>
      <c r="G4668" s="3" t="s">
        <v>86</v>
      </c>
      <c r="H4668" s="3" t="s">
        <v>2447</v>
      </c>
      <c r="I4668" s="11">
        <v>132.96799999999999</v>
      </c>
      <c r="J4668" s="18">
        <v>4</v>
      </c>
      <c r="K4668" s="12">
        <v>9.4391999999999996</v>
      </c>
    </row>
    <row r="4669" spans="1:11" x14ac:dyDescent="0.25">
      <c r="A4669" s="4">
        <v>44103</v>
      </c>
      <c r="B4669" s="19">
        <f t="shared" si="144"/>
        <v>2020</v>
      </c>
      <c r="C4669" s="19">
        <f t="shared" si="145"/>
        <v>9</v>
      </c>
      <c r="D4669" s="5" t="s">
        <v>2324</v>
      </c>
      <c r="E4669" s="5" t="s">
        <v>67</v>
      </c>
      <c r="F4669" s="5" t="s">
        <v>11</v>
      </c>
      <c r="G4669" s="5" t="s">
        <v>51</v>
      </c>
      <c r="H4669" s="5" t="s">
        <v>1618</v>
      </c>
      <c r="I4669" s="13">
        <v>111.248</v>
      </c>
      <c r="J4669" s="19">
        <v>4</v>
      </c>
      <c r="K4669" s="14">
        <v>7.4367999999999999</v>
      </c>
    </row>
    <row r="4670" spans="1:11" x14ac:dyDescent="0.25">
      <c r="A4670" s="2">
        <v>44103</v>
      </c>
      <c r="B4670" s="18">
        <f t="shared" si="144"/>
        <v>2020</v>
      </c>
      <c r="C4670" s="18">
        <f t="shared" si="145"/>
        <v>9</v>
      </c>
      <c r="D4670" s="3" t="s">
        <v>2324</v>
      </c>
      <c r="E4670" s="3" t="s">
        <v>67</v>
      </c>
      <c r="F4670" s="3" t="s">
        <v>19</v>
      </c>
      <c r="G4670" s="3" t="s">
        <v>53</v>
      </c>
      <c r="H4670" s="3" t="s">
        <v>1391</v>
      </c>
      <c r="I4670" s="11">
        <v>122.44799999999999</v>
      </c>
      <c r="J4670" s="18">
        <v>2</v>
      </c>
      <c r="K4670" s="12">
        <v>2.64</v>
      </c>
    </row>
    <row r="4671" spans="1:11" x14ac:dyDescent="0.25">
      <c r="A4671" s="4">
        <v>44103</v>
      </c>
      <c r="B4671" s="19">
        <f t="shared" si="144"/>
        <v>2020</v>
      </c>
      <c r="C4671" s="19">
        <f t="shared" si="145"/>
        <v>9</v>
      </c>
      <c r="D4671" s="5" t="s">
        <v>1458</v>
      </c>
      <c r="E4671" s="5" t="s">
        <v>94</v>
      </c>
      <c r="F4671" s="5" t="s">
        <v>19</v>
      </c>
      <c r="G4671" s="5" t="s">
        <v>53</v>
      </c>
      <c r="H4671" s="5" t="s">
        <v>269</v>
      </c>
      <c r="I4671" s="13">
        <v>128.55000000000001</v>
      </c>
      <c r="J4671" s="19">
        <v>5</v>
      </c>
      <c r="K4671" s="14">
        <v>24.2285</v>
      </c>
    </row>
    <row r="4672" spans="1:11" x14ac:dyDescent="0.25">
      <c r="A4672" s="2">
        <v>44103</v>
      </c>
      <c r="B4672" s="18">
        <f t="shared" si="144"/>
        <v>2020</v>
      </c>
      <c r="C4672" s="18">
        <f t="shared" si="145"/>
        <v>9</v>
      </c>
      <c r="D4672" s="3" t="s">
        <v>247</v>
      </c>
      <c r="E4672" s="3" t="s">
        <v>18</v>
      </c>
      <c r="F4672" s="3" t="s">
        <v>19</v>
      </c>
      <c r="G4672" s="3" t="s">
        <v>32</v>
      </c>
      <c r="H4672" s="3" t="s">
        <v>1155</v>
      </c>
      <c r="I4672" s="11">
        <v>149.672</v>
      </c>
      <c r="J4672" s="18">
        <v>2</v>
      </c>
      <c r="K4672" s="12">
        <v>16.3352</v>
      </c>
    </row>
    <row r="4673" spans="1:11" x14ac:dyDescent="0.25">
      <c r="A4673" s="4">
        <v>44103</v>
      </c>
      <c r="B4673" s="19">
        <f t="shared" si="144"/>
        <v>2020</v>
      </c>
      <c r="C4673" s="19">
        <f t="shared" si="145"/>
        <v>9</v>
      </c>
      <c r="D4673" s="5" t="s">
        <v>247</v>
      </c>
      <c r="E4673" s="5" t="s">
        <v>18</v>
      </c>
      <c r="F4673" s="5" t="s">
        <v>19</v>
      </c>
      <c r="G4673" s="5" t="s">
        <v>116</v>
      </c>
      <c r="H4673" s="5" t="s">
        <v>590</v>
      </c>
      <c r="I4673" s="13">
        <v>149</v>
      </c>
      <c r="J4673" s="19">
        <v>7</v>
      </c>
      <c r="K4673" s="14">
        <v>16.8</v>
      </c>
    </row>
    <row r="4674" spans="1:11" x14ac:dyDescent="0.25">
      <c r="A4674" s="2">
        <v>44103</v>
      </c>
      <c r="B4674" s="18">
        <f t="shared" ref="B4674:B4737" si="146">YEAR(A4674)</f>
        <v>2020</v>
      </c>
      <c r="C4674" s="18">
        <f t="shared" ref="C4674:C4737" si="147">MONTH(A4674)</f>
        <v>9</v>
      </c>
      <c r="D4674" s="3" t="s">
        <v>2488</v>
      </c>
      <c r="E4674" s="3" t="s">
        <v>67</v>
      </c>
      <c r="F4674" s="3" t="s">
        <v>19</v>
      </c>
      <c r="G4674" s="3" t="s">
        <v>20</v>
      </c>
      <c r="H4674" s="3" t="s">
        <v>684</v>
      </c>
      <c r="I4674" s="11">
        <v>158.16800000000001</v>
      </c>
      <c r="J4674" s="18">
        <v>2</v>
      </c>
      <c r="K4674" s="12">
        <v>-6.3959999999999999</v>
      </c>
    </row>
    <row r="4675" spans="1:11" x14ac:dyDescent="0.25">
      <c r="A4675" s="4">
        <v>44103</v>
      </c>
      <c r="B4675" s="19">
        <f t="shared" si="146"/>
        <v>2020</v>
      </c>
      <c r="C4675" s="19">
        <f t="shared" si="147"/>
        <v>9</v>
      </c>
      <c r="D4675" s="5" t="s">
        <v>247</v>
      </c>
      <c r="E4675" s="5" t="s">
        <v>18</v>
      </c>
      <c r="F4675" s="5" t="s">
        <v>11</v>
      </c>
      <c r="G4675" s="5" t="s">
        <v>112</v>
      </c>
      <c r="H4675" s="5" t="s">
        <v>1262</v>
      </c>
      <c r="I4675" s="13">
        <v>187.78399999999999</v>
      </c>
      <c r="J4675" s="19">
        <v>1</v>
      </c>
      <c r="K4675" s="14">
        <v>0</v>
      </c>
    </row>
    <row r="4676" spans="1:11" x14ac:dyDescent="0.25">
      <c r="A4676" s="2">
        <v>44104</v>
      </c>
      <c r="B4676" s="18">
        <f t="shared" si="146"/>
        <v>2020</v>
      </c>
      <c r="C4676" s="18">
        <f t="shared" si="147"/>
        <v>9</v>
      </c>
      <c r="D4676" s="3" t="s">
        <v>745</v>
      </c>
      <c r="E4676" s="3" t="s">
        <v>10</v>
      </c>
      <c r="F4676" s="3" t="s">
        <v>19</v>
      </c>
      <c r="G4676" s="3" t="s">
        <v>53</v>
      </c>
      <c r="H4676" s="3" t="s">
        <v>1963</v>
      </c>
      <c r="I4676" s="11">
        <v>177.88</v>
      </c>
      <c r="J4676" s="18">
        <v>3</v>
      </c>
      <c r="K4676" s="12">
        <v>80.791200000000003</v>
      </c>
    </row>
    <row r="4677" spans="1:11" x14ac:dyDescent="0.25">
      <c r="A4677" s="4">
        <v>44104</v>
      </c>
      <c r="B4677" s="19">
        <f t="shared" si="146"/>
        <v>2020</v>
      </c>
      <c r="C4677" s="19">
        <f t="shared" si="147"/>
        <v>9</v>
      </c>
      <c r="D4677" s="5" t="s">
        <v>2124</v>
      </c>
      <c r="E4677" s="5" t="s">
        <v>70</v>
      </c>
      <c r="F4677" s="5" t="s">
        <v>19</v>
      </c>
      <c r="G4677" s="5" t="s">
        <v>53</v>
      </c>
      <c r="H4677" s="5" t="s">
        <v>82</v>
      </c>
      <c r="I4677" s="13">
        <v>178.94</v>
      </c>
      <c r="J4677" s="19">
        <v>3</v>
      </c>
      <c r="K4677" s="14">
        <v>82.290599999999998</v>
      </c>
    </row>
    <row r="4678" spans="1:11" x14ac:dyDescent="0.25">
      <c r="A4678" s="2">
        <v>44104</v>
      </c>
      <c r="B4678" s="18">
        <f t="shared" si="146"/>
        <v>2020</v>
      </c>
      <c r="C4678" s="18">
        <f t="shared" si="147"/>
        <v>9</v>
      </c>
      <c r="D4678" s="3" t="s">
        <v>130</v>
      </c>
      <c r="E4678" s="3" t="s">
        <v>18</v>
      </c>
      <c r="F4678" s="3" t="s">
        <v>14</v>
      </c>
      <c r="G4678" s="3" t="s">
        <v>24</v>
      </c>
      <c r="H4678" s="3" t="s">
        <v>1023</v>
      </c>
      <c r="I4678" s="11">
        <v>206.98</v>
      </c>
      <c r="J4678" s="18">
        <v>2</v>
      </c>
      <c r="K4678" s="12">
        <v>47.994</v>
      </c>
    </row>
    <row r="4679" spans="1:11" x14ac:dyDescent="0.25">
      <c r="A4679" s="4">
        <v>44104</v>
      </c>
      <c r="B4679" s="19">
        <f t="shared" si="146"/>
        <v>2020</v>
      </c>
      <c r="C4679" s="19">
        <f t="shared" si="147"/>
        <v>9</v>
      </c>
      <c r="D4679" s="5" t="s">
        <v>2124</v>
      </c>
      <c r="E4679" s="5" t="s">
        <v>70</v>
      </c>
      <c r="F4679" s="5" t="s">
        <v>19</v>
      </c>
      <c r="G4679" s="5" t="s">
        <v>53</v>
      </c>
      <c r="H4679" s="5" t="s">
        <v>500</v>
      </c>
      <c r="I4679" s="13">
        <v>100.76</v>
      </c>
      <c r="J4679" s="19">
        <v>2</v>
      </c>
      <c r="K4679" s="14">
        <v>5.7624000000000004</v>
      </c>
    </row>
    <row r="4680" spans="1:11" x14ac:dyDescent="0.25">
      <c r="A4680" s="2">
        <v>44104</v>
      </c>
      <c r="B4680" s="18">
        <f t="shared" si="146"/>
        <v>2020</v>
      </c>
      <c r="C4680" s="18">
        <f t="shared" si="147"/>
        <v>9</v>
      </c>
      <c r="D4680" s="3" t="s">
        <v>2124</v>
      </c>
      <c r="E4680" s="3" t="s">
        <v>70</v>
      </c>
      <c r="F4680" s="3" t="s">
        <v>19</v>
      </c>
      <c r="G4680" s="3" t="s">
        <v>121</v>
      </c>
      <c r="H4680" s="3" t="s">
        <v>346</v>
      </c>
      <c r="I4680" s="11">
        <v>108.89</v>
      </c>
      <c r="J4680" s="18">
        <v>1</v>
      </c>
      <c r="K4680" s="12">
        <v>1.0114000000000001</v>
      </c>
    </row>
    <row r="4681" spans="1:11" x14ac:dyDescent="0.25">
      <c r="A4681" s="4">
        <v>44104</v>
      </c>
      <c r="B4681" s="19">
        <f t="shared" si="146"/>
        <v>2020</v>
      </c>
      <c r="C4681" s="19">
        <f t="shared" si="147"/>
        <v>9</v>
      </c>
      <c r="D4681" s="5" t="s">
        <v>170</v>
      </c>
      <c r="E4681" s="5" t="s">
        <v>23</v>
      </c>
      <c r="F4681" s="5" t="s">
        <v>19</v>
      </c>
      <c r="G4681" s="5" t="s">
        <v>32</v>
      </c>
      <c r="H4681" s="5" t="s">
        <v>849</v>
      </c>
      <c r="I4681" s="13">
        <v>127.646</v>
      </c>
      <c r="J4681" s="19">
        <v>9</v>
      </c>
      <c r="K4681" s="14">
        <v>-17.469000000000001</v>
      </c>
    </row>
    <row r="4682" spans="1:11" x14ac:dyDescent="0.25">
      <c r="A4682" s="2">
        <v>44104</v>
      </c>
      <c r="B4682" s="18">
        <f t="shared" si="146"/>
        <v>2020</v>
      </c>
      <c r="C4682" s="18">
        <f t="shared" si="147"/>
        <v>9</v>
      </c>
      <c r="D4682" s="3" t="s">
        <v>1891</v>
      </c>
      <c r="E4682" s="3" t="s">
        <v>39</v>
      </c>
      <c r="F4682" s="3" t="s">
        <v>19</v>
      </c>
      <c r="G4682" s="3" t="s">
        <v>127</v>
      </c>
      <c r="H4682" s="3" t="s">
        <v>2489</v>
      </c>
      <c r="I4682" s="11">
        <v>152.66399999999999</v>
      </c>
      <c r="J4682" s="18">
        <v>7</v>
      </c>
      <c r="K4682" s="12">
        <v>6.9741</v>
      </c>
    </row>
    <row r="4683" spans="1:11" x14ac:dyDescent="0.25">
      <c r="A4683" s="4">
        <v>44105</v>
      </c>
      <c r="B4683" s="19">
        <f t="shared" si="146"/>
        <v>2020</v>
      </c>
      <c r="C4683" s="19">
        <f t="shared" si="147"/>
        <v>10</v>
      </c>
      <c r="D4683" s="5" t="s">
        <v>1972</v>
      </c>
      <c r="E4683" s="5" t="s">
        <v>70</v>
      </c>
      <c r="F4683" s="5" t="s">
        <v>19</v>
      </c>
      <c r="G4683" s="5" t="s">
        <v>53</v>
      </c>
      <c r="H4683" s="5" t="s">
        <v>2490</v>
      </c>
      <c r="I4683" s="13">
        <v>108.84</v>
      </c>
      <c r="J4683" s="19">
        <v>8</v>
      </c>
      <c r="K4683" s="14">
        <v>45.001600000000003</v>
      </c>
    </row>
    <row r="4684" spans="1:11" x14ac:dyDescent="0.25">
      <c r="A4684" s="2">
        <v>44105</v>
      </c>
      <c r="B4684" s="18">
        <f t="shared" si="146"/>
        <v>2020</v>
      </c>
      <c r="C4684" s="18">
        <f t="shared" si="147"/>
        <v>10</v>
      </c>
      <c r="D4684" s="3" t="s">
        <v>1972</v>
      </c>
      <c r="E4684" s="3" t="s">
        <v>70</v>
      </c>
      <c r="F4684" s="3" t="s">
        <v>19</v>
      </c>
      <c r="G4684" s="3" t="s">
        <v>32</v>
      </c>
      <c r="H4684" s="3" t="s">
        <v>1961</v>
      </c>
      <c r="I4684" s="11">
        <v>119.08799999999999</v>
      </c>
      <c r="J4684" s="18">
        <v>7</v>
      </c>
      <c r="K4684" s="12">
        <v>27.3672</v>
      </c>
    </row>
    <row r="4685" spans="1:11" x14ac:dyDescent="0.25">
      <c r="A4685" s="4">
        <v>44105</v>
      </c>
      <c r="B4685" s="19">
        <f t="shared" si="146"/>
        <v>2020</v>
      </c>
      <c r="C4685" s="19">
        <f t="shared" si="147"/>
        <v>10</v>
      </c>
      <c r="D4685" s="5" t="s">
        <v>1914</v>
      </c>
      <c r="E4685" s="5" t="s">
        <v>18</v>
      </c>
      <c r="F4685" s="5" t="s">
        <v>11</v>
      </c>
      <c r="G4685" s="5" t="s">
        <v>112</v>
      </c>
      <c r="H4685" s="5" t="s">
        <v>1760</v>
      </c>
      <c r="I4685" s="13">
        <v>133.608</v>
      </c>
      <c r="J4685" s="19">
        <v>4</v>
      </c>
      <c r="K4685" s="14">
        <v>9.5031999999999996</v>
      </c>
    </row>
    <row r="4686" spans="1:11" x14ac:dyDescent="0.25">
      <c r="A4686" s="2">
        <v>44105</v>
      </c>
      <c r="B4686" s="18">
        <f t="shared" si="146"/>
        <v>2020</v>
      </c>
      <c r="C4686" s="18">
        <f t="shared" si="147"/>
        <v>10</v>
      </c>
      <c r="D4686" s="3" t="s">
        <v>240</v>
      </c>
      <c r="E4686" s="3" t="s">
        <v>651</v>
      </c>
      <c r="F4686" s="3" t="s">
        <v>19</v>
      </c>
      <c r="G4686" s="3" t="s">
        <v>53</v>
      </c>
      <c r="H4686" s="3" t="s">
        <v>927</v>
      </c>
      <c r="I4686" s="11">
        <v>141.85</v>
      </c>
      <c r="J4686" s="18">
        <v>1</v>
      </c>
      <c r="K4686" s="12">
        <v>50.328000000000003</v>
      </c>
    </row>
    <row r="4687" spans="1:11" x14ac:dyDescent="0.25">
      <c r="A4687" s="4">
        <v>44105</v>
      </c>
      <c r="B4687" s="19">
        <f t="shared" si="146"/>
        <v>2020</v>
      </c>
      <c r="C4687" s="19">
        <f t="shared" si="147"/>
        <v>10</v>
      </c>
      <c r="D4687" s="5" t="s">
        <v>691</v>
      </c>
      <c r="E4687" s="5" t="s">
        <v>18</v>
      </c>
      <c r="F4687" s="5" t="s">
        <v>14</v>
      </c>
      <c r="G4687" s="5" t="s">
        <v>24</v>
      </c>
      <c r="H4687" s="5" t="s">
        <v>2387</v>
      </c>
      <c r="I4687" s="13">
        <v>146.75</v>
      </c>
      <c r="J4687" s="19">
        <v>5</v>
      </c>
      <c r="K4687" s="14">
        <v>21.997499999999999</v>
      </c>
    </row>
    <row r="4688" spans="1:11" x14ac:dyDescent="0.25">
      <c r="A4688" s="2">
        <v>44105</v>
      </c>
      <c r="B4688" s="18">
        <f t="shared" si="146"/>
        <v>2020</v>
      </c>
      <c r="C4688" s="18">
        <f t="shared" si="147"/>
        <v>10</v>
      </c>
      <c r="D4688" s="3" t="s">
        <v>1914</v>
      </c>
      <c r="E4688" s="3" t="s">
        <v>18</v>
      </c>
      <c r="F4688" s="3" t="s">
        <v>19</v>
      </c>
      <c r="G4688" s="3" t="s">
        <v>121</v>
      </c>
      <c r="H4688" s="3" t="s">
        <v>2004</v>
      </c>
      <c r="I4688" s="11">
        <v>269.95999999999998</v>
      </c>
      <c r="J4688" s="18">
        <v>2</v>
      </c>
      <c r="K4688" s="12">
        <v>60.49</v>
      </c>
    </row>
    <row r="4689" spans="1:11" x14ac:dyDescent="0.25">
      <c r="A4689" s="4">
        <v>44105</v>
      </c>
      <c r="B4689" s="19">
        <f t="shared" si="146"/>
        <v>2020</v>
      </c>
      <c r="C4689" s="19">
        <f t="shared" si="147"/>
        <v>10</v>
      </c>
      <c r="D4689" s="5" t="s">
        <v>1972</v>
      </c>
      <c r="E4689" s="5" t="s">
        <v>70</v>
      </c>
      <c r="F4689" s="5" t="s">
        <v>11</v>
      </c>
      <c r="G4689" s="5" t="s">
        <v>112</v>
      </c>
      <c r="H4689" s="5" t="s">
        <v>1850</v>
      </c>
      <c r="I4689" s="13">
        <v>468.15199999999999</v>
      </c>
      <c r="J4689" s="19">
        <v>3</v>
      </c>
      <c r="K4689" s="14">
        <v>0</v>
      </c>
    </row>
    <row r="4690" spans="1:11" x14ac:dyDescent="0.25">
      <c r="A4690" s="2">
        <v>44105</v>
      </c>
      <c r="B4690" s="18">
        <f t="shared" si="146"/>
        <v>2020</v>
      </c>
      <c r="C4690" s="18">
        <f t="shared" si="147"/>
        <v>10</v>
      </c>
      <c r="D4690" s="3" t="s">
        <v>1339</v>
      </c>
      <c r="E4690" s="3" t="s">
        <v>94</v>
      </c>
      <c r="F4690" s="3" t="s">
        <v>14</v>
      </c>
      <c r="G4690" s="3" t="s">
        <v>188</v>
      </c>
      <c r="H4690" s="3" t="s">
        <v>923</v>
      </c>
      <c r="I4690" s="11">
        <v>1754.89</v>
      </c>
      <c r="J4690" s="18">
        <v>11</v>
      </c>
      <c r="K4690" s="12">
        <v>767.20050000000003</v>
      </c>
    </row>
    <row r="4691" spans="1:11" x14ac:dyDescent="0.25">
      <c r="A4691" s="4">
        <v>44105</v>
      </c>
      <c r="B4691" s="19">
        <f t="shared" si="146"/>
        <v>2020</v>
      </c>
      <c r="C4691" s="19">
        <f t="shared" si="147"/>
        <v>10</v>
      </c>
      <c r="D4691" s="5" t="s">
        <v>1914</v>
      </c>
      <c r="E4691" s="5" t="s">
        <v>18</v>
      </c>
      <c r="F4691" s="5" t="s">
        <v>19</v>
      </c>
      <c r="G4691" s="5" t="s">
        <v>32</v>
      </c>
      <c r="H4691" s="5" t="s">
        <v>1273</v>
      </c>
      <c r="I4691" s="13">
        <v>73.44</v>
      </c>
      <c r="J4691" s="19">
        <v>1</v>
      </c>
      <c r="K4691" s="14">
        <v>0.504</v>
      </c>
    </row>
    <row r="4692" spans="1:11" x14ac:dyDescent="0.25">
      <c r="A4692" s="2">
        <v>44105</v>
      </c>
      <c r="B4692" s="18">
        <f t="shared" si="146"/>
        <v>2020</v>
      </c>
      <c r="C4692" s="18">
        <f t="shared" si="147"/>
        <v>10</v>
      </c>
      <c r="D4692" s="3" t="s">
        <v>1972</v>
      </c>
      <c r="E4692" s="3" t="s">
        <v>70</v>
      </c>
      <c r="F4692" s="3" t="s">
        <v>19</v>
      </c>
      <c r="G4692" s="3" t="s">
        <v>53</v>
      </c>
      <c r="H4692" s="3" t="s">
        <v>803</v>
      </c>
      <c r="I4692" s="11">
        <v>113.44</v>
      </c>
      <c r="J4692" s="18">
        <v>3</v>
      </c>
      <c r="K4692" s="12">
        <v>9.3312000000000008</v>
      </c>
    </row>
    <row r="4693" spans="1:11" x14ac:dyDescent="0.25">
      <c r="A4693" s="4">
        <v>44105</v>
      </c>
      <c r="B4693" s="19">
        <f t="shared" si="146"/>
        <v>2020</v>
      </c>
      <c r="C4693" s="19">
        <f t="shared" si="147"/>
        <v>10</v>
      </c>
      <c r="D4693" s="5" t="s">
        <v>1290</v>
      </c>
      <c r="E4693" s="5" t="s">
        <v>23</v>
      </c>
      <c r="F4693" s="5" t="s">
        <v>19</v>
      </c>
      <c r="G4693" s="5" t="s">
        <v>40</v>
      </c>
      <c r="H4693" s="5" t="s">
        <v>2491</v>
      </c>
      <c r="I4693" s="13">
        <v>117.672</v>
      </c>
      <c r="J4693" s="19">
        <v>6</v>
      </c>
      <c r="K4693" s="14">
        <v>0.50039999999999996</v>
      </c>
    </row>
    <row r="4694" spans="1:11" x14ac:dyDescent="0.25">
      <c r="A4694" s="2">
        <v>44105</v>
      </c>
      <c r="B4694" s="18">
        <f t="shared" si="146"/>
        <v>2020</v>
      </c>
      <c r="C4694" s="18">
        <f t="shared" si="147"/>
        <v>10</v>
      </c>
      <c r="D4694" s="3" t="s">
        <v>1914</v>
      </c>
      <c r="E4694" s="3" t="s">
        <v>18</v>
      </c>
      <c r="F4694" s="3" t="s">
        <v>19</v>
      </c>
      <c r="G4694" s="3" t="s">
        <v>32</v>
      </c>
      <c r="H4694" s="3" t="s">
        <v>33</v>
      </c>
      <c r="I4694" s="11">
        <v>152.77600000000001</v>
      </c>
      <c r="J4694" s="18">
        <v>13</v>
      </c>
      <c r="K4694" s="12">
        <v>20.849399999999999</v>
      </c>
    </row>
    <row r="4695" spans="1:11" x14ac:dyDescent="0.25">
      <c r="A4695" s="4">
        <v>44106</v>
      </c>
      <c r="B4695" s="19">
        <f t="shared" si="146"/>
        <v>2020</v>
      </c>
      <c r="C4695" s="19">
        <f t="shared" si="147"/>
        <v>10</v>
      </c>
      <c r="D4695" s="5" t="s">
        <v>1138</v>
      </c>
      <c r="E4695" s="5" t="s">
        <v>365</v>
      </c>
      <c r="F4695" s="5" t="s">
        <v>19</v>
      </c>
      <c r="G4695" s="5" t="s">
        <v>40</v>
      </c>
      <c r="H4695" s="5" t="s">
        <v>2464</v>
      </c>
      <c r="I4695" s="13">
        <v>106.98</v>
      </c>
      <c r="J4695" s="19">
        <v>7</v>
      </c>
      <c r="K4695" s="14">
        <v>22.792000000000002</v>
      </c>
    </row>
    <row r="4696" spans="1:11" x14ac:dyDescent="0.25">
      <c r="A4696" s="2">
        <v>44106</v>
      </c>
      <c r="B4696" s="18">
        <f t="shared" si="146"/>
        <v>2020</v>
      </c>
      <c r="C4696" s="18">
        <f t="shared" si="147"/>
        <v>10</v>
      </c>
      <c r="D4696" s="3" t="s">
        <v>339</v>
      </c>
      <c r="E4696" s="3" t="s">
        <v>94</v>
      </c>
      <c r="F4696" s="3" t="s">
        <v>14</v>
      </c>
      <c r="G4696" s="3" t="s">
        <v>15</v>
      </c>
      <c r="H4696" s="3" t="s">
        <v>2462</v>
      </c>
      <c r="I4696" s="11">
        <v>110.99</v>
      </c>
      <c r="J4696" s="18">
        <v>1</v>
      </c>
      <c r="K4696" s="12">
        <v>17.157399999999999</v>
      </c>
    </row>
    <row r="4697" spans="1:11" x14ac:dyDescent="0.25">
      <c r="A4697" s="4">
        <v>44106</v>
      </c>
      <c r="B4697" s="19">
        <f t="shared" si="146"/>
        <v>2020</v>
      </c>
      <c r="C4697" s="19">
        <f t="shared" si="147"/>
        <v>10</v>
      </c>
      <c r="D4697" s="5" t="s">
        <v>2378</v>
      </c>
      <c r="E4697" s="5" t="s">
        <v>70</v>
      </c>
      <c r="F4697" s="5" t="s">
        <v>14</v>
      </c>
      <c r="G4697" s="5" t="s">
        <v>15</v>
      </c>
      <c r="H4697" s="5" t="s">
        <v>453</v>
      </c>
      <c r="I4697" s="13">
        <v>123.78400000000001</v>
      </c>
      <c r="J4697" s="19">
        <v>2</v>
      </c>
      <c r="K4697" s="14">
        <v>-20.136199999999999</v>
      </c>
    </row>
    <row r="4698" spans="1:11" x14ac:dyDescent="0.25">
      <c r="A4698" s="2">
        <v>44106</v>
      </c>
      <c r="B4698" s="18">
        <f t="shared" si="146"/>
        <v>2020</v>
      </c>
      <c r="C4698" s="18">
        <f t="shared" si="147"/>
        <v>10</v>
      </c>
      <c r="D4698" s="3" t="s">
        <v>2492</v>
      </c>
      <c r="E4698" s="3" t="s">
        <v>465</v>
      </c>
      <c r="F4698" s="3" t="s">
        <v>19</v>
      </c>
      <c r="G4698" s="3" t="s">
        <v>40</v>
      </c>
      <c r="H4698" s="3" t="s">
        <v>332</v>
      </c>
      <c r="I4698" s="11">
        <v>143.14400000000001</v>
      </c>
      <c r="J4698" s="18">
        <v>7</v>
      </c>
      <c r="K4698" s="12">
        <v>10.7037</v>
      </c>
    </row>
    <row r="4699" spans="1:11" x14ac:dyDescent="0.25">
      <c r="A4699" s="4">
        <v>44106</v>
      </c>
      <c r="B4699" s="19">
        <f t="shared" si="146"/>
        <v>2020</v>
      </c>
      <c r="C4699" s="19">
        <f t="shared" si="147"/>
        <v>10</v>
      </c>
      <c r="D4699" s="5" t="s">
        <v>283</v>
      </c>
      <c r="E4699" s="5" t="s">
        <v>18</v>
      </c>
      <c r="F4699" s="5" t="s">
        <v>19</v>
      </c>
      <c r="G4699" s="5" t="s">
        <v>32</v>
      </c>
      <c r="H4699" s="5" t="s">
        <v>686</v>
      </c>
      <c r="I4699" s="13">
        <v>145.12</v>
      </c>
      <c r="J4699" s="19">
        <v>5</v>
      </c>
      <c r="K4699" s="14">
        <v>42.045000000000002</v>
      </c>
    </row>
    <row r="4700" spans="1:11" x14ac:dyDescent="0.25">
      <c r="A4700" s="2">
        <v>44106</v>
      </c>
      <c r="B4700" s="18">
        <f t="shared" si="146"/>
        <v>2020</v>
      </c>
      <c r="C4700" s="18">
        <f t="shared" si="147"/>
        <v>10</v>
      </c>
      <c r="D4700" s="3" t="s">
        <v>1138</v>
      </c>
      <c r="E4700" s="3" t="s">
        <v>365</v>
      </c>
      <c r="F4700" s="3" t="s">
        <v>11</v>
      </c>
      <c r="G4700" s="3" t="s">
        <v>51</v>
      </c>
      <c r="H4700" s="3" t="s">
        <v>2493</v>
      </c>
      <c r="I4700" s="11">
        <v>204.74</v>
      </c>
      <c r="J4700" s="18">
        <v>11</v>
      </c>
      <c r="K4700" s="12">
        <v>56.7864</v>
      </c>
    </row>
    <row r="4701" spans="1:11" x14ac:dyDescent="0.25">
      <c r="A4701" s="4">
        <v>44106</v>
      </c>
      <c r="B4701" s="19">
        <f t="shared" si="146"/>
        <v>2020</v>
      </c>
      <c r="C4701" s="19">
        <f t="shared" si="147"/>
        <v>10</v>
      </c>
      <c r="D4701" s="5" t="s">
        <v>2492</v>
      </c>
      <c r="E4701" s="5" t="s">
        <v>465</v>
      </c>
      <c r="F4701" s="5" t="s">
        <v>11</v>
      </c>
      <c r="G4701" s="5" t="s">
        <v>12</v>
      </c>
      <c r="H4701" s="5" t="s">
        <v>2253</v>
      </c>
      <c r="I4701" s="13">
        <v>252.76400000000001</v>
      </c>
      <c r="J4701" s="19">
        <v>6</v>
      </c>
      <c r="K4701" s="14">
        <v>-384.71640000000002</v>
      </c>
    </row>
    <row r="4702" spans="1:11" x14ac:dyDescent="0.25">
      <c r="A4702" s="2">
        <v>44106</v>
      </c>
      <c r="B4702" s="18">
        <f t="shared" si="146"/>
        <v>2020</v>
      </c>
      <c r="C4702" s="18">
        <f t="shared" si="147"/>
        <v>10</v>
      </c>
      <c r="D4702" s="3" t="s">
        <v>2217</v>
      </c>
      <c r="E4702" s="3" t="s">
        <v>18</v>
      </c>
      <c r="F4702" s="3" t="s">
        <v>14</v>
      </c>
      <c r="G4702" s="3" t="s">
        <v>188</v>
      </c>
      <c r="H4702" s="3" t="s">
        <v>2459</v>
      </c>
      <c r="I4702" s="11">
        <v>380.16</v>
      </c>
      <c r="J4702" s="18">
        <v>11</v>
      </c>
      <c r="K4702" s="12">
        <v>32.301499999999997</v>
      </c>
    </row>
    <row r="4703" spans="1:11" x14ac:dyDescent="0.25">
      <c r="A4703" s="4">
        <v>44106</v>
      </c>
      <c r="B4703" s="19">
        <f t="shared" si="146"/>
        <v>2020</v>
      </c>
      <c r="C4703" s="19">
        <f t="shared" si="147"/>
        <v>10</v>
      </c>
      <c r="D4703" s="5" t="s">
        <v>283</v>
      </c>
      <c r="E4703" s="5" t="s">
        <v>18</v>
      </c>
      <c r="F4703" s="5" t="s">
        <v>19</v>
      </c>
      <c r="G4703" s="5" t="s">
        <v>20</v>
      </c>
      <c r="H4703" s="5" t="s">
        <v>236</v>
      </c>
      <c r="I4703" s="13">
        <v>1613.14</v>
      </c>
      <c r="J4703" s="19">
        <v>7</v>
      </c>
      <c r="K4703" s="14">
        <v>204.76820000000001</v>
      </c>
    </row>
    <row r="4704" spans="1:11" x14ac:dyDescent="0.25">
      <c r="A4704" s="2">
        <v>44106</v>
      </c>
      <c r="B4704" s="18">
        <f t="shared" si="146"/>
        <v>2020</v>
      </c>
      <c r="C4704" s="18">
        <f t="shared" si="147"/>
        <v>10</v>
      </c>
      <c r="D4704" s="3" t="s">
        <v>84</v>
      </c>
      <c r="E4704" s="3" t="s">
        <v>219</v>
      </c>
      <c r="F4704" s="3" t="s">
        <v>11</v>
      </c>
      <c r="G4704" s="3" t="s">
        <v>30</v>
      </c>
      <c r="H4704" s="3" t="s">
        <v>2020</v>
      </c>
      <c r="I4704" s="11">
        <v>2335.116</v>
      </c>
      <c r="J4704" s="18">
        <v>7</v>
      </c>
      <c r="K4704" s="12">
        <v>-1002.7836</v>
      </c>
    </row>
    <row r="4705" spans="1:11" x14ac:dyDescent="0.25">
      <c r="A4705" s="4">
        <v>44106</v>
      </c>
      <c r="B4705" s="19">
        <f t="shared" si="146"/>
        <v>2020</v>
      </c>
      <c r="C4705" s="19">
        <f t="shared" si="147"/>
        <v>10</v>
      </c>
      <c r="D4705" s="5" t="s">
        <v>1138</v>
      </c>
      <c r="E4705" s="5" t="s">
        <v>365</v>
      </c>
      <c r="F4705" s="5" t="s">
        <v>19</v>
      </c>
      <c r="G4705" s="5" t="s">
        <v>32</v>
      </c>
      <c r="H4705" s="5" t="s">
        <v>168</v>
      </c>
      <c r="I4705" s="13">
        <v>98.88</v>
      </c>
      <c r="J4705" s="19">
        <v>1</v>
      </c>
      <c r="K4705" s="14">
        <v>1.4112</v>
      </c>
    </row>
    <row r="4706" spans="1:11" x14ac:dyDescent="0.25">
      <c r="A4706" s="2">
        <v>44106</v>
      </c>
      <c r="B4706" s="18">
        <f t="shared" si="146"/>
        <v>2020</v>
      </c>
      <c r="C4706" s="18">
        <f t="shared" si="147"/>
        <v>10</v>
      </c>
      <c r="D4706" s="3" t="s">
        <v>2378</v>
      </c>
      <c r="E4706" s="3" t="s">
        <v>70</v>
      </c>
      <c r="F4706" s="3" t="s">
        <v>19</v>
      </c>
      <c r="G4706" s="3" t="s">
        <v>116</v>
      </c>
      <c r="H4706" s="3" t="s">
        <v>301</v>
      </c>
      <c r="I4706" s="11">
        <v>84.94</v>
      </c>
      <c r="J4706" s="18">
        <v>3</v>
      </c>
      <c r="K4706" s="12">
        <v>4.1124000000000001</v>
      </c>
    </row>
    <row r="4707" spans="1:11" x14ac:dyDescent="0.25">
      <c r="A4707" s="4">
        <v>44106</v>
      </c>
      <c r="B4707" s="19">
        <f t="shared" si="146"/>
        <v>2020</v>
      </c>
      <c r="C4707" s="19">
        <f t="shared" si="147"/>
        <v>10</v>
      </c>
      <c r="D4707" s="5" t="s">
        <v>84</v>
      </c>
      <c r="E4707" s="5" t="s">
        <v>219</v>
      </c>
      <c r="F4707" s="5" t="s">
        <v>11</v>
      </c>
      <c r="G4707" s="5" t="s">
        <v>51</v>
      </c>
      <c r="H4707" s="5" t="s">
        <v>1321</v>
      </c>
      <c r="I4707" s="13">
        <v>94.656000000000006</v>
      </c>
      <c r="J4707" s="19">
        <v>1</v>
      </c>
      <c r="K4707" s="14">
        <v>1.5690999999999999</v>
      </c>
    </row>
    <row r="4708" spans="1:11" x14ac:dyDescent="0.25">
      <c r="A4708" s="2">
        <v>44106</v>
      </c>
      <c r="B4708" s="18">
        <f t="shared" si="146"/>
        <v>2020</v>
      </c>
      <c r="C4708" s="18">
        <f t="shared" si="147"/>
        <v>10</v>
      </c>
      <c r="D4708" s="3" t="s">
        <v>1177</v>
      </c>
      <c r="E4708" s="3" t="s">
        <v>23</v>
      </c>
      <c r="F4708" s="3" t="s">
        <v>19</v>
      </c>
      <c r="G4708" s="3" t="s">
        <v>121</v>
      </c>
      <c r="H4708" s="3" t="s">
        <v>2076</v>
      </c>
      <c r="I4708" s="11">
        <v>121.224</v>
      </c>
      <c r="J4708" s="18">
        <v>2</v>
      </c>
      <c r="K4708" s="12">
        <v>-38.821199999999997</v>
      </c>
    </row>
    <row r="4709" spans="1:11" x14ac:dyDescent="0.25">
      <c r="A4709" s="4">
        <v>44106</v>
      </c>
      <c r="B4709" s="19">
        <f t="shared" si="146"/>
        <v>2020</v>
      </c>
      <c r="C4709" s="19">
        <f t="shared" si="147"/>
        <v>10</v>
      </c>
      <c r="D4709" s="5" t="s">
        <v>84</v>
      </c>
      <c r="E4709" s="5" t="s">
        <v>219</v>
      </c>
      <c r="F4709" s="5" t="s">
        <v>11</v>
      </c>
      <c r="G4709" s="5" t="s">
        <v>51</v>
      </c>
      <c r="H4709" s="5" t="s">
        <v>474</v>
      </c>
      <c r="I4709" s="13">
        <v>115.76</v>
      </c>
      <c r="J4709" s="19">
        <v>2</v>
      </c>
      <c r="K4709" s="14">
        <v>5.9279999999999999</v>
      </c>
    </row>
    <row r="4710" spans="1:11" x14ac:dyDescent="0.25">
      <c r="A4710" s="2">
        <v>44106</v>
      </c>
      <c r="B4710" s="18">
        <f t="shared" si="146"/>
        <v>2020</v>
      </c>
      <c r="C4710" s="18">
        <f t="shared" si="147"/>
        <v>10</v>
      </c>
      <c r="D4710" s="3" t="s">
        <v>84</v>
      </c>
      <c r="E4710" s="3" t="s">
        <v>219</v>
      </c>
      <c r="F4710" s="3" t="s">
        <v>11</v>
      </c>
      <c r="G4710" s="3" t="s">
        <v>51</v>
      </c>
      <c r="H4710" s="3" t="s">
        <v>1122</v>
      </c>
      <c r="I4710" s="11">
        <v>127.80800000000001</v>
      </c>
      <c r="J4710" s="18">
        <v>2</v>
      </c>
      <c r="K4710" s="12">
        <v>1.3284</v>
      </c>
    </row>
    <row r="4711" spans="1:11" x14ac:dyDescent="0.25">
      <c r="A4711" s="4">
        <v>44106</v>
      </c>
      <c r="B4711" s="19">
        <f t="shared" si="146"/>
        <v>2020</v>
      </c>
      <c r="C4711" s="19">
        <f t="shared" si="147"/>
        <v>10</v>
      </c>
      <c r="D4711" s="5" t="s">
        <v>84</v>
      </c>
      <c r="E4711" s="5" t="s">
        <v>219</v>
      </c>
      <c r="F4711" s="5" t="s">
        <v>19</v>
      </c>
      <c r="G4711" s="5" t="s">
        <v>32</v>
      </c>
      <c r="H4711" s="5" t="s">
        <v>1607</v>
      </c>
      <c r="I4711" s="13">
        <v>121.36</v>
      </c>
      <c r="J4711" s="19">
        <v>3</v>
      </c>
      <c r="K4711" s="14">
        <v>-21.888000000000002</v>
      </c>
    </row>
    <row r="4712" spans="1:11" x14ac:dyDescent="0.25">
      <c r="A4712" s="2">
        <v>44106</v>
      </c>
      <c r="B4712" s="18">
        <f t="shared" si="146"/>
        <v>2020</v>
      </c>
      <c r="C4712" s="18">
        <f t="shared" si="147"/>
        <v>10</v>
      </c>
      <c r="D4712" s="3" t="s">
        <v>2492</v>
      </c>
      <c r="E4712" s="3" t="s">
        <v>465</v>
      </c>
      <c r="F4712" s="3" t="s">
        <v>19</v>
      </c>
      <c r="G4712" s="3" t="s">
        <v>265</v>
      </c>
      <c r="H4712" s="3" t="s">
        <v>1178</v>
      </c>
      <c r="I4712" s="11">
        <v>136.072</v>
      </c>
      <c r="J4712" s="18">
        <v>6</v>
      </c>
      <c r="K4712" s="12">
        <v>4.3956</v>
      </c>
    </row>
    <row r="4713" spans="1:11" x14ac:dyDescent="0.25">
      <c r="A4713" s="4">
        <v>44106</v>
      </c>
      <c r="B4713" s="19">
        <f t="shared" si="146"/>
        <v>2020</v>
      </c>
      <c r="C4713" s="19">
        <f t="shared" si="147"/>
        <v>10</v>
      </c>
      <c r="D4713" s="5" t="s">
        <v>2492</v>
      </c>
      <c r="E4713" s="5" t="s">
        <v>465</v>
      </c>
      <c r="F4713" s="5" t="s">
        <v>19</v>
      </c>
      <c r="G4713" s="5" t="s">
        <v>32</v>
      </c>
      <c r="H4713" s="5" t="s">
        <v>149</v>
      </c>
      <c r="I4713" s="13">
        <v>138.63800000000001</v>
      </c>
      <c r="J4713" s="19">
        <v>7</v>
      </c>
      <c r="K4713" s="14">
        <v>-16.601199999999999</v>
      </c>
    </row>
    <row r="4714" spans="1:11" x14ac:dyDescent="0.25">
      <c r="A4714" s="2">
        <v>44106</v>
      </c>
      <c r="B4714" s="18">
        <f t="shared" si="146"/>
        <v>2020</v>
      </c>
      <c r="C4714" s="18">
        <f t="shared" si="147"/>
        <v>10</v>
      </c>
      <c r="D4714" s="3" t="s">
        <v>1177</v>
      </c>
      <c r="E4714" s="3" t="s">
        <v>23</v>
      </c>
      <c r="F4714" s="3" t="s">
        <v>19</v>
      </c>
      <c r="G4714" s="3" t="s">
        <v>121</v>
      </c>
      <c r="H4714" s="3" t="s">
        <v>1881</v>
      </c>
      <c r="I4714" s="11">
        <v>111.98399999999999</v>
      </c>
      <c r="J4714" s="18">
        <v>6</v>
      </c>
      <c r="K4714" s="12">
        <v>-56.059199999999997</v>
      </c>
    </row>
    <row r="4715" spans="1:11" x14ac:dyDescent="0.25">
      <c r="A4715" s="4">
        <v>44106</v>
      </c>
      <c r="B4715" s="19">
        <f t="shared" si="146"/>
        <v>2020</v>
      </c>
      <c r="C4715" s="19">
        <f t="shared" si="147"/>
        <v>10</v>
      </c>
      <c r="D4715" s="5" t="s">
        <v>1597</v>
      </c>
      <c r="E4715" s="5" t="s">
        <v>898</v>
      </c>
      <c r="F4715" s="5" t="s">
        <v>11</v>
      </c>
      <c r="G4715" s="5" t="s">
        <v>51</v>
      </c>
      <c r="H4715" s="5" t="s">
        <v>2472</v>
      </c>
      <c r="I4715" s="13">
        <v>117.16</v>
      </c>
      <c r="J4715" s="19">
        <v>2</v>
      </c>
      <c r="K4715" s="14">
        <v>3.4544000000000001</v>
      </c>
    </row>
    <row r="4716" spans="1:11" x14ac:dyDescent="0.25">
      <c r="A4716" s="2">
        <v>44106</v>
      </c>
      <c r="B4716" s="18">
        <f t="shared" si="146"/>
        <v>2020</v>
      </c>
      <c r="C4716" s="18">
        <f t="shared" si="147"/>
        <v>10</v>
      </c>
      <c r="D4716" s="3" t="s">
        <v>84</v>
      </c>
      <c r="E4716" s="3" t="s">
        <v>219</v>
      </c>
      <c r="F4716" s="3" t="s">
        <v>19</v>
      </c>
      <c r="G4716" s="3" t="s">
        <v>53</v>
      </c>
      <c r="H4716" s="3" t="s">
        <v>1822</v>
      </c>
      <c r="I4716" s="11">
        <v>146.73599999999999</v>
      </c>
      <c r="J4716" s="18">
        <v>4</v>
      </c>
      <c r="K4716" s="12">
        <v>7.2576000000000001</v>
      </c>
    </row>
    <row r="4717" spans="1:11" x14ac:dyDescent="0.25">
      <c r="A4717" s="4">
        <v>44106</v>
      </c>
      <c r="B4717" s="19">
        <f t="shared" si="146"/>
        <v>2020</v>
      </c>
      <c r="C4717" s="19">
        <f t="shared" si="147"/>
        <v>10</v>
      </c>
      <c r="D4717" s="5" t="s">
        <v>1142</v>
      </c>
      <c r="E4717" s="5" t="s">
        <v>94</v>
      </c>
      <c r="F4717" s="5" t="s">
        <v>19</v>
      </c>
      <c r="G4717" s="5" t="s">
        <v>53</v>
      </c>
      <c r="H4717" s="5" t="s">
        <v>2013</v>
      </c>
      <c r="I4717" s="13">
        <v>138.12</v>
      </c>
      <c r="J4717" s="19">
        <v>4</v>
      </c>
      <c r="K4717" s="14">
        <v>23.086400000000001</v>
      </c>
    </row>
    <row r="4718" spans="1:11" x14ac:dyDescent="0.25">
      <c r="A4718" s="2">
        <v>44106</v>
      </c>
      <c r="B4718" s="18">
        <f t="shared" si="146"/>
        <v>2020</v>
      </c>
      <c r="C4718" s="18">
        <f t="shared" si="147"/>
        <v>10</v>
      </c>
      <c r="D4718" s="3" t="s">
        <v>2217</v>
      </c>
      <c r="E4718" s="3" t="s">
        <v>18</v>
      </c>
      <c r="F4718" s="3" t="s">
        <v>11</v>
      </c>
      <c r="G4718" s="3" t="s">
        <v>51</v>
      </c>
      <c r="H4718" s="3" t="s">
        <v>1044</v>
      </c>
      <c r="I4718" s="11">
        <v>139.46</v>
      </c>
      <c r="J4718" s="18">
        <v>2</v>
      </c>
      <c r="K4718" s="12">
        <v>5.9363999999999999</v>
      </c>
    </row>
    <row r="4719" spans="1:11" x14ac:dyDescent="0.25">
      <c r="A4719" s="4">
        <v>44106</v>
      </c>
      <c r="B4719" s="19">
        <f t="shared" si="146"/>
        <v>2020</v>
      </c>
      <c r="C4719" s="19">
        <f t="shared" si="147"/>
        <v>10</v>
      </c>
      <c r="D4719" s="5" t="s">
        <v>84</v>
      </c>
      <c r="E4719" s="5" t="s">
        <v>219</v>
      </c>
      <c r="F4719" s="5" t="s">
        <v>19</v>
      </c>
      <c r="G4719" s="5" t="s">
        <v>32</v>
      </c>
      <c r="H4719" s="5" t="s">
        <v>2072</v>
      </c>
      <c r="I4719" s="13">
        <v>132.23599999999999</v>
      </c>
      <c r="J4719" s="19">
        <v>4</v>
      </c>
      <c r="K4719" s="14">
        <v>-26.247599999999998</v>
      </c>
    </row>
    <row r="4720" spans="1:11" x14ac:dyDescent="0.25">
      <c r="A4720" s="2">
        <v>44106</v>
      </c>
      <c r="B4720" s="18">
        <f t="shared" si="146"/>
        <v>2020</v>
      </c>
      <c r="C4720" s="18">
        <f t="shared" si="147"/>
        <v>10</v>
      </c>
      <c r="D4720" s="3" t="s">
        <v>1138</v>
      </c>
      <c r="E4720" s="3" t="s">
        <v>365</v>
      </c>
      <c r="F4720" s="3" t="s">
        <v>19</v>
      </c>
      <c r="G4720" s="3" t="s">
        <v>32</v>
      </c>
      <c r="H4720" s="3" t="s">
        <v>878</v>
      </c>
      <c r="I4720" s="11">
        <v>139.05000000000001</v>
      </c>
      <c r="J4720" s="18">
        <v>3</v>
      </c>
      <c r="K4720" s="12">
        <v>26.702999999999999</v>
      </c>
    </row>
    <row r="4721" spans="1:11" x14ac:dyDescent="0.25">
      <c r="A4721" s="4">
        <v>44107</v>
      </c>
      <c r="B4721" s="19">
        <f t="shared" si="146"/>
        <v>2020</v>
      </c>
      <c r="C4721" s="19">
        <f t="shared" si="147"/>
        <v>10</v>
      </c>
      <c r="D4721" s="5" t="s">
        <v>103</v>
      </c>
      <c r="E4721" s="5" t="s">
        <v>94</v>
      </c>
      <c r="F4721" s="5" t="s">
        <v>11</v>
      </c>
      <c r="G4721" s="5" t="s">
        <v>51</v>
      </c>
      <c r="H4721" s="5" t="s">
        <v>1849</v>
      </c>
      <c r="I4721" s="13">
        <v>118.92</v>
      </c>
      <c r="J4721" s="19">
        <v>4</v>
      </c>
      <c r="K4721" s="14">
        <v>21.819199999999999</v>
      </c>
    </row>
    <row r="4722" spans="1:11" x14ac:dyDescent="0.25">
      <c r="A4722" s="2">
        <v>44107</v>
      </c>
      <c r="B4722" s="18">
        <f t="shared" si="146"/>
        <v>2020</v>
      </c>
      <c r="C4722" s="18">
        <f t="shared" si="147"/>
        <v>10</v>
      </c>
      <c r="D4722" s="3" t="s">
        <v>504</v>
      </c>
      <c r="E4722" s="3" t="s">
        <v>18</v>
      </c>
      <c r="F4722" s="3" t="s">
        <v>11</v>
      </c>
      <c r="G4722" s="3" t="s">
        <v>30</v>
      </c>
      <c r="H4722" s="3" t="s">
        <v>2093</v>
      </c>
      <c r="I4722" s="11">
        <v>221.28800000000001</v>
      </c>
      <c r="J4722" s="18">
        <v>3</v>
      </c>
      <c r="K4722" s="12">
        <v>-6.4233000000000002</v>
      </c>
    </row>
    <row r="4723" spans="1:11" x14ac:dyDescent="0.25">
      <c r="A4723" s="4">
        <v>44107</v>
      </c>
      <c r="B4723" s="19">
        <f t="shared" si="146"/>
        <v>2020</v>
      </c>
      <c r="C4723" s="19">
        <f t="shared" si="147"/>
        <v>10</v>
      </c>
      <c r="D4723" s="5" t="s">
        <v>103</v>
      </c>
      <c r="E4723" s="5" t="s">
        <v>94</v>
      </c>
      <c r="F4723" s="5" t="s">
        <v>14</v>
      </c>
      <c r="G4723" s="5" t="s">
        <v>24</v>
      </c>
      <c r="H4723" s="5" t="s">
        <v>107</v>
      </c>
      <c r="I4723" s="13">
        <v>403.97</v>
      </c>
      <c r="J4723" s="19">
        <v>3</v>
      </c>
      <c r="K4723" s="14">
        <v>66.954599999999999</v>
      </c>
    </row>
    <row r="4724" spans="1:11" x14ac:dyDescent="0.25">
      <c r="A4724" s="2">
        <v>44107</v>
      </c>
      <c r="B4724" s="18">
        <f t="shared" si="146"/>
        <v>2020</v>
      </c>
      <c r="C4724" s="18">
        <f t="shared" si="147"/>
        <v>10</v>
      </c>
      <c r="D4724" s="3" t="s">
        <v>1614</v>
      </c>
      <c r="E4724" s="3" t="s">
        <v>387</v>
      </c>
      <c r="F4724" s="3" t="s">
        <v>19</v>
      </c>
      <c r="G4724" s="3" t="s">
        <v>32</v>
      </c>
      <c r="H4724" s="3" t="s">
        <v>2027</v>
      </c>
      <c r="I4724" s="11">
        <v>1833.98</v>
      </c>
      <c r="J4724" s="18">
        <v>2</v>
      </c>
      <c r="K4724" s="12">
        <v>843.17060000000004</v>
      </c>
    </row>
    <row r="4725" spans="1:11" x14ac:dyDescent="0.25">
      <c r="A4725" s="4">
        <v>44107</v>
      </c>
      <c r="B4725" s="19">
        <f t="shared" si="146"/>
        <v>2020</v>
      </c>
      <c r="C4725" s="19">
        <f t="shared" si="147"/>
        <v>10</v>
      </c>
      <c r="D4725" s="5" t="s">
        <v>1451</v>
      </c>
      <c r="E4725" s="5" t="s">
        <v>44</v>
      </c>
      <c r="F4725" s="5" t="s">
        <v>19</v>
      </c>
      <c r="G4725" s="5" t="s">
        <v>53</v>
      </c>
      <c r="H4725" s="5" t="s">
        <v>2494</v>
      </c>
      <c r="I4725" s="13">
        <v>94.552000000000007</v>
      </c>
      <c r="J4725" s="19">
        <v>3</v>
      </c>
      <c r="K4725" s="14">
        <v>5.4432</v>
      </c>
    </row>
    <row r="4726" spans="1:11" x14ac:dyDescent="0.25">
      <c r="A4726" s="2">
        <v>44107</v>
      </c>
      <c r="B4726" s="18">
        <f t="shared" si="146"/>
        <v>2020</v>
      </c>
      <c r="C4726" s="18">
        <f t="shared" si="147"/>
        <v>10</v>
      </c>
      <c r="D4726" s="3" t="s">
        <v>2052</v>
      </c>
      <c r="E4726" s="3" t="s">
        <v>23</v>
      </c>
      <c r="F4726" s="3" t="s">
        <v>19</v>
      </c>
      <c r="G4726" s="3" t="s">
        <v>40</v>
      </c>
      <c r="H4726" s="3" t="s">
        <v>689</v>
      </c>
      <c r="I4726" s="11">
        <v>112.64</v>
      </c>
      <c r="J4726" s="18">
        <v>5</v>
      </c>
      <c r="K4726" s="12">
        <v>2.3220000000000001</v>
      </c>
    </row>
    <row r="4727" spans="1:11" x14ac:dyDescent="0.25">
      <c r="A4727" s="4">
        <v>44107</v>
      </c>
      <c r="B4727" s="19">
        <f t="shared" si="146"/>
        <v>2020</v>
      </c>
      <c r="C4727" s="19">
        <f t="shared" si="147"/>
        <v>10</v>
      </c>
      <c r="D4727" s="5" t="s">
        <v>103</v>
      </c>
      <c r="E4727" s="5" t="s">
        <v>94</v>
      </c>
      <c r="F4727" s="5" t="s">
        <v>19</v>
      </c>
      <c r="G4727" s="5" t="s">
        <v>40</v>
      </c>
      <c r="H4727" s="5" t="s">
        <v>2377</v>
      </c>
      <c r="I4727" s="13">
        <v>117.63</v>
      </c>
      <c r="J4727" s="19">
        <v>3</v>
      </c>
      <c r="K4727" s="14">
        <v>3.1160999999999999</v>
      </c>
    </row>
    <row r="4728" spans="1:11" x14ac:dyDescent="0.25">
      <c r="A4728" s="2">
        <v>44107</v>
      </c>
      <c r="B4728" s="18">
        <f t="shared" si="146"/>
        <v>2020</v>
      </c>
      <c r="C4728" s="18">
        <f t="shared" si="147"/>
        <v>10</v>
      </c>
      <c r="D4728" s="3" t="s">
        <v>1451</v>
      </c>
      <c r="E4728" s="3" t="s">
        <v>44</v>
      </c>
      <c r="F4728" s="3" t="s">
        <v>19</v>
      </c>
      <c r="G4728" s="3" t="s">
        <v>121</v>
      </c>
      <c r="H4728" s="3" t="s">
        <v>2181</v>
      </c>
      <c r="I4728" s="11">
        <v>146.91999999999999</v>
      </c>
      <c r="J4728" s="18">
        <v>5</v>
      </c>
      <c r="K4728" s="12">
        <v>1.1200000000000001</v>
      </c>
    </row>
    <row r="4729" spans="1:11" x14ac:dyDescent="0.25">
      <c r="A4729" s="4">
        <v>44107</v>
      </c>
      <c r="B4729" s="19">
        <f t="shared" si="146"/>
        <v>2020</v>
      </c>
      <c r="C4729" s="19">
        <f t="shared" si="147"/>
        <v>10</v>
      </c>
      <c r="D4729" s="5" t="s">
        <v>1112</v>
      </c>
      <c r="E4729" s="5" t="s">
        <v>94</v>
      </c>
      <c r="F4729" s="5" t="s">
        <v>19</v>
      </c>
      <c r="G4729" s="5" t="s">
        <v>20</v>
      </c>
      <c r="H4729" s="5" t="s">
        <v>182</v>
      </c>
      <c r="I4729" s="13">
        <v>116.58</v>
      </c>
      <c r="J4729" s="19">
        <v>2</v>
      </c>
      <c r="K4729" s="14">
        <v>5.8708</v>
      </c>
    </row>
    <row r="4730" spans="1:11" x14ac:dyDescent="0.25">
      <c r="A4730" s="2">
        <v>44108</v>
      </c>
      <c r="B4730" s="18">
        <f t="shared" si="146"/>
        <v>2020</v>
      </c>
      <c r="C4730" s="18">
        <f t="shared" si="147"/>
        <v>10</v>
      </c>
      <c r="D4730" s="3" t="s">
        <v>810</v>
      </c>
      <c r="E4730" s="3" t="s">
        <v>10</v>
      </c>
      <c r="F4730" s="3" t="s">
        <v>11</v>
      </c>
      <c r="G4730" s="3" t="s">
        <v>51</v>
      </c>
      <c r="H4730" s="3" t="s">
        <v>71</v>
      </c>
      <c r="I4730" s="11">
        <v>136.97999999999999</v>
      </c>
      <c r="J4730" s="18">
        <v>1</v>
      </c>
      <c r="K4730" s="12">
        <v>8.5914000000000001</v>
      </c>
    </row>
    <row r="4731" spans="1:11" x14ac:dyDescent="0.25">
      <c r="A4731" s="4">
        <v>44109</v>
      </c>
      <c r="B4731" s="19">
        <f t="shared" si="146"/>
        <v>2020</v>
      </c>
      <c r="C4731" s="19">
        <f t="shared" si="147"/>
        <v>10</v>
      </c>
      <c r="D4731" s="5" t="s">
        <v>1380</v>
      </c>
      <c r="E4731" s="5" t="s">
        <v>18</v>
      </c>
      <c r="F4731" s="5" t="s">
        <v>11</v>
      </c>
      <c r="G4731" s="5" t="s">
        <v>51</v>
      </c>
      <c r="H4731" s="5" t="s">
        <v>2495</v>
      </c>
      <c r="I4731" s="13">
        <v>108.9</v>
      </c>
      <c r="J4731" s="19">
        <v>5</v>
      </c>
      <c r="K4731" s="14">
        <v>26.972999999999999</v>
      </c>
    </row>
    <row r="4732" spans="1:11" x14ac:dyDescent="0.25">
      <c r="A4732" s="2">
        <v>44109</v>
      </c>
      <c r="B4732" s="18">
        <f t="shared" si="146"/>
        <v>2020</v>
      </c>
      <c r="C4732" s="18">
        <f t="shared" si="147"/>
        <v>10</v>
      </c>
      <c r="D4732" s="3" t="s">
        <v>2276</v>
      </c>
      <c r="E4732" s="3" t="s">
        <v>94</v>
      </c>
      <c r="F4732" s="3" t="s">
        <v>14</v>
      </c>
      <c r="G4732" s="3" t="s">
        <v>15</v>
      </c>
      <c r="H4732" s="3" t="s">
        <v>1686</v>
      </c>
      <c r="I4732" s="11">
        <v>111.8</v>
      </c>
      <c r="J4732" s="18">
        <v>4</v>
      </c>
      <c r="K4732" s="12">
        <v>43.9</v>
      </c>
    </row>
    <row r="4733" spans="1:11" x14ac:dyDescent="0.25">
      <c r="A4733" s="4">
        <v>44109</v>
      </c>
      <c r="B4733" s="19">
        <f t="shared" si="146"/>
        <v>2020</v>
      </c>
      <c r="C4733" s="19">
        <f t="shared" si="147"/>
        <v>10</v>
      </c>
      <c r="D4733" s="5" t="s">
        <v>2496</v>
      </c>
      <c r="E4733" s="5" t="s">
        <v>94</v>
      </c>
      <c r="F4733" s="5" t="s">
        <v>14</v>
      </c>
      <c r="G4733" s="5" t="s">
        <v>15</v>
      </c>
      <c r="H4733" s="5" t="s">
        <v>879</v>
      </c>
      <c r="I4733" s="13">
        <v>198.93</v>
      </c>
      <c r="J4733" s="19">
        <v>7</v>
      </c>
      <c r="K4733" s="14">
        <v>3.2185999999999999</v>
      </c>
    </row>
    <row r="4734" spans="1:11" x14ac:dyDescent="0.25">
      <c r="A4734" s="2">
        <v>44109</v>
      </c>
      <c r="B4734" s="18">
        <f t="shared" si="146"/>
        <v>2020</v>
      </c>
      <c r="C4734" s="18">
        <f t="shared" si="147"/>
        <v>10</v>
      </c>
      <c r="D4734" s="3" t="s">
        <v>1380</v>
      </c>
      <c r="E4734" s="3" t="s">
        <v>18</v>
      </c>
      <c r="F4734" s="3" t="s">
        <v>11</v>
      </c>
      <c r="G4734" s="3" t="s">
        <v>30</v>
      </c>
      <c r="H4734" s="3" t="s">
        <v>609</v>
      </c>
      <c r="I4734" s="11">
        <v>236.352</v>
      </c>
      <c r="J4734" s="18">
        <v>3</v>
      </c>
      <c r="K4734" s="12">
        <v>5.1588000000000003</v>
      </c>
    </row>
    <row r="4735" spans="1:11" x14ac:dyDescent="0.25">
      <c r="A4735" s="4">
        <v>44109</v>
      </c>
      <c r="B4735" s="19">
        <f t="shared" si="146"/>
        <v>2020</v>
      </c>
      <c r="C4735" s="19">
        <f t="shared" si="147"/>
        <v>10</v>
      </c>
      <c r="D4735" s="5" t="s">
        <v>2276</v>
      </c>
      <c r="E4735" s="5" t="s">
        <v>94</v>
      </c>
      <c r="F4735" s="5" t="s">
        <v>11</v>
      </c>
      <c r="G4735" s="5" t="s">
        <v>112</v>
      </c>
      <c r="H4735" s="5" t="s">
        <v>432</v>
      </c>
      <c r="I4735" s="13">
        <v>247.38200000000001</v>
      </c>
      <c r="J4735" s="19">
        <v>2</v>
      </c>
      <c r="K4735" s="14">
        <v>2.4598</v>
      </c>
    </row>
    <row r="4736" spans="1:11" x14ac:dyDescent="0.25">
      <c r="A4736" s="2">
        <v>44109</v>
      </c>
      <c r="B4736" s="18">
        <f t="shared" si="146"/>
        <v>2020</v>
      </c>
      <c r="C4736" s="18">
        <f t="shared" si="147"/>
        <v>10</v>
      </c>
      <c r="D4736" s="3" t="s">
        <v>1380</v>
      </c>
      <c r="E4736" s="3" t="s">
        <v>18</v>
      </c>
      <c r="F4736" s="3" t="s">
        <v>11</v>
      </c>
      <c r="G4736" s="3" t="s">
        <v>112</v>
      </c>
      <c r="H4736" s="3" t="s">
        <v>161</v>
      </c>
      <c r="I4736" s="11">
        <v>460.16800000000001</v>
      </c>
      <c r="J4736" s="18">
        <v>4</v>
      </c>
      <c r="K4736" s="12">
        <v>-59.835599999999999</v>
      </c>
    </row>
    <row r="4737" spans="1:11" x14ac:dyDescent="0.25">
      <c r="A4737" s="4">
        <v>44109</v>
      </c>
      <c r="B4737" s="19">
        <f t="shared" si="146"/>
        <v>2020</v>
      </c>
      <c r="C4737" s="19">
        <f t="shared" si="147"/>
        <v>10</v>
      </c>
      <c r="D4737" s="5" t="s">
        <v>2276</v>
      </c>
      <c r="E4737" s="5" t="s">
        <v>94</v>
      </c>
      <c r="F4737" s="5" t="s">
        <v>14</v>
      </c>
      <c r="G4737" s="5" t="s">
        <v>188</v>
      </c>
      <c r="H4737" s="5" t="s">
        <v>641</v>
      </c>
      <c r="I4737" s="13">
        <v>5234.96</v>
      </c>
      <c r="J4737" s="19">
        <v>4</v>
      </c>
      <c r="K4737" s="14">
        <v>1351.9896000000001</v>
      </c>
    </row>
    <row r="4738" spans="1:11" x14ac:dyDescent="0.25">
      <c r="A4738" s="2">
        <v>44109</v>
      </c>
      <c r="B4738" s="18">
        <f t="shared" ref="B4738:B4801" si="148">YEAR(A4738)</f>
        <v>2020</v>
      </c>
      <c r="C4738" s="18">
        <f t="shared" ref="C4738:C4801" si="149">MONTH(A4738)</f>
        <v>10</v>
      </c>
      <c r="D4738" s="3" t="s">
        <v>1380</v>
      </c>
      <c r="E4738" s="3" t="s">
        <v>18</v>
      </c>
      <c r="F4738" s="3" t="s">
        <v>19</v>
      </c>
      <c r="G4738" s="3" t="s">
        <v>121</v>
      </c>
      <c r="H4738" s="3" t="s">
        <v>1304</v>
      </c>
      <c r="I4738" s="11">
        <v>88.8</v>
      </c>
      <c r="J4738" s="18">
        <v>4</v>
      </c>
      <c r="K4738" s="12">
        <v>4.1079999999999997</v>
      </c>
    </row>
    <row r="4739" spans="1:11" x14ac:dyDescent="0.25">
      <c r="A4739" s="4">
        <v>44109</v>
      </c>
      <c r="B4739" s="19">
        <f t="shared" si="148"/>
        <v>2020</v>
      </c>
      <c r="C4739" s="19">
        <f t="shared" si="149"/>
        <v>10</v>
      </c>
      <c r="D4739" s="5" t="s">
        <v>1380</v>
      </c>
      <c r="E4739" s="5" t="s">
        <v>18</v>
      </c>
      <c r="F4739" s="5" t="s">
        <v>14</v>
      </c>
      <c r="G4739" s="5" t="s">
        <v>15</v>
      </c>
      <c r="H4739" s="5" t="s">
        <v>2364</v>
      </c>
      <c r="I4739" s="13">
        <v>120.992</v>
      </c>
      <c r="J4739" s="19">
        <v>1</v>
      </c>
      <c r="K4739" s="14">
        <v>2.6972999999999998</v>
      </c>
    </row>
    <row r="4740" spans="1:11" x14ac:dyDescent="0.25">
      <c r="A4740" s="2">
        <v>44109</v>
      </c>
      <c r="B4740" s="18">
        <f t="shared" si="148"/>
        <v>2020</v>
      </c>
      <c r="C4740" s="18">
        <f t="shared" si="149"/>
        <v>10</v>
      </c>
      <c r="D4740" s="3" t="s">
        <v>1380</v>
      </c>
      <c r="E4740" s="3" t="s">
        <v>18</v>
      </c>
      <c r="F4740" s="3" t="s">
        <v>19</v>
      </c>
      <c r="G4740" s="3" t="s">
        <v>116</v>
      </c>
      <c r="H4740" s="3" t="s">
        <v>301</v>
      </c>
      <c r="I4740" s="11">
        <v>107.9</v>
      </c>
      <c r="J4740" s="18">
        <v>5</v>
      </c>
      <c r="K4740" s="12">
        <v>6.8540000000000001</v>
      </c>
    </row>
    <row r="4741" spans="1:11" x14ac:dyDescent="0.25">
      <c r="A4741" s="4">
        <v>44109</v>
      </c>
      <c r="B4741" s="19">
        <f t="shared" si="148"/>
        <v>2020</v>
      </c>
      <c r="C4741" s="19">
        <f t="shared" si="149"/>
        <v>10</v>
      </c>
      <c r="D4741" s="5" t="s">
        <v>1979</v>
      </c>
      <c r="E4741" s="5" t="s">
        <v>18</v>
      </c>
      <c r="F4741" s="5" t="s">
        <v>19</v>
      </c>
      <c r="G4741" s="5" t="s">
        <v>32</v>
      </c>
      <c r="H4741" s="5" t="s">
        <v>1690</v>
      </c>
      <c r="I4741" s="13">
        <v>133.91999999999999</v>
      </c>
      <c r="J4741" s="19">
        <v>5</v>
      </c>
      <c r="K4741" s="14">
        <v>13.473000000000001</v>
      </c>
    </row>
    <row r="4742" spans="1:11" x14ac:dyDescent="0.25">
      <c r="A4742" s="2">
        <v>44109</v>
      </c>
      <c r="B4742" s="18">
        <f t="shared" si="148"/>
        <v>2020</v>
      </c>
      <c r="C4742" s="18">
        <f t="shared" si="149"/>
        <v>10</v>
      </c>
      <c r="D4742" s="3" t="s">
        <v>1979</v>
      </c>
      <c r="E4742" s="3" t="s">
        <v>18</v>
      </c>
      <c r="F4742" s="3" t="s">
        <v>19</v>
      </c>
      <c r="G4742" s="3" t="s">
        <v>32</v>
      </c>
      <c r="H4742" s="3" t="s">
        <v>2157</v>
      </c>
      <c r="I4742" s="11">
        <v>113.93600000000001</v>
      </c>
      <c r="J4742" s="18">
        <v>4</v>
      </c>
      <c r="K4742" s="12">
        <v>7.2267999999999999</v>
      </c>
    </row>
    <row r="4743" spans="1:11" x14ac:dyDescent="0.25">
      <c r="A4743" s="4">
        <v>44109</v>
      </c>
      <c r="B4743" s="19">
        <f t="shared" si="148"/>
        <v>2020</v>
      </c>
      <c r="C4743" s="19">
        <f t="shared" si="149"/>
        <v>10</v>
      </c>
      <c r="D4743" s="5" t="s">
        <v>1979</v>
      </c>
      <c r="E4743" s="5" t="s">
        <v>18</v>
      </c>
      <c r="F4743" s="5" t="s">
        <v>19</v>
      </c>
      <c r="G4743" s="5" t="s">
        <v>53</v>
      </c>
      <c r="H4743" s="5" t="s">
        <v>786</v>
      </c>
      <c r="I4743" s="13">
        <v>144.96</v>
      </c>
      <c r="J4743" s="19">
        <v>2</v>
      </c>
      <c r="K4743" s="14">
        <v>27.882000000000001</v>
      </c>
    </row>
    <row r="4744" spans="1:11" x14ac:dyDescent="0.25">
      <c r="A4744" s="2">
        <v>44109</v>
      </c>
      <c r="B4744" s="18">
        <f t="shared" si="148"/>
        <v>2020</v>
      </c>
      <c r="C4744" s="18">
        <f t="shared" si="149"/>
        <v>10</v>
      </c>
      <c r="D4744" s="3" t="s">
        <v>2496</v>
      </c>
      <c r="E4744" s="3" t="s">
        <v>94</v>
      </c>
      <c r="F4744" s="3" t="s">
        <v>19</v>
      </c>
      <c r="G4744" s="3" t="s">
        <v>32</v>
      </c>
      <c r="H4744" s="3" t="s">
        <v>2231</v>
      </c>
      <c r="I4744" s="11">
        <v>182.792</v>
      </c>
      <c r="J4744" s="18">
        <v>3</v>
      </c>
      <c r="K4744" s="12">
        <v>25.579799999999999</v>
      </c>
    </row>
    <row r="4745" spans="1:11" x14ac:dyDescent="0.25">
      <c r="A4745" s="4">
        <v>44109</v>
      </c>
      <c r="B4745" s="19">
        <f t="shared" si="148"/>
        <v>2020</v>
      </c>
      <c r="C4745" s="19">
        <f t="shared" si="149"/>
        <v>10</v>
      </c>
      <c r="D4745" s="5" t="s">
        <v>628</v>
      </c>
      <c r="E4745" s="5" t="s">
        <v>306</v>
      </c>
      <c r="F4745" s="5" t="s">
        <v>14</v>
      </c>
      <c r="G4745" s="5" t="s">
        <v>24</v>
      </c>
      <c r="H4745" s="5" t="s">
        <v>45</v>
      </c>
      <c r="I4745" s="13">
        <v>164.82400000000001</v>
      </c>
      <c r="J4745" s="19">
        <v>2</v>
      </c>
      <c r="K4745" s="14">
        <v>13.5626</v>
      </c>
    </row>
    <row r="4746" spans="1:11" x14ac:dyDescent="0.25">
      <c r="A4746" s="2">
        <v>44110</v>
      </c>
      <c r="B4746" s="18">
        <f t="shared" si="148"/>
        <v>2020</v>
      </c>
      <c r="C4746" s="18">
        <f t="shared" si="149"/>
        <v>10</v>
      </c>
      <c r="D4746" s="3" t="s">
        <v>1428</v>
      </c>
      <c r="E4746" s="3" t="s">
        <v>85</v>
      </c>
      <c r="F4746" s="3" t="s">
        <v>19</v>
      </c>
      <c r="G4746" s="3" t="s">
        <v>53</v>
      </c>
      <c r="H4746" s="3" t="s">
        <v>1491</v>
      </c>
      <c r="I4746" s="11">
        <v>170.7</v>
      </c>
      <c r="J4746" s="18">
        <v>3</v>
      </c>
      <c r="K4746" s="12">
        <v>68.975999999999999</v>
      </c>
    </row>
    <row r="4747" spans="1:11" x14ac:dyDescent="0.25">
      <c r="A4747" s="4">
        <v>44110</v>
      </c>
      <c r="B4747" s="19">
        <f t="shared" si="148"/>
        <v>2020</v>
      </c>
      <c r="C4747" s="19">
        <f t="shared" si="149"/>
        <v>10</v>
      </c>
      <c r="D4747" s="5" t="s">
        <v>1161</v>
      </c>
      <c r="E4747" s="5" t="s">
        <v>499</v>
      </c>
      <c r="F4747" s="5" t="s">
        <v>19</v>
      </c>
      <c r="G4747" s="5" t="s">
        <v>121</v>
      </c>
      <c r="H4747" s="5" t="s">
        <v>293</v>
      </c>
      <c r="I4747" s="13">
        <v>268.83999999999997</v>
      </c>
      <c r="J4747" s="19">
        <v>4</v>
      </c>
      <c r="K4747" s="14">
        <v>66.073599999999999</v>
      </c>
    </row>
    <row r="4748" spans="1:11" x14ac:dyDescent="0.25">
      <c r="A4748" s="2">
        <v>44110</v>
      </c>
      <c r="B4748" s="18">
        <f t="shared" si="148"/>
        <v>2020</v>
      </c>
      <c r="C4748" s="18">
        <f t="shared" si="149"/>
        <v>10</v>
      </c>
      <c r="D4748" s="3" t="s">
        <v>1928</v>
      </c>
      <c r="E4748" s="3" t="s">
        <v>164</v>
      </c>
      <c r="F4748" s="3" t="s">
        <v>19</v>
      </c>
      <c r="G4748" s="3" t="s">
        <v>20</v>
      </c>
      <c r="H4748" s="3" t="s">
        <v>303</v>
      </c>
      <c r="I4748" s="11">
        <v>300.33600000000001</v>
      </c>
      <c r="J4748" s="18">
        <v>2</v>
      </c>
      <c r="K4748" s="12">
        <v>32.662799999999997</v>
      </c>
    </row>
    <row r="4749" spans="1:11" x14ac:dyDescent="0.25">
      <c r="A4749" s="4">
        <v>44110</v>
      </c>
      <c r="B4749" s="19">
        <f t="shared" si="148"/>
        <v>2020</v>
      </c>
      <c r="C4749" s="19">
        <f t="shared" si="149"/>
        <v>10</v>
      </c>
      <c r="D4749" s="5" t="s">
        <v>2131</v>
      </c>
      <c r="E4749" s="5" t="s">
        <v>94</v>
      </c>
      <c r="F4749" s="5" t="s">
        <v>14</v>
      </c>
      <c r="G4749" s="5" t="s">
        <v>24</v>
      </c>
      <c r="H4749" s="5" t="s">
        <v>2497</v>
      </c>
      <c r="I4749" s="13">
        <v>331.96</v>
      </c>
      <c r="J4749" s="19">
        <v>4</v>
      </c>
      <c r="K4749" s="14">
        <v>115.18559999999999</v>
      </c>
    </row>
    <row r="4750" spans="1:11" x14ac:dyDescent="0.25">
      <c r="A4750" s="2">
        <v>44110</v>
      </c>
      <c r="B4750" s="18">
        <f t="shared" si="148"/>
        <v>2020</v>
      </c>
      <c r="C4750" s="18">
        <f t="shared" si="149"/>
        <v>10</v>
      </c>
      <c r="D4750" s="3" t="s">
        <v>2131</v>
      </c>
      <c r="E4750" s="3" t="s">
        <v>94</v>
      </c>
      <c r="F4750" s="3" t="s">
        <v>19</v>
      </c>
      <c r="G4750" s="3" t="s">
        <v>20</v>
      </c>
      <c r="H4750" s="3" t="s">
        <v>680</v>
      </c>
      <c r="I4750" s="11">
        <v>363.91</v>
      </c>
      <c r="J4750" s="18">
        <v>3</v>
      </c>
      <c r="K4750" s="12">
        <v>10.347300000000001</v>
      </c>
    </row>
    <row r="4751" spans="1:11" x14ac:dyDescent="0.25">
      <c r="A4751" s="4">
        <v>44110</v>
      </c>
      <c r="B4751" s="19">
        <f t="shared" si="148"/>
        <v>2020</v>
      </c>
      <c r="C4751" s="19">
        <f t="shared" si="149"/>
        <v>10</v>
      </c>
      <c r="D4751" s="5" t="s">
        <v>1875</v>
      </c>
      <c r="E4751" s="5" t="s">
        <v>198</v>
      </c>
      <c r="F4751" s="5" t="s">
        <v>19</v>
      </c>
      <c r="G4751" s="5" t="s">
        <v>40</v>
      </c>
      <c r="H4751" s="5" t="s">
        <v>1267</v>
      </c>
      <c r="I4751" s="13">
        <v>88.343999999999994</v>
      </c>
      <c r="J4751" s="19">
        <v>2</v>
      </c>
      <c r="K4751" s="14">
        <v>1.8688</v>
      </c>
    </row>
    <row r="4752" spans="1:11" x14ac:dyDescent="0.25">
      <c r="A4752" s="2">
        <v>44110</v>
      </c>
      <c r="B4752" s="18">
        <f t="shared" si="148"/>
        <v>2020</v>
      </c>
      <c r="C4752" s="18">
        <f t="shared" si="149"/>
        <v>10</v>
      </c>
      <c r="D4752" s="3" t="s">
        <v>2131</v>
      </c>
      <c r="E4752" s="3" t="s">
        <v>94</v>
      </c>
      <c r="F4752" s="3" t="s">
        <v>19</v>
      </c>
      <c r="G4752" s="3" t="s">
        <v>53</v>
      </c>
      <c r="H4752" s="3" t="s">
        <v>675</v>
      </c>
      <c r="I4752" s="11">
        <v>119.04</v>
      </c>
      <c r="J4752" s="18">
        <v>3</v>
      </c>
      <c r="K4752" s="12">
        <v>7.6680000000000001</v>
      </c>
    </row>
    <row r="4753" spans="1:11" x14ac:dyDescent="0.25">
      <c r="A4753" s="4">
        <v>44110</v>
      </c>
      <c r="B4753" s="19">
        <f t="shared" si="148"/>
        <v>2020</v>
      </c>
      <c r="C4753" s="19">
        <f t="shared" si="149"/>
        <v>10</v>
      </c>
      <c r="D4753" s="5" t="s">
        <v>1428</v>
      </c>
      <c r="E4753" s="5" t="s">
        <v>85</v>
      </c>
      <c r="F4753" s="5" t="s">
        <v>19</v>
      </c>
      <c r="G4753" s="5" t="s">
        <v>53</v>
      </c>
      <c r="H4753" s="5" t="s">
        <v>962</v>
      </c>
      <c r="I4753" s="13">
        <v>133.47999999999999</v>
      </c>
      <c r="J4753" s="19">
        <v>1</v>
      </c>
      <c r="K4753" s="14">
        <v>3.1103999999999998</v>
      </c>
    </row>
    <row r="4754" spans="1:11" x14ac:dyDescent="0.25">
      <c r="A4754" s="2">
        <v>44110</v>
      </c>
      <c r="B4754" s="18">
        <f t="shared" si="148"/>
        <v>2020</v>
      </c>
      <c r="C4754" s="18">
        <f t="shared" si="149"/>
        <v>10</v>
      </c>
      <c r="D4754" s="3" t="s">
        <v>1161</v>
      </c>
      <c r="E4754" s="3" t="s">
        <v>499</v>
      </c>
      <c r="F4754" s="3" t="s">
        <v>11</v>
      </c>
      <c r="G4754" s="3" t="s">
        <v>51</v>
      </c>
      <c r="H4754" s="3" t="s">
        <v>929</v>
      </c>
      <c r="I4754" s="11">
        <v>110.96</v>
      </c>
      <c r="J4754" s="18">
        <v>2</v>
      </c>
      <c r="K4754" s="12">
        <v>2.9371999999999998</v>
      </c>
    </row>
    <row r="4755" spans="1:11" x14ac:dyDescent="0.25">
      <c r="A4755" s="4">
        <v>44110</v>
      </c>
      <c r="B4755" s="19">
        <f t="shared" si="148"/>
        <v>2020</v>
      </c>
      <c r="C4755" s="19">
        <f t="shared" si="149"/>
        <v>10</v>
      </c>
      <c r="D4755" s="5" t="s">
        <v>1928</v>
      </c>
      <c r="E4755" s="5" t="s">
        <v>164</v>
      </c>
      <c r="F4755" s="5" t="s">
        <v>19</v>
      </c>
      <c r="G4755" s="5" t="s">
        <v>40</v>
      </c>
      <c r="H4755" s="5" t="s">
        <v>1672</v>
      </c>
      <c r="I4755" s="13">
        <v>144.15199999999999</v>
      </c>
      <c r="J4755" s="19">
        <v>2</v>
      </c>
      <c r="K4755" s="14">
        <v>1.1970000000000001</v>
      </c>
    </row>
    <row r="4756" spans="1:11" x14ac:dyDescent="0.25">
      <c r="A4756" s="2">
        <v>44110</v>
      </c>
      <c r="B4756" s="18">
        <f t="shared" si="148"/>
        <v>2020</v>
      </c>
      <c r="C4756" s="18">
        <f t="shared" si="149"/>
        <v>10</v>
      </c>
      <c r="D4756" s="3" t="s">
        <v>431</v>
      </c>
      <c r="E4756" s="3" t="s">
        <v>94</v>
      </c>
      <c r="F4756" s="3" t="s">
        <v>19</v>
      </c>
      <c r="G4756" s="3" t="s">
        <v>53</v>
      </c>
      <c r="H4756" s="3" t="s">
        <v>99</v>
      </c>
      <c r="I4756" s="11">
        <v>125.99</v>
      </c>
      <c r="J4756" s="18">
        <v>1</v>
      </c>
      <c r="K4756" s="12">
        <v>20.085100000000001</v>
      </c>
    </row>
    <row r="4757" spans="1:11" x14ac:dyDescent="0.25">
      <c r="A4757" s="4">
        <v>44110</v>
      </c>
      <c r="B4757" s="19">
        <f t="shared" si="148"/>
        <v>2020</v>
      </c>
      <c r="C4757" s="19">
        <f t="shared" si="149"/>
        <v>10</v>
      </c>
      <c r="D4757" s="5" t="s">
        <v>1161</v>
      </c>
      <c r="E4757" s="5" t="s">
        <v>499</v>
      </c>
      <c r="F4757" s="5" t="s">
        <v>19</v>
      </c>
      <c r="G4757" s="5" t="s">
        <v>53</v>
      </c>
      <c r="H4757" s="5" t="s">
        <v>509</v>
      </c>
      <c r="I4757" s="13">
        <v>120.94</v>
      </c>
      <c r="J4757" s="19">
        <v>2</v>
      </c>
      <c r="K4757" s="14">
        <v>18.211200000000002</v>
      </c>
    </row>
    <row r="4758" spans="1:11" x14ac:dyDescent="0.25">
      <c r="A4758" s="2">
        <v>44111</v>
      </c>
      <c r="B4758" s="18">
        <f t="shared" si="148"/>
        <v>2020</v>
      </c>
      <c r="C4758" s="18">
        <f t="shared" si="149"/>
        <v>10</v>
      </c>
      <c r="D4758" s="3" t="s">
        <v>495</v>
      </c>
      <c r="E4758" s="3" t="s">
        <v>365</v>
      </c>
      <c r="F4758" s="3" t="s">
        <v>19</v>
      </c>
      <c r="G4758" s="3" t="s">
        <v>20</v>
      </c>
      <c r="H4758" s="3" t="s">
        <v>1126</v>
      </c>
      <c r="I4758" s="11">
        <v>103.52</v>
      </c>
      <c r="J4758" s="18">
        <v>2</v>
      </c>
      <c r="K4758" s="12">
        <v>22.235199999999999</v>
      </c>
    </row>
    <row r="4759" spans="1:11" x14ac:dyDescent="0.25">
      <c r="A4759" s="4">
        <v>44111</v>
      </c>
      <c r="B4759" s="19">
        <f t="shared" si="148"/>
        <v>2020</v>
      </c>
      <c r="C4759" s="19">
        <f t="shared" si="149"/>
        <v>10</v>
      </c>
      <c r="D4759" s="5" t="s">
        <v>2394</v>
      </c>
      <c r="E4759" s="5" t="s">
        <v>18</v>
      </c>
      <c r="F4759" s="5" t="s">
        <v>14</v>
      </c>
      <c r="G4759" s="5" t="s">
        <v>15</v>
      </c>
      <c r="H4759" s="5" t="s">
        <v>2364</v>
      </c>
      <c r="I4759" s="13">
        <v>119.92</v>
      </c>
      <c r="J4759" s="19">
        <v>10</v>
      </c>
      <c r="K4759" s="14">
        <v>26.972999999999999</v>
      </c>
    </row>
    <row r="4760" spans="1:11" x14ac:dyDescent="0.25">
      <c r="A4760" s="2">
        <v>44111</v>
      </c>
      <c r="B4760" s="18">
        <f t="shared" si="148"/>
        <v>2020</v>
      </c>
      <c r="C4760" s="18">
        <f t="shared" si="149"/>
        <v>10</v>
      </c>
      <c r="D4760" s="3" t="s">
        <v>2394</v>
      </c>
      <c r="E4760" s="3" t="s">
        <v>18</v>
      </c>
      <c r="F4760" s="3" t="s">
        <v>14</v>
      </c>
      <c r="G4760" s="3" t="s">
        <v>15</v>
      </c>
      <c r="H4760" s="3" t="s">
        <v>879</v>
      </c>
      <c r="I4760" s="11">
        <v>151.744</v>
      </c>
      <c r="J4760" s="18">
        <v>7</v>
      </c>
      <c r="K4760" s="12">
        <v>-28.967400000000001</v>
      </c>
    </row>
    <row r="4761" spans="1:11" x14ac:dyDescent="0.25">
      <c r="A4761" s="4">
        <v>44111</v>
      </c>
      <c r="B4761" s="19">
        <f t="shared" si="148"/>
        <v>2020</v>
      </c>
      <c r="C4761" s="19">
        <f t="shared" si="149"/>
        <v>10</v>
      </c>
      <c r="D4761" s="5" t="s">
        <v>84</v>
      </c>
      <c r="E4761" s="5" t="s">
        <v>35</v>
      </c>
      <c r="F4761" s="5" t="s">
        <v>11</v>
      </c>
      <c r="G4761" s="5" t="s">
        <v>30</v>
      </c>
      <c r="H4761" s="5" t="s">
        <v>609</v>
      </c>
      <c r="I4761" s="13">
        <v>200.76400000000001</v>
      </c>
      <c r="J4761" s="19">
        <v>3</v>
      </c>
      <c r="K4761" s="14">
        <v>-36.111600000000003</v>
      </c>
    </row>
    <row r="4762" spans="1:11" x14ac:dyDescent="0.25">
      <c r="A4762" s="2">
        <v>44111</v>
      </c>
      <c r="B4762" s="18">
        <f t="shared" si="148"/>
        <v>2020</v>
      </c>
      <c r="C4762" s="18">
        <f t="shared" si="149"/>
        <v>10</v>
      </c>
      <c r="D4762" s="3" t="s">
        <v>84</v>
      </c>
      <c r="E4762" s="3" t="s">
        <v>35</v>
      </c>
      <c r="F4762" s="3" t="s">
        <v>14</v>
      </c>
      <c r="G4762" s="3" t="s">
        <v>15</v>
      </c>
      <c r="H4762" s="3" t="s">
        <v>2138</v>
      </c>
      <c r="I4762" s="11">
        <v>235.38399999999999</v>
      </c>
      <c r="J4762" s="18">
        <v>2</v>
      </c>
      <c r="K4762" s="12">
        <v>16.678799999999999</v>
      </c>
    </row>
    <row r="4763" spans="1:11" x14ac:dyDescent="0.25">
      <c r="A4763" s="4">
        <v>44111</v>
      </c>
      <c r="B4763" s="19">
        <f t="shared" si="148"/>
        <v>2020</v>
      </c>
      <c r="C4763" s="19">
        <f t="shared" si="149"/>
        <v>10</v>
      </c>
      <c r="D4763" s="5" t="s">
        <v>1823</v>
      </c>
      <c r="E4763" s="5" t="s">
        <v>18</v>
      </c>
      <c r="F4763" s="5" t="s">
        <v>11</v>
      </c>
      <c r="G4763" s="5" t="s">
        <v>12</v>
      </c>
      <c r="H4763" s="5" t="s">
        <v>2498</v>
      </c>
      <c r="I4763" s="13">
        <v>350.666</v>
      </c>
      <c r="J4763" s="19">
        <v>2</v>
      </c>
      <c r="K4763" s="14">
        <v>-14.478400000000001</v>
      </c>
    </row>
    <row r="4764" spans="1:11" x14ac:dyDescent="0.25">
      <c r="A4764" s="2">
        <v>44111</v>
      </c>
      <c r="B4764" s="18">
        <f t="shared" si="148"/>
        <v>2020</v>
      </c>
      <c r="C4764" s="18">
        <f t="shared" si="149"/>
        <v>10</v>
      </c>
      <c r="D4764" s="3" t="s">
        <v>84</v>
      </c>
      <c r="E4764" s="3" t="s">
        <v>35</v>
      </c>
      <c r="F4764" s="3" t="s">
        <v>19</v>
      </c>
      <c r="G4764" s="3" t="s">
        <v>20</v>
      </c>
      <c r="H4764" s="3" t="s">
        <v>303</v>
      </c>
      <c r="I4764" s="11">
        <v>600.67200000000003</v>
      </c>
      <c r="J4764" s="18">
        <v>4</v>
      </c>
      <c r="K4764" s="12">
        <v>65.325599999999994</v>
      </c>
    </row>
    <row r="4765" spans="1:11" x14ac:dyDescent="0.25">
      <c r="A4765" s="4">
        <v>44111</v>
      </c>
      <c r="B4765" s="19">
        <f t="shared" si="148"/>
        <v>2020</v>
      </c>
      <c r="C4765" s="19">
        <f t="shared" si="149"/>
        <v>10</v>
      </c>
      <c r="D4765" s="5" t="s">
        <v>2394</v>
      </c>
      <c r="E4765" s="5" t="s">
        <v>18</v>
      </c>
      <c r="F4765" s="5" t="s">
        <v>14</v>
      </c>
      <c r="G4765" s="5" t="s">
        <v>24</v>
      </c>
      <c r="H4765" s="5" t="s">
        <v>107</v>
      </c>
      <c r="I4765" s="13">
        <v>1157.9100000000001</v>
      </c>
      <c r="J4765" s="19">
        <v>9</v>
      </c>
      <c r="K4765" s="14">
        <v>200.8638</v>
      </c>
    </row>
    <row r="4766" spans="1:11" x14ac:dyDescent="0.25">
      <c r="A4766" s="2">
        <v>44111</v>
      </c>
      <c r="B4766" s="18">
        <f t="shared" si="148"/>
        <v>2020</v>
      </c>
      <c r="C4766" s="18">
        <f t="shared" si="149"/>
        <v>10</v>
      </c>
      <c r="D4766" s="3" t="s">
        <v>877</v>
      </c>
      <c r="E4766" s="3" t="s">
        <v>23</v>
      </c>
      <c r="F4766" s="3" t="s">
        <v>19</v>
      </c>
      <c r="G4766" s="3" t="s">
        <v>32</v>
      </c>
      <c r="H4766" s="3" t="s">
        <v>1600</v>
      </c>
      <c r="I4766" s="11">
        <v>129.24</v>
      </c>
      <c r="J4766" s="18">
        <v>5</v>
      </c>
      <c r="K4766" s="12">
        <v>-6.36</v>
      </c>
    </row>
    <row r="4767" spans="1:11" x14ac:dyDescent="0.25">
      <c r="A4767" s="4">
        <v>44111</v>
      </c>
      <c r="B4767" s="19">
        <f t="shared" si="148"/>
        <v>2020</v>
      </c>
      <c r="C4767" s="19">
        <f t="shared" si="149"/>
        <v>10</v>
      </c>
      <c r="D4767" s="5" t="s">
        <v>84</v>
      </c>
      <c r="E4767" s="5" t="s">
        <v>35</v>
      </c>
      <c r="F4767" s="5" t="s">
        <v>19</v>
      </c>
      <c r="G4767" s="5" t="s">
        <v>32</v>
      </c>
      <c r="H4767" s="5" t="s">
        <v>686</v>
      </c>
      <c r="I4767" s="13">
        <v>138.45400000000001</v>
      </c>
      <c r="J4767" s="19">
        <v>6</v>
      </c>
      <c r="K4767" s="14">
        <v>-33.636000000000003</v>
      </c>
    </row>
    <row r="4768" spans="1:11" x14ac:dyDescent="0.25">
      <c r="A4768" s="2">
        <v>44111</v>
      </c>
      <c r="B4768" s="18">
        <f t="shared" si="148"/>
        <v>2020</v>
      </c>
      <c r="C4768" s="18">
        <f t="shared" si="149"/>
        <v>10</v>
      </c>
      <c r="D4768" s="3" t="s">
        <v>84</v>
      </c>
      <c r="E4768" s="3" t="s">
        <v>35</v>
      </c>
      <c r="F4768" s="3" t="s">
        <v>19</v>
      </c>
      <c r="G4768" s="3" t="s">
        <v>116</v>
      </c>
      <c r="H4768" s="3" t="s">
        <v>301</v>
      </c>
      <c r="I4768" s="11">
        <v>140.93600000000001</v>
      </c>
      <c r="J4768" s="18">
        <v>3</v>
      </c>
      <c r="K4768" s="12">
        <v>5.9175000000000004</v>
      </c>
    </row>
    <row r="4769" spans="1:11" x14ac:dyDescent="0.25">
      <c r="A4769" s="4">
        <v>44112</v>
      </c>
      <c r="B4769" s="19">
        <f t="shared" si="148"/>
        <v>2020</v>
      </c>
      <c r="C4769" s="19">
        <f t="shared" si="149"/>
        <v>10</v>
      </c>
      <c r="D4769" s="5" t="s">
        <v>1140</v>
      </c>
      <c r="E4769" s="5" t="s">
        <v>18</v>
      </c>
      <c r="F4769" s="5" t="s">
        <v>14</v>
      </c>
      <c r="G4769" s="5" t="s">
        <v>15</v>
      </c>
      <c r="H4769" s="5" t="s">
        <v>891</v>
      </c>
      <c r="I4769" s="13">
        <v>129.19200000000001</v>
      </c>
      <c r="J4769" s="19">
        <v>1</v>
      </c>
      <c r="K4769" s="14">
        <v>11.6091</v>
      </c>
    </row>
    <row r="4770" spans="1:11" x14ac:dyDescent="0.25">
      <c r="A4770" s="2">
        <v>44112</v>
      </c>
      <c r="B4770" s="18">
        <f t="shared" si="148"/>
        <v>2020</v>
      </c>
      <c r="C4770" s="18">
        <f t="shared" si="149"/>
        <v>10</v>
      </c>
      <c r="D4770" s="3" t="s">
        <v>1967</v>
      </c>
      <c r="E4770" s="3" t="s">
        <v>94</v>
      </c>
      <c r="F4770" s="3" t="s">
        <v>11</v>
      </c>
      <c r="G4770" s="3" t="s">
        <v>112</v>
      </c>
      <c r="H4770" s="3" t="s">
        <v>1497</v>
      </c>
      <c r="I4770" s="11">
        <v>184.76400000000001</v>
      </c>
      <c r="J4770" s="18">
        <v>2</v>
      </c>
      <c r="K4770" s="12">
        <v>3.2391999999999999</v>
      </c>
    </row>
    <row r="4771" spans="1:11" x14ac:dyDescent="0.25">
      <c r="A4771" s="4">
        <v>44112</v>
      </c>
      <c r="B4771" s="19">
        <f t="shared" si="148"/>
        <v>2020</v>
      </c>
      <c r="C4771" s="19">
        <f t="shared" si="149"/>
        <v>10</v>
      </c>
      <c r="D4771" s="5" t="s">
        <v>1140</v>
      </c>
      <c r="E4771" s="5" t="s">
        <v>18</v>
      </c>
      <c r="F4771" s="5" t="s">
        <v>14</v>
      </c>
      <c r="G4771" s="5" t="s">
        <v>24</v>
      </c>
      <c r="H4771" s="5" t="s">
        <v>1337</v>
      </c>
      <c r="I4771" s="13">
        <v>269.95999999999998</v>
      </c>
      <c r="J4771" s="19">
        <v>4</v>
      </c>
      <c r="K4771" s="14">
        <v>115.1808</v>
      </c>
    </row>
    <row r="4772" spans="1:11" x14ac:dyDescent="0.25">
      <c r="A4772" s="2">
        <v>44112</v>
      </c>
      <c r="B4772" s="18">
        <f t="shared" si="148"/>
        <v>2020</v>
      </c>
      <c r="C4772" s="18">
        <f t="shared" si="149"/>
        <v>10</v>
      </c>
      <c r="D4772" s="3" t="s">
        <v>1140</v>
      </c>
      <c r="E4772" s="3" t="s">
        <v>18</v>
      </c>
      <c r="F4772" s="3" t="s">
        <v>14</v>
      </c>
      <c r="G4772" s="3" t="s">
        <v>24</v>
      </c>
      <c r="H4772" s="3" t="s">
        <v>1803</v>
      </c>
      <c r="I4772" s="11">
        <v>126</v>
      </c>
      <c r="J4772" s="18">
        <v>2</v>
      </c>
      <c r="K4772" s="12">
        <v>6.48</v>
      </c>
    </row>
    <row r="4773" spans="1:11" x14ac:dyDescent="0.25">
      <c r="A4773" s="4">
        <v>44112</v>
      </c>
      <c r="B4773" s="19">
        <f t="shared" si="148"/>
        <v>2020</v>
      </c>
      <c r="C4773" s="19">
        <f t="shared" si="149"/>
        <v>10</v>
      </c>
      <c r="D4773" s="5" t="s">
        <v>1924</v>
      </c>
      <c r="E4773" s="5" t="s">
        <v>883</v>
      </c>
      <c r="F4773" s="5" t="s">
        <v>19</v>
      </c>
      <c r="G4773" s="5" t="s">
        <v>20</v>
      </c>
      <c r="H4773" s="5" t="s">
        <v>1126</v>
      </c>
      <c r="I4773" s="13">
        <v>154.76</v>
      </c>
      <c r="J4773" s="19">
        <v>1</v>
      </c>
      <c r="K4773" s="14">
        <v>11.117599999999999</v>
      </c>
    </row>
    <row r="4774" spans="1:11" x14ac:dyDescent="0.25">
      <c r="A4774" s="2">
        <v>44112</v>
      </c>
      <c r="B4774" s="18">
        <f t="shared" si="148"/>
        <v>2020</v>
      </c>
      <c r="C4774" s="18">
        <f t="shared" si="149"/>
        <v>10</v>
      </c>
      <c r="D4774" s="3" t="s">
        <v>1140</v>
      </c>
      <c r="E4774" s="3" t="s">
        <v>18</v>
      </c>
      <c r="F4774" s="3" t="s">
        <v>19</v>
      </c>
      <c r="G4774" s="3" t="s">
        <v>20</v>
      </c>
      <c r="H4774" s="3" t="s">
        <v>1945</v>
      </c>
      <c r="I4774" s="11">
        <v>163.68</v>
      </c>
      <c r="J4774" s="18">
        <v>2</v>
      </c>
      <c r="K4774" s="12">
        <v>0.40679999999999999</v>
      </c>
    </row>
    <row r="4775" spans="1:11" x14ac:dyDescent="0.25">
      <c r="A4775" s="4">
        <v>44113</v>
      </c>
      <c r="B4775" s="19">
        <f t="shared" si="148"/>
        <v>2020</v>
      </c>
      <c r="C4775" s="19">
        <f t="shared" si="149"/>
        <v>10</v>
      </c>
      <c r="D4775" s="5" t="s">
        <v>1864</v>
      </c>
      <c r="E4775" s="5" t="s">
        <v>23</v>
      </c>
      <c r="F4775" s="5" t="s">
        <v>11</v>
      </c>
      <c r="G4775" s="5" t="s">
        <v>112</v>
      </c>
      <c r="H4775" s="5" t="s">
        <v>260</v>
      </c>
      <c r="I4775" s="13">
        <v>272.05799999999999</v>
      </c>
      <c r="J4775" s="19">
        <v>3</v>
      </c>
      <c r="K4775" s="14">
        <v>-32.6646</v>
      </c>
    </row>
    <row r="4776" spans="1:11" x14ac:dyDescent="0.25">
      <c r="A4776" s="2">
        <v>44113</v>
      </c>
      <c r="B4776" s="18">
        <f t="shared" si="148"/>
        <v>2020</v>
      </c>
      <c r="C4776" s="18">
        <f t="shared" si="149"/>
        <v>10</v>
      </c>
      <c r="D4776" s="3" t="s">
        <v>2188</v>
      </c>
      <c r="E4776" s="3" t="s">
        <v>94</v>
      </c>
      <c r="F4776" s="3" t="s">
        <v>11</v>
      </c>
      <c r="G4776" s="3" t="s">
        <v>12</v>
      </c>
      <c r="H4776" s="3" t="s">
        <v>1670</v>
      </c>
      <c r="I4776" s="11">
        <v>351.35199999999998</v>
      </c>
      <c r="J4776" s="18">
        <v>3</v>
      </c>
      <c r="K4776" s="12">
        <v>-15.717599999999999</v>
      </c>
    </row>
    <row r="4777" spans="1:11" x14ac:dyDescent="0.25">
      <c r="A4777" s="4">
        <v>44113</v>
      </c>
      <c r="B4777" s="19">
        <f t="shared" si="148"/>
        <v>2020</v>
      </c>
      <c r="C4777" s="19">
        <f t="shared" si="149"/>
        <v>10</v>
      </c>
      <c r="D4777" s="5" t="s">
        <v>180</v>
      </c>
      <c r="E4777" s="5" t="s">
        <v>164</v>
      </c>
      <c r="F4777" s="5" t="s">
        <v>11</v>
      </c>
      <c r="G4777" s="5" t="s">
        <v>30</v>
      </c>
      <c r="H4777" s="5" t="s">
        <v>1932</v>
      </c>
      <c r="I4777" s="13">
        <v>690.45</v>
      </c>
      <c r="J4777" s="19">
        <v>5</v>
      </c>
      <c r="K4777" s="14">
        <v>-430.61700000000002</v>
      </c>
    </row>
    <row r="4778" spans="1:11" x14ac:dyDescent="0.25">
      <c r="A4778" s="2">
        <v>44113</v>
      </c>
      <c r="B4778" s="18">
        <f t="shared" si="148"/>
        <v>2020</v>
      </c>
      <c r="C4778" s="18">
        <f t="shared" si="149"/>
        <v>10</v>
      </c>
      <c r="D4778" s="3" t="s">
        <v>1800</v>
      </c>
      <c r="E4778" s="3" t="s">
        <v>35</v>
      </c>
      <c r="F4778" s="3" t="s">
        <v>19</v>
      </c>
      <c r="G4778" s="3" t="s">
        <v>53</v>
      </c>
      <c r="H4778" s="3" t="s">
        <v>2441</v>
      </c>
      <c r="I4778" s="11">
        <v>111.816</v>
      </c>
      <c r="J4778" s="18">
        <v>4</v>
      </c>
      <c r="K4778" s="12">
        <v>3.5152000000000001</v>
      </c>
    </row>
    <row r="4779" spans="1:11" x14ac:dyDescent="0.25">
      <c r="A4779" s="4">
        <v>44113</v>
      </c>
      <c r="B4779" s="19">
        <f t="shared" si="148"/>
        <v>2020</v>
      </c>
      <c r="C4779" s="19">
        <f t="shared" si="149"/>
        <v>10</v>
      </c>
      <c r="D4779" s="5" t="s">
        <v>2188</v>
      </c>
      <c r="E4779" s="5" t="s">
        <v>94</v>
      </c>
      <c r="F4779" s="5" t="s">
        <v>19</v>
      </c>
      <c r="G4779" s="5" t="s">
        <v>53</v>
      </c>
      <c r="H4779" s="5" t="s">
        <v>2499</v>
      </c>
      <c r="I4779" s="13">
        <v>122.98</v>
      </c>
      <c r="J4779" s="19">
        <v>2</v>
      </c>
      <c r="K4779" s="14">
        <v>8.9206000000000003</v>
      </c>
    </row>
    <row r="4780" spans="1:11" x14ac:dyDescent="0.25">
      <c r="A4780" s="2">
        <v>44113</v>
      </c>
      <c r="B4780" s="18">
        <f t="shared" si="148"/>
        <v>2020</v>
      </c>
      <c r="C4780" s="18">
        <f t="shared" si="149"/>
        <v>10</v>
      </c>
      <c r="D4780" s="3" t="s">
        <v>2188</v>
      </c>
      <c r="E4780" s="3" t="s">
        <v>94</v>
      </c>
      <c r="F4780" s="3" t="s">
        <v>19</v>
      </c>
      <c r="G4780" s="3" t="s">
        <v>32</v>
      </c>
      <c r="H4780" s="3" t="s">
        <v>1208</v>
      </c>
      <c r="I4780" s="11">
        <v>125.816</v>
      </c>
      <c r="J4780" s="18">
        <v>3</v>
      </c>
      <c r="K4780" s="12">
        <v>4.3254000000000001</v>
      </c>
    </row>
    <row r="4781" spans="1:11" x14ac:dyDescent="0.25">
      <c r="A4781" s="4">
        <v>44113</v>
      </c>
      <c r="B4781" s="19">
        <f t="shared" si="148"/>
        <v>2020</v>
      </c>
      <c r="C4781" s="19">
        <f t="shared" si="149"/>
        <v>10</v>
      </c>
      <c r="D4781" s="5" t="s">
        <v>2188</v>
      </c>
      <c r="E4781" s="5" t="s">
        <v>94</v>
      </c>
      <c r="F4781" s="5" t="s">
        <v>19</v>
      </c>
      <c r="G4781" s="5" t="s">
        <v>32</v>
      </c>
      <c r="H4781" s="5" t="s">
        <v>2500</v>
      </c>
      <c r="I4781" s="13">
        <v>144.24</v>
      </c>
      <c r="J4781" s="19">
        <v>6</v>
      </c>
      <c r="K4781" s="14">
        <v>6.1559999999999997</v>
      </c>
    </row>
    <row r="4782" spans="1:11" x14ac:dyDescent="0.25">
      <c r="A4782" s="2">
        <v>44113</v>
      </c>
      <c r="B4782" s="18">
        <f t="shared" si="148"/>
        <v>2020</v>
      </c>
      <c r="C4782" s="18">
        <f t="shared" si="149"/>
        <v>10</v>
      </c>
      <c r="D4782" s="3" t="s">
        <v>1428</v>
      </c>
      <c r="E4782" s="3" t="s">
        <v>18</v>
      </c>
      <c r="F4782" s="3" t="s">
        <v>19</v>
      </c>
      <c r="G4782" s="3" t="s">
        <v>53</v>
      </c>
      <c r="H4782" s="3" t="s">
        <v>1092</v>
      </c>
      <c r="I4782" s="11">
        <v>136.19999999999999</v>
      </c>
      <c r="J4782" s="18">
        <v>5</v>
      </c>
      <c r="K4782" s="12">
        <v>16.544</v>
      </c>
    </row>
    <row r="4783" spans="1:11" x14ac:dyDescent="0.25">
      <c r="A4783" s="4">
        <v>44113</v>
      </c>
      <c r="B4783" s="19">
        <f t="shared" si="148"/>
        <v>2020</v>
      </c>
      <c r="C4783" s="19">
        <f t="shared" si="149"/>
        <v>10</v>
      </c>
      <c r="D4783" s="5" t="s">
        <v>518</v>
      </c>
      <c r="E4783" s="5" t="s">
        <v>67</v>
      </c>
      <c r="F4783" s="5" t="s">
        <v>11</v>
      </c>
      <c r="G4783" s="5" t="s">
        <v>51</v>
      </c>
      <c r="H4783" s="5" t="s">
        <v>2493</v>
      </c>
      <c r="I4783" s="13">
        <v>140.88800000000001</v>
      </c>
      <c r="J4783" s="19">
        <v>4</v>
      </c>
      <c r="K4783" s="14">
        <v>9.1776</v>
      </c>
    </row>
    <row r="4784" spans="1:11" x14ac:dyDescent="0.25">
      <c r="A4784" s="2">
        <v>44113</v>
      </c>
      <c r="B4784" s="18">
        <f t="shared" si="148"/>
        <v>2020</v>
      </c>
      <c r="C4784" s="18">
        <f t="shared" si="149"/>
        <v>10</v>
      </c>
      <c r="D4784" s="3" t="s">
        <v>1864</v>
      </c>
      <c r="E4784" s="3" t="s">
        <v>23</v>
      </c>
      <c r="F4784" s="3" t="s">
        <v>19</v>
      </c>
      <c r="G4784" s="3" t="s">
        <v>40</v>
      </c>
      <c r="H4784" s="3" t="s">
        <v>1150</v>
      </c>
      <c r="I4784" s="11">
        <v>181.14400000000001</v>
      </c>
      <c r="J4784" s="18">
        <v>7</v>
      </c>
      <c r="K4784" s="12">
        <v>5.8750999999999998</v>
      </c>
    </row>
    <row r="4785" spans="1:11" x14ac:dyDescent="0.25">
      <c r="A4785" s="4">
        <v>44113</v>
      </c>
      <c r="B4785" s="19">
        <f t="shared" si="148"/>
        <v>2020</v>
      </c>
      <c r="C4785" s="19">
        <f t="shared" si="149"/>
        <v>10</v>
      </c>
      <c r="D4785" s="5" t="s">
        <v>180</v>
      </c>
      <c r="E4785" s="5" t="s">
        <v>164</v>
      </c>
      <c r="F4785" s="5" t="s">
        <v>11</v>
      </c>
      <c r="G4785" s="5" t="s">
        <v>30</v>
      </c>
      <c r="H4785" s="5" t="s">
        <v>778</v>
      </c>
      <c r="I4785" s="13">
        <v>157.64500000000001</v>
      </c>
      <c r="J4785" s="19">
        <v>3</v>
      </c>
      <c r="K4785" s="14">
        <v>-42.652799999999999</v>
      </c>
    </row>
    <row r="4786" spans="1:11" x14ac:dyDescent="0.25">
      <c r="A4786" s="2">
        <v>44114</v>
      </c>
      <c r="B4786" s="18">
        <f t="shared" si="148"/>
        <v>2020</v>
      </c>
      <c r="C4786" s="18">
        <f t="shared" si="149"/>
        <v>10</v>
      </c>
      <c r="D4786" s="3" t="s">
        <v>401</v>
      </c>
      <c r="E4786" s="3" t="s">
        <v>164</v>
      </c>
      <c r="F4786" s="3" t="s">
        <v>11</v>
      </c>
      <c r="G4786" s="3" t="s">
        <v>112</v>
      </c>
      <c r="H4786" s="3" t="s">
        <v>255</v>
      </c>
      <c r="I4786" s="11">
        <v>249.358</v>
      </c>
      <c r="J4786" s="18">
        <v>3</v>
      </c>
      <c r="K4786" s="12">
        <v>-47.871600000000001</v>
      </c>
    </row>
    <row r="4787" spans="1:11" x14ac:dyDescent="0.25">
      <c r="A4787" s="4">
        <v>44116</v>
      </c>
      <c r="B4787" s="19">
        <f t="shared" si="148"/>
        <v>2020</v>
      </c>
      <c r="C4787" s="19">
        <f t="shared" si="149"/>
        <v>10</v>
      </c>
      <c r="D4787" s="5" t="s">
        <v>2196</v>
      </c>
      <c r="E4787" s="5" t="s">
        <v>1868</v>
      </c>
      <c r="F4787" s="5" t="s">
        <v>19</v>
      </c>
      <c r="G4787" s="5" t="s">
        <v>32</v>
      </c>
      <c r="H4787" s="5" t="s">
        <v>1059</v>
      </c>
      <c r="I4787" s="13">
        <v>105.872</v>
      </c>
      <c r="J4787" s="19">
        <v>3</v>
      </c>
      <c r="K4787" s="14">
        <v>29.952000000000002</v>
      </c>
    </row>
    <row r="4788" spans="1:11" x14ac:dyDescent="0.25">
      <c r="A4788" s="2">
        <v>44116</v>
      </c>
      <c r="B4788" s="18">
        <f t="shared" si="148"/>
        <v>2020</v>
      </c>
      <c r="C4788" s="18">
        <f t="shared" si="149"/>
        <v>10</v>
      </c>
      <c r="D4788" s="3" t="s">
        <v>1248</v>
      </c>
      <c r="E4788" s="3" t="s">
        <v>18</v>
      </c>
      <c r="F4788" s="3" t="s">
        <v>19</v>
      </c>
      <c r="G4788" s="3" t="s">
        <v>32</v>
      </c>
      <c r="H4788" s="3" t="s">
        <v>1768</v>
      </c>
      <c r="I4788" s="11">
        <v>123.84</v>
      </c>
      <c r="J4788" s="18">
        <v>5</v>
      </c>
      <c r="K4788" s="12">
        <v>36.917000000000002</v>
      </c>
    </row>
    <row r="4789" spans="1:11" x14ac:dyDescent="0.25">
      <c r="A4789" s="4">
        <v>44116</v>
      </c>
      <c r="B4789" s="19">
        <f t="shared" si="148"/>
        <v>2020</v>
      </c>
      <c r="C4789" s="19">
        <f t="shared" si="149"/>
        <v>10</v>
      </c>
      <c r="D4789" s="5" t="s">
        <v>843</v>
      </c>
      <c r="E4789" s="5" t="s">
        <v>164</v>
      </c>
      <c r="F4789" s="5" t="s">
        <v>11</v>
      </c>
      <c r="G4789" s="5" t="s">
        <v>112</v>
      </c>
      <c r="H4789" s="5" t="s">
        <v>731</v>
      </c>
      <c r="I4789" s="13">
        <v>271.60399999999998</v>
      </c>
      <c r="J4789" s="19">
        <v>14</v>
      </c>
      <c r="K4789" s="14">
        <v>-18.186</v>
      </c>
    </row>
    <row r="4790" spans="1:11" x14ac:dyDescent="0.25">
      <c r="A4790" s="2">
        <v>44116</v>
      </c>
      <c r="B4790" s="18">
        <f t="shared" si="148"/>
        <v>2020</v>
      </c>
      <c r="C4790" s="18">
        <f t="shared" si="149"/>
        <v>10</v>
      </c>
      <c r="D4790" s="3" t="s">
        <v>1909</v>
      </c>
      <c r="E4790" s="3" t="s">
        <v>23</v>
      </c>
      <c r="F4790" s="3" t="s">
        <v>14</v>
      </c>
      <c r="G4790" s="3" t="s">
        <v>15</v>
      </c>
      <c r="H4790" s="3" t="s">
        <v>1584</v>
      </c>
      <c r="I4790" s="11">
        <v>403.54399999999998</v>
      </c>
      <c r="J4790" s="18">
        <v>7</v>
      </c>
      <c r="K4790" s="12">
        <v>27.715800000000002</v>
      </c>
    </row>
    <row r="4791" spans="1:11" x14ac:dyDescent="0.25">
      <c r="A4791" s="4">
        <v>44116</v>
      </c>
      <c r="B4791" s="19">
        <f t="shared" si="148"/>
        <v>2020</v>
      </c>
      <c r="C4791" s="19">
        <f t="shared" si="149"/>
        <v>10</v>
      </c>
      <c r="D4791" s="5" t="s">
        <v>949</v>
      </c>
      <c r="E4791" s="5" t="s">
        <v>18</v>
      </c>
      <c r="F4791" s="5" t="s">
        <v>14</v>
      </c>
      <c r="G4791" s="5" t="s">
        <v>24</v>
      </c>
      <c r="H4791" s="5" t="s">
        <v>804</v>
      </c>
      <c r="I4791" s="13">
        <v>461.84</v>
      </c>
      <c r="J4791" s="19">
        <v>12</v>
      </c>
      <c r="K4791" s="14">
        <v>130.75200000000001</v>
      </c>
    </row>
    <row r="4792" spans="1:11" x14ac:dyDescent="0.25">
      <c r="A4792" s="2">
        <v>44116</v>
      </c>
      <c r="B4792" s="18">
        <f t="shared" si="148"/>
        <v>2020</v>
      </c>
      <c r="C4792" s="18">
        <f t="shared" si="149"/>
        <v>10</v>
      </c>
      <c r="D4792" s="3" t="s">
        <v>2196</v>
      </c>
      <c r="E4792" s="3" t="s">
        <v>1868</v>
      </c>
      <c r="F4792" s="3" t="s">
        <v>14</v>
      </c>
      <c r="G4792" s="3" t="s">
        <v>24</v>
      </c>
      <c r="H4792" s="3" t="s">
        <v>1406</v>
      </c>
      <c r="I4792" s="11">
        <v>645</v>
      </c>
      <c r="J4792" s="18">
        <v>5</v>
      </c>
      <c r="K4792" s="12">
        <v>95.2</v>
      </c>
    </row>
    <row r="4793" spans="1:11" x14ac:dyDescent="0.25">
      <c r="A4793" s="4">
        <v>44116</v>
      </c>
      <c r="B4793" s="19">
        <f t="shared" si="148"/>
        <v>2020</v>
      </c>
      <c r="C4793" s="19">
        <f t="shared" si="149"/>
        <v>10</v>
      </c>
      <c r="D4793" s="5" t="s">
        <v>1382</v>
      </c>
      <c r="E4793" s="5" t="s">
        <v>2349</v>
      </c>
      <c r="F4793" s="5" t="s">
        <v>11</v>
      </c>
      <c r="G4793" s="5" t="s">
        <v>30</v>
      </c>
      <c r="H4793" s="5" t="s">
        <v>1341</v>
      </c>
      <c r="I4793" s="13">
        <v>699.34400000000005</v>
      </c>
      <c r="J4793" s="19">
        <v>3</v>
      </c>
      <c r="K4793" s="14">
        <v>-76.953599999999994</v>
      </c>
    </row>
    <row r="4794" spans="1:11" x14ac:dyDescent="0.25">
      <c r="A4794" s="2">
        <v>44116</v>
      </c>
      <c r="B4794" s="18">
        <f t="shared" si="148"/>
        <v>2020</v>
      </c>
      <c r="C4794" s="18">
        <f t="shared" si="149"/>
        <v>10</v>
      </c>
      <c r="D4794" s="3" t="s">
        <v>1909</v>
      </c>
      <c r="E4794" s="3" t="s">
        <v>23</v>
      </c>
      <c r="F4794" s="3" t="s">
        <v>14</v>
      </c>
      <c r="G4794" s="3" t="s">
        <v>24</v>
      </c>
      <c r="H4794" s="3" t="s">
        <v>954</v>
      </c>
      <c r="I4794" s="11">
        <v>802.88</v>
      </c>
      <c r="J4794" s="18">
        <v>3</v>
      </c>
      <c r="K4794" s="12">
        <v>128.68049999999999</v>
      </c>
    </row>
    <row r="4795" spans="1:11" x14ac:dyDescent="0.25">
      <c r="A4795" s="4">
        <v>44116</v>
      </c>
      <c r="B4795" s="19">
        <f t="shared" si="148"/>
        <v>2020</v>
      </c>
      <c r="C4795" s="19">
        <f t="shared" si="149"/>
        <v>10</v>
      </c>
      <c r="D4795" s="5" t="s">
        <v>1246</v>
      </c>
      <c r="E4795" s="5" t="s">
        <v>85</v>
      </c>
      <c r="F4795" s="5" t="s">
        <v>11</v>
      </c>
      <c r="G4795" s="5" t="s">
        <v>12</v>
      </c>
      <c r="H4795" s="5" t="s">
        <v>2469</v>
      </c>
      <c r="I4795" s="13">
        <v>2185.9</v>
      </c>
      <c r="J4795" s="19">
        <v>5</v>
      </c>
      <c r="K4795" s="14">
        <v>129.29400000000001</v>
      </c>
    </row>
    <row r="4796" spans="1:11" x14ac:dyDescent="0.25">
      <c r="A4796" s="2">
        <v>44116</v>
      </c>
      <c r="B4796" s="18">
        <f t="shared" si="148"/>
        <v>2020</v>
      </c>
      <c r="C4796" s="18">
        <f t="shared" si="149"/>
        <v>10</v>
      </c>
      <c r="D4796" s="3" t="s">
        <v>1909</v>
      </c>
      <c r="E4796" s="3" t="s">
        <v>23</v>
      </c>
      <c r="F4796" s="3" t="s">
        <v>19</v>
      </c>
      <c r="G4796" s="3" t="s">
        <v>53</v>
      </c>
      <c r="H4796" s="3" t="s">
        <v>358</v>
      </c>
      <c r="I4796" s="11">
        <v>109.36799999999999</v>
      </c>
      <c r="J4796" s="18">
        <v>2</v>
      </c>
      <c r="K4796" s="12">
        <v>3.7584</v>
      </c>
    </row>
    <row r="4797" spans="1:11" x14ac:dyDescent="0.25">
      <c r="A4797" s="4">
        <v>44116</v>
      </c>
      <c r="B4797" s="19">
        <f t="shared" si="148"/>
        <v>2020</v>
      </c>
      <c r="C4797" s="19">
        <f t="shared" si="149"/>
        <v>10</v>
      </c>
      <c r="D4797" s="5" t="s">
        <v>1246</v>
      </c>
      <c r="E4797" s="5" t="s">
        <v>85</v>
      </c>
      <c r="F4797" s="5" t="s">
        <v>19</v>
      </c>
      <c r="G4797" s="5" t="s">
        <v>116</v>
      </c>
      <c r="H4797" s="5" t="s">
        <v>1789</v>
      </c>
      <c r="I4797" s="13">
        <v>128.9</v>
      </c>
      <c r="J4797" s="19">
        <v>5</v>
      </c>
      <c r="K4797" s="14">
        <v>8.7710000000000008</v>
      </c>
    </row>
    <row r="4798" spans="1:11" x14ac:dyDescent="0.25">
      <c r="A4798" s="2">
        <v>44116</v>
      </c>
      <c r="B4798" s="18">
        <f t="shared" si="148"/>
        <v>2020</v>
      </c>
      <c r="C4798" s="18">
        <f t="shared" si="149"/>
        <v>10</v>
      </c>
      <c r="D4798" s="3" t="s">
        <v>1248</v>
      </c>
      <c r="E4798" s="3" t="s">
        <v>18</v>
      </c>
      <c r="F4798" s="3" t="s">
        <v>14</v>
      </c>
      <c r="G4798" s="3" t="s">
        <v>24</v>
      </c>
      <c r="H4798" s="3" t="s">
        <v>2409</v>
      </c>
      <c r="I4798" s="11">
        <v>110.99</v>
      </c>
      <c r="J4798" s="18">
        <v>1</v>
      </c>
      <c r="K4798" s="12">
        <v>0.43559999999999999</v>
      </c>
    </row>
    <row r="4799" spans="1:11" x14ac:dyDescent="0.25">
      <c r="A4799" s="4">
        <v>44116</v>
      </c>
      <c r="B4799" s="19">
        <f t="shared" si="148"/>
        <v>2020</v>
      </c>
      <c r="C4799" s="19">
        <f t="shared" si="149"/>
        <v>10</v>
      </c>
      <c r="D4799" s="5" t="s">
        <v>2376</v>
      </c>
      <c r="E4799" s="5" t="s">
        <v>35</v>
      </c>
      <c r="F4799" s="5" t="s">
        <v>19</v>
      </c>
      <c r="G4799" s="5" t="s">
        <v>53</v>
      </c>
      <c r="H4799" s="5" t="s">
        <v>2501</v>
      </c>
      <c r="I4799" s="13">
        <v>117.968</v>
      </c>
      <c r="J4799" s="19">
        <v>2</v>
      </c>
      <c r="K4799" s="14">
        <v>2.6892</v>
      </c>
    </row>
    <row r="4800" spans="1:11" x14ac:dyDescent="0.25">
      <c r="A4800" s="2">
        <v>44116</v>
      </c>
      <c r="B4800" s="18">
        <f t="shared" si="148"/>
        <v>2020</v>
      </c>
      <c r="C4800" s="18">
        <f t="shared" si="149"/>
        <v>10</v>
      </c>
      <c r="D4800" s="3" t="s">
        <v>949</v>
      </c>
      <c r="E4800" s="3" t="s">
        <v>18</v>
      </c>
      <c r="F4800" s="3" t="s">
        <v>19</v>
      </c>
      <c r="G4800" s="3" t="s">
        <v>40</v>
      </c>
      <c r="H4800" s="3" t="s">
        <v>961</v>
      </c>
      <c r="I4800" s="11">
        <v>118.88</v>
      </c>
      <c r="J4800" s="18">
        <v>2</v>
      </c>
      <c r="K4800" s="12">
        <v>1.5875999999999999</v>
      </c>
    </row>
    <row r="4801" spans="1:11" x14ac:dyDescent="0.25">
      <c r="A4801" s="4">
        <v>44116</v>
      </c>
      <c r="B4801" s="19">
        <f t="shared" si="148"/>
        <v>2020</v>
      </c>
      <c r="C4801" s="19">
        <f t="shared" si="149"/>
        <v>10</v>
      </c>
      <c r="D4801" s="5" t="s">
        <v>1246</v>
      </c>
      <c r="E4801" s="5" t="s">
        <v>85</v>
      </c>
      <c r="F4801" s="5" t="s">
        <v>11</v>
      </c>
      <c r="G4801" s="5" t="s">
        <v>51</v>
      </c>
      <c r="H4801" s="5" t="s">
        <v>297</v>
      </c>
      <c r="I4801" s="13">
        <v>133.47999999999999</v>
      </c>
      <c r="J4801" s="19">
        <v>2</v>
      </c>
      <c r="K4801" s="14">
        <v>17.406400000000001</v>
      </c>
    </row>
    <row r="4802" spans="1:11" x14ac:dyDescent="0.25">
      <c r="A4802" s="2">
        <v>44116</v>
      </c>
      <c r="B4802" s="18">
        <f t="shared" ref="B4802:B4865" si="150">YEAR(A4802)</f>
        <v>2020</v>
      </c>
      <c r="C4802" s="18">
        <f t="shared" ref="C4802:C4865" si="151">MONTH(A4802)</f>
        <v>10</v>
      </c>
      <c r="D4802" s="3" t="s">
        <v>221</v>
      </c>
      <c r="E4802" s="3" t="s">
        <v>94</v>
      </c>
      <c r="F4802" s="3" t="s">
        <v>19</v>
      </c>
      <c r="G4802" s="3" t="s">
        <v>53</v>
      </c>
      <c r="H4802" s="3" t="s">
        <v>2043</v>
      </c>
      <c r="I4802" s="11">
        <v>122.96</v>
      </c>
      <c r="J4802" s="18">
        <v>2</v>
      </c>
      <c r="K4802" s="12">
        <v>4.6811999999999996</v>
      </c>
    </row>
    <row r="4803" spans="1:11" x14ac:dyDescent="0.25">
      <c r="A4803" s="4">
        <v>44116</v>
      </c>
      <c r="B4803" s="19">
        <f t="shared" si="150"/>
        <v>2020</v>
      </c>
      <c r="C4803" s="19">
        <f t="shared" si="151"/>
        <v>10</v>
      </c>
      <c r="D4803" s="5" t="s">
        <v>1919</v>
      </c>
      <c r="E4803" s="5" t="s">
        <v>23</v>
      </c>
      <c r="F4803" s="5" t="s">
        <v>14</v>
      </c>
      <c r="G4803" s="5" t="s">
        <v>24</v>
      </c>
      <c r="H4803" s="5" t="s">
        <v>2245</v>
      </c>
      <c r="I4803" s="13">
        <v>157.98400000000001</v>
      </c>
      <c r="J4803" s="19">
        <v>2</v>
      </c>
      <c r="K4803" s="14">
        <v>-1.4994000000000001</v>
      </c>
    </row>
    <row r="4804" spans="1:11" x14ac:dyDescent="0.25">
      <c r="A4804" s="2">
        <v>44116</v>
      </c>
      <c r="B4804" s="18">
        <f t="shared" si="150"/>
        <v>2020</v>
      </c>
      <c r="C4804" s="18">
        <f t="shared" si="151"/>
        <v>10</v>
      </c>
      <c r="D4804" s="3" t="s">
        <v>1246</v>
      </c>
      <c r="E4804" s="3" t="s">
        <v>85</v>
      </c>
      <c r="F4804" s="3" t="s">
        <v>14</v>
      </c>
      <c r="G4804" s="3" t="s">
        <v>24</v>
      </c>
      <c r="H4804" s="3" t="s">
        <v>1070</v>
      </c>
      <c r="I4804" s="11">
        <v>147</v>
      </c>
      <c r="J4804" s="18">
        <v>3</v>
      </c>
      <c r="K4804" s="12">
        <v>4.95</v>
      </c>
    </row>
    <row r="4805" spans="1:11" x14ac:dyDescent="0.25">
      <c r="A4805" s="4">
        <v>44117</v>
      </c>
      <c r="B4805" s="19">
        <f t="shared" si="150"/>
        <v>2020</v>
      </c>
      <c r="C4805" s="19">
        <f t="shared" si="151"/>
        <v>10</v>
      </c>
      <c r="D4805" s="5" t="s">
        <v>1535</v>
      </c>
      <c r="E4805" s="5" t="s">
        <v>164</v>
      </c>
      <c r="F4805" s="5" t="s">
        <v>19</v>
      </c>
      <c r="G4805" s="5" t="s">
        <v>53</v>
      </c>
      <c r="H4805" s="5" t="s">
        <v>172</v>
      </c>
      <c r="I4805" s="13">
        <v>102.312</v>
      </c>
      <c r="J4805" s="19">
        <v>3</v>
      </c>
      <c r="K4805" s="14">
        <v>20.5764</v>
      </c>
    </row>
    <row r="4806" spans="1:11" x14ac:dyDescent="0.25">
      <c r="A4806" s="2">
        <v>44117</v>
      </c>
      <c r="B4806" s="18">
        <f t="shared" si="150"/>
        <v>2020</v>
      </c>
      <c r="C4806" s="18">
        <f t="shared" si="151"/>
        <v>10</v>
      </c>
      <c r="D4806" s="3" t="s">
        <v>1535</v>
      </c>
      <c r="E4806" s="3" t="s">
        <v>164</v>
      </c>
      <c r="F4806" s="3" t="s">
        <v>19</v>
      </c>
      <c r="G4806" s="3" t="s">
        <v>32</v>
      </c>
      <c r="H4806" s="3" t="s">
        <v>2029</v>
      </c>
      <c r="I4806" s="11">
        <v>117.78400000000001</v>
      </c>
      <c r="J4806" s="18">
        <v>4</v>
      </c>
      <c r="K4806" s="12">
        <v>-145.17599999999999</v>
      </c>
    </row>
    <row r="4807" spans="1:11" x14ac:dyDescent="0.25">
      <c r="A4807" s="4">
        <v>44117</v>
      </c>
      <c r="B4807" s="19">
        <f t="shared" si="150"/>
        <v>2020</v>
      </c>
      <c r="C4807" s="19">
        <f t="shared" si="151"/>
        <v>10</v>
      </c>
      <c r="D4807" s="5" t="s">
        <v>1597</v>
      </c>
      <c r="E4807" s="5" t="s">
        <v>18</v>
      </c>
      <c r="F4807" s="5" t="s">
        <v>14</v>
      </c>
      <c r="G4807" s="5" t="s">
        <v>24</v>
      </c>
      <c r="H4807" s="5" t="s">
        <v>72</v>
      </c>
      <c r="I4807" s="13">
        <v>239.94</v>
      </c>
      <c r="J4807" s="19">
        <v>6</v>
      </c>
      <c r="K4807" s="14">
        <v>39.888599999999997</v>
      </c>
    </row>
    <row r="4808" spans="1:11" x14ac:dyDescent="0.25">
      <c r="A4808" s="2">
        <v>44117</v>
      </c>
      <c r="B4808" s="18">
        <f t="shared" si="150"/>
        <v>2020</v>
      </c>
      <c r="C4808" s="18">
        <f t="shared" si="151"/>
        <v>10</v>
      </c>
      <c r="D4808" s="3" t="s">
        <v>268</v>
      </c>
      <c r="E4808" s="3" t="s">
        <v>195</v>
      </c>
      <c r="F4808" s="3" t="s">
        <v>19</v>
      </c>
      <c r="G4808" s="3" t="s">
        <v>20</v>
      </c>
      <c r="H4808" s="3" t="s">
        <v>2354</v>
      </c>
      <c r="I4808" s="11">
        <v>389.56</v>
      </c>
      <c r="J4808" s="18">
        <v>8</v>
      </c>
      <c r="K4808" s="12">
        <v>104.568</v>
      </c>
    </row>
    <row r="4809" spans="1:11" x14ac:dyDescent="0.25">
      <c r="A4809" s="4">
        <v>44117</v>
      </c>
      <c r="B4809" s="19">
        <f t="shared" si="150"/>
        <v>2020</v>
      </c>
      <c r="C4809" s="19">
        <f t="shared" si="151"/>
        <v>10</v>
      </c>
      <c r="D4809" s="5" t="s">
        <v>1038</v>
      </c>
      <c r="E4809" s="5" t="s">
        <v>94</v>
      </c>
      <c r="F4809" s="5" t="s">
        <v>19</v>
      </c>
      <c r="G4809" s="5" t="s">
        <v>121</v>
      </c>
      <c r="H4809" s="5" t="s">
        <v>2095</v>
      </c>
      <c r="I4809" s="13">
        <v>921.9</v>
      </c>
      <c r="J4809" s="19">
        <v>5</v>
      </c>
      <c r="K4809" s="14">
        <v>253.37200000000001</v>
      </c>
    </row>
    <row r="4810" spans="1:11" x14ac:dyDescent="0.25">
      <c r="A4810" s="2">
        <v>44117</v>
      </c>
      <c r="B4810" s="18">
        <f t="shared" si="150"/>
        <v>2020</v>
      </c>
      <c r="C4810" s="18">
        <f t="shared" si="151"/>
        <v>10</v>
      </c>
      <c r="D4810" s="3" t="s">
        <v>2144</v>
      </c>
      <c r="E4810" s="3" t="s">
        <v>394</v>
      </c>
      <c r="F4810" s="3" t="s">
        <v>11</v>
      </c>
      <c r="G4810" s="3" t="s">
        <v>30</v>
      </c>
      <c r="H4810" s="3" t="s">
        <v>1027</v>
      </c>
      <c r="I4810" s="11">
        <v>1551.52</v>
      </c>
      <c r="J4810" s="18">
        <v>4</v>
      </c>
      <c r="K4810" s="12">
        <v>346.03960000000001</v>
      </c>
    </row>
    <row r="4811" spans="1:11" x14ac:dyDescent="0.25">
      <c r="A4811" s="4">
        <v>44117</v>
      </c>
      <c r="B4811" s="19">
        <f t="shared" si="150"/>
        <v>2020</v>
      </c>
      <c r="C4811" s="19">
        <f t="shared" si="151"/>
        <v>10</v>
      </c>
      <c r="D4811" s="5" t="s">
        <v>1597</v>
      </c>
      <c r="E4811" s="5" t="s">
        <v>18</v>
      </c>
      <c r="F4811" s="5" t="s">
        <v>19</v>
      </c>
      <c r="G4811" s="5" t="s">
        <v>32</v>
      </c>
      <c r="H4811" s="5" t="s">
        <v>178</v>
      </c>
      <c r="I4811" s="13">
        <v>5107.96</v>
      </c>
      <c r="J4811" s="19">
        <v>5</v>
      </c>
      <c r="K4811" s="14">
        <v>1906.4849999999999</v>
      </c>
    </row>
    <row r="4812" spans="1:11" x14ac:dyDescent="0.25">
      <c r="A4812" s="2">
        <v>44117</v>
      </c>
      <c r="B4812" s="18">
        <f t="shared" si="150"/>
        <v>2020</v>
      </c>
      <c r="C4812" s="18">
        <f t="shared" si="151"/>
        <v>10</v>
      </c>
      <c r="D4812" s="3" t="s">
        <v>1738</v>
      </c>
      <c r="E4812" s="3" t="s">
        <v>39</v>
      </c>
      <c r="F4812" s="3" t="s">
        <v>19</v>
      </c>
      <c r="G4812" s="3" t="s">
        <v>53</v>
      </c>
      <c r="H4812" s="3" t="s">
        <v>2473</v>
      </c>
      <c r="I4812" s="11">
        <v>101.648</v>
      </c>
      <c r="J4812" s="18">
        <v>2</v>
      </c>
      <c r="K4812" s="12">
        <v>4.0768000000000004</v>
      </c>
    </row>
    <row r="4813" spans="1:11" x14ac:dyDescent="0.25">
      <c r="A4813" s="4">
        <v>44117</v>
      </c>
      <c r="B4813" s="19">
        <f t="shared" si="150"/>
        <v>2020</v>
      </c>
      <c r="C4813" s="19">
        <f t="shared" si="151"/>
        <v>10</v>
      </c>
      <c r="D4813" s="5" t="s">
        <v>1535</v>
      </c>
      <c r="E4813" s="5" t="s">
        <v>164</v>
      </c>
      <c r="F4813" s="5" t="s">
        <v>11</v>
      </c>
      <c r="G4813" s="5" t="s">
        <v>51</v>
      </c>
      <c r="H4813" s="5" t="s">
        <v>1044</v>
      </c>
      <c r="I4813" s="13">
        <v>96.475999999999999</v>
      </c>
      <c r="J4813" s="19">
        <v>3</v>
      </c>
      <c r="K4813" s="14">
        <v>-6.8094000000000001</v>
      </c>
    </row>
    <row r="4814" spans="1:11" x14ac:dyDescent="0.25">
      <c r="A4814" s="2">
        <v>44117</v>
      </c>
      <c r="B4814" s="18">
        <f t="shared" si="150"/>
        <v>2020</v>
      </c>
      <c r="C4814" s="18">
        <f t="shared" si="151"/>
        <v>10</v>
      </c>
      <c r="D4814" s="3" t="s">
        <v>1738</v>
      </c>
      <c r="E4814" s="3" t="s">
        <v>39</v>
      </c>
      <c r="F4814" s="3" t="s">
        <v>19</v>
      </c>
      <c r="G4814" s="3" t="s">
        <v>127</v>
      </c>
      <c r="H4814" s="3" t="s">
        <v>2502</v>
      </c>
      <c r="I4814" s="11">
        <v>94.84</v>
      </c>
      <c r="J4814" s="18">
        <v>3</v>
      </c>
      <c r="K4814" s="12">
        <v>8.6940000000000008</v>
      </c>
    </row>
    <row r="4815" spans="1:11" x14ac:dyDescent="0.25">
      <c r="A4815" s="4">
        <v>44117</v>
      </c>
      <c r="B4815" s="19">
        <f t="shared" si="150"/>
        <v>2020</v>
      </c>
      <c r="C4815" s="19">
        <f t="shared" si="151"/>
        <v>10</v>
      </c>
      <c r="D4815" s="5" t="s">
        <v>2144</v>
      </c>
      <c r="E4815" s="5" t="s">
        <v>394</v>
      </c>
      <c r="F4815" s="5" t="s">
        <v>19</v>
      </c>
      <c r="G4815" s="5" t="s">
        <v>127</v>
      </c>
      <c r="H4815" s="5" t="s">
        <v>1101</v>
      </c>
      <c r="I4815" s="13">
        <v>121.07</v>
      </c>
      <c r="J4815" s="19">
        <v>3</v>
      </c>
      <c r="K4815" s="14">
        <v>5.2028999999999996</v>
      </c>
    </row>
    <row r="4816" spans="1:11" x14ac:dyDescent="0.25">
      <c r="A4816" s="2">
        <v>44117</v>
      </c>
      <c r="B4816" s="18">
        <f t="shared" si="150"/>
        <v>2020</v>
      </c>
      <c r="C4816" s="18">
        <f t="shared" si="151"/>
        <v>10</v>
      </c>
      <c r="D4816" s="3" t="s">
        <v>1597</v>
      </c>
      <c r="E4816" s="3" t="s">
        <v>18</v>
      </c>
      <c r="F4816" s="3" t="s">
        <v>14</v>
      </c>
      <c r="G4816" s="3" t="s">
        <v>15</v>
      </c>
      <c r="H4816" s="3" t="s">
        <v>1388</v>
      </c>
      <c r="I4816" s="11">
        <v>125.98399999999999</v>
      </c>
      <c r="J4816" s="18">
        <v>2</v>
      </c>
      <c r="K4816" s="12">
        <v>-7.9960000000000004</v>
      </c>
    </row>
    <row r="4817" spans="1:11" x14ac:dyDescent="0.25">
      <c r="A4817" s="4">
        <v>44117</v>
      </c>
      <c r="B4817" s="19">
        <f t="shared" si="150"/>
        <v>2020</v>
      </c>
      <c r="C4817" s="19">
        <f t="shared" si="151"/>
        <v>10</v>
      </c>
      <c r="D4817" s="5" t="s">
        <v>2144</v>
      </c>
      <c r="E4817" s="5" t="s">
        <v>394</v>
      </c>
      <c r="F4817" s="5" t="s">
        <v>19</v>
      </c>
      <c r="G4817" s="5" t="s">
        <v>53</v>
      </c>
      <c r="H4817" s="5" t="s">
        <v>1279</v>
      </c>
      <c r="I4817" s="13">
        <v>138.91999999999999</v>
      </c>
      <c r="J4817" s="19">
        <v>4</v>
      </c>
      <c r="K4817" s="14">
        <v>12.441599999999999</v>
      </c>
    </row>
    <row r="4818" spans="1:11" x14ac:dyDescent="0.25">
      <c r="A4818" s="2">
        <v>44117</v>
      </c>
      <c r="B4818" s="18">
        <f t="shared" si="150"/>
        <v>2020</v>
      </c>
      <c r="C4818" s="18">
        <f t="shared" si="151"/>
        <v>10</v>
      </c>
      <c r="D4818" s="3" t="s">
        <v>1738</v>
      </c>
      <c r="E4818" s="3" t="s">
        <v>39</v>
      </c>
      <c r="F4818" s="3" t="s">
        <v>19</v>
      </c>
      <c r="G4818" s="3" t="s">
        <v>53</v>
      </c>
      <c r="H4818" s="3" t="s">
        <v>2503</v>
      </c>
      <c r="I4818" s="11">
        <v>121.176</v>
      </c>
      <c r="J4818" s="18">
        <v>4</v>
      </c>
      <c r="K4818" s="12">
        <v>5.9071999999999996</v>
      </c>
    </row>
    <row r="4819" spans="1:11" x14ac:dyDescent="0.25">
      <c r="A4819" s="4">
        <v>44117</v>
      </c>
      <c r="B4819" s="19">
        <f t="shared" si="150"/>
        <v>2020</v>
      </c>
      <c r="C4819" s="19">
        <f t="shared" si="151"/>
        <v>10</v>
      </c>
      <c r="D4819" s="5" t="s">
        <v>1738</v>
      </c>
      <c r="E4819" s="5" t="s">
        <v>39</v>
      </c>
      <c r="F4819" s="5" t="s">
        <v>19</v>
      </c>
      <c r="G4819" s="5" t="s">
        <v>20</v>
      </c>
      <c r="H4819" s="5" t="s">
        <v>960</v>
      </c>
      <c r="I4819" s="13">
        <v>137.71199999999999</v>
      </c>
      <c r="J4819" s="19">
        <v>6</v>
      </c>
      <c r="K4819" s="14">
        <v>5.9711999999999996</v>
      </c>
    </row>
    <row r="4820" spans="1:11" x14ac:dyDescent="0.25">
      <c r="A4820" s="2">
        <v>44118</v>
      </c>
      <c r="B4820" s="18">
        <f t="shared" si="150"/>
        <v>2020</v>
      </c>
      <c r="C4820" s="18">
        <f t="shared" si="151"/>
        <v>10</v>
      </c>
      <c r="D4820" s="3" t="s">
        <v>2062</v>
      </c>
      <c r="E4820" s="3" t="s">
        <v>18</v>
      </c>
      <c r="F4820" s="3" t="s">
        <v>11</v>
      </c>
      <c r="G4820" s="3" t="s">
        <v>51</v>
      </c>
      <c r="H4820" s="3" t="s">
        <v>1554</v>
      </c>
      <c r="I4820" s="11">
        <v>102.46</v>
      </c>
      <c r="J4820" s="18">
        <v>2</v>
      </c>
      <c r="K4820" s="12">
        <v>3.6894</v>
      </c>
    </row>
    <row r="4821" spans="1:11" x14ac:dyDescent="0.25">
      <c r="A4821" s="4">
        <v>44118</v>
      </c>
      <c r="B4821" s="19">
        <f t="shared" si="150"/>
        <v>2020</v>
      </c>
      <c r="C4821" s="19">
        <f t="shared" si="151"/>
        <v>10</v>
      </c>
      <c r="D4821" s="5" t="s">
        <v>2504</v>
      </c>
      <c r="E4821" s="5" t="s">
        <v>164</v>
      </c>
      <c r="F4821" s="5" t="s">
        <v>19</v>
      </c>
      <c r="G4821" s="5" t="s">
        <v>32</v>
      </c>
      <c r="H4821" s="5" t="s">
        <v>583</v>
      </c>
      <c r="I4821" s="13">
        <v>111.456</v>
      </c>
      <c r="J4821" s="19">
        <v>1</v>
      </c>
      <c r="K4821" s="14">
        <v>-23.547999999999998</v>
      </c>
    </row>
    <row r="4822" spans="1:11" x14ac:dyDescent="0.25">
      <c r="A4822" s="2">
        <v>44118</v>
      </c>
      <c r="B4822" s="18">
        <f t="shared" si="150"/>
        <v>2020</v>
      </c>
      <c r="C4822" s="18">
        <f t="shared" si="151"/>
        <v>10</v>
      </c>
      <c r="D4822" s="3" t="s">
        <v>2504</v>
      </c>
      <c r="E4822" s="3" t="s">
        <v>164</v>
      </c>
      <c r="F4822" s="3" t="s">
        <v>19</v>
      </c>
      <c r="G4822" s="3" t="s">
        <v>32</v>
      </c>
      <c r="H4822" s="3" t="s">
        <v>792</v>
      </c>
      <c r="I4822" s="11">
        <v>130.39599999999999</v>
      </c>
      <c r="J4822" s="18">
        <v>9</v>
      </c>
      <c r="K4822" s="12">
        <v>-42.463799999999999</v>
      </c>
    </row>
    <row r="4823" spans="1:11" x14ac:dyDescent="0.25">
      <c r="A4823" s="4">
        <v>44118</v>
      </c>
      <c r="B4823" s="19">
        <f t="shared" si="150"/>
        <v>2020</v>
      </c>
      <c r="C4823" s="19">
        <f t="shared" si="151"/>
        <v>10</v>
      </c>
      <c r="D4823" s="5" t="s">
        <v>697</v>
      </c>
      <c r="E4823" s="5" t="s">
        <v>10</v>
      </c>
      <c r="F4823" s="5" t="s">
        <v>19</v>
      </c>
      <c r="G4823" s="5" t="s">
        <v>32</v>
      </c>
      <c r="H4823" s="5" t="s">
        <v>975</v>
      </c>
      <c r="I4823" s="13">
        <v>150.66</v>
      </c>
      <c r="J4823" s="19">
        <v>7</v>
      </c>
      <c r="K4823" s="14">
        <v>18.453399999999998</v>
      </c>
    </row>
    <row r="4824" spans="1:11" x14ac:dyDescent="0.25">
      <c r="A4824" s="2">
        <v>44118</v>
      </c>
      <c r="B4824" s="18">
        <f t="shared" si="150"/>
        <v>2020</v>
      </c>
      <c r="C4824" s="18">
        <f t="shared" si="151"/>
        <v>10</v>
      </c>
      <c r="D4824" s="3" t="s">
        <v>1845</v>
      </c>
      <c r="E4824" s="3" t="s">
        <v>18</v>
      </c>
      <c r="F4824" s="3" t="s">
        <v>14</v>
      </c>
      <c r="G4824" s="3" t="s">
        <v>24</v>
      </c>
      <c r="H4824" s="3" t="s">
        <v>2184</v>
      </c>
      <c r="I4824" s="11">
        <v>154.36000000000001</v>
      </c>
      <c r="J4824" s="18">
        <v>4</v>
      </c>
      <c r="K4824" s="12">
        <v>15.2988</v>
      </c>
    </row>
    <row r="4825" spans="1:11" x14ac:dyDescent="0.25">
      <c r="A4825" s="4">
        <v>44119</v>
      </c>
      <c r="B4825" s="19">
        <f t="shared" si="150"/>
        <v>2020</v>
      </c>
      <c r="C4825" s="19">
        <f t="shared" si="151"/>
        <v>10</v>
      </c>
      <c r="D4825" s="5" t="s">
        <v>2378</v>
      </c>
      <c r="E4825" s="5" t="s">
        <v>18</v>
      </c>
      <c r="F4825" s="5" t="s">
        <v>19</v>
      </c>
      <c r="G4825" s="5" t="s">
        <v>40</v>
      </c>
      <c r="H4825" s="5" t="s">
        <v>2505</v>
      </c>
      <c r="I4825" s="13">
        <v>114.92</v>
      </c>
      <c r="J4825" s="19">
        <v>4</v>
      </c>
      <c r="K4825" s="14">
        <v>26.376000000000001</v>
      </c>
    </row>
    <row r="4826" spans="1:11" x14ac:dyDescent="0.25">
      <c r="A4826" s="2">
        <v>44119</v>
      </c>
      <c r="B4826" s="18">
        <f t="shared" si="150"/>
        <v>2020</v>
      </c>
      <c r="C4826" s="18">
        <f t="shared" si="151"/>
        <v>10</v>
      </c>
      <c r="D4826" s="3" t="s">
        <v>108</v>
      </c>
      <c r="E4826" s="3" t="s">
        <v>18</v>
      </c>
      <c r="F4826" s="3" t="s">
        <v>19</v>
      </c>
      <c r="G4826" s="3" t="s">
        <v>127</v>
      </c>
      <c r="H4826" s="3" t="s">
        <v>1100</v>
      </c>
      <c r="I4826" s="11">
        <v>197.65</v>
      </c>
      <c r="J4826" s="18">
        <v>5</v>
      </c>
      <c r="K4826" s="12">
        <v>70.218999999999994</v>
      </c>
    </row>
    <row r="4827" spans="1:11" x14ac:dyDescent="0.25">
      <c r="A4827" s="4">
        <v>44119</v>
      </c>
      <c r="B4827" s="19">
        <f t="shared" si="150"/>
        <v>2020</v>
      </c>
      <c r="C4827" s="19">
        <f t="shared" si="151"/>
        <v>10</v>
      </c>
      <c r="D4827" s="5" t="s">
        <v>2150</v>
      </c>
      <c r="E4827" s="5" t="s">
        <v>18</v>
      </c>
      <c r="F4827" s="5" t="s">
        <v>19</v>
      </c>
      <c r="G4827" s="5" t="s">
        <v>53</v>
      </c>
      <c r="H4827" s="5" t="s">
        <v>1436</v>
      </c>
      <c r="I4827" s="13">
        <v>238.95</v>
      </c>
      <c r="J4827" s="19">
        <v>5</v>
      </c>
      <c r="K4827" s="14">
        <v>100.4255</v>
      </c>
    </row>
    <row r="4828" spans="1:11" x14ac:dyDescent="0.25">
      <c r="A4828" s="2">
        <v>44119</v>
      </c>
      <c r="B4828" s="18">
        <f t="shared" si="150"/>
        <v>2020</v>
      </c>
      <c r="C4828" s="18">
        <f t="shared" si="151"/>
        <v>10</v>
      </c>
      <c r="D4828" s="3" t="s">
        <v>2150</v>
      </c>
      <c r="E4828" s="3" t="s">
        <v>18</v>
      </c>
      <c r="F4828" s="3" t="s">
        <v>11</v>
      </c>
      <c r="G4828" s="3" t="s">
        <v>30</v>
      </c>
      <c r="H4828" s="3" t="s">
        <v>2222</v>
      </c>
      <c r="I4828" s="11">
        <v>560.24</v>
      </c>
      <c r="J4828" s="18">
        <v>3</v>
      </c>
      <c r="K4828" s="12">
        <v>6.3780000000000001</v>
      </c>
    </row>
    <row r="4829" spans="1:11" x14ac:dyDescent="0.25">
      <c r="A4829" s="4">
        <v>44119</v>
      </c>
      <c r="B4829" s="19">
        <f t="shared" si="150"/>
        <v>2020</v>
      </c>
      <c r="C4829" s="19">
        <f t="shared" si="151"/>
        <v>10</v>
      </c>
      <c r="D4829" s="5" t="s">
        <v>124</v>
      </c>
      <c r="E4829" s="5" t="s">
        <v>18</v>
      </c>
      <c r="F4829" s="5" t="s">
        <v>19</v>
      </c>
      <c r="G4829" s="5" t="s">
        <v>127</v>
      </c>
      <c r="H4829" s="5" t="s">
        <v>1329</v>
      </c>
      <c r="I4829" s="13">
        <v>108.73</v>
      </c>
      <c r="J4829" s="19">
        <v>3</v>
      </c>
      <c r="K4829" s="14">
        <v>7.2176999999999998</v>
      </c>
    </row>
    <row r="4830" spans="1:11" x14ac:dyDescent="0.25">
      <c r="A4830" s="2">
        <v>44119</v>
      </c>
      <c r="B4830" s="18">
        <f t="shared" si="150"/>
        <v>2020</v>
      </c>
      <c r="C4830" s="18">
        <f t="shared" si="151"/>
        <v>10</v>
      </c>
      <c r="D4830" s="3" t="s">
        <v>108</v>
      </c>
      <c r="E4830" s="3" t="s">
        <v>18</v>
      </c>
      <c r="F4830" s="3" t="s">
        <v>11</v>
      </c>
      <c r="G4830" s="3" t="s">
        <v>51</v>
      </c>
      <c r="H4830" s="3" t="s">
        <v>2506</v>
      </c>
      <c r="I4830" s="11">
        <v>107.72</v>
      </c>
      <c r="J4830" s="18">
        <v>1</v>
      </c>
      <c r="K4830" s="12">
        <v>9.3152000000000008</v>
      </c>
    </row>
    <row r="4831" spans="1:11" x14ac:dyDescent="0.25">
      <c r="A4831" s="4">
        <v>44119</v>
      </c>
      <c r="B4831" s="19">
        <f t="shared" si="150"/>
        <v>2020</v>
      </c>
      <c r="C4831" s="19">
        <f t="shared" si="151"/>
        <v>10</v>
      </c>
      <c r="D4831" s="5" t="s">
        <v>812</v>
      </c>
      <c r="E4831" s="5" t="s">
        <v>91</v>
      </c>
      <c r="F4831" s="5" t="s">
        <v>19</v>
      </c>
      <c r="G4831" s="5" t="s">
        <v>127</v>
      </c>
      <c r="H4831" s="5" t="s">
        <v>223</v>
      </c>
      <c r="I4831" s="13">
        <v>138.05000000000001</v>
      </c>
      <c r="J4831" s="19">
        <v>5</v>
      </c>
      <c r="K4831" s="14">
        <v>6.0030000000000001</v>
      </c>
    </row>
    <row r="4832" spans="1:11" x14ac:dyDescent="0.25">
      <c r="A4832" s="2">
        <v>44119</v>
      </c>
      <c r="B4832" s="18">
        <f t="shared" si="150"/>
        <v>2020</v>
      </c>
      <c r="C4832" s="18">
        <f t="shared" si="151"/>
        <v>10</v>
      </c>
      <c r="D4832" s="3" t="s">
        <v>1431</v>
      </c>
      <c r="E4832" s="3" t="s">
        <v>1156</v>
      </c>
      <c r="F4832" s="3" t="s">
        <v>19</v>
      </c>
      <c r="G4832" s="3" t="s">
        <v>40</v>
      </c>
      <c r="H4832" s="3" t="s">
        <v>1267</v>
      </c>
      <c r="I4832" s="11">
        <v>123.68</v>
      </c>
      <c r="J4832" s="18">
        <v>2</v>
      </c>
      <c r="K4832" s="12">
        <v>4.2047999999999996</v>
      </c>
    </row>
    <row r="4833" spans="1:11" x14ac:dyDescent="0.25">
      <c r="A4833" s="4">
        <v>44120</v>
      </c>
      <c r="B4833" s="19">
        <f t="shared" si="150"/>
        <v>2020</v>
      </c>
      <c r="C4833" s="19">
        <f t="shared" si="151"/>
        <v>10</v>
      </c>
      <c r="D4833" s="5" t="s">
        <v>2507</v>
      </c>
      <c r="E4833" s="5" t="s">
        <v>195</v>
      </c>
      <c r="F4833" s="5" t="s">
        <v>19</v>
      </c>
      <c r="G4833" s="5" t="s">
        <v>32</v>
      </c>
      <c r="H4833" s="5" t="s">
        <v>1766</v>
      </c>
      <c r="I4833" s="13">
        <v>165.75</v>
      </c>
      <c r="J4833" s="19">
        <v>5</v>
      </c>
      <c r="K4833" s="14">
        <v>57.384999999999998</v>
      </c>
    </row>
    <row r="4834" spans="1:11" x14ac:dyDescent="0.25">
      <c r="A4834" s="2">
        <v>44120</v>
      </c>
      <c r="B4834" s="18">
        <f t="shared" si="150"/>
        <v>2020</v>
      </c>
      <c r="C4834" s="18">
        <f t="shared" si="151"/>
        <v>10</v>
      </c>
      <c r="D4834" s="3" t="s">
        <v>1940</v>
      </c>
      <c r="E4834" s="3" t="s">
        <v>198</v>
      </c>
      <c r="F4834" s="3" t="s">
        <v>19</v>
      </c>
      <c r="G4834" s="3" t="s">
        <v>53</v>
      </c>
      <c r="H4834" s="3" t="s">
        <v>1963</v>
      </c>
      <c r="I4834" s="11">
        <v>331.77600000000001</v>
      </c>
      <c r="J4834" s="18">
        <v>7</v>
      </c>
      <c r="K4834" s="12">
        <v>111.5688</v>
      </c>
    </row>
    <row r="4835" spans="1:11" x14ac:dyDescent="0.25">
      <c r="A4835" s="4">
        <v>44120</v>
      </c>
      <c r="B4835" s="19">
        <f t="shared" si="150"/>
        <v>2020</v>
      </c>
      <c r="C4835" s="19">
        <f t="shared" si="151"/>
        <v>10</v>
      </c>
      <c r="D4835" s="5" t="s">
        <v>946</v>
      </c>
      <c r="E4835" s="5" t="s">
        <v>94</v>
      </c>
      <c r="F4835" s="5" t="s">
        <v>11</v>
      </c>
      <c r="G4835" s="5" t="s">
        <v>51</v>
      </c>
      <c r="H4835" s="5" t="s">
        <v>2353</v>
      </c>
      <c r="I4835" s="13">
        <v>562.29999999999995</v>
      </c>
      <c r="J4835" s="19">
        <v>13</v>
      </c>
      <c r="K4835" s="14">
        <v>175.136</v>
      </c>
    </row>
    <row r="4836" spans="1:11" x14ac:dyDescent="0.25">
      <c r="A4836" s="2">
        <v>44120</v>
      </c>
      <c r="B4836" s="18">
        <f t="shared" si="150"/>
        <v>2020</v>
      </c>
      <c r="C4836" s="18">
        <f t="shared" si="151"/>
        <v>10</v>
      </c>
      <c r="D4836" s="3" t="s">
        <v>1348</v>
      </c>
      <c r="E4836" s="3" t="s">
        <v>198</v>
      </c>
      <c r="F4836" s="3" t="s">
        <v>14</v>
      </c>
      <c r="G4836" s="3" t="s">
        <v>188</v>
      </c>
      <c r="H4836" s="3" t="s">
        <v>2508</v>
      </c>
      <c r="I4836" s="11">
        <v>645.98500000000001</v>
      </c>
      <c r="J4836" s="18">
        <v>5</v>
      </c>
      <c r="K4836" s="12">
        <v>-479.988</v>
      </c>
    </row>
    <row r="4837" spans="1:11" x14ac:dyDescent="0.25">
      <c r="A4837" s="4">
        <v>44120</v>
      </c>
      <c r="B4837" s="19">
        <f t="shared" si="150"/>
        <v>2020</v>
      </c>
      <c r="C4837" s="19">
        <f t="shared" si="151"/>
        <v>10</v>
      </c>
      <c r="D4837" s="5" t="s">
        <v>1130</v>
      </c>
      <c r="E4837" s="5" t="s">
        <v>219</v>
      </c>
      <c r="F4837" s="5" t="s">
        <v>11</v>
      </c>
      <c r="G4837" s="5" t="s">
        <v>30</v>
      </c>
      <c r="H4837" s="5" t="s">
        <v>1851</v>
      </c>
      <c r="I4837" s="13">
        <v>1924.258</v>
      </c>
      <c r="J4837" s="19">
        <v>7</v>
      </c>
      <c r="K4837" s="14">
        <v>-968.88329999999996</v>
      </c>
    </row>
    <row r="4838" spans="1:11" x14ac:dyDescent="0.25">
      <c r="A4838" s="2">
        <v>44120</v>
      </c>
      <c r="B4838" s="18">
        <f t="shared" si="150"/>
        <v>2020</v>
      </c>
      <c r="C4838" s="18">
        <f t="shared" si="151"/>
        <v>10</v>
      </c>
      <c r="D4838" s="3" t="s">
        <v>1130</v>
      </c>
      <c r="E4838" s="3" t="s">
        <v>219</v>
      </c>
      <c r="F4838" s="3" t="s">
        <v>14</v>
      </c>
      <c r="G4838" s="3" t="s">
        <v>24</v>
      </c>
      <c r="H4838" s="3" t="s">
        <v>2452</v>
      </c>
      <c r="I4838" s="11">
        <v>124.52800000000001</v>
      </c>
      <c r="J4838" s="18">
        <v>2</v>
      </c>
      <c r="K4838" s="12">
        <v>4.4004000000000003</v>
      </c>
    </row>
    <row r="4839" spans="1:11" x14ac:dyDescent="0.25">
      <c r="A4839" s="4">
        <v>44121</v>
      </c>
      <c r="B4839" s="19">
        <f t="shared" si="150"/>
        <v>2020</v>
      </c>
      <c r="C4839" s="19">
        <f t="shared" si="151"/>
        <v>10</v>
      </c>
      <c r="D4839" s="5" t="s">
        <v>2509</v>
      </c>
      <c r="E4839" s="5" t="s">
        <v>18</v>
      </c>
      <c r="F4839" s="5" t="s">
        <v>19</v>
      </c>
      <c r="G4839" s="5" t="s">
        <v>40</v>
      </c>
      <c r="H4839" s="5" t="s">
        <v>242</v>
      </c>
      <c r="I4839" s="13">
        <v>139.63999999999999</v>
      </c>
      <c r="J4839" s="19">
        <v>4</v>
      </c>
      <c r="K4839" s="14">
        <v>2.7664</v>
      </c>
    </row>
    <row r="4840" spans="1:11" x14ac:dyDescent="0.25">
      <c r="A4840" s="2">
        <v>44121</v>
      </c>
      <c r="B4840" s="18">
        <f t="shared" si="150"/>
        <v>2020</v>
      </c>
      <c r="C4840" s="18">
        <f t="shared" si="151"/>
        <v>10</v>
      </c>
      <c r="D4840" s="3" t="s">
        <v>2055</v>
      </c>
      <c r="E4840" s="3" t="s">
        <v>883</v>
      </c>
      <c r="F4840" s="3" t="s">
        <v>19</v>
      </c>
      <c r="G4840" s="3" t="s">
        <v>53</v>
      </c>
      <c r="H4840" s="3" t="s">
        <v>2021</v>
      </c>
      <c r="I4840" s="11">
        <v>115.96</v>
      </c>
      <c r="J4840" s="18">
        <v>2</v>
      </c>
      <c r="K4840" s="12">
        <v>6.2207999999999997</v>
      </c>
    </row>
    <row r="4841" spans="1:11" x14ac:dyDescent="0.25">
      <c r="A4841" s="4">
        <v>44121</v>
      </c>
      <c r="B4841" s="19">
        <f t="shared" si="150"/>
        <v>2020</v>
      </c>
      <c r="C4841" s="19">
        <f t="shared" si="151"/>
        <v>10</v>
      </c>
      <c r="D4841" s="5" t="s">
        <v>2055</v>
      </c>
      <c r="E4841" s="5" t="s">
        <v>883</v>
      </c>
      <c r="F4841" s="5" t="s">
        <v>19</v>
      </c>
      <c r="G4841" s="5" t="s">
        <v>20</v>
      </c>
      <c r="H4841" s="5" t="s">
        <v>2510</v>
      </c>
      <c r="I4841" s="13">
        <v>162.96</v>
      </c>
      <c r="J4841" s="19">
        <v>2</v>
      </c>
      <c r="K4841" s="14">
        <v>9.4923999999999999</v>
      </c>
    </row>
    <row r="4842" spans="1:11" x14ac:dyDescent="0.25">
      <c r="A4842" s="2">
        <v>44121</v>
      </c>
      <c r="B4842" s="18">
        <f t="shared" si="150"/>
        <v>2020</v>
      </c>
      <c r="C4842" s="18">
        <f t="shared" si="151"/>
        <v>10</v>
      </c>
      <c r="D4842" s="3" t="s">
        <v>1180</v>
      </c>
      <c r="E4842" s="3" t="s">
        <v>18</v>
      </c>
      <c r="F4842" s="3" t="s">
        <v>14</v>
      </c>
      <c r="G4842" s="3" t="s">
        <v>15</v>
      </c>
      <c r="H4842" s="3" t="s">
        <v>1334</v>
      </c>
      <c r="I4842" s="11">
        <v>158.792</v>
      </c>
      <c r="J4842" s="18">
        <v>1</v>
      </c>
      <c r="K4842" s="12">
        <v>4.6193</v>
      </c>
    </row>
    <row r="4843" spans="1:11" x14ac:dyDescent="0.25">
      <c r="A4843" s="4">
        <v>44123</v>
      </c>
      <c r="B4843" s="19">
        <f t="shared" si="150"/>
        <v>2020</v>
      </c>
      <c r="C4843" s="19">
        <f t="shared" si="151"/>
        <v>10</v>
      </c>
      <c r="D4843" s="5" t="s">
        <v>1523</v>
      </c>
      <c r="E4843" s="5" t="s">
        <v>164</v>
      </c>
      <c r="F4843" s="5" t="s">
        <v>11</v>
      </c>
      <c r="G4843" s="5" t="s">
        <v>30</v>
      </c>
      <c r="H4843" s="5" t="s">
        <v>1534</v>
      </c>
      <c r="I4843" s="13">
        <v>105.27500000000001</v>
      </c>
      <c r="J4843" s="19">
        <v>1</v>
      </c>
      <c r="K4843" s="14">
        <v>-67.543499999999995</v>
      </c>
    </row>
    <row r="4844" spans="1:11" x14ac:dyDescent="0.25">
      <c r="A4844" s="2">
        <v>44123</v>
      </c>
      <c r="B4844" s="18">
        <f t="shared" si="150"/>
        <v>2020</v>
      </c>
      <c r="C4844" s="18">
        <f t="shared" si="151"/>
        <v>10</v>
      </c>
      <c r="D4844" s="3" t="s">
        <v>828</v>
      </c>
      <c r="E4844" s="3" t="s">
        <v>39</v>
      </c>
      <c r="F4844" s="3" t="s">
        <v>19</v>
      </c>
      <c r="G4844" s="3" t="s">
        <v>40</v>
      </c>
      <c r="H4844" s="3" t="s">
        <v>532</v>
      </c>
      <c r="I4844" s="11">
        <v>166.256</v>
      </c>
      <c r="J4844" s="18">
        <v>7</v>
      </c>
      <c r="K4844" s="12">
        <v>9.2441999999999993</v>
      </c>
    </row>
    <row r="4845" spans="1:11" x14ac:dyDescent="0.25">
      <c r="A4845" s="4">
        <v>44123</v>
      </c>
      <c r="B4845" s="19">
        <f t="shared" si="150"/>
        <v>2020</v>
      </c>
      <c r="C4845" s="19">
        <f t="shared" si="151"/>
        <v>10</v>
      </c>
      <c r="D4845" s="5" t="s">
        <v>828</v>
      </c>
      <c r="E4845" s="5" t="s">
        <v>39</v>
      </c>
      <c r="F4845" s="5" t="s">
        <v>14</v>
      </c>
      <c r="G4845" s="5" t="s">
        <v>15</v>
      </c>
      <c r="H4845" s="5" t="s">
        <v>891</v>
      </c>
      <c r="I4845" s="13">
        <v>350.57600000000002</v>
      </c>
      <c r="J4845" s="19">
        <v>4</v>
      </c>
      <c r="K4845" s="14">
        <v>-56.755600000000001</v>
      </c>
    </row>
    <row r="4846" spans="1:11" x14ac:dyDescent="0.25">
      <c r="A4846" s="2">
        <v>44123</v>
      </c>
      <c r="B4846" s="18">
        <f t="shared" si="150"/>
        <v>2020</v>
      </c>
      <c r="C4846" s="18">
        <f t="shared" si="151"/>
        <v>10</v>
      </c>
      <c r="D4846" s="3" t="s">
        <v>221</v>
      </c>
      <c r="E4846" s="3" t="s">
        <v>23</v>
      </c>
      <c r="F4846" s="3" t="s">
        <v>11</v>
      </c>
      <c r="G4846" s="3" t="s">
        <v>12</v>
      </c>
      <c r="H4846" s="3" t="s">
        <v>2511</v>
      </c>
      <c r="I4846" s="11">
        <v>364.39920000000001</v>
      </c>
      <c r="J4846" s="18">
        <v>3</v>
      </c>
      <c r="K4846" s="12">
        <v>-91.758600000000001</v>
      </c>
    </row>
    <row r="4847" spans="1:11" x14ac:dyDescent="0.25">
      <c r="A4847" s="4">
        <v>44123</v>
      </c>
      <c r="B4847" s="19">
        <f t="shared" si="150"/>
        <v>2020</v>
      </c>
      <c r="C4847" s="19">
        <f t="shared" si="151"/>
        <v>10</v>
      </c>
      <c r="D4847" s="5" t="s">
        <v>2352</v>
      </c>
      <c r="E4847" s="5" t="s">
        <v>35</v>
      </c>
      <c r="F4847" s="5" t="s">
        <v>19</v>
      </c>
      <c r="G4847" s="5" t="s">
        <v>32</v>
      </c>
      <c r="H4847" s="5" t="s">
        <v>580</v>
      </c>
      <c r="I4847" s="13">
        <v>1677.1880000000001</v>
      </c>
      <c r="J4847" s="19">
        <v>4</v>
      </c>
      <c r="K4847" s="14">
        <v>-1306.5504000000001</v>
      </c>
    </row>
    <row r="4848" spans="1:11" x14ac:dyDescent="0.25">
      <c r="A4848" s="2">
        <v>44123</v>
      </c>
      <c r="B4848" s="18">
        <f t="shared" si="150"/>
        <v>2020</v>
      </c>
      <c r="C4848" s="18">
        <f t="shared" si="151"/>
        <v>10</v>
      </c>
      <c r="D4848" s="3" t="s">
        <v>221</v>
      </c>
      <c r="E4848" s="3" t="s">
        <v>23</v>
      </c>
      <c r="F4848" s="3" t="s">
        <v>19</v>
      </c>
      <c r="G4848" s="3" t="s">
        <v>32</v>
      </c>
      <c r="H4848" s="3" t="s">
        <v>2218</v>
      </c>
      <c r="I4848" s="11">
        <v>103.072</v>
      </c>
      <c r="J4848" s="18">
        <v>2</v>
      </c>
      <c r="K4848" s="12">
        <v>-3.5224000000000002</v>
      </c>
    </row>
    <row r="4849" spans="1:11" x14ac:dyDescent="0.25">
      <c r="A4849" s="4">
        <v>44123</v>
      </c>
      <c r="B4849" s="19">
        <f t="shared" si="150"/>
        <v>2020</v>
      </c>
      <c r="C4849" s="19">
        <f t="shared" si="151"/>
        <v>10</v>
      </c>
      <c r="D4849" s="5" t="s">
        <v>2512</v>
      </c>
      <c r="E4849" s="5" t="s">
        <v>18</v>
      </c>
      <c r="F4849" s="5" t="s">
        <v>19</v>
      </c>
      <c r="G4849" s="5" t="s">
        <v>86</v>
      </c>
      <c r="H4849" s="5" t="s">
        <v>585</v>
      </c>
      <c r="I4849" s="13">
        <v>112.96</v>
      </c>
      <c r="J4849" s="19">
        <v>2</v>
      </c>
      <c r="K4849" s="14">
        <v>4.3007999999999997</v>
      </c>
    </row>
    <row r="4850" spans="1:11" x14ac:dyDescent="0.25">
      <c r="A4850" s="2">
        <v>44123</v>
      </c>
      <c r="B4850" s="18">
        <f t="shared" si="150"/>
        <v>2020</v>
      </c>
      <c r="C4850" s="18">
        <f t="shared" si="151"/>
        <v>10</v>
      </c>
      <c r="D4850" s="3" t="s">
        <v>828</v>
      </c>
      <c r="E4850" s="3" t="s">
        <v>39</v>
      </c>
      <c r="F4850" s="3" t="s">
        <v>19</v>
      </c>
      <c r="G4850" s="3" t="s">
        <v>53</v>
      </c>
      <c r="H4850" s="3" t="s">
        <v>2061</v>
      </c>
      <c r="I4850" s="11">
        <v>135.68</v>
      </c>
      <c r="J4850" s="18">
        <v>4</v>
      </c>
      <c r="K4850" s="12">
        <v>7.4</v>
      </c>
    </row>
    <row r="4851" spans="1:11" x14ac:dyDescent="0.25">
      <c r="A4851" s="4">
        <v>44123</v>
      </c>
      <c r="B4851" s="19">
        <f t="shared" si="150"/>
        <v>2020</v>
      </c>
      <c r="C4851" s="19">
        <f t="shared" si="151"/>
        <v>10</v>
      </c>
      <c r="D4851" s="5" t="s">
        <v>2512</v>
      </c>
      <c r="E4851" s="5" t="s">
        <v>18</v>
      </c>
      <c r="F4851" s="5" t="s">
        <v>11</v>
      </c>
      <c r="G4851" s="5" t="s">
        <v>51</v>
      </c>
      <c r="H4851" s="5" t="s">
        <v>986</v>
      </c>
      <c r="I4851" s="13">
        <v>140.56</v>
      </c>
      <c r="J4851" s="19">
        <v>2</v>
      </c>
      <c r="K4851" s="14">
        <v>10.3904</v>
      </c>
    </row>
    <row r="4852" spans="1:11" x14ac:dyDescent="0.25">
      <c r="A4852" s="2">
        <v>44123</v>
      </c>
      <c r="B4852" s="18">
        <f t="shared" si="150"/>
        <v>2020</v>
      </c>
      <c r="C4852" s="18">
        <f t="shared" si="151"/>
        <v>10</v>
      </c>
      <c r="D4852" s="3" t="s">
        <v>2512</v>
      </c>
      <c r="E4852" s="3" t="s">
        <v>18</v>
      </c>
      <c r="F4852" s="3" t="s">
        <v>11</v>
      </c>
      <c r="G4852" s="3" t="s">
        <v>30</v>
      </c>
      <c r="H4852" s="3" t="s">
        <v>2513</v>
      </c>
      <c r="I4852" s="11">
        <v>131.36799999999999</v>
      </c>
      <c r="J4852" s="18">
        <v>2</v>
      </c>
      <c r="K4852" s="12">
        <v>-3.3506</v>
      </c>
    </row>
    <row r="4853" spans="1:11" x14ac:dyDescent="0.25">
      <c r="A4853" s="4">
        <v>44123</v>
      </c>
      <c r="B4853" s="19">
        <f t="shared" si="150"/>
        <v>2020</v>
      </c>
      <c r="C4853" s="19">
        <f t="shared" si="151"/>
        <v>10</v>
      </c>
      <c r="D4853" s="5" t="s">
        <v>335</v>
      </c>
      <c r="E4853" s="5" t="s">
        <v>23</v>
      </c>
      <c r="F4853" s="5" t="s">
        <v>14</v>
      </c>
      <c r="G4853" s="5" t="s">
        <v>15</v>
      </c>
      <c r="H4853" s="5" t="s">
        <v>2290</v>
      </c>
      <c r="I4853" s="13">
        <v>138.68</v>
      </c>
      <c r="J4853" s="19">
        <v>3</v>
      </c>
      <c r="K4853" s="14">
        <v>5.2125000000000004</v>
      </c>
    </row>
    <row r="4854" spans="1:11" x14ac:dyDescent="0.25">
      <c r="A4854" s="2">
        <v>44123</v>
      </c>
      <c r="B4854" s="18">
        <f t="shared" si="150"/>
        <v>2020</v>
      </c>
      <c r="C4854" s="18">
        <f t="shared" si="151"/>
        <v>10</v>
      </c>
      <c r="D4854" s="3" t="s">
        <v>1383</v>
      </c>
      <c r="E4854" s="3" t="s">
        <v>23</v>
      </c>
      <c r="F4854" s="3" t="s">
        <v>19</v>
      </c>
      <c r="G4854" s="3" t="s">
        <v>53</v>
      </c>
      <c r="H4854" s="3" t="s">
        <v>172</v>
      </c>
      <c r="I4854" s="11">
        <v>159.47200000000001</v>
      </c>
      <c r="J4854" s="18">
        <v>3</v>
      </c>
      <c r="K4854" s="12">
        <v>9.9467999999999996</v>
      </c>
    </row>
    <row r="4855" spans="1:11" x14ac:dyDescent="0.25">
      <c r="A4855" s="4">
        <v>44123</v>
      </c>
      <c r="B4855" s="19">
        <f t="shared" si="150"/>
        <v>2020</v>
      </c>
      <c r="C4855" s="19">
        <f t="shared" si="151"/>
        <v>10</v>
      </c>
      <c r="D4855" s="5" t="s">
        <v>1701</v>
      </c>
      <c r="E4855" s="5" t="s">
        <v>370</v>
      </c>
      <c r="F4855" s="5" t="s">
        <v>19</v>
      </c>
      <c r="G4855" s="5" t="s">
        <v>20</v>
      </c>
      <c r="H4855" s="5" t="s">
        <v>1481</v>
      </c>
      <c r="I4855" s="13">
        <v>128.69999999999999</v>
      </c>
      <c r="J4855" s="19">
        <v>3</v>
      </c>
      <c r="K4855" s="14">
        <v>8.5020000000000007</v>
      </c>
    </row>
    <row r="4856" spans="1:11" x14ac:dyDescent="0.25">
      <c r="A4856" s="2">
        <v>44123</v>
      </c>
      <c r="B4856" s="18">
        <f t="shared" si="150"/>
        <v>2020</v>
      </c>
      <c r="C4856" s="18">
        <f t="shared" si="151"/>
        <v>10</v>
      </c>
      <c r="D4856" s="3" t="s">
        <v>2512</v>
      </c>
      <c r="E4856" s="3" t="s">
        <v>18</v>
      </c>
      <c r="F4856" s="3" t="s">
        <v>19</v>
      </c>
      <c r="G4856" s="3" t="s">
        <v>127</v>
      </c>
      <c r="H4856" s="3" t="s">
        <v>334</v>
      </c>
      <c r="I4856" s="11">
        <v>133.5</v>
      </c>
      <c r="J4856" s="18">
        <v>10</v>
      </c>
      <c r="K4856" s="12">
        <v>15.12</v>
      </c>
    </row>
    <row r="4857" spans="1:11" x14ac:dyDescent="0.25">
      <c r="A4857" s="4">
        <v>44123</v>
      </c>
      <c r="B4857" s="19">
        <f t="shared" si="150"/>
        <v>2020</v>
      </c>
      <c r="C4857" s="19">
        <f t="shared" si="151"/>
        <v>10</v>
      </c>
      <c r="D4857" s="5" t="s">
        <v>1250</v>
      </c>
      <c r="E4857" s="5" t="s">
        <v>18</v>
      </c>
      <c r="F4857" s="5" t="s">
        <v>19</v>
      </c>
      <c r="G4857" s="5" t="s">
        <v>32</v>
      </c>
      <c r="H4857" s="5" t="s">
        <v>613</v>
      </c>
      <c r="I4857" s="13">
        <v>146.624</v>
      </c>
      <c r="J4857" s="19">
        <v>3</v>
      </c>
      <c r="K4857" s="14">
        <v>13.868399999999999</v>
      </c>
    </row>
    <row r="4858" spans="1:11" x14ac:dyDescent="0.25">
      <c r="A4858" s="2">
        <v>44123</v>
      </c>
      <c r="B4858" s="18">
        <f t="shared" si="150"/>
        <v>2020</v>
      </c>
      <c r="C4858" s="18">
        <f t="shared" si="151"/>
        <v>10</v>
      </c>
      <c r="D4858" s="3" t="s">
        <v>1701</v>
      </c>
      <c r="E4858" s="3" t="s">
        <v>370</v>
      </c>
      <c r="F4858" s="3" t="s">
        <v>11</v>
      </c>
      <c r="G4858" s="3" t="s">
        <v>51</v>
      </c>
      <c r="H4858" s="3" t="s">
        <v>415</v>
      </c>
      <c r="I4858" s="11">
        <v>157.56</v>
      </c>
      <c r="J4858" s="18">
        <v>4</v>
      </c>
      <c r="K4858" s="12">
        <v>14.7056</v>
      </c>
    </row>
    <row r="4859" spans="1:11" x14ac:dyDescent="0.25">
      <c r="A4859" s="4">
        <v>44124</v>
      </c>
      <c r="B4859" s="19">
        <f t="shared" si="150"/>
        <v>2020</v>
      </c>
      <c r="C4859" s="19">
        <f t="shared" si="151"/>
        <v>10</v>
      </c>
      <c r="D4859" s="5" t="s">
        <v>1071</v>
      </c>
      <c r="E4859" s="5" t="s">
        <v>589</v>
      </c>
      <c r="F4859" s="5" t="s">
        <v>19</v>
      </c>
      <c r="G4859" s="5" t="s">
        <v>32</v>
      </c>
      <c r="H4859" s="5" t="s">
        <v>1155</v>
      </c>
      <c r="I4859" s="13">
        <v>188.85</v>
      </c>
      <c r="J4859" s="19">
        <v>5</v>
      </c>
      <c r="K4859" s="14">
        <v>70.007999999999996</v>
      </c>
    </row>
    <row r="4860" spans="1:11" x14ac:dyDescent="0.25">
      <c r="A4860" s="2">
        <v>44124</v>
      </c>
      <c r="B4860" s="18">
        <f t="shared" si="150"/>
        <v>2020</v>
      </c>
      <c r="C4860" s="18">
        <f t="shared" si="151"/>
        <v>10</v>
      </c>
      <c r="D4860" s="3" t="s">
        <v>349</v>
      </c>
      <c r="E4860" s="3" t="s">
        <v>67</v>
      </c>
      <c r="F4860" s="3" t="s">
        <v>11</v>
      </c>
      <c r="G4860" s="3" t="s">
        <v>30</v>
      </c>
      <c r="H4860" s="3" t="s">
        <v>1477</v>
      </c>
      <c r="I4860" s="11">
        <v>317.36399999999998</v>
      </c>
      <c r="J4860" s="18">
        <v>2</v>
      </c>
      <c r="K4860" s="12">
        <v>-75.830399999999997</v>
      </c>
    </row>
    <row r="4861" spans="1:11" x14ac:dyDescent="0.25">
      <c r="A4861" s="4">
        <v>44124</v>
      </c>
      <c r="B4861" s="19">
        <f t="shared" si="150"/>
        <v>2020</v>
      </c>
      <c r="C4861" s="19">
        <f t="shared" si="151"/>
        <v>10</v>
      </c>
      <c r="D4861" s="5" t="s">
        <v>349</v>
      </c>
      <c r="E4861" s="5" t="s">
        <v>67</v>
      </c>
      <c r="F4861" s="5" t="s">
        <v>19</v>
      </c>
      <c r="G4861" s="5" t="s">
        <v>20</v>
      </c>
      <c r="H4861" s="5" t="s">
        <v>1957</v>
      </c>
      <c r="I4861" s="13">
        <v>715.40800000000002</v>
      </c>
      <c r="J4861" s="19">
        <v>2</v>
      </c>
      <c r="K4861" s="14">
        <v>66.540800000000004</v>
      </c>
    </row>
    <row r="4862" spans="1:11" x14ac:dyDescent="0.25">
      <c r="A4862" s="2">
        <v>44124</v>
      </c>
      <c r="B4862" s="18">
        <f t="shared" si="150"/>
        <v>2020</v>
      </c>
      <c r="C4862" s="18">
        <f t="shared" si="151"/>
        <v>10</v>
      </c>
      <c r="D4862" s="3" t="s">
        <v>1512</v>
      </c>
      <c r="E4862" s="3" t="s">
        <v>44</v>
      </c>
      <c r="F4862" s="3" t="s">
        <v>19</v>
      </c>
      <c r="G4862" s="3" t="s">
        <v>20</v>
      </c>
      <c r="H4862" s="3" t="s">
        <v>631</v>
      </c>
      <c r="I4862" s="11">
        <v>83.768000000000001</v>
      </c>
      <c r="J4862" s="18">
        <v>2</v>
      </c>
      <c r="K4862" s="12">
        <v>-0.77480000000000004</v>
      </c>
    </row>
    <row r="4863" spans="1:11" x14ac:dyDescent="0.25">
      <c r="A4863" s="4">
        <v>44124</v>
      </c>
      <c r="B4863" s="19">
        <f t="shared" si="150"/>
        <v>2020</v>
      </c>
      <c r="C4863" s="19">
        <f t="shared" si="151"/>
        <v>10</v>
      </c>
      <c r="D4863" s="5" t="s">
        <v>1975</v>
      </c>
      <c r="E4863" s="5" t="s">
        <v>18</v>
      </c>
      <c r="F4863" s="5" t="s">
        <v>19</v>
      </c>
      <c r="G4863" s="5" t="s">
        <v>127</v>
      </c>
      <c r="H4863" s="5" t="s">
        <v>2096</v>
      </c>
      <c r="I4863" s="13">
        <v>104.75</v>
      </c>
      <c r="J4863" s="19">
        <v>1</v>
      </c>
      <c r="K4863" s="14">
        <v>1.8</v>
      </c>
    </row>
    <row r="4864" spans="1:11" x14ac:dyDescent="0.25">
      <c r="A4864" s="2">
        <v>44124</v>
      </c>
      <c r="B4864" s="18">
        <f t="shared" si="150"/>
        <v>2020</v>
      </c>
      <c r="C4864" s="18">
        <f t="shared" si="151"/>
        <v>10</v>
      </c>
      <c r="D4864" s="3" t="s">
        <v>1071</v>
      </c>
      <c r="E4864" s="3" t="s">
        <v>589</v>
      </c>
      <c r="F4864" s="3" t="s">
        <v>19</v>
      </c>
      <c r="G4864" s="3" t="s">
        <v>40</v>
      </c>
      <c r="H4864" s="3" t="s">
        <v>1593</v>
      </c>
      <c r="I4864" s="11">
        <v>75.36</v>
      </c>
      <c r="J4864" s="18">
        <v>4</v>
      </c>
      <c r="K4864" s="12">
        <v>4.1416000000000004</v>
      </c>
    </row>
    <row r="4865" spans="1:11" x14ac:dyDescent="0.25">
      <c r="A4865" s="4">
        <v>44124</v>
      </c>
      <c r="B4865" s="19">
        <f t="shared" si="150"/>
        <v>2020</v>
      </c>
      <c r="C4865" s="19">
        <f t="shared" si="151"/>
        <v>10</v>
      </c>
      <c r="D4865" s="5" t="s">
        <v>441</v>
      </c>
      <c r="E4865" s="5" t="s">
        <v>35</v>
      </c>
      <c r="F4865" s="5" t="s">
        <v>14</v>
      </c>
      <c r="G4865" s="5" t="s">
        <v>15</v>
      </c>
      <c r="H4865" s="5" t="s">
        <v>1612</v>
      </c>
      <c r="I4865" s="13">
        <v>100.98399999999999</v>
      </c>
      <c r="J4865" s="19">
        <v>2</v>
      </c>
      <c r="K4865" s="14">
        <v>1.3986000000000001</v>
      </c>
    </row>
    <row r="4866" spans="1:11" x14ac:dyDescent="0.25">
      <c r="A4866" s="2">
        <v>44124</v>
      </c>
      <c r="B4866" s="18">
        <f t="shared" ref="B4866:B4929" si="152">YEAR(A4866)</f>
        <v>2020</v>
      </c>
      <c r="C4866" s="18">
        <f t="shared" ref="C4866:C4929" si="153">MONTH(A4866)</f>
        <v>10</v>
      </c>
      <c r="D4866" s="3" t="s">
        <v>1512</v>
      </c>
      <c r="E4866" s="3" t="s">
        <v>44</v>
      </c>
      <c r="F4866" s="3" t="s">
        <v>19</v>
      </c>
      <c r="G4866" s="3" t="s">
        <v>40</v>
      </c>
      <c r="H4866" s="3" t="s">
        <v>366</v>
      </c>
      <c r="I4866" s="11">
        <v>135.44800000000001</v>
      </c>
      <c r="J4866" s="18">
        <v>2</v>
      </c>
      <c r="K4866" s="12">
        <v>1.1120000000000001</v>
      </c>
    </row>
    <row r="4867" spans="1:11" x14ac:dyDescent="0.25">
      <c r="A4867" s="4">
        <v>44124</v>
      </c>
      <c r="B4867" s="19">
        <f t="shared" si="152"/>
        <v>2020</v>
      </c>
      <c r="C4867" s="19">
        <f t="shared" si="153"/>
        <v>10</v>
      </c>
      <c r="D4867" s="5" t="s">
        <v>1512</v>
      </c>
      <c r="E4867" s="5" t="s">
        <v>44</v>
      </c>
      <c r="F4867" s="5" t="s">
        <v>19</v>
      </c>
      <c r="G4867" s="5" t="s">
        <v>53</v>
      </c>
      <c r="H4867" s="5" t="s">
        <v>1632</v>
      </c>
      <c r="I4867" s="13">
        <v>108.672</v>
      </c>
      <c r="J4867" s="19">
        <v>1</v>
      </c>
      <c r="K4867" s="14">
        <v>2.5019999999999998</v>
      </c>
    </row>
    <row r="4868" spans="1:11" x14ac:dyDescent="0.25">
      <c r="A4868" s="2">
        <v>44124</v>
      </c>
      <c r="B4868" s="18">
        <f t="shared" si="152"/>
        <v>2020</v>
      </c>
      <c r="C4868" s="18">
        <f t="shared" si="153"/>
        <v>10</v>
      </c>
      <c r="D4868" s="3" t="s">
        <v>1512</v>
      </c>
      <c r="E4868" s="3" t="s">
        <v>44</v>
      </c>
      <c r="F4868" s="3" t="s">
        <v>11</v>
      </c>
      <c r="G4868" s="3" t="s">
        <v>51</v>
      </c>
      <c r="H4868" s="3" t="s">
        <v>2514</v>
      </c>
      <c r="I4868" s="11">
        <v>137.93600000000001</v>
      </c>
      <c r="J4868" s="18">
        <v>4</v>
      </c>
      <c r="K4868" s="12">
        <v>6.0411999999999999</v>
      </c>
    </row>
    <row r="4869" spans="1:11" x14ac:dyDescent="0.25">
      <c r="A4869" s="4">
        <v>44124</v>
      </c>
      <c r="B4869" s="19">
        <f t="shared" si="152"/>
        <v>2020</v>
      </c>
      <c r="C4869" s="19">
        <f t="shared" si="153"/>
        <v>10</v>
      </c>
      <c r="D4869" s="5" t="s">
        <v>441</v>
      </c>
      <c r="E4869" s="5" t="s">
        <v>35</v>
      </c>
      <c r="F4869" s="5" t="s">
        <v>19</v>
      </c>
      <c r="G4869" s="5" t="s">
        <v>53</v>
      </c>
      <c r="H4869" s="5" t="s">
        <v>937</v>
      </c>
      <c r="I4869" s="13">
        <v>131.352</v>
      </c>
      <c r="J4869" s="19">
        <v>3</v>
      </c>
      <c r="K4869" s="14">
        <v>4.4850000000000003</v>
      </c>
    </row>
    <row r="4870" spans="1:11" x14ac:dyDescent="0.25">
      <c r="A4870" s="2">
        <v>44124</v>
      </c>
      <c r="B4870" s="18">
        <f t="shared" si="152"/>
        <v>2020</v>
      </c>
      <c r="C4870" s="18">
        <f t="shared" si="153"/>
        <v>10</v>
      </c>
      <c r="D4870" s="3" t="s">
        <v>367</v>
      </c>
      <c r="E4870" s="3" t="s">
        <v>94</v>
      </c>
      <c r="F4870" s="3" t="s">
        <v>19</v>
      </c>
      <c r="G4870" s="3" t="s">
        <v>127</v>
      </c>
      <c r="H4870" s="3" t="s">
        <v>1329</v>
      </c>
      <c r="I4870" s="11">
        <v>124.55</v>
      </c>
      <c r="J4870" s="18">
        <v>5</v>
      </c>
      <c r="K4870" s="12">
        <v>12.029500000000001</v>
      </c>
    </row>
    <row r="4871" spans="1:11" x14ac:dyDescent="0.25">
      <c r="A4871" s="4">
        <v>44124</v>
      </c>
      <c r="B4871" s="19">
        <f t="shared" si="152"/>
        <v>2020</v>
      </c>
      <c r="C4871" s="19">
        <f t="shared" si="153"/>
        <v>10</v>
      </c>
      <c r="D4871" s="5" t="s">
        <v>1975</v>
      </c>
      <c r="E4871" s="5" t="s">
        <v>18</v>
      </c>
      <c r="F4871" s="5" t="s">
        <v>19</v>
      </c>
      <c r="G4871" s="5" t="s">
        <v>32</v>
      </c>
      <c r="H4871" s="5" t="s">
        <v>2298</v>
      </c>
      <c r="I4871" s="13">
        <v>127.928</v>
      </c>
      <c r="J4871" s="19">
        <v>4</v>
      </c>
      <c r="K4871" s="14">
        <v>7.5864000000000003</v>
      </c>
    </row>
    <row r="4872" spans="1:11" x14ac:dyDescent="0.25">
      <c r="A4872" s="2">
        <v>44124</v>
      </c>
      <c r="B4872" s="18">
        <f t="shared" si="152"/>
        <v>2020</v>
      </c>
      <c r="C4872" s="18">
        <f t="shared" si="153"/>
        <v>10</v>
      </c>
      <c r="D4872" s="3" t="s">
        <v>1071</v>
      </c>
      <c r="E4872" s="3" t="s">
        <v>589</v>
      </c>
      <c r="F4872" s="3" t="s">
        <v>19</v>
      </c>
      <c r="G4872" s="3" t="s">
        <v>53</v>
      </c>
      <c r="H4872" s="3" t="s">
        <v>1109</v>
      </c>
      <c r="I4872" s="11">
        <v>147.96</v>
      </c>
      <c r="J4872" s="18">
        <v>2</v>
      </c>
      <c r="K4872" s="12">
        <v>18.781199999999998</v>
      </c>
    </row>
    <row r="4873" spans="1:11" x14ac:dyDescent="0.25">
      <c r="A4873" s="4">
        <v>44124</v>
      </c>
      <c r="B4873" s="19">
        <f t="shared" si="152"/>
        <v>2020</v>
      </c>
      <c r="C4873" s="19">
        <f t="shared" si="153"/>
        <v>10</v>
      </c>
      <c r="D4873" s="5" t="s">
        <v>1383</v>
      </c>
      <c r="E4873" s="5" t="s">
        <v>39</v>
      </c>
      <c r="F4873" s="5" t="s">
        <v>19</v>
      </c>
      <c r="G4873" s="5" t="s">
        <v>53</v>
      </c>
      <c r="H4873" s="5" t="s">
        <v>1664</v>
      </c>
      <c r="I4873" s="13">
        <v>138.52799999999999</v>
      </c>
      <c r="J4873" s="19">
        <v>3</v>
      </c>
      <c r="K4873" s="14">
        <v>15.934799999999999</v>
      </c>
    </row>
    <row r="4874" spans="1:11" x14ac:dyDescent="0.25">
      <c r="A4874" s="2">
        <v>44125</v>
      </c>
      <c r="B4874" s="18">
        <f t="shared" si="152"/>
        <v>2020</v>
      </c>
      <c r="C4874" s="18">
        <f t="shared" si="153"/>
        <v>10</v>
      </c>
      <c r="D4874" s="3" t="s">
        <v>1731</v>
      </c>
      <c r="E4874" s="3" t="s">
        <v>67</v>
      </c>
      <c r="F4874" s="3" t="s">
        <v>19</v>
      </c>
      <c r="G4874" s="3" t="s">
        <v>121</v>
      </c>
      <c r="H4874" s="3" t="s">
        <v>1170</v>
      </c>
      <c r="I4874" s="11">
        <v>190.56800000000001</v>
      </c>
      <c r="J4874" s="18">
        <v>2</v>
      </c>
      <c r="K4874" s="12">
        <v>16.1568</v>
      </c>
    </row>
    <row r="4875" spans="1:11" x14ac:dyDescent="0.25">
      <c r="A4875" s="4">
        <v>44125</v>
      </c>
      <c r="B4875" s="19">
        <f t="shared" si="152"/>
        <v>2020</v>
      </c>
      <c r="C4875" s="19">
        <f t="shared" si="153"/>
        <v>10</v>
      </c>
      <c r="D4875" s="5" t="s">
        <v>2002</v>
      </c>
      <c r="E4875" s="5" t="s">
        <v>29</v>
      </c>
      <c r="F4875" s="5" t="s">
        <v>11</v>
      </c>
      <c r="G4875" s="5" t="s">
        <v>30</v>
      </c>
      <c r="H4875" s="5" t="s">
        <v>243</v>
      </c>
      <c r="I4875" s="13">
        <v>307.11</v>
      </c>
      <c r="J4875" s="19">
        <v>1</v>
      </c>
      <c r="K4875" s="14">
        <v>62.906399999999998</v>
      </c>
    </row>
    <row r="4876" spans="1:11" x14ac:dyDescent="0.25">
      <c r="A4876" s="2">
        <v>44125</v>
      </c>
      <c r="B4876" s="18">
        <f t="shared" si="152"/>
        <v>2020</v>
      </c>
      <c r="C4876" s="18">
        <f t="shared" si="153"/>
        <v>10</v>
      </c>
      <c r="D4876" s="3" t="s">
        <v>1740</v>
      </c>
      <c r="E4876" s="3" t="s">
        <v>39</v>
      </c>
      <c r="F4876" s="3" t="s">
        <v>14</v>
      </c>
      <c r="G4876" s="3" t="s">
        <v>15</v>
      </c>
      <c r="H4876" s="3" t="s">
        <v>896</v>
      </c>
      <c r="I4876" s="11">
        <v>344.988</v>
      </c>
      <c r="J4876" s="18">
        <v>2</v>
      </c>
      <c r="K4876" s="12">
        <v>-76.997200000000007</v>
      </c>
    </row>
    <row r="4877" spans="1:11" x14ac:dyDescent="0.25">
      <c r="A4877" s="4">
        <v>44125</v>
      </c>
      <c r="B4877" s="19">
        <f t="shared" si="152"/>
        <v>2020</v>
      </c>
      <c r="C4877" s="19">
        <f t="shared" si="153"/>
        <v>10</v>
      </c>
      <c r="D4877" s="5" t="s">
        <v>493</v>
      </c>
      <c r="E4877" s="5" t="s">
        <v>465</v>
      </c>
      <c r="F4877" s="5" t="s">
        <v>11</v>
      </c>
      <c r="G4877" s="5" t="s">
        <v>112</v>
      </c>
      <c r="H4877" s="5" t="s">
        <v>2367</v>
      </c>
      <c r="I4877" s="13">
        <v>496.48</v>
      </c>
      <c r="J4877" s="19">
        <v>2</v>
      </c>
      <c r="K4877" s="14">
        <v>47.847999999999999</v>
      </c>
    </row>
    <row r="4878" spans="1:11" x14ac:dyDescent="0.25">
      <c r="A4878" s="2">
        <v>44125</v>
      </c>
      <c r="B4878" s="18">
        <f t="shared" si="152"/>
        <v>2020</v>
      </c>
      <c r="C4878" s="18">
        <f t="shared" si="153"/>
        <v>10</v>
      </c>
      <c r="D4878" s="3" t="s">
        <v>2515</v>
      </c>
      <c r="E4878" s="3" t="s">
        <v>44</v>
      </c>
      <c r="F4878" s="3" t="s">
        <v>11</v>
      </c>
      <c r="G4878" s="3" t="s">
        <v>112</v>
      </c>
      <c r="H4878" s="3" t="s">
        <v>1997</v>
      </c>
      <c r="I4878" s="11">
        <v>717.952</v>
      </c>
      <c r="J4878" s="18">
        <v>3</v>
      </c>
      <c r="K4878" s="12">
        <v>42.747</v>
      </c>
    </row>
    <row r="4879" spans="1:11" x14ac:dyDescent="0.25">
      <c r="A4879" s="4">
        <v>44125</v>
      </c>
      <c r="B4879" s="19">
        <f t="shared" si="152"/>
        <v>2020</v>
      </c>
      <c r="C4879" s="19">
        <f t="shared" si="153"/>
        <v>10</v>
      </c>
      <c r="D4879" s="5" t="s">
        <v>2310</v>
      </c>
      <c r="E4879" s="5" t="s">
        <v>317</v>
      </c>
      <c r="F4879" s="5" t="s">
        <v>19</v>
      </c>
      <c r="G4879" s="5" t="s">
        <v>20</v>
      </c>
      <c r="H4879" s="5" t="s">
        <v>1405</v>
      </c>
      <c r="I4879" s="13">
        <v>928.12</v>
      </c>
      <c r="J4879" s="19">
        <v>8</v>
      </c>
      <c r="K4879" s="14">
        <v>9.0912000000000006</v>
      </c>
    </row>
    <row r="4880" spans="1:11" x14ac:dyDescent="0.25">
      <c r="A4880" s="2">
        <v>44125</v>
      </c>
      <c r="B4880" s="18">
        <f t="shared" si="152"/>
        <v>2020</v>
      </c>
      <c r="C4880" s="18">
        <f t="shared" si="153"/>
        <v>10</v>
      </c>
      <c r="D4880" s="3" t="s">
        <v>2002</v>
      </c>
      <c r="E4880" s="3" t="s">
        <v>29</v>
      </c>
      <c r="F4880" s="3" t="s">
        <v>14</v>
      </c>
      <c r="G4880" s="3" t="s">
        <v>15</v>
      </c>
      <c r="H4880" s="3" t="s">
        <v>329</v>
      </c>
      <c r="I4880" s="11">
        <v>1460.92</v>
      </c>
      <c r="J4880" s="18">
        <v>8</v>
      </c>
      <c r="K4880" s="12">
        <v>374.37920000000003</v>
      </c>
    </row>
    <row r="4881" spans="1:11" x14ac:dyDescent="0.25">
      <c r="A4881" s="4">
        <v>44125</v>
      </c>
      <c r="B4881" s="19">
        <f t="shared" si="152"/>
        <v>2020</v>
      </c>
      <c r="C4881" s="19">
        <f t="shared" si="153"/>
        <v>10</v>
      </c>
      <c r="D4881" s="5" t="s">
        <v>766</v>
      </c>
      <c r="E4881" s="5" t="s">
        <v>198</v>
      </c>
      <c r="F4881" s="5" t="s">
        <v>19</v>
      </c>
      <c r="G4881" s="5" t="s">
        <v>32</v>
      </c>
      <c r="H4881" s="5" t="s">
        <v>2072</v>
      </c>
      <c r="I4881" s="13">
        <v>102.559</v>
      </c>
      <c r="J4881" s="19">
        <v>1</v>
      </c>
      <c r="K4881" s="14">
        <v>-6.5618999999999996</v>
      </c>
    </row>
    <row r="4882" spans="1:11" x14ac:dyDescent="0.25">
      <c r="A4882" s="2">
        <v>44125</v>
      </c>
      <c r="B4882" s="18">
        <f t="shared" si="152"/>
        <v>2020</v>
      </c>
      <c r="C4882" s="18">
        <f t="shared" si="153"/>
        <v>10</v>
      </c>
      <c r="D4882" s="3" t="s">
        <v>1731</v>
      </c>
      <c r="E4882" s="3" t="s">
        <v>67</v>
      </c>
      <c r="F4882" s="3" t="s">
        <v>19</v>
      </c>
      <c r="G4882" s="3" t="s">
        <v>32</v>
      </c>
      <c r="H4882" s="3" t="s">
        <v>2218</v>
      </c>
      <c r="I4882" s="11">
        <v>118.21599999999999</v>
      </c>
      <c r="J4882" s="18">
        <v>4</v>
      </c>
      <c r="K4882" s="12">
        <v>-4.9728000000000003</v>
      </c>
    </row>
    <row r="4883" spans="1:11" x14ac:dyDescent="0.25">
      <c r="A4883" s="4">
        <v>44125</v>
      </c>
      <c r="B4883" s="19">
        <f t="shared" si="152"/>
        <v>2020</v>
      </c>
      <c r="C4883" s="19">
        <f t="shared" si="153"/>
        <v>10</v>
      </c>
      <c r="D4883" s="5" t="s">
        <v>493</v>
      </c>
      <c r="E4883" s="5" t="s">
        <v>465</v>
      </c>
      <c r="F4883" s="5" t="s">
        <v>19</v>
      </c>
      <c r="G4883" s="5" t="s">
        <v>53</v>
      </c>
      <c r="H4883" s="5" t="s">
        <v>125</v>
      </c>
      <c r="I4883" s="13">
        <v>125.184</v>
      </c>
      <c r="J4883" s="19">
        <v>1</v>
      </c>
      <c r="K4883" s="14">
        <v>1.8144</v>
      </c>
    </row>
    <row r="4884" spans="1:11" x14ac:dyDescent="0.25">
      <c r="A4884" s="2">
        <v>44125</v>
      </c>
      <c r="B4884" s="18">
        <f t="shared" si="152"/>
        <v>2020</v>
      </c>
      <c r="C4884" s="18">
        <f t="shared" si="153"/>
        <v>10</v>
      </c>
      <c r="D4884" s="3" t="s">
        <v>1731</v>
      </c>
      <c r="E4884" s="3" t="s">
        <v>67</v>
      </c>
      <c r="F4884" s="3" t="s">
        <v>19</v>
      </c>
      <c r="G4884" s="3" t="s">
        <v>53</v>
      </c>
      <c r="H4884" s="3" t="s">
        <v>1489</v>
      </c>
      <c r="I4884" s="11">
        <v>136.06399999999999</v>
      </c>
      <c r="J4884" s="18">
        <v>1</v>
      </c>
      <c r="K4884" s="12">
        <v>1.3715999999999999</v>
      </c>
    </row>
    <row r="4885" spans="1:11" x14ac:dyDescent="0.25">
      <c r="A4885" s="4">
        <v>44125</v>
      </c>
      <c r="B4885" s="19">
        <f t="shared" si="152"/>
        <v>2020</v>
      </c>
      <c r="C4885" s="19">
        <f t="shared" si="153"/>
        <v>10</v>
      </c>
      <c r="D4885" s="5" t="s">
        <v>493</v>
      </c>
      <c r="E4885" s="5" t="s">
        <v>465</v>
      </c>
      <c r="F4885" s="5" t="s">
        <v>14</v>
      </c>
      <c r="G4885" s="5" t="s">
        <v>24</v>
      </c>
      <c r="H4885" s="5" t="s">
        <v>1296</v>
      </c>
      <c r="I4885" s="13">
        <v>134.4</v>
      </c>
      <c r="J4885" s="19">
        <v>2</v>
      </c>
      <c r="K4885" s="14">
        <v>6.7450000000000001</v>
      </c>
    </row>
    <row r="4886" spans="1:11" x14ac:dyDescent="0.25">
      <c r="A4886" s="2">
        <v>44125</v>
      </c>
      <c r="B4886" s="18">
        <f t="shared" si="152"/>
        <v>2020</v>
      </c>
      <c r="C4886" s="18">
        <f t="shared" si="153"/>
        <v>10</v>
      </c>
      <c r="D4886" s="3" t="s">
        <v>201</v>
      </c>
      <c r="E4886" s="3" t="s">
        <v>56</v>
      </c>
      <c r="F4886" s="3" t="s">
        <v>19</v>
      </c>
      <c r="G4886" s="3" t="s">
        <v>32</v>
      </c>
      <c r="H4886" s="3" t="s">
        <v>1888</v>
      </c>
      <c r="I4886" s="11">
        <v>127.9</v>
      </c>
      <c r="J4886" s="18">
        <v>5</v>
      </c>
      <c r="K4886" s="12">
        <v>10.512</v>
      </c>
    </row>
    <row r="4887" spans="1:11" x14ac:dyDescent="0.25">
      <c r="A4887" s="4">
        <v>44125</v>
      </c>
      <c r="B4887" s="19">
        <f t="shared" si="152"/>
        <v>2020</v>
      </c>
      <c r="C4887" s="19">
        <f t="shared" si="153"/>
        <v>10</v>
      </c>
      <c r="D4887" s="5" t="s">
        <v>619</v>
      </c>
      <c r="E4887" s="5" t="s">
        <v>164</v>
      </c>
      <c r="F4887" s="5" t="s">
        <v>19</v>
      </c>
      <c r="G4887" s="5" t="s">
        <v>121</v>
      </c>
      <c r="H4887" s="5" t="s">
        <v>2383</v>
      </c>
      <c r="I4887" s="13">
        <v>130.99199999999999</v>
      </c>
      <c r="J4887" s="19">
        <v>2</v>
      </c>
      <c r="K4887" s="14">
        <v>-62.379199999999997</v>
      </c>
    </row>
    <row r="4888" spans="1:11" x14ac:dyDescent="0.25">
      <c r="A4888" s="2">
        <v>44125</v>
      </c>
      <c r="B4888" s="18">
        <f t="shared" si="152"/>
        <v>2020</v>
      </c>
      <c r="C4888" s="18">
        <f t="shared" si="153"/>
        <v>10</v>
      </c>
      <c r="D4888" s="3" t="s">
        <v>1248</v>
      </c>
      <c r="E4888" s="3" t="s">
        <v>44</v>
      </c>
      <c r="F4888" s="3" t="s">
        <v>19</v>
      </c>
      <c r="G4888" s="3" t="s">
        <v>40</v>
      </c>
      <c r="H4888" s="3" t="s">
        <v>478</v>
      </c>
      <c r="I4888" s="11">
        <v>128.85599999999999</v>
      </c>
      <c r="J4888" s="18">
        <v>4</v>
      </c>
      <c r="K4888" s="12">
        <v>2.0087999999999999</v>
      </c>
    </row>
    <row r="4889" spans="1:11" x14ac:dyDescent="0.25">
      <c r="A4889" s="4">
        <v>44125</v>
      </c>
      <c r="B4889" s="19">
        <f t="shared" si="152"/>
        <v>2020</v>
      </c>
      <c r="C4889" s="19">
        <f t="shared" si="153"/>
        <v>10</v>
      </c>
      <c r="D4889" s="5" t="s">
        <v>2515</v>
      </c>
      <c r="E4889" s="5" t="s">
        <v>44</v>
      </c>
      <c r="F4889" s="5" t="s">
        <v>11</v>
      </c>
      <c r="G4889" s="5" t="s">
        <v>51</v>
      </c>
      <c r="H4889" s="5" t="s">
        <v>1298</v>
      </c>
      <c r="I4889" s="13">
        <v>167.696</v>
      </c>
      <c r="J4889" s="19">
        <v>3</v>
      </c>
      <c r="K4889" s="14">
        <v>5.1407999999999996</v>
      </c>
    </row>
    <row r="4890" spans="1:11" x14ac:dyDescent="0.25">
      <c r="A4890" s="2">
        <v>44125</v>
      </c>
      <c r="B4890" s="18">
        <f t="shared" si="152"/>
        <v>2020</v>
      </c>
      <c r="C4890" s="18">
        <f t="shared" si="153"/>
        <v>10</v>
      </c>
      <c r="D4890" s="3" t="s">
        <v>201</v>
      </c>
      <c r="E4890" s="3" t="s">
        <v>56</v>
      </c>
      <c r="F4890" s="3" t="s">
        <v>19</v>
      </c>
      <c r="G4890" s="3" t="s">
        <v>32</v>
      </c>
      <c r="H4890" s="3" t="s">
        <v>849</v>
      </c>
      <c r="I4890" s="11">
        <v>171.82</v>
      </c>
      <c r="J4890" s="18">
        <v>6</v>
      </c>
      <c r="K4890" s="12">
        <v>19.41</v>
      </c>
    </row>
    <row r="4891" spans="1:11" x14ac:dyDescent="0.25">
      <c r="A4891" s="4">
        <v>44125</v>
      </c>
      <c r="B4891" s="19">
        <f t="shared" si="152"/>
        <v>2020</v>
      </c>
      <c r="C4891" s="19">
        <f t="shared" si="153"/>
        <v>10</v>
      </c>
      <c r="D4891" s="5" t="s">
        <v>1740</v>
      </c>
      <c r="E4891" s="5" t="s">
        <v>39</v>
      </c>
      <c r="F4891" s="5" t="s">
        <v>19</v>
      </c>
      <c r="G4891" s="5" t="s">
        <v>20</v>
      </c>
      <c r="H4891" s="5" t="s">
        <v>1539</v>
      </c>
      <c r="I4891" s="13">
        <v>147.376</v>
      </c>
      <c r="J4891" s="19">
        <v>3</v>
      </c>
      <c r="K4891" s="14">
        <v>-4.4610000000000003</v>
      </c>
    </row>
    <row r="4892" spans="1:11" x14ac:dyDescent="0.25">
      <c r="A4892" s="2">
        <v>44126</v>
      </c>
      <c r="B4892" s="18">
        <f t="shared" si="152"/>
        <v>2020</v>
      </c>
      <c r="C4892" s="18">
        <f t="shared" si="153"/>
        <v>10</v>
      </c>
      <c r="D4892" s="3" t="s">
        <v>1890</v>
      </c>
      <c r="E4892" s="3" t="s">
        <v>465</v>
      </c>
      <c r="F4892" s="3" t="s">
        <v>11</v>
      </c>
      <c r="G4892" s="3" t="s">
        <v>30</v>
      </c>
      <c r="H4892" s="3" t="s">
        <v>980</v>
      </c>
      <c r="I4892" s="11">
        <v>195.22499999999999</v>
      </c>
      <c r="J4892" s="18">
        <v>5</v>
      </c>
      <c r="K4892" s="12">
        <v>-120.51300000000001</v>
      </c>
    </row>
    <row r="4893" spans="1:11" x14ac:dyDescent="0.25">
      <c r="A4893" s="4">
        <v>44126</v>
      </c>
      <c r="B4893" s="19">
        <f t="shared" si="152"/>
        <v>2020</v>
      </c>
      <c r="C4893" s="19">
        <f t="shared" si="153"/>
        <v>10</v>
      </c>
      <c r="D4893" s="5" t="s">
        <v>354</v>
      </c>
      <c r="E4893" s="5" t="s">
        <v>29</v>
      </c>
      <c r="F4893" s="5" t="s">
        <v>11</v>
      </c>
      <c r="G4893" s="5" t="s">
        <v>30</v>
      </c>
      <c r="H4893" s="5" t="s">
        <v>775</v>
      </c>
      <c r="I4893" s="13">
        <v>293.98</v>
      </c>
      <c r="J4893" s="19">
        <v>2</v>
      </c>
      <c r="K4893" s="14">
        <v>54.775599999999997</v>
      </c>
    </row>
    <row r="4894" spans="1:11" x14ac:dyDescent="0.25">
      <c r="A4894" s="2">
        <v>44126</v>
      </c>
      <c r="B4894" s="18">
        <f t="shared" si="152"/>
        <v>2020</v>
      </c>
      <c r="C4894" s="18">
        <f t="shared" si="153"/>
        <v>10</v>
      </c>
      <c r="D4894" s="3" t="s">
        <v>354</v>
      </c>
      <c r="E4894" s="3" t="s">
        <v>29</v>
      </c>
      <c r="F4894" s="3" t="s">
        <v>19</v>
      </c>
      <c r="G4894" s="3" t="s">
        <v>20</v>
      </c>
      <c r="H4894" s="3" t="s">
        <v>2516</v>
      </c>
      <c r="I4894" s="11">
        <v>343.09</v>
      </c>
      <c r="J4894" s="18">
        <v>3</v>
      </c>
      <c r="K4894" s="12">
        <v>23.316299999999998</v>
      </c>
    </row>
    <row r="4895" spans="1:11" x14ac:dyDescent="0.25">
      <c r="A4895" s="4">
        <v>44126</v>
      </c>
      <c r="B4895" s="19">
        <f t="shared" si="152"/>
        <v>2020</v>
      </c>
      <c r="C4895" s="19">
        <f t="shared" si="153"/>
        <v>10</v>
      </c>
      <c r="D4895" s="5" t="s">
        <v>1609</v>
      </c>
      <c r="E4895" s="5" t="s">
        <v>306</v>
      </c>
      <c r="F4895" s="5" t="s">
        <v>11</v>
      </c>
      <c r="G4895" s="5" t="s">
        <v>112</v>
      </c>
      <c r="H4895" s="5" t="s">
        <v>2517</v>
      </c>
      <c r="I4895" s="13">
        <v>629.13599999999997</v>
      </c>
      <c r="J4895" s="19">
        <v>4</v>
      </c>
      <c r="K4895" s="14">
        <v>-28.956800000000001</v>
      </c>
    </row>
    <row r="4896" spans="1:11" x14ac:dyDescent="0.25">
      <c r="A4896" s="2">
        <v>44126</v>
      </c>
      <c r="B4896" s="18">
        <f t="shared" si="152"/>
        <v>2020</v>
      </c>
      <c r="C4896" s="18">
        <f t="shared" si="153"/>
        <v>10</v>
      </c>
      <c r="D4896" s="3" t="s">
        <v>1466</v>
      </c>
      <c r="E4896" s="3" t="s">
        <v>94</v>
      </c>
      <c r="F4896" s="3" t="s">
        <v>14</v>
      </c>
      <c r="G4896" s="3" t="s">
        <v>15</v>
      </c>
      <c r="H4896" s="3" t="s">
        <v>419</v>
      </c>
      <c r="I4896" s="11">
        <v>1037.5999999999999</v>
      </c>
      <c r="J4896" s="18">
        <v>8</v>
      </c>
      <c r="K4896" s="12">
        <v>647.89200000000005</v>
      </c>
    </row>
    <row r="4897" spans="1:11" x14ac:dyDescent="0.25">
      <c r="A4897" s="4">
        <v>44126</v>
      </c>
      <c r="B4897" s="19">
        <f t="shared" si="152"/>
        <v>2020</v>
      </c>
      <c r="C4897" s="19">
        <f t="shared" si="153"/>
        <v>10</v>
      </c>
      <c r="D4897" s="5" t="s">
        <v>1466</v>
      </c>
      <c r="E4897" s="5" t="s">
        <v>94</v>
      </c>
      <c r="F4897" s="5" t="s">
        <v>14</v>
      </c>
      <c r="G4897" s="5" t="s">
        <v>36</v>
      </c>
      <c r="H4897" s="5" t="s">
        <v>901</v>
      </c>
      <c r="I4897" s="13">
        <v>2212.9679999999998</v>
      </c>
      <c r="J4897" s="19">
        <v>4</v>
      </c>
      <c r="K4897" s="14">
        <v>3919.9888000000001</v>
      </c>
    </row>
    <row r="4898" spans="1:11" x14ac:dyDescent="0.25">
      <c r="A4898" s="2">
        <v>44126</v>
      </c>
      <c r="B4898" s="18">
        <f t="shared" si="152"/>
        <v>2020</v>
      </c>
      <c r="C4898" s="18">
        <f t="shared" si="153"/>
        <v>10</v>
      </c>
      <c r="D4898" s="3" t="s">
        <v>1609</v>
      </c>
      <c r="E4898" s="3" t="s">
        <v>306</v>
      </c>
      <c r="F4898" s="3" t="s">
        <v>19</v>
      </c>
      <c r="G4898" s="3" t="s">
        <v>32</v>
      </c>
      <c r="H4898" s="3" t="s">
        <v>595</v>
      </c>
      <c r="I4898" s="11">
        <v>84.168000000000006</v>
      </c>
      <c r="J4898" s="18">
        <v>4</v>
      </c>
      <c r="K4898" s="12">
        <v>-2.5344000000000002</v>
      </c>
    </row>
    <row r="4899" spans="1:11" x14ac:dyDescent="0.25">
      <c r="A4899" s="4">
        <v>44126</v>
      </c>
      <c r="B4899" s="19">
        <f t="shared" si="152"/>
        <v>2020</v>
      </c>
      <c r="C4899" s="19">
        <f t="shared" si="153"/>
        <v>10</v>
      </c>
      <c r="D4899" s="5" t="s">
        <v>1500</v>
      </c>
      <c r="E4899" s="5" t="s">
        <v>39</v>
      </c>
      <c r="F4899" s="5" t="s">
        <v>19</v>
      </c>
      <c r="G4899" s="5" t="s">
        <v>86</v>
      </c>
      <c r="H4899" s="5" t="s">
        <v>2518</v>
      </c>
      <c r="I4899" s="13">
        <v>124.68</v>
      </c>
      <c r="J4899" s="19">
        <v>4</v>
      </c>
      <c r="K4899" s="14">
        <v>11.087999999999999</v>
      </c>
    </row>
    <row r="4900" spans="1:11" x14ac:dyDescent="0.25">
      <c r="A4900" s="2">
        <v>44126</v>
      </c>
      <c r="B4900" s="18">
        <f t="shared" si="152"/>
        <v>2020</v>
      </c>
      <c r="C4900" s="18">
        <f t="shared" si="153"/>
        <v>10</v>
      </c>
      <c r="D4900" s="3" t="s">
        <v>1466</v>
      </c>
      <c r="E4900" s="3" t="s">
        <v>94</v>
      </c>
      <c r="F4900" s="3" t="s">
        <v>14</v>
      </c>
      <c r="G4900" s="3" t="s">
        <v>15</v>
      </c>
      <c r="H4900" s="3" t="s">
        <v>453</v>
      </c>
      <c r="I4900" s="11">
        <v>134.99</v>
      </c>
      <c r="J4900" s="18">
        <v>1</v>
      </c>
      <c r="K4900" s="12">
        <v>0.52990000000000004</v>
      </c>
    </row>
    <row r="4901" spans="1:11" x14ac:dyDescent="0.25">
      <c r="A4901" s="4">
        <v>44126</v>
      </c>
      <c r="B4901" s="19">
        <f t="shared" si="152"/>
        <v>2020</v>
      </c>
      <c r="C4901" s="19">
        <f t="shared" si="153"/>
        <v>10</v>
      </c>
      <c r="D4901" s="5" t="s">
        <v>1500</v>
      </c>
      <c r="E4901" s="5" t="s">
        <v>39</v>
      </c>
      <c r="F4901" s="5" t="s">
        <v>14</v>
      </c>
      <c r="G4901" s="5" t="s">
        <v>15</v>
      </c>
      <c r="H4901" s="5" t="s">
        <v>839</v>
      </c>
      <c r="I4901" s="13">
        <v>145.69999999999999</v>
      </c>
      <c r="J4901" s="19">
        <v>5</v>
      </c>
      <c r="K4901" s="14">
        <v>-6.54</v>
      </c>
    </row>
    <row r="4902" spans="1:11" x14ac:dyDescent="0.25">
      <c r="A4902" s="2">
        <v>44126</v>
      </c>
      <c r="B4902" s="18">
        <f t="shared" si="152"/>
        <v>2020</v>
      </c>
      <c r="C4902" s="18">
        <f t="shared" si="153"/>
        <v>10</v>
      </c>
      <c r="D4902" s="3" t="s">
        <v>810</v>
      </c>
      <c r="E4902" s="3" t="s">
        <v>29</v>
      </c>
      <c r="F4902" s="3" t="s">
        <v>19</v>
      </c>
      <c r="G4902" s="3" t="s">
        <v>40</v>
      </c>
      <c r="H4902" s="3" t="s">
        <v>2268</v>
      </c>
      <c r="I4902" s="11">
        <v>150.44</v>
      </c>
      <c r="J4902" s="18">
        <v>4</v>
      </c>
      <c r="K4902" s="12">
        <v>12.0252</v>
      </c>
    </row>
    <row r="4903" spans="1:11" x14ac:dyDescent="0.25">
      <c r="A4903" s="4">
        <v>44126</v>
      </c>
      <c r="B4903" s="19">
        <f t="shared" si="152"/>
        <v>2020</v>
      </c>
      <c r="C4903" s="19">
        <f t="shared" si="153"/>
        <v>10</v>
      </c>
      <c r="D4903" s="5" t="s">
        <v>1466</v>
      </c>
      <c r="E4903" s="5" t="s">
        <v>94</v>
      </c>
      <c r="F4903" s="5" t="s">
        <v>19</v>
      </c>
      <c r="G4903" s="5" t="s">
        <v>86</v>
      </c>
      <c r="H4903" s="5" t="s">
        <v>611</v>
      </c>
      <c r="I4903" s="13">
        <v>140.9</v>
      </c>
      <c r="J4903" s="19">
        <v>5</v>
      </c>
      <c r="K4903" s="14">
        <v>28.754999999999999</v>
      </c>
    </row>
    <row r="4904" spans="1:11" x14ac:dyDescent="0.25">
      <c r="A4904" s="2">
        <v>44127</v>
      </c>
      <c r="B4904" s="18">
        <f t="shared" si="152"/>
        <v>2020</v>
      </c>
      <c r="C4904" s="18">
        <f t="shared" si="153"/>
        <v>10</v>
      </c>
      <c r="D4904" s="3" t="s">
        <v>1127</v>
      </c>
      <c r="E4904" s="3" t="s">
        <v>883</v>
      </c>
      <c r="F4904" s="3" t="s">
        <v>11</v>
      </c>
      <c r="G4904" s="3" t="s">
        <v>51</v>
      </c>
      <c r="H4904" s="3" t="s">
        <v>1467</v>
      </c>
      <c r="I4904" s="11">
        <v>231.68</v>
      </c>
      <c r="J4904" s="18">
        <v>2</v>
      </c>
      <c r="K4904" s="12">
        <v>50.563200000000002</v>
      </c>
    </row>
    <row r="4905" spans="1:11" x14ac:dyDescent="0.25">
      <c r="A4905" s="4">
        <v>44127</v>
      </c>
      <c r="B4905" s="19">
        <f t="shared" si="152"/>
        <v>2020</v>
      </c>
      <c r="C4905" s="19">
        <f t="shared" si="153"/>
        <v>10</v>
      </c>
      <c r="D4905" s="5" t="s">
        <v>1127</v>
      </c>
      <c r="E4905" s="5" t="s">
        <v>883</v>
      </c>
      <c r="F4905" s="5" t="s">
        <v>11</v>
      </c>
      <c r="G4905" s="5" t="s">
        <v>30</v>
      </c>
      <c r="H4905" s="5" t="s">
        <v>609</v>
      </c>
      <c r="I4905" s="13">
        <v>251.744</v>
      </c>
      <c r="J4905" s="19">
        <v>4</v>
      </c>
      <c r="K4905" s="14">
        <v>-13.7568</v>
      </c>
    </row>
    <row r="4906" spans="1:11" x14ac:dyDescent="0.25">
      <c r="A4906" s="2">
        <v>44127</v>
      </c>
      <c r="B4906" s="18">
        <f t="shared" si="152"/>
        <v>2020</v>
      </c>
      <c r="C4906" s="18">
        <f t="shared" si="153"/>
        <v>10</v>
      </c>
      <c r="D4906" s="3" t="s">
        <v>2519</v>
      </c>
      <c r="E4906" s="3" t="s">
        <v>23</v>
      </c>
      <c r="F4906" s="3" t="s">
        <v>19</v>
      </c>
      <c r="G4906" s="3" t="s">
        <v>20</v>
      </c>
      <c r="H4906" s="3" t="s">
        <v>204</v>
      </c>
      <c r="I4906" s="11">
        <v>291.13600000000002</v>
      </c>
      <c r="J4906" s="18">
        <v>4</v>
      </c>
      <c r="K4906" s="12">
        <v>-58.305599999999998</v>
      </c>
    </row>
    <row r="4907" spans="1:11" x14ac:dyDescent="0.25">
      <c r="A4907" s="4">
        <v>44127</v>
      </c>
      <c r="B4907" s="19">
        <f t="shared" si="152"/>
        <v>2020</v>
      </c>
      <c r="C4907" s="19">
        <f t="shared" si="153"/>
        <v>10</v>
      </c>
      <c r="D4907" s="5" t="s">
        <v>1127</v>
      </c>
      <c r="E4907" s="5" t="s">
        <v>883</v>
      </c>
      <c r="F4907" s="5" t="s">
        <v>11</v>
      </c>
      <c r="G4907" s="5" t="s">
        <v>30</v>
      </c>
      <c r="H4907" s="5" t="s">
        <v>320</v>
      </c>
      <c r="I4907" s="13">
        <v>668.89599999999996</v>
      </c>
      <c r="J4907" s="19">
        <v>3</v>
      </c>
      <c r="K4907" s="14">
        <v>-127.5792</v>
      </c>
    </row>
    <row r="4908" spans="1:11" x14ac:dyDescent="0.25">
      <c r="A4908" s="2">
        <v>44127</v>
      </c>
      <c r="B4908" s="18">
        <f t="shared" si="152"/>
        <v>2020</v>
      </c>
      <c r="C4908" s="18">
        <f t="shared" si="153"/>
        <v>10</v>
      </c>
      <c r="D4908" s="3" t="s">
        <v>773</v>
      </c>
      <c r="E4908" s="3" t="s">
        <v>23</v>
      </c>
      <c r="F4908" s="3" t="s">
        <v>14</v>
      </c>
      <c r="G4908" s="3" t="s">
        <v>15</v>
      </c>
      <c r="H4908" s="3" t="s">
        <v>1192</v>
      </c>
      <c r="I4908" s="11">
        <v>852.96</v>
      </c>
      <c r="J4908" s="18">
        <v>5</v>
      </c>
      <c r="K4908" s="12">
        <v>51.497500000000002</v>
      </c>
    </row>
    <row r="4909" spans="1:11" x14ac:dyDescent="0.25">
      <c r="A4909" s="4">
        <v>44127</v>
      </c>
      <c r="B4909" s="19">
        <f t="shared" si="152"/>
        <v>2020</v>
      </c>
      <c r="C4909" s="19">
        <f t="shared" si="153"/>
        <v>10</v>
      </c>
      <c r="D4909" s="5" t="s">
        <v>2520</v>
      </c>
      <c r="E4909" s="5" t="s">
        <v>44</v>
      </c>
      <c r="F4909" s="5" t="s">
        <v>14</v>
      </c>
      <c r="G4909" s="5" t="s">
        <v>15</v>
      </c>
      <c r="H4909" s="5" t="s">
        <v>343</v>
      </c>
      <c r="I4909" s="13">
        <v>900.88</v>
      </c>
      <c r="J4909" s="19">
        <v>3</v>
      </c>
      <c r="K4909" s="14">
        <v>107.985</v>
      </c>
    </row>
    <row r="4910" spans="1:11" x14ac:dyDescent="0.25">
      <c r="A4910" s="2">
        <v>44127</v>
      </c>
      <c r="B4910" s="18">
        <f t="shared" si="152"/>
        <v>2020</v>
      </c>
      <c r="C4910" s="18">
        <f t="shared" si="153"/>
        <v>10</v>
      </c>
      <c r="D4910" s="3" t="s">
        <v>773</v>
      </c>
      <c r="E4910" s="3" t="s">
        <v>23</v>
      </c>
      <c r="F4910" s="3" t="s">
        <v>19</v>
      </c>
      <c r="G4910" s="3" t="s">
        <v>32</v>
      </c>
      <c r="H4910" s="3" t="s">
        <v>33</v>
      </c>
      <c r="I4910" s="11">
        <v>105.56399999999999</v>
      </c>
      <c r="J4910" s="18">
        <v>3</v>
      </c>
      <c r="K4910" s="12">
        <v>-6.2370000000000001</v>
      </c>
    </row>
    <row r="4911" spans="1:11" x14ac:dyDescent="0.25">
      <c r="A4911" s="4">
        <v>44127</v>
      </c>
      <c r="B4911" s="19">
        <f t="shared" si="152"/>
        <v>2020</v>
      </c>
      <c r="C4911" s="19">
        <f t="shared" si="153"/>
        <v>10</v>
      </c>
      <c r="D4911" s="5" t="s">
        <v>2519</v>
      </c>
      <c r="E4911" s="5" t="s">
        <v>23</v>
      </c>
      <c r="F4911" s="5" t="s">
        <v>19</v>
      </c>
      <c r="G4911" s="5" t="s">
        <v>20</v>
      </c>
      <c r="H4911" s="5" t="s">
        <v>1650</v>
      </c>
      <c r="I4911" s="13">
        <v>109.72</v>
      </c>
      <c r="J4911" s="19">
        <v>1</v>
      </c>
      <c r="K4911" s="14">
        <v>1.2004999999999999</v>
      </c>
    </row>
    <row r="4912" spans="1:11" x14ac:dyDescent="0.25">
      <c r="A4912" s="2">
        <v>44127</v>
      </c>
      <c r="B4912" s="18">
        <f t="shared" si="152"/>
        <v>2020</v>
      </c>
      <c r="C4912" s="18">
        <f t="shared" si="153"/>
        <v>10</v>
      </c>
      <c r="D4912" s="3" t="s">
        <v>2521</v>
      </c>
      <c r="E4912" s="3" t="s">
        <v>94</v>
      </c>
      <c r="F4912" s="3" t="s">
        <v>19</v>
      </c>
      <c r="G4912" s="3" t="s">
        <v>53</v>
      </c>
      <c r="H4912" s="3" t="s">
        <v>2522</v>
      </c>
      <c r="I4912" s="11">
        <v>88.56</v>
      </c>
      <c r="J4912" s="18">
        <v>2</v>
      </c>
      <c r="K4912" s="12">
        <v>5.6643999999999997</v>
      </c>
    </row>
    <row r="4913" spans="1:11" x14ac:dyDescent="0.25">
      <c r="A4913" s="4">
        <v>44127</v>
      </c>
      <c r="B4913" s="19">
        <f t="shared" si="152"/>
        <v>2020</v>
      </c>
      <c r="C4913" s="19">
        <f t="shared" si="153"/>
        <v>10</v>
      </c>
      <c r="D4913" s="5" t="s">
        <v>1127</v>
      </c>
      <c r="E4913" s="5" t="s">
        <v>883</v>
      </c>
      <c r="F4913" s="5" t="s">
        <v>19</v>
      </c>
      <c r="G4913" s="5" t="s">
        <v>121</v>
      </c>
      <c r="H4913" s="5" t="s">
        <v>2347</v>
      </c>
      <c r="I4913" s="13">
        <v>97.22</v>
      </c>
      <c r="J4913" s="19">
        <v>1</v>
      </c>
      <c r="K4913" s="14">
        <v>0.66600000000000004</v>
      </c>
    </row>
    <row r="4914" spans="1:11" x14ac:dyDescent="0.25">
      <c r="A4914" s="2">
        <v>44127</v>
      </c>
      <c r="B4914" s="18">
        <f t="shared" si="152"/>
        <v>2020</v>
      </c>
      <c r="C4914" s="18">
        <f t="shared" si="153"/>
        <v>10</v>
      </c>
      <c r="D4914" s="3" t="s">
        <v>1127</v>
      </c>
      <c r="E4914" s="3" t="s">
        <v>883</v>
      </c>
      <c r="F4914" s="3" t="s">
        <v>11</v>
      </c>
      <c r="G4914" s="3" t="s">
        <v>51</v>
      </c>
      <c r="H4914" s="3" t="s">
        <v>1628</v>
      </c>
      <c r="I4914" s="11">
        <v>136</v>
      </c>
      <c r="J4914" s="18">
        <v>4</v>
      </c>
      <c r="K4914" s="12">
        <v>14.7</v>
      </c>
    </row>
    <row r="4915" spans="1:11" x14ac:dyDescent="0.25">
      <c r="A4915" s="4">
        <v>44127</v>
      </c>
      <c r="B4915" s="19">
        <f t="shared" si="152"/>
        <v>2020</v>
      </c>
      <c r="C4915" s="19">
        <f t="shared" si="153"/>
        <v>10</v>
      </c>
      <c r="D4915" s="5" t="s">
        <v>773</v>
      </c>
      <c r="E4915" s="5" t="s">
        <v>23</v>
      </c>
      <c r="F4915" s="5" t="s">
        <v>19</v>
      </c>
      <c r="G4915" s="5" t="s">
        <v>40</v>
      </c>
      <c r="H4915" s="5" t="s">
        <v>2136</v>
      </c>
      <c r="I4915" s="13">
        <v>106.27200000000001</v>
      </c>
      <c r="J4915" s="19">
        <v>3</v>
      </c>
      <c r="K4915" s="14">
        <v>0.89880000000000004</v>
      </c>
    </row>
    <row r="4916" spans="1:11" x14ac:dyDescent="0.25">
      <c r="A4916" s="2">
        <v>44127</v>
      </c>
      <c r="B4916" s="18">
        <f t="shared" si="152"/>
        <v>2020</v>
      </c>
      <c r="C4916" s="18">
        <f t="shared" si="153"/>
        <v>10</v>
      </c>
      <c r="D4916" s="3" t="s">
        <v>2519</v>
      </c>
      <c r="E4916" s="3" t="s">
        <v>23</v>
      </c>
      <c r="F4916" s="3" t="s">
        <v>19</v>
      </c>
      <c r="G4916" s="3" t="s">
        <v>32</v>
      </c>
      <c r="H4916" s="3" t="s">
        <v>447</v>
      </c>
      <c r="I4916" s="11">
        <v>125.762</v>
      </c>
      <c r="J4916" s="18">
        <v>3</v>
      </c>
      <c r="K4916" s="12">
        <v>-15.1311</v>
      </c>
    </row>
    <row r="4917" spans="1:11" x14ac:dyDescent="0.25">
      <c r="A4917" s="4">
        <v>44127</v>
      </c>
      <c r="B4917" s="19">
        <f t="shared" si="152"/>
        <v>2020</v>
      </c>
      <c r="C4917" s="19">
        <f t="shared" si="153"/>
        <v>10</v>
      </c>
      <c r="D4917" s="5" t="s">
        <v>2521</v>
      </c>
      <c r="E4917" s="5" t="s">
        <v>94</v>
      </c>
      <c r="F4917" s="5" t="s">
        <v>14</v>
      </c>
      <c r="G4917" s="5" t="s">
        <v>15</v>
      </c>
      <c r="H4917" s="5" t="s">
        <v>814</v>
      </c>
      <c r="I4917" s="13">
        <v>143.88</v>
      </c>
      <c r="J4917" s="19">
        <v>3</v>
      </c>
      <c r="K4917" s="14">
        <v>10.0464</v>
      </c>
    </row>
    <row r="4918" spans="1:11" x14ac:dyDescent="0.25">
      <c r="A4918" s="2">
        <v>44127</v>
      </c>
      <c r="B4918" s="18">
        <f t="shared" si="152"/>
        <v>2020</v>
      </c>
      <c r="C4918" s="18">
        <f t="shared" si="153"/>
        <v>10</v>
      </c>
      <c r="D4918" s="3" t="s">
        <v>1127</v>
      </c>
      <c r="E4918" s="3" t="s">
        <v>883</v>
      </c>
      <c r="F4918" s="3" t="s">
        <v>19</v>
      </c>
      <c r="G4918" s="3" t="s">
        <v>53</v>
      </c>
      <c r="H4918" s="3" t="s">
        <v>2523</v>
      </c>
      <c r="I4918" s="11">
        <v>113.44</v>
      </c>
      <c r="J4918" s="18">
        <v>8</v>
      </c>
      <c r="K4918" s="12">
        <v>21.285599999999999</v>
      </c>
    </row>
    <row r="4919" spans="1:11" x14ac:dyDescent="0.25">
      <c r="A4919" s="4">
        <v>44127</v>
      </c>
      <c r="B4919" s="19">
        <f t="shared" si="152"/>
        <v>2020</v>
      </c>
      <c r="C4919" s="19">
        <f t="shared" si="153"/>
        <v>10</v>
      </c>
      <c r="D4919" s="5" t="s">
        <v>2521</v>
      </c>
      <c r="E4919" s="5" t="s">
        <v>94</v>
      </c>
      <c r="F4919" s="5" t="s">
        <v>19</v>
      </c>
      <c r="G4919" s="5" t="s">
        <v>53</v>
      </c>
      <c r="H4919" s="5" t="s">
        <v>1862</v>
      </c>
      <c r="I4919" s="13">
        <v>143.4</v>
      </c>
      <c r="J4919" s="19">
        <v>5</v>
      </c>
      <c r="K4919" s="14">
        <v>11.88</v>
      </c>
    </row>
    <row r="4920" spans="1:11" x14ac:dyDescent="0.25">
      <c r="A4920" s="2">
        <v>44127</v>
      </c>
      <c r="B4920" s="18">
        <f t="shared" si="152"/>
        <v>2020</v>
      </c>
      <c r="C4920" s="18">
        <f t="shared" si="153"/>
        <v>10</v>
      </c>
      <c r="D4920" s="3" t="s">
        <v>2519</v>
      </c>
      <c r="E4920" s="3" t="s">
        <v>23</v>
      </c>
      <c r="F4920" s="3" t="s">
        <v>14</v>
      </c>
      <c r="G4920" s="3" t="s">
        <v>24</v>
      </c>
      <c r="H4920" s="3" t="s">
        <v>26</v>
      </c>
      <c r="I4920" s="11">
        <v>148.19999999999999</v>
      </c>
      <c r="J4920" s="18">
        <v>1</v>
      </c>
      <c r="K4920" s="12">
        <v>-2.0699999999999998</v>
      </c>
    </row>
    <row r="4921" spans="1:11" x14ac:dyDescent="0.25">
      <c r="A4921" s="4">
        <v>44127</v>
      </c>
      <c r="B4921" s="19">
        <f t="shared" si="152"/>
        <v>2020</v>
      </c>
      <c r="C4921" s="19">
        <f t="shared" si="153"/>
        <v>10</v>
      </c>
      <c r="D4921" s="5" t="s">
        <v>2521</v>
      </c>
      <c r="E4921" s="5" t="s">
        <v>94</v>
      </c>
      <c r="F4921" s="5" t="s">
        <v>11</v>
      </c>
      <c r="G4921" s="5" t="s">
        <v>51</v>
      </c>
      <c r="H4921" s="5" t="s">
        <v>2048</v>
      </c>
      <c r="I4921" s="13">
        <v>141.08000000000001</v>
      </c>
      <c r="J4921" s="19">
        <v>11</v>
      </c>
      <c r="K4921" s="14">
        <v>29.0136</v>
      </c>
    </row>
    <row r="4922" spans="1:11" x14ac:dyDescent="0.25">
      <c r="A4922" s="2">
        <v>44128</v>
      </c>
      <c r="B4922" s="18">
        <f t="shared" si="152"/>
        <v>2020</v>
      </c>
      <c r="C4922" s="18">
        <f t="shared" si="153"/>
        <v>10</v>
      </c>
      <c r="D4922" s="3" t="s">
        <v>1451</v>
      </c>
      <c r="E4922" s="3" t="s">
        <v>23</v>
      </c>
      <c r="F4922" s="3" t="s">
        <v>11</v>
      </c>
      <c r="G4922" s="3" t="s">
        <v>30</v>
      </c>
      <c r="H4922" s="3" t="s">
        <v>2384</v>
      </c>
      <c r="I4922" s="11">
        <v>531.40499999999997</v>
      </c>
      <c r="J4922" s="18">
        <v>5</v>
      </c>
      <c r="K4922" s="12">
        <v>-81.3065</v>
      </c>
    </row>
    <row r="4923" spans="1:11" x14ac:dyDescent="0.25">
      <c r="A4923" s="4">
        <v>44128</v>
      </c>
      <c r="B4923" s="19">
        <f t="shared" si="152"/>
        <v>2020</v>
      </c>
      <c r="C4923" s="19">
        <f t="shared" si="153"/>
        <v>10</v>
      </c>
      <c r="D4923" s="5" t="s">
        <v>520</v>
      </c>
      <c r="E4923" s="5" t="s">
        <v>143</v>
      </c>
      <c r="F4923" s="5" t="s">
        <v>19</v>
      </c>
      <c r="G4923" s="5" t="s">
        <v>116</v>
      </c>
      <c r="H4923" s="5" t="s">
        <v>301</v>
      </c>
      <c r="I4923" s="13">
        <v>137.68</v>
      </c>
      <c r="J4923" s="19">
        <v>4</v>
      </c>
      <c r="K4923" s="14">
        <v>5.2560000000000002</v>
      </c>
    </row>
    <row r="4924" spans="1:11" x14ac:dyDescent="0.25">
      <c r="A4924" s="2">
        <v>44130</v>
      </c>
      <c r="B4924" s="18">
        <f t="shared" si="152"/>
        <v>2020</v>
      </c>
      <c r="C4924" s="18">
        <f t="shared" si="153"/>
        <v>10</v>
      </c>
      <c r="D4924" s="3" t="s">
        <v>1959</v>
      </c>
      <c r="E4924" s="3" t="s">
        <v>39</v>
      </c>
      <c r="F4924" s="3" t="s">
        <v>14</v>
      </c>
      <c r="G4924" s="3" t="s">
        <v>15</v>
      </c>
      <c r="H4924" s="3" t="s">
        <v>2438</v>
      </c>
      <c r="I4924" s="11">
        <v>149.65</v>
      </c>
      <c r="J4924" s="18">
        <v>5</v>
      </c>
      <c r="K4924" s="12">
        <v>19.774999999999999</v>
      </c>
    </row>
    <row r="4925" spans="1:11" x14ac:dyDescent="0.25">
      <c r="A4925" s="4">
        <v>44130</v>
      </c>
      <c r="B4925" s="19">
        <f t="shared" si="152"/>
        <v>2020</v>
      </c>
      <c r="C4925" s="19">
        <f t="shared" si="153"/>
        <v>10</v>
      </c>
      <c r="D4925" s="5" t="s">
        <v>1017</v>
      </c>
      <c r="E4925" s="5" t="s">
        <v>181</v>
      </c>
      <c r="F4925" s="5" t="s">
        <v>19</v>
      </c>
      <c r="G4925" s="5" t="s">
        <v>86</v>
      </c>
      <c r="H4925" s="5" t="s">
        <v>1853</v>
      </c>
      <c r="I4925" s="13">
        <v>281.58</v>
      </c>
      <c r="J4925" s="19">
        <v>7</v>
      </c>
      <c r="K4925" s="14">
        <v>113.211</v>
      </c>
    </row>
    <row r="4926" spans="1:11" x14ac:dyDescent="0.25">
      <c r="A4926" s="2">
        <v>44130</v>
      </c>
      <c r="B4926" s="18">
        <f t="shared" si="152"/>
        <v>2020</v>
      </c>
      <c r="C4926" s="18">
        <f t="shared" si="153"/>
        <v>10</v>
      </c>
      <c r="D4926" s="3" t="s">
        <v>1017</v>
      </c>
      <c r="E4926" s="3" t="s">
        <v>181</v>
      </c>
      <c r="F4926" s="3" t="s">
        <v>11</v>
      </c>
      <c r="G4926" s="3" t="s">
        <v>30</v>
      </c>
      <c r="H4926" s="3" t="s">
        <v>2093</v>
      </c>
      <c r="I4926" s="11">
        <v>382.85</v>
      </c>
      <c r="J4926" s="18">
        <v>5</v>
      </c>
      <c r="K4926" s="12">
        <v>60.664499999999997</v>
      </c>
    </row>
    <row r="4927" spans="1:11" x14ac:dyDescent="0.25">
      <c r="A4927" s="4">
        <v>44130</v>
      </c>
      <c r="B4927" s="19">
        <f t="shared" si="152"/>
        <v>2020</v>
      </c>
      <c r="C4927" s="19">
        <f t="shared" si="153"/>
        <v>10</v>
      </c>
      <c r="D4927" s="5" t="s">
        <v>115</v>
      </c>
      <c r="E4927" s="5" t="s">
        <v>387</v>
      </c>
      <c r="F4927" s="5" t="s">
        <v>19</v>
      </c>
      <c r="G4927" s="5" t="s">
        <v>127</v>
      </c>
      <c r="H4927" s="5" t="s">
        <v>1693</v>
      </c>
      <c r="I4927" s="13">
        <v>86.16</v>
      </c>
      <c r="J4927" s="19">
        <v>2</v>
      </c>
      <c r="K4927" s="14">
        <v>2.9567999999999999</v>
      </c>
    </row>
    <row r="4928" spans="1:11" x14ac:dyDescent="0.25">
      <c r="A4928" s="2">
        <v>44130</v>
      </c>
      <c r="B4928" s="18">
        <f t="shared" si="152"/>
        <v>2020</v>
      </c>
      <c r="C4928" s="18">
        <f t="shared" si="153"/>
        <v>10</v>
      </c>
      <c r="D4928" s="3" t="s">
        <v>115</v>
      </c>
      <c r="E4928" s="3" t="s">
        <v>387</v>
      </c>
      <c r="F4928" s="3" t="s">
        <v>14</v>
      </c>
      <c r="G4928" s="3" t="s">
        <v>24</v>
      </c>
      <c r="H4928" s="3" t="s">
        <v>2250</v>
      </c>
      <c r="I4928" s="11">
        <v>95.99</v>
      </c>
      <c r="J4928" s="18">
        <v>1</v>
      </c>
      <c r="K4928" s="12">
        <v>6.7965999999999998</v>
      </c>
    </row>
    <row r="4929" spans="1:11" x14ac:dyDescent="0.25">
      <c r="A4929" s="4">
        <v>44130</v>
      </c>
      <c r="B4929" s="19">
        <f t="shared" si="152"/>
        <v>2020</v>
      </c>
      <c r="C4929" s="19">
        <f t="shared" si="153"/>
        <v>10</v>
      </c>
      <c r="D4929" s="5" t="s">
        <v>1959</v>
      </c>
      <c r="E4929" s="5" t="s">
        <v>39</v>
      </c>
      <c r="F4929" s="5" t="s">
        <v>19</v>
      </c>
      <c r="G4929" s="5" t="s">
        <v>127</v>
      </c>
      <c r="H4929" s="5" t="s">
        <v>1996</v>
      </c>
      <c r="I4929" s="13">
        <v>115.76</v>
      </c>
      <c r="J4929" s="19">
        <v>5</v>
      </c>
      <c r="K4929" s="14">
        <v>4.9814999999999996</v>
      </c>
    </row>
    <row r="4930" spans="1:11" x14ac:dyDescent="0.25">
      <c r="A4930" s="2">
        <v>44130</v>
      </c>
      <c r="B4930" s="18">
        <f t="shared" ref="B4930:B4993" si="154">YEAR(A4930)</f>
        <v>2020</v>
      </c>
      <c r="C4930" s="18">
        <f t="shared" ref="C4930:C4993" si="155">MONTH(A4930)</f>
        <v>10</v>
      </c>
      <c r="D4930" s="3" t="s">
        <v>1959</v>
      </c>
      <c r="E4930" s="3" t="s">
        <v>39</v>
      </c>
      <c r="F4930" s="3" t="s">
        <v>19</v>
      </c>
      <c r="G4930" s="3" t="s">
        <v>32</v>
      </c>
      <c r="H4930" s="3" t="s">
        <v>543</v>
      </c>
      <c r="I4930" s="11">
        <v>118.282</v>
      </c>
      <c r="J4930" s="18">
        <v>3</v>
      </c>
      <c r="K4930" s="12">
        <v>-27.734999999999999</v>
      </c>
    </row>
    <row r="4931" spans="1:11" x14ac:dyDescent="0.25">
      <c r="A4931" s="4">
        <v>44130</v>
      </c>
      <c r="B4931" s="19">
        <f t="shared" si="154"/>
        <v>2020</v>
      </c>
      <c r="C4931" s="19">
        <f t="shared" si="155"/>
        <v>10</v>
      </c>
      <c r="D4931" s="5" t="s">
        <v>2481</v>
      </c>
      <c r="E4931" s="5" t="s">
        <v>39</v>
      </c>
      <c r="F4931" s="5" t="s">
        <v>14</v>
      </c>
      <c r="G4931" s="5" t="s">
        <v>15</v>
      </c>
      <c r="H4931" s="5" t="s">
        <v>772</v>
      </c>
      <c r="I4931" s="13">
        <v>140.542</v>
      </c>
      <c r="J4931" s="19">
        <v>1</v>
      </c>
      <c r="K4931" s="14">
        <v>-13.334099999999999</v>
      </c>
    </row>
    <row r="4932" spans="1:11" x14ac:dyDescent="0.25">
      <c r="A4932" s="2">
        <v>44130</v>
      </c>
      <c r="B4932" s="18">
        <f t="shared" si="154"/>
        <v>2020</v>
      </c>
      <c r="C4932" s="18">
        <f t="shared" si="155"/>
        <v>10</v>
      </c>
      <c r="D4932" s="3" t="s">
        <v>1015</v>
      </c>
      <c r="E4932" s="3" t="s">
        <v>23</v>
      </c>
      <c r="F4932" s="3" t="s">
        <v>19</v>
      </c>
      <c r="G4932" s="3" t="s">
        <v>20</v>
      </c>
      <c r="H4932" s="3" t="s">
        <v>2120</v>
      </c>
      <c r="I4932" s="11">
        <v>149.61600000000001</v>
      </c>
      <c r="J4932" s="18">
        <v>2</v>
      </c>
      <c r="K4932" s="12">
        <v>5.5616000000000003</v>
      </c>
    </row>
    <row r="4933" spans="1:11" x14ac:dyDescent="0.25">
      <c r="A4933" s="4">
        <v>44130</v>
      </c>
      <c r="B4933" s="19">
        <f t="shared" si="154"/>
        <v>2020</v>
      </c>
      <c r="C4933" s="19">
        <f t="shared" si="155"/>
        <v>10</v>
      </c>
      <c r="D4933" s="5" t="s">
        <v>2481</v>
      </c>
      <c r="E4933" s="5" t="s">
        <v>39</v>
      </c>
      <c r="F4933" s="5" t="s">
        <v>19</v>
      </c>
      <c r="G4933" s="5" t="s">
        <v>32</v>
      </c>
      <c r="H4933" s="5" t="s">
        <v>1098</v>
      </c>
      <c r="I4933" s="13">
        <v>180.43799999999999</v>
      </c>
      <c r="J4933" s="19">
        <v>7</v>
      </c>
      <c r="K4933" s="14">
        <v>-65.150400000000005</v>
      </c>
    </row>
    <row r="4934" spans="1:11" x14ac:dyDescent="0.25">
      <c r="A4934" s="2">
        <v>44131</v>
      </c>
      <c r="B4934" s="18">
        <f t="shared" si="154"/>
        <v>2020</v>
      </c>
      <c r="C4934" s="18">
        <f t="shared" si="155"/>
        <v>10</v>
      </c>
      <c r="D4934" s="3" t="s">
        <v>55</v>
      </c>
      <c r="E4934" s="3" t="s">
        <v>18</v>
      </c>
      <c r="F4934" s="3" t="s">
        <v>14</v>
      </c>
      <c r="G4934" s="3" t="s">
        <v>15</v>
      </c>
      <c r="H4934" s="3" t="s">
        <v>972</v>
      </c>
      <c r="I4934" s="11">
        <v>118.84</v>
      </c>
      <c r="J4934" s="18">
        <v>4</v>
      </c>
      <c r="K4934" s="12">
        <v>34.741999999999997</v>
      </c>
    </row>
    <row r="4935" spans="1:11" x14ac:dyDescent="0.25">
      <c r="A4935" s="4">
        <v>44131</v>
      </c>
      <c r="B4935" s="19">
        <f t="shared" si="154"/>
        <v>2020</v>
      </c>
      <c r="C4935" s="19">
        <f t="shared" si="155"/>
        <v>10</v>
      </c>
      <c r="D4935" s="5" t="s">
        <v>1771</v>
      </c>
      <c r="E4935" s="5" t="s">
        <v>18</v>
      </c>
      <c r="F4935" s="5" t="s">
        <v>11</v>
      </c>
      <c r="G4935" s="5" t="s">
        <v>30</v>
      </c>
      <c r="H4935" s="5" t="s">
        <v>1477</v>
      </c>
      <c r="I4935" s="13">
        <v>238.57599999999999</v>
      </c>
      <c r="J4935" s="19">
        <v>1</v>
      </c>
      <c r="K4935" s="14">
        <v>9.4787999999999997</v>
      </c>
    </row>
    <row r="4936" spans="1:11" x14ac:dyDescent="0.25">
      <c r="A4936" s="2">
        <v>44131</v>
      </c>
      <c r="B4936" s="18">
        <f t="shared" si="154"/>
        <v>2020</v>
      </c>
      <c r="C4936" s="18">
        <f t="shared" si="155"/>
        <v>10</v>
      </c>
      <c r="D4936" s="3" t="s">
        <v>55</v>
      </c>
      <c r="E4936" s="3" t="s">
        <v>18</v>
      </c>
      <c r="F4936" s="3" t="s">
        <v>11</v>
      </c>
      <c r="G4936" s="3" t="s">
        <v>12</v>
      </c>
      <c r="H4936" s="3" t="s">
        <v>1670</v>
      </c>
      <c r="I4936" s="11">
        <v>569.66499999999996</v>
      </c>
      <c r="J4936" s="18">
        <v>5</v>
      </c>
      <c r="K4936" s="12">
        <v>6.5490000000000004</v>
      </c>
    </row>
    <row r="4937" spans="1:11" x14ac:dyDescent="0.25">
      <c r="A4937" s="4">
        <v>44131</v>
      </c>
      <c r="B4937" s="19">
        <f t="shared" si="154"/>
        <v>2020</v>
      </c>
      <c r="C4937" s="19">
        <f t="shared" si="155"/>
        <v>10</v>
      </c>
      <c r="D4937" s="5" t="s">
        <v>726</v>
      </c>
      <c r="E4937" s="5" t="s">
        <v>44</v>
      </c>
      <c r="F4937" s="5" t="s">
        <v>19</v>
      </c>
      <c r="G4937" s="5" t="s">
        <v>32</v>
      </c>
      <c r="H4937" s="5" t="s">
        <v>2157</v>
      </c>
      <c r="I4937" s="13">
        <v>85.606999999999999</v>
      </c>
      <c r="J4937" s="19">
        <v>3</v>
      </c>
      <c r="K4937" s="14">
        <v>-3.9249000000000001</v>
      </c>
    </row>
    <row r="4938" spans="1:11" x14ac:dyDescent="0.25">
      <c r="A4938" s="2">
        <v>44131</v>
      </c>
      <c r="B4938" s="18">
        <f t="shared" si="154"/>
        <v>2020</v>
      </c>
      <c r="C4938" s="18">
        <f t="shared" si="155"/>
        <v>10</v>
      </c>
      <c r="D4938" s="3" t="s">
        <v>887</v>
      </c>
      <c r="E4938" s="3" t="s">
        <v>23</v>
      </c>
      <c r="F4938" s="3" t="s">
        <v>19</v>
      </c>
      <c r="G4938" s="3" t="s">
        <v>86</v>
      </c>
      <c r="H4938" s="3" t="s">
        <v>2518</v>
      </c>
      <c r="I4938" s="11">
        <v>87.84</v>
      </c>
      <c r="J4938" s="18">
        <v>2</v>
      </c>
      <c r="K4938" s="12">
        <v>5.5439999999999996</v>
      </c>
    </row>
    <row r="4939" spans="1:11" x14ac:dyDescent="0.25">
      <c r="A4939" s="4">
        <v>44131</v>
      </c>
      <c r="B4939" s="19">
        <f t="shared" si="154"/>
        <v>2020</v>
      </c>
      <c r="C4939" s="19">
        <f t="shared" si="155"/>
        <v>10</v>
      </c>
      <c r="D4939" s="5" t="s">
        <v>887</v>
      </c>
      <c r="E4939" s="5" t="s">
        <v>23</v>
      </c>
      <c r="F4939" s="5" t="s">
        <v>19</v>
      </c>
      <c r="G4939" s="5" t="s">
        <v>53</v>
      </c>
      <c r="H4939" s="5" t="s">
        <v>1545</v>
      </c>
      <c r="I4939" s="13">
        <v>116.44799999999999</v>
      </c>
      <c r="J4939" s="19">
        <v>2</v>
      </c>
      <c r="K4939" s="14">
        <v>2.64</v>
      </c>
    </row>
    <row r="4940" spans="1:11" x14ac:dyDescent="0.25">
      <c r="A4940" s="2">
        <v>44131</v>
      </c>
      <c r="B4940" s="18">
        <f t="shared" si="154"/>
        <v>2020</v>
      </c>
      <c r="C4940" s="18">
        <f t="shared" si="155"/>
        <v>10</v>
      </c>
      <c r="D4940" s="3" t="s">
        <v>726</v>
      </c>
      <c r="E4940" s="3" t="s">
        <v>44</v>
      </c>
      <c r="F4940" s="3" t="s">
        <v>19</v>
      </c>
      <c r="G4940" s="3" t="s">
        <v>40</v>
      </c>
      <c r="H4940" s="3" t="s">
        <v>826</v>
      </c>
      <c r="I4940" s="11">
        <v>87.575999999999993</v>
      </c>
      <c r="J4940" s="18">
        <v>3</v>
      </c>
      <c r="K4940" s="12">
        <v>0.57540000000000002</v>
      </c>
    </row>
    <row r="4941" spans="1:11" x14ac:dyDescent="0.25">
      <c r="A4941" s="4">
        <v>44131</v>
      </c>
      <c r="B4941" s="19">
        <f t="shared" si="154"/>
        <v>2020</v>
      </c>
      <c r="C4941" s="19">
        <f t="shared" si="155"/>
        <v>10</v>
      </c>
      <c r="D4941" s="5" t="s">
        <v>1383</v>
      </c>
      <c r="E4941" s="5" t="s">
        <v>164</v>
      </c>
      <c r="F4941" s="5" t="s">
        <v>19</v>
      </c>
      <c r="G4941" s="5" t="s">
        <v>40</v>
      </c>
      <c r="H4941" s="5" t="s">
        <v>1119</v>
      </c>
      <c r="I4941" s="13">
        <v>118.056</v>
      </c>
      <c r="J4941" s="19">
        <v>3</v>
      </c>
      <c r="K4941" s="14">
        <v>2.2050000000000001</v>
      </c>
    </row>
    <row r="4942" spans="1:11" x14ac:dyDescent="0.25">
      <c r="A4942" s="2">
        <v>44131</v>
      </c>
      <c r="B4942" s="18">
        <f t="shared" si="154"/>
        <v>2020</v>
      </c>
      <c r="C4942" s="18">
        <f t="shared" si="155"/>
        <v>10</v>
      </c>
      <c r="D4942" s="3" t="s">
        <v>1383</v>
      </c>
      <c r="E4942" s="3" t="s">
        <v>164</v>
      </c>
      <c r="F4942" s="3" t="s">
        <v>14</v>
      </c>
      <c r="G4942" s="3" t="s">
        <v>15</v>
      </c>
      <c r="H4942" s="3" t="s">
        <v>2215</v>
      </c>
      <c r="I4942" s="11">
        <v>107.184</v>
      </c>
      <c r="J4942" s="18">
        <v>2</v>
      </c>
      <c r="K4942" s="12">
        <v>2.0388000000000002</v>
      </c>
    </row>
    <row r="4943" spans="1:11" x14ac:dyDescent="0.25">
      <c r="A4943" s="4">
        <v>44131</v>
      </c>
      <c r="B4943" s="19">
        <f t="shared" si="154"/>
        <v>2020</v>
      </c>
      <c r="C4943" s="19">
        <f t="shared" si="155"/>
        <v>10</v>
      </c>
      <c r="D4943" s="5" t="s">
        <v>403</v>
      </c>
      <c r="E4943" s="5" t="s">
        <v>198</v>
      </c>
      <c r="F4943" s="5" t="s">
        <v>19</v>
      </c>
      <c r="G4943" s="5" t="s">
        <v>53</v>
      </c>
      <c r="H4943" s="5" t="s">
        <v>82</v>
      </c>
      <c r="I4943" s="13">
        <v>122.78400000000001</v>
      </c>
      <c r="J4943" s="19">
        <v>1</v>
      </c>
      <c r="K4943" s="14">
        <v>16.234200000000001</v>
      </c>
    </row>
    <row r="4944" spans="1:11" x14ac:dyDescent="0.25">
      <c r="A4944" s="2">
        <v>44131</v>
      </c>
      <c r="B4944" s="18">
        <f t="shared" si="154"/>
        <v>2020</v>
      </c>
      <c r="C4944" s="18">
        <f t="shared" si="155"/>
        <v>10</v>
      </c>
      <c r="D4944" s="3" t="s">
        <v>726</v>
      </c>
      <c r="E4944" s="3" t="s">
        <v>44</v>
      </c>
      <c r="F4944" s="3" t="s">
        <v>19</v>
      </c>
      <c r="G4944" s="3" t="s">
        <v>53</v>
      </c>
      <c r="H4944" s="3" t="s">
        <v>172</v>
      </c>
      <c r="I4944" s="11">
        <v>158.78399999999999</v>
      </c>
      <c r="J4944" s="18">
        <v>7</v>
      </c>
      <c r="K4944" s="12">
        <v>20.584199999999999</v>
      </c>
    </row>
    <row r="4945" spans="1:11" x14ac:dyDescent="0.25">
      <c r="A4945" s="4">
        <v>44131</v>
      </c>
      <c r="B4945" s="19">
        <f t="shared" si="154"/>
        <v>2020</v>
      </c>
      <c r="C4945" s="19">
        <f t="shared" si="155"/>
        <v>10</v>
      </c>
      <c r="D4945" s="5" t="s">
        <v>1771</v>
      </c>
      <c r="E4945" s="5" t="s">
        <v>18</v>
      </c>
      <c r="F4945" s="5" t="s">
        <v>14</v>
      </c>
      <c r="G4945" s="5" t="s">
        <v>15</v>
      </c>
      <c r="H4945" s="5" t="s">
        <v>1282</v>
      </c>
      <c r="I4945" s="13">
        <v>155.96</v>
      </c>
      <c r="J4945" s="19">
        <v>5</v>
      </c>
      <c r="K4945" s="14">
        <v>7.1959999999999997</v>
      </c>
    </row>
    <row r="4946" spans="1:11" x14ac:dyDescent="0.25">
      <c r="A4946" s="2">
        <v>44132</v>
      </c>
      <c r="B4946" s="18">
        <f t="shared" si="154"/>
        <v>2020</v>
      </c>
      <c r="C4946" s="18">
        <f t="shared" si="155"/>
        <v>10</v>
      </c>
      <c r="D4946" s="3" t="s">
        <v>511</v>
      </c>
      <c r="E4946" s="3" t="s">
        <v>35</v>
      </c>
      <c r="F4946" s="3" t="s">
        <v>19</v>
      </c>
      <c r="G4946" s="3" t="s">
        <v>20</v>
      </c>
      <c r="H4946" s="3" t="s">
        <v>494</v>
      </c>
      <c r="I4946" s="11">
        <v>183.184</v>
      </c>
      <c r="J4946" s="18">
        <v>2</v>
      </c>
      <c r="K4946" s="12">
        <v>-29.436800000000002</v>
      </c>
    </row>
    <row r="4947" spans="1:11" x14ac:dyDescent="0.25">
      <c r="A4947" s="4">
        <v>44132</v>
      </c>
      <c r="B4947" s="19">
        <f t="shared" si="154"/>
        <v>2020</v>
      </c>
      <c r="C4947" s="19">
        <f t="shared" si="155"/>
        <v>10</v>
      </c>
      <c r="D4947" s="5" t="s">
        <v>2524</v>
      </c>
      <c r="E4947" s="5" t="s">
        <v>23</v>
      </c>
      <c r="F4947" s="5" t="s">
        <v>19</v>
      </c>
      <c r="G4947" s="5" t="s">
        <v>53</v>
      </c>
      <c r="H4947" s="5" t="s">
        <v>2525</v>
      </c>
      <c r="I4947" s="13">
        <v>88.552000000000007</v>
      </c>
      <c r="J4947" s="19">
        <v>3</v>
      </c>
      <c r="K4947" s="14">
        <v>5.4432</v>
      </c>
    </row>
    <row r="4948" spans="1:11" x14ac:dyDescent="0.25">
      <c r="A4948" s="2">
        <v>44132</v>
      </c>
      <c r="B4948" s="18">
        <f t="shared" si="154"/>
        <v>2020</v>
      </c>
      <c r="C4948" s="18">
        <f t="shared" si="155"/>
        <v>10</v>
      </c>
      <c r="D4948" s="3" t="s">
        <v>2524</v>
      </c>
      <c r="E4948" s="3" t="s">
        <v>23</v>
      </c>
      <c r="F4948" s="3" t="s">
        <v>14</v>
      </c>
      <c r="G4948" s="3" t="s">
        <v>24</v>
      </c>
      <c r="H4948" s="3" t="s">
        <v>789</v>
      </c>
      <c r="I4948" s="11">
        <v>109.176</v>
      </c>
      <c r="J4948" s="18">
        <v>2</v>
      </c>
      <c r="K4948" s="12">
        <v>-3.2719999999999998</v>
      </c>
    </row>
    <row r="4949" spans="1:11" x14ac:dyDescent="0.25">
      <c r="A4949" s="4">
        <v>44132</v>
      </c>
      <c r="B4949" s="19">
        <f t="shared" si="154"/>
        <v>2020</v>
      </c>
      <c r="C4949" s="19">
        <f t="shared" si="155"/>
        <v>10</v>
      </c>
      <c r="D4949" s="5" t="s">
        <v>2038</v>
      </c>
      <c r="E4949" s="5" t="s">
        <v>370</v>
      </c>
      <c r="F4949" s="5" t="s">
        <v>19</v>
      </c>
      <c r="G4949" s="5" t="s">
        <v>127</v>
      </c>
      <c r="H4949" s="5" t="s">
        <v>861</v>
      </c>
      <c r="I4949" s="13">
        <v>103.93</v>
      </c>
      <c r="J4949" s="19">
        <v>3</v>
      </c>
      <c r="K4949" s="14">
        <v>10.3071</v>
      </c>
    </row>
    <row r="4950" spans="1:11" x14ac:dyDescent="0.25">
      <c r="A4950" s="2">
        <v>44132</v>
      </c>
      <c r="B4950" s="18">
        <f t="shared" si="154"/>
        <v>2020</v>
      </c>
      <c r="C4950" s="18">
        <f t="shared" si="155"/>
        <v>10</v>
      </c>
      <c r="D4950" s="3" t="s">
        <v>2524</v>
      </c>
      <c r="E4950" s="3" t="s">
        <v>23</v>
      </c>
      <c r="F4950" s="3" t="s">
        <v>14</v>
      </c>
      <c r="G4950" s="3" t="s">
        <v>24</v>
      </c>
      <c r="H4950" s="3" t="s">
        <v>1070</v>
      </c>
      <c r="I4950" s="11">
        <v>138</v>
      </c>
      <c r="J4950" s="18">
        <v>2</v>
      </c>
      <c r="K4950" s="12">
        <v>-2.7</v>
      </c>
    </row>
    <row r="4951" spans="1:11" x14ac:dyDescent="0.25">
      <c r="A4951" s="4">
        <v>44132</v>
      </c>
      <c r="B4951" s="19">
        <f t="shared" si="154"/>
        <v>2020</v>
      </c>
      <c r="C4951" s="19">
        <f t="shared" si="155"/>
        <v>10</v>
      </c>
      <c r="D4951" s="5" t="s">
        <v>2311</v>
      </c>
      <c r="E4951" s="5" t="s">
        <v>94</v>
      </c>
      <c r="F4951" s="5" t="s">
        <v>19</v>
      </c>
      <c r="G4951" s="5" t="s">
        <v>86</v>
      </c>
      <c r="H4951" s="5" t="s">
        <v>290</v>
      </c>
      <c r="I4951" s="13">
        <v>162.97999999999999</v>
      </c>
      <c r="J4951" s="19">
        <v>2</v>
      </c>
      <c r="K4951" s="14">
        <v>23.99</v>
      </c>
    </row>
    <row r="4952" spans="1:11" x14ac:dyDescent="0.25">
      <c r="A4952" s="2">
        <v>44132</v>
      </c>
      <c r="B4952" s="18">
        <f t="shared" si="154"/>
        <v>2020</v>
      </c>
      <c r="C4952" s="18">
        <f t="shared" si="155"/>
        <v>10</v>
      </c>
      <c r="D4952" s="3" t="s">
        <v>511</v>
      </c>
      <c r="E4952" s="3" t="s">
        <v>35</v>
      </c>
      <c r="F4952" s="3" t="s">
        <v>11</v>
      </c>
      <c r="G4952" s="3" t="s">
        <v>51</v>
      </c>
      <c r="H4952" s="3" t="s">
        <v>762</v>
      </c>
      <c r="I4952" s="11">
        <v>177.952</v>
      </c>
      <c r="J4952" s="18">
        <v>3</v>
      </c>
      <c r="K4952" s="12">
        <v>15.590400000000001</v>
      </c>
    </row>
    <row r="4953" spans="1:11" x14ac:dyDescent="0.25">
      <c r="A4953" s="4">
        <v>44132</v>
      </c>
      <c r="B4953" s="19">
        <f t="shared" si="154"/>
        <v>2020</v>
      </c>
      <c r="C4953" s="19">
        <f t="shared" si="155"/>
        <v>10</v>
      </c>
      <c r="D4953" s="5" t="s">
        <v>511</v>
      </c>
      <c r="E4953" s="5" t="s">
        <v>35</v>
      </c>
      <c r="F4953" s="5" t="s">
        <v>19</v>
      </c>
      <c r="G4953" s="5" t="s">
        <v>53</v>
      </c>
      <c r="H4953" s="5" t="s">
        <v>2286</v>
      </c>
      <c r="I4953" s="13">
        <v>146.952</v>
      </c>
      <c r="J4953" s="19">
        <v>3</v>
      </c>
      <c r="K4953" s="14">
        <v>16.183800000000002</v>
      </c>
    </row>
    <row r="4954" spans="1:11" x14ac:dyDescent="0.25">
      <c r="A4954" s="2">
        <v>44133</v>
      </c>
      <c r="B4954" s="18">
        <f t="shared" si="154"/>
        <v>2020</v>
      </c>
      <c r="C4954" s="18">
        <f t="shared" si="155"/>
        <v>10</v>
      </c>
      <c r="D4954" s="3" t="s">
        <v>798</v>
      </c>
      <c r="E4954" s="3" t="s">
        <v>94</v>
      </c>
      <c r="F4954" s="3" t="s">
        <v>19</v>
      </c>
      <c r="G4954" s="3" t="s">
        <v>53</v>
      </c>
      <c r="H4954" s="3" t="s">
        <v>1561</v>
      </c>
      <c r="I4954" s="11">
        <v>146.96</v>
      </c>
      <c r="J4954" s="18">
        <v>8</v>
      </c>
      <c r="K4954" s="12">
        <v>22.540800000000001</v>
      </c>
    </row>
    <row r="4955" spans="1:11" x14ac:dyDescent="0.25">
      <c r="A4955" s="4">
        <v>44134</v>
      </c>
      <c r="B4955" s="19">
        <f t="shared" si="154"/>
        <v>2020</v>
      </c>
      <c r="C4955" s="19">
        <f t="shared" si="155"/>
        <v>10</v>
      </c>
      <c r="D4955" s="5" t="s">
        <v>2526</v>
      </c>
      <c r="E4955" s="5" t="s">
        <v>70</v>
      </c>
      <c r="F4955" s="5" t="s">
        <v>11</v>
      </c>
      <c r="G4955" s="5" t="s">
        <v>112</v>
      </c>
      <c r="H4955" s="5" t="s">
        <v>936</v>
      </c>
      <c r="I4955" s="13">
        <v>109.568</v>
      </c>
      <c r="J4955" s="19">
        <v>2</v>
      </c>
      <c r="K4955" s="14">
        <v>-6.0979999999999999</v>
      </c>
    </row>
    <row r="4956" spans="1:11" x14ac:dyDescent="0.25">
      <c r="A4956" s="2">
        <v>44134</v>
      </c>
      <c r="B4956" s="18">
        <f t="shared" si="154"/>
        <v>2020</v>
      </c>
      <c r="C4956" s="18">
        <f t="shared" si="155"/>
        <v>10</v>
      </c>
      <c r="D4956" s="3" t="s">
        <v>238</v>
      </c>
      <c r="E4956" s="3" t="s">
        <v>195</v>
      </c>
      <c r="F4956" s="3" t="s">
        <v>19</v>
      </c>
      <c r="G4956" s="3" t="s">
        <v>20</v>
      </c>
      <c r="H4956" s="3" t="s">
        <v>1643</v>
      </c>
      <c r="I4956" s="11">
        <v>118.98</v>
      </c>
      <c r="J4956" s="18">
        <v>7</v>
      </c>
      <c r="K4956" s="12">
        <v>4.2392000000000003</v>
      </c>
    </row>
    <row r="4957" spans="1:11" x14ac:dyDescent="0.25">
      <c r="A4957" s="4">
        <v>44134</v>
      </c>
      <c r="B4957" s="19">
        <f t="shared" si="154"/>
        <v>2020</v>
      </c>
      <c r="C4957" s="19">
        <f t="shared" si="155"/>
        <v>10</v>
      </c>
      <c r="D4957" s="5" t="s">
        <v>2273</v>
      </c>
      <c r="E4957" s="5" t="s">
        <v>70</v>
      </c>
      <c r="F4957" s="5" t="s">
        <v>19</v>
      </c>
      <c r="G4957" s="5" t="s">
        <v>32</v>
      </c>
      <c r="H4957" s="5" t="s">
        <v>543</v>
      </c>
      <c r="I4957" s="13">
        <v>119.752</v>
      </c>
      <c r="J4957" s="19">
        <v>3</v>
      </c>
      <c r="K4957" s="14">
        <v>27.734999999999999</v>
      </c>
    </row>
    <row r="4958" spans="1:11" x14ac:dyDescent="0.25">
      <c r="A4958" s="2">
        <v>44134</v>
      </c>
      <c r="B4958" s="18">
        <f t="shared" si="154"/>
        <v>2020</v>
      </c>
      <c r="C4958" s="18">
        <f t="shared" si="155"/>
        <v>10</v>
      </c>
      <c r="D4958" s="3" t="s">
        <v>1671</v>
      </c>
      <c r="E4958" s="3" t="s">
        <v>18</v>
      </c>
      <c r="F4958" s="3" t="s">
        <v>14</v>
      </c>
      <c r="G4958" s="3" t="s">
        <v>15</v>
      </c>
      <c r="H4958" s="3" t="s">
        <v>1499</v>
      </c>
      <c r="I4958" s="11">
        <v>194.48</v>
      </c>
      <c r="J4958" s="18">
        <v>2</v>
      </c>
      <c r="K4958" s="12">
        <v>16.704000000000001</v>
      </c>
    </row>
    <row r="4959" spans="1:11" x14ac:dyDescent="0.25">
      <c r="A4959" s="4">
        <v>44134</v>
      </c>
      <c r="B4959" s="19">
        <f t="shared" si="154"/>
        <v>2020</v>
      </c>
      <c r="C4959" s="19">
        <f t="shared" si="155"/>
        <v>10</v>
      </c>
      <c r="D4959" s="5" t="s">
        <v>2526</v>
      </c>
      <c r="E4959" s="5" t="s">
        <v>70</v>
      </c>
      <c r="F4959" s="5" t="s">
        <v>11</v>
      </c>
      <c r="G4959" s="5" t="s">
        <v>12</v>
      </c>
      <c r="H4959" s="5" t="s">
        <v>1648</v>
      </c>
      <c r="I4959" s="13">
        <v>232.98</v>
      </c>
      <c r="J4959" s="19">
        <v>2</v>
      </c>
      <c r="K4959" s="14">
        <v>37.996200000000002</v>
      </c>
    </row>
    <row r="4960" spans="1:11" x14ac:dyDescent="0.25">
      <c r="A4960" s="2">
        <v>44134</v>
      </c>
      <c r="B4960" s="18">
        <f t="shared" si="154"/>
        <v>2020</v>
      </c>
      <c r="C4960" s="18">
        <f t="shared" si="155"/>
        <v>10</v>
      </c>
      <c r="D4960" s="3" t="s">
        <v>2342</v>
      </c>
      <c r="E4960" s="3" t="s">
        <v>23</v>
      </c>
      <c r="F4960" s="3" t="s">
        <v>11</v>
      </c>
      <c r="G4960" s="3" t="s">
        <v>30</v>
      </c>
      <c r="H4960" s="3" t="s">
        <v>2359</v>
      </c>
      <c r="I4960" s="11">
        <v>296.00599999999997</v>
      </c>
      <c r="J4960" s="18">
        <v>2</v>
      </c>
      <c r="K4960" s="12">
        <v>-68.130200000000002</v>
      </c>
    </row>
    <row r="4961" spans="1:11" x14ac:dyDescent="0.25">
      <c r="A4961" s="4">
        <v>44134</v>
      </c>
      <c r="B4961" s="19">
        <f t="shared" si="154"/>
        <v>2020</v>
      </c>
      <c r="C4961" s="19">
        <f t="shared" si="155"/>
        <v>10</v>
      </c>
      <c r="D4961" s="5" t="s">
        <v>1694</v>
      </c>
      <c r="E4961" s="5" t="s">
        <v>39</v>
      </c>
      <c r="F4961" s="5" t="s">
        <v>14</v>
      </c>
      <c r="G4961" s="5" t="s">
        <v>24</v>
      </c>
      <c r="H4961" s="5" t="s">
        <v>110</v>
      </c>
      <c r="I4961" s="13">
        <v>455.4</v>
      </c>
      <c r="J4961" s="19">
        <v>7</v>
      </c>
      <c r="K4961" s="14">
        <v>-55.3</v>
      </c>
    </row>
    <row r="4962" spans="1:11" x14ac:dyDescent="0.25">
      <c r="A4962" s="2">
        <v>44134</v>
      </c>
      <c r="B4962" s="18">
        <f t="shared" si="154"/>
        <v>2020</v>
      </c>
      <c r="C4962" s="18">
        <f t="shared" si="155"/>
        <v>10</v>
      </c>
      <c r="D4962" s="3" t="s">
        <v>2526</v>
      </c>
      <c r="E4962" s="3" t="s">
        <v>70</v>
      </c>
      <c r="F4962" s="3" t="s">
        <v>11</v>
      </c>
      <c r="G4962" s="3" t="s">
        <v>112</v>
      </c>
      <c r="H4962" s="3" t="s">
        <v>113</v>
      </c>
      <c r="I4962" s="11">
        <v>624.27200000000005</v>
      </c>
      <c r="J4962" s="18">
        <v>8</v>
      </c>
      <c r="K4962" s="12">
        <v>-23.0352</v>
      </c>
    </row>
    <row r="4963" spans="1:11" x14ac:dyDescent="0.25">
      <c r="A4963" s="4">
        <v>44134</v>
      </c>
      <c r="B4963" s="19">
        <f t="shared" si="154"/>
        <v>2020</v>
      </c>
      <c r="C4963" s="19">
        <f t="shared" si="155"/>
        <v>10</v>
      </c>
      <c r="D4963" s="5" t="s">
        <v>1671</v>
      </c>
      <c r="E4963" s="5" t="s">
        <v>18</v>
      </c>
      <c r="F4963" s="5" t="s">
        <v>19</v>
      </c>
      <c r="G4963" s="5" t="s">
        <v>121</v>
      </c>
      <c r="H4963" s="5" t="s">
        <v>959</v>
      </c>
      <c r="I4963" s="13">
        <v>1735.12</v>
      </c>
      <c r="J4963" s="19">
        <v>14</v>
      </c>
      <c r="K4963" s="14">
        <v>510.63600000000002</v>
      </c>
    </row>
    <row r="4964" spans="1:11" x14ac:dyDescent="0.25">
      <c r="A4964" s="2">
        <v>44134</v>
      </c>
      <c r="B4964" s="18">
        <f t="shared" si="154"/>
        <v>2020</v>
      </c>
      <c r="C4964" s="18">
        <f t="shared" si="155"/>
        <v>10</v>
      </c>
      <c r="D4964" s="3" t="s">
        <v>1597</v>
      </c>
      <c r="E4964" s="3" t="s">
        <v>70</v>
      </c>
      <c r="F4964" s="3" t="s">
        <v>11</v>
      </c>
      <c r="G4964" s="3" t="s">
        <v>51</v>
      </c>
      <c r="H4964" s="3" t="s">
        <v>1687</v>
      </c>
      <c r="I4964" s="11">
        <v>115.64</v>
      </c>
      <c r="J4964" s="18">
        <v>2</v>
      </c>
      <c r="K4964" s="12">
        <v>3.6631999999999998</v>
      </c>
    </row>
    <row r="4965" spans="1:11" x14ac:dyDescent="0.25">
      <c r="A4965" s="4">
        <v>44134</v>
      </c>
      <c r="B4965" s="19">
        <f t="shared" si="154"/>
        <v>2020</v>
      </c>
      <c r="C4965" s="19">
        <f t="shared" si="155"/>
        <v>10</v>
      </c>
      <c r="D4965" s="5" t="s">
        <v>1694</v>
      </c>
      <c r="E4965" s="5" t="s">
        <v>39</v>
      </c>
      <c r="F4965" s="5" t="s">
        <v>19</v>
      </c>
      <c r="G4965" s="5" t="s">
        <v>53</v>
      </c>
      <c r="H4965" s="5" t="s">
        <v>1279</v>
      </c>
      <c r="I4965" s="13">
        <v>104.736</v>
      </c>
      <c r="J4965" s="19">
        <v>4</v>
      </c>
      <c r="K4965" s="14">
        <v>7.2576000000000001</v>
      </c>
    </row>
    <row r="4966" spans="1:11" x14ac:dyDescent="0.25">
      <c r="A4966" s="2">
        <v>44134</v>
      </c>
      <c r="B4966" s="18">
        <f t="shared" si="154"/>
        <v>2020</v>
      </c>
      <c r="C4966" s="18">
        <f t="shared" si="155"/>
        <v>10</v>
      </c>
      <c r="D4966" s="3" t="s">
        <v>1671</v>
      </c>
      <c r="E4966" s="3" t="s">
        <v>18</v>
      </c>
      <c r="F4966" s="3" t="s">
        <v>19</v>
      </c>
      <c r="G4966" s="3" t="s">
        <v>53</v>
      </c>
      <c r="H4966" s="3" t="s">
        <v>2432</v>
      </c>
      <c r="I4966" s="11">
        <v>120.42</v>
      </c>
      <c r="J4966" s="18">
        <v>2</v>
      </c>
      <c r="K4966" s="12">
        <v>3.71</v>
      </c>
    </row>
    <row r="4967" spans="1:11" x14ac:dyDescent="0.25">
      <c r="A4967" s="4">
        <v>44134</v>
      </c>
      <c r="B4967" s="19">
        <f t="shared" si="154"/>
        <v>2020</v>
      </c>
      <c r="C4967" s="19">
        <f t="shared" si="155"/>
        <v>10</v>
      </c>
      <c r="D4967" s="5" t="s">
        <v>1671</v>
      </c>
      <c r="E4967" s="5" t="s">
        <v>18</v>
      </c>
      <c r="F4967" s="5" t="s">
        <v>19</v>
      </c>
      <c r="G4967" s="5" t="s">
        <v>40</v>
      </c>
      <c r="H4967" s="5" t="s">
        <v>816</v>
      </c>
      <c r="I4967" s="13">
        <v>89.9</v>
      </c>
      <c r="J4967" s="19">
        <v>5</v>
      </c>
      <c r="K4967" s="14">
        <v>6.5670000000000002</v>
      </c>
    </row>
    <row r="4968" spans="1:11" x14ac:dyDescent="0.25">
      <c r="A4968" s="2">
        <v>44134</v>
      </c>
      <c r="B4968" s="18">
        <f t="shared" si="154"/>
        <v>2020</v>
      </c>
      <c r="C4968" s="18">
        <f t="shared" si="155"/>
        <v>10</v>
      </c>
      <c r="D4968" s="3" t="s">
        <v>2342</v>
      </c>
      <c r="E4968" s="3" t="s">
        <v>23</v>
      </c>
      <c r="F4968" s="3" t="s">
        <v>11</v>
      </c>
      <c r="G4968" s="3" t="s">
        <v>51</v>
      </c>
      <c r="H4968" s="3" t="s">
        <v>2418</v>
      </c>
      <c r="I4968" s="11">
        <v>91.191999999999993</v>
      </c>
      <c r="J4968" s="18">
        <v>2</v>
      </c>
      <c r="K4968" s="12">
        <v>-8.5007999999999999</v>
      </c>
    </row>
    <row r="4969" spans="1:11" x14ac:dyDescent="0.25">
      <c r="A4969" s="4">
        <v>44134</v>
      </c>
      <c r="B4969" s="19">
        <f t="shared" si="154"/>
        <v>2020</v>
      </c>
      <c r="C4969" s="19">
        <f t="shared" si="155"/>
        <v>10</v>
      </c>
      <c r="D4969" s="5" t="s">
        <v>1694</v>
      </c>
      <c r="E4969" s="5" t="s">
        <v>39</v>
      </c>
      <c r="F4969" s="5" t="s">
        <v>11</v>
      </c>
      <c r="G4969" s="5" t="s">
        <v>51</v>
      </c>
      <c r="H4969" s="5" t="s">
        <v>1021</v>
      </c>
      <c r="I4969" s="13">
        <v>110.16800000000001</v>
      </c>
      <c r="J4969" s="19">
        <v>2</v>
      </c>
      <c r="K4969" s="14">
        <v>0.98560000000000003</v>
      </c>
    </row>
    <row r="4970" spans="1:11" x14ac:dyDescent="0.25">
      <c r="A4970" s="2">
        <v>44134</v>
      </c>
      <c r="B4970" s="18">
        <f t="shared" si="154"/>
        <v>2020</v>
      </c>
      <c r="C4970" s="18">
        <f t="shared" si="155"/>
        <v>10</v>
      </c>
      <c r="D4970" s="3" t="s">
        <v>238</v>
      </c>
      <c r="E4970" s="3" t="s">
        <v>195</v>
      </c>
      <c r="F4970" s="3" t="s">
        <v>11</v>
      </c>
      <c r="G4970" s="3" t="s">
        <v>112</v>
      </c>
      <c r="H4970" s="3" t="s">
        <v>1760</v>
      </c>
      <c r="I4970" s="11">
        <v>133.94</v>
      </c>
      <c r="J4970" s="18">
        <v>1</v>
      </c>
      <c r="K4970" s="12">
        <v>9.1638000000000002</v>
      </c>
    </row>
    <row r="4971" spans="1:11" x14ac:dyDescent="0.25">
      <c r="A4971" s="4">
        <v>44134</v>
      </c>
      <c r="B4971" s="19">
        <f t="shared" si="154"/>
        <v>2020</v>
      </c>
      <c r="C4971" s="19">
        <f t="shared" si="155"/>
        <v>10</v>
      </c>
      <c r="D4971" s="5" t="s">
        <v>2273</v>
      </c>
      <c r="E4971" s="5" t="s">
        <v>70</v>
      </c>
      <c r="F4971" s="5" t="s">
        <v>19</v>
      </c>
      <c r="G4971" s="5" t="s">
        <v>32</v>
      </c>
      <c r="H4971" s="5" t="s">
        <v>1855</v>
      </c>
      <c r="I4971" s="13">
        <v>126.904</v>
      </c>
      <c r="J4971" s="19">
        <v>2</v>
      </c>
      <c r="K4971" s="14">
        <v>5.2140000000000004</v>
      </c>
    </row>
    <row r="4972" spans="1:11" x14ac:dyDescent="0.25">
      <c r="A4972" s="2">
        <v>44134</v>
      </c>
      <c r="B4972" s="18">
        <f t="shared" si="154"/>
        <v>2020</v>
      </c>
      <c r="C4972" s="18">
        <f t="shared" si="155"/>
        <v>10</v>
      </c>
      <c r="D4972" s="3" t="s">
        <v>1694</v>
      </c>
      <c r="E4972" s="3" t="s">
        <v>39</v>
      </c>
      <c r="F4972" s="3" t="s">
        <v>19</v>
      </c>
      <c r="G4972" s="3" t="s">
        <v>20</v>
      </c>
      <c r="H4972" s="3" t="s">
        <v>1175</v>
      </c>
      <c r="I4972" s="11">
        <v>109.16800000000001</v>
      </c>
      <c r="J4972" s="18">
        <v>2</v>
      </c>
      <c r="K4972" s="12">
        <v>-2.5127999999999999</v>
      </c>
    </row>
    <row r="4973" spans="1:11" x14ac:dyDescent="0.25">
      <c r="A4973" s="4">
        <v>44134</v>
      </c>
      <c r="B4973" s="19">
        <f t="shared" si="154"/>
        <v>2020</v>
      </c>
      <c r="C4973" s="19">
        <f t="shared" si="155"/>
        <v>10</v>
      </c>
      <c r="D4973" s="5" t="s">
        <v>238</v>
      </c>
      <c r="E4973" s="5" t="s">
        <v>195</v>
      </c>
      <c r="F4973" s="5" t="s">
        <v>19</v>
      </c>
      <c r="G4973" s="5" t="s">
        <v>265</v>
      </c>
      <c r="H4973" s="5" t="s">
        <v>1327</v>
      </c>
      <c r="I4973" s="13">
        <v>133.06</v>
      </c>
      <c r="J4973" s="19">
        <v>2</v>
      </c>
      <c r="K4973" s="14">
        <v>10.518000000000001</v>
      </c>
    </row>
    <row r="4974" spans="1:11" x14ac:dyDescent="0.25">
      <c r="A4974" s="2">
        <v>44134</v>
      </c>
      <c r="B4974" s="18">
        <f t="shared" si="154"/>
        <v>2020</v>
      </c>
      <c r="C4974" s="18">
        <f t="shared" si="155"/>
        <v>10</v>
      </c>
      <c r="D4974" s="3" t="s">
        <v>238</v>
      </c>
      <c r="E4974" s="3" t="s">
        <v>195</v>
      </c>
      <c r="F4974" s="3" t="s">
        <v>19</v>
      </c>
      <c r="G4974" s="3" t="s">
        <v>127</v>
      </c>
      <c r="H4974" s="3" t="s">
        <v>1550</v>
      </c>
      <c r="I4974" s="11">
        <v>146</v>
      </c>
      <c r="J4974" s="18">
        <v>8</v>
      </c>
      <c r="K4974" s="12">
        <v>14.4</v>
      </c>
    </row>
    <row r="4975" spans="1:11" x14ac:dyDescent="0.25">
      <c r="A4975" s="4">
        <v>44134</v>
      </c>
      <c r="B4975" s="19">
        <f t="shared" si="154"/>
        <v>2020</v>
      </c>
      <c r="C4975" s="19">
        <f t="shared" si="155"/>
        <v>10</v>
      </c>
      <c r="D4975" s="5" t="s">
        <v>1671</v>
      </c>
      <c r="E4975" s="5" t="s">
        <v>18</v>
      </c>
      <c r="F4975" s="5" t="s">
        <v>19</v>
      </c>
      <c r="G4975" s="5" t="s">
        <v>127</v>
      </c>
      <c r="H4975" s="5" t="s">
        <v>2527</v>
      </c>
      <c r="I4975" s="13">
        <v>151.86000000000001</v>
      </c>
      <c r="J4975" s="19">
        <v>6</v>
      </c>
      <c r="K4975" s="14">
        <v>20.6142</v>
      </c>
    </row>
    <row r="4976" spans="1:11" x14ac:dyDescent="0.25">
      <c r="A4976" s="2">
        <v>44134</v>
      </c>
      <c r="B4976" s="18">
        <f t="shared" si="154"/>
        <v>2020</v>
      </c>
      <c r="C4976" s="18">
        <f t="shared" si="155"/>
        <v>10</v>
      </c>
      <c r="D4976" s="3" t="s">
        <v>1671</v>
      </c>
      <c r="E4976" s="3" t="s">
        <v>18</v>
      </c>
      <c r="F4976" s="3" t="s">
        <v>11</v>
      </c>
      <c r="G4976" s="3" t="s">
        <v>112</v>
      </c>
      <c r="H4976" s="3" t="s">
        <v>1182</v>
      </c>
      <c r="I4976" s="11">
        <v>172.99199999999999</v>
      </c>
      <c r="J4976" s="18">
        <v>1</v>
      </c>
      <c r="K4976" s="12">
        <v>-0.89990000000000003</v>
      </c>
    </row>
    <row r="4977" spans="1:11" x14ac:dyDescent="0.25">
      <c r="A4977" s="4">
        <v>44134</v>
      </c>
      <c r="B4977" s="19">
        <f t="shared" si="154"/>
        <v>2020</v>
      </c>
      <c r="C4977" s="19">
        <f t="shared" si="155"/>
        <v>10</v>
      </c>
      <c r="D4977" s="5" t="s">
        <v>2342</v>
      </c>
      <c r="E4977" s="5" t="s">
        <v>23</v>
      </c>
      <c r="F4977" s="5" t="s">
        <v>19</v>
      </c>
      <c r="G4977" s="5" t="s">
        <v>20</v>
      </c>
      <c r="H4977" s="5" t="s">
        <v>182</v>
      </c>
      <c r="I4977" s="13">
        <v>157.19200000000001</v>
      </c>
      <c r="J4977" s="19">
        <v>6</v>
      </c>
      <c r="K4977" s="14">
        <v>4.0644</v>
      </c>
    </row>
    <row r="4978" spans="1:11" x14ac:dyDescent="0.25">
      <c r="A4978" s="2">
        <v>44135</v>
      </c>
      <c r="B4978" s="18">
        <f t="shared" si="154"/>
        <v>2020</v>
      </c>
      <c r="C4978" s="18">
        <f t="shared" si="155"/>
        <v>10</v>
      </c>
      <c r="D4978" s="3" t="s">
        <v>1368</v>
      </c>
      <c r="E4978" s="3" t="s">
        <v>164</v>
      </c>
      <c r="F4978" s="3" t="s">
        <v>14</v>
      </c>
      <c r="G4978" s="3" t="s">
        <v>15</v>
      </c>
      <c r="H4978" s="3" t="s">
        <v>1315</v>
      </c>
      <c r="I4978" s="11">
        <v>522.76800000000003</v>
      </c>
      <c r="J4978" s="18">
        <v>4</v>
      </c>
      <c r="K4978" s="12">
        <v>38.157600000000002</v>
      </c>
    </row>
    <row r="4979" spans="1:11" x14ac:dyDescent="0.25">
      <c r="A4979" s="4">
        <v>44135</v>
      </c>
      <c r="B4979" s="19">
        <f t="shared" si="154"/>
        <v>2020</v>
      </c>
      <c r="C4979" s="19">
        <f t="shared" si="155"/>
        <v>10</v>
      </c>
      <c r="D4979" s="5" t="s">
        <v>1152</v>
      </c>
      <c r="E4979" s="5" t="s">
        <v>23</v>
      </c>
      <c r="F4979" s="5" t="s">
        <v>19</v>
      </c>
      <c r="G4979" s="5" t="s">
        <v>40</v>
      </c>
      <c r="H4979" s="5" t="s">
        <v>2265</v>
      </c>
      <c r="I4979" s="13">
        <v>95.248000000000005</v>
      </c>
      <c r="J4979" s="19">
        <v>2</v>
      </c>
      <c r="K4979" s="14">
        <v>0.59040000000000004</v>
      </c>
    </row>
    <row r="4980" spans="1:11" x14ac:dyDescent="0.25">
      <c r="A4980" s="2">
        <v>44135</v>
      </c>
      <c r="B4980" s="18">
        <f t="shared" si="154"/>
        <v>2020</v>
      </c>
      <c r="C4980" s="18">
        <f t="shared" si="155"/>
        <v>10</v>
      </c>
      <c r="D4980" s="3" t="s">
        <v>1368</v>
      </c>
      <c r="E4980" s="3" t="s">
        <v>164</v>
      </c>
      <c r="F4980" s="3" t="s">
        <v>19</v>
      </c>
      <c r="G4980" s="3" t="s">
        <v>86</v>
      </c>
      <c r="H4980" s="3" t="s">
        <v>95</v>
      </c>
      <c r="I4980" s="11">
        <v>108.91200000000001</v>
      </c>
      <c r="J4980" s="18">
        <v>3</v>
      </c>
      <c r="K4980" s="12">
        <v>3.2214</v>
      </c>
    </row>
    <row r="4981" spans="1:11" x14ac:dyDescent="0.25">
      <c r="A4981" s="4">
        <v>44136</v>
      </c>
      <c r="B4981" s="19">
        <f t="shared" si="154"/>
        <v>2020</v>
      </c>
      <c r="C4981" s="19">
        <f t="shared" si="155"/>
        <v>11</v>
      </c>
      <c r="D4981" s="5" t="s">
        <v>2023</v>
      </c>
      <c r="E4981" s="5" t="s">
        <v>370</v>
      </c>
      <c r="F4981" s="5" t="s">
        <v>19</v>
      </c>
      <c r="G4981" s="5" t="s">
        <v>53</v>
      </c>
      <c r="H4981" s="5" t="s">
        <v>566</v>
      </c>
      <c r="I4981" s="13">
        <v>239.7</v>
      </c>
      <c r="J4981" s="19">
        <v>10</v>
      </c>
      <c r="K4981" s="14">
        <v>91.055999999999997</v>
      </c>
    </row>
    <row r="4982" spans="1:11" x14ac:dyDescent="0.25">
      <c r="A4982" s="2">
        <v>44136</v>
      </c>
      <c r="B4982" s="18">
        <f t="shared" si="154"/>
        <v>2020</v>
      </c>
      <c r="C4982" s="18">
        <f t="shared" si="155"/>
        <v>11</v>
      </c>
      <c r="D4982" s="3" t="s">
        <v>563</v>
      </c>
      <c r="E4982" s="3" t="s">
        <v>70</v>
      </c>
      <c r="F4982" s="3" t="s">
        <v>11</v>
      </c>
      <c r="G4982" s="3" t="s">
        <v>30</v>
      </c>
      <c r="H4982" s="3" t="s">
        <v>1986</v>
      </c>
      <c r="I4982" s="11">
        <v>2694.62</v>
      </c>
      <c r="J4982" s="18">
        <v>9</v>
      </c>
      <c r="K4982" s="12">
        <v>239.9058</v>
      </c>
    </row>
    <row r="4983" spans="1:11" x14ac:dyDescent="0.25">
      <c r="A4983" s="4">
        <v>44136</v>
      </c>
      <c r="B4983" s="19">
        <f t="shared" si="154"/>
        <v>2020</v>
      </c>
      <c r="C4983" s="19">
        <f t="shared" si="155"/>
        <v>11</v>
      </c>
      <c r="D4983" s="5" t="s">
        <v>563</v>
      </c>
      <c r="E4983" s="5" t="s">
        <v>70</v>
      </c>
      <c r="F4983" s="5" t="s">
        <v>19</v>
      </c>
      <c r="G4983" s="5" t="s">
        <v>32</v>
      </c>
      <c r="H4983" s="5" t="s">
        <v>1187</v>
      </c>
      <c r="I4983" s="13">
        <v>138.12</v>
      </c>
      <c r="J4983" s="19">
        <v>5</v>
      </c>
      <c r="K4983" s="14">
        <v>7.85</v>
      </c>
    </row>
    <row r="4984" spans="1:11" x14ac:dyDescent="0.25">
      <c r="A4984" s="2">
        <v>44136</v>
      </c>
      <c r="B4984" s="18">
        <f t="shared" si="154"/>
        <v>2020</v>
      </c>
      <c r="C4984" s="18">
        <f t="shared" si="155"/>
        <v>11</v>
      </c>
      <c r="D4984" s="3" t="s">
        <v>2023</v>
      </c>
      <c r="E4984" s="3" t="s">
        <v>370</v>
      </c>
      <c r="F4984" s="3" t="s">
        <v>19</v>
      </c>
      <c r="G4984" s="3" t="s">
        <v>53</v>
      </c>
      <c r="H4984" s="3" t="s">
        <v>99</v>
      </c>
      <c r="I4984" s="11">
        <v>174.99</v>
      </c>
      <c r="J4984" s="18">
        <v>1</v>
      </c>
      <c r="K4984" s="12">
        <v>20.085100000000001</v>
      </c>
    </row>
    <row r="4985" spans="1:11" x14ac:dyDescent="0.25">
      <c r="A4985" s="4">
        <v>44137</v>
      </c>
      <c r="B4985" s="19">
        <f t="shared" si="154"/>
        <v>2020</v>
      </c>
      <c r="C4985" s="19">
        <f t="shared" si="155"/>
        <v>11</v>
      </c>
      <c r="D4985" s="5" t="s">
        <v>533</v>
      </c>
      <c r="E4985" s="5" t="s">
        <v>195</v>
      </c>
      <c r="F4985" s="5" t="s">
        <v>19</v>
      </c>
      <c r="G4985" s="5" t="s">
        <v>20</v>
      </c>
      <c r="H4985" s="5" t="s">
        <v>746</v>
      </c>
      <c r="I4985" s="13">
        <v>104.92</v>
      </c>
      <c r="J4985" s="19">
        <v>4</v>
      </c>
      <c r="K4985" s="14">
        <v>16.7776</v>
      </c>
    </row>
    <row r="4986" spans="1:11" x14ac:dyDescent="0.25">
      <c r="A4986" s="2">
        <v>44137</v>
      </c>
      <c r="B4986" s="18">
        <f t="shared" si="154"/>
        <v>2020</v>
      </c>
      <c r="C4986" s="18">
        <f t="shared" si="155"/>
        <v>11</v>
      </c>
      <c r="D4986" s="3" t="s">
        <v>1246</v>
      </c>
      <c r="E4986" s="3" t="s">
        <v>472</v>
      </c>
      <c r="F4986" s="3" t="s">
        <v>19</v>
      </c>
      <c r="G4986" s="3" t="s">
        <v>121</v>
      </c>
      <c r="H4986" s="3" t="s">
        <v>2224</v>
      </c>
      <c r="I4986" s="11">
        <v>110.9</v>
      </c>
      <c r="J4986" s="18">
        <v>10</v>
      </c>
      <c r="K4986" s="12">
        <v>20.975000000000001</v>
      </c>
    </row>
    <row r="4987" spans="1:11" x14ac:dyDescent="0.25">
      <c r="A4987" s="4">
        <v>44137</v>
      </c>
      <c r="B4987" s="19">
        <f t="shared" si="154"/>
        <v>2020</v>
      </c>
      <c r="C4987" s="19">
        <f t="shared" si="155"/>
        <v>11</v>
      </c>
      <c r="D4987" s="5" t="s">
        <v>1579</v>
      </c>
      <c r="E4987" s="5" t="s">
        <v>18</v>
      </c>
      <c r="F4987" s="5" t="s">
        <v>19</v>
      </c>
      <c r="G4987" s="5" t="s">
        <v>121</v>
      </c>
      <c r="H4987" s="5" t="s">
        <v>2220</v>
      </c>
      <c r="I4987" s="13">
        <v>178.1</v>
      </c>
      <c r="J4987" s="19">
        <v>5</v>
      </c>
      <c r="K4987" s="14">
        <v>43.706000000000003</v>
      </c>
    </row>
    <row r="4988" spans="1:11" x14ac:dyDescent="0.25">
      <c r="A4988" s="2">
        <v>44137</v>
      </c>
      <c r="B4988" s="18">
        <f t="shared" si="154"/>
        <v>2020</v>
      </c>
      <c r="C4988" s="18">
        <f t="shared" si="155"/>
        <v>11</v>
      </c>
      <c r="D4988" s="3" t="s">
        <v>2246</v>
      </c>
      <c r="E4988" s="3" t="s">
        <v>67</v>
      </c>
      <c r="F4988" s="3" t="s">
        <v>11</v>
      </c>
      <c r="G4988" s="3" t="s">
        <v>112</v>
      </c>
      <c r="H4988" s="3" t="s">
        <v>911</v>
      </c>
      <c r="I4988" s="11">
        <v>199.37200000000001</v>
      </c>
      <c r="J4988" s="18">
        <v>2</v>
      </c>
      <c r="K4988" s="12">
        <v>-35.513599999999997</v>
      </c>
    </row>
    <row r="4989" spans="1:11" x14ac:dyDescent="0.25">
      <c r="A4989" s="4">
        <v>44137</v>
      </c>
      <c r="B4989" s="19">
        <f t="shared" si="154"/>
        <v>2020</v>
      </c>
      <c r="C4989" s="19">
        <f t="shared" si="155"/>
        <v>11</v>
      </c>
      <c r="D4989" s="5" t="s">
        <v>1061</v>
      </c>
      <c r="E4989" s="5" t="s">
        <v>67</v>
      </c>
      <c r="F4989" s="5" t="s">
        <v>19</v>
      </c>
      <c r="G4989" s="5" t="s">
        <v>265</v>
      </c>
      <c r="H4989" s="5" t="s">
        <v>557</v>
      </c>
      <c r="I4989" s="13">
        <v>426.59199999999998</v>
      </c>
      <c r="J4989" s="19">
        <v>2</v>
      </c>
      <c r="K4989" s="14">
        <v>-81.725800000000007</v>
      </c>
    </row>
    <row r="4990" spans="1:11" x14ac:dyDescent="0.25">
      <c r="A4990" s="2">
        <v>44137</v>
      </c>
      <c r="B4990" s="18">
        <f t="shared" si="154"/>
        <v>2020</v>
      </c>
      <c r="C4990" s="18">
        <f t="shared" si="155"/>
        <v>11</v>
      </c>
      <c r="D4990" s="3" t="s">
        <v>956</v>
      </c>
      <c r="E4990" s="3" t="s">
        <v>18</v>
      </c>
      <c r="F4990" s="3" t="s">
        <v>19</v>
      </c>
      <c r="G4990" s="3" t="s">
        <v>20</v>
      </c>
      <c r="H4990" s="3" t="s">
        <v>2114</v>
      </c>
      <c r="I4990" s="11">
        <v>466.55</v>
      </c>
      <c r="J4990" s="18">
        <v>7</v>
      </c>
      <c r="K4990" s="12">
        <v>22.627500000000001</v>
      </c>
    </row>
    <row r="4991" spans="1:11" x14ac:dyDescent="0.25">
      <c r="A4991" s="4">
        <v>44137</v>
      </c>
      <c r="B4991" s="19">
        <f t="shared" si="154"/>
        <v>2020</v>
      </c>
      <c r="C4991" s="19">
        <f t="shared" si="155"/>
        <v>11</v>
      </c>
      <c r="D4991" s="5" t="s">
        <v>956</v>
      </c>
      <c r="E4991" s="5" t="s">
        <v>18</v>
      </c>
      <c r="F4991" s="5" t="s">
        <v>19</v>
      </c>
      <c r="G4991" s="5" t="s">
        <v>32</v>
      </c>
      <c r="H4991" s="5" t="s">
        <v>2528</v>
      </c>
      <c r="I4991" s="13">
        <v>622.35199999999998</v>
      </c>
      <c r="J4991" s="19">
        <v>6</v>
      </c>
      <c r="K4991" s="14">
        <v>206.6232</v>
      </c>
    </row>
    <row r="4992" spans="1:11" x14ac:dyDescent="0.25">
      <c r="A4992" s="2">
        <v>44137</v>
      </c>
      <c r="B4992" s="18">
        <f t="shared" si="154"/>
        <v>2020</v>
      </c>
      <c r="C4992" s="18">
        <f t="shared" si="155"/>
        <v>11</v>
      </c>
      <c r="D4992" s="3" t="s">
        <v>663</v>
      </c>
      <c r="E4992" s="3" t="s">
        <v>39</v>
      </c>
      <c r="F4992" s="3" t="s">
        <v>14</v>
      </c>
      <c r="G4992" s="3" t="s">
        <v>15</v>
      </c>
      <c r="H4992" s="3" t="s">
        <v>941</v>
      </c>
      <c r="I4992" s="11">
        <v>879.2</v>
      </c>
      <c r="J4992" s="18">
        <v>4</v>
      </c>
      <c r="K4992" s="12">
        <v>-186.16</v>
      </c>
    </row>
    <row r="4993" spans="1:11" x14ac:dyDescent="0.25">
      <c r="A4993" s="4">
        <v>44137</v>
      </c>
      <c r="B4993" s="19">
        <f t="shared" si="154"/>
        <v>2020</v>
      </c>
      <c r="C4993" s="19">
        <f t="shared" si="155"/>
        <v>11</v>
      </c>
      <c r="D4993" s="5" t="s">
        <v>533</v>
      </c>
      <c r="E4993" s="5" t="s">
        <v>195</v>
      </c>
      <c r="F4993" s="5" t="s">
        <v>11</v>
      </c>
      <c r="G4993" s="5" t="s">
        <v>112</v>
      </c>
      <c r="H4993" s="5" t="s">
        <v>537</v>
      </c>
      <c r="I4993" s="13">
        <v>1020.92</v>
      </c>
      <c r="J4993" s="19">
        <v>4</v>
      </c>
      <c r="K4993" s="14">
        <v>292.77600000000001</v>
      </c>
    </row>
    <row r="4994" spans="1:11" x14ac:dyDescent="0.25">
      <c r="A4994" s="2">
        <v>44137</v>
      </c>
      <c r="B4994" s="18">
        <f t="shared" ref="B4994:B5057" si="156">YEAR(A4994)</f>
        <v>2020</v>
      </c>
      <c r="C4994" s="18">
        <f t="shared" ref="C4994:C5057" si="157">MONTH(A4994)</f>
        <v>11</v>
      </c>
      <c r="D4994" s="3" t="s">
        <v>533</v>
      </c>
      <c r="E4994" s="3" t="s">
        <v>195</v>
      </c>
      <c r="F4994" s="3" t="s">
        <v>14</v>
      </c>
      <c r="G4994" s="3" t="s">
        <v>24</v>
      </c>
      <c r="H4994" s="3" t="s">
        <v>1351</v>
      </c>
      <c r="I4994" s="11">
        <v>2295.91</v>
      </c>
      <c r="J4994" s="18">
        <v>9</v>
      </c>
      <c r="K4994" s="12">
        <v>517.47929999999997</v>
      </c>
    </row>
    <row r="4995" spans="1:11" x14ac:dyDescent="0.25">
      <c r="A4995" s="4">
        <v>44137</v>
      </c>
      <c r="B4995" s="19">
        <f t="shared" si="156"/>
        <v>2020</v>
      </c>
      <c r="C4995" s="19">
        <f t="shared" si="157"/>
        <v>11</v>
      </c>
      <c r="D4995" s="5" t="s">
        <v>533</v>
      </c>
      <c r="E4995" s="5" t="s">
        <v>195</v>
      </c>
      <c r="F4995" s="5" t="s">
        <v>19</v>
      </c>
      <c r="G4995" s="5" t="s">
        <v>86</v>
      </c>
      <c r="H4995" s="5" t="s">
        <v>2139</v>
      </c>
      <c r="I4995" s="13">
        <v>110.32</v>
      </c>
      <c r="J4995" s="19">
        <v>2</v>
      </c>
      <c r="K4995" s="14">
        <v>2.6067999999999998</v>
      </c>
    </row>
    <row r="4996" spans="1:11" x14ac:dyDescent="0.25">
      <c r="A4996" s="2">
        <v>44137</v>
      </c>
      <c r="B4996" s="18">
        <f t="shared" si="156"/>
        <v>2020</v>
      </c>
      <c r="C4996" s="18">
        <f t="shared" si="157"/>
        <v>11</v>
      </c>
      <c r="D4996" s="3" t="s">
        <v>1869</v>
      </c>
      <c r="E4996" s="3" t="s">
        <v>181</v>
      </c>
      <c r="F4996" s="3" t="s">
        <v>19</v>
      </c>
      <c r="G4996" s="3" t="s">
        <v>40</v>
      </c>
      <c r="H4996" s="3" t="s">
        <v>1994</v>
      </c>
      <c r="I4996" s="11">
        <v>107.56</v>
      </c>
      <c r="J4996" s="18">
        <v>2</v>
      </c>
      <c r="K4996" s="12">
        <v>1.4456</v>
      </c>
    </row>
    <row r="4997" spans="1:11" x14ac:dyDescent="0.25">
      <c r="A4997" s="4">
        <v>44137</v>
      </c>
      <c r="B4997" s="19">
        <f t="shared" si="156"/>
        <v>2020</v>
      </c>
      <c r="C4997" s="19">
        <f t="shared" si="157"/>
        <v>11</v>
      </c>
      <c r="D4997" s="5" t="s">
        <v>1290</v>
      </c>
      <c r="E4997" s="5" t="s">
        <v>70</v>
      </c>
      <c r="F4997" s="5" t="s">
        <v>19</v>
      </c>
      <c r="G4997" s="5" t="s">
        <v>53</v>
      </c>
      <c r="H4997" s="5" t="s">
        <v>241</v>
      </c>
      <c r="I4997" s="13">
        <v>98.85</v>
      </c>
      <c r="J4997" s="19">
        <v>5</v>
      </c>
      <c r="K4997" s="14">
        <v>10.7325</v>
      </c>
    </row>
    <row r="4998" spans="1:11" x14ac:dyDescent="0.25">
      <c r="A4998" s="2">
        <v>44137</v>
      </c>
      <c r="B4998" s="18">
        <f t="shared" si="156"/>
        <v>2020</v>
      </c>
      <c r="C4998" s="18">
        <f t="shared" si="157"/>
        <v>11</v>
      </c>
      <c r="D4998" s="3" t="s">
        <v>1246</v>
      </c>
      <c r="E4998" s="3" t="s">
        <v>472</v>
      </c>
      <c r="F4998" s="3" t="s">
        <v>19</v>
      </c>
      <c r="G4998" s="3" t="s">
        <v>53</v>
      </c>
      <c r="H4998" s="3" t="s">
        <v>500</v>
      </c>
      <c r="I4998" s="11">
        <v>102.76</v>
      </c>
      <c r="J4998" s="18">
        <v>2</v>
      </c>
      <c r="K4998" s="12">
        <v>5.7624000000000004</v>
      </c>
    </row>
    <row r="4999" spans="1:11" x14ac:dyDescent="0.25">
      <c r="A4999" s="4">
        <v>44137</v>
      </c>
      <c r="B4999" s="19">
        <f t="shared" si="156"/>
        <v>2020</v>
      </c>
      <c r="C4999" s="19">
        <f t="shared" si="157"/>
        <v>11</v>
      </c>
      <c r="D4999" s="5" t="s">
        <v>663</v>
      </c>
      <c r="E4999" s="5" t="s">
        <v>39</v>
      </c>
      <c r="F4999" s="5" t="s">
        <v>19</v>
      </c>
      <c r="G4999" s="5" t="s">
        <v>86</v>
      </c>
      <c r="H4999" s="5" t="s">
        <v>2190</v>
      </c>
      <c r="I4999" s="13">
        <v>116.85599999999999</v>
      </c>
      <c r="J4999" s="19">
        <v>3</v>
      </c>
      <c r="K4999" s="14">
        <v>2.8782000000000001</v>
      </c>
    </row>
    <row r="5000" spans="1:11" x14ac:dyDescent="0.25">
      <c r="A5000" s="2">
        <v>44137</v>
      </c>
      <c r="B5000" s="18">
        <f t="shared" si="156"/>
        <v>2020</v>
      </c>
      <c r="C5000" s="18">
        <f t="shared" si="157"/>
        <v>11</v>
      </c>
      <c r="D5000" s="3" t="s">
        <v>73</v>
      </c>
      <c r="E5000" s="3" t="s">
        <v>1156</v>
      </c>
      <c r="F5000" s="3" t="s">
        <v>19</v>
      </c>
      <c r="G5000" s="3" t="s">
        <v>53</v>
      </c>
      <c r="H5000" s="3" t="s">
        <v>2435</v>
      </c>
      <c r="I5000" s="11">
        <v>109.44</v>
      </c>
      <c r="J5000" s="18">
        <v>3</v>
      </c>
      <c r="K5000" s="12">
        <v>9.3312000000000008</v>
      </c>
    </row>
    <row r="5001" spans="1:11" x14ac:dyDescent="0.25">
      <c r="A5001" s="4">
        <v>44137</v>
      </c>
      <c r="B5001" s="19">
        <f t="shared" si="156"/>
        <v>2020</v>
      </c>
      <c r="C5001" s="19">
        <f t="shared" si="157"/>
        <v>11</v>
      </c>
      <c r="D5001" s="5" t="s">
        <v>956</v>
      </c>
      <c r="E5001" s="5" t="s">
        <v>18</v>
      </c>
      <c r="F5001" s="5" t="s">
        <v>19</v>
      </c>
      <c r="G5001" s="5" t="s">
        <v>40</v>
      </c>
      <c r="H5001" s="5" t="s">
        <v>1045</v>
      </c>
      <c r="I5001" s="13">
        <v>102.8</v>
      </c>
      <c r="J5001" s="19">
        <v>5</v>
      </c>
      <c r="K5001" s="14">
        <v>4.2240000000000002</v>
      </c>
    </row>
    <row r="5002" spans="1:11" x14ac:dyDescent="0.25">
      <c r="A5002" s="2">
        <v>44137</v>
      </c>
      <c r="B5002" s="18">
        <f t="shared" si="156"/>
        <v>2020</v>
      </c>
      <c r="C5002" s="18">
        <f t="shared" si="157"/>
        <v>11</v>
      </c>
      <c r="D5002" s="3" t="s">
        <v>663</v>
      </c>
      <c r="E5002" s="3" t="s">
        <v>39</v>
      </c>
      <c r="F5002" s="3" t="s">
        <v>11</v>
      </c>
      <c r="G5002" s="3" t="s">
        <v>51</v>
      </c>
      <c r="H5002" s="3" t="s">
        <v>1234</v>
      </c>
      <c r="I5002" s="11">
        <v>122.312</v>
      </c>
      <c r="J5002" s="18">
        <v>1</v>
      </c>
      <c r="K5002" s="12">
        <v>0.66239999999999999</v>
      </c>
    </row>
    <row r="5003" spans="1:11" x14ac:dyDescent="0.25">
      <c r="A5003" s="4">
        <v>44137</v>
      </c>
      <c r="B5003" s="19">
        <f t="shared" si="156"/>
        <v>2020</v>
      </c>
      <c r="C5003" s="19">
        <f t="shared" si="157"/>
        <v>11</v>
      </c>
      <c r="D5003" s="5" t="s">
        <v>956</v>
      </c>
      <c r="E5003" s="5" t="s">
        <v>18</v>
      </c>
      <c r="F5003" s="5" t="s">
        <v>19</v>
      </c>
      <c r="G5003" s="5" t="s">
        <v>116</v>
      </c>
      <c r="H5003" s="5" t="s">
        <v>2189</v>
      </c>
      <c r="I5003" s="13">
        <v>107.58</v>
      </c>
      <c r="J5003" s="19">
        <v>3</v>
      </c>
      <c r="K5003" s="14">
        <v>0.16739999999999999</v>
      </c>
    </row>
    <row r="5004" spans="1:11" x14ac:dyDescent="0.25">
      <c r="A5004" s="2">
        <v>44137</v>
      </c>
      <c r="B5004" s="18">
        <f t="shared" si="156"/>
        <v>2020</v>
      </c>
      <c r="C5004" s="18">
        <f t="shared" si="157"/>
        <v>11</v>
      </c>
      <c r="D5004" s="3" t="s">
        <v>1831</v>
      </c>
      <c r="E5004" s="3" t="s">
        <v>1051</v>
      </c>
      <c r="F5004" s="3" t="s">
        <v>19</v>
      </c>
      <c r="G5004" s="3" t="s">
        <v>116</v>
      </c>
      <c r="H5004" s="3" t="s">
        <v>301</v>
      </c>
      <c r="I5004" s="11">
        <v>134.24</v>
      </c>
      <c r="J5004" s="18">
        <v>3</v>
      </c>
      <c r="K5004" s="12">
        <v>9.1199999999999992</v>
      </c>
    </row>
    <row r="5005" spans="1:11" x14ac:dyDescent="0.25">
      <c r="A5005" s="4">
        <v>44137</v>
      </c>
      <c r="B5005" s="19">
        <f t="shared" si="156"/>
        <v>2020</v>
      </c>
      <c r="C5005" s="19">
        <f t="shared" si="157"/>
        <v>11</v>
      </c>
      <c r="D5005" s="5" t="s">
        <v>663</v>
      </c>
      <c r="E5005" s="5" t="s">
        <v>39</v>
      </c>
      <c r="F5005" s="5" t="s">
        <v>19</v>
      </c>
      <c r="G5005" s="5" t="s">
        <v>121</v>
      </c>
      <c r="H5005" s="5" t="s">
        <v>2224</v>
      </c>
      <c r="I5005" s="13">
        <v>143.136</v>
      </c>
      <c r="J5005" s="19">
        <v>3</v>
      </c>
      <c r="K5005" s="14">
        <v>1.2585</v>
      </c>
    </row>
    <row r="5006" spans="1:11" x14ac:dyDescent="0.25">
      <c r="A5006" s="2">
        <v>44137</v>
      </c>
      <c r="B5006" s="18">
        <f t="shared" si="156"/>
        <v>2020</v>
      </c>
      <c r="C5006" s="18">
        <f t="shared" si="157"/>
        <v>11</v>
      </c>
      <c r="D5006" s="3" t="s">
        <v>1831</v>
      </c>
      <c r="E5006" s="3" t="s">
        <v>1051</v>
      </c>
      <c r="F5006" s="3" t="s">
        <v>19</v>
      </c>
      <c r="G5006" s="3" t="s">
        <v>40</v>
      </c>
      <c r="H5006" s="3" t="s">
        <v>982</v>
      </c>
      <c r="I5006" s="11">
        <v>123.78</v>
      </c>
      <c r="J5006" s="18">
        <v>6</v>
      </c>
      <c r="K5006" s="12">
        <v>9.1674000000000007</v>
      </c>
    </row>
    <row r="5007" spans="1:11" x14ac:dyDescent="0.25">
      <c r="A5007" s="4">
        <v>44137</v>
      </c>
      <c r="B5007" s="19">
        <f t="shared" si="156"/>
        <v>2020</v>
      </c>
      <c r="C5007" s="19">
        <f t="shared" si="157"/>
        <v>11</v>
      </c>
      <c r="D5007" s="5" t="s">
        <v>956</v>
      </c>
      <c r="E5007" s="5" t="s">
        <v>18</v>
      </c>
      <c r="F5007" s="5" t="s">
        <v>11</v>
      </c>
      <c r="G5007" s="5" t="s">
        <v>51</v>
      </c>
      <c r="H5007" s="5" t="s">
        <v>2529</v>
      </c>
      <c r="I5007" s="13">
        <v>131.02000000000001</v>
      </c>
      <c r="J5007" s="19">
        <v>3</v>
      </c>
      <c r="K5007" s="14">
        <v>10.5084</v>
      </c>
    </row>
    <row r="5008" spans="1:11" x14ac:dyDescent="0.25">
      <c r="A5008" s="2">
        <v>44137</v>
      </c>
      <c r="B5008" s="18">
        <f t="shared" si="156"/>
        <v>2020</v>
      </c>
      <c r="C5008" s="18">
        <f t="shared" si="157"/>
        <v>11</v>
      </c>
      <c r="D5008" s="3" t="s">
        <v>1380</v>
      </c>
      <c r="E5008" s="3" t="s">
        <v>164</v>
      </c>
      <c r="F5008" s="3" t="s">
        <v>19</v>
      </c>
      <c r="G5008" s="3" t="s">
        <v>40</v>
      </c>
      <c r="H5008" s="3" t="s">
        <v>1676</v>
      </c>
      <c r="I5008" s="11">
        <v>152.33600000000001</v>
      </c>
      <c r="J5008" s="18">
        <v>4</v>
      </c>
      <c r="K5008" s="12">
        <v>5.4336000000000002</v>
      </c>
    </row>
    <row r="5009" spans="1:11" x14ac:dyDescent="0.25">
      <c r="A5009" s="4">
        <v>44137</v>
      </c>
      <c r="B5009" s="19">
        <f t="shared" si="156"/>
        <v>2020</v>
      </c>
      <c r="C5009" s="19">
        <f t="shared" si="157"/>
        <v>11</v>
      </c>
      <c r="D5009" s="5" t="s">
        <v>956</v>
      </c>
      <c r="E5009" s="5" t="s">
        <v>18</v>
      </c>
      <c r="F5009" s="5" t="s">
        <v>19</v>
      </c>
      <c r="G5009" s="5" t="s">
        <v>86</v>
      </c>
      <c r="H5009" s="5" t="s">
        <v>1456</v>
      </c>
      <c r="I5009" s="13">
        <v>170.58</v>
      </c>
      <c r="J5009" s="19">
        <v>7</v>
      </c>
      <c r="K5009" s="14">
        <v>38.29</v>
      </c>
    </row>
    <row r="5010" spans="1:11" x14ac:dyDescent="0.25">
      <c r="A5010" s="2">
        <v>44138</v>
      </c>
      <c r="B5010" s="18">
        <f t="shared" si="156"/>
        <v>2020</v>
      </c>
      <c r="C5010" s="18">
        <f t="shared" si="157"/>
        <v>11</v>
      </c>
      <c r="D5010" s="3" t="s">
        <v>935</v>
      </c>
      <c r="E5010" s="3" t="s">
        <v>70</v>
      </c>
      <c r="F5010" s="3" t="s">
        <v>19</v>
      </c>
      <c r="G5010" s="3" t="s">
        <v>53</v>
      </c>
      <c r="H5010" s="3" t="s">
        <v>998</v>
      </c>
      <c r="I5010" s="11">
        <v>154.86000000000001</v>
      </c>
      <c r="J5010" s="18">
        <v>7</v>
      </c>
      <c r="K5010" s="12">
        <v>65.734200000000001</v>
      </c>
    </row>
    <row r="5011" spans="1:11" x14ac:dyDescent="0.25">
      <c r="A5011" s="4">
        <v>44138</v>
      </c>
      <c r="B5011" s="19">
        <f t="shared" si="156"/>
        <v>2020</v>
      </c>
      <c r="C5011" s="19">
        <f t="shared" si="157"/>
        <v>11</v>
      </c>
      <c r="D5011" s="5" t="s">
        <v>657</v>
      </c>
      <c r="E5011" s="5" t="s">
        <v>18</v>
      </c>
      <c r="F5011" s="5" t="s">
        <v>14</v>
      </c>
      <c r="G5011" s="5" t="s">
        <v>24</v>
      </c>
      <c r="H5011" s="5" t="s">
        <v>368</v>
      </c>
      <c r="I5011" s="13">
        <v>220.75</v>
      </c>
      <c r="J5011" s="19">
        <v>5</v>
      </c>
      <c r="K5011" s="14">
        <v>87.89</v>
      </c>
    </row>
    <row r="5012" spans="1:11" x14ac:dyDescent="0.25">
      <c r="A5012" s="2">
        <v>44138</v>
      </c>
      <c r="B5012" s="18">
        <f t="shared" si="156"/>
        <v>2020</v>
      </c>
      <c r="C5012" s="18">
        <f t="shared" si="157"/>
        <v>11</v>
      </c>
      <c r="D5012" s="3" t="s">
        <v>935</v>
      </c>
      <c r="E5012" s="3" t="s">
        <v>70</v>
      </c>
      <c r="F5012" s="3" t="s">
        <v>11</v>
      </c>
      <c r="G5012" s="3" t="s">
        <v>112</v>
      </c>
      <c r="H5012" s="3" t="s">
        <v>2351</v>
      </c>
      <c r="I5012" s="11">
        <v>325.13600000000002</v>
      </c>
      <c r="J5012" s="18">
        <v>4</v>
      </c>
      <c r="K5012" s="12">
        <v>26.874400000000001</v>
      </c>
    </row>
    <row r="5013" spans="1:11" x14ac:dyDescent="0.25">
      <c r="A5013" s="4">
        <v>44138</v>
      </c>
      <c r="B5013" s="19">
        <f t="shared" si="156"/>
        <v>2020</v>
      </c>
      <c r="C5013" s="19">
        <f t="shared" si="157"/>
        <v>11</v>
      </c>
      <c r="D5013" s="5" t="s">
        <v>2379</v>
      </c>
      <c r="E5013" s="5" t="s">
        <v>44</v>
      </c>
      <c r="F5013" s="5" t="s">
        <v>14</v>
      </c>
      <c r="G5013" s="5" t="s">
        <v>15</v>
      </c>
      <c r="H5013" s="5" t="s">
        <v>1867</v>
      </c>
      <c r="I5013" s="13">
        <v>377.37599999999998</v>
      </c>
      <c r="J5013" s="19">
        <v>2</v>
      </c>
      <c r="K5013" s="14">
        <v>27.103200000000001</v>
      </c>
    </row>
    <row r="5014" spans="1:11" x14ac:dyDescent="0.25">
      <c r="A5014" s="2">
        <v>44138</v>
      </c>
      <c r="B5014" s="18">
        <f t="shared" si="156"/>
        <v>2020</v>
      </c>
      <c r="C5014" s="18">
        <f t="shared" si="157"/>
        <v>11</v>
      </c>
      <c r="D5014" s="3" t="s">
        <v>1453</v>
      </c>
      <c r="E5014" s="3" t="s">
        <v>18</v>
      </c>
      <c r="F5014" s="3" t="s">
        <v>11</v>
      </c>
      <c r="G5014" s="3" t="s">
        <v>30</v>
      </c>
      <c r="H5014" s="3" t="s">
        <v>2033</v>
      </c>
      <c r="I5014" s="11">
        <v>502.36799999999999</v>
      </c>
      <c r="J5014" s="18">
        <v>4</v>
      </c>
      <c r="K5014" s="12">
        <v>36.477600000000002</v>
      </c>
    </row>
    <row r="5015" spans="1:11" x14ac:dyDescent="0.25">
      <c r="A5015" s="4">
        <v>44138</v>
      </c>
      <c r="B5015" s="19">
        <f t="shared" si="156"/>
        <v>2020</v>
      </c>
      <c r="C5015" s="19">
        <f t="shared" si="157"/>
        <v>11</v>
      </c>
      <c r="D5015" s="5" t="s">
        <v>240</v>
      </c>
      <c r="E5015" s="5" t="s">
        <v>44</v>
      </c>
      <c r="F5015" s="5" t="s">
        <v>14</v>
      </c>
      <c r="G5015" s="5" t="s">
        <v>36</v>
      </c>
      <c r="H5015" s="5" t="s">
        <v>2105</v>
      </c>
      <c r="I5015" s="13">
        <v>995.98400000000004</v>
      </c>
      <c r="J5015" s="19">
        <v>2</v>
      </c>
      <c r="K5015" s="14">
        <v>311.9948</v>
      </c>
    </row>
    <row r="5016" spans="1:11" x14ac:dyDescent="0.25">
      <c r="A5016" s="2">
        <v>44138</v>
      </c>
      <c r="B5016" s="18">
        <f t="shared" si="156"/>
        <v>2020</v>
      </c>
      <c r="C5016" s="18">
        <f t="shared" si="157"/>
        <v>11</v>
      </c>
      <c r="D5016" s="3" t="s">
        <v>657</v>
      </c>
      <c r="E5016" s="3" t="s">
        <v>18</v>
      </c>
      <c r="F5016" s="3" t="s">
        <v>11</v>
      </c>
      <c r="G5016" s="3" t="s">
        <v>30</v>
      </c>
      <c r="H5016" s="3" t="s">
        <v>150</v>
      </c>
      <c r="I5016" s="11">
        <v>1716.184</v>
      </c>
      <c r="J5016" s="18">
        <v>12</v>
      </c>
      <c r="K5016" s="12">
        <v>20.9148</v>
      </c>
    </row>
    <row r="5017" spans="1:11" x14ac:dyDescent="0.25">
      <c r="A5017" s="4">
        <v>44138</v>
      </c>
      <c r="B5017" s="19">
        <f t="shared" si="156"/>
        <v>2020</v>
      </c>
      <c r="C5017" s="19">
        <f t="shared" si="157"/>
        <v>11</v>
      </c>
      <c r="D5017" s="5" t="s">
        <v>2530</v>
      </c>
      <c r="E5017" s="5" t="s">
        <v>387</v>
      </c>
      <c r="F5017" s="5" t="s">
        <v>19</v>
      </c>
      <c r="G5017" s="5" t="s">
        <v>127</v>
      </c>
      <c r="H5017" s="5" t="s">
        <v>1646</v>
      </c>
      <c r="I5017" s="13">
        <v>83.94</v>
      </c>
      <c r="J5017" s="19">
        <v>3</v>
      </c>
      <c r="K5017" s="14">
        <v>6.8723999999999998</v>
      </c>
    </row>
    <row r="5018" spans="1:11" x14ac:dyDescent="0.25">
      <c r="A5018" s="2">
        <v>44138</v>
      </c>
      <c r="B5018" s="18">
        <f t="shared" si="156"/>
        <v>2020</v>
      </c>
      <c r="C5018" s="18">
        <f t="shared" si="157"/>
        <v>11</v>
      </c>
      <c r="D5018" s="3" t="s">
        <v>955</v>
      </c>
      <c r="E5018" s="3" t="s">
        <v>35</v>
      </c>
      <c r="F5018" s="3" t="s">
        <v>19</v>
      </c>
      <c r="G5018" s="3" t="s">
        <v>53</v>
      </c>
      <c r="H5018" s="3" t="s">
        <v>2037</v>
      </c>
      <c r="I5018" s="11">
        <v>95.272000000000006</v>
      </c>
      <c r="J5018" s="18">
        <v>3</v>
      </c>
      <c r="K5018" s="12">
        <v>5.2884000000000002</v>
      </c>
    </row>
    <row r="5019" spans="1:11" x14ac:dyDescent="0.25">
      <c r="A5019" s="4">
        <v>44138</v>
      </c>
      <c r="B5019" s="19">
        <f t="shared" si="156"/>
        <v>2020</v>
      </c>
      <c r="C5019" s="19">
        <f t="shared" si="157"/>
        <v>11</v>
      </c>
      <c r="D5019" s="5" t="s">
        <v>1416</v>
      </c>
      <c r="E5019" s="5" t="s">
        <v>219</v>
      </c>
      <c r="F5019" s="5" t="s">
        <v>11</v>
      </c>
      <c r="G5019" s="5" t="s">
        <v>51</v>
      </c>
      <c r="H5019" s="5" t="s">
        <v>1461</v>
      </c>
      <c r="I5019" s="13">
        <v>93.992000000000004</v>
      </c>
      <c r="J5019" s="19">
        <v>1</v>
      </c>
      <c r="K5019" s="14">
        <v>0.99950000000000006</v>
      </c>
    </row>
    <row r="5020" spans="1:11" x14ac:dyDescent="0.25">
      <c r="A5020" s="2">
        <v>44138</v>
      </c>
      <c r="B5020" s="18">
        <f t="shared" si="156"/>
        <v>2020</v>
      </c>
      <c r="C5020" s="18">
        <f t="shared" si="157"/>
        <v>11</v>
      </c>
      <c r="D5020" s="3" t="s">
        <v>240</v>
      </c>
      <c r="E5020" s="3" t="s">
        <v>44</v>
      </c>
      <c r="F5020" s="3" t="s">
        <v>19</v>
      </c>
      <c r="G5020" s="3" t="s">
        <v>32</v>
      </c>
      <c r="H5020" s="3" t="s">
        <v>344</v>
      </c>
      <c r="I5020" s="11">
        <v>119.086</v>
      </c>
      <c r="J5020" s="18">
        <v>2</v>
      </c>
      <c r="K5020" s="12">
        <v>-2.9964</v>
      </c>
    </row>
    <row r="5021" spans="1:11" x14ac:dyDescent="0.25">
      <c r="A5021" s="4">
        <v>44138</v>
      </c>
      <c r="B5021" s="19">
        <f t="shared" si="156"/>
        <v>2020</v>
      </c>
      <c r="C5021" s="19">
        <f t="shared" si="157"/>
        <v>11</v>
      </c>
      <c r="D5021" s="5" t="s">
        <v>2530</v>
      </c>
      <c r="E5021" s="5" t="s">
        <v>387</v>
      </c>
      <c r="F5021" s="5" t="s">
        <v>19</v>
      </c>
      <c r="G5021" s="5" t="s">
        <v>53</v>
      </c>
      <c r="H5021" s="5" t="s">
        <v>1505</v>
      </c>
      <c r="I5021" s="13">
        <v>103.56</v>
      </c>
      <c r="J5021" s="19">
        <v>2</v>
      </c>
      <c r="K5021" s="14">
        <v>3.8519999999999999</v>
      </c>
    </row>
    <row r="5022" spans="1:11" x14ac:dyDescent="0.25">
      <c r="A5022" s="2">
        <v>44138</v>
      </c>
      <c r="B5022" s="18">
        <f t="shared" si="156"/>
        <v>2020</v>
      </c>
      <c r="C5022" s="18">
        <f t="shared" si="157"/>
        <v>11</v>
      </c>
      <c r="D5022" s="3" t="s">
        <v>115</v>
      </c>
      <c r="E5022" s="3" t="s">
        <v>18</v>
      </c>
      <c r="F5022" s="3" t="s">
        <v>19</v>
      </c>
      <c r="G5022" s="3" t="s">
        <v>53</v>
      </c>
      <c r="H5022" s="3" t="s">
        <v>2337</v>
      </c>
      <c r="I5022" s="11">
        <v>118.88</v>
      </c>
      <c r="J5022" s="18">
        <v>6</v>
      </c>
      <c r="K5022" s="12">
        <v>17.581199999999999</v>
      </c>
    </row>
    <row r="5023" spans="1:11" x14ac:dyDescent="0.25">
      <c r="A5023" s="4">
        <v>44138</v>
      </c>
      <c r="B5023" s="19">
        <f t="shared" si="156"/>
        <v>2020</v>
      </c>
      <c r="C5023" s="19">
        <f t="shared" si="157"/>
        <v>11</v>
      </c>
      <c r="D5023" s="5" t="s">
        <v>768</v>
      </c>
      <c r="E5023" s="5" t="s">
        <v>195</v>
      </c>
      <c r="F5023" s="5" t="s">
        <v>19</v>
      </c>
      <c r="G5023" s="5" t="s">
        <v>53</v>
      </c>
      <c r="H5023" s="5" t="s">
        <v>2531</v>
      </c>
      <c r="I5023" s="13">
        <v>128.4</v>
      </c>
      <c r="J5023" s="19">
        <v>5</v>
      </c>
      <c r="K5023" s="14">
        <v>11.88</v>
      </c>
    </row>
    <row r="5024" spans="1:11" x14ac:dyDescent="0.25">
      <c r="A5024" s="2">
        <v>44138</v>
      </c>
      <c r="B5024" s="18">
        <f t="shared" si="156"/>
        <v>2020</v>
      </c>
      <c r="C5024" s="18">
        <f t="shared" si="157"/>
        <v>11</v>
      </c>
      <c r="D5024" s="3" t="s">
        <v>2521</v>
      </c>
      <c r="E5024" s="3" t="s">
        <v>109</v>
      </c>
      <c r="F5024" s="3" t="s">
        <v>19</v>
      </c>
      <c r="G5024" s="3" t="s">
        <v>127</v>
      </c>
      <c r="H5024" s="3" t="s">
        <v>129</v>
      </c>
      <c r="I5024" s="11">
        <v>132.38999999999999</v>
      </c>
      <c r="J5024" s="18">
        <v>3</v>
      </c>
      <c r="K5024" s="12">
        <v>5.6993999999999998</v>
      </c>
    </row>
    <row r="5025" spans="1:11" x14ac:dyDescent="0.25">
      <c r="A5025" s="4">
        <v>44138</v>
      </c>
      <c r="B5025" s="19">
        <f t="shared" si="156"/>
        <v>2020</v>
      </c>
      <c r="C5025" s="19">
        <f t="shared" si="157"/>
        <v>11</v>
      </c>
      <c r="D5025" s="5" t="s">
        <v>55</v>
      </c>
      <c r="E5025" s="5" t="s">
        <v>70</v>
      </c>
      <c r="F5025" s="5" t="s">
        <v>19</v>
      </c>
      <c r="G5025" s="5" t="s">
        <v>32</v>
      </c>
      <c r="H5025" s="5" t="s">
        <v>847</v>
      </c>
      <c r="I5025" s="13">
        <v>131.36799999999999</v>
      </c>
      <c r="J5025" s="19">
        <v>4</v>
      </c>
      <c r="K5025" s="14">
        <v>5.9695999999999998</v>
      </c>
    </row>
    <row r="5026" spans="1:11" x14ac:dyDescent="0.25">
      <c r="A5026" s="2">
        <v>44138</v>
      </c>
      <c r="B5026" s="18">
        <f t="shared" si="156"/>
        <v>2020</v>
      </c>
      <c r="C5026" s="18">
        <f t="shared" si="157"/>
        <v>11</v>
      </c>
      <c r="D5026" s="3" t="s">
        <v>240</v>
      </c>
      <c r="E5026" s="3" t="s">
        <v>44</v>
      </c>
      <c r="F5026" s="3" t="s">
        <v>19</v>
      </c>
      <c r="G5026" s="3" t="s">
        <v>53</v>
      </c>
      <c r="H5026" s="3" t="s">
        <v>575</v>
      </c>
      <c r="I5026" s="11">
        <v>110.688</v>
      </c>
      <c r="J5026" s="18">
        <v>2</v>
      </c>
      <c r="K5026" s="12">
        <v>3.7408000000000001</v>
      </c>
    </row>
    <row r="5027" spans="1:11" x14ac:dyDescent="0.25">
      <c r="A5027" s="4">
        <v>44138</v>
      </c>
      <c r="B5027" s="19">
        <f t="shared" si="156"/>
        <v>2020</v>
      </c>
      <c r="C5027" s="19">
        <f t="shared" si="157"/>
        <v>11</v>
      </c>
      <c r="D5027" s="5" t="s">
        <v>773</v>
      </c>
      <c r="E5027" s="5" t="s">
        <v>39</v>
      </c>
      <c r="F5027" s="5" t="s">
        <v>19</v>
      </c>
      <c r="G5027" s="5" t="s">
        <v>32</v>
      </c>
      <c r="H5027" s="5" t="s">
        <v>2405</v>
      </c>
      <c r="I5027" s="13">
        <v>149.673</v>
      </c>
      <c r="J5027" s="19">
        <v>3</v>
      </c>
      <c r="K5027" s="14">
        <v>-7.782</v>
      </c>
    </row>
    <row r="5028" spans="1:11" x14ac:dyDescent="0.25">
      <c r="A5028" s="2">
        <v>44138</v>
      </c>
      <c r="B5028" s="18">
        <f t="shared" si="156"/>
        <v>2020</v>
      </c>
      <c r="C5028" s="18">
        <f t="shared" si="157"/>
        <v>11</v>
      </c>
      <c r="D5028" s="3" t="s">
        <v>469</v>
      </c>
      <c r="E5028" s="3" t="s">
        <v>39</v>
      </c>
      <c r="F5028" s="3" t="s">
        <v>14</v>
      </c>
      <c r="G5028" s="3" t="s">
        <v>24</v>
      </c>
      <c r="H5028" s="3" t="s">
        <v>1691</v>
      </c>
      <c r="I5028" s="11">
        <v>140.77600000000001</v>
      </c>
      <c r="J5028" s="18">
        <v>3</v>
      </c>
      <c r="K5028" s="12">
        <v>0.50970000000000004</v>
      </c>
    </row>
    <row r="5029" spans="1:11" x14ac:dyDescent="0.25">
      <c r="A5029" s="4">
        <v>44138</v>
      </c>
      <c r="B5029" s="19">
        <f t="shared" si="156"/>
        <v>2020</v>
      </c>
      <c r="C5029" s="19">
        <f t="shared" si="157"/>
        <v>11</v>
      </c>
      <c r="D5029" s="5" t="s">
        <v>1949</v>
      </c>
      <c r="E5029" s="5" t="s">
        <v>70</v>
      </c>
      <c r="F5029" s="5" t="s">
        <v>14</v>
      </c>
      <c r="G5029" s="5" t="s">
        <v>24</v>
      </c>
      <c r="H5029" s="5" t="s">
        <v>1212</v>
      </c>
      <c r="I5029" s="13">
        <v>127.5</v>
      </c>
      <c r="J5029" s="19">
        <v>3</v>
      </c>
      <c r="K5029" s="14">
        <v>10.875</v>
      </c>
    </row>
    <row r="5030" spans="1:11" x14ac:dyDescent="0.25">
      <c r="A5030" s="2">
        <v>44138</v>
      </c>
      <c r="B5030" s="18">
        <f t="shared" si="156"/>
        <v>2020</v>
      </c>
      <c r="C5030" s="18">
        <f t="shared" si="157"/>
        <v>11</v>
      </c>
      <c r="D5030" s="3" t="s">
        <v>1769</v>
      </c>
      <c r="E5030" s="3" t="s">
        <v>1868</v>
      </c>
      <c r="F5030" s="3" t="s">
        <v>11</v>
      </c>
      <c r="G5030" s="3" t="s">
        <v>51</v>
      </c>
      <c r="H5030" s="3" t="s">
        <v>276</v>
      </c>
      <c r="I5030" s="11">
        <v>162.37</v>
      </c>
      <c r="J5030" s="18">
        <v>3</v>
      </c>
      <c r="K5030" s="12">
        <v>17.375399999999999</v>
      </c>
    </row>
    <row r="5031" spans="1:11" x14ac:dyDescent="0.25">
      <c r="A5031" s="4">
        <v>44138</v>
      </c>
      <c r="B5031" s="19">
        <f t="shared" si="156"/>
        <v>2020</v>
      </c>
      <c r="C5031" s="19">
        <f t="shared" si="157"/>
        <v>11</v>
      </c>
      <c r="D5031" s="5" t="s">
        <v>240</v>
      </c>
      <c r="E5031" s="5" t="s">
        <v>44</v>
      </c>
      <c r="F5031" s="5" t="s">
        <v>19</v>
      </c>
      <c r="G5031" s="5" t="s">
        <v>40</v>
      </c>
      <c r="H5031" s="5" t="s">
        <v>2085</v>
      </c>
      <c r="I5031" s="13">
        <v>152.98400000000001</v>
      </c>
      <c r="J5031" s="19">
        <v>2</v>
      </c>
      <c r="K5031" s="14">
        <v>4.1988000000000003</v>
      </c>
    </row>
    <row r="5032" spans="1:11" x14ac:dyDescent="0.25">
      <c r="A5032" s="2">
        <v>44138</v>
      </c>
      <c r="B5032" s="18">
        <f t="shared" si="156"/>
        <v>2020</v>
      </c>
      <c r="C5032" s="18">
        <f t="shared" si="157"/>
        <v>11</v>
      </c>
      <c r="D5032" s="3" t="s">
        <v>2530</v>
      </c>
      <c r="E5032" s="3" t="s">
        <v>387</v>
      </c>
      <c r="F5032" s="3" t="s">
        <v>19</v>
      </c>
      <c r="G5032" s="3" t="s">
        <v>20</v>
      </c>
      <c r="H5032" s="3" t="s">
        <v>1197</v>
      </c>
      <c r="I5032" s="11">
        <v>177.4</v>
      </c>
      <c r="J5032" s="18">
        <v>5</v>
      </c>
      <c r="K5032" s="12">
        <v>14.148</v>
      </c>
    </row>
    <row r="5033" spans="1:11" x14ac:dyDescent="0.25">
      <c r="A5033" s="4">
        <v>44139</v>
      </c>
      <c r="B5033" s="19">
        <f t="shared" si="156"/>
        <v>2020</v>
      </c>
      <c r="C5033" s="19">
        <f t="shared" si="157"/>
        <v>11</v>
      </c>
      <c r="D5033" s="5" t="s">
        <v>221</v>
      </c>
      <c r="E5033" s="5" t="s">
        <v>219</v>
      </c>
      <c r="F5033" s="5" t="s">
        <v>14</v>
      </c>
      <c r="G5033" s="5" t="s">
        <v>24</v>
      </c>
      <c r="H5033" s="5" t="s">
        <v>2476</v>
      </c>
      <c r="I5033" s="13">
        <v>111.976</v>
      </c>
      <c r="J5033" s="19">
        <v>3</v>
      </c>
      <c r="K5033" s="14">
        <v>15.5961</v>
      </c>
    </row>
    <row r="5034" spans="1:11" x14ac:dyDescent="0.25">
      <c r="A5034" s="2">
        <v>44139</v>
      </c>
      <c r="B5034" s="18">
        <f t="shared" si="156"/>
        <v>2020</v>
      </c>
      <c r="C5034" s="18">
        <f t="shared" si="157"/>
        <v>11</v>
      </c>
      <c r="D5034" s="3" t="s">
        <v>221</v>
      </c>
      <c r="E5034" s="3" t="s">
        <v>219</v>
      </c>
      <c r="F5034" s="3" t="s">
        <v>14</v>
      </c>
      <c r="G5034" s="3" t="s">
        <v>15</v>
      </c>
      <c r="H5034" s="3" t="s">
        <v>2455</v>
      </c>
      <c r="I5034" s="11">
        <v>192.928</v>
      </c>
      <c r="J5034" s="18">
        <v>9</v>
      </c>
      <c r="K5034" s="12">
        <v>-32.383800000000001</v>
      </c>
    </row>
    <row r="5035" spans="1:11" x14ac:dyDescent="0.25">
      <c r="A5035" s="4">
        <v>44139</v>
      </c>
      <c r="B5035" s="19">
        <f t="shared" si="156"/>
        <v>2020</v>
      </c>
      <c r="C5035" s="19">
        <f t="shared" si="157"/>
        <v>11</v>
      </c>
      <c r="D5035" s="5" t="s">
        <v>2532</v>
      </c>
      <c r="E5035" s="5" t="s">
        <v>35</v>
      </c>
      <c r="F5035" s="5" t="s">
        <v>19</v>
      </c>
      <c r="G5035" s="5" t="s">
        <v>121</v>
      </c>
      <c r="H5035" s="5" t="s">
        <v>1459</v>
      </c>
      <c r="I5035" s="13">
        <v>198.44</v>
      </c>
      <c r="J5035" s="19">
        <v>2</v>
      </c>
      <c r="K5035" s="14">
        <v>14.651</v>
      </c>
    </row>
    <row r="5036" spans="1:11" x14ac:dyDescent="0.25">
      <c r="A5036" s="2">
        <v>44139</v>
      </c>
      <c r="B5036" s="18">
        <f t="shared" si="156"/>
        <v>2020</v>
      </c>
      <c r="C5036" s="18">
        <f t="shared" si="157"/>
        <v>11</v>
      </c>
      <c r="D5036" s="3" t="s">
        <v>142</v>
      </c>
      <c r="E5036" s="3" t="s">
        <v>67</v>
      </c>
      <c r="F5036" s="3" t="s">
        <v>19</v>
      </c>
      <c r="G5036" s="3" t="s">
        <v>20</v>
      </c>
      <c r="H5036" s="3" t="s">
        <v>204</v>
      </c>
      <c r="I5036" s="11">
        <v>212.352</v>
      </c>
      <c r="J5036" s="18">
        <v>3</v>
      </c>
      <c r="K5036" s="12">
        <v>-43.729199999999999</v>
      </c>
    </row>
    <row r="5037" spans="1:11" x14ac:dyDescent="0.25">
      <c r="A5037" s="4">
        <v>44139</v>
      </c>
      <c r="B5037" s="19">
        <f t="shared" si="156"/>
        <v>2020</v>
      </c>
      <c r="C5037" s="19">
        <f t="shared" si="157"/>
        <v>11</v>
      </c>
      <c r="D5037" s="5" t="s">
        <v>1622</v>
      </c>
      <c r="E5037" s="5" t="s">
        <v>35</v>
      </c>
      <c r="F5037" s="5" t="s">
        <v>11</v>
      </c>
      <c r="G5037" s="5" t="s">
        <v>30</v>
      </c>
      <c r="H5037" s="5" t="s">
        <v>1712</v>
      </c>
      <c r="I5037" s="13">
        <v>539.76400000000001</v>
      </c>
      <c r="J5037" s="19">
        <v>3</v>
      </c>
      <c r="K5037" s="14">
        <v>-192.04679999999999</v>
      </c>
    </row>
    <row r="5038" spans="1:11" x14ac:dyDescent="0.25">
      <c r="A5038" s="2">
        <v>44139</v>
      </c>
      <c r="B5038" s="18">
        <f t="shared" si="156"/>
        <v>2020</v>
      </c>
      <c r="C5038" s="18">
        <f t="shared" si="157"/>
        <v>11</v>
      </c>
      <c r="D5038" s="3" t="s">
        <v>1622</v>
      </c>
      <c r="E5038" s="3" t="s">
        <v>35</v>
      </c>
      <c r="F5038" s="3" t="s">
        <v>14</v>
      </c>
      <c r="G5038" s="3" t="s">
        <v>15</v>
      </c>
      <c r="H5038" s="3" t="s">
        <v>1935</v>
      </c>
      <c r="I5038" s="11">
        <v>1376.96</v>
      </c>
      <c r="J5038" s="18">
        <v>5</v>
      </c>
      <c r="K5038" s="12">
        <v>118.9965</v>
      </c>
    </row>
    <row r="5039" spans="1:11" x14ac:dyDescent="0.25">
      <c r="A5039" s="4">
        <v>44139</v>
      </c>
      <c r="B5039" s="19">
        <f t="shared" si="156"/>
        <v>2020</v>
      </c>
      <c r="C5039" s="19">
        <f t="shared" si="157"/>
        <v>11</v>
      </c>
      <c r="D5039" s="5" t="s">
        <v>2532</v>
      </c>
      <c r="E5039" s="5" t="s">
        <v>35</v>
      </c>
      <c r="F5039" s="5" t="s">
        <v>14</v>
      </c>
      <c r="G5039" s="5" t="s">
        <v>188</v>
      </c>
      <c r="H5039" s="5" t="s">
        <v>2533</v>
      </c>
      <c r="I5039" s="13">
        <v>3009.98</v>
      </c>
      <c r="J5039" s="19">
        <v>4</v>
      </c>
      <c r="K5039" s="14">
        <v>-3839.9904000000001</v>
      </c>
    </row>
    <row r="5040" spans="1:11" x14ac:dyDescent="0.25">
      <c r="A5040" s="2">
        <v>44139</v>
      </c>
      <c r="B5040" s="18">
        <f t="shared" si="156"/>
        <v>2020</v>
      </c>
      <c r="C5040" s="18">
        <f t="shared" si="157"/>
        <v>11</v>
      </c>
      <c r="D5040" s="3" t="s">
        <v>1008</v>
      </c>
      <c r="E5040" s="3" t="s">
        <v>23</v>
      </c>
      <c r="F5040" s="3" t="s">
        <v>19</v>
      </c>
      <c r="G5040" s="3" t="s">
        <v>32</v>
      </c>
      <c r="H5040" s="3" t="s">
        <v>2534</v>
      </c>
      <c r="I5040" s="11">
        <v>78.408000000000001</v>
      </c>
      <c r="J5040" s="18">
        <v>2</v>
      </c>
      <c r="K5040" s="12">
        <v>-2.3231999999999999</v>
      </c>
    </row>
    <row r="5041" spans="1:11" x14ac:dyDescent="0.25">
      <c r="A5041" s="4">
        <v>44139</v>
      </c>
      <c r="B5041" s="19">
        <f t="shared" si="156"/>
        <v>2020</v>
      </c>
      <c r="C5041" s="19">
        <f t="shared" si="157"/>
        <v>11</v>
      </c>
      <c r="D5041" s="5" t="s">
        <v>221</v>
      </c>
      <c r="E5041" s="5" t="s">
        <v>219</v>
      </c>
      <c r="F5041" s="5" t="s">
        <v>19</v>
      </c>
      <c r="G5041" s="5" t="s">
        <v>127</v>
      </c>
      <c r="H5041" s="5" t="s">
        <v>857</v>
      </c>
      <c r="I5041" s="13">
        <v>83.927999999999997</v>
      </c>
      <c r="J5041" s="19">
        <v>2</v>
      </c>
      <c r="K5041" s="14">
        <v>1.7248000000000001</v>
      </c>
    </row>
    <row r="5042" spans="1:11" x14ac:dyDescent="0.25">
      <c r="A5042" s="2">
        <v>44139</v>
      </c>
      <c r="B5042" s="18">
        <f t="shared" si="156"/>
        <v>2020</v>
      </c>
      <c r="C5042" s="18">
        <f t="shared" si="157"/>
        <v>11</v>
      </c>
      <c r="D5042" s="3" t="s">
        <v>1063</v>
      </c>
      <c r="E5042" s="3" t="s">
        <v>219</v>
      </c>
      <c r="F5042" s="3" t="s">
        <v>19</v>
      </c>
      <c r="G5042" s="3" t="s">
        <v>53</v>
      </c>
      <c r="H5042" s="3" t="s">
        <v>659</v>
      </c>
      <c r="I5042" s="11">
        <v>106.664</v>
      </c>
      <c r="J5042" s="18">
        <v>2</v>
      </c>
      <c r="K5042" s="12">
        <v>3.2616000000000001</v>
      </c>
    </row>
    <row r="5043" spans="1:11" x14ac:dyDescent="0.25">
      <c r="A5043" s="4">
        <v>44139</v>
      </c>
      <c r="B5043" s="19">
        <f t="shared" si="156"/>
        <v>2020</v>
      </c>
      <c r="C5043" s="19">
        <f t="shared" si="157"/>
        <v>11</v>
      </c>
      <c r="D5043" s="5" t="s">
        <v>1464</v>
      </c>
      <c r="E5043" s="5" t="s">
        <v>23</v>
      </c>
      <c r="F5043" s="5" t="s">
        <v>19</v>
      </c>
      <c r="G5043" s="5" t="s">
        <v>127</v>
      </c>
      <c r="H5043" s="5" t="s">
        <v>793</v>
      </c>
      <c r="I5043" s="13">
        <v>90.68</v>
      </c>
      <c r="J5043" s="19">
        <v>2</v>
      </c>
      <c r="K5043" s="14">
        <v>8.8800000000000008</v>
      </c>
    </row>
    <row r="5044" spans="1:11" x14ac:dyDescent="0.25">
      <c r="A5044" s="2">
        <v>44139</v>
      </c>
      <c r="B5044" s="18">
        <f t="shared" si="156"/>
        <v>2020</v>
      </c>
      <c r="C5044" s="18">
        <f t="shared" si="157"/>
        <v>11</v>
      </c>
      <c r="D5044" s="3" t="s">
        <v>1293</v>
      </c>
      <c r="E5044" s="3" t="s">
        <v>589</v>
      </c>
      <c r="F5044" s="3" t="s">
        <v>19</v>
      </c>
      <c r="G5044" s="3" t="s">
        <v>40</v>
      </c>
      <c r="H5044" s="3" t="s">
        <v>2302</v>
      </c>
      <c r="I5044" s="11">
        <v>103.3</v>
      </c>
      <c r="J5044" s="18">
        <v>2</v>
      </c>
      <c r="K5044" s="12">
        <v>1.419</v>
      </c>
    </row>
    <row r="5045" spans="1:11" x14ac:dyDescent="0.25">
      <c r="A5045" s="4">
        <v>44139</v>
      </c>
      <c r="B5045" s="19">
        <f t="shared" si="156"/>
        <v>2020</v>
      </c>
      <c r="C5045" s="19">
        <f t="shared" si="157"/>
        <v>11</v>
      </c>
      <c r="D5045" s="5" t="s">
        <v>1008</v>
      </c>
      <c r="E5045" s="5" t="s">
        <v>23</v>
      </c>
      <c r="F5045" s="5" t="s">
        <v>19</v>
      </c>
      <c r="G5045" s="5" t="s">
        <v>32</v>
      </c>
      <c r="H5045" s="5" t="s">
        <v>1187</v>
      </c>
      <c r="I5045" s="13">
        <v>119.536</v>
      </c>
      <c r="J5045" s="19">
        <v>6</v>
      </c>
      <c r="K5045" s="14">
        <v>-13.188000000000001</v>
      </c>
    </row>
    <row r="5046" spans="1:11" x14ac:dyDescent="0.25">
      <c r="A5046" s="2">
        <v>44139</v>
      </c>
      <c r="B5046" s="18">
        <f t="shared" si="156"/>
        <v>2020</v>
      </c>
      <c r="C5046" s="18">
        <f t="shared" si="157"/>
        <v>11</v>
      </c>
      <c r="D5046" s="3" t="s">
        <v>221</v>
      </c>
      <c r="E5046" s="3" t="s">
        <v>219</v>
      </c>
      <c r="F5046" s="3" t="s">
        <v>19</v>
      </c>
      <c r="G5046" s="3" t="s">
        <v>32</v>
      </c>
      <c r="H5046" s="3" t="s">
        <v>33</v>
      </c>
      <c r="I5046" s="11">
        <v>105.56399999999999</v>
      </c>
      <c r="J5046" s="18">
        <v>2</v>
      </c>
      <c r="K5046" s="12">
        <v>-2.97</v>
      </c>
    </row>
    <row r="5047" spans="1:11" x14ac:dyDescent="0.25">
      <c r="A5047" s="4">
        <v>44139</v>
      </c>
      <c r="B5047" s="19">
        <f t="shared" si="156"/>
        <v>2020</v>
      </c>
      <c r="C5047" s="19">
        <f t="shared" si="157"/>
        <v>11</v>
      </c>
      <c r="D5047" s="5" t="s">
        <v>1008</v>
      </c>
      <c r="E5047" s="5" t="s">
        <v>23</v>
      </c>
      <c r="F5047" s="5" t="s">
        <v>19</v>
      </c>
      <c r="G5047" s="5" t="s">
        <v>32</v>
      </c>
      <c r="H5047" s="5" t="s">
        <v>722</v>
      </c>
      <c r="I5047" s="13">
        <v>143.14400000000001</v>
      </c>
      <c r="J5047" s="19">
        <v>4</v>
      </c>
      <c r="K5047" s="14">
        <v>-6.4231999999999996</v>
      </c>
    </row>
    <row r="5048" spans="1:11" x14ac:dyDescent="0.25">
      <c r="A5048" s="2">
        <v>44139</v>
      </c>
      <c r="B5048" s="18">
        <f t="shared" si="156"/>
        <v>2020</v>
      </c>
      <c r="C5048" s="18">
        <f t="shared" si="157"/>
        <v>11</v>
      </c>
      <c r="D5048" s="3" t="s">
        <v>1008</v>
      </c>
      <c r="E5048" s="3" t="s">
        <v>23</v>
      </c>
      <c r="F5048" s="3" t="s">
        <v>19</v>
      </c>
      <c r="G5048" s="3" t="s">
        <v>20</v>
      </c>
      <c r="H5048" s="3" t="s">
        <v>506</v>
      </c>
      <c r="I5048" s="11">
        <v>146.75200000000001</v>
      </c>
      <c r="J5048" s="18">
        <v>3</v>
      </c>
      <c r="K5048" s="12">
        <v>-12.528600000000001</v>
      </c>
    </row>
    <row r="5049" spans="1:11" x14ac:dyDescent="0.25">
      <c r="A5049" s="4">
        <v>44139</v>
      </c>
      <c r="B5049" s="19">
        <f t="shared" si="156"/>
        <v>2020</v>
      </c>
      <c r="C5049" s="19">
        <f t="shared" si="157"/>
        <v>11</v>
      </c>
      <c r="D5049" s="5" t="s">
        <v>142</v>
      </c>
      <c r="E5049" s="5" t="s">
        <v>67</v>
      </c>
      <c r="F5049" s="5" t="s">
        <v>14</v>
      </c>
      <c r="G5049" s="5" t="s">
        <v>24</v>
      </c>
      <c r="H5049" s="5" t="s">
        <v>1744</v>
      </c>
      <c r="I5049" s="13">
        <v>141.72</v>
      </c>
      <c r="J5049" s="19">
        <v>4</v>
      </c>
      <c r="K5049" s="14">
        <v>-6.1879999999999997</v>
      </c>
    </row>
    <row r="5050" spans="1:11" x14ac:dyDescent="0.25">
      <c r="A5050" s="2">
        <v>44140</v>
      </c>
      <c r="B5050" s="18">
        <f t="shared" si="156"/>
        <v>2020</v>
      </c>
      <c r="C5050" s="18">
        <f t="shared" si="157"/>
        <v>11</v>
      </c>
      <c r="D5050" s="3" t="s">
        <v>410</v>
      </c>
      <c r="E5050" s="3" t="s">
        <v>317</v>
      </c>
      <c r="F5050" s="3" t="s">
        <v>19</v>
      </c>
      <c r="G5050" s="3" t="s">
        <v>53</v>
      </c>
      <c r="H5050" s="3" t="s">
        <v>2037</v>
      </c>
      <c r="I5050" s="11">
        <v>102.8</v>
      </c>
      <c r="J5050" s="18">
        <v>10</v>
      </c>
      <c r="K5050" s="12">
        <v>31.187999999999999</v>
      </c>
    </row>
    <row r="5051" spans="1:11" x14ac:dyDescent="0.25">
      <c r="A5051" s="4">
        <v>44140</v>
      </c>
      <c r="B5051" s="19">
        <f t="shared" si="156"/>
        <v>2020</v>
      </c>
      <c r="C5051" s="19">
        <f t="shared" si="157"/>
        <v>11</v>
      </c>
      <c r="D5051" s="5" t="s">
        <v>2535</v>
      </c>
      <c r="E5051" s="5" t="s">
        <v>94</v>
      </c>
      <c r="F5051" s="5" t="s">
        <v>14</v>
      </c>
      <c r="G5051" s="5" t="s">
        <v>15</v>
      </c>
      <c r="H5051" s="5" t="s">
        <v>217</v>
      </c>
      <c r="I5051" s="13">
        <v>124.98</v>
      </c>
      <c r="J5051" s="19">
        <v>2</v>
      </c>
      <c r="K5051" s="14">
        <v>3.9992000000000001</v>
      </c>
    </row>
    <row r="5052" spans="1:11" x14ac:dyDescent="0.25">
      <c r="A5052" s="2">
        <v>44140</v>
      </c>
      <c r="B5052" s="18">
        <f t="shared" si="156"/>
        <v>2020</v>
      </c>
      <c r="C5052" s="18">
        <f t="shared" si="157"/>
        <v>11</v>
      </c>
      <c r="D5052" s="3" t="s">
        <v>2535</v>
      </c>
      <c r="E5052" s="3" t="s">
        <v>94</v>
      </c>
      <c r="F5052" s="3" t="s">
        <v>11</v>
      </c>
      <c r="G5052" s="3" t="s">
        <v>51</v>
      </c>
      <c r="H5052" s="3" t="s">
        <v>2197</v>
      </c>
      <c r="I5052" s="11">
        <v>133.4</v>
      </c>
      <c r="J5052" s="18">
        <v>5</v>
      </c>
      <c r="K5052" s="12">
        <v>38.531999999999996</v>
      </c>
    </row>
    <row r="5053" spans="1:11" x14ac:dyDescent="0.25">
      <c r="A5053" s="4">
        <v>44140</v>
      </c>
      <c r="B5053" s="19">
        <f t="shared" si="156"/>
        <v>2020</v>
      </c>
      <c r="C5053" s="19">
        <f t="shared" si="157"/>
        <v>11</v>
      </c>
      <c r="D5053" s="5" t="s">
        <v>2535</v>
      </c>
      <c r="E5053" s="5" t="s">
        <v>94</v>
      </c>
      <c r="F5053" s="5" t="s">
        <v>19</v>
      </c>
      <c r="G5053" s="5" t="s">
        <v>53</v>
      </c>
      <c r="H5053" s="5" t="s">
        <v>1229</v>
      </c>
      <c r="I5053" s="13">
        <v>140.96</v>
      </c>
      <c r="J5053" s="19">
        <v>2</v>
      </c>
      <c r="K5053" s="14">
        <v>53.260800000000003</v>
      </c>
    </row>
    <row r="5054" spans="1:11" x14ac:dyDescent="0.25">
      <c r="A5054" s="2">
        <v>44140</v>
      </c>
      <c r="B5054" s="18">
        <f t="shared" si="156"/>
        <v>2020</v>
      </c>
      <c r="C5054" s="18">
        <f t="shared" si="157"/>
        <v>11</v>
      </c>
      <c r="D5054" s="3" t="s">
        <v>2535</v>
      </c>
      <c r="E5054" s="3" t="s">
        <v>94</v>
      </c>
      <c r="F5054" s="3" t="s">
        <v>11</v>
      </c>
      <c r="G5054" s="3" t="s">
        <v>112</v>
      </c>
      <c r="H5054" s="3" t="s">
        <v>1583</v>
      </c>
      <c r="I5054" s="11">
        <v>166.124</v>
      </c>
      <c r="J5054" s="18">
        <v>2</v>
      </c>
      <c r="K5054" s="12">
        <v>24.2012</v>
      </c>
    </row>
    <row r="5055" spans="1:11" x14ac:dyDescent="0.25">
      <c r="A5055" s="4">
        <v>44140</v>
      </c>
      <c r="B5055" s="19">
        <f t="shared" si="156"/>
        <v>2020</v>
      </c>
      <c r="C5055" s="19">
        <f t="shared" si="157"/>
        <v>11</v>
      </c>
      <c r="D5055" s="5" t="s">
        <v>410</v>
      </c>
      <c r="E5055" s="5" t="s">
        <v>317</v>
      </c>
      <c r="F5055" s="5" t="s">
        <v>19</v>
      </c>
      <c r="G5055" s="5" t="s">
        <v>53</v>
      </c>
      <c r="H5055" s="5" t="s">
        <v>172</v>
      </c>
      <c r="I5055" s="13">
        <v>177.94</v>
      </c>
      <c r="J5055" s="19">
        <v>3</v>
      </c>
      <c r="K5055" s="14">
        <v>82.290599999999998</v>
      </c>
    </row>
    <row r="5056" spans="1:11" x14ac:dyDescent="0.25">
      <c r="A5056" s="2">
        <v>44140</v>
      </c>
      <c r="B5056" s="18">
        <f t="shared" si="156"/>
        <v>2020</v>
      </c>
      <c r="C5056" s="18">
        <f t="shared" si="157"/>
        <v>11</v>
      </c>
      <c r="D5056" s="3" t="s">
        <v>1227</v>
      </c>
      <c r="E5056" s="3" t="s">
        <v>1868</v>
      </c>
      <c r="F5056" s="3" t="s">
        <v>14</v>
      </c>
      <c r="G5056" s="3" t="s">
        <v>24</v>
      </c>
      <c r="H5056" s="3" t="s">
        <v>1426</v>
      </c>
      <c r="I5056" s="11">
        <v>184.99</v>
      </c>
      <c r="J5056" s="18">
        <v>1</v>
      </c>
      <c r="K5056" s="12">
        <v>54.396599999999999</v>
      </c>
    </row>
    <row r="5057" spans="1:11" x14ac:dyDescent="0.25">
      <c r="A5057" s="4">
        <v>44140</v>
      </c>
      <c r="B5057" s="19">
        <f t="shared" si="156"/>
        <v>2020</v>
      </c>
      <c r="C5057" s="19">
        <f t="shared" si="157"/>
        <v>11</v>
      </c>
      <c r="D5057" s="5" t="s">
        <v>2535</v>
      </c>
      <c r="E5057" s="5" t="s">
        <v>94</v>
      </c>
      <c r="F5057" s="5" t="s">
        <v>19</v>
      </c>
      <c r="G5057" s="5" t="s">
        <v>32</v>
      </c>
      <c r="H5057" s="5" t="s">
        <v>1977</v>
      </c>
      <c r="I5057" s="13">
        <v>207.68799999999999</v>
      </c>
      <c r="J5057" s="19">
        <v>6</v>
      </c>
      <c r="K5057" s="14">
        <v>55.5822</v>
      </c>
    </row>
    <row r="5058" spans="1:11" x14ac:dyDescent="0.25">
      <c r="A5058" s="2">
        <v>44140</v>
      </c>
      <c r="B5058" s="18">
        <f t="shared" ref="B5058:B5121" si="158">YEAR(A5058)</f>
        <v>2020</v>
      </c>
      <c r="C5058" s="18">
        <f t="shared" ref="C5058:C5121" si="159">MONTH(A5058)</f>
        <v>11</v>
      </c>
      <c r="D5058" s="3" t="s">
        <v>2535</v>
      </c>
      <c r="E5058" s="3" t="s">
        <v>94</v>
      </c>
      <c r="F5058" s="3" t="s">
        <v>11</v>
      </c>
      <c r="G5058" s="3" t="s">
        <v>30</v>
      </c>
      <c r="H5058" s="3" t="s">
        <v>2113</v>
      </c>
      <c r="I5058" s="11">
        <v>209.5</v>
      </c>
      <c r="J5058" s="18">
        <v>2</v>
      </c>
      <c r="K5058" s="12">
        <v>-66.599999999999994</v>
      </c>
    </row>
    <row r="5059" spans="1:11" x14ac:dyDescent="0.25">
      <c r="A5059" s="4">
        <v>44140</v>
      </c>
      <c r="B5059" s="19">
        <f t="shared" si="158"/>
        <v>2020</v>
      </c>
      <c r="C5059" s="19">
        <f t="shared" si="159"/>
        <v>11</v>
      </c>
      <c r="D5059" s="5" t="s">
        <v>1535</v>
      </c>
      <c r="E5059" s="5" t="s">
        <v>198</v>
      </c>
      <c r="F5059" s="5" t="s">
        <v>19</v>
      </c>
      <c r="G5059" s="5" t="s">
        <v>20</v>
      </c>
      <c r="H5059" s="5" t="s">
        <v>2354</v>
      </c>
      <c r="I5059" s="13">
        <v>253.99199999999999</v>
      </c>
      <c r="J5059" s="19">
        <v>7</v>
      </c>
      <c r="K5059" s="14">
        <v>30.498999999999999</v>
      </c>
    </row>
    <row r="5060" spans="1:11" x14ac:dyDescent="0.25">
      <c r="A5060" s="2">
        <v>44140</v>
      </c>
      <c r="B5060" s="18">
        <f t="shared" si="158"/>
        <v>2020</v>
      </c>
      <c r="C5060" s="18">
        <f t="shared" si="159"/>
        <v>11</v>
      </c>
      <c r="D5060" s="3" t="s">
        <v>460</v>
      </c>
      <c r="E5060" s="3" t="s">
        <v>94</v>
      </c>
      <c r="F5060" s="3" t="s">
        <v>14</v>
      </c>
      <c r="G5060" s="3" t="s">
        <v>24</v>
      </c>
      <c r="H5060" s="3" t="s">
        <v>1457</v>
      </c>
      <c r="I5060" s="11">
        <v>427.75</v>
      </c>
      <c r="J5060" s="18">
        <v>5</v>
      </c>
      <c r="K5060" s="12">
        <v>171.93</v>
      </c>
    </row>
    <row r="5061" spans="1:11" x14ac:dyDescent="0.25">
      <c r="A5061" s="4">
        <v>44140</v>
      </c>
      <c r="B5061" s="19">
        <f t="shared" si="158"/>
        <v>2020</v>
      </c>
      <c r="C5061" s="19">
        <f t="shared" si="159"/>
        <v>11</v>
      </c>
      <c r="D5061" s="5" t="s">
        <v>1440</v>
      </c>
      <c r="E5061" s="5" t="s">
        <v>23</v>
      </c>
      <c r="F5061" s="5" t="s">
        <v>14</v>
      </c>
      <c r="G5061" s="5" t="s">
        <v>15</v>
      </c>
      <c r="H5061" s="5" t="s">
        <v>727</v>
      </c>
      <c r="I5061" s="13">
        <v>529.76800000000003</v>
      </c>
      <c r="J5061" s="19">
        <v>4</v>
      </c>
      <c r="K5061" s="14">
        <v>55.436399999999999</v>
      </c>
    </row>
    <row r="5062" spans="1:11" x14ac:dyDescent="0.25">
      <c r="A5062" s="2">
        <v>44140</v>
      </c>
      <c r="B5062" s="18">
        <f t="shared" si="158"/>
        <v>2020</v>
      </c>
      <c r="C5062" s="18">
        <f t="shared" si="159"/>
        <v>11</v>
      </c>
      <c r="D5062" s="3" t="s">
        <v>410</v>
      </c>
      <c r="E5062" s="3" t="s">
        <v>317</v>
      </c>
      <c r="F5062" s="3" t="s">
        <v>19</v>
      </c>
      <c r="G5062" s="3" t="s">
        <v>53</v>
      </c>
      <c r="H5062" s="3" t="s">
        <v>1435</v>
      </c>
      <c r="I5062" s="11">
        <v>98.41</v>
      </c>
      <c r="J5062" s="18">
        <v>1</v>
      </c>
      <c r="K5062" s="12">
        <v>2.0286</v>
      </c>
    </row>
    <row r="5063" spans="1:11" x14ac:dyDescent="0.25">
      <c r="A5063" s="4">
        <v>44140</v>
      </c>
      <c r="B5063" s="19">
        <f t="shared" si="158"/>
        <v>2020</v>
      </c>
      <c r="C5063" s="19">
        <f t="shared" si="159"/>
        <v>11</v>
      </c>
      <c r="D5063" s="5" t="s">
        <v>1535</v>
      </c>
      <c r="E5063" s="5" t="s">
        <v>198</v>
      </c>
      <c r="F5063" s="5" t="s">
        <v>19</v>
      </c>
      <c r="G5063" s="5" t="s">
        <v>32</v>
      </c>
      <c r="H5063" s="5" t="s">
        <v>237</v>
      </c>
      <c r="I5063" s="13">
        <v>81.388000000000005</v>
      </c>
      <c r="J5063" s="19">
        <v>2</v>
      </c>
      <c r="K5063" s="14">
        <v>-1.8308</v>
      </c>
    </row>
    <row r="5064" spans="1:11" x14ac:dyDescent="0.25">
      <c r="A5064" s="2">
        <v>44140</v>
      </c>
      <c r="B5064" s="18">
        <f t="shared" si="158"/>
        <v>2020</v>
      </c>
      <c r="C5064" s="18">
        <f t="shared" si="159"/>
        <v>11</v>
      </c>
      <c r="D5064" s="3" t="s">
        <v>1172</v>
      </c>
      <c r="E5064" s="3" t="s">
        <v>18</v>
      </c>
      <c r="F5064" s="3" t="s">
        <v>19</v>
      </c>
      <c r="G5064" s="3" t="s">
        <v>53</v>
      </c>
      <c r="H5064" s="3" t="s">
        <v>1822</v>
      </c>
      <c r="I5064" s="11">
        <v>88.96</v>
      </c>
      <c r="J5064" s="18">
        <v>2</v>
      </c>
      <c r="K5064" s="12">
        <v>6.2207999999999997</v>
      </c>
    </row>
    <row r="5065" spans="1:11" x14ac:dyDescent="0.25">
      <c r="A5065" s="4">
        <v>44140</v>
      </c>
      <c r="B5065" s="19">
        <f t="shared" si="158"/>
        <v>2020</v>
      </c>
      <c r="C5065" s="19">
        <f t="shared" si="159"/>
        <v>11</v>
      </c>
      <c r="D5065" s="5" t="s">
        <v>2535</v>
      </c>
      <c r="E5065" s="5" t="s">
        <v>94</v>
      </c>
      <c r="F5065" s="5" t="s">
        <v>19</v>
      </c>
      <c r="G5065" s="5" t="s">
        <v>32</v>
      </c>
      <c r="H5065" s="5" t="s">
        <v>1764</v>
      </c>
      <c r="I5065" s="13">
        <v>114.42400000000001</v>
      </c>
      <c r="J5065" s="19">
        <v>1</v>
      </c>
      <c r="K5065" s="14">
        <v>3.7128000000000001</v>
      </c>
    </row>
    <row r="5066" spans="1:11" x14ac:dyDescent="0.25">
      <c r="A5066" s="2">
        <v>44140</v>
      </c>
      <c r="B5066" s="18">
        <f t="shared" si="158"/>
        <v>2020</v>
      </c>
      <c r="C5066" s="18">
        <f t="shared" si="159"/>
        <v>11</v>
      </c>
      <c r="D5066" s="3" t="s">
        <v>2028</v>
      </c>
      <c r="E5066" s="3" t="s">
        <v>164</v>
      </c>
      <c r="F5066" s="3" t="s">
        <v>19</v>
      </c>
      <c r="G5066" s="3" t="s">
        <v>32</v>
      </c>
      <c r="H5066" s="3" t="s">
        <v>1889</v>
      </c>
      <c r="I5066" s="11">
        <v>106.03</v>
      </c>
      <c r="J5066" s="18">
        <v>5</v>
      </c>
      <c r="K5066" s="12">
        <v>-25.648</v>
      </c>
    </row>
    <row r="5067" spans="1:11" x14ac:dyDescent="0.25">
      <c r="A5067" s="4">
        <v>44140</v>
      </c>
      <c r="B5067" s="19">
        <f t="shared" si="158"/>
        <v>2020</v>
      </c>
      <c r="C5067" s="19">
        <f t="shared" si="159"/>
        <v>11</v>
      </c>
      <c r="D5067" s="5" t="s">
        <v>2535</v>
      </c>
      <c r="E5067" s="5" t="s">
        <v>94</v>
      </c>
      <c r="F5067" s="5" t="s">
        <v>19</v>
      </c>
      <c r="G5067" s="5" t="s">
        <v>53</v>
      </c>
      <c r="H5067" s="5" t="s">
        <v>1090</v>
      </c>
      <c r="I5067" s="13">
        <v>100.96</v>
      </c>
      <c r="J5067" s="19">
        <v>2</v>
      </c>
      <c r="K5067" s="14">
        <v>6.2207999999999997</v>
      </c>
    </row>
    <row r="5068" spans="1:11" x14ac:dyDescent="0.25">
      <c r="A5068" s="2">
        <v>44141</v>
      </c>
      <c r="B5068" s="18">
        <f t="shared" si="158"/>
        <v>2020</v>
      </c>
      <c r="C5068" s="18">
        <f t="shared" si="159"/>
        <v>11</v>
      </c>
      <c r="D5068" s="3" t="s">
        <v>410</v>
      </c>
      <c r="E5068" s="3" t="s">
        <v>70</v>
      </c>
      <c r="F5068" s="3" t="s">
        <v>14</v>
      </c>
      <c r="G5068" s="3" t="s">
        <v>24</v>
      </c>
      <c r="H5068" s="3" t="s">
        <v>804</v>
      </c>
      <c r="I5068" s="11">
        <v>135.96</v>
      </c>
      <c r="J5068" s="18">
        <v>3</v>
      </c>
      <c r="K5068" s="12">
        <v>32.688000000000002</v>
      </c>
    </row>
    <row r="5069" spans="1:11" x14ac:dyDescent="0.25">
      <c r="A5069" s="4">
        <v>44141</v>
      </c>
      <c r="B5069" s="19">
        <f t="shared" si="158"/>
        <v>2020</v>
      </c>
      <c r="C5069" s="19">
        <f t="shared" si="159"/>
        <v>11</v>
      </c>
      <c r="D5069" s="5" t="s">
        <v>1668</v>
      </c>
      <c r="E5069" s="5" t="s">
        <v>39</v>
      </c>
      <c r="F5069" s="5" t="s">
        <v>11</v>
      </c>
      <c r="G5069" s="5" t="s">
        <v>112</v>
      </c>
      <c r="H5069" s="5" t="s">
        <v>1847</v>
      </c>
      <c r="I5069" s="13">
        <v>152.37200000000001</v>
      </c>
      <c r="J5069" s="19">
        <v>2</v>
      </c>
      <c r="K5069" s="14">
        <v>-30.933199999999999</v>
      </c>
    </row>
    <row r="5070" spans="1:11" x14ac:dyDescent="0.25">
      <c r="A5070" s="2">
        <v>44141</v>
      </c>
      <c r="B5070" s="18">
        <f t="shared" si="158"/>
        <v>2020</v>
      </c>
      <c r="C5070" s="18">
        <f t="shared" si="159"/>
        <v>11</v>
      </c>
      <c r="D5070" s="3" t="s">
        <v>259</v>
      </c>
      <c r="E5070" s="3" t="s">
        <v>35</v>
      </c>
      <c r="F5070" s="3" t="s">
        <v>19</v>
      </c>
      <c r="G5070" s="3" t="s">
        <v>20</v>
      </c>
      <c r="H5070" s="3" t="s">
        <v>263</v>
      </c>
      <c r="I5070" s="11">
        <v>304.13600000000002</v>
      </c>
      <c r="J5070" s="18">
        <v>4</v>
      </c>
      <c r="K5070" s="12">
        <v>-51.827199999999998</v>
      </c>
    </row>
    <row r="5071" spans="1:11" x14ac:dyDescent="0.25">
      <c r="A5071" s="4">
        <v>44141</v>
      </c>
      <c r="B5071" s="19">
        <f t="shared" si="158"/>
        <v>2020</v>
      </c>
      <c r="C5071" s="19">
        <f t="shared" si="159"/>
        <v>11</v>
      </c>
      <c r="D5071" s="5" t="s">
        <v>1917</v>
      </c>
      <c r="E5071" s="5" t="s">
        <v>94</v>
      </c>
      <c r="F5071" s="5" t="s">
        <v>19</v>
      </c>
      <c r="G5071" s="5" t="s">
        <v>53</v>
      </c>
      <c r="H5071" s="5" t="s">
        <v>2053</v>
      </c>
      <c r="I5071" s="13">
        <v>339.96</v>
      </c>
      <c r="J5071" s="19">
        <v>9</v>
      </c>
      <c r="K5071" s="14">
        <v>149.91120000000001</v>
      </c>
    </row>
    <row r="5072" spans="1:11" x14ac:dyDescent="0.25">
      <c r="A5072" s="2">
        <v>44141</v>
      </c>
      <c r="B5072" s="18">
        <f t="shared" si="158"/>
        <v>2020</v>
      </c>
      <c r="C5072" s="18">
        <f t="shared" si="159"/>
        <v>11</v>
      </c>
      <c r="D5072" s="3" t="s">
        <v>410</v>
      </c>
      <c r="E5072" s="3" t="s">
        <v>70</v>
      </c>
      <c r="F5072" s="3" t="s">
        <v>11</v>
      </c>
      <c r="G5072" s="3" t="s">
        <v>112</v>
      </c>
      <c r="H5072" s="3" t="s">
        <v>1452</v>
      </c>
      <c r="I5072" s="11">
        <v>491.56799999999998</v>
      </c>
      <c r="J5072" s="18">
        <v>2</v>
      </c>
      <c r="K5072" s="12">
        <v>-73.0548</v>
      </c>
    </row>
    <row r="5073" spans="1:11" x14ac:dyDescent="0.25">
      <c r="A5073" s="4">
        <v>44141</v>
      </c>
      <c r="B5073" s="19">
        <f t="shared" si="158"/>
        <v>2020</v>
      </c>
      <c r="C5073" s="19">
        <f t="shared" si="159"/>
        <v>11</v>
      </c>
      <c r="D5073" s="5" t="s">
        <v>259</v>
      </c>
      <c r="E5073" s="5" t="s">
        <v>35</v>
      </c>
      <c r="F5073" s="5" t="s">
        <v>19</v>
      </c>
      <c r="G5073" s="5" t="s">
        <v>121</v>
      </c>
      <c r="H5073" s="5" t="s">
        <v>1030</v>
      </c>
      <c r="I5073" s="13">
        <v>532.58399999999995</v>
      </c>
      <c r="J5073" s="19">
        <v>3</v>
      </c>
      <c r="K5073" s="14">
        <v>43.7136</v>
      </c>
    </row>
    <row r="5074" spans="1:11" x14ac:dyDescent="0.25">
      <c r="A5074" s="2">
        <v>44141</v>
      </c>
      <c r="B5074" s="18">
        <f t="shared" si="158"/>
        <v>2020</v>
      </c>
      <c r="C5074" s="18">
        <f t="shared" si="159"/>
        <v>11</v>
      </c>
      <c r="D5074" s="3" t="s">
        <v>410</v>
      </c>
      <c r="E5074" s="3" t="s">
        <v>70</v>
      </c>
      <c r="F5074" s="3" t="s">
        <v>11</v>
      </c>
      <c r="G5074" s="3" t="s">
        <v>30</v>
      </c>
      <c r="H5074" s="3" t="s">
        <v>1712</v>
      </c>
      <c r="I5074" s="11">
        <v>2077.86</v>
      </c>
      <c r="J5074" s="18">
        <v>7</v>
      </c>
      <c r="K5074" s="12">
        <v>366.63479999999998</v>
      </c>
    </row>
    <row r="5075" spans="1:11" x14ac:dyDescent="0.25">
      <c r="A5075" s="4">
        <v>44141</v>
      </c>
      <c r="B5075" s="19">
        <f t="shared" si="158"/>
        <v>2020</v>
      </c>
      <c r="C5075" s="19">
        <f t="shared" si="159"/>
        <v>11</v>
      </c>
      <c r="D5075" s="5" t="s">
        <v>900</v>
      </c>
      <c r="E5075" s="5" t="s">
        <v>23</v>
      </c>
      <c r="F5075" s="5" t="s">
        <v>19</v>
      </c>
      <c r="G5075" s="5" t="s">
        <v>32</v>
      </c>
      <c r="H5075" s="5" t="s">
        <v>1162</v>
      </c>
      <c r="I5075" s="13">
        <v>102.248</v>
      </c>
      <c r="J5075" s="19">
        <v>2</v>
      </c>
      <c r="K5075" s="14">
        <v>-1.9343999999999999</v>
      </c>
    </row>
    <row r="5076" spans="1:11" x14ac:dyDescent="0.25">
      <c r="A5076" s="2">
        <v>44141</v>
      </c>
      <c r="B5076" s="18">
        <f t="shared" si="158"/>
        <v>2020</v>
      </c>
      <c r="C5076" s="18">
        <f t="shared" si="159"/>
        <v>11</v>
      </c>
      <c r="D5076" s="3" t="s">
        <v>1770</v>
      </c>
      <c r="E5076" s="3" t="s">
        <v>195</v>
      </c>
      <c r="F5076" s="3" t="s">
        <v>19</v>
      </c>
      <c r="G5076" s="3" t="s">
        <v>53</v>
      </c>
      <c r="H5076" s="3" t="s">
        <v>1899</v>
      </c>
      <c r="I5076" s="11">
        <v>103.78</v>
      </c>
      <c r="J5076" s="18">
        <v>1</v>
      </c>
      <c r="K5076" s="12">
        <v>2.8321999999999998</v>
      </c>
    </row>
    <row r="5077" spans="1:11" x14ac:dyDescent="0.25">
      <c r="A5077" s="4">
        <v>44141</v>
      </c>
      <c r="B5077" s="19">
        <f t="shared" si="158"/>
        <v>2020</v>
      </c>
      <c r="C5077" s="19">
        <f t="shared" si="159"/>
        <v>11</v>
      </c>
      <c r="D5077" s="5" t="s">
        <v>2457</v>
      </c>
      <c r="E5077" s="5" t="s">
        <v>465</v>
      </c>
      <c r="F5077" s="5" t="s">
        <v>19</v>
      </c>
      <c r="G5077" s="5" t="s">
        <v>32</v>
      </c>
      <c r="H5077" s="5" t="s">
        <v>295</v>
      </c>
      <c r="I5077" s="13">
        <v>82.682000000000002</v>
      </c>
      <c r="J5077" s="19">
        <v>1</v>
      </c>
      <c r="K5077" s="14">
        <v>-3.7879999999999998</v>
      </c>
    </row>
    <row r="5078" spans="1:11" x14ac:dyDescent="0.25">
      <c r="A5078" s="2">
        <v>44141</v>
      </c>
      <c r="B5078" s="18">
        <f t="shared" si="158"/>
        <v>2020</v>
      </c>
      <c r="C5078" s="18">
        <f t="shared" si="159"/>
        <v>11</v>
      </c>
      <c r="D5078" s="3" t="s">
        <v>351</v>
      </c>
      <c r="E5078" s="3" t="s">
        <v>18</v>
      </c>
      <c r="F5078" s="3" t="s">
        <v>19</v>
      </c>
      <c r="G5078" s="3" t="s">
        <v>40</v>
      </c>
      <c r="H5078" s="3" t="s">
        <v>2536</v>
      </c>
      <c r="I5078" s="11">
        <v>95.68</v>
      </c>
      <c r="J5078" s="18">
        <v>2</v>
      </c>
      <c r="K5078" s="12">
        <v>1.7607999999999999</v>
      </c>
    </row>
    <row r="5079" spans="1:11" x14ac:dyDescent="0.25">
      <c r="A5079" s="4">
        <v>44141</v>
      </c>
      <c r="B5079" s="19">
        <f t="shared" si="158"/>
        <v>2020</v>
      </c>
      <c r="C5079" s="19">
        <f t="shared" si="159"/>
        <v>11</v>
      </c>
      <c r="D5079" s="5" t="s">
        <v>103</v>
      </c>
      <c r="E5079" s="5" t="s">
        <v>387</v>
      </c>
      <c r="F5079" s="5" t="s">
        <v>19</v>
      </c>
      <c r="G5079" s="5" t="s">
        <v>40</v>
      </c>
      <c r="H5079" s="5" t="s">
        <v>1278</v>
      </c>
      <c r="I5079" s="13">
        <v>88.9</v>
      </c>
      <c r="J5079" s="19">
        <v>5</v>
      </c>
      <c r="K5079" s="14">
        <v>3.6139999999999999</v>
      </c>
    </row>
    <row r="5080" spans="1:11" x14ac:dyDescent="0.25">
      <c r="A5080" s="2">
        <v>44141</v>
      </c>
      <c r="B5080" s="18">
        <f t="shared" si="158"/>
        <v>2020</v>
      </c>
      <c r="C5080" s="18">
        <f t="shared" si="159"/>
        <v>11</v>
      </c>
      <c r="D5080" s="3" t="s">
        <v>259</v>
      </c>
      <c r="E5080" s="3" t="s">
        <v>35</v>
      </c>
      <c r="F5080" s="3" t="s">
        <v>11</v>
      </c>
      <c r="G5080" s="3" t="s">
        <v>51</v>
      </c>
      <c r="H5080" s="3" t="s">
        <v>1517</v>
      </c>
      <c r="I5080" s="11">
        <v>107.27200000000001</v>
      </c>
      <c r="J5080" s="18">
        <v>2</v>
      </c>
      <c r="K5080" s="12">
        <v>6.3612000000000002</v>
      </c>
    </row>
    <row r="5081" spans="1:11" x14ac:dyDescent="0.25">
      <c r="A5081" s="4">
        <v>44141</v>
      </c>
      <c r="B5081" s="19">
        <f t="shared" si="158"/>
        <v>2020</v>
      </c>
      <c r="C5081" s="19">
        <f t="shared" si="159"/>
        <v>11</v>
      </c>
      <c r="D5081" s="5" t="s">
        <v>1008</v>
      </c>
      <c r="E5081" s="5" t="s">
        <v>18</v>
      </c>
      <c r="F5081" s="5" t="s">
        <v>19</v>
      </c>
      <c r="G5081" s="5" t="s">
        <v>53</v>
      </c>
      <c r="H5081" s="5" t="s">
        <v>1692</v>
      </c>
      <c r="I5081" s="13">
        <v>126.4</v>
      </c>
      <c r="J5081" s="19">
        <v>5</v>
      </c>
      <c r="K5081" s="14">
        <v>12.672000000000001</v>
      </c>
    </row>
    <row r="5082" spans="1:11" x14ac:dyDescent="0.25">
      <c r="A5082" s="2">
        <v>44141</v>
      </c>
      <c r="B5082" s="18">
        <f t="shared" si="158"/>
        <v>2020</v>
      </c>
      <c r="C5082" s="18">
        <f t="shared" si="159"/>
        <v>11</v>
      </c>
      <c r="D5082" s="3" t="s">
        <v>103</v>
      </c>
      <c r="E5082" s="3" t="s">
        <v>387</v>
      </c>
      <c r="F5082" s="3" t="s">
        <v>19</v>
      </c>
      <c r="G5082" s="3" t="s">
        <v>53</v>
      </c>
      <c r="H5082" s="3" t="s">
        <v>172</v>
      </c>
      <c r="I5082" s="11">
        <v>130.38</v>
      </c>
      <c r="J5082" s="18">
        <v>1</v>
      </c>
      <c r="K5082" s="12">
        <v>12.1348</v>
      </c>
    </row>
    <row r="5083" spans="1:11" x14ac:dyDescent="0.25">
      <c r="A5083" s="4">
        <v>44141</v>
      </c>
      <c r="B5083" s="19">
        <f t="shared" si="158"/>
        <v>2020</v>
      </c>
      <c r="C5083" s="19">
        <f t="shared" si="159"/>
        <v>11</v>
      </c>
      <c r="D5083" s="5" t="s">
        <v>351</v>
      </c>
      <c r="E5083" s="5" t="s">
        <v>18</v>
      </c>
      <c r="F5083" s="5" t="s">
        <v>19</v>
      </c>
      <c r="G5083" s="5" t="s">
        <v>86</v>
      </c>
      <c r="H5083" s="5" t="s">
        <v>1955</v>
      </c>
      <c r="I5083" s="13">
        <v>116.28</v>
      </c>
      <c r="J5083" s="19">
        <v>2</v>
      </c>
      <c r="K5083" s="14">
        <v>7.4871999999999996</v>
      </c>
    </row>
    <row r="5084" spans="1:11" x14ac:dyDescent="0.25">
      <c r="A5084" s="2">
        <v>44141</v>
      </c>
      <c r="B5084" s="18">
        <f t="shared" si="158"/>
        <v>2020</v>
      </c>
      <c r="C5084" s="18">
        <f t="shared" si="159"/>
        <v>11</v>
      </c>
      <c r="D5084" s="3" t="s">
        <v>2188</v>
      </c>
      <c r="E5084" s="3" t="s">
        <v>23</v>
      </c>
      <c r="F5084" s="3" t="s">
        <v>19</v>
      </c>
      <c r="G5084" s="3" t="s">
        <v>20</v>
      </c>
      <c r="H5084" s="3" t="s">
        <v>1990</v>
      </c>
      <c r="I5084" s="11">
        <v>130.16</v>
      </c>
      <c r="J5084" s="18">
        <v>2</v>
      </c>
      <c r="K5084" s="12">
        <v>1.8160000000000001</v>
      </c>
    </row>
    <row r="5085" spans="1:11" x14ac:dyDescent="0.25">
      <c r="A5085" s="4">
        <v>44141</v>
      </c>
      <c r="B5085" s="19">
        <f t="shared" si="158"/>
        <v>2020</v>
      </c>
      <c r="C5085" s="19">
        <f t="shared" si="159"/>
        <v>11</v>
      </c>
      <c r="D5085" s="5" t="s">
        <v>351</v>
      </c>
      <c r="E5085" s="5" t="s">
        <v>18</v>
      </c>
      <c r="F5085" s="5" t="s">
        <v>11</v>
      </c>
      <c r="G5085" s="5" t="s">
        <v>51</v>
      </c>
      <c r="H5085" s="5" t="s">
        <v>1044</v>
      </c>
      <c r="I5085" s="13">
        <v>111.73</v>
      </c>
      <c r="J5085" s="19">
        <v>1</v>
      </c>
      <c r="K5085" s="14">
        <v>2.9681999999999999</v>
      </c>
    </row>
    <row r="5086" spans="1:11" x14ac:dyDescent="0.25">
      <c r="A5086" s="2">
        <v>44141</v>
      </c>
      <c r="B5086" s="18">
        <f t="shared" si="158"/>
        <v>2020</v>
      </c>
      <c r="C5086" s="18">
        <f t="shared" si="159"/>
        <v>11</v>
      </c>
      <c r="D5086" s="3" t="s">
        <v>1008</v>
      </c>
      <c r="E5086" s="3" t="s">
        <v>18</v>
      </c>
      <c r="F5086" s="3" t="s">
        <v>19</v>
      </c>
      <c r="G5086" s="3" t="s">
        <v>127</v>
      </c>
      <c r="H5086" s="3" t="s">
        <v>1799</v>
      </c>
      <c r="I5086" s="11">
        <v>133.4</v>
      </c>
      <c r="J5086" s="18">
        <v>4</v>
      </c>
      <c r="K5086" s="12">
        <v>19.872</v>
      </c>
    </row>
    <row r="5087" spans="1:11" x14ac:dyDescent="0.25">
      <c r="A5087" s="4">
        <v>44141</v>
      </c>
      <c r="B5087" s="19">
        <f t="shared" si="158"/>
        <v>2020</v>
      </c>
      <c r="C5087" s="19">
        <f t="shared" si="159"/>
        <v>11</v>
      </c>
      <c r="D5087" s="5" t="s">
        <v>259</v>
      </c>
      <c r="E5087" s="5" t="s">
        <v>35</v>
      </c>
      <c r="F5087" s="5" t="s">
        <v>19</v>
      </c>
      <c r="G5087" s="5" t="s">
        <v>32</v>
      </c>
      <c r="H5087" s="5" t="s">
        <v>1395</v>
      </c>
      <c r="I5087" s="13">
        <v>136.27199999999999</v>
      </c>
      <c r="J5087" s="19">
        <v>8</v>
      </c>
      <c r="K5087" s="14">
        <v>-10.617599999999999</v>
      </c>
    </row>
    <row r="5088" spans="1:11" x14ac:dyDescent="0.25">
      <c r="A5088" s="2">
        <v>44141</v>
      </c>
      <c r="B5088" s="18">
        <f t="shared" si="158"/>
        <v>2020</v>
      </c>
      <c r="C5088" s="18">
        <f t="shared" si="159"/>
        <v>11</v>
      </c>
      <c r="D5088" s="3" t="s">
        <v>1008</v>
      </c>
      <c r="E5088" s="3" t="s">
        <v>18</v>
      </c>
      <c r="F5088" s="3" t="s">
        <v>19</v>
      </c>
      <c r="G5088" s="3" t="s">
        <v>53</v>
      </c>
      <c r="H5088" s="3" t="s">
        <v>172</v>
      </c>
      <c r="I5088" s="11">
        <v>119.36</v>
      </c>
      <c r="J5088" s="18">
        <v>4</v>
      </c>
      <c r="K5088" s="12">
        <v>22.226400000000002</v>
      </c>
    </row>
    <row r="5089" spans="1:11" x14ac:dyDescent="0.25">
      <c r="A5089" s="4">
        <v>44141</v>
      </c>
      <c r="B5089" s="19">
        <f t="shared" si="158"/>
        <v>2020</v>
      </c>
      <c r="C5089" s="19">
        <f t="shared" si="159"/>
        <v>11</v>
      </c>
      <c r="D5089" s="5" t="s">
        <v>1008</v>
      </c>
      <c r="E5089" s="5" t="s">
        <v>18</v>
      </c>
      <c r="F5089" s="5" t="s">
        <v>14</v>
      </c>
      <c r="G5089" s="5" t="s">
        <v>24</v>
      </c>
      <c r="H5089" s="5" t="s">
        <v>1942</v>
      </c>
      <c r="I5089" s="13">
        <v>140.94999999999999</v>
      </c>
      <c r="J5089" s="19">
        <v>1</v>
      </c>
      <c r="K5089" s="14">
        <v>1.0169999999999999</v>
      </c>
    </row>
    <row r="5090" spans="1:11" x14ac:dyDescent="0.25">
      <c r="A5090" s="2">
        <v>44141</v>
      </c>
      <c r="B5090" s="18">
        <f t="shared" si="158"/>
        <v>2020</v>
      </c>
      <c r="C5090" s="18">
        <f t="shared" si="159"/>
        <v>11</v>
      </c>
      <c r="D5090" s="3" t="s">
        <v>259</v>
      </c>
      <c r="E5090" s="3" t="s">
        <v>35</v>
      </c>
      <c r="F5090" s="3" t="s">
        <v>19</v>
      </c>
      <c r="G5090" s="3" t="s">
        <v>53</v>
      </c>
      <c r="H5090" s="3" t="s">
        <v>2435</v>
      </c>
      <c r="I5090" s="11">
        <v>143.10400000000001</v>
      </c>
      <c r="J5090" s="18">
        <v>6</v>
      </c>
      <c r="K5090" s="12">
        <v>10.8864</v>
      </c>
    </row>
    <row r="5091" spans="1:11" x14ac:dyDescent="0.25">
      <c r="A5091" s="4">
        <v>44141</v>
      </c>
      <c r="B5091" s="19">
        <f t="shared" si="158"/>
        <v>2020</v>
      </c>
      <c r="C5091" s="19">
        <f t="shared" si="159"/>
        <v>11</v>
      </c>
      <c r="D5091" s="5" t="s">
        <v>1668</v>
      </c>
      <c r="E5091" s="5" t="s">
        <v>39</v>
      </c>
      <c r="F5091" s="5" t="s">
        <v>19</v>
      </c>
      <c r="G5091" s="5" t="s">
        <v>53</v>
      </c>
      <c r="H5091" s="5" t="s">
        <v>998</v>
      </c>
      <c r="I5091" s="13">
        <v>129.952</v>
      </c>
      <c r="J5091" s="19">
        <v>3</v>
      </c>
      <c r="K5091" s="14">
        <v>16.183800000000002</v>
      </c>
    </row>
    <row r="5092" spans="1:11" x14ac:dyDescent="0.25">
      <c r="A5092" s="2">
        <v>44141</v>
      </c>
      <c r="B5092" s="18">
        <f t="shared" si="158"/>
        <v>2020</v>
      </c>
      <c r="C5092" s="18">
        <f t="shared" si="159"/>
        <v>11</v>
      </c>
      <c r="D5092" s="3" t="s">
        <v>558</v>
      </c>
      <c r="E5092" s="3" t="s">
        <v>85</v>
      </c>
      <c r="F5092" s="3" t="s">
        <v>19</v>
      </c>
      <c r="G5092" s="3" t="s">
        <v>20</v>
      </c>
      <c r="H5092" s="3" t="s">
        <v>2537</v>
      </c>
      <c r="I5092" s="11">
        <v>133.26</v>
      </c>
      <c r="J5092" s="18">
        <v>3</v>
      </c>
      <c r="K5092" s="12">
        <v>12.0276</v>
      </c>
    </row>
    <row r="5093" spans="1:11" x14ac:dyDescent="0.25">
      <c r="A5093" s="4">
        <v>44141</v>
      </c>
      <c r="B5093" s="19">
        <f t="shared" si="158"/>
        <v>2020</v>
      </c>
      <c r="C5093" s="19">
        <f t="shared" si="159"/>
        <v>11</v>
      </c>
      <c r="D5093" s="5" t="s">
        <v>194</v>
      </c>
      <c r="E5093" s="5" t="s">
        <v>23</v>
      </c>
      <c r="F5093" s="5" t="s">
        <v>11</v>
      </c>
      <c r="G5093" s="5" t="s">
        <v>51</v>
      </c>
      <c r="H5093" s="5" t="s">
        <v>986</v>
      </c>
      <c r="I5093" s="13">
        <v>164.56</v>
      </c>
      <c r="J5093" s="19">
        <v>5</v>
      </c>
      <c r="K5093" s="14">
        <v>-19.864000000000001</v>
      </c>
    </row>
    <row r="5094" spans="1:11" x14ac:dyDescent="0.25">
      <c r="A5094" s="2">
        <v>44141</v>
      </c>
      <c r="B5094" s="18">
        <f t="shared" si="158"/>
        <v>2020</v>
      </c>
      <c r="C5094" s="18">
        <f t="shared" si="159"/>
        <v>11</v>
      </c>
      <c r="D5094" s="3" t="s">
        <v>1008</v>
      </c>
      <c r="E5094" s="3" t="s">
        <v>18</v>
      </c>
      <c r="F5094" s="3" t="s">
        <v>19</v>
      </c>
      <c r="G5094" s="3" t="s">
        <v>53</v>
      </c>
      <c r="H5094" s="3" t="s">
        <v>998</v>
      </c>
      <c r="I5094" s="11">
        <v>142.94</v>
      </c>
      <c r="J5094" s="18">
        <v>3</v>
      </c>
      <c r="K5094" s="12">
        <v>28.171800000000001</v>
      </c>
    </row>
    <row r="5095" spans="1:11" x14ac:dyDescent="0.25">
      <c r="A5095" s="4">
        <v>44142</v>
      </c>
      <c r="B5095" s="19">
        <f t="shared" si="158"/>
        <v>2020</v>
      </c>
      <c r="C5095" s="19">
        <f t="shared" si="159"/>
        <v>11</v>
      </c>
      <c r="D5095" s="5" t="s">
        <v>646</v>
      </c>
      <c r="E5095" s="5" t="s">
        <v>309</v>
      </c>
      <c r="F5095" s="5" t="s">
        <v>19</v>
      </c>
      <c r="G5095" s="5" t="s">
        <v>121</v>
      </c>
      <c r="H5095" s="5" t="s">
        <v>1729</v>
      </c>
      <c r="I5095" s="13">
        <v>127.94</v>
      </c>
      <c r="J5095" s="19">
        <v>7</v>
      </c>
      <c r="K5095" s="14">
        <v>33.310200000000002</v>
      </c>
    </row>
    <row r="5096" spans="1:11" x14ac:dyDescent="0.25">
      <c r="A5096" s="2">
        <v>44142</v>
      </c>
      <c r="B5096" s="18">
        <f t="shared" si="158"/>
        <v>2020</v>
      </c>
      <c r="C5096" s="18">
        <f t="shared" si="159"/>
        <v>11</v>
      </c>
      <c r="D5096" s="3" t="s">
        <v>2248</v>
      </c>
      <c r="E5096" s="3" t="s">
        <v>10</v>
      </c>
      <c r="F5096" s="3" t="s">
        <v>11</v>
      </c>
      <c r="G5096" s="3" t="s">
        <v>112</v>
      </c>
      <c r="H5096" s="3" t="s">
        <v>970</v>
      </c>
      <c r="I5096" s="11">
        <v>285.97000000000003</v>
      </c>
      <c r="J5096" s="18">
        <v>3</v>
      </c>
      <c r="K5096" s="12">
        <v>43.675199999999997</v>
      </c>
    </row>
    <row r="5097" spans="1:11" x14ac:dyDescent="0.25">
      <c r="A5097" s="4">
        <v>44142</v>
      </c>
      <c r="B5097" s="19">
        <f t="shared" si="158"/>
        <v>2020</v>
      </c>
      <c r="C5097" s="19">
        <f t="shared" si="159"/>
        <v>11</v>
      </c>
      <c r="D5097" s="5" t="s">
        <v>1706</v>
      </c>
      <c r="E5097" s="5" t="s">
        <v>39</v>
      </c>
      <c r="F5097" s="5" t="s">
        <v>11</v>
      </c>
      <c r="G5097" s="5" t="s">
        <v>30</v>
      </c>
      <c r="H5097" s="5" t="s">
        <v>348</v>
      </c>
      <c r="I5097" s="13">
        <v>377.35199999999998</v>
      </c>
      <c r="J5097" s="19">
        <v>4</v>
      </c>
      <c r="K5097" s="14">
        <v>-140.14080000000001</v>
      </c>
    </row>
    <row r="5098" spans="1:11" x14ac:dyDescent="0.25">
      <c r="A5098" s="2">
        <v>44142</v>
      </c>
      <c r="B5098" s="18">
        <f t="shared" si="158"/>
        <v>2020</v>
      </c>
      <c r="C5098" s="18">
        <f t="shared" si="159"/>
        <v>11</v>
      </c>
      <c r="D5098" s="3" t="s">
        <v>1706</v>
      </c>
      <c r="E5098" s="3" t="s">
        <v>39</v>
      </c>
      <c r="F5098" s="3" t="s">
        <v>14</v>
      </c>
      <c r="G5098" s="3" t="s">
        <v>15</v>
      </c>
      <c r="H5098" s="3" t="s">
        <v>1814</v>
      </c>
      <c r="I5098" s="11">
        <v>409.97</v>
      </c>
      <c r="J5098" s="18">
        <v>5</v>
      </c>
      <c r="K5098" s="12">
        <v>-71.994</v>
      </c>
    </row>
    <row r="5099" spans="1:11" x14ac:dyDescent="0.25">
      <c r="A5099" s="4">
        <v>44142</v>
      </c>
      <c r="B5099" s="19">
        <f t="shared" si="158"/>
        <v>2020</v>
      </c>
      <c r="C5099" s="19">
        <f t="shared" si="159"/>
        <v>11</v>
      </c>
      <c r="D5099" s="5" t="s">
        <v>1642</v>
      </c>
      <c r="E5099" s="5" t="s">
        <v>18</v>
      </c>
      <c r="F5099" s="5" t="s">
        <v>14</v>
      </c>
      <c r="G5099" s="5" t="s">
        <v>24</v>
      </c>
      <c r="H5099" s="5" t="s">
        <v>1266</v>
      </c>
      <c r="I5099" s="13">
        <v>449.8</v>
      </c>
      <c r="J5099" s="19">
        <v>4</v>
      </c>
      <c r="K5099" s="14">
        <v>145.13399999999999</v>
      </c>
    </row>
    <row r="5100" spans="1:11" x14ac:dyDescent="0.25">
      <c r="A5100" s="2">
        <v>44142</v>
      </c>
      <c r="B5100" s="18">
        <f t="shared" si="158"/>
        <v>2020</v>
      </c>
      <c r="C5100" s="18">
        <f t="shared" si="159"/>
        <v>11</v>
      </c>
      <c r="D5100" s="3" t="s">
        <v>1354</v>
      </c>
      <c r="E5100" s="3" t="s">
        <v>18</v>
      </c>
      <c r="F5100" s="3" t="s">
        <v>14</v>
      </c>
      <c r="G5100" s="3" t="s">
        <v>15</v>
      </c>
      <c r="H5100" s="3" t="s">
        <v>2538</v>
      </c>
      <c r="I5100" s="11">
        <v>786.54399999999998</v>
      </c>
      <c r="J5100" s="18">
        <v>7</v>
      </c>
      <c r="K5100" s="12">
        <v>66.635099999999994</v>
      </c>
    </row>
    <row r="5101" spans="1:11" x14ac:dyDescent="0.25">
      <c r="A5101" s="4">
        <v>44142</v>
      </c>
      <c r="B5101" s="19">
        <f t="shared" si="158"/>
        <v>2020</v>
      </c>
      <c r="C5101" s="19">
        <f t="shared" si="159"/>
        <v>11</v>
      </c>
      <c r="D5101" s="5" t="s">
        <v>126</v>
      </c>
      <c r="E5101" s="5" t="s">
        <v>94</v>
      </c>
      <c r="F5101" s="5" t="s">
        <v>14</v>
      </c>
      <c r="G5101" s="5" t="s">
        <v>24</v>
      </c>
      <c r="H5101" s="5" t="s">
        <v>2539</v>
      </c>
      <c r="I5101" s="13">
        <v>86.88</v>
      </c>
      <c r="J5101" s="19">
        <v>4</v>
      </c>
      <c r="K5101" s="14">
        <v>2.5215999999999998</v>
      </c>
    </row>
    <row r="5102" spans="1:11" x14ac:dyDescent="0.25">
      <c r="A5102" s="2">
        <v>44142</v>
      </c>
      <c r="B5102" s="18">
        <f t="shared" si="158"/>
        <v>2020</v>
      </c>
      <c r="C5102" s="18">
        <f t="shared" si="159"/>
        <v>11</v>
      </c>
      <c r="D5102" s="3" t="s">
        <v>1642</v>
      </c>
      <c r="E5102" s="3" t="s">
        <v>18</v>
      </c>
      <c r="F5102" s="3" t="s">
        <v>19</v>
      </c>
      <c r="G5102" s="3" t="s">
        <v>32</v>
      </c>
      <c r="H5102" s="3" t="s">
        <v>344</v>
      </c>
      <c r="I5102" s="11">
        <v>144.792</v>
      </c>
      <c r="J5102" s="18">
        <v>4</v>
      </c>
      <c r="K5102" s="12">
        <v>7.6272000000000002</v>
      </c>
    </row>
    <row r="5103" spans="1:11" x14ac:dyDescent="0.25">
      <c r="A5103" s="4">
        <v>44142</v>
      </c>
      <c r="B5103" s="19">
        <f t="shared" si="158"/>
        <v>2020</v>
      </c>
      <c r="C5103" s="19">
        <f t="shared" si="159"/>
        <v>11</v>
      </c>
      <c r="D5103" s="5" t="s">
        <v>2012</v>
      </c>
      <c r="E5103" s="5" t="s">
        <v>29</v>
      </c>
      <c r="F5103" s="5" t="s">
        <v>19</v>
      </c>
      <c r="G5103" s="5" t="s">
        <v>32</v>
      </c>
      <c r="H5103" s="5" t="s">
        <v>1600</v>
      </c>
      <c r="I5103" s="13">
        <v>142.16</v>
      </c>
      <c r="J5103" s="19">
        <v>9</v>
      </c>
      <c r="K5103" s="14">
        <v>19.079999999999998</v>
      </c>
    </row>
    <row r="5104" spans="1:11" x14ac:dyDescent="0.25">
      <c r="A5104" s="2">
        <v>44142</v>
      </c>
      <c r="B5104" s="18">
        <f t="shared" si="158"/>
        <v>2020</v>
      </c>
      <c r="C5104" s="18">
        <f t="shared" si="159"/>
        <v>11</v>
      </c>
      <c r="D5104" s="3" t="s">
        <v>1354</v>
      </c>
      <c r="E5104" s="3" t="s">
        <v>18</v>
      </c>
      <c r="F5104" s="3" t="s">
        <v>14</v>
      </c>
      <c r="G5104" s="3" t="s">
        <v>24</v>
      </c>
      <c r="H5104" s="3" t="s">
        <v>522</v>
      </c>
      <c r="I5104" s="11">
        <v>176.97</v>
      </c>
      <c r="J5104" s="18">
        <v>3</v>
      </c>
      <c r="K5104" s="12">
        <v>13.793100000000001</v>
      </c>
    </row>
    <row r="5105" spans="1:11" x14ac:dyDescent="0.25">
      <c r="A5105" s="4">
        <v>44143</v>
      </c>
      <c r="B5105" s="19">
        <f t="shared" si="158"/>
        <v>2020</v>
      </c>
      <c r="C5105" s="19">
        <f t="shared" si="159"/>
        <v>11</v>
      </c>
      <c r="D5105" s="5" t="s">
        <v>2246</v>
      </c>
      <c r="E5105" s="5" t="s">
        <v>94</v>
      </c>
      <c r="F5105" s="5" t="s">
        <v>19</v>
      </c>
      <c r="G5105" s="5" t="s">
        <v>40</v>
      </c>
      <c r="H5105" s="5" t="s">
        <v>2505</v>
      </c>
      <c r="I5105" s="13">
        <v>119.9</v>
      </c>
      <c r="J5105" s="19">
        <v>5</v>
      </c>
      <c r="K5105" s="14">
        <v>32.97</v>
      </c>
    </row>
    <row r="5106" spans="1:11" x14ac:dyDescent="0.25">
      <c r="A5106" s="2">
        <v>44143</v>
      </c>
      <c r="B5106" s="18">
        <f t="shared" si="158"/>
        <v>2020</v>
      </c>
      <c r="C5106" s="18">
        <f t="shared" si="159"/>
        <v>11</v>
      </c>
      <c r="D5106" s="3" t="s">
        <v>2540</v>
      </c>
      <c r="E5106" s="3" t="s">
        <v>10</v>
      </c>
      <c r="F5106" s="3" t="s">
        <v>11</v>
      </c>
      <c r="G5106" s="3" t="s">
        <v>51</v>
      </c>
      <c r="H5106" s="3" t="s">
        <v>1715</v>
      </c>
      <c r="I5106" s="11">
        <v>291.2</v>
      </c>
      <c r="J5106" s="18">
        <v>10</v>
      </c>
      <c r="K5106" s="12">
        <v>112.422</v>
      </c>
    </row>
    <row r="5107" spans="1:11" x14ac:dyDescent="0.25">
      <c r="A5107" s="4">
        <v>44144</v>
      </c>
      <c r="B5107" s="19">
        <f t="shared" si="158"/>
        <v>2020</v>
      </c>
      <c r="C5107" s="19">
        <f t="shared" si="159"/>
        <v>11</v>
      </c>
      <c r="D5107" s="5" t="s">
        <v>1228</v>
      </c>
      <c r="E5107" s="5" t="s">
        <v>18</v>
      </c>
      <c r="F5107" s="5" t="s">
        <v>14</v>
      </c>
      <c r="G5107" s="5" t="s">
        <v>24</v>
      </c>
      <c r="H5107" s="5" t="s">
        <v>2274</v>
      </c>
      <c r="I5107" s="13">
        <v>130.99</v>
      </c>
      <c r="J5107" s="19">
        <v>1</v>
      </c>
      <c r="K5107" s="14">
        <v>43.995600000000003</v>
      </c>
    </row>
    <row r="5108" spans="1:11" x14ac:dyDescent="0.25">
      <c r="A5108" s="2">
        <v>44144</v>
      </c>
      <c r="B5108" s="18">
        <f t="shared" si="158"/>
        <v>2020</v>
      </c>
      <c r="C5108" s="18">
        <f t="shared" si="159"/>
        <v>11</v>
      </c>
      <c r="D5108" s="3" t="s">
        <v>1538</v>
      </c>
      <c r="E5108" s="3" t="s">
        <v>94</v>
      </c>
      <c r="F5108" s="3" t="s">
        <v>11</v>
      </c>
      <c r="G5108" s="3" t="s">
        <v>51</v>
      </c>
      <c r="H5108" s="3" t="s">
        <v>276</v>
      </c>
      <c r="I5108" s="11">
        <v>134.53</v>
      </c>
      <c r="J5108" s="18">
        <v>7</v>
      </c>
      <c r="K5108" s="12">
        <v>40.5426</v>
      </c>
    </row>
    <row r="5109" spans="1:11" x14ac:dyDescent="0.25">
      <c r="A5109" s="4">
        <v>44144</v>
      </c>
      <c r="B5109" s="19">
        <f t="shared" si="158"/>
        <v>2020</v>
      </c>
      <c r="C5109" s="19">
        <f t="shared" si="159"/>
        <v>11</v>
      </c>
      <c r="D5109" s="5" t="s">
        <v>1698</v>
      </c>
      <c r="E5109" s="5" t="s">
        <v>44</v>
      </c>
      <c r="F5109" s="5" t="s">
        <v>14</v>
      </c>
      <c r="G5109" s="5" t="s">
        <v>24</v>
      </c>
      <c r="H5109" s="5" t="s">
        <v>338</v>
      </c>
      <c r="I5109" s="13">
        <v>201.976</v>
      </c>
      <c r="J5109" s="19">
        <v>3</v>
      </c>
      <c r="K5109" s="14">
        <v>38.395200000000003</v>
      </c>
    </row>
    <row r="5110" spans="1:11" x14ac:dyDescent="0.25">
      <c r="A5110" s="2">
        <v>44144</v>
      </c>
      <c r="B5110" s="18">
        <f t="shared" si="158"/>
        <v>2020</v>
      </c>
      <c r="C5110" s="18">
        <f t="shared" si="159"/>
        <v>11</v>
      </c>
      <c r="D5110" s="3" t="s">
        <v>201</v>
      </c>
      <c r="E5110" s="3" t="s">
        <v>18</v>
      </c>
      <c r="F5110" s="3" t="s">
        <v>11</v>
      </c>
      <c r="G5110" s="3" t="s">
        <v>112</v>
      </c>
      <c r="H5110" s="3" t="s">
        <v>1182</v>
      </c>
      <c r="I5110" s="11">
        <v>229.976</v>
      </c>
      <c r="J5110" s="18">
        <v>3</v>
      </c>
      <c r="K5110" s="12">
        <v>-2.6997</v>
      </c>
    </row>
    <row r="5111" spans="1:11" x14ac:dyDescent="0.25">
      <c r="A5111" s="4">
        <v>44144</v>
      </c>
      <c r="B5111" s="19">
        <f t="shared" si="158"/>
        <v>2020</v>
      </c>
      <c r="C5111" s="19">
        <f t="shared" si="159"/>
        <v>11</v>
      </c>
      <c r="D5111" s="5" t="s">
        <v>1698</v>
      </c>
      <c r="E5111" s="5" t="s">
        <v>44</v>
      </c>
      <c r="F5111" s="5" t="s">
        <v>14</v>
      </c>
      <c r="G5111" s="5" t="s">
        <v>15</v>
      </c>
      <c r="H5111" s="5" t="s">
        <v>226</v>
      </c>
      <c r="I5111" s="13">
        <v>36.167999999999999</v>
      </c>
      <c r="J5111" s="19">
        <v>4</v>
      </c>
      <c r="K5111" s="14">
        <v>31.198</v>
      </c>
    </row>
    <row r="5112" spans="1:11" x14ac:dyDescent="0.25">
      <c r="A5112" s="2">
        <v>44144</v>
      </c>
      <c r="B5112" s="18">
        <f t="shared" si="158"/>
        <v>2020</v>
      </c>
      <c r="C5112" s="18">
        <f t="shared" si="159"/>
        <v>11</v>
      </c>
      <c r="D5112" s="3" t="s">
        <v>892</v>
      </c>
      <c r="E5112" s="3" t="s">
        <v>18</v>
      </c>
      <c r="F5112" s="3" t="s">
        <v>11</v>
      </c>
      <c r="G5112" s="3" t="s">
        <v>112</v>
      </c>
      <c r="H5112" s="3" t="s">
        <v>1598</v>
      </c>
      <c r="I5112" s="11">
        <v>541.39200000000005</v>
      </c>
      <c r="J5112" s="18">
        <v>3</v>
      </c>
      <c r="K5112" s="12">
        <v>52.339199999999998</v>
      </c>
    </row>
    <row r="5113" spans="1:11" x14ac:dyDescent="0.25">
      <c r="A5113" s="4">
        <v>44144</v>
      </c>
      <c r="B5113" s="19">
        <f t="shared" si="158"/>
        <v>2020</v>
      </c>
      <c r="C5113" s="19">
        <f t="shared" si="159"/>
        <v>11</v>
      </c>
      <c r="D5113" s="5" t="s">
        <v>1659</v>
      </c>
      <c r="E5113" s="5" t="s">
        <v>10</v>
      </c>
      <c r="F5113" s="5" t="s">
        <v>19</v>
      </c>
      <c r="G5113" s="5" t="s">
        <v>20</v>
      </c>
      <c r="H5113" s="5" t="s">
        <v>303</v>
      </c>
      <c r="I5113" s="13">
        <v>586.38</v>
      </c>
      <c r="J5113" s="19">
        <v>3</v>
      </c>
      <c r="K5113" s="14">
        <v>157.87020000000001</v>
      </c>
    </row>
    <row r="5114" spans="1:11" x14ac:dyDescent="0.25">
      <c r="A5114" s="2">
        <v>44144</v>
      </c>
      <c r="B5114" s="18">
        <f t="shared" si="158"/>
        <v>2020</v>
      </c>
      <c r="C5114" s="18">
        <f t="shared" si="159"/>
        <v>11</v>
      </c>
      <c r="D5114" s="3" t="s">
        <v>1659</v>
      </c>
      <c r="E5114" s="3" t="s">
        <v>10</v>
      </c>
      <c r="F5114" s="3" t="s">
        <v>14</v>
      </c>
      <c r="G5114" s="3" t="s">
        <v>24</v>
      </c>
      <c r="H5114" s="3" t="s">
        <v>2429</v>
      </c>
      <c r="I5114" s="11">
        <v>55.62</v>
      </c>
      <c r="J5114" s="18">
        <v>3</v>
      </c>
      <c r="K5114" s="12">
        <v>355.44659999999999</v>
      </c>
    </row>
    <row r="5115" spans="1:11" x14ac:dyDescent="0.25">
      <c r="A5115" s="4">
        <v>44144</v>
      </c>
      <c r="B5115" s="19">
        <f t="shared" si="158"/>
        <v>2020</v>
      </c>
      <c r="C5115" s="19">
        <f t="shared" si="159"/>
        <v>11</v>
      </c>
      <c r="D5115" s="5" t="s">
        <v>1659</v>
      </c>
      <c r="E5115" s="5" t="s">
        <v>10</v>
      </c>
      <c r="F5115" s="5" t="s">
        <v>19</v>
      </c>
      <c r="G5115" s="5" t="s">
        <v>20</v>
      </c>
      <c r="H5115" s="5" t="s">
        <v>303</v>
      </c>
      <c r="I5115" s="13">
        <v>51.14</v>
      </c>
      <c r="J5115" s="19">
        <v>9</v>
      </c>
      <c r="K5115" s="14">
        <v>473.61059999999998</v>
      </c>
    </row>
    <row r="5116" spans="1:11" x14ac:dyDescent="0.25">
      <c r="A5116" s="2">
        <v>44144</v>
      </c>
      <c r="B5116" s="18">
        <f t="shared" si="158"/>
        <v>2020</v>
      </c>
      <c r="C5116" s="18">
        <f t="shared" si="159"/>
        <v>11</v>
      </c>
      <c r="D5116" s="3" t="s">
        <v>1659</v>
      </c>
      <c r="E5116" s="3" t="s">
        <v>10</v>
      </c>
      <c r="F5116" s="3" t="s">
        <v>19</v>
      </c>
      <c r="G5116" s="3" t="s">
        <v>32</v>
      </c>
      <c r="H5116" s="3" t="s">
        <v>876</v>
      </c>
      <c r="I5116" s="11">
        <v>101.64</v>
      </c>
      <c r="J5116" s="18">
        <v>2</v>
      </c>
      <c r="K5116" s="12">
        <v>4.4344000000000001</v>
      </c>
    </row>
    <row r="5117" spans="1:11" x14ac:dyDescent="0.25">
      <c r="A5117" s="4">
        <v>44144</v>
      </c>
      <c r="B5117" s="19">
        <f t="shared" si="158"/>
        <v>2020</v>
      </c>
      <c r="C5117" s="19">
        <f t="shared" si="159"/>
        <v>11</v>
      </c>
      <c r="D5117" s="5" t="s">
        <v>1228</v>
      </c>
      <c r="E5117" s="5" t="s">
        <v>18</v>
      </c>
      <c r="F5117" s="5" t="s">
        <v>19</v>
      </c>
      <c r="G5117" s="5" t="s">
        <v>20</v>
      </c>
      <c r="H5117" s="5" t="s">
        <v>2541</v>
      </c>
      <c r="I5117" s="13">
        <v>153.56</v>
      </c>
      <c r="J5117" s="19">
        <v>2</v>
      </c>
      <c r="K5117" s="14">
        <v>3.1779999999999999</v>
      </c>
    </row>
    <row r="5118" spans="1:11" x14ac:dyDescent="0.25">
      <c r="A5118" s="2">
        <v>44144</v>
      </c>
      <c r="B5118" s="18">
        <f t="shared" si="158"/>
        <v>2020</v>
      </c>
      <c r="C5118" s="18">
        <f t="shared" si="159"/>
        <v>11</v>
      </c>
      <c r="D5118" s="3" t="s">
        <v>1697</v>
      </c>
      <c r="E5118" s="3" t="s">
        <v>18</v>
      </c>
      <c r="F5118" s="3" t="s">
        <v>11</v>
      </c>
      <c r="G5118" s="3" t="s">
        <v>51</v>
      </c>
      <c r="H5118" s="3" t="s">
        <v>692</v>
      </c>
      <c r="I5118" s="11">
        <v>156.12</v>
      </c>
      <c r="J5118" s="18">
        <v>8</v>
      </c>
      <c r="K5118" s="12">
        <v>20.732800000000001</v>
      </c>
    </row>
    <row r="5119" spans="1:11" x14ac:dyDescent="0.25">
      <c r="A5119" s="4">
        <v>44145</v>
      </c>
      <c r="B5119" s="19">
        <f t="shared" si="158"/>
        <v>2020</v>
      </c>
      <c r="C5119" s="19">
        <f t="shared" si="159"/>
        <v>11</v>
      </c>
      <c r="D5119" s="5" t="s">
        <v>2542</v>
      </c>
      <c r="E5119" s="5" t="s">
        <v>18</v>
      </c>
      <c r="F5119" s="5" t="s">
        <v>14</v>
      </c>
      <c r="G5119" s="5" t="s">
        <v>24</v>
      </c>
      <c r="H5119" s="5" t="s">
        <v>2016</v>
      </c>
      <c r="I5119" s="13">
        <v>129.79</v>
      </c>
      <c r="J5119" s="19">
        <v>7</v>
      </c>
      <c r="K5119" s="14">
        <v>43.598100000000002</v>
      </c>
    </row>
    <row r="5120" spans="1:11" x14ac:dyDescent="0.25">
      <c r="A5120" s="2">
        <v>44145</v>
      </c>
      <c r="B5120" s="18">
        <f t="shared" si="158"/>
        <v>2020</v>
      </c>
      <c r="C5120" s="18">
        <f t="shared" si="159"/>
        <v>11</v>
      </c>
      <c r="D5120" s="3" t="s">
        <v>2543</v>
      </c>
      <c r="E5120" s="3" t="s">
        <v>198</v>
      </c>
      <c r="F5120" s="3" t="s">
        <v>14</v>
      </c>
      <c r="G5120" s="3" t="s">
        <v>188</v>
      </c>
      <c r="H5120" s="3" t="s">
        <v>2544</v>
      </c>
      <c r="I5120" s="11">
        <v>132.994</v>
      </c>
      <c r="J5120" s="18">
        <v>2</v>
      </c>
      <c r="K5120" s="12">
        <v>-63.996000000000002</v>
      </c>
    </row>
    <row r="5121" spans="1:11" x14ac:dyDescent="0.25">
      <c r="A5121" s="4">
        <v>44145</v>
      </c>
      <c r="B5121" s="19">
        <f t="shared" si="158"/>
        <v>2020</v>
      </c>
      <c r="C5121" s="19">
        <f t="shared" si="159"/>
        <v>11</v>
      </c>
      <c r="D5121" s="5" t="s">
        <v>2543</v>
      </c>
      <c r="E5121" s="5" t="s">
        <v>198</v>
      </c>
      <c r="F5121" s="5" t="s">
        <v>14</v>
      </c>
      <c r="G5121" s="5" t="s">
        <v>15</v>
      </c>
      <c r="H5121" s="5" t="s">
        <v>1762</v>
      </c>
      <c r="I5121" s="13">
        <v>216.584</v>
      </c>
      <c r="J5121" s="19">
        <v>2</v>
      </c>
      <c r="K5121" s="14">
        <v>15.1188</v>
      </c>
    </row>
    <row r="5122" spans="1:11" x14ac:dyDescent="0.25">
      <c r="A5122" s="2">
        <v>44145</v>
      </c>
      <c r="B5122" s="18">
        <f t="shared" ref="B5122:B5185" si="160">YEAR(A5122)</f>
        <v>2020</v>
      </c>
      <c r="C5122" s="18">
        <f t="shared" ref="C5122:C5185" si="161">MONTH(A5122)</f>
        <v>11</v>
      </c>
      <c r="D5122" s="3" t="s">
        <v>2543</v>
      </c>
      <c r="E5122" s="3" t="s">
        <v>198</v>
      </c>
      <c r="F5122" s="3" t="s">
        <v>14</v>
      </c>
      <c r="G5122" s="3" t="s">
        <v>24</v>
      </c>
      <c r="H5122" s="3" t="s">
        <v>497</v>
      </c>
      <c r="I5122" s="11">
        <v>257.952</v>
      </c>
      <c r="J5122" s="18">
        <v>6</v>
      </c>
      <c r="K5122" s="12">
        <v>-35.992800000000003</v>
      </c>
    </row>
    <row r="5123" spans="1:11" x14ac:dyDescent="0.25">
      <c r="A5123" s="4">
        <v>44145</v>
      </c>
      <c r="B5123" s="19">
        <f t="shared" si="160"/>
        <v>2020</v>
      </c>
      <c r="C5123" s="19">
        <f t="shared" si="161"/>
        <v>11</v>
      </c>
      <c r="D5123" s="5" t="s">
        <v>508</v>
      </c>
      <c r="E5123" s="5" t="s">
        <v>18</v>
      </c>
      <c r="F5123" s="5" t="s">
        <v>11</v>
      </c>
      <c r="G5123" s="5" t="s">
        <v>112</v>
      </c>
      <c r="H5123" s="5" t="s">
        <v>2064</v>
      </c>
      <c r="I5123" s="13">
        <v>273.42399999999998</v>
      </c>
      <c r="J5123" s="19">
        <v>2</v>
      </c>
      <c r="K5123" s="14">
        <v>-36.2136</v>
      </c>
    </row>
    <row r="5124" spans="1:11" x14ac:dyDescent="0.25">
      <c r="A5124" s="2">
        <v>44145</v>
      </c>
      <c r="B5124" s="18">
        <f t="shared" si="160"/>
        <v>2020</v>
      </c>
      <c r="C5124" s="18">
        <f t="shared" si="161"/>
        <v>11</v>
      </c>
      <c r="D5124" s="3" t="s">
        <v>592</v>
      </c>
      <c r="E5124" s="3" t="s">
        <v>23</v>
      </c>
      <c r="F5124" s="3" t="s">
        <v>11</v>
      </c>
      <c r="G5124" s="3" t="s">
        <v>51</v>
      </c>
      <c r="H5124" s="3" t="s">
        <v>2545</v>
      </c>
      <c r="I5124" s="11">
        <v>353.96</v>
      </c>
      <c r="J5124" s="18">
        <v>5</v>
      </c>
      <c r="K5124" s="12">
        <v>-427.45</v>
      </c>
    </row>
    <row r="5125" spans="1:11" x14ac:dyDescent="0.25">
      <c r="A5125" s="4">
        <v>44145</v>
      </c>
      <c r="B5125" s="19">
        <f t="shared" si="160"/>
        <v>2020</v>
      </c>
      <c r="C5125" s="19">
        <f t="shared" si="161"/>
        <v>11</v>
      </c>
      <c r="D5125" s="5" t="s">
        <v>1815</v>
      </c>
      <c r="E5125" s="5" t="s">
        <v>70</v>
      </c>
      <c r="F5125" s="5" t="s">
        <v>19</v>
      </c>
      <c r="G5125" s="5" t="s">
        <v>121</v>
      </c>
      <c r="H5125" s="5" t="s">
        <v>412</v>
      </c>
      <c r="I5125" s="13">
        <v>412.8</v>
      </c>
      <c r="J5125" s="19">
        <v>5</v>
      </c>
      <c r="K5125" s="14">
        <v>112.224</v>
      </c>
    </row>
    <row r="5126" spans="1:11" x14ac:dyDescent="0.25">
      <c r="A5126" s="2">
        <v>44145</v>
      </c>
      <c r="B5126" s="18">
        <f t="shared" si="160"/>
        <v>2020</v>
      </c>
      <c r="C5126" s="18">
        <f t="shared" si="161"/>
        <v>11</v>
      </c>
      <c r="D5126" s="3" t="s">
        <v>1604</v>
      </c>
      <c r="E5126" s="3" t="s">
        <v>94</v>
      </c>
      <c r="F5126" s="3" t="s">
        <v>14</v>
      </c>
      <c r="G5126" s="3" t="s">
        <v>15</v>
      </c>
      <c r="H5126" s="3" t="s">
        <v>2291</v>
      </c>
      <c r="I5126" s="11">
        <v>469.88</v>
      </c>
      <c r="J5126" s="18">
        <v>2</v>
      </c>
      <c r="K5126" s="12">
        <v>124.9552</v>
      </c>
    </row>
    <row r="5127" spans="1:11" x14ac:dyDescent="0.25">
      <c r="A5127" s="4">
        <v>44145</v>
      </c>
      <c r="B5127" s="19">
        <f t="shared" si="160"/>
        <v>2020</v>
      </c>
      <c r="C5127" s="19">
        <f t="shared" si="161"/>
        <v>11</v>
      </c>
      <c r="D5127" s="5" t="s">
        <v>2543</v>
      </c>
      <c r="E5127" s="5" t="s">
        <v>198</v>
      </c>
      <c r="F5127" s="5" t="s">
        <v>11</v>
      </c>
      <c r="G5127" s="5" t="s">
        <v>112</v>
      </c>
      <c r="H5127" s="5" t="s">
        <v>1452</v>
      </c>
      <c r="I5127" s="13">
        <v>931.13599999999997</v>
      </c>
      <c r="J5127" s="19">
        <v>4</v>
      </c>
      <c r="K5127" s="14">
        <v>-146.1096</v>
      </c>
    </row>
    <row r="5128" spans="1:11" x14ac:dyDescent="0.25">
      <c r="A5128" s="2">
        <v>44145</v>
      </c>
      <c r="B5128" s="18">
        <f t="shared" si="160"/>
        <v>2020</v>
      </c>
      <c r="C5128" s="18">
        <f t="shared" si="161"/>
        <v>11</v>
      </c>
      <c r="D5128" s="3" t="s">
        <v>1604</v>
      </c>
      <c r="E5128" s="3" t="s">
        <v>94</v>
      </c>
      <c r="F5128" s="3" t="s">
        <v>19</v>
      </c>
      <c r="G5128" s="3" t="s">
        <v>32</v>
      </c>
      <c r="H5128" s="3" t="s">
        <v>2417</v>
      </c>
      <c r="I5128" s="11">
        <v>971.17600000000004</v>
      </c>
      <c r="J5128" s="18">
        <v>3</v>
      </c>
      <c r="K5128" s="12">
        <v>314.27190000000002</v>
      </c>
    </row>
    <row r="5129" spans="1:11" x14ac:dyDescent="0.25">
      <c r="A5129" s="4">
        <v>44145</v>
      </c>
      <c r="B5129" s="19">
        <f t="shared" si="160"/>
        <v>2020</v>
      </c>
      <c r="C5129" s="19">
        <f t="shared" si="161"/>
        <v>11</v>
      </c>
      <c r="D5129" s="5" t="s">
        <v>2546</v>
      </c>
      <c r="E5129" s="5" t="s">
        <v>18</v>
      </c>
      <c r="F5129" s="5" t="s">
        <v>19</v>
      </c>
      <c r="G5129" s="5" t="s">
        <v>40</v>
      </c>
      <c r="H5129" s="5" t="s">
        <v>1264</v>
      </c>
      <c r="I5129" s="13">
        <v>115.8</v>
      </c>
      <c r="J5129" s="19">
        <v>3</v>
      </c>
      <c r="K5129" s="14">
        <v>2.1059999999999999</v>
      </c>
    </row>
    <row r="5130" spans="1:11" x14ac:dyDescent="0.25">
      <c r="A5130" s="2">
        <v>44145</v>
      </c>
      <c r="B5130" s="18">
        <f t="shared" si="160"/>
        <v>2020</v>
      </c>
      <c r="C5130" s="18">
        <f t="shared" si="161"/>
        <v>11</v>
      </c>
      <c r="D5130" s="3" t="s">
        <v>1815</v>
      </c>
      <c r="E5130" s="3" t="s">
        <v>70</v>
      </c>
      <c r="F5130" s="3" t="s">
        <v>19</v>
      </c>
      <c r="G5130" s="3" t="s">
        <v>32</v>
      </c>
      <c r="H5130" s="3" t="s">
        <v>1817</v>
      </c>
      <c r="I5130" s="11">
        <v>112.792</v>
      </c>
      <c r="J5130" s="18">
        <v>1</v>
      </c>
      <c r="K5130" s="12">
        <v>10.077199999999999</v>
      </c>
    </row>
    <row r="5131" spans="1:11" x14ac:dyDescent="0.25">
      <c r="A5131" s="4">
        <v>44145</v>
      </c>
      <c r="B5131" s="19">
        <f t="shared" si="160"/>
        <v>2020</v>
      </c>
      <c r="C5131" s="19">
        <f t="shared" si="161"/>
        <v>11</v>
      </c>
      <c r="D5131" s="5" t="s">
        <v>1946</v>
      </c>
      <c r="E5131" s="5" t="s">
        <v>70</v>
      </c>
      <c r="F5131" s="5" t="s">
        <v>19</v>
      </c>
      <c r="G5131" s="5" t="s">
        <v>32</v>
      </c>
      <c r="H5131" s="5" t="s">
        <v>1399</v>
      </c>
      <c r="I5131" s="13">
        <v>112.352</v>
      </c>
      <c r="J5131" s="19">
        <v>3</v>
      </c>
      <c r="K5131" s="14">
        <v>9.5526</v>
      </c>
    </row>
    <row r="5132" spans="1:11" x14ac:dyDescent="0.25">
      <c r="A5132" s="2">
        <v>44145</v>
      </c>
      <c r="B5132" s="18">
        <f t="shared" si="160"/>
        <v>2020</v>
      </c>
      <c r="C5132" s="18">
        <f t="shared" si="161"/>
        <v>11</v>
      </c>
      <c r="D5132" s="3" t="s">
        <v>1683</v>
      </c>
      <c r="E5132" s="3" t="s">
        <v>44</v>
      </c>
      <c r="F5132" s="3" t="s">
        <v>19</v>
      </c>
      <c r="G5132" s="3" t="s">
        <v>32</v>
      </c>
      <c r="H5132" s="3" t="s">
        <v>1446</v>
      </c>
      <c r="I5132" s="11">
        <v>126.52</v>
      </c>
      <c r="J5132" s="18">
        <v>5</v>
      </c>
      <c r="K5132" s="12">
        <v>-7.68</v>
      </c>
    </row>
    <row r="5133" spans="1:11" x14ac:dyDescent="0.25">
      <c r="A5133" s="4">
        <v>44145</v>
      </c>
      <c r="B5133" s="19">
        <f t="shared" si="160"/>
        <v>2020</v>
      </c>
      <c r="C5133" s="19">
        <f t="shared" si="161"/>
        <v>11</v>
      </c>
      <c r="D5133" s="5" t="s">
        <v>2543</v>
      </c>
      <c r="E5133" s="5" t="s">
        <v>198</v>
      </c>
      <c r="F5133" s="5" t="s">
        <v>19</v>
      </c>
      <c r="G5133" s="5" t="s">
        <v>32</v>
      </c>
      <c r="H5133" s="5" t="s">
        <v>426</v>
      </c>
      <c r="I5133" s="13">
        <v>141.38800000000001</v>
      </c>
      <c r="J5133" s="19">
        <v>14</v>
      </c>
      <c r="K5133" s="14">
        <v>-25.591999999999999</v>
      </c>
    </row>
    <row r="5134" spans="1:11" x14ac:dyDescent="0.25">
      <c r="A5134" s="2">
        <v>44146</v>
      </c>
      <c r="B5134" s="18">
        <f t="shared" si="160"/>
        <v>2020</v>
      </c>
      <c r="C5134" s="18">
        <f t="shared" si="161"/>
        <v>11</v>
      </c>
      <c r="D5134" s="3" t="s">
        <v>2144</v>
      </c>
      <c r="E5134" s="3" t="s">
        <v>219</v>
      </c>
      <c r="F5134" s="3" t="s">
        <v>11</v>
      </c>
      <c r="G5134" s="3" t="s">
        <v>51</v>
      </c>
      <c r="H5134" s="3" t="s">
        <v>262</v>
      </c>
      <c r="I5134" s="11">
        <v>109.92</v>
      </c>
      <c r="J5134" s="18">
        <v>5</v>
      </c>
      <c r="K5134" s="12">
        <v>14.4495</v>
      </c>
    </row>
    <row r="5135" spans="1:11" x14ac:dyDescent="0.25">
      <c r="A5135" s="4">
        <v>44146</v>
      </c>
      <c r="B5135" s="19">
        <f t="shared" si="160"/>
        <v>2020</v>
      </c>
      <c r="C5135" s="19">
        <f t="shared" si="161"/>
        <v>11</v>
      </c>
      <c r="D5135" s="5" t="s">
        <v>2077</v>
      </c>
      <c r="E5135" s="5" t="s">
        <v>18</v>
      </c>
      <c r="F5135" s="5" t="s">
        <v>19</v>
      </c>
      <c r="G5135" s="5" t="s">
        <v>32</v>
      </c>
      <c r="H5135" s="5" t="s">
        <v>1607</v>
      </c>
      <c r="I5135" s="13">
        <v>162.6</v>
      </c>
      <c r="J5135" s="19">
        <v>5</v>
      </c>
      <c r="K5135" s="14">
        <v>39.520000000000003</v>
      </c>
    </row>
    <row r="5136" spans="1:11" x14ac:dyDescent="0.25">
      <c r="A5136" s="2">
        <v>44146</v>
      </c>
      <c r="B5136" s="18">
        <f t="shared" si="160"/>
        <v>2020</v>
      </c>
      <c r="C5136" s="18">
        <f t="shared" si="161"/>
        <v>11</v>
      </c>
      <c r="D5136" s="3" t="s">
        <v>1706</v>
      </c>
      <c r="E5136" s="3" t="s">
        <v>365</v>
      </c>
      <c r="F5136" s="3" t="s">
        <v>19</v>
      </c>
      <c r="G5136" s="3" t="s">
        <v>40</v>
      </c>
      <c r="H5136" s="3" t="s">
        <v>2334</v>
      </c>
      <c r="I5136" s="11">
        <v>211.86</v>
      </c>
      <c r="J5136" s="18">
        <v>7</v>
      </c>
      <c r="K5136" s="12">
        <v>50.9208</v>
      </c>
    </row>
    <row r="5137" spans="1:11" x14ac:dyDescent="0.25">
      <c r="A5137" s="4">
        <v>44146</v>
      </c>
      <c r="B5137" s="19">
        <f t="shared" si="160"/>
        <v>2020</v>
      </c>
      <c r="C5137" s="19">
        <f t="shared" si="161"/>
        <v>11</v>
      </c>
      <c r="D5137" s="5" t="s">
        <v>1843</v>
      </c>
      <c r="E5137" s="5" t="s">
        <v>44</v>
      </c>
      <c r="F5137" s="5" t="s">
        <v>19</v>
      </c>
      <c r="G5137" s="5" t="s">
        <v>121</v>
      </c>
      <c r="H5137" s="5" t="s">
        <v>1727</v>
      </c>
      <c r="I5137" s="13">
        <v>1197.1199999999999</v>
      </c>
      <c r="J5137" s="19">
        <v>5</v>
      </c>
      <c r="K5137" s="14">
        <v>130.2885</v>
      </c>
    </row>
    <row r="5138" spans="1:11" x14ac:dyDescent="0.25">
      <c r="A5138" s="2">
        <v>44146</v>
      </c>
      <c r="B5138" s="18">
        <f t="shared" si="160"/>
        <v>2020</v>
      </c>
      <c r="C5138" s="18">
        <f t="shared" si="161"/>
        <v>11</v>
      </c>
      <c r="D5138" s="3" t="s">
        <v>1326</v>
      </c>
      <c r="E5138" s="3" t="s">
        <v>67</v>
      </c>
      <c r="F5138" s="3" t="s">
        <v>19</v>
      </c>
      <c r="G5138" s="3" t="s">
        <v>53</v>
      </c>
      <c r="H5138" s="3" t="s">
        <v>803</v>
      </c>
      <c r="I5138" s="11">
        <v>111.36799999999999</v>
      </c>
      <c r="J5138" s="18">
        <v>2</v>
      </c>
      <c r="K5138" s="12">
        <v>3.6288</v>
      </c>
    </row>
    <row r="5139" spans="1:11" x14ac:dyDescent="0.25">
      <c r="A5139" s="4">
        <v>44146</v>
      </c>
      <c r="B5139" s="19">
        <f t="shared" si="160"/>
        <v>2020</v>
      </c>
      <c r="C5139" s="19">
        <f t="shared" si="161"/>
        <v>11</v>
      </c>
      <c r="D5139" s="5" t="s">
        <v>111</v>
      </c>
      <c r="E5139" s="5" t="s">
        <v>23</v>
      </c>
      <c r="F5139" s="5" t="s">
        <v>19</v>
      </c>
      <c r="G5139" s="5" t="s">
        <v>127</v>
      </c>
      <c r="H5139" s="5" t="s">
        <v>223</v>
      </c>
      <c r="I5139" s="13">
        <v>92.44</v>
      </c>
      <c r="J5139" s="19">
        <v>5</v>
      </c>
      <c r="K5139" s="14">
        <v>3.3929999999999998</v>
      </c>
    </row>
    <row r="5140" spans="1:11" x14ac:dyDescent="0.25">
      <c r="A5140" s="2">
        <v>44146</v>
      </c>
      <c r="B5140" s="18">
        <f t="shared" si="160"/>
        <v>2020</v>
      </c>
      <c r="C5140" s="18">
        <f t="shared" si="161"/>
        <v>11</v>
      </c>
      <c r="D5140" s="3" t="s">
        <v>1091</v>
      </c>
      <c r="E5140" s="3" t="s">
        <v>56</v>
      </c>
      <c r="F5140" s="3" t="s">
        <v>19</v>
      </c>
      <c r="G5140" s="3" t="s">
        <v>32</v>
      </c>
      <c r="H5140" s="3" t="s">
        <v>1761</v>
      </c>
      <c r="I5140" s="11">
        <v>90.24</v>
      </c>
      <c r="J5140" s="18">
        <v>3</v>
      </c>
      <c r="K5140" s="12">
        <v>8.5728000000000009</v>
      </c>
    </row>
    <row r="5141" spans="1:11" x14ac:dyDescent="0.25">
      <c r="A5141" s="4">
        <v>44146</v>
      </c>
      <c r="B5141" s="19">
        <f t="shared" si="160"/>
        <v>2020</v>
      </c>
      <c r="C5141" s="19">
        <f t="shared" si="161"/>
        <v>11</v>
      </c>
      <c r="D5141" s="5" t="s">
        <v>2077</v>
      </c>
      <c r="E5141" s="5" t="s">
        <v>18</v>
      </c>
      <c r="F5141" s="5" t="s">
        <v>19</v>
      </c>
      <c r="G5141" s="5" t="s">
        <v>53</v>
      </c>
      <c r="H5141" s="5" t="s">
        <v>1166</v>
      </c>
      <c r="I5141" s="13">
        <v>115.44</v>
      </c>
      <c r="J5141" s="19">
        <v>3</v>
      </c>
      <c r="K5141" s="14">
        <v>9.3312000000000008</v>
      </c>
    </row>
    <row r="5142" spans="1:11" x14ac:dyDescent="0.25">
      <c r="A5142" s="2">
        <v>44146</v>
      </c>
      <c r="B5142" s="18">
        <f t="shared" si="160"/>
        <v>2020</v>
      </c>
      <c r="C5142" s="18">
        <f t="shared" si="161"/>
        <v>11</v>
      </c>
      <c r="D5142" s="3" t="s">
        <v>111</v>
      </c>
      <c r="E5142" s="3" t="s">
        <v>23</v>
      </c>
      <c r="F5142" s="3" t="s">
        <v>19</v>
      </c>
      <c r="G5142" s="3" t="s">
        <v>32</v>
      </c>
      <c r="H5142" s="3" t="s">
        <v>1430</v>
      </c>
      <c r="I5142" s="11">
        <v>105.336</v>
      </c>
      <c r="J5142" s="18">
        <v>4</v>
      </c>
      <c r="K5142" s="12">
        <v>-32.088000000000001</v>
      </c>
    </row>
    <row r="5143" spans="1:11" x14ac:dyDescent="0.25">
      <c r="A5143" s="4">
        <v>44146</v>
      </c>
      <c r="B5143" s="19">
        <f t="shared" si="160"/>
        <v>2020</v>
      </c>
      <c r="C5143" s="19">
        <f t="shared" si="161"/>
        <v>11</v>
      </c>
      <c r="D5143" s="5" t="s">
        <v>570</v>
      </c>
      <c r="E5143" s="5" t="s">
        <v>2390</v>
      </c>
      <c r="F5143" s="5" t="s">
        <v>19</v>
      </c>
      <c r="G5143" s="5" t="s">
        <v>265</v>
      </c>
      <c r="H5143" s="5" t="s">
        <v>2281</v>
      </c>
      <c r="I5143" s="13">
        <v>107.5</v>
      </c>
      <c r="J5143" s="19">
        <v>3</v>
      </c>
      <c r="K5143" s="14">
        <v>6.63</v>
      </c>
    </row>
    <row r="5144" spans="1:11" x14ac:dyDescent="0.25">
      <c r="A5144" s="2">
        <v>44146</v>
      </c>
      <c r="B5144" s="18">
        <f t="shared" si="160"/>
        <v>2020</v>
      </c>
      <c r="C5144" s="18">
        <f t="shared" si="161"/>
        <v>11</v>
      </c>
      <c r="D5144" s="3" t="s">
        <v>2077</v>
      </c>
      <c r="E5144" s="3" t="s">
        <v>18</v>
      </c>
      <c r="F5144" s="3" t="s">
        <v>19</v>
      </c>
      <c r="G5144" s="3" t="s">
        <v>121</v>
      </c>
      <c r="H5144" s="3" t="s">
        <v>1094</v>
      </c>
      <c r="I5144" s="11">
        <v>136.88999999999999</v>
      </c>
      <c r="J5144" s="18">
        <v>1</v>
      </c>
      <c r="K5144" s="12">
        <v>2.8313999999999999</v>
      </c>
    </row>
    <row r="5145" spans="1:11" x14ac:dyDescent="0.25">
      <c r="A5145" s="4">
        <v>44146</v>
      </c>
      <c r="B5145" s="19">
        <f t="shared" si="160"/>
        <v>2020</v>
      </c>
      <c r="C5145" s="19">
        <f t="shared" si="161"/>
        <v>11</v>
      </c>
      <c r="D5145" s="5" t="s">
        <v>1291</v>
      </c>
      <c r="E5145" s="5" t="s">
        <v>94</v>
      </c>
      <c r="F5145" s="5" t="s">
        <v>19</v>
      </c>
      <c r="G5145" s="5" t="s">
        <v>20</v>
      </c>
      <c r="H5145" s="5" t="s">
        <v>1973</v>
      </c>
      <c r="I5145" s="13">
        <v>125.48</v>
      </c>
      <c r="J5145" s="19">
        <v>1</v>
      </c>
      <c r="K5145" s="14">
        <v>0</v>
      </c>
    </row>
    <row r="5146" spans="1:11" x14ac:dyDescent="0.25">
      <c r="A5146" s="2">
        <v>44146</v>
      </c>
      <c r="B5146" s="18">
        <f t="shared" si="160"/>
        <v>2020</v>
      </c>
      <c r="C5146" s="18">
        <f t="shared" si="161"/>
        <v>11</v>
      </c>
      <c r="D5146" s="3" t="s">
        <v>247</v>
      </c>
      <c r="E5146" s="3" t="s">
        <v>23</v>
      </c>
      <c r="F5146" s="3" t="s">
        <v>14</v>
      </c>
      <c r="G5146" s="3" t="s">
        <v>15</v>
      </c>
      <c r="H5146" s="3" t="s">
        <v>2170</v>
      </c>
      <c r="I5146" s="11">
        <v>143.184</v>
      </c>
      <c r="J5146" s="18">
        <v>2</v>
      </c>
      <c r="K5146" s="12">
        <v>12.314399999999999</v>
      </c>
    </row>
    <row r="5147" spans="1:11" x14ac:dyDescent="0.25">
      <c r="A5147" s="4">
        <v>44146</v>
      </c>
      <c r="B5147" s="19">
        <f t="shared" si="160"/>
        <v>2020</v>
      </c>
      <c r="C5147" s="19">
        <f t="shared" si="161"/>
        <v>11</v>
      </c>
      <c r="D5147" s="5" t="s">
        <v>93</v>
      </c>
      <c r="E5147" s="5" t="s">
        <v>1350</v>
      </c>
      <c r="F5147" s="5" t="s">
        <v>19</v>
      </c>
      <c r="G5147" s="5" t="s">
        <v>116</v>
      </c>
      <c r="H5147" s="5" t="s">
        <v>2129</v>
      </c>
      <c r="I5147" s="13">
        <v>133.91999999999999</v>
      </c>
      <c r="J5147" s="19">
        <v>4</v>
      </c>
      <c r="K5147" s="14">
        <v>21.5824</v>
      </c>
    </row>
    <row r="5148" spans="1:11" x14ac:dyDescent="0.25">
      <c r="A5148" s="2">
        <v>44146</v>
      </c>
      <c r="B5148" s="18">
        <f t="shared" si="160"/>
        <v>2020</v>
      </c>
      <c r="C5148" s="18">
        <f t="shared" si="161"/>
        <v>11</v>
      </c>
      <c r="D5148" s="3" t="s">
        <v>2546</v>
      </c>
      <c r="E5148" s="3" t="s">
        <v>18</v>
      </c>
      <c r="F5148" s="3" t="s">
        <v>11</v>
      </c>
      <c r="G5148" s="3" t="s">
        <v>51</v>
      </c>
      <c r="H5148" s="3" t="s">
        <v>1044</v>
      </c>
      <c r="I5148" s="11">
        <v>150.91999999999999</v>
      </c>
      <c r="J5148" s="18">
        <v>4</v>
      </c>
      <c r="K5148" s="12">
        <v>11.8728</v>
      </c>
    </row>
    <row r="5149" spans="1:11" x14ac:dyDescent="0.25">
      <c r="A5149" s="4">
        <v>44147</v>
      </c>
      <c r="B5149" s="19">
        <f t="shared" si="160"/>
        <v>2020</v>
      </c>
      <c r="C5149" s="19">
        <f t="shared" si="161"/>
        <v>11</v>
      </c>
      <c r="D5149" s="5" t="s">
        <v>1311</v>
      </c>
      <c r="E5149" s="5" t="s">
        <v>23</v>
      </c>
      <c r="F5149" s="5" t="s">
        <v>14</v>
      </c>
      <c r="G5149" s="5" t="s">
        <v>15</v>
      </c>
      <c r="H5149" s="5" t="s">
        <v>1454</v>
      </c>
      <c r="I5149" s="13">
        <v>102.992</v>
      </c>
      <c r="J5149" s="19">
        <v>1</v>
      </c>
      <c r="K5149" s="14">
        <v>8.4990000000000006</v>
      </c>
    </row>
    <row r="5150" spans="1:11" x14ac:dyDescent="0.25">
      <c r="A5150" s="2">
        <v>44147</v>
      </c>
      <c r="B5150" s="18">
        <f t="shared" si="160"/>
        <v>2020</v>
      </c>
      <c r="C5150" s="18">
        <f t="shared" si="161"/>
        <v>11</v>
      </c>
      <c r="D5150" s="3" t="s">
        <v>1416</v>
      </c>
      <c r="E5150" s="3" t="s">
        <v>198</v>
      </c>
      <c r="F5150" s="3" t="s">
        <v>14</v>
      </c>
      <c r="G5150" s="3" t="s">
        <v>24</v>
      </c>
      <c r="H5150" s="3" t="s">
        <v>271</v>
      </c>
      <c r="I5150" s="11">
        <v>103.352</v>
      </c>
      <c r="J5150" s="18">
        <v>6</v>
      </c>
      <c r="K5150" s="12">
        <v>-10.9116</v>
      </c>
    </row>
    <row r="5151" spans="1:11" x14ac:dyDescent="0.25">
      <c r="A5151" s="4">
        <v>44147</v>
      </c>
      <c r="B5151" s="19">
        <f t="shared" si="160"/>
        <v>2020</v>
      </c>
      <c r="C5151" s="19">
        <f t="shared" si="161"/>
        <v>11</v>
      </c>
      <c r="D5151" s="5" t="s">
        <v>1311</v>
      </c>
      <c r="E5151" s="5" t="s">
        <v>23</v>
      </c>
      <c r="F5151" s="5" t="s">
        <v>19</v>
      </c>
      <c r="G5151" s="5" t="s">
        <v>20</v>
      </c>
      <c r="H5151" s="5" t="s">
        <v>576</v>
      </c>
      <c r="I5151" s="13">
        <v>117.952</v>
      </c>
      <c r="J5151" s="19">
        <v>3</v>
      </c>
      <c r="K5151" s="14">
        <v>-15.590400000000001</v>
      </c>
    </row>
    <row r="5152" spans="1:11" x14ac:dyDescent="0.25">
      <c r="A5152" s="2">
        <v>44147</v>
      </c>
      <c r="B5152" s="18">
        <f t="shared" si="160"/>
        <v>2020</v>
      </c>
      <c r="C5152" s="18">
        <f t="shared" si="161"/>
        <v>11</v>
      </c>
      <c r="D5152" s="3" t="s">
        <v>1864</v>
      </c>
      <c r="E5152" s="3" t="s">
        <v>70</v>
      </c>
      <c r="F5152" s="3" t="s">
        <v>19</v>
      </c>
      <c r="G5152" s="3" t="s">
        <v>121</v>
      </c>
      <c r="H5152" s="3" t="s">
        <v>2076</v>
      </c>
      <c r="I5152" s="11">
        <v>126.12</v>
      </c>
      <c r="J5152" s="18">
        <v>2</v>
      </c>
      <c r="K5152" s="12">
        <v>22.0748</v>
      </c>
    </row>
    <row r="5153" spans="1:11" x14ac:dyDescent="0.25">
      <c r="A5153" s="4">
        <v>44147</v>
      </c>
      <c r="B5153" s="19">
        <f t="shared" si="160"/>
        <v>2020</v>
      </c>
      <c r="C5153" s="19">
        <f t="shared" si="161"/>
        <v>11</v>
      </c>
      <c r="D5153" s="5" t="s">
        <v>958</v>
      </c>
      <c r="E5153" s="5" t="s">
        <v>198</v>
      </c>
      <c r="F5153" s="5" t="s">
        <v>11</v>
      </c>
      <c r="G5153" s="5" t="s">
        <v>112</v>
      </c>
      <c r="H5153" s="5" t="s">
        <v>1583</v>
      </c>
      <c r="I5153" s="13">
        <v>132.88800000000001</v>
      </c>
      <c r="J5153" s="19">
        <v>2</v>
      </c>
      <c r="K5153" s="14">
        <v>9.9651999999999994</v>
      </c>
    </row>
    <row r="5154" spans="1:11" x14ac:dyDescent="0.25">
      <c r="A5154" s="2">
        <v>44147</v>
      </c>
      <c r="B5154" s="18">
        <f t="shared" si="160"/>
        <v>2020</v>
      </c>
      <c r="C5154" s="18">
        <f t="shared" si="161"/>
        <v>11</v>
      </c>
      <c r="D5154" s="3" t="s">
        <v>958</v>
      </c>
      <c r="E5154" s="3" t="s">
        <v>198</v>
      </c>
      <c r="F5154" s="3" t="s">
        <v>11</v>
      </c>
      <c r="G5154" s="3" t="s">
        <v>51</v>
      </c>
      <c r="H5154" s="3" t="s">
        <v>2547</v>
      </c>
      <c r="I5154" s="11">
        <v>134.56800000000001</v>
      </c>
      <c r="J5154" s="18">
        <v>2</v>
      </c>
      <c r="K5154" s="12">
        <v>-5.6783999999999999</v>
      </c>
    </row>
    <row r="5155" spans="1:11" x14ac:dyDescent="0.25">
      <c r="A5155" s="4">
        <v>44147</v>
      </c>
      <c r="B5155" s="19">
        <f t="shared" si="160"/>
        <v>2020</v>
      </c>
      <c r="C5155" s="19">
        <f t="shared" si="161"/>
        <v>11</v>
      </c>
      <c r="D5155" s="5" t="s">
        <v>2548</v>
      </c>
      <c r="E5155" s="5" t="s">
        <v>23</v>
      </c>
      <c r="F5155" s="5" t="s">
        <v>19</v>
      </c>
      <c r="G5155" s="5" t="s">
        <v>53</v>
      </c>
      <c r="H5155" s="5" t="s">
        <v>2549</v>
      </c>
      <c r="I5155" s="13">
        <v>254.05600000000001</v>
      </c>
      <c r="J5155" s="19">
        <v>9</v>
      </c>
      <c r="K5155" s="14">
        <v>69.704999999999998</v>
      </c>
    </row>
    <row r="5156" spans="1:11" x14ac:dyDescent="0.25">
      <c r="A5156" s="2">
        <v>44147</v>
      </c>
      <c r="B5156" s="18">
        <f t="shared" si="160"/>
        <v>2020</v>
      </c>
      <c r="C5156" s="18">
        <f t="shared" si="161"/>
        <v>11</v>
      </c>
      <c r="D5156" s="3" t="s">
        <v>1233</v>
      </c>
      <c r="E5156" s="3" t="s">
        <v>39</v>
      </c>
      <c r="F5156" s="3" t="s">
        <v>19</v>
      </c>
      <c r="G5156" s="3" t="s">
        <v>20</v>
      </c>
      <c r="H5156" s="3" t="s">
        <v>421</v>
      </c>
      <c r="I5156" s="11">
        <v>267.024</v>
      </c>
      <c r="J5156" s="18">
        <v>2</v>
      </c>
      <c r="K5156" s="12">
        <v>-55.256</v>
      </c>
    </row>
    <row r="5157" spans="1:11" x14ac:dyDescent="0.25">
      <c r="A5157" s="4">
        <v>44147</v>
      </c>
      <c r="B5157" s="19">
        <f t="shared" si="160"/>
        <v>2020</v>
      </c>
      <c r="C5157" s="19">
        <f t="shared" si="161"/>
        <v>11</v>
      </c>
      <c r="D5157" s="5" t="s">
        <v>2128</v>
      </c>
      <c r="E5157" s="5" t="s">
        <v>67</v>
      </c>
      <c r="F5157" s="5" t="s">
        <v>14</v>
      </c>
      <c r="G5157" s="5" t="s">
        <v>15</v>
      </c>
      <c r="H5157" s="5" t="s">
        <v>1192</v>
      </c>
      <c r="I5157" s="13">
        <v>417.78199999999998</v>
      </c>
      <c r="J5157" s="19">
        <v>3</v>
      </c>
      <c r="K5157" s="14">
        <v>-92.695499999999996</v>
      </c>
    </row>
    <row r="5158" spans="1:11" x14ac:dyDescent="0.25">
      <c r="A5158" s="2">
        <v>44147</v>
      </c>
      <c r="B5158" s="18">
        <f t="shared" si="160"/>
        <v>2020</v>
      </c>
      <c r="C5158" s="18">
        <f t="shared" si="161"/>
        <v>11</v>
      </c>
      <c r="D5158" s="3" t="s">
        <v>2548</v>
      </c>
      <c r="E5158" s="3" t="s">
        <v>23</v>
      </c>
      <c r="F5158" s="3" t="s">
        <v>19</v>
      </c>
      <c r="G5158" s="3" t="s">
        <v>20</v>
      </c>
      <c r="H5158" s="3" t="s">
        <v>236</v>
      </c>
      <c r="I5158" s="11">
        <v>557.048</v>
      </c>
      <c r="J5158" s="18">
        <v>3</v>
      </c>
      <c r="K5158" s="12">
        <v>-47.254199999999997</v>
      </c>
    </row>
    <row r="5159" spans="1:11" x14ac:dyDescent="0.25">
      <c r="A5159" s="4">
        <v>44147</v>
      </c>
      <c r="B5159" s="19">
        <f t="shared" si="160"/>
        <v>2020</v>
      </c>
      <c r="C5159" s="19">
        <f t="shared" si="161"/>
        <v>11</v>
      </c>
      <c r="D5159" s="5" t="s">
        <v>958</v>
      </c>
      <c r="E5159" s="5" t="s">
        <v>198</v>
      </c>
      <c r="F5159" s="5" t="s">
        <v>14</v>
      </c>
      <c r="G5159" s="5" t="s">
        <v>15</v>
      </c>
      <c r="H5159" s="5" t="s">
        <v>1003</v>
      </c>
      <c r="I5159" s="13">
        <v>692.98400000000004</v>
      </c>
      <c r="J5159" s="19">
        <v>2</v>
      </c>
      <c r="K5159" s="14">
        <v>50.398800000000001</v>
      </c>
    </row>
    <row r="5160" spans="1:11" x14ac:dyDescent="0.25">
      <c r="A5160" s="2">
        <v>44147</v>
      </c>
      <c r="B5160" s="18">
        <f t="shared" si="160"/>
        <v>2020</v>
      </c>
      <c r="C5160" s="18">
        <f t="shared" si="161"/>
        <v>11</v>
      </c>
      <c r="D5160" s="3" t="s">
        <v>444</v>
      </c>
      <c r="E5160" s="3" t="s">
        <v>70</v>
      </c>
      <c r="F5160" s="3" t="s">
        <v>19</v>
      </c>
      <c r="G5160" s="3" t="s">
        <v>40</v>
      </c>
      <c r="H5160" s="3" t="s">
        <v>146</v>
      </c>
      <c r="I5160" s="11">
        <v>88.21</v>
      </c>
      <c r="J5160" s="18">
        <v>3</v>
      </c>
      <c r="K5160" s="12">
        <v>2.3025000000000002</v>
      </c>
    </row>
    <row r="5161" spans="1:11" x14ac:dyDescent="0.25">
      <c r="A5161" s="4">
        <v>44147</v>
      </c>
      <c r="B5161" s="19">
        <f t="shared" si="160"/>
        <v>2020</v>
      </c>
      <c r="C5161" s="19">
        <f t="shared" si="161"/>
        <v>11</v>
      </c>
      <c r="D5161" s="5" t="s">
        <v>958</v>
      </c>
      <c r="E5161" s="5" t="s">
        <v>198</v>
      </c>
      <c r="F5161" s="5" t="s">
        <v>14</v>
      </c>
      <c r="G5161" s="5" t="s">
        <v>15</v>
      </c>
      <c r="H5161" s="5" t="s">
        <v>2319</v>
      </c>
      <c r="I5161" s="13">
        <v>112.92</v>
      </c>
      <c r="J5161" s="19">
        <v>2</v>
      </c>
      <c r="K5161" s="14">
        <v>0.69299999999999995</v>
      </c>
    </row>
    <row r="5162" spans="1:11" x14ac:dyDescent="0.25">
      <c r="A5162" s="2">
        <v>44147</v>
      </c>
      <c r="B5162" s="18">
        <f t="shared" si="160"/>
        <v>2020</v>
      </c>
      <c r="C5162" s="18">
        <f t="shared" si="161"/>
        <v>11</v>
      </c>
      <c r="D5162" s="3" t="s">
        <v>1706</v>
      </c>
      <c r="E5162" s="3" t="s">
        <v>18</v>
      </c>
      <c r="F5162" s="3" t="s">
        <v>19</v>
      </c>
      <c r="G5162" s="3" t="s">
        <v>53</v>
      </c>
      <c r="H5162" s="3" t="s">
        <v>969</v>
      </c>
      <c r="I5162" s="11">
        <v>108.56</v>
      </c>
      <c r="J5162" s="18">
        <v>2</v>
      </c>
      <c r="K5162" s="12">
        <v>5.6643999999999997</v>
      </c>
    </row>
    <row r="5163" spans="1:11" x14ac:dyDescent="0.25">
      <c r="A5163" s="4">
        <v>44147</v>
      </c>
      <c r="B5163" s="19">
        <f t="shared" si="160"/>
        <v>2020</v>
      </c>
      <c r="C5163" s="19">
        <f t="shared" si="161"/>
        <v>11</v>
      </c>
      <c r="D5163" s="5" t="s">
        <v>2548</v>
      </c>
      <c r="E5163" s="5" t="s">
        <v>23</v>
      </c>
      <c r="F5163" s="5" t="s">
        <v>19</v>
      </c>
      <c r="G5163" s="5" t="s">
        <v>53</v>
      </c>
      <c r="H5163" s="5" t="s">
        <v>2368</v>
      </c>
      <c r="I5163" s="13">
        <v>113.056</v>
      </c>
      <c r="J5163" s="19">
        <v>3</v>
      </c>
      <c r="K5163" s="14">
        <v>5.8202999999999996</v>
      </c>
    </row>
    <row r="5164" spans="1:11" x14ac:dyDescent="0.25">
      <c r="A5164" s="2">
        <v>44147</v>
      </c>
      <c r="B5164" s="18">
        <f t="shared" si="160"/>
        <v>2020</v>
      </c>
      <c r="C5164" s="18">
        <f t="shared" si="161"/>
        <v>11</v>
      </c>
      <c r="D5164" s="3" t="s">
        <v>892</v>
      </c>
      <c r="E5164" s="3" t="s">
        <v>18</v>
      </c>
      <c r="F5164" s="3" t="s">
        <v>19</v>
      </c>
      <c r="G5164" s="3" t="s">
        <v>32</v>
      </c>
      <c r="H5164" s="3" t="s">
        <v>1888</v>
      </c>
      <c r="I5164" s="11">
        <v>94.016000000000005</v>
      </c>
      <c r="J5164" s="18">
        <v>4</v>
      </c>
      <c r="K5164" s="12">
        <v>4.9055999999999997</v>
      </c>
    </row>
    <row r="5165" spans="1:11" x14ac:dyDescent="0.25">
      <c r="A5165" s="4">
        <v>44147</v>
      </c>
      <c r="B5165" s="19">
        <f t="shared" si="160"/>
        <v>2020</v>
      </c>
      <c r="C5165" s="19">
        <f t="shared" si="161"/>
        <v>11</v>
      </c>
      <c r="D5165" s="5" t="s">
        <v>2083</v>
      </c>
      <c r="E5165" s="5" t="s">
        <v>18</v>
      </c>
      <c r="F5165" s="5" t="s">
        <v>19</v>
      </c>
      <c r="G5165" s="5" t="s">
        <v>53</v>
      </c>
      <c r="H5165" s="5" t="s">
        <v>1862</v>
      </c>
      <c r="I5165" s="13">
        <v>114.56</v>
      </c>
      <c r="J5165" s="19">
        <v>2</v>
      </c>
      <c r="K5165" s="14">
        <v>4.7519999999999998</v>
      </c>
    </row>
    <row r="5166" spans="1:11" x14ac:dyDescent="0.25">
      <c r="A5166" s="2">
        <v>44147</v>
      </c>
      <c r="B5166" s="18">
        <f t="shared" si="160"/>
        <v>2020</v>
      </c>
      <c r="C5166" s="18">
        <f t="shared" si="161"/>
        <v>11</v>
      </c>
      <c r="D5166" s="3" t="s">
        <v>1288</v>
      </c>
      <c r="E5166" s="3" t="s">
        <v>44</v>
      </c>
      <c r="F5166" s="3" t="s">
        <v>19</v>
      </c>
      <c r="G5166" s="3" t="s">
        <v>53</v>
      </c>
      <c r="H5166" s="3" t="s">
        <v>1565</v>
      </c>
      <c r="I5166" s="11">
        <v>94.72</v>
      </c>
      <c r="J5166" s="18">
        <v>5</v>
      </c>
      <c r="K5166" s="12">
        <v>9.3520000000000003</v>
      </c>
    </row>
    <row r="5167" spans="1:11" x14ac:dyDescent="0.25">
      <c r="A5167" s="4">
        <v>44147</v>
      </c>
      <c r="B5167" s="19">
        <f t="shared" si="160"/>
        <v>2020</v>
      </c>
      <c r="C5167" s="19">
        <f t="shared" si="161"/>
        <v>11</v>
      </c>
      <c r="D5167" s="5" t="s">
        <v>1311</v>
      </c>
      <c r="E5167" s="5" t="s">
        <v>23</v>
      </c>
      <c r="F5167" s="5" t="s">
        <v>11</v>
      </c>
      <c r="G5167" s="5" t="s">
        <v>51</v>
      </c>
      <c r="H5167" s="5" t="s">
        <v>1298</v>
      </c>
      <c r="I5167" s="13">
        <v>114.848</v>
      </c>
      <c r="J5167" s="19">
        <v>3</v>
      </c>
      <c r="K5167" s="14">
        <v>-17.7072</v>
      </c>
    </row>
    <row r="5168" spans="1:11" x14ac:dyDescent="0.25">
      <c r="A5168" s="2">
        <v>44147</v>
      </c>
      <c r="B5168" s="18">
        <f t="shared" si="160"/>
        <v>2020</v>
      </c>
      <c r="C5168" s="18">
        <f t="shared" si="161"/>
        <v>11</v>
      </c>
      <c r="D5168" s="3" t="s">
        <v>1311</v>
      </c>
      <c r="E5168" s="3" t="s">
        <v>23</v>
      </c>
      <c r="F5168" s="3" t="s">
        <v>19</v>
      </c>
      <c r="G5168" s="3" t="s">
        <v>86</v>
      </c>
      <c r="H5168" s="3" t="s">
        <v>1955</v>
      </c>
      <c r="I5168" s="11">
        <v>110.224</v>
      </c>
      <c r="J5168" s="18">
        <v>2</v>
      </c>
      <c r="K5168" s="12">
        <v>4.4311999999999996</v>
      </c>
    </row>
    <row r="5169" spans="1:11" x14ac:dyDescent="0.25">
      <c r="A5169" s="4">
        <v>44147</v>
      </c>
      <c r="B5169" s="19">
        <f t="shared" si="160"/>
        <v>2020</v>
      </c>
      <c r="C5169" s="19">
        <f t="shared" si="161"/>
        <v>11</v>
      </c>
      <c r="D5169" s="5" t="s">
        <v>1778</v>
      </c>
      <c r="E5169" s="5" t="s">
        <v>67</v>
      </c>
      <c r="F5169" s="5" t="s">
        <v>14</v>
      </c>
      <c r="G5169" s="5" t="s">
        <v>24</v>
      </c>
      <c r="H5169" s="5" t="s">
        <v>2184</v>
      </c>
      <c r="I5169" s="13">
        <v>100.544</v>
      </c>
      <c r="J5169" s="19">
        <v>2</v>
      </c>
      <c r="K5169" s="14">
        <v>3.0133999999999999</v>
      </c>
    </row>
    <row r="5170" spans="1:11" x14ac:dyDescent="0.25">
      <c r="A5170" s="2">
        <v>44147</v>
      </c>
      <c r="B5170" s="18">
        <f t="shared" si="160"/>
        <v>2020</v>
      </c>
      <c r="C5170" s="18">
        <f t="shared" si="161"/>
        <v>11</v>
      </c>
      <c r="D5170" s="3" t="s">
        <v>444</v>
      </c>
      <c r="E5170" s="3" t="s">
        <v>70</v>
      </c>
      <c r="F5170" s="3" t="s">
        <v>19</v>
      </c>
      <c r="G5170" s="3" t="s">
        <v>127</v>
      </c>
      <c r="H5170" s="3" t="s">
        <v>1662</v>
      </c>
      <c r="I5170" s="11">
        <v>119.96</v>
      </c>
      <c r="J5170" s="18">
        <v>2</v>
      </c>
      <c r="K5170" s="12">
        <v>4.5815999999999999</v>
      </c>
    </row>
    <row r="5171" spans="1:11" x14ac:dyDescent="0.25">
      <c r="A5171" s="4">
        <v>44147</v>
      </c>
      <c r="B5171" s="19">
        <f t="shared" si="160"/>
        <v>2020</v>
      </c>
      <c r="C5171" s="19">
        <f t="shared" si="161"/>
        <v>11</v>
      </c>
      <c r="D5171" s="5" t="s">
        <v>349</v>
      </c>
      <c r="E5171" s="5" t="s">
        <v>94</v>
      </c>
      <c r="F5171" s="5" t="s">
        <v>19</v>
      </c>
      <c r="G5171" s="5" t="s">
        <v>32</v>
      </c>
      <c r="H5171" s="5" t="s">
        <v>237</v>
      </c>
      <c r="I5171" s="13">
        <v>114.92</v>
      </c>
      <c r="J5171" s="19">
        <v>5</v>
      </c>
      <c r="K5171" s="14">
        <v>5.3730000000000002</v>
      </c>
    </row>
    <row r="5172" spans="1:11" x14ac:dyDescent="0.25">
      <c r="A5172" s="2">
        <v>44147</v>
      </c>
      <c r="B5172" s="18">
        <f t="shared" si="160"/>
        <v>2020</v>
      </c>
      <c r="C5172" s="18">
        <f t="shared" si="161"/>
        <v>11</v>
      </c>
      <c r="D5172" s="3" t="s">
        <v>1778</v>
      </c>
      <c r="E5172" s="3" t="s">
        <v>67</v>
      </c>
      <c r="F5172" s="3" t="s">
        <v>19</v>
      </c>
      <c r="G5172" s="3" t="s">
        <v>53</v>
      </c>
      <c r="H5172" s="3" t="s">
        <v>2037</v>
      </c>
      <c r="I5172" s="11">
        <v>146.84800000000001</v>
      </c>
      <c r="J5172" s="18">
        <v>2</v>
      </c>
      <c r="K5172" s="12">
        <v>3.5255999999999998</v>
      </c>
    </row>
    <row r="5173" spans="1:11" x14ac:dyDescent="0.25">
      <c r="A5173" s="4">
        <v>44147</v>
      </c>
      <c r="B5173" s="19">
        <f t="shared" si="160"/>
        <v>2020</v>
      </c>
      <c r="C5173" s="19">
        <f t="shared" si="161"/>
        <v>11</v>
      </c>
      <c r="D5173" s="5" t="s">
        <v>1864</v>
      </c>
      <c r="E5173" s="5" t="s">
        <v>70</v>
      </c>
      <c r="F5173" s="5" t="s">
        <v>19</v>
      </c>
      <c r="G5173" s="5" t="s">
        <v>116</v>
      </c>
      <c r="H5173" s="5" t="s">
        <v>301</v>
      </c>
      <c r="I5173" s="13">
        <v>146.24</v>
      </c>
      <c r="J5173" s="19">
        <v>3</v>
      </c>
      <c r="K5173" s="14">
        <v>9.1199999999999992</v>
      </c>
    </row>
    <row r="5174" spans="1:11" x14ac:dyDescent="0.25">
      <c r="A5174" s="2">
        <v>44147</v>
      </c>
      <c r="B5174" s="18">
        <f t="shared" si="160"/>
        <v>2020</v>
      </c>
      <c r="C5174" s="18">
        <f t="shared" si="161"/>
        <v>11</v>
      </c>
      <c r="D5174" s="3" t="s">
        <v>958</v>
      </c>
      <c r="E5174" s="3" t="s">
        <v>198</v>
      </c>
      <c r="F5174" s="3" t="s">
        <v>14</v>
      </c>
      <c r="G5174" s="3" t="s">
        <v>24</v>
      </c>
      <c r="H5174" s="3" t="s">
        <v>1934</v>
      </c>
      <c r="I5174" s="11">
        <v>131.6</v>
      </c>
      <c r="J5174" s="18">
        <v>4</v>
      </c>
      <c r="K5174" s="12">
        <v>13</v>
      </c>
    </row>
    <row r="5175" spans="1:11" x14ac:dyDescent="0.25">
      <c r="A5175" s="4">
        <v>44147</v>
      </c>
      <c r="B5175" s="19">
        <f t="shared" si="160"/>
        <v>2020</v>
      </c>
      <c r="C5175" s="19">
        <f t="shared" si="161"/>
        <v>11</v>
      </c>
      <c r="D5175" s="5" t="s">
        <v>958</v>
      </c>
      <c r="E5175" s="5" t="s">
        <v>198</v>
      </c>
      <c r="F5175" s="5" t="s">
        <v>19</v>
      </c>
      <c r="G5175" s="5" t="s">
        <v>53</v>
      </c>
      <c r="H5175" s="5" t="s">
        <v>1039</v>
      </c>
      <c r="I5175" s="13">
        <v>156.12</v>
      </c>
      <c r="J5175" s="19">
        <v>5</v>
      </c>
      <c r="K5175" s="14">
        <v>8.3810000000000002</v>
      </c>
    </row>
    <row r="5176" spans="1:11" x14ac:dyDescent="0.25">
      <c r="A5176" s="2">
        <v>44147</v>
      </c>
      <c r="B5176" s="18">
        <f t="shared" si="160"/>
        <v>2020</v>
      </c>
      <c r="C5176" s="18">
        <f t="shared" si="161"/>
        <v>11</v>
      </c>
      <c r="D5176" s="3" t="s">
        <v>444</v>
      </c>
      <c r="E5176" s="3" t="s">
        <v>70</v>
      </c>
      <c r="F5176" s="3" t="s">
        <v>19</v>
      </c>
      <c r="G5176" s="3" t="s">
        <v>265</v>
      </c>
      <c r="H5176" s="3" t="s">
        <v>860</v>
      </c>
      <c r="I5176" s="11">
        <v>137.93</v>
      </c>
      <c r="J5176" s="18">
        <v>3</v>
      </c>
      <c r="K5176" s="12">
        <v>8.0997000000000003</v>
      </c>
    </row>
    <row r="5177" spans="1:11" x14ac:dyDescent="0.25">
      <c r="A5177" s="4">
        <v>44147</v>
      </c>
      <c r="B5177" s="19">
        <f t="shared" si="160"/>
        <v>2020</v>
      </c>
      <c r="C5177" s="19">
        <f t="shared" si="161"/>
        <v>11</v>
      </c>
      <c r="D5177" s="5" t="s">
        <v>1311</v>
      </c>
      <c r="E5177" s="5" t="s">
        <v>23</v>
      </c>
      <c r="F5177" s="5" t="s">
        <v>19</v>
      </c>
      <c r="G5177" s="5" t="s">
        <v>32</v>
      </c>
      <c r="H5177" s="5" t="s">
        <v>1385</v>
      </c>
      <c r="I5177" s="13">
        <v>152.56</v>
      </c>
      <c r="J5177" s="19">
        <v>5</v>
      </c>
      <c r="K5177" s="14">
        <v>-45.84</v>
      </c>
    </row>
    <row r="5178" spans="1:11" x14ac:dyDescent="0.25">
      <c r="A5178" s="2">
        <v>44147</v>
      </c>
      <c r="B5178" s="18">
        <f t="shared" si="160"/>
        <v>2020</v>
      </c>
      <c r="C5178" s="18">
        <f t="shared" si="161"/>
        <v>11</v>
      </c>
      <c r="D5178" s="3" t="s">
        <v>1311</v>
      </c>
      <c r="E5178" s="3" t="s">
        <v>23</v>
      </c>
      <c r="F5178" s="3" t="s">
        <v>14</v>
      </c>
      <c r="G5178" s="3" t="s">
        <v>24</v>
      </c>
      <c r="H5178" s="3" t="s">
        <v>2164</v>
      </c>
      <c r="I5178" s="11">
        <v>160.78399999999999</v>
      </c>
      <c r="J5178" s="18">
        <v>2</v>
      </c>
      <c r="K5178" s="12">
        <v>-0.55979999999999996</v>
      </c>
    </row>
    <row r="5179" spans="1:11" x14ac:dyDescent="0.25">
      <c r="A5179" s="4">
        <v>44148</v>
      </c>
      <c r="B5179" s="19">
        <f t="shared" si="160"/>
        <v>2020</v>
      </c>
      <c r="C5179" s="19">
        <f t="shared" si="161"/>
        <v>11</v>
      </c>
      <c r="D5179" s="5" t="s">
        <v>1638</v>
      </c>
      <c r="E5179" s="5" t="s">
        <v>23</v>
      </c>
      <c r="F5179" s="5" t="s">
        <v>19</v>
      </c>
      <c r="G5179" s="5" t="s">
        <v>20</v>
      </c>
      <c r="H5179" s="5" t="s">
        <v>2465</v>
      </c>
      <c r="I5179" s="13">
        <v>101.792</v>
      </c>
      <c r="J5179" s="19">
        <v>4</v>
      </c>
      <c r="K5179" s="14">
        <v>6.1791999999999998</v>
      </c>
    </row>
    <row r="5180" spans="1:11" x14ac:dyDescent="0.25">
      <c r="A5180" s="2">
        <v>44148</v>
      </c>
      <c r="B5180" s="18">
        <f t="shared" si="160"/>
        <v>2020</v>
      </c>
      <c r="C5180" s="18">
        <f t="shared" si="161"/>
        <v>11</v>
      </c>
      <c r="D5180" s="3" t="s">
        <v>1985</v>
      </c>
      <c r="E5180" s="3" t="s">
        <v>94</v>
      </c>
      <c r="F5180" s="3" t="s">
        <v>11</v>
      </c>
      <c r="G5180" s="3" t="s">
        <v>51</v>
      </c>
      <c r="H5180" s="3" t="s">
        <v>1007</v>
      </c>
      <c r="I5180" s="11">
        <v>186.95</v>
      </c>
      <c r="J5180" s="18">
        <v>3</v>
      </c>
      <c r="K5180" s="12">
        <v>30.99</v>
      </c>
    </row>
    <row r="5181" spans="1:11" x14ac:dyDescent="0.25">
      <c r="A5181" s="4">
        <v>44148</v>
      </c>
      <c r="B5181" s="19">
        <f t="shared" si="160"/>
        <v>2020</v>
      </c>
      <c r="C5181" s="19">
        <f t="shared" si="161"/>
        <v>11</v>
      </c>
      <c r="D5181" s="5" t="s">
        <v>2103</v>
      </c>
      <c r="E5181" s="5" t="s">
        <v>94</v>
      </c>
      <c r="F5181" s="5" t="s">
        <v>14</v>
      </c>
      <c r="G5181" s="5" t="s">
        <v>24</v>
      </c>
      <c r="H5181" s="5" t="s">
        <v>2550</v>
      </c>
      <c r="I5181" s="13">
        <v>199.96</v>
      </c>
      <c r="J5181" s="19">
        <v>4</v>
      </c>
      <c r="K5181" s="14">
        <v>70.502799999999993</v>
      </c>
    </row>
    <row r="5182" spans="1:11" x14ac:dyDescent="0.25">
      <c r="A5182" s="2">
        <v>44148</v>
      </c>
      <c r="B5182" s="18">
        <f t="shared" si="160"/>
        <v>2020</v>
      </c>
      <c r="C5182" s="18">
        <f t="shared" si="161"/>
        <v>11</v>
      </c>
      <c r="D5182" s="3" t="s">
        <v>1638</v>
      </c>
      <c r="E5182" s="3" t="s">
        <v>23</v>
      </c>
      <c r="F5182" s="3" t="s">
        <v>11</v>
      </c>
      <c r="G5182" s="3" t="s">
        <v>12</v>
      </c>
      <c r="H5182" s="3" t="s">
        <v>654</v>
      </c>
      <c r="I5182" s="11">
        <v>221.9992</v>
      </c>
      <c r="J5182" s="18">
        <v>3</v>
      </c>
      <c r="K5182" s="12">
        <v>-27.264600000000002</v>
      </c>
    </row>
    <row r="5183" spans="1:11" x14ac:dyDescent="0.25">
      <c r="A5183" s="4">
        <v>44148</v>
      </c>
      <c r="B5183" s="19">
        <f t="shared" si="160"/>
        <v>2020</v>
      </c>
      <c r="C5183" s="19">
        <f t="shared" si="161"/>
        <v>11</v>
      </c>
      <c r="D5183" s="5" t="s">
        <v>1936</v>
      </c>
      <c r="E5183" s="5" t="s">
        <v>898</v>
      </c>
      <c r="F5183" s="5" t="s">
        <v>14</v>
      </c>
      <c r="G5183" s="5" t="s">
        <v>24</v>
      </c>
      <c r="H5183" s="5" t="s">
        <v>2111</v>
      </c>
      <c r="I5183" s="13">
        <v>253.92</v>
      </c>
      <c r="J5183" s="19">
        <v>8</v>
      </c>
      <c r="K5183" s="14">
        <v>23.992000000000001</v>
      </c>
    </row>
    <row r="5184" spans="1:11" x14ac:dyDescent="0.25">
      <c r="A5184" s="2">
        <v>44148</v>
      </c>
      <c r="B5184" s="18">
        <f t="shared" si="160"/>
        <v>2020</v>
      </c>
      <c r="C5184" s="18">
        <f t="shared" si="161"/>
        <v>11</v>
      </c>
      <c r="D5184" s="3" t="s">
        <v>822</v>
      </c>
      <c r="E5184" s="3" t="s">
        <v>164</v>
      </c>
      <c r="F5184" s="3" t="s">
        <v>19</v>
      </c>
      <c r="G5184" s="3" t="s">
        <v>20</v>
      </c>
      <c r="H5184" s="3" t="s">
        <v>658</v>
      </c>
      <c r="I5184" s="11">
        <v>265.37599999999998</v>
      </c>
      <c r="J5184" s="18">
        <v>3</v>
      </c>
      <c r="K5184" s="12">
        <v>-48.954900000000002</v>
      </c>
    </row>
    <row r="5185" spans="1:11" x14ac:dyDescent="0.25">
      <c r="A5185" s="4">
        <v>44148</v>
      </c>
      <c r="B5185" s="19">
        <f t="shared" si="160"/>
        <v>2020</v>
      </c>
      <c r="C5185" s="19">
        <f t="shared" si="161"/>
        <v>11</v>
      </c>
      <c r="D5185" s="5" t="s">
        <v>825</v>
      </c>
      <c r="E5185" s="5" t="s">
        <v>70</v>
      </c>
      <c r="F5185" s="5" t="s">
        <v>19</v>
      </c>
      <c r="G5185" s="5" t="s">
        <v>20</v>
      </c>
      <c r="H5185" s="5" t="s">
        <v>680</v>
      </c>
      <c r="I5185" s="13">
        <v>360.91</v>
      </c>
      <c r="J5185" s="19">
        <v>3</v>
      </c>
      <c r="K5185" s="14">
        <v>10.347300000000001</v>
      </c>
    </row>
    <row r="5186" spans="1:11" x14ac:dyDescent="0.25">
      <c r="A5186" s="2">
        <v>44148</v>
      </c>
      <c r="B5186" s="18">
        <f t="shared" ref="B5186:B5249" si="162">YEAR(A5186)</f>
        <v>2020</v>
      </c>
      <c r="C5186" s="18">
        <f t="shared" ref="C5186:C5249" si="163">MONTH(A5186)</f>
        <v>11</v>
      </c>
      <c r="D5186" s="3" t="s">
        <v>825</v>
      </c>
      <c r="E5186" s="3" t="s">
        <v>70</v>
      </c>
      <c r="F5186" s="3" t="s">
        <v>19</v>
      </c>
      <c r="G5186" s="3" t="s">
        <v>32</v>
      </c>
      <c r="H5186" s="3" t="s">
        <v>836</v>
      </c>
      <c r="I5186" s="11">
        <v>586.024</v>
      </c>
      <c r="J5186" s="18">
        <v>11</v>
      </c>
      <c r="K5186" s="12">
        <v>190.0206</v>
      </c>
    </row>
    <row r="5187" spans="1:11" x14ac:dyDescent="0.25">
      <c r="A5187" s="4">
        <v>44148</v>
      </c>
      <c r="B5187" s="19">
        <f t="shared" si="162"/>
        <v>2020</v>
      </c>
      <c r="C5187" s="19">
        <f t="shared" si="163"/>
        <v>11</v>
      </c>
      <c r="D5187" s="5" t="s">
        <v>994</v>
      </c>
      <c r="E5187" s="5" t="s">
        <v>94</v>
      </c>
      <c r="F5187" s="5" t="s">
        <v>14</v>
      </c>
      <c r="G5187" s="5" t="s">
        <v>15</v>
      </c>
      <c r="H5187" s="5" t="s">
        <v>2295</v>
      </c>
      <c r="I5187" s="13">
        <v>674.95</v>
      </c>
      <c r="J5187" s="19">
        <v>5</v>
      </c>
      <c r="K5187" s="14">
        <v>163.78700000000001</v>
      </c>
    </row>
    <row r="5188" spans="1:11" x14ac:dyDescent="0.25">
      <c r="A5188" s="2">
        <v>44148</v>
      </c>
      <c r="B5188" s="18">
        <f t="shared" si="162"/>
        <v>2020</v>
      </c>
      <c r="C5188" s="18">
        <f t="shared" si="163"/>
        <v>11</v>
      </c>
      <c r="D5188" s="3" t="s">
        <v>1872</v>
      </c>
      <c r="E5188" s="3" t="s">
        <v>67</v>
      </c>
      <c r="F5188" s="3" t="s">
        <v>14</v>
      </c>
      <c r="G5188" s="3" t="s">
        <v>188</v>
      </c>
      <c r="H5188" s="3" t="s">
        <v>2551</v>
      </c>
      <c r="I5188" s="11">
        <v>692.995</v>
      </c>
      <c r="J5188" s="18">
        <v>7</v>
      </c>
      <c r="K5188" s="12">
        <v>-935.95950000000005</v>
      </c>
    </row>
    <row r="5189" spans="1:11" x14ac:dyDescent="0.25">
      <c r="A5189" s="4">
        <v>44148</v>
      </c>
      <c r="B5189" s="19">
        <f t="shared" si="162"/>
        <v>2020</v>
      </c>
      <c r="C5189" s="19">
        <f t="shared" si="163"/>
        <v>11</v>
      </c>
      <c r="D5189" s="5" t="s">
        <v>850</v>
      </c>
      <c r="E5189" s="5" t="s">
        <v>219</v>
      </c>
      <c r="F5189" s="5" t="s">
        <v>19</v>
      </c>
      <c r="G5189" s="5" t="s">
        <v>20</v>
      </c>
      <c r="H5189" s="5" t="s">
        <v>236</v>
      </c>
      <c r="I5189" s="13">
        <v>738.06399999999996</v>
      </c>
      <c r="J5189" s="19">
        <v>4</v>
      </c>
      <c r="K5189" s="14">
        <v>-63.005600000000001</v>
      </c>
    </row>
    <row r="5190" spans="1:11" x14ac:dyDescent="0.25">
      <c r="A5190" s="2">
        <v>44148</v>
      </c>
      <c r="B5190" s="18">
        <f t="shared" si="162"/>
        <v>2020</v>
      </c>
      <c r="C5190" s="18">
        <f t="shared" si="163"/>
        <v>11</v>
      </c>
      <c r="D5190" s="3" t="s">
        <v>825</v>
      </c>
      <c r="E5190" s="3" t="s">
        <v>70</v>
      </c>
      <c r="F5190" s="3" t="s">
        <v>11</v>
      </c>
      <c r="G5190" s="3" t="s">
        <v>112</v>
      </c>
      <c r="H5190" s="3" t="s">
        <v>948</v>
      </c>
      <c r="I5190" s="11">
        <v>2422.7040000000002</v>
      </c>
      <c r="J5190" s="18">
        <v>6</v>
      </c>
      <c r="K5190" s="12">
        <v>150.29400000000001</v>
      </c>
    </row>
    <row r="5191" spans="1:11" x14ac:dyDescent="0.25">
      <c r="A5191" s="4">
        <v>44148</v>
      </c>
      <c r="B5191" s="19">
        <f t="shared" si="162"/>
        <v>2020</v>
      </c>
      <c r="C5191" s="19">
        <f t="shared" si="163"/>
        <v>11</v>
      </c>
      <c r="D5191" s="5" t="s">
        <v>850</v>
      </c>
      <c r="E5191" s="5" t="s">
        <v>219</v>
      </c>
      <c r="F5191" s="5" t="s">
        <v>19</v>
      </c>
      <c r="G5191" s="5" t="s">
        <v>53</v>
      </c>
      <c r="H5191" s="5" t="s">
        <v>2432</v>
      </c>
      <c r="I5191" s="13">
        <v>74.903999999999996</v>
      </c>
      <c r="J5191" s="19">
        <v>3</v>
      </c>
      <c r="K5191" s="14">
        <v>3.339</v>
      </c>
    </row>
    <row r="5192" spans="1:11" x14ac:dyDescent="0.25">
      <c r="A5192" s="2">
        <v>44148</v>
      </c>
      <c r="B5192" s="18">
        <f t="shared" si="162"/>
        <v>2020</v>
      </c>
      <c r="C5192" s="18">
        <f t="shared" si="163"/>
        <v>11</v>
      </c>
      <c r="D5192" s="3" t="s">
        <v>1012</v>
      </c>
      <c r="E5192" s="3" t="s">
        <v>44</v>
      </c>
      <c r="F5192" s="3" t="s">
        <v>19</v>
      </c>
      <c r="G5192" s="3" t="s">
        <v>40</v>
      </c>
      <c r="H5192" s="3" t="s">
        <v>1089</v>
      </c>
      <c r="I5192" s="11">
        <v>108.06399999999999</v>
      </c>
      <c r="J5192" s="18">
        <v>1</v>
      </c>
      <c r="K5192" s="12">
        <v>0.15479999999999999</v>
      </c>
    </row>
    <row r="5193" spans="1:11" x14ac:dyDescent="0.25">
      <c r="A5193" s="4">
        <v>44148</v>
      </c>
      <c r="B5193" s="19">
        <f t="shared" si="162"/>
        <v>2020</v>
      </c>
      <c r="C5193" s="19">
        <f t="shared" si="163"/>
        <v>11</v>
      </c>
      <c r="D5193" s="5" t="s">
        <v>1872</v>
      </c>
      <c r="E5193" s="5" t="s">
        <v>67</v>
      </c>
      <c r="F5193" s="5" t="s">
        <v>19</v>
      </c>
      <c r="G5193" s="5" t="s">
        <v>32</v>
      </c>
      <c r="H5193" s="5" t="s">
        <v>1907</v>
      </c>
      <c r="I5193" s="13">
        <v>99.22</v>
      </c>
      <c r="J5193" s="19">
        <v>10</v>
      </c>
      <c r="K5193" s="14">
        <v>-7.48</v>
      </c>
    </row>
    <row r="5194" spans="1:11" x14ac:dyDescent="0.25">
      <c r="A5194" s="2">
        <v>44148</v>
      </c>
      <c r="B5194" s="18">
        <f t="shared" si="162"/>
        <v>2020</v>
      </c>
      <c r="C5194" s="18">
        <f t="shared" si="163"/>
        <v>11</v>
      </c>
      <c r="D5194" s="3" t="s">
        <v>825</v>
      </c>
      <c r="E5194" s="3" t="s">
        <v>70</v>
      </c>
      <c r="F5194" s="3" t="s">
        <v>19</v>
      </c>
      <c r="G5194" s="3" t="s">
        <v>127</v>
      </c>
      <c r="H5194" s="3" t="s">
        <v>1825</v>
      </c>
      <c r="I5194" s="11">
        <v>112.64</v>
      </c>
      <c r="J5194" s="18">
        <v>3</v>
      </c>
      <c r="K5194" s="12">
        <v>4.2336</v>
      </c>
    </row>
    <row r="5195" spans="1:11" x14ac:dyDescent="0.25">
      <c r="A5195" s="4">
        <v>44148</v>
      </c>
      <c r="B5195" s="19">
        <f t="shared" si="162"/>
        <v>2020</v>
      </c>
      <c r="C5195" s="19">
        <f t="shared" si="163"/>
        <v>11</v>
      </c>
      <c r="D5195" s="5" t="s">
        <v>508</v>
      </c>
      <c r="E5195" s="5" t="s">
        <v>23</v>
      </c>
      <c r="F5195" s="5" t="s">
        <v>19</v>
      </c>
      <c r="G5195" s="5" t="s">
        <v>121</v>
      </c>
      <c r="H5195" s="5" t="s">
        <v>2279</v>
      </c>
      <c r="I5195" s="13">
        <v>113.324</v>
      </c>
      <c r="J5195" s="19">
        <v>6</v>
      </c>
      <c r="K5195" s="14">
        <v>-24.708600000000001</v>
      </c>
    </row>
    <row r="5196" spans="1:11" x14ac:dyDescent="0.25">
      <c r="A5196" s="2">
        <v>44148</v>
      </c>
      <c r="B5196" s="18">
        <f t="shared" si="162"/>
        <v>2020</v>
      </c>
      <c r="C5196" s="18">
        <f t="shared" si="163"/>
        <v>11</v>
      </c>
      <c r="D5196" s="3" t="s">
        <v>1355</v>
      </c>
      <c r="E5196" s="3" t="s">
        <v>94</v>
      </c>
      <c r="F5196" s="3" t="s">
        <v>19</v>
      </c>
      <c r="G5196" s="3" t="s">
        <v>20</v>
      </c>
      <c r="H5196" s="3" t="s">
        <v>371</v>
      </c>
      <c r="I5196" s="11">
        <v>145.21</v>
      </c>
      <c r="J5196" s="18">
        <v>1</v>
      </c>
      <c r="K5196" s="12">
        <v>3.363</v>
      </c>
    </row>
    <row r="5197" spans="1:11" x14ac:dyDescent="0.25">
      <c r="A5197" s="4">
        <v>44148</v>
      </c>
      <c r="B5197" s="19">
        <f t="shared" si="162"/>
        <v>2020</v>
      </c>
      <c r="C5197" s="19">
        <f t="shared" si="163"/>
        <v>11</v>
      </c>
      <c r="D5197" s="5" t="s">
        <v>1985</v>
      </c>
      <c r="E5197" s="5" t="s">
        <v>94</v>
      </c>
      <c r="F5197" s="5" t="s">
        <v>14</v>
      </c>
      <c r="G5197" s="5" t="s">
        <v>15</v>
      </c>
      <c r="H5197" s="5" t="s">
        <v>839</v>
      </c>
      <c r="I5197" s="13">
        <v>149.6</v>
      </c>
      <c r="J5197" s="19">
        <v>4</v>
      </c>
      <c r="K5197" s="14">
        <v>12.208</v>
      </c>
    </row>
    <row r="5198" spans="1:11" x14ac:dyDescent="0.25">
      <c r="A5198" s="2">
        <v>44148</v>
      </c>
      <c r="B5198" s="18">
        <f t="shared" si="162"/>
        <v>2020</v>
      </c>
      <c r="C5198" s="18">
        <f t="shared" si="163"/>
        <v>11</v>
      </c>
      <c r="D5198" s="3" t="s">
        <v>895</v>
      </c>
      <c r="E5198" s="3" t="s">
        <v>18</v>
      </c>
      <c r="F5198" s="3" t="s">
        <v>14</v>
      </c>
      <c r="G5198" s="3" t="s">
        <v>15</v>
      </c>
      <c r="H5198" s="3" t="s">
        <v>1420</v>
      </c>
      <c r="I5198" s="11">
        <v>143</v>
      </c>
      <c r="J5198" s="18">
        <v>5</v>
      </c>
      <c r="K5198" s="12">
        <v>1.375</v>
      </c>
    </row>
    <row r="5199" spans="1:11" x14ac:dyDescent="0.25">
      <c r="A5199" s="4">
        <v>44148</v>
      </c>
      <c r="B5199" s="19">
        <f t="shared" si="162"/>
        <v>2020</v>
      </c>
      <c r="C5199" s="19">
        <f t="shared" si="163"/>
        <v>11</v>
      </c>
      <c r="D5199" s="5" t="s">
        <v>1872</v>
      </c>
      <c r="E5199" s="5" t="s">
        <v>67</v>
      </c>
      <c r="F5199" s="5" t="s">
        <v>14</v>
      </c>
      <c r="G5199" s="5" t="s">
        <v>24</v>
      </c>
      <c r="H5199" s="5" t="s">
        <v>890</v>
      </c>
      <c r="I5199" s="13">
        <v>151.864</v>
      </c>
      <c r="J5199" s="19">
        <v>4</v>
      </c>
      <c r="K5199" s="14">
        <v>9.1295999999999999</v>
      </c>
    </row>
    <row r="5200" spans="1:11" x14ac:dyDescent="0.25">
      <c r="A5200" s="2">
        <v>44148</v>
      </c>
      <c r="B5200" s="18">
        <f t="shared" si="162"/>
        <v>2020</v>
      </c>
      <c r="C5200" s="18">
        <f t="shared" si="163"/>
        <v>11</v>
      </c>
      <c r="D5200" s="3" t="s">
        <v>187</v>
      </c>
      <c r="E5200" s="3" t="s">
        <v>18</v>
      </c>
      <c r="F5200" s="3" t="s">
        <v>14</v>
      </c>
      <c r="G5200" s="3" t="s">
        <v>24</v>
      </c>
      <c r="H5200" s="3" t="s">
        <v>1781</v>
      </c>
      <c r="I5200" s="11">
        <v>151.94999999999999</v>
      </c>
      <c r="J5200" s="18">
        <v>5</v>
      </c>
      <c r="K5200" s="12">
        <v>29.032499999999999</v>
      </c>
    </row>
    <row r="5201" spans="1:11" x14ac:dyDescent="0.25">
      <c r="A5201" s="4">
        <v>44149</v>
      </c>
      <c r="B5201" s="19">
        <f t="shared" si="162"/>
        <v>2020</v>
      </c>
      <c r="C5201" s="19">
        <f t="shared" si="163"/>
        <v>11</v>
      </c>
      <c r="D5201" s="5" t="s">
        <v>1403</v>
      </c>
      <c r="E5201" s="5" t="s">
        <v>94</v>
      </c>
      <c r="F5201" s="5" t="s">
        <v>19</v>
      </c>
      <c r="G5201" s="5" t="s">
        <v>20</v>
      </c>
      <c r="H5201" s="5" t="s">
        <v>2401</v>
      </c>
      <c r="I5201" s="13">
        <v>131.36000000000001</v>
      </c>
      <c r="J5201" s="19">
        <v>6</v>
      </c>
      <c r="K5201" s="14">
        <v>25.053599999999999</v>
      </c>
    </row>
    <row r="5202" spans="1:11" x14ac:dyDescent="0.25">
      <c r="A5202" s="2">
        <v>44149</v>
      </c>
      <c r="B5202" s="18">
        <f t="shared" si="162"/>
        <v>2020</v>
      </c>
      <c r="C5202" s="18">
        <f t="shared" si="163"/>
        <v>11</v>
      </c>
      <c r="D5202" s="3" t="s">
        <v>395</v>
      </c>
      <c r="E5202" s="3" t="s">
        <v>67</v>
      </c>
      <c r="F5202" s="3" t="s">
        <v>14</v>
      </c>
      <c r="G5202" s="3" t="s">
        <v>15</v>
      </c>
      <c r="H5202" s="3" t="s">
        <v>979</v>
      </c>
      <c r="I5202" s="11">
        <v>154.94</v>
      </c>
      <c r="J5202" s="18">
        <v>10</v>
      </c>
      <c r="K5202" s="12">
        <v>15.992000000000001</v>
      </c>
    </row>
    <row r="5203" spans="1:11" x14ac:dyDescent="0.25">
      <c r="A5203" s="4">
        <v>44149</v>
      </c>
      <c r="B5203" s="19">
        <f t="shared" si="162"/>
        <v>2020</v>
      </c>
      <c r="C5203" s="19">
        <f t="shared" si="163"/>
        <v>11</v>
      </c>
      <c r="D5203" s="5" t="s">
        <v>1428</v>
      </c>
      <c r="E5203" s="5" t="s">
        <v>23</v>
      </c>
      <c r="F5203" s="5" t="s">
        <v>14</v>
      </c>
      <c r="G5203" s="5" t="s">
        <v>24</v>
      </c>
      <c r="H5203" s="5" t="s">
        <v>436</v>
      </c>
      <c r="I5203" s="13">
        <v>209.952</v>
      </c>
      <c r="J5203" s="19">
        <v>6</v>
      </c>
      <c r="K5203" s="14">
        <v>-27.292200000000001</v>
      </c>
    </row>
    <row r="5204" spans="1:11" x14ac:dyDescent="0.25">
      <c r="A5204" s="2">
        <v>44149</v>
      </c>
      <c r="B5204" s="18">
        <f t="shared" si="162"/>
        <v>2020</v>
      </c>
      <c r="C5204" s="18">
        <f t="shared" si="163"/>
        <v>11</v>
      </c>
      <c r="D5204" s="3" t="s">
        <v>779</v>
      </c>
      <c r="E5204" s="3" t="s">
        <v>18</v>
      </c>
      <c r="F5204" s="3" t="s">
        <v>11</v>
      </c>
      <c r="G5204" s="3" t="s">
        <v>112</v>
      </c>
      <c r="H5204" s="3" t="s">
        <v>510</v>
      </c>
      <c r="I5204" s="11">
        <v>334.56799999999998</v>
      </c>
      <c r="J5204" s="18">
        <v>2</v>
      </c>
      <c r="K5204" s="12">
        <v>28.1372</v>
      </c>
    </row>
    <row r="5205" spans="1:11" x14ac:dyDescent="0.25">
      <c r="A5205" s="4">
        <v>44149</v>
      </c>
      <c r="B5205" s="19">
        <f t="shared" si="162"/>
        <v>2020</v>
      </c>
      <c r="C5205" s="19">
        <f t="shared" si="163"/>
        <v>11</v>
      </c>
      <c r="D5205" s="5" t="s">
        <v>395</v>
      </c>
      <c r="E5205" s="5" t="s">
        <v>67</v>
      </c>
      <c r="F5205" s="5" t="s">
        <v>19</v>
      </c>
      <c r="G5205" s="5" t="s">
        <v>32</v>
      </c>
      <c r="H5205" s="5" t="s">
        <v>1761</v>
      </c>
      <c r="I5205" s="13">
        <v>83.647999999999996</v>
      </c>
      <c r="J5205" s="19">
        <v>2</v>
      </c>
      <c r="K5205" s="14">
        <v>-2.7968000000000002</v>
      </c>
    </row>
    <row r="5206" spans="1:11" x14ac:dyDescent="0.25">
      <c r="A5206" s="2">
        <v>44149</v>
      </c>
      <c r="B5206" s="18">
        <f t="shared" si="162"/>
        <v>2020</v>
      </c>
      <c r="C5206" s="18">
        <f t="shared" si="163"/>
        <v>11</v>
      </c>
      <c r="D5206" s="3" t="s">
        <v>1012</v>
      </c>
      <c r="E5206" s="3" t="s">
        <v>23</v>
      </c>
      <c r="F5206" s="3" t="s">
        <v>19</v>
      </c>
      <c r="G5206" s="3" t="s">
        <v>32</v>
      </c>
      <c r="H5206" s="3" t="s">
        <v>2264</v>
      </c>
      <c r="I5206" s="11">
        <v>104.99</v>
      </c>
      <c r="J5206" s="18">
        <v>5</v>
      </c>
      <c r="K5206" s="12">
        <v>-32.984999999999999</v>
      </c>
    </row>
    <row r="5207" spans="1:11" x14ac:dyDescent="0.25">
      <c r="A5207" s="4">
        <v>44149</v>
      </c>
      <c r="B5207" s="19">
        <f t="shared" si="162"/>
        <v>2020</v>
      </c>
      <c r="C5207" s="19">
        <f t="shared" si="163"/>
        <v>11</v>
      </c>
      <c r="D5207" s="5" t="s">
        <v>1775</v>
      </c>
      <c r="E5207" s="5" t="s">
        <v>94</v>
      </c>
      <c r="F5207" s="5" t="s">
        <v>19</v>
      </c>
      <c r="G5207" s="5" t="s">
        <v>32</v>
      </c>
      <c r="H5207" s="5" t="s">
        <v>2161</v>
      </c>
      <c r="I5207" s="13">
        <v>121.64</v>
      </c>
      <c r="J5207" s="19">
        <v>2</v>
      </c>
      <c r="K5207" s="14">
        <v>3.024</v>
      </c>
    </row>
    <row r="5208" spans="1:11" x14ac:dyDescent="0.25">
      <c r="A5208" s="2">
        <v>44149</v>
      </c>
      <c r="B5208" s="18">
        <f t="shared" si="162"/>
        <v>2020</v>
      </c>
      <c r="C5208" s="18">
        <f t="shared" si="163"/>
        <v>11</v>
      </c>
      <c r="D5208" s="3" t="s">
        <v>1189</v>
      </c>
      <c r="E5208" s="3" t="s">
        <v>18</v>
      </c>
      <c r="F5208" s="3" t="s">
        <v>19</v>
      </c>
      <c r="G5208" s="3" t="s">
        <v>40</v>
      </c>
      <c r="H5208" s="3" t="s">
        <v>2092</v>
      </c>
      <c r="I5208" s="11">
        <v>127.24</v>
      </c>
      <c r="J5208" s="18">
        <v>8</v>
      </c>
      <c r="K5208" s="12">
        <v>9.9296000000000006</v>
      </c>
    </row>
    <row r="5209" spans="1:11" x14ac:dyDescent="0.25">
      <c r="A5209" s="4">
        <v>44149</v>
      </c>
      <c r="B5209" s="19">
        <f t="shared" si="162"/>
        <v>2020</v>
      </c>
      <c r="C5209" s="19">
        <f t="shared" si="163"/>
        <v>11</v>
      </c>
      <c r="D5209" s="5" t="s">
        <v>1042</v>
      </c>
      <c r="E5209" s="5" t="s">
        <v>387</v>
      </c>
      <c r="F5209" s="5" t="s">
        <v>19</v>
      </c>
      <c r="G5209" s="5" t="s">
        <v>86</v>
      </c>
      <c r="H5209" s="5" t="s">
        <v>399</v>
      </c>
      <c r="I5209" s="13">
        <v>127.28</v>
      </c>
      <c r="J5209" s="19">
        <v>2</v>
      </c>
      <c r="K5209" s="14">
        <v>7.4871999999999996</v>
      </c>
    </row>
    <row r="5210" spans="1:11" x14ac:dyDescent="0.25">
      <c r="A5210" s="2">
        <v>44149</v>
      </c>
      <c r="B5210" s="18">
        <f t="shared" si="162"/>
        <v>2020</v>
      </c>
      <c r="C5210" s="18">
        <f t="shared" si="163"/>
        <v>11</v>
      </c>
      <c r="D5210" s="3" t="s">
        <v>1428</v>
      </c>
      <c r="E5210" s="3" t="s">
        <v>23</v>
      </c>
      <c r="F5210" s="3" t="s">
        <v>19</v>
      </c>
      <c r="G5210" s="3" t="s">
        <v>40</v>
      </c>
      <c r="H5210" s="3" t="s">
        <v>1858</v>
      </c>
      <c r="I5210" s="11">
        <v>159.04</v>
      </c>
      <c r="J5210" s="18">
        <v>2</v>
      </c>
      <c r="K5210" s="12">
        <v>4.5039999999999996</v>
      </c>
    </row>
    <row r="5211" spans="1:11" x14ac:dyDescent="0.25">
      <c r="A5211" s="4">
        <v>44150</v>
      </c>
      <c r="B5211" s="19">
        <f t="shared" si="162"/>
        <v>2020</v>
      </c>
      <c r="C5211" s="19">
        <f t="shared" si="163"/>
        <v>11</v>
      </c>
      <c r="D5211" s="5" t="s">
        <v>2406</v>
      </c>
      <c r="E5211" s="5" t="s">
        <v>44</v>
      </c>
      <c r="F5211" s="5" t="s">
        <v>11</v>
      </c>
      <c r="G5211" s="5" t="s">
        <v>51</v>
      </c>
      <c r="H5211" s="5" t="s">
        <v>1767</v>
      </c>
      <c r="I5211" s="13">
        <v>243.06399999999999</v>
      </c>
      <c r="J5211" s="19">
        <v>4</v>
      </c>
      <c r="K5211" s="14">
        <v>55.015999999999998</v>
      </c>
    </row>
    <row r="5212" spans="1:11" x14ac:dyDescent="0.25">
      <c r="A5212" s="2">
        <v>44150</v>
      </c>
      <c r="B5212" s="18">
        <f t="shared" si="162"/>
        <v>2020</v>
      </c>
      <c r="C5212" s="18">
        <f t="shared" si="163"/>
        <v>11</v>
      </c>
      <c r="D5212" s="3" t="s">
        <v>2406</v>
      </c>
      <c r="E5212" s="3" t="s">
        <v>44</v>
      </c>
      <c r="F5212" s="3" t="s">
        <v>11</v>
      </c>
      <c r="G5212" s="3" t="s">
        <v>51</v>
      </c>
      <c r="H5212" s="3" t="s">
        <v>799</v>
      </c>
      <c r="I5212" s="11">
        <v>378.13600000000002</v>
      </c>
      <c r="J5212" s="18">
        <v>4</v>
      </c>
      <c r="K5212" s="12">
        <v>0</v>
      </c>
    </row>
    <row r="5213" spans="1:11" x14ac:dyDescent="0.25">
      <c r="A5213" s="4">
        <v>44151</v>
      </c>
      <c r="B5213" s="19">
        <f t="shared" si="162"/>
        <v>2020</v>
      </c>
      <c r="C5213" s="19">
        <f t="shared" si="163"/>
        <v>11</v>
      </c>
      <c r="D5213" s="5" t="s">
        <v>2169</v>
      </c>
      <c r="E5213" s="5" t="s">
        <v>67</v>
      </c>
      <c r="F5213" s="5" t="s">
        <v>19</v>
      </c>
      <c r="G5213" s="5" t="s">
        <v>40</v>
      </c>
      <c r="H5213" s="5" t="s">
        <v>682</v>
      </c>
      <c r="I5213" s="13">
        <v>122.352</v>
      </c>
      <c r="J5213" s="19">
        <v>3</v>
      </c>
      <c r="K5213" s="14">
        <v>5.3970000000000002</v>
      </c>
    </row>
    <row r="5214" spans="1:11" x14ac:dyDescent="0.25">
      <c r="A5214" s="2">
        <v>44151</v>
      </c>
      <c r="B5214" s="18">
        <f t="shared" si="162"/>
        <v>2020</v>
      </c>
      <c r="C5214" s="18">
        <f t="shared" si="163"/>
        <v>11</v>
      </c>
      <c r="D5214" s="3" t="s">
        <v>319</v>
      </c>
      <c r="E5214" s="3" t="s">
        <v>70</v>
      </c>
      <c r="F5214" s="3" t="s">
        <v>14</v>
      </c>
      <c r="G5214" s="3" t="s">
        <v>15</v>
      </c>
      <c r="H5214" s="3" t="s">
        <v>318</v>
      </c>
      <c r="I5214" s="11">
        <v>133.88</v>
      </c>
      <c r="J5214" s="18">
        <v>3</v>
      </c>
      <c r="K5214" s="12">
        <v>10.788</v>
      </c>
    </row>
    <row r="5215" spans="1:11" x14ac:dyDescent="0.25">
      <c r="A5215" s="4">
        <v>44151</v>
      </c>
      <c r="B5215" s="19">
        <f t="shared" si="162"/>
        <v>2020</v>
      </c>
      <c r="C5215" s="19">
        <f t="shared" si="163"/>
        <v>11</v>
      </c>
      <c r="D5215" s="5" t="s">
        <v>1075</v>
      </c>
      <c r="E5215" s="5" t="s">
        <v>18</v>
      </c>
      <c r="F5215" s="5" t="s">
        <v>11</v>
      </c>
      <c r="G5215" s="5" t="s">
        <v>51</v>
      </c>
      <c r="H5215" s="5" t="s">
        <v>591</v>
      </c>
      <c r="I5215" s="13">
        <v>145.94</v>
      </c>
      <c r="J5215" s="19">
        <v>3</v>
      </c>
      <c r="K5215" s="14">
        <v>23.988</v>
      </c>
    </row>
    <row r="5216" spans="1:11" x14ac:dyDescent="0.25">
      <c r="A5216" s="2">
        <v>44151</v>
      </c>
      <c r="B5216" s="18">
        <f t="shared" si="162"/>
        <v>2020</v>
      </c>
      <c r="C5216" s="18">
        <f t="shared" si="163"/>
        <v>11</v>
      </c>
      <c r="D5216" s="3" t="s">
        <v>2400</v>
      </c>
      <c r="E5216" s="3" t="s">
        <v>94</v>
      </c>
      <c r="F5216" s="3" t="s">
        <v>14</v>
      </c>
      <c r="G5216" s="3" t="s">
        <v>15</v>
      </c>
      <c r="H5216" s="3" t="s">
        <v>278</v>
      </c>
      <c r="I5216" s="11">
        <v>160.94</v>
      </c>
      <c r="J5216" s="18">
        <v>6</v>
      </c>
      <c r="K5216" s="12">
        <v>5.9969999999999999</v>
      </c>
    </row>
    <row r="5217" spans="1:11" x14ac:dyDescent="0.25">
      <c r="A5217" s="4">
        <v>44151</v>
      </c>
      <c r="B5217" s="19">
        <f t="shared" si="162"/>
        <v>2020</v>
      </c>
      <c r="C5217" s="19">
        <f t="shared" si="163"/>
        <v>11</v>
      </c>
      <c r="D5217" s="5" t="s">
        <v>135</v>
      </c>
      <c r="E5217" s="5" t="s">
        <v>94</v>
      </c>
      <c r="F5217" s="5" t="s">
        <v>19</v>
      </c>
      <c r="G5217" s="5" t="s">
        <v>53</v>
      </c>
      <c r="H5217" s="5" t="s">
        <v>239</v>
      </c>
      <c r="I5217" s="13">
        <v>165.82</v>
      </c>
      <c r="J5217" s="19">
        <v>3</v>
      </c>
      <c r="K5217" s="14">
        <v>73.41</v>
      </c>
    </row>
    <row r="5218" spans="1:11" x14ac:dyDescent="0.25">
      <c r="A5218" s="2">
        <v>44151</v>
      </c>
      <c r="B5218" s="18">
        <f t="shared" si="162"/>
        <v>2020</v>
      </c>
      <c r="C5218" s="18">
        <f t="shared" si="163"/>
        <v>11</v>
      </c>
      <c r="D5218" s="3" t="s">
        <v>2169</v>
      </c>
      <c r="E5218" s="3" t="s">
        <v>67</v>
      </c>
      <c r="F5218" s="3" t="s">
        <v>14</v>
      </c>
      <c r="G5218" s="3" t="s">
        <v>24</v>
      </c>
      <c r="H5218" s="3" t="s">
        <v>72</v>
      </c>
      <c r="I5218" s="11">
        <v>178.96</v>
      </c>
      <c r="J5218" s="18">
        <v>5</v>
      </c>
      <c r="K5218" s="12">
        <v>-1.7495000000000001</v>
      </c>
    </row>
    <row r="5219" spans="1:11" x14ac:dyDescent="0.25">
      <c r="A5219" s="4">
        <v>44151</v>
      </c>
      <c r="B5219" s="19">
        <f t="shared" si="162"/>
        <v>2020</v>
      </c>
      <c r="C5219" s="19">
        <f t="shared" si="163"/>
        <v>11</v>
      </c>
      <c r="D5219" s="5" t="s">
        <v>319</v>
      </c>
      <c r="E5219" s="5" t="s">
        <v>70</v>
      </c>
      <c r="F5219" s="5" t="s">
        <v>11</v>
      </c>
      <c r="G5219" s="5" t="s">
        <v>51</v>
      </c>
      <c r="H5219" s="5" t="s">
        <v>1480</v>
      </c>
      <c r="I5219" s="13">
        <v>186.92</v>
      </c>
      <c r="J5219" s="19">
        <v>2</v>
      </c>
      <c r="K5219" s="14">
        <v>23.7864</v>
      </c>
    </row>
    <row r="5220" spans="1:11" x14ac:dyDescent="0.25">
      <c r="A5220" s="2">
        <v>44151</v>
      </c>
      <c r="B5220" s="18">
        <f t="shared" si="162"/>
        <v>2020</v>
      </c>
      <c r="C5220" s="18">
        <f t="shared" si="163"/>
        <v>11</v>
      </c>
      <c r="D5220" s="3" t="s">
        <v>1841</v>
      </c>
      <c r="E5220" s="3" t="s">
        <v>18</v>
      </c>
      <c r="F5220" s="3" t="s">
        <v>19</v>
      </c>
      <c r="G5220" s="3" t="s">
        <v>20</v>
      </c>
      <c r="H5220" s="3" t="s">
        <v>2007</v>
      </c>
      <c r="I5220" s="11">
        <v>847.28</v>
      </c>
      <c r="J5220" s="18">
        <v>8</v>
      </c>
      <c r="K5220" s="12">
        <v>24.3384</v>
      </c>
    </row>
    <row r="5221" spans="1:11" x14ac:dyDescent="0.25">
      <c r="A5221" s="4">
        <v>44151</v>
      </c>
      <c r="B5221" s="19">
        <f t="shared" si="162"/>
        <v>2020</v>
      </c>
      <c r="C5221" s="19">
        <f t="shared" si="163"/>
        <v>11</v>
      </c>
      <c r="D5221" s="5" t="s">
        <v>2169</v>
      </c>
      <c r="E5221" s="5" t="s">
        <v>67</v>
      </c>
      <c r="F5221" s="5" t="s">
        <v>14</v>
      </c>
      <c r="G5221" s="5" t="s">
        <v>36</v>
      </c>
      <c r="H5221" s="5" t="s">
        <v>561</v>
      </c>
      <c r="I5221" s="13">
        <v>910.98199999999997</v>
      </c>
      <c r="J5221" s="19">
        <v>3</v>
      </c>
      <c r="K5221" s="14">
        <v>74.998500000000007</v>
      </c>
    </row>
    <row r="5222" spans="1:11" x14ac:dyDescent="0.25">
      <c r="A5222" s="2">
        <v>44151</v>
      </c>
      <c r="B5222" s="18">
        <f t="shared" si="162"/>
        <v>2020</v>
      </c>
      <c r="C5222" s="18">
        <f t="shared" si="163"/>
        <v>11</v>
      </c>
      <c r="D5222" s="3" t="s">
        <v>2552</v>
      </c>
      <c r="E5222" s="3" t="s">
        <v>18</v>
      </c>
      <c r="F5222" s="3" t="s">
        <v>14</v>
      </c>
      <c r="G5222" s="3" t="s">
        <v>188</v>
      </c>
      <c r="H5222" s="3" t="s">
        <v>795</v>
      </c>
      <c r="I5222" s="11">
        <v>1931.9760000000001</v>
      </c>
      <c r="J5222" s="18">
        <v>3</v>
      </c>
      <c r="K5222" s="12">
        <v>215.9973</v>
      </c>
    </row>
    <row r="5223" spans="1:11" x14ac:dyDescent="0.25">
      <c r="A5223" s="4">
        <v>44151</v>
      </c>
      <c r="B5223" s="19">
        <f t="shared" si="162"/>
        <v>2020</v>
      </c>
      <c r="C5223" s="19">
        <f t="shared" si="163"/>
        <v>11</v>
      </c>
      <c r="D5223" s="5" t="s">
        <v>1075</v>
      </c>
      <c r="E5223" s="5" t="s">
        <v>18</v>
      </c>
      <c r="F5223" s="5" t="s">
        <v>11</v>
      </c>
      <c r="G5223" s="5" t="s">
        <v>51</v>
      </c>
      <c r="H5223" s="5" t="s">
        <v>1234</v>
      </c>
      <c r="I5223" s="13">
        <v>94.42</v>
      </c>
      <c r="J5223" s="19">
        <v>3</v>
      </c>
      <c r="K5223" s="14">
        <v>4.4711999999999996</v>
      </c>
    </row>
    <row r="5224" spans="1:11" x14ac:dyDescent="0.25">
      <c r="A5224" s="2">
        <v>44151</v>
      </c>
      <c r="B5224" s="18">
        <f t="shared" si="162"/>
        <v>2020</v>
      </c>
      <c r="C5224" s="18">
        <f t="shared" si="163"/>
        <v>11</v>
      </c>
      <c r="D5224" s="3" t="s">
        <v>1659</v>
      </c>
      <c r="E5224" s="3" t="s">
        <v>67</v>
      </c>
      <c r="F5224" s="3" t="s">
        <v>19</v>
      </c>
      <c r="G5224" s="3" t="s">
        <v>32</v>
      </c>
      <c r="H5224" s="3" t="s">
        <v>1761</v>
      </c>
      <c r="I5224" s="11">
        <v>97.823999999999998</v>
      </c>
      <c r="J5224" s="18">
        <v>1</v>
      </c>
      <c r="K5224" s="12">
        <v>-1.3984000000000001</v>
      </c>
    </row>
    <row r="5225" spans="1:11" x14ac:dyDescent="0.25">
      <c r="A5225" s="4">
        <v>44151</v>
      </c>
      <c r="B5225" s="19">
        <f t="shared" si="162"/>
        <v>2020</v>
      </c>
      <c r="C5225" s="19">
        <f t="shared" si="163"/>
        <v>11</v>
      </c>
      <c r="D5225" s="5" t="s">
        <v>319</v>
      </c>
      <c r="E5225" s="5" t="s">
        <v>70</v>
      </c>
      <c r="F5225" s="5" t="s">
        <v>19</v>
      </c>
      <c r="G5225" s="5" t="s">
        <v>20</v>
      </c>
      <c r="H5225" s="5" t="s">
        <v>1714</v>
      </c>
      <c r="I5225" s="13">
        <v>110.29</v>
      </c>
      <c r="J5225" s="19">
        <v>1</v>
      </c>
      <c r="K5225" s="14">
        <v>7.9896000000000003</v>
      </c>
    </row>
    <row r="5226" spans="1:11" x14ac:dyDescent="0.25">
      <c r="A5226" s="2">
        <v>44151</v>
      </c>
      <c r="B5226" s="18">
        <f t="shared" si="162"/>
        <v>2020</v>
      </c>
      <c r="C5226" s="18">
        <f t="shared" si="163"/>
        <v>11</v>
      </c>
      <c r="D5226" s="3" t="s">
        <v>389</v>
      </c>
      <c r="E5226" s="3" t="s">
        <v>18</v>
      </c>
      <c r="F5226" s="3" t="s">
        <v>11</v>
      </c>
      <c r="G5226" s="3" t="s">
        <v>51</v>
      </c>
      <c r="H5226" s="3" t="s">
        <v>1748</v>
      </c>
      <c r="I5226" s="11">
        <v>100.31</v>
      </c>
      <c r="J5226" s="18">
        <v>3</v>
      </c>
      <c r="K5226" s="12">
        <v>5.1929999999999996</v>
      </c>
    </row>
    <row r="5227" spans="1:11" x14ac:dyDescent="0.25">
      <c r="A5227" s="4">
        <v>44151</v>
      </c>
      <c r="B5227" s="19">
        <f t="shared" si="162"/>
        <v>2020</v>
      </c>
      <c r="C5227" s="19">
        <f t="shared" si="163"/>
        <v>11</v>
      </c>
      <c r="D5227" s="5" t="s">
        <v>2553</v>
      </c>
      <c r="E5227" s="5" t="s">
        <v>18</v>
      </c>
      <c r="F5227" s="5" t="s">
        <v>19</v>
      </c>
      <c r="G5227" s="5" t="s">
        <v>40</v>
      </c>
      <c r="H5227" s="5" t="s">
        <v>1663</v>
      </c>
      <c r="I5227" s="13">
        <v>129.36000000000001</v>
      </c>
      <c r="J5227" s="19">
        <v>4</v>
      </c>
      <c r="K5227" s="14">
        <v>6.0735999999999999</v>
      </c>
    </row>
    <row r="5228" spans="1:11" x14ac:dyDescent="0.25">
      <c r="A5228" s="2">
        <v>44151</v>
      </c>
      <c r="B5228" s="18">
        <f t="shared" si="162"/>
        <v>2020</v>
      </c>
      <c r="C5228" s="18">
        <f t="shared" si="163"/>
        <v>11</v>
      </c>
      <c r="D5228" s="3" t="s">
        <v>1393</v>
      </c>
      <c r="E5228" s="3" t="s">
        <v>18</v>
      </c>
      <c r="F5228" s="3" t="s">
        <v>19</v>
      </c>
      <c r="G5228" s="3" t="s">
        <v>20</v>
      </c>
      <c r="H5228" s="3" t="s">
        <v>1175</v>
      </c>
      <c r="I5228" s="11">
        <v>148.86000000000001</v>
      </c>
      <c r="J5228" s="18">
        <v>7</v>
      </c>
      <c r="K5228" s="12">
        <v>0.97719999999999996</v>
      </c>
    </row>
    <row r="5229" spans="1:11" x14ac:dyDescent="0.25">
      <c r="A5229" s="4">
        <v>44151</v>
      </c>
      <c r="B5229" s="19">
        <f t="shared" si="162"/>
        <v>2020</v>
      </c>
      <c r="C5229" s="19">
        <f t="shared" si="163"/>
        <v>11</v>
      </c>
      <c r="D5229" s="5" t="s">
        <v>319</v>
      </c>
      <c r="E5229" s="5" t="s">
        <v>70</v>
      </c>
      <c r="F5229" s="5" t="s">
        <v>19</v>
      </c>
      <c r="G5229" s="5" t="s">
        <v>53</v>
      </c>
      <c r="H5229" s="5" t="s">
        <v>1836</v>
      </c>
      <c r="I5229" s="13">
        <v>155.68</v>
      </c>
      <c r="J5229" s="19">
        <v>6</v>
      </c>
      <c r="K5229" s="14">
        <v>34.629600000000003</v>
      </c>
    </row>
    <row r="5230" spans="1:11" x14ac:dyDescent="0.25">
      <c r="A5230" s="2">
        <v>44151</v>
      </c>
      <c r="B5230" s="18">
        <f t="shared" si="162"/>
        <v>2020</v>
      </c>
      <c r="C5230" s="18">
        <f t="shared" si="163"/>
        <v>11</v>
      </c>
      <c r="D5230" s="3" t="s">
        <v>1404</v>
      </c>
      <c r="E5230" s="3" t="s">
        <v>94</v>
      </c>
      <c r="F5230" s="3" t="s">
        <v>14</v>
      </c>
      <c r="G5230" s="3" t="s">
        <v>188</v>
      </c>
      <c r="H5230" s="3" t="s">
        <v>2321</v>
      </c>
      <c r="I5230" s="11">
        <v>182.44</v>
      </c>
      <c r="J5230" s="18">
        <v>4</v>
      </c>
      <c r="K5230" s="12">
        <v>24.122399999999999</v>
      </c>
    </row>
    <row r="5231" spans="1:11" x14ac:dyDescent="0.25">
      <c r="A5231" s="4">
        <v>44152</v>
      </c>
      <c r="B5231" s="19">
        <f t="shared" si="162"/>
        <v>2020</v>
      </c>
      <c r="C5231" s="19">
        <f t="shared" si="163"/>
        <v>11</v>
      </c>
      <c r="D5231" s="5" t="s">
        <v>900</v>
      </c>
      <c r="E5231" s="5" t="s">
        <v>94</v>
      </c>
      <c r="F5231" s="5" t="s">
        <v>11</v>
      </c>
      <c r="G5231" s="5" t="s">
        <v>51</v>
      </c>
      <c r="H5231" s="5" t="s">
        <v>2554</v>
      </c>
      <c r="I5231" s="13">
        <v>200.76</v>
      </c>
      <c r="J5231" s="19">
        <v>4</v>
      </c>
      <c r="K5231" s="14">
        <v>76.9816</v>
      </c>
    </row>
    <row r="5232" spans="1:11" x14ac:dyDescent="0.25">
      <c r="A5232" s="2">
        <v>44152</v>
      </c>
      <c r="B5232" s="18">
        <f t="shared" si="162"/>
        <v>2020</v>
      </c>
      <c r="C5232" s="18">
        <f t="shared" si="163"/>
        <v>11</v>
      </c>
      <c r="D5232" s="3" t="s">
        <v>1227</v>
      </c>
      <c r="E5232" s="3" t="s">
        <v>109</v>
      </c>
      <c r="F5232" s="3" t="s">
        <v>14</v>
      </c>
      <c r="G5232" s="3" t="s">
        <v>15</v>
      </c>
      <c r="H5232" s="3" t="s">
        <v>2203</v>
      </c>
      <c r="I5232" s="11">
        <v>224.1</v>
      </c>
      <c r="J5232" s="18">
        <v>5</v>
      </c>
      <c r="K5232" s="12">
        <v>55.646999999999998</v>
      </c>
    </row>
    <row r="5233" spans="1:11" x14ac:dyDescent="0.25">
      <c r="A5233" s="4">
        <v>44152</v>
      </c>
      <c r="B5233" s="19">
        <f t="shared" si="162"/>
        <v>2020</v>
      </c>
      <c r="C5233" s="19">
        <f t="shared" si="163"/>
        <v>11</v>
      </c>
      <c r="D5233" s="5" t="s">
        <v>1968</v>
      </c>
      <c r="E5233" s="5" t="s">
        <v>164</v>
      </c>
      <c r="F5233" s="5" t="s">
        <v>14</v>
      </c>
      <c r="G5233" s="5" t="s">
        <v>24</v>
      </c>
      <c r="H5233" s="5" t="s">
        <v>1337</v>
      </c>
      <c r="I5233" s="13">
        <v>269.95999999999998</v>
      </c>
      <c r="J5233" s="19">
        <v>5</v>
      </c>
      <c r="K5233" s="14">
        <v>83.986000000000004</v>
      </c>
    </row>
    <row r="5234" spans="1:11" x14ac:dyDescent="0.25">
      <c r="A5234" s="2">
        <v>44152</v>
      </c>
      <c r="B5234" s="18">
        <f t="shared" si="162"/>
        <v>2020</v>
      </c>
      <c r="C5234" s="18">
        <f t="shared" si="163"/>
        <v>11</v>
      </c>
      <c r="D5234" s="3" t="s">
        <v>395</v>
      </c>
      <c r="E5234" s="3" t="s">
        <v>35</v>
      </c>
      <c r="F5234" s="3" t="s">
        <v>19</v>
      </c>
      <c r="G5234" s="3" t="s">
        <v>53</v>
      </c>
      <c r="H5234" s="3" t="s">
        <v>2555</v>
      </c>
      <c r="I5234" s="11">
        <v>284.24</v>
      </c>
      <c r="J5234" s="18">
        <v>7</v>
      </c>
      <c r="K5234" s="12">
        <v>93.884</v>
      </c>
    </row>
    <row r="5235" spans="1:11" x14ac:dyDescent="0.25">
      <c r="A5235" s="4">
        <v>44152</v>
      </c>
      <c r="B5235" s="19">
        <f t="shared" si="162"/>
        <v>2020</v>
      </c>
      <c r="C5235" s="19">
        <f t="shared" si="163"/>
        <v>11</v>
      </c>
      <c r="D5235" s="5" t="s">
        <v>73</v>
      </c>
      <c r="E5235" s="5" t="s">
        <v>23</v>
      </c>
      <c r="F5235" s="5" t="s">
        <v>11</v>
      </c>
      <c r="G5235" s="5" t="s">
        <v>12</v>
      </c>
      <c r="H5235" s="5" t="s">
        <v>459</v>
      </c>
      <c r="I5235" s="13">
        <v>342.7328</v>
      </c>
      <c r="J5235" s="19">
        <v>2</v>
      </c>
      <c r="K5235" s="14">
        <v>-14.4588</v>
      </c>
    </row>
    <row r="5236" spans="1:11" x14ac:dyDescent="0.25">
      <c r="A5236" s="2">
        <v>44152</v>
      </c>
      <c r="B5236" s="18">
        <f t="shared" si="162"/>
        <v>2020</v>
      </c>
      <c r="C5236" s="18">
        <f t="shared" si="163"/>
        <v>11</v>
      </c>
      <c r="D5236" s="3" t="s">
        <v>395</v>
      </c>
      <c r="E5236" s="3" t="s">
        <v>35</v>
      </c>
      <c r="F5236" s="3" t="s">
        <v>14</v>
      </c>
      <c r="G5236" s="3" t="s">
        <v>24</v>
      </c>
      <c r="H5236" s="3" t="s">
        <v>717</v>
      </c>
      <c r="I5236" s="11">
        <v>479.16</v>
      </c>
      <c r="J5236" s="18">
        <v>5</v>
      </c>
      <c r="K5236" s="12">
        <v>107.79</v>
      </c>
    </row>
    <row r="5237" spans="1:11" x14ac:dyDescent="0.25">
      <c r="A5237" s="4">
        <v>44152</v>
      </c>
      <c r="B5237" s="19">
        <f t="shared" si="162"/>
        <v>2020</v>
      </c>
      <c r="C5237" s="19">
        <f t="shared" si="163"/>
        <v>11</v>
      </c>
      <c r="D5237" s="5" t="s">
        <v>1741</v>
      </c>
      <c r="E5237" s="5" t="s">
        <v>94</v>
      </c>
      <c r="F5237" s="5" t="s">
        <v>19</v>
      </c>
      <c r="G5237" s="5" t="s">
        <v>20</v>
      </c>
      <c r="H5237" s="5" t="s">
        <v>1957</v>
      </c>
      <c r="I5237" s="13">
        <v>1295.6400000000001</v>
      </c>
      <c r="J5237" s="19">
        <v>3</v>
      </c>
      <c r="K5237" s="14">
        <v>349.33920000000001</v>
      </c>
    </row>
    <row r="5238" spans="1:11" x14ac:dyDescent="0.25">
      <c r="A5238" s="2">
        <v>44152</v>
      </c>
      <c r="B5238" s="18">
        <f t="shared" si="162"/>
        <v>2020</v>
      </c>
      <c r="C5238" s="18">
        <f t="shared" si="163"/>
        <v>11</v>
      </c>
      <c r="D5238" s="3" t="s">
        <v>1112</v>
      </c>
      <c r="E5238" s="3" t="s">
        <v>309</v>
      </c>
      <c r="F5238" s="3" t="s">
        <v>14</v>
      </c>
      <c r="G5238" s="3" t="s">
        <v>36</v>
      </c>
      <c r="H5238" s="3" t="s">
        <v>901</v>
      </c>
      <c r="I5238" s="11">
        <v>5517.97</v>
      </c>
      <c r="J5238" s="18">
        <v>3</v>
      </c>
      <c r="K5238" s="12">
        <v>5039.9856</v>
      </c>
    </row>
    <row r="5239" spans="1:11" x14ac:dyDescent="0.25">
      <c r="A5239" s="4">
        <v>44152</v>
      </c>
      <c r="B5239" s="19">
        <f t="shared" si="162"/>
        <v>2020</v>
      </c>
      <c r="C5239" s="19">
        <f t="shared" si="163"/>
        <v>11</v>
      </c>
      <c r="D5239" s="5" t="s">
        <v>1380</v>
      </c>
      <c r="E5239" s="5" t="s">
        <v>70</v>
      </c>
      <c r="F5239" s="5" t="s">
        <v>19</v>
      </c>
      <c r="G5239" s="5" t="s">
        <v>32</v>
      </c>
      <c r="H5239" s="5" t="s">
        <v>1567</v>
      </c>
      <c r="I5239" s="13">
        <v>77.903999999999996</v>
      </c>
      <c r="J5239" s="19">
        <v>2</v>
      </c>
      <c r="K5239" s="14">
        <v>4.5187999999999997</v>
      </c>
    </row>
    <row r="5240" spans="1:11" x14ac:dyDescent="0.25">
      <c r="A5240" s="2">
        <v>44152</v>
      </c>
      <c r="B5240" s="18">
        <f t="shared" si="162"/>
        <v>2020</v>
      </c>
      <c r="C5240" s="18">
        <f t="shared" si="163"/>
        <v>11</v>
      </c>
      <c r="D5240" s="3" t="s">
        <v>1136</v>
      </c>
      <c r="E5240" s="3" t="s">
        <v>465</v>
      </c>
      <c r="F5240" s="3" t="s">
        <v>19</v>
      </c>
      <c r="G5240" s="3" t="s">
        <v>32</v>
      </c>
      <c r="H5240" s="3" t="s">
        <v>1739</v>
      </c>
      <c r="I5240" s="11">
        <v>109.158</v>
      </c>
      <c r="J5240" s="18">
        <v>7</v>
      </c>
      <c r="K5240" s="12">
        <v>-3.4649999999999999</v>
      </c>
    </row>
    <row r="5241" spans="1:11" x14ac:dyDescent="0.25">
      <c r="A5241" s="4">
        <v>44152</v>
      </c>
      <c r="B5241" s="19">
        <f t="shared" si="162"/>
        <v>2020</v>
      </c>
      <c r="C5241" s="19">
        <f t="shared" si="163"/>
        <v>11</v>
      </c>
      <c r="D5241" s="5" t="s">
        <v>1136</v>
      </c>
      <c r="E5241" s="5" t="s">
        <v>465</v>
      </c>
      <c r="F5241" s="5" t="s">
        <v>19</v>
      </c>
      <c r="G5241" s="5" t="s">
        <v>53</v>
      </c>
      <c r="H5241" s="5" t="s">
        <v>2392</v>
      </c>
      <c r="I5241" s="13">
        <v>133.608</v>
      </c>
      <c r="J5241" s="19">
        <v>3</v>
      </c>
      <c r="K5241" s="14">
        <v>6.6177000000000001</v>
      </c>
    </row>
    <row r="5242" spans="1:11" x14ac:dyDescent="0.25">
      <c r="A5242" s="2">
        <v>44152</v>
      </c>
      <c r="B5242" s="18">
        <f t="shared" si="162"/>
        <v>2020</v>
      </c>
      <c r="C5242" s="18">
        <f t="shared" si="163"/>
        <v>11</v>
      </c>
      <c r="D5242" s="3" t="s">
        <v>805</v>
      </c>
      <c r="E5242" s="3" t="s">
        <v>10</v>
      </c>
      <c r="F5242" s="3" t="s">
        <v>19</v>
      </c>
      <c r="G5242" s="3" t="s">
        <v>32</v>
      </c>
      <c r="H5242" s="3" t="s">
        <v>674</v>
      </c>
      <c r="I5242" s="11">
        <v>135.80000000000001</v>
      </c>
      <c r="J5242" s="18">
        <v>6</v>
      </c>
      <c r="K5242" s="12">
        <v>20.585999999999999</v>
      </c>
    </row>
    <row r="5243" spans="1:11" x14ac:dyDescent="0.25">
      <c r="A5243" s="4">
        <v>44152</v>
      </c>
      <c r="B5243" s="19">
        <f t="shared" si="162"/>
        <v>2020</v>
      </c>
      <c r="C5243" s="19">
        <f t="shared" si="163"/>
        <v>11</v>
      </c>
      <c r="D5243" s="5" t="s">
        <v>444</v>
      </c>
      <c r="E5243" s="5" t="s">
        <v>181</v>
      </c>
      <c r="F5243" s="5" t="s">
        <v>19</v>
      </c>
      <c r="G5243" s="5" t="s">
        <v>121</v>
      </c>
      <c r="H5243" s="5" t="s">
        <v>1041</v>
      </c>
      <c r="I5243" s="13">
        <v>130.04</v>
      </c>
      <c r="J5243" s="19">
        <v>2</v>
      </c>
      <c r="K5243" s="14">
        <v>12.263999999999999</v>
      </c>
    </row>
    <row r="5244" spans="1:11" x14ac:dyDescent="0.25">
      <c r="A5244" s="2">
        <v>44152</v>
      </c>
      <c r="B5244" s="18">
        <f t="shared" si="162"/>
        <v>2020</v>
      </c>
      <c r="C5244" s="18">
        <f t="shared" si="163"/>
        <v>11</v>
      </c>
      <c r="D5244" s="3" t="s">
        <v>900</v>
      </c>
      <c r="E5244" s="3" t="s">
        <v>94</v>
      </c>
      <c r="F5244" s="3" t="s">
        <v>19</v>
      </c>
      <c r="G5244" s="3" t="s">
        <v>53</v>
      </c>
      <c r="H5244" s="3" t="s">
        <v>1651</v>
      </c>
      <c r="I5244" s="11">
        <v>157.88</v>
      </c>
      <c r="J5244" s="18">
        <v>6</v>
      </c>
      <c r="K5244" s="12">
        <v>18.662400000000002</v>
      </c>
    </row>
    <row r="5245" spans="1:11" x14ac:dyDescent="0.25">
      <c r="A5245" s="4">
        <v>44152</v>
      </c>
      <c r="B5245" s="19">
        <f t="shared" si="162"/>
        <v>2020</v>
      </c>
      <c r="C5245" s="19">
        <f t="shared" si="163"/>
        <v>11</v>
      </c>
      <c r="D5245" s="5" t="s">
        <v>1428</v>
      </c>
      <c r="E5245" s="5" t="s">
        <v>370</v>
      </c>
      <c r="F5245" s="5" t="s">
        <v>19</v>
      </c>
      <c r="G5245" s="5" t="s">
        <v>40</v>
      </c>
      <c r="H5245" s="5" t="s">
        <v>1676</v>
      </c>
      <c r="I5245" s="13">
        <v>171.94</v>
      </c>
      <c r="J5245" s="19">
        <v>3</v>
      </c>
      <c r="K5245" s="14">
        <v>14.263199999999999</v>
      </c>
    </row>
    <row r="5246" spans="1:11" x14ac:dyDescent="0.25">
      <c r="A5246" s="2">
        <v>44152</v>
      </c>
      <c r="B5246" s="18">
        <f t="shared" si="162"/>
        <v>2020</v>
      </c>
      <c r="C5246" s="18">
        <f t="shared" si="163"/>
        <v>11</v>
      </c>
      <c r="D5246" s="3" t="s">
        <v>1227</v>
      </c>
      <c r="E5246" s="3" t="s">
        <v>109</v>
      </c>
      <c r="F5246" s="3" t="s">
        <v>14</v>
      </c>
      <c r="G5246" s="3" t="s">
        <v>24</v>
      </c>
      <c r="H5246" s="3" t="s">
        <v>2497</v>
      </c>
      <c r="I5246" s="11">
        <v>145.99</v>
      </c>
      <c r="J5246" s="18">
        <v>1</v>
      </c>
      <c r="K5246" s="12">
        <v>28.796399999999998</v>
      </c>
    </row>
    <row r="5247" spans="1:11" x14ac:dyDescent="0.25">
      <c r="A5247" s="4">
        <v>44153</v>
      </c>
      <c r="B5247" s="19">
        <f t="shared" si="162"/>
        <v>2020</v>
      </c>
      <c r="C5247" s="19">
        <f t="shared" si="163"/>
        <v>11</v>
      </c>
      <c r="D5247" s="5" t="s">
        <v>1058</v>
      </c>
      <c r="E5247" s="5" t="s">
        <v>44</v>
      </c>
      <c r="F5247" s="5" t="s">
        <v>19</v>
      </c>
      <c r="G5247" s="5" t="s">
        <v>20</v>
      </c>
      <c r="H5247" s="5" t="s">
        <v>1945</v>
      </c>
      <c r="I5247" s="13">
        <v>104.36</v>
      </c>
      <c r="J5247" s="19">
        <v>5</v>
      </c>
      <c r="K5247" s="14">
        <v>-19.323</v>
      </c>
    </row>
    <row r="5248" spans="1:11" x14ac:dyDescent="0.25">
      <c r="A5248" s="2">
        <v>44153</v>
      </c>
      <c r="B5248" s="18">
        <f t="shared" si="162"/>
        <v>2020</v>
      </c>
      <c r="C5248" s="18">
        <f t="shared" si="163"/>
        <v>11</v>
      </c>
      <c r="D5248" s="3" t="s">
        <v>2535</v>
      </c>
      <c r="E5248" s="3" t="s">
        <v>70</v>
      </c>
      <c r="F5248" s="3" t="s">
        <v>19</v>
      </c>
      <c r="G5248" s="3" t="s">
        <v>20</v>
      </c>
      <c r="H5248" s="3" t="s">
        <v>684</v>
      </c>
      <c r="I5248" s="11">
        <v>121.94</v>
      </c>
      <c r="J5248" s="18">
        <v>3</v>
      </c>
      <c r="K5248" s="12">
        <v>9.5939999999999994</v>
      </c>
    </row>
    <row r="5249" spans="1:11" x14ac:dyDescent="0.25">
      <c r="A5249" s="4">
        <v>44153</v>
      </c>
      <c r="B5249" s="19">
        <f t="shared" si="162"/>
        <v>2020</v>
      </c>
      <c r="C5249" s="19">
        <f t="shared" si="163"/>
        <v>11</v>
      </c>
      <c r="D5249" s="5" t="s">
        <v>726</v>
      </c>
      <c r="E5249" s="5" t="s">
        <v>56</v>
      </c>
      <c r="F5249" s="5" t="s">
        <v>19</v>
      </c>
      <c r="G5249" s="5" t="s">
        <v>20</v>
      </c>
      <c r="H5249" s="5" t="s">
        <v>2442</v>
      </c>
      <c r="I5249" s="13">
        <v>142.52000000000001</v>
      </c>
      <c r="J5249" s="19">
        <v>6</v>
      </c>
      <c r="K5249" s="14">
        <v>24.980399999999999</v>
      </c>
    </row>
    <row r="5250" spans="1:11" x14ac:dyDescent="0.25">
      <c r="A5250" s="2">
        <v>44153</v>
      </c>
      <c r="B5250" s="18">
        <f t="shared" ref="B5250:B5313" si="164">YEAR(A5250)</f>
        <v>2020</v>
      </c>
      <c r="C5250" s="18">
        <f t="shared" ref="C5250:C5313" si="165">MONTH(A5250)</f>
        <v>11</v>
      </c>
      <c r="D5250" s="3" t="s">
        <v>2535</v>
      </c>
      <c r="E5250" s="3" t="s">
        <v>70</v>
      </c>
      <c r="F5250" s="3" t="s">
        <v>14</v>
      </c>
      <c r="G5250" s="3" t="s">
        <v>24</v>
      </c>
      <c r="H5250" s="3" t="s">
        <v>760</v>
      </c>
      <c r="I5250" s="11">
        <v>159.52000000000001</v>
      </c>
      <c r="J5250" s="18">
        <v>4</v>
      </c>
      <c r="K5250" s="12">
        <v>54.333199999999998</v>
      </c>
    </row>
    <row r="5251" spans="1:11" x14ac:dyDescent="0.25">
      <c r="A5251" s="4">
        <v>44153</v>
      </c>
      <c r="B5251" s="19">
        <f t="shared" si="164"/>
        <v>2020</v>
      </c>
      <c r="C5251" s="19">
        <f t="shared" si="165"/>
        <v>11</v>
      </c>
      <c r="D5251" s="5" t="s">
        <v>2232</v>
      </c>
      <c r="E5251" s="5" t="s">
        <v>164</v>
      </c>
      <c r="F5251" s="5" t="s">
        <v>11</v>
      </c>
      <c r="G5251" s="5" t="s">
        <v>112</v>
      </c>
      <c r="H5251" s="5" t="s">
        <v>970</v>
      </c>
      <c r="I5251" s="13">
        <v>177.386</v>
      </c>
      <c r="J5251" s="19">
        <v>2</v>
      </c>
      <c r="K5251" s="14">
        <v>-25.4772</v>
      </c>
    </row>
    <row r="5252" spans="1:11" x14ac:dyDescent="0.25">
      <c r="A5252" s="2">
        <v>44153</v>
      </c>
      <c r="B5252" s="18">
        <f t="shared" si="164"/>
        <v>2020</v>
      </c>
      <c r="C5252" s="18">
        <f t="shared" si="165"/>
        <v>11</v>
      </c>
      <c r="D5252" s="3" t="s">
        <v>2535</v>
      </c>
      <c r="E5252" s="3" t="s">
        <v>70</v>
      </c>
      <c r="F5252" s="3" t="s">
        <v>19</v>
      </c>
      <c r="G5252" s="3" t="s">
        <v>20</v>
      </c>
      <c r="H5252" s="3" t="s">
        <v>555</v>
      </c>
      <c r="I5252" s="11">
        <v>184.68</v>
      </c>
      <c r="J5252" s="18">
        <v>6</v>
      </c>
      <c r="K5252" s="12">
        <v>45.813600000000001</v>
      </c>
    </row>
    <row r="5253" spans="1:11" x14ac:dyDescent="0.25">
      <c r="A5253" s="4">
        <v>44153</v>
      </c>
      <c r="B5253" s="19">
        <f t="shared" si="164"/>
        <v>2020</v>
      </c>
      <c r="C5253" s="19">
        <f t="shared" si="165"/>
        <v>11</v>
      </c>
      <c r="D5253" s="5" t="s">
        <v>1058</v>
      </c>
      <c r="E5253" s="5" t="s">
        <v>44</v>
      </c>
      <c r="F5253" s="5" t="s">
        <v>19</v>
      </c>
      <c r="G5253" s="5" t="s">
        <v>121</v>
      </c>
      <c r="H5253" s="5" t="s">
        <v>959</v>
      </c>
      <c r="I5253" s="13">
        <v>411.05599999999998</v>
      </c>
      <c r="J5253" s="19">
        <v>4</v>
      </c>
      <c r="K5253" s="14">
        <v>48.631999999999998</v>
      </c>
    </row>
    <row r="5254" spans="1:11" x14ac:dyDescent="0.25">
      <c r="A5254" s="2">
        <v>44153</v>
      </c>
      <c r="B5254" s="18">
        <f t="shared" si="164"/>
        <v>2020</v>
      </c>
      <c r="C5254" s="18">
        <f t="shared" si="165"/>
        <v>11</v>
      </c>
      <c r="D5254" s="3" t="s">
        <v>726</v>
      </c>
      <c r="E5254" s="3" t="s">
        <v>56</v>
      </c>
      <c r="F5254" s="3" t="s">
        <v>11</v>
      </c>
      <c r="G5254" s="3" t="s">
        <v>51</v>
      </c>
      <c r="H5254" s="3" t="s">
        <v>650</v>
      </c>
      <c r="I5254" s="11">
        <v>104.82</v>
      </c>
      <c r="J5254" s="18">
        <v>2</v>
      </c>
      <c r="K5254" s="12">
        <v>2.7353999999999998</v>
      </c>
    </row>
    <row r="5255" spans="1:11" x14ac:dyDescent="0.25">
      <c r="A5255" s="4">
        <v>44153</v>
      </c>
      <c r="B5255" s="19">
        <f t="shared" si="164"/>
        <v>2020</v>
      </c>
      <c r="C5255" s="19">
        <f t="shared" si="165"/>
        <v>11</v>
      </c>
      <c r="D5255" s="5" t="s">
        <v>2535</v>
      </c>
      <c r="E5255" s="5" t="s">
        <v>70</v>
      </c>
      <c r="F5255" s="5" t="s">
        <v>19</v>
      </c>
      <c r="G5255" s="5" t="s">
        <v>116</v>
      </c>
      <c r="H5255" s="5" t="s">
        <v>2109</v>
      </c>
      <c r="I5255" s="13">
        <v>111.96</v>
      </c>
      <c r="J5255" s="19">
        <v>2</v>
      </c>
      <c r="K5255" s="14">
        <v>1.4208000000000001</v>
      </c>
    </row>
    <row r="5256" spans="1:11" x14ac:dyDescent="0.25">
      <c r="A5256" s="2">
        <v>44153</v>
      </c>
      <c r="B5256" s="18">
        <f t="shared" si="164"/>
        <v>2020</v>
      </c>
      <c r="C5256" s="18">
        <f t="shared" si="165"/>
        <v>11</v>
      </c>
      <c r="D5256" s="3" t="s">
        <v>726</v>
      </c>
      <c r="E5256" s="3" t="s">
        <v>56</v>
      </c>
      <c r="F5256" s="3" t="s">
        <v>19</v>
      </c>
      <c r="G5256" s="3" t="s">
        <v>127</v>
      </c>
      <c r="H5256" s="3" t="s">
        <v>1018</v>
      </c>
      <c r="I5256" s="11">
        <v>117.38</v>
      </c>
      <c r="J5256" s="18">
        <v>2</v>
      </c>
      <c r="K5256" s="12">
        <v>3.4685999999999999</v>
      </c>
    </row>
    <row r="5257" spans="1:11" x14ac:dyDescent="0.25">
      <c r="A5257" s="4">
        <v>44153</v>
      </c>
      <c r="B5257" s="19">
        <f t="shared" si="164"/>
        <v>2020</v>
      </c>
      <c r="C5257" s="19">
        <f t="shared" si="165"/>
        <v>11</v>
      </c>
      <c r="D5257" s="5" t="s">
        <v>508</v>
      </c>
      <c r="E5257" s="5" t="s">
        <v>365</v>
      </c>
      <c r="F5257" s="5" t="s">
        <v>11</v>
      </c>
      <c r="G5257" s="5" t="s">
        <v>51</v>
      </c>
      <c r="H5257" s="5" t="s">
        <v>584</v>
      </c>
      <c r="I5257" s="13">
        <v>118.76</v>
      </c>
      <c r="J5257" s="19">
        <v>4</v>
      </c>
      <c r="K5257" s="14">
        <v>8.2992000000000008</v>
      </c>
    </row>
    <row r="5258" spans="1:11" x14ac:dyDescent="0.25">
      <c r="A5258" s="2">
        <v>44153</v>
      </c>
      <c r="B5258" s="18">
        <f t="shared" si="164"/>
        <v>2020</v>
      </c>
      <c r="C5258" s="18">
        <f t="shared" si="165"/>
        <v>11</v>
      </c>
      <c r="D5258" s="3" t="s">
        <v>714</v>
      </c>
      <c r="E5258" s="3" t="s">
        <v>44</v>
      </c>
      <c r="F5258" s="3" t="s">
        <v>19</v>
      </c>
      <c r="G5258" s="3" t="s">
        <v>265</v>
      </c>
      <c r="H5258" s="3" t="s">
        <v>538</v>
      </c>
      <c r="I5258" s="11">
        <v>139.94399999999999</v>
      </c>
      <c r="J5258" s="18">
        <v>1</v>
      </c>
      <c r="K5258" s="12">
        <v>-0.66239999999999999</v>
      </c>
    </row>
    <row r="5259" spans="1:11" x14ac:dyDescent="0.25">
      <c r="A5259" s="4">
        <v>44153</v>
      </c>
      <c r="B5259" s="19">
        <f t="shared" si="164"/>
        <v>2020</v>
      </c>
      <c r="C5259" s="19">
        <f t="shared" si="165"/>
        <v>11</v>
      </c>
      <c r="D5259" s="5" t="s">
        <v>2535</v>
      </c>
      <c r="E5259" s="5" t="s">
        <v>70</v>
      </c>
      <c r="F5259" s="5" t="s">
        <v>19</v>
      </c>
      <c r="G5259" s="5" t="s">
        <v>32</v>
      </c>
      <c r="H5259" s="5" t="s">
        <v>1259</v>
      </c>
      <c r="I5259" s="13">
        <v>113.44799999999999</v>
      </c>
      <c r="J5259" s="19">
        <v>2</v>
      </c>
      <c r="K5259" s="14">
        <v>2.9567999999999999</v>
      </c>
    </row>
    <row r="5260" spans="1:11" x14ac:dyDescent="0.25">
      <c r="A5260" s="2">
        <v>44153</v>
      </c>
      <c r="B5260" s="18">
        <f t="shared" si="164"/>
        <v>2020</v>
      </c>
      <c r="C5260" s="18">
        <f t="shared" si="165"/>
        <v>11</v>
      </c>
      <c r="D5260" s="3" t="s">
        <v>1058</v>
      </c>
      <c r="E5260" s="3" t="s">
        <v>44</v>
      </c>
      <c r="F5260" s="3" t="s">
        <v>19</v>
      </c>
      <c r="G5260" s="3" t="s">
        <v>53</v>
      </c>
      <c r="H5260" s="3" t="s">
        <v>2003</v>
      </c>
      <c r="I5260" s="11">
        <v>147.73599999999999</v>
      </c>
      <c r="J5260" s="18">
        <v>4</v>
      </c>
      <c r="K5260" s="12">
        <v>7.2576000000000001</v>
      </c>
    </row>
    <row r="5261" spans="1:11" x14ac:dyDescent="0.25">
      <c r="A5261" s="4">
        <v>44153</v>
      </c>
      <c r="B5261" s="19">
        <f t="shared" si="164"/>
        <v>2020</v>
      </c>
      <c r="C5261" s="19">
        <f t="shared" si="165"/>
        <v>11</v>
      </c>
      <c r="D5261" s="5" t="s">
        <v>1058</v>
      </c>
      <c r="E5261" s="5" t="s">
        <v>44</v>
      </c>
      <c r="F5261" s="5" t="s">
        <v>19</v>
      </c>
      <c r="G5261" s="5" t="s">
        <v>32</v>
      </c>
      <c r="H5261" s="5" t="s">
        <v>1810</v>
      </c>
      <c r="I5261" s="13">
        <v>138.232</v>
      </c>
      <c r="J5261" s="19">
        <v>8</v>
      </c>
      <c r="K5261" s="14">
        <v>-16.185600000000001</v>
      </c>
    </row>
    <row r="5262" spans="1:11" x14ac:dyDescent="0.25">
      <c r="A5262" s="2">
        <v>44153</v>
      </c>
      <c r="B5262" s="18">
        <f t="shared" si="164"/>
        <v>2020</v>
      </c>
      <c r="C5262" s="18">
        <f t="shared" si="165"/>
        <v>11</v>
      </c>
      <c r="D5262" s="3" t="s">
        <v>1058</v>
      </c>
      <c r="E5262" s="3" t="s">
        <v>44</v>
      </c>
      <c r="F5262" s="3" t="s">
        <v>19</v>
      </c>
      <c r="G5262" s="3" t="s">
        <v>53</v>
      </c>
      <c r="H5262" s="3" t="s">
        <v>2556</v>
      </c>
      <c r="I5262" s="11">
        <v>143.47200000000001</v>
      </c>
      <c r="J5262" s="18">
        <v>8</v>
      </c>
      <c r="K5262" s="12">
        <v>14.5152</v>
      </c>
    </row>
    <row r="5263" spans="1:11" x14ac:dyDescent="0.25">
      <c r="A5263" s="4">
        <v>44153</v>
      </c>
      <c r="B5263" s="19">
        <f t="shared" si="164"/>
        <v>2020</v>
      </c>
      <c r="C5263" s="19">
        <f t="shared" si="165"/>
        <v>11</v>
      </c>
      <c r="D5263" s="5" t="s">
        <v>2232</v>
      </c>
      <c r="E5263" s="5" t="s">
        <v>164</v>
      </c>
      <c r="F5263" s="5" t="s">
        <v>19</v>
      </c>
      <c r="G5263" s="5" t="s">
        <v>86</v>
      </c>
      <c r="H5263" s="5" t="s">
        <v>2069</v>
      </c>
      <c r="I5263" s="13">
        <v>166.584</v>
      </c>
      <c r="J5263" s="19">
        <v>6</v>
      </c>
      <c r="K5263" s="14">
        <v>20.844000000000001</v>
      </c>
    </row>
    <row r="5264" spans="1:11" x14ac:dyDescent="0.25">
      <c r="A5264" s="2">
        <v>44153</v>
      </c>
      <c r="B5264" s="18">
        <f t="shared" si="164"/>
        <v>2020</v>
      </c>
      <c r="C5264" s="18">
        <f t="shared" si="165"/>
        <v>11</v>
      </c>
      <c r="D5264" s="3" t="s">
        <v>714</v>
      </c>
      <c r="E5264" s="3" t="s">
        <v>44</v>
      </c>
      <c r="F5264" s="3" t="s">
        <v>19</v>
      </c>
      <c r="G5264" s="3" t="s">
        <v>53</v>
      </c>
      <c r="H5264" s="3" t="s">
        <v>312</v>
      </c>
      <c r="I5264" s="11">
        <v>159.38399999999999</v>
      </c>
      <c r="J5264" s="18">
        <v>1</v>
      </c>
      <c r="K5264" s="12">
        <v>15.5344</v>
      </c>
    </row>
    <row r="5265" spans="1:11" x14ac:dyDescent="0.25">
      <c r="A5265" s="4">
        <v>44153</v>
      </c>
      <c r="B5265" s="19">
        <f t="shared" si="164"/>
        <v>2020</v>
      </c>
      <c r="C5265" s="19">
        <f t="shared" si="165"/>
        <v>11</v>
      </c>
      <c r="D5265" s="5" t="s">
        <v>726</v>
      </c>
      <c r="E5265" s="5" t="s">
        <v>56</v>
      </c>
      <c r="F5265" s="5" t="s">
        <v>19</v>
      </c>
      <c r="G5265" s="5" t="s">
        <v>20</v>
      </c>
      <c r="H5265" s="5" t="s">
        <v>1033</v>
      </c>
      <c r="I5265" s="13">
        <v>161.76</v>
      </c>
      <c r="J5265" s="19">
        <v>1</v>
      </c>
      <c r="K5265" s="14">
        <v>10.572800000000001</v>
      </c>
    </row>
    <row r="5266" spans="1:11" x14ac:dyDescent="0.25">
      <c r="A5266" s="2">
        <v>44153</v>
      </c>
      <c r="B5266" s="18">
        <f t="shared" si="164"/>
        <v>2020</v>
      </c>
      <c r="C5266" s="18">
        <f t="shared" si="165"/>
        <v>11</v>
      </c>
      <c r="D5266" s="3" t="s">
        <v>1597</v>
      </c>
      <c r="E5266" s="3" t="s">
        <v>67</v>
      </c>
      <c r="F5266" s="3" t="s">
        <v>19</v>
      </c>
      <c r="G5266" s="3" t="s">
        <v>40</v>
      </c>
      <c r="H5266" s="3" t="s">
        <v>906</v>
      </c>
      <c r="I5266" s="11">
        <v>170.864</v>
      </c>
      <c r="J5266" s="18">
        <v>7</v>
      </c>
      <c r="K5266" s="12">
        <v>7.7728000000000002</v>
      </c>
    </row>
    <row r="5267" spans="1:11" x14ac:dyDescent="0.25">
      <c r="A5267" s="4">
        <v>44153</v>
      </c>
      <c r="B5267" s="19">
        <f t="shared" si="164"/>
        <v>2020</v>
      </c>
      <c r="C5267" s="19">
        <f t="shared" si="165"/>
        <v>11</v>
      </c>
      <c r="D5267" s="5" t="s">
        <v>240</v>
      </c>
      <c r="E5267" s="5" t="s">
        <v>94</v>
      </c>
      <c r="F5267" s="5" t="s">
        <v>14</v>
      </c>
      <c r="G5267" s="5" t="s">
        <v>15</v>
      </c>
      <c r="H5267" s="5" t="s">
        <v>1532</v>
      </c>
      <c r="I5267" s="13">
        <v>177.95</v>
      </c>
      <c r="J5267" s="19">
        <v>5</v>
      </c>
      <c r="K5267" s="14">
        <v>36.725499999999997</v>
      </c>
    </row>
    <row r="5268" spans="1:11" x14ac:dyDescent="0.25">
      <c r="A5268" s="2">
        <v>44154</v>
      </c>
      <c r="B5268" s="18">
        <f t="shared" si="164"/>
        <v>2020</v>
      </c>
      <c r="C5268" s="18">
        <f t="shared" si="165"/>
        <v>11</v>
      </c>
      <c r="D5268" s="3" t="s">
        <v>173</v>
      </c>
      <c r="E5268" s="3" t="s">
        <v>23</v>
      </c>
      <c r="F5268" s="3" t="s">
        <v>19</v>
      </c>
      <c r="G5268" s="3" t="s">
        <v>40</v>
      </c>
      <c r="H5268" s="3" t="s">
        <v>934</v>
      </c>
      <c r="I5268" s="11">
        <v>114.136</v>
      </c>
      <c r="J5268" s="18">
        <v>4</v>
      </c>
      <c r="K5268" s="12">
        <v>8.6744000000000003</v>
      </c>
    </row>
    <row r="5269" spans="1:11" x14ac:dyDescent="0.25">
      <c r="A5269" s="4">
        <v>44154</v>
      </c>
      <c r="B5269" s="19">
        <f t="shared" si="164"/>
        <v>2020</v>
      </c>
      <c r="C5269" s="19">
        <f t="shared" si="165"/>
        <v>11</v>
      </c>
      <c r="D5269" s="5" t="s">
        <v>897</v>
      </c>
      <c r="E5269" s="5" t="s">
        <v>94</v>
      </c>
      <c r="F5269" s="5" t="s">
        <v>11</v>
      </c>
      <c r="G5269" s="5" t="s">
        <v>30</v>
      </c>
      <c r="H5269" s="5" t="s">
        <v>778</v>
      </c>
      <c r="I5269" s="13">
        <v>127.974</v>
      </c>
      <c r="J5269" s="19">
        <v>3</v>
      </c>
      <c r="K5269" s="14">
        <v>-29.323799999999999</v>
      </c>
    </row>
    <row r="5270" spans="1:11" x14ac:dyDescent="0.25">
      <c r="A5270" s="2">
        <v>44154</v>
      </c>
      <c r="B5270" s="18">
        <f t="shared" si="164"/>
        <v>2020</v>
      </c>
      <c r="C5270" s="18">
        <f t="shared" si="165"/>
        <v>11</v>
      </c>
      <c r="D5270" s="3" t="s">
        <v>1717</v>
      </c>
      <c r="E5270" s="3" t="s">
        <v>23</v>
      </c>
      <c r="F5270" s="3" t="s">
        <v>11</v>
      </c>
      <c r="G5270" s="3" t="s">
        <v>112</v>
      </c>
      <c r="H5270" s="3" t="s">
        <v>1847</v>
      </c>
      <c r="I5270" s="11">
        <v>234.05799999999999</v>
      </c>
      <c r="J5270" s="18">
        <v>3</v>
      </c>
      <c r="K5270" s="12">
        <v>-46.399799999999999</v>
      </c>
    </row>
    <row r="5271" spans="1:11" x14ac:dyDescent="0.25">
      <c r="A5271" s="4">
        <v>44154</v>
      </c>
      <c r="B5271" s="19">
        <f t="shared" si="164"/>
        <v>2020</v>
      </c>
      <c r="C5271" s="19">
        <f t="shared" si="165"/>
        <v>11</v>
      </c>
      <c r="D5271" s="5" t="s">
        <v>1688</v>
      </c>
      <c r="E5271" s="5" t="s">
        <v>164</v>
      </c>
      <c r="F5271" s="5" t="s">
        <v>11</v>
      </c>
      <c r="G5271" s="5" t="s">
        <v>30</v>
      </c>
      <c r="H5271" s="5" t="s">
        <v>1352</v>
      </c>
      <c r="I5271" s="13">
        <v>249.07499999999999</v>
      </c>
      <c r="J5271" s="19">
        <v>3</v>
      </c>
      <c r="K5271" s="14">
        <v>-131.44499999999999</v>
      </c>
    </row>
    <row r="5272" spans="1:11" x14ac:dyDescent="0.25">
      <c r="A5272" s="2">
        <v>44154</v>
      </c>
      <c r="B5272" s="18">
        <f t="shared" si="164"/>
        <v>2020</v>
      </c>
      <c r="C5272" s="18">
        <f t="shared" si="165"/>
        <v>11</v>
      </c>
      <c r="D5272" s="3" t="s">
        <v>714</v>
      </c>
      <c r="E5272" s="3" t="s">
        <v>23</v>
      </c>
      <c r="F5272" s="3" t="s">
        <v>11</v>
      </c>
      <c r="G5272" s="3" t="s">
        <v>112</v>
      </c>
      <c r="H5272" s="3" t="s">
        <v>911</v>
      </c>
      <c r="I5272" s="11">
        <v>275.05799999999999</v>
      </c>
      <c r="J5272" s="18">
        <v>3</v>
      </c>
      <c r="K5272" s="12">
        <v>-53.270400000000002</v>
      </c>
    </row>
    <row r="5273" spans="1:11" x14ac:dyDescent="0.25">
      <c r="A5273" s="4">
        <v>44154</v>
      </c>
      <c r="B5273" s="19">
        <f t="shared" si="164"/>
        <v>2020</v>
      </c>
      <c r="C5273" s="19">
        <f t="shared" si="165"/>
        <v>11</v>
      </c>
      <c r="D5273" s="5" t="s">
        <v>880</v>
      </c>
      <c r="E5273" s="5" t="s">
        <v>23</v>
      </c>
      <c r="F5273" s="5" t="s">
        <v>11</v>
      </c>
      <c r="G5273" s="5" t="s">
        <v>112</v>
      </c>
      <c r="H5273" s="5" t="s">
        <v>1598</v>
      </c>
      <c r="I5273" s="13">
        <v>315.31200000000001</v>
      </c>
      <c r="J5273" s="19">
        <v>2</v>
      </c>
      <c r="K5273" s="14">
        <v>-8.7232000000000003</v>
      </c>
    </row>
    <row r="5274" spans="1:11" x14ac:dyDescent="0.25">
      <c r="A5274" s="2">
        <v>44154</v>
      </c>
      <c r="B5274" s="18">
        <f t="shared" si="164"/>
        <v>2020</v>
      </c>
      <c r="C5274" s="18">
        <f t="shared" si="165"/>
        <v>11</v>
      </c>
      <c r="D5274" s="3" t="s">
        <v>1694</v>
      </c>
      <c r="E5274" s="3" t="s">
        <v>18</v>
      </c>
      <c r="F5274" s="3" t="s">
        <v>19</v>
      </c>
      <c r="G5274" s="3" t="s">
        <v>20</v>
      </c>
      <c r="H5274" s="3" t="s">
        <v>157</v>
      </c>
      <c r="I5274" s="11">
        <v>332.01</v>
      </c>
      <c r="J5274" s="18">
        <v>9</v>
      </c>
      <c r="K5274" s="12">
        <v>76.252499999999998</v>
      </c>
    </row>
    <row r="5275" spans="1:11" x14ac:dyDescent="0.25">
      <c r="A5275" s="4">
        <v>44154</v>
      </c>
      <c r="B5275" s="19">
        <f t="shared" si="164"/>
        <v>2020</v>
      </c>
      <c r="C5275" s="19">
        <f t="shared" si="165"/>
        <v>11</v>
      </c>
      <c r="D5275" s="5" t="s">
        <v>416</v>
      </c>
      <c r="E5275" s="5" t="s">
        <v>23</v>
      </c>
      <c r="F5275" s="5" t="s">
        <v>11</v>
      </c>
      <c r="G5275" s="5" t="s">
        <v>30</v>
      </c>
      <c r="H5275" s="5" t="s">
        <v>668</v>
      </c>
      <c r="I5275" s="13">
        <v>760.11599999999999</v>
      </c>
      <c r="J5275" s="19">
        <v>6</v>
      </c>
      <c r="K5275" s="14">
        <v>-71.811599999999999</v>
      </c>
    </row>
    <row r="5276" spans="1:11" x14ac:dyDescent="0.25">
      <c r="A5276" s="2">
        <v>44154</v>
      </c>
      <c r="B5276" s="18">
        <f t="shared" si="164"/>
        <v>2020</v>
      </c>
      <c r="C5276" s="18">
        <f t="shared" si="165"/>
        <v>11</v>
      </c>
      <c r="D5276" s="3" t="s">
        <v>185</v>
      </c>
      <c r="E5276" s="3" t="s">
        <v>195</v>
      </c>
      <c r="F5276" s="3" t="s">
        <v>11</v>
      </c>
      <c r="G5276" s="3" t="s">
        <v>51</v>
      </c>
      <c r="H5276" s="3" t="s">
        <v>1806</v>
      </c>
      <c r="I5276" s="11">
        <v>862.88</v>
      </c>
      <c r="J5276" s="18">
        <v>6</v>
      </c>
      <c r="K5276" s="12">
        <v>213.68879999999999</v>
      </c>
    </row>
    <row r="5277" spans="1:11" x14ac:dyDescent="0.25">
      <c r="A5277" s="4">
        <v>44154</v>
      </c>
      <c r="B5277" s="19">
        <f t="shared" si="164"/>
        <v>2020</v>
      </c>
      <c r="C5277" s="19">
        <f t="shared" si="165"/>
        <v>11</v>
      </c>
      <c r="D5277" s="5" t="s">
        <v>1568</v>
      </c>
      <c r="E5277" s="5" t="s">
        <v>94</v>
      </c>
      <c r="F5277" s="5" t="s">
        <v>19</v>
      </c>
      <c r="G5277" s="5" t="s">
        <v>121</v>
      </c>
      <c r="H5277" s="5" t="s">
        <v>1313</v>
      </c>
      <c r="I5277" s="13">
        <v>1538.74</v>
      </c>
      <c r="J5277" s="19">
        <v>7</v>
      </c>
      <c r="K5277" s="14">
        <v>626.18499999999995</v>
      </c>
    </row>
    <row r="5278" spans="1:11" x14ac:dyDescent="0.25">
      <c r="A5278" s="2">
        <v>44154</v>
      </c>
      <c r="B5278" s="18">
        <f t="shared" si="164"/>
        <v>2020</v>
      </c>
      <c r="C5278" s="18">
        <f t="shared" si="165"/>
        <v>11</v>
      </c>
      <c r="D5278" s="3" t="s">
        <v>1717</v>
      </c>
      <c r="E5278" s="3" t="s">
        <v>23</v>
      </c>
      <c r="F5278" s="3" t="s">
        <v>19</v>
      </c>
      <c r="G5278" s="3" t="s">
        <v>32</v>
      </c>
      <c r="H5278" s="3" t="s">
        <v>178</v>
      </c>
      <c r="I5278" s="11">
        <v>1556.1880000000001</v>
      </c>
      <c r="J5278" s="18">
        <v>6</v>
      </c>
      <c r="K5278" s="12">
        <v>-2287.7820000000002</v>
      </c>
    </row>
    <row r="5279" spans="1:11" x14ac:dyDescent="0.25">
      <c r="A5279" s="4">
        <v>44154</v>
      </c>
      <c r="B5279" s="19">
        <f t="shared" si="164"/>
        <v>2020</v>
      </c>
      <c r="C5279" s="19">
        <f t="shared" si="165"/>
        <v>11</v>
      </c>
      <c r="D5279" s="5" t="s">
        <v>173</v>
      </c>
      <c r="E5279" s="5" t="s">
        <v>23</v>
      </c>
      <c r="F5279" s="5" t="s">
        <v>11</v>
      </c>
      <c r="G5279" s="5" t="s">
        <v>51</v>
      </c>
      <c r="H5279" s="5" t="s">
        <v>1461</v>
      </c>
      <c r="I5279" s="13">
        <v>93.992000000000004</v>
      </c>
      <c r="J5279" s="19">
        <v>2</v>
      </c>
      <c r="K5279" s="14">
        <v>-13.993</v>
      </c>
    </row>
    <row r="5280" spans="1:11" x14ac:dyDescent="0.25">
      <c r="A5280" s="2">
        <v>44154</v>
      </c>
      <c r="B5280" s="18">
        <f t="shared" si="164"/>
        <v>2020</v>
      </c>
      <c r="C5280" s="18">
        <f t="shared" si="165"/>
        <v>11</v>
      </c>
      <c r="D5280" s="3" t="s">
        <v>1717</v>
      </c>
      <c r="E5280" s="3" t="s">
        <v>23</v>
      </c>
      <c r="F5280" s="3" t="s">
        <v>19</v>
      </c>
      <c r="G5280" s="3" t="s">
        <v>40</v>
      </c>
      <c r="H5280" s="3" t="s">
        <v>2557</v>
      </c>
      <c r="I5280" s="11">
        <v>112.04</v>
      </c>
      <c r="J5280" s="18">
        <v>5</v>
      </c>
      <c r="K5280" s="12">
        <v>3.9119999999999999</v>
      </c>
    </row>
    <row r="5281" spans="1:11" x14ac:dyDescent="0.25">
      <c r="A5281" s="4">
        <v>44154</v>
      </c>
      <c r="B5281" s="19">
        <f t="shared" si="164"/>
        <v>2020</v>
      </c>
      <c r="C5281" s="19">
        <f t="shared" si="165"/>
        <v>11</v>
      </c>
      <c r="D5281" s="5" t="s">
        <v>173</v>
      </c>
      <c r="E5281" s="5" t="s">
        <v>23</v>
      </c>
      <c r="F5281" s="5" t="s">
        <v>19</v>
      </c>
      <c r="G5281" s="5" t="s">
        <v>265</v>
      </c>
      <c r="H5281" s="5" t="s">
        <v>1280</v>
      </c>
      <c r="I5281" s="13">
        <v>124.672</v>
      </c>
      <c r="J5281" s="19">
        <v>1</v>
      </c>
      <c r="K5281" s="14">
        <v>0.50039999999999996</v>
      </c>
    </row>
    <row r="5282" spans="1:11" x14ac:dyDescent="0.25">
      <c r="A5282" s="2">
        <v>44154</v>
      </c>
      <c r="B5282" s="18">
        <f t="shared" si="164"/>
        <v>2020</v>
      </c>
      <c r="C5282" s="18">
        <f t="shared" si="165"/>
        <v>11</v>
      </c>
      <c r="D5282" s="3" t="s">
        <v>1568</v>
      </c>
      <c r="E5282" s="3" t="s">
        <v>94</v>
      </c>
      <c r="F5282" s="3" t="s">
        <v>19</v>
      </c>
      <c r="G5282" s="3" t="s">
        <v>86</v>
      </c>
      <c r="H5282" s="3" t="s">
        <v>176</v>
      </c>
      <c r="I5282" s="11">
        <v>124.74</v>
      </c>
      <c r="J5282" s="18">
        <v>3</v>
      </c>
      <c r="K5282" s="12">
        <v>8.3699999999999992</v>
      </c>
    </row>
    <row r="5283" spans="1:11" x14ac:dyDescent="0.25">
      <c r="A5283" s="4">
        <v>44154</v>
      </c>
      <c r="B5283" s="19">
        <f t="shared" si="164"/>
        <v>2020</v>
      </c>
      <c r="C5283" s="19">
        <f t="shared" si="165"/>
        <v>11</v>
      </c>
      <c r="D5283" s="5" t="s">
        <v>2558</v>
      </c>
      <c r="E5283" s="5" t="s">
        <v>181</v>
      </c>
      <c r="F5283" s="5" t="s">
        <v>19</v>
      </c>
      <c r="G5283" s="5" t="s">
        <v>40</v>
      </c>
      <c r="H5283" s="5" t="s">
        <v>2386</v>
      </c>
      <c r="I5283" s="13">
        <v>120.96</v>
      </c>
      <c r="J5283" s="19">
        <v>7</v>
      </c>
      <c r="K5283" s="14">
        <v>6.6584000000000003</v>
      </c>
    </row>
    <row r="5284" spans="1:11" x14ac:dyDescent="0.25">
      <c r="A5284" s="2">
        <v>44154</v>
      </c>
      <c r="B5284" s="18">
        <f t="shared" si="164"/>
        <v>2020</v>
      </c>
      <c r="C5284" s="18">
        <f t="shared" si="165"/>
        <v>11</v>
      </c>
      <c r="D5284" s="3" t="s">
        <v>1857</v>
      </c>
      <c r="E5284" s="3" t="s">
        <v>94</v>
      </c>
      <c r="F5284" s="3" t="s">
        <v>19</v>
      </c>
      <c r="G5284" s="3" t="s">
        <v>53</v>
      </c>
      <c r="H5284" s="3" t="s">
        <v>802</v>
      </c>
      <c r="I5284" s="11">
        <v>103.36</v>
      </c>
      <c r="J5284" s="18">
        <v>2</v>
      </c>
      <c r="K5284" s="12">
        <v>6.4127999999999998</v>
      </c>
    </row>
    <row r="5285" spans="1:11" x14ac:dyDescent="0.25">
      <c r="A5285" s="4">
        <v>44154</v>
      </c>
      <c r="B5285" s="19">
        <f t="shared" si="164"/>
        <v>2020</v>
      </c>
      <c r="C5285" s="19">
        <f t="shared" si="165"/>
        <v>11</v>
      </c>
      <c r="D5285" s="5" t="s">
        <v>1397</v>
      </c>
      <c r="E5285" s="5" t="s">
        <v>181</v>
      </c>
      <c r="F5285" s="5" t="s">
        <v>19</v>
      </c>
      <c r="G5285" s="5" t="s">
        <v>116</v>
      </c>
      <c r="H5285" s="5" t="s">
        <v>1128</v>
      </c>
      <c r="I5285" s="13">
        <v>138.06</v>
      </c>
      <c r="J5285" s="19">
        <v>7</v>
      </c>
      <c r="K5285" s="14">
        <v>12.53</v>
      </c>
    </row>
    <row r="5286" spans="1:11" x14ac:dyDescent="0.25">
      <c r="A5286" s="2">
        <v>44154</v>
      </c>
      <c r="B5286" s="18">
        <f t="shared" si="164"/>
        <v>2020</v>
      </c>
      <c r="C5286" s="18">
        <f t="shared" si="165"/>
        <v>11</v>
      </c>
      <c r="D5286" s="3" t="s">
        <v>2344</v>
      </c>
      <c r="E5286" s="3" t="s">
        <v>18</v>
      </c>
      <c r="F5286" s="3" t="s">
        <v>14</v>
      </c>
      <c r="G5286" s="3" t="s">
        <v>15</v>
      </c>
      <c r="H5286" s="3" t="s">
        <v>1826</v>
      </c>
      <c r="I5286" s="11">
        <v>149.96799999999999</v>
      </c>
      <c r="J5286" s="18">
        <v>4</v>
      </c>
      <c r="K5286" s="12">
        <v>2.3976000000000002</v>
      </c>
    </row>
    <row r="5287" spans="1:11" x14ac:dyDescent="0.25">
      <c r="A5287" s="4">
        <v>44154</v>
      </c>
      <c r="B5287" s="19">
        <f t="shared" si="164"/>
        <v>2020</v>
      </c>
      <c r="C5287" s="19">
        <f t="shared" si="165"/>
        <v>11</v>
      </c>
      <c r="D5287" s="5" t="s">
        <v>185</v>
      </c>
      <c r="E5287" s="5" t="s">
        <v>195</v>
      </c>
      <c r="F5287" s="5" t="s">
        <v>19</v>
      </c>
      <c r="G5287" s="5" t="s">
        <v>32</v>
      </c>
      <c r="H5287" s="5" t="s">
        <v>1399</v>
      </c>
      <c r="I5287" s="13">
        <v>122.96</v>
      </c>
      <c r="J5287" s="19">
        <v>2</v>
      </c>
      <c r="K5287" s="14">
        <v>10.760400000000001</v>
      </c>
    </row>
    <row r="5288" spans="1:11" x14ac:dyDescent="0.25">
      <c r="A5288" s="2">
        <v>44154</v>
      </c>
      <c r="B5288" s="18">
        <f t="shared" si="164"/>
        <v>2020</v>
      </c>
      <c r="C5288" s="18">
        <f t="shared" si="165"/>
        <v>11</v>
      </c>
      <c r="D5288" s="3" t="s">
        <v>1694</v>
      </c>
      <c r="E5288" s="3" t="s">
        <v>18</v>
      </c>
      <c r="F5288" s="3" t="s">
        <v>11</v>
      </c>
      <c r="G5288" s="3" t="s">
        <v>51</v>
      </c>
      <c r="H5288" s="3" t="s">
        <v>2559</v>
      </c>
      <c r="I5288" s="11">
        <v>130.69999999999999</v>
      </c>
      <c r="J5288" s="18">
        <v>1</v>
      </c>
      <c r="K5288" s="12">
        <v>7.1059999999999999</v>
      </c>
    </row>
    <row r="5289" spans="1:11" x14ac:dyDescent="0.25">
      <c r="A5289" s="4">
        <v>44154</v>
      </c>
      <c r="B5289" s="19">
        <f t="shared" si="164"/>
        <v>2020</v>
      </c>
      <c r="C5289" s="19">
        <f t="shared" si="165"/>
        <v>11</v>
      </c>
      <c r="D5289" s="5" t="s">
        <v>173</v>
      </c>
      <c r="E5289" s="5" t="s">
        <v>23</v>
      </c>
      <c r="F5289" s="5" t="s">
        <v>19</v>
      </c>
      <c r="G5289" s="5" t="s">
        <v>53</v>
      </c>
      <c r="H5289" s="5" t="s">
        <v>2560</v>
      </c>
      <c r="I5289" s="13">
        <v>143.89599999999999</v>
      </c>
      <c r="J5289" s="19">
        <v>4</v>
      </c>
      <c r="K5289" s="14">
        <v>5.28</v>
      </c>
    </row>
    <row r="5290" spans="1:11" x14ac:dyDescent="0.25">
      <c r="A5290" s="2">
        <v>44154</v>
      </c>
      <c r="B5290" s="18">
        <f t="shared" si="164"/>
        <v>2020</v>
      </c>
      <c r="C5290" s="18">
        <f t="shared" si="165"/>
        <v>11</v>
      </c>
      <c r="D5290" s="3" t="s">
        <v>1857</v>
      </c>
      <c r="E5290" s="3" t="s">
        <v>94</v>
      </c>
      <c r="F5290" s="3" t="s">
        <v>19</v>
      </c>
      <c r="G5290" s="3" t="s">
        <v>32</v>
      </c>
      <c r="H5290" s="3" t="s">
        <v>1252</v>
      </c>
      <c r="I5290" s="11">
        <v>158.28</v>
      </c>
      <c r="J5290" s="18">
        <v>6</v>
      </c>
      <c r="K5290" s="12">
        <v>13.932</v>
      </c>
    </row>
    <row r="5291" spans="1:11" x14ac:dyDescent="0.25">
      <c r="A5291" s="4">
        <v>44154</v>
      </c>
      <c r="B5291" s="19">
        <f t="shared" si="164"/>
        <v>2020</v>
      </c>
      <c r="C5291" s="19">
        <f t="shared" si="165"/>
        <v>11</v>
      </c>
      <c r="D5291" s="5" t="s">
        <v>416</v>
      </c>
      <c r="E5291" s="5" t="s">
        <v>23</v>
      </c>
      <c r="F5291" s="5" t="s">
        <v>19</v>
      </c>
      <c r="G5291" s="5" t="s">
        <v>40</v>
      </c>
      <c r="H5291" s="5" t="s">
        <v>2182</v>
      </c>
      <c r="I5291" s="13">
        <v>141.77600000000001</v>
      </c>
      <c r="J5291" s="19">
        <v>4</v>
      </c>
      <c r="K5291" s="14">
        <v>8.7384000000000004</v>
      </c>
    </row>
    <row r="5292" spans="1:11" x14ac:dyDescent="0.25">
      <c r="A5292" s="2">
        <v>44154</v>
      </c>
      <c r="B5292" s="18">
        <f t="shared" si="164"/>
        <v>2020</v>
      </c>
      <c r="C5292" s="18">
        <f t="shared" si="165"/>
        <v>11</v>
      </c>
      <c r="D5292" s="3" t="s">
        <v>2561</v>
      </c>
      <c r="E5292" s="3" t="s">
        <v>67</v>
      </c>
      <c r="F5292" s="3" t="s">
        <v>19</v>
      </c>
      <c r="G5292" s="3" t="s">
        <v>32</v>
      </c>
      <c r="H5292" s="3" t="s">
        <v>2072</v>
      </c>
      <c r="I5292" s="11">
        <v>164.91300000000001</v>
      </c>
      <c r="J5292" s="18">
        <v>7</v>
      </c>
      <c r="K5292" s="12">
        <v>-45.933300000000003</v>
      </c>
    </row>
    <row r="5293" spans="1:11" x14ac:dyDescent="0.25">
      <c r="A5293" s="4">
        <v>44154</v>
      </c>
      <c r="B5293" s="19">
        <f t="shared" si="164"/>
        <v>2020</v>
      </c>
      <c r="C5293" s="19">
        <f t="shared" si="165"/>
        <v>11</v>
      </c>
      <c r="D5293" s="5" t="s">
        <v>897</v>
      </c>
      <c r="E5293" s="5" t="s">
        <v>94</v>
      </c>
      <c r="F5293" s="5" t="s">
        <v>19</v>
      </c>
      <c r="G5293" s="5" t="s">
        <v>32</v>
      </c>
      <c r="H5293" s="5" t="s">
        <v>1724</v>
      </c>
      <c r="I5293" s="13">
        <v>159.40799999999999</v>
      </c>
      <c r="J5293" s="19">
        <v>7</v>
      </c>
      <c r="K5293" s="14">
        <v>18.252500000000001</v>
      </c>
    </row>
    <row r="5294" spans="1:11" x14ac:dyDescent="0.25">
      <c r="A5294" s="2">
        <v>44155</v>
      </c>
      <c r="B5294" s="18">
        <f t="shared" si="164"/>
        <v>2020</v>
      </c>
      <c r="C5294" s="18">
        <f t="shared" si="165"/>
        <v>11</v>
      </c>
      <c r="D5294" s="3" t="s">
        <v>2066</v>
      </c>
      <c r="E5294" s="3" t="s">
        <v>94</v>
      </c>
      <c r="F5294" s="3" t="s">
        <v>19</v>
      </c>
      <c r="G5294" s="3" t="s">
        <v>40</v>
      </c>
      <c r="H5294" s="3" t="s">
        <v>844</v>
      </c>
      <c r="I5294" s="11">
        <v>112.97</v>
      </c>
      <c r="J5294" s="18">
        <v>3</v>
      </c>
      <c r="K5294" s="12">
        <v>19.311599999999999</v>
      </c>
    </row>
    <row r="5295" spans="1:11" x14ac:dyDescent="0.25">
      <c r="A5295" s="4">
        <v>44155</v>
      </c>
      <c r="B5295" s="19">
        <f t="shared" si="164"/>
        <v>2020</v>
      </c>
      <c r="C5295" s="19">
        <f t="shared" si="165"/>
        <v>11</v>
      </c>
      <c r="D5295" s="5" t="s">
        <v>1848</v>
      </c>
      <c r="E5295" s="5" t="s">
        <v>18</v>
      </c>
      <c r="F5295" s="5" t="s">
        <v>19</v>
      </c>
      <c r="G5295" s="5" t="s">
        <v>32</v>
      </c>
      <c r="H5295" s="5" t="s">
        <v>605</v>
      </c>
      <c r="I5295" s="13">
        <v>122.056</v>
      </c>
      <c r="J5295" s="19">
        <v>7</v>
      </c>
      <c r="K5295" s="14">
        <v>27.318200000000001</v>
      </c>
    </row>
    <row r="5296" spans="1:11" x14ac:dyDescent="0.25">
      <c r="A5296" s="2">
        <v>44155</v>
      </c>
      <c r="B5296" s="18">
        <f t="shared" si="164"/>
        <v>2020</v>
      </c>
      <c r="C5296" s="18">
        <f t="shared" si="165"/>
        <v>11</v>
      </c>
      <c r="D5296" s="3" t="s">
        <v>601</v>
      </c>
      <c r="E5296" s="3" t="s">
        <v>67</v>
      </c>
      <c r="F5296" s="3" t="s">
        <v>11</v>
      </c>
      <c r="G5296" s="3" t="s">
        <v>51</v>
      </c>
      <c r="H5296" s="3" t="s">
        <v>282</v>
      </c>
      <c r="I5296" s="11">
        <v>127.6</v>
      </c>
      <c r="J5296" s="18">
        <v>5</v>
      </c>
      <c r="K5296" s="12">
        <v>28.13</v>
      </c>
    </row>
    <row r="5297" spans="1:11" x14ac:dyDescent="0.25">
      <c r="A5297" s="4">
        <v>44155</v>
      </c>
      <c r="B5297" s="19">
        <f t="shared" si="164"/>
        <v>2020</v>
      </c>
      <c r="C5297" s="19">
        <f t="shared" si="165"/>
        <v>11</v>
      </c>
      <c r="D5297" s="5" t="s">
        <v>2066</v>
      </c>
      <c r="E5297" s="5" t="s">
        <v>94</v>
      </c>
      <c r="F5297" s="5" t="s">
        <v>11</v>
      </c>
      <c r="G5297" s="5" t="s">
        <v>12</v>
      </c>
      <c r="H5297" s="5" t="s">
        <v>1445</v>
      </c>
      <c r="I5297" s="13">
        <v>226.96799999999999</v>
      </c>
      <c r="J5297" s="19">
        <v>2</v>
      </c>
      <c r="K5297" s="14">
        <v>-25.2956</v>
      </c>
    </row>
    <row r="5298" spans="1:11" x14ac:dyDescent="0.25">
      <c r="A5298" s="2">
        <v>44155</v>
      </c>
      <c r="B5298" s="18">
        <f t="shared" si="164"/>
        <v>2020</v>
      </c>
      <c r="C5298" s="18">
        <f t="shared" si="165"/>
        <v>11</v>
      </c>
      <c r="D5298" s="3" t="s">
        <v>1022</v>
      </c>
      <c r="E5298" s="3" t="s">
        <v>219</v>
      </c>
      <c r="F5298" s="3" t="s">
        <v>11</v>
      </c>
      <c r="G5298" s="3" t="s">
        <v>112</v>
      </c>
      <c r="H5298" s="3" t="s">
        <v>2283</v>
      </c>
      <c r="I5298" s="11">
        <v>244.56800000000001</v>
      </c>
      <c r="J5298" s="18">
        <v>2</v>
      </c>
      <c r="K5298" s="12">
        <v>-23.5764</v>
      </c>
    </row>
    <row r="5299" spans="1:11" x14ac:dyDescent="0.25">
      <c r="A5299" s="4">
        <v>44155</v>
      </c>
      <c r="B5299" s="19">
        <f t="shared" si="164"/>
        <v>2020</v>
      </c>
      <c r="C5299" s="19">
        <f t="shared" si="165"/>
        <v>11</v>
      </c>
      <c r="D5299" s="5" t="s">
        <v>2065</v>
      </c>
      <c r="E5299" s="5" t="s">
        <v>18</v>
      </c>
      <c r="F5299" s="5" t="s">
        <v>11</v>
      </c>
      <c r="G5299" s="5" t="s">
        <v>112</v>
      </c>
      <c r="H5299" s="5" t="s">
        <v>2562</v>
      </c>
      <c r="I5299" s="13">
        <v>326.92</v>
      </c>
      <c r="J5299" s="19">
        <v>5</v>
      </c>
      <c r="K5299" s="14">
        <v>-46.137</v>
      </c>
    </row>
    <row r="5300" spans="1:11" x14ac:dyDescent="0.25">
      <c r="A5300" s="2">
        <v>44155</v>
      </c>
      <c r="B5300" s="18">
        <f t="shared" si="164"/>
        <v>2020</v>
      </c>
      <c r="C5300" s="18">
        <f t="shared" si="165"/>
        <v>11</v>
      </c>
      <c r="D5300" s="3" t="s">
        <v>1136</v>
      </c>
      <c r="E5300" s="3" t="s">
        <v>94</v>
      </c>
      <c r="F5300" s="3" t="s">
        <v>14</v>
      </c>
      <c r="G5300" s="3" t="s">
        <v>15</v>
      </c>
      <c r="H5300" s="3" t="s">
        <v>2369</v>
      </c>
      <c r="I5300" s="11">
        <v>606.99</v>
      </c>
      <c r="J5300" s="18">
        <v>1</v>
      </c>
      <c r="K5300" s="12">
        <v>170.99700000000001</v>
      </c>
    </row>
    <row r="5301" spans="1:11" x14ac:dyDescent="0.25">
      <c r="A5301" s="4">
        <v>44155</v>
      </c>
      <c r="B5301" s="19">
        <f t="shared" si="164"/>
        <v>2020</v>
      </c>
      <c r="C5301" s="19">
        <f t="shared" si="165"/>
        <v>11</v>
      </c>
      <c r="D5301" s="5" t="s">
        <v>2066</v>
      </c>
      <c r="E5301" s="5" t="s">
        <v>94</v>
      </c>
      <c r="F5301" s="5" t="s">
        <v>14</v>
      </c>
      <c r="G5301" s="5" t="s">
        <v>15</v>
      </c>
      <c r="H5301" s="5" t="s">
        <v>1003</v>
      </c>
      <c r="I5301" s="13">
        <v>1289.97</v>
      </c>
      <c r="J5301" s="19">
        <v>3</v>
      </c>
      <c r="K5301" s="14">
        <v>327.59219999999999</v>
      </c>
    </row>
    <row r="5302" spans="1:11" x14ac:dyDescent="0.25">
      <c r="A5302" s="2">
        <v>44155</v>
      </c>
      <c r="B5302" s="18">
        <f t="shared" si="164"/>
        <v>2020</v>
      </c>
      <c r="C5302" s="18">
        <f t="shared" si="165"/>
        <v>11</v>
      </c>
      <c r="D5302" s="3" t="s">
        <v>1136</v>
      </c>
      <c r="E5302" s="3" t="s">
        <v>94</v>
      </c>
      <c r="F5302" s="3" t="s">
        <v>14</v>
      </c>
      <c r="G5302" s="3" t="s">
        <v>24</v>
      </c>
      <c r="H5302" s="3" t="s">
        <v>1412</v>
      </c>
      <c r="I5302" s="11">
        <v>85.97</v>
      </c>
      <c r="J5302" s="18">
        <v>3</v>
      </c>
      <c r="K5302" s="12">
        <v>1.3365</v>
      </c>
    </row>
    <row r="5303" spans="1:11" x14ac:dyDescent="0.25">
      <c r="A5303" s="4">
        <v>44155</v>
      </c>
      <c r="B5303" s="19">
        <f t="shared" si="164"/>
        <v>2020</v>
      </c>
      <c r="C5303" s="19">
        <f t="shared" si="165"/>
        <v>11</v>
      </c>
      <c r="D5303" s="5" t="s">
        <v>601</v>
      </c>
      <c r="E5303" s="5" t="s">
        <v>67</v>
      </c>
      <c r="F5303" s="5" t="s">
        <v>11</v>
      </c>
      <c r="G5303" s="5" t="s">
        <v>51</v>
      </c>
      <c r="H5303" s="5" t="s">
        <v>650</v>
      </c>
      <c r="I5303" s="13">
        <v>123.65600000000001</v>
      </c>
      <c r="J5303" s="19">
        <v>2</v>
      </c>
      <c r="K5303" s="14">
        <v>1.5713999999999999</v>
      </c>
    </row>
    <row r="5304" spans="1:11" x14ac:dyDescent="0.25">
      <c r="A5304" s="2">
        <v>44155</v>
      </c>
      <c r="B5304" s="18">
        <f t="shared" si="164"/>
        <v>2020</v>
      </c>
      <c r="C5304" s="18">
        <f t="shared" si="165"/>
        <v>11</v>
      </c>
      <c r="D5304" s="3" t="s">
        <v>2561</v>
      </c>
      <c r="E5304" s="3" t="s">
        <v>35</v>
      </c>
      <c r="F5304" s="3" t="s">
        <v>19</v>
      </c>
      <c r="G5304" s="3" t="s">
        <v>40</v>
      </c>
      <c r="H5304" s="3" t="s">
        <v>2422</v>
      </c>
      <c r="I5304" s="11">
        <v>96.968000000000004</v>
      </c>
      <c r="J5304" s="18">
        <v>7</v>
      </c>
      <c r="K5304" s="12">
        <v>2.6964000000000001</v>
      </c>
    </row>
    <row r="5305" spans="1:11" x14ac:dyDescent="0.25">
      <c r="A5305" s="4">
        <v>44155</v>
      </c>
      <c r="B5305" s="19">
        <f t="shared" si="164"/>
        <v>2020</v>
      </c>
      <c r="C5305" s="19">
        <f t="shared" si="165"/>
        <v>11</v>
      </c>
      <c r="D5305" s="5" t="s">
        <v>170</v>
      </c>
      <c r="E5305" s="5" t="s">
        <v>195</v>
      </c>
      <c r="F5305" s="5" t="s">
        <v>11</v>
      </c>
      <c r="G5305" s="5" t="s">
        <v>51</v>
      </c>
      <c r="H5305" s="5" t="s">
        <v>276</v>
      </c>
      <c r="I5305" s="13">
        <v>128.58000000000001</v>
      </c>
      <c r="J5305" s="19">
        <v>2</v>
      </c>
      <c r="K5305" s="14">
        <v>11.583600000000001</v>
      </c>
    </row>
    <row r="5306" spans="1:11" x14ac:dyDescent="0.25">
      <c r="A5306" s="2">
        <v>44155</v>
      </c>
      <c r="B5306" s="18">
        <f t="shared" si="164"/>
        <v>2020</v>
      </c>
      <c r="C5306" s="18">
        <f t="shared" si="165"/>
        <v>11</v>
      </c>
      <c r="D5306" s="3" t="s">
        <v>2561</v>
      </c>
      <c r="E5306" s="3" t="s">
        <v>35</v>
      </c>
      <c r="F5306" s="3" t="s">
        <v>19</v>
      </c>
      <c r="G5306" s="3" t="s">
        <v>40</v>
      </c>
      <c r="H5306" s="3" t="s">
        <v>1672</v>
      </c>
      <c r="I5306" s="11">
        <v>126.72799999999999</v>
      </c>
      <c r="J5306" s="18">
        <v>3</v>
      </c>
      <c r="K5306" s="12">
        <v>1.7955000000000001</v>
      </c>
    </row>
    <row r="5307" spans="1:11" x14ac:dyDescent="0.25">
      <c r="A5307" s="4">
        <v>44155</v>
      </c>
      <c r="B5307" s="19">
        <f t="shared" si="164"/>
        <v>2020</v>
      </c>
      <c r="C5307" s="19">
        <f t="shared" si="165"/>
        <v>11</v>
      </c>
      <c r="D5307" s="5" t="s">
        <v>1357</v>
      </c>
      <c r="E5307" s="5" t="s">
        <v>387</v>
      </c>
      <c r="F5307" s="5" t="s">
        <v>19</v>
      </c>
      <c r="G5307" s="5" t="s">
        <v>40</v>
      </c>
      <c r="H5307" s="5" t="s">
        <v>2563</v>
      </c>
      <c r="I5307" s="13">
        <v>109</v>
      </c>
      <c r="J5307" s="19">
        <v>10</v>
      </c>
      <c r="K5307" s="14">
        <v>9.68</v>
      </c>
    </row>
    <row r="5308" spans="1:11" x14ac:dyDescent="0.25">
      <c r="A5308" s="2">
        <v>44155</v>
      </c>
      <c r="B5308" s="18">
        <f t="shared" si="164"/>
        <v>2020</v>
      </c>
      <c r="C5308" s="18">
        <f t="shared" si="165"/>
        <v>11</v>
      </c>
      <c r="D5308" s="3" t="s">
        <v>1848</v>
      </c>
      <c r="E5308" s="3" t="s">
        <v>18</v>
      </c>
      <c r="F5308" s="3" t="s">
        <v>11</v>
      </c>
      <c r="G5308" s="3" t="s">
        <v>51</v>
      </c>
      <c r="H5308" s="3" t="s">
        <v>357</v>
      </c>
      <c r="I5308" s="11">
        <v>125.6</v>
      </c>
      <c r="J5308" s="18">
        <v>3</v>
      </c>
      <c r="K5308" s="12">
        <v>16.614000000000001</v>
      </c>
    </row>
    <row r="5309" spans="1:11" x14ac:dyDescent="0.25">
      <c r="A5309" s="4">
        <v>44155</v>
      </c>
      <c r="B5309" s="19">
        <f t="shared" si="164"/>
        <v>2020</v>
      </c>
      <c r="C5309" s="19">
        <f t="shared" si="165"/>
        <v>11</v>
      </c>
      <c r="D5309" s="5" t="s">
        <v>2066</v>
      </c>
      <c r="E5309" s="5" t="s">
        <v>94</v>
      </c>
      <c r="F5309" s="5" t="s">
        <v>19</v>
      </c>
      <c r="G5309" s="5" t="s">
        <v>53</v>
      </c>
      <c r="H5309" s="5" t="s">
        <v>1565</v>
      </c>
      <c r="I5309" s="13">
        <v>115.76</v>
      </c>
      <c r="J5309" s="19">
        <v>7</v>
      </c>
      <c r="K5309" s="14">
        <v>22.444800000000001</v>
      </c>
    </row>
    <row r="5310" spans="1:11" x14ac:dyDescent="0.25">
      <c r="A5310" s="2">
        <v>44155</v>
      </c>
      <c r="B5310" s="18">
        <f t="shared" si="164"/>
        <v>2020</v>
      </c>
      <c r="C5310" s="18">
        <f t="shared" si="165"/>
        <v>11</v>
      </c>
      <c r="D5310" s="3" t="s">
        <v>1136</v>
      </c>
      <c r="E5310" s="3" t="s">
        <v>94</v>
      </c>
      <c r="F5310" s="3" t="s">
        <v>11</v>
      </c>
      <c r="G5310" s="3" t="s">
        <v>51</v>
      </c>
      <c r="H5310" s="3" t="s">
        <v>2317</v>
      </c>
      <c r="I5310" s="11">
        <v>139.97</v>
      </c>
      <c r="J5310" s="18">
        <v>3</v>
      </c>
      <c r="K5310" s="12">
        <v>9.1745999999999999</v>
      </c>
    </row>
    <row r="5311" spans="1:11" x14ac:dyDescent="0.25">
      <c r="A5311" s="4">
        <v>44156</v>
      </c>
      <c r="B5311" s="19">
        <f t="shared" si="164"/>
        <v>2020</v>
      </c>
      <c r="C5311" s="19">
        <f t="shared" si="165"/>
        <v>11</v>
      </c>
      <c r="D5311" s="5" t="s">
        <v>992</v>
      </c>
      <c r="E5311" s="5" t="s">
        <v>70</v>
      </c>
      <c r="F5311" s="5" t="s">
        <v>19</v>
      </c>
      <c r="G5311" s="5" t="s">
        <v>53</v>
      </c>
      <c r="H5311" s="5" t="s">
        <v>690</v>
      </c>
      <c r="I5311" s="13">
        <v>100.84</v>
      </c>
      <c r="J5311" s="19">
        <v>8</v>
      </c>
      <c r="K5311" s="14">
        <v>24.883199999999999</v>
      </c>
    </row>
    <row r="5312" spans="1:11" x14ac:dyDescent="0.25">
      <c r="A5312" s="2">
        <v>44156</v>
      </c>
      <c r="B5312" s="18">
        <f t="shared" si="164"/>
        <v>2020</v>
      </c>
      <c r="C5312" s="18">
        <f t="shared" si="165"/>
        <v>11</v>
      </c>
      <c r="D5312" s="3" t="s">
        <v>992</v>
      </c>
      <c r="E5312" s="3" t="s">
        <v>70</v>
      </c>
      <c r="F5312" s="3" t="s">
        <v>19</v>
      </c>
      <c r="G5312" s="3" t="s">
        <v>32</v>
      </c>
      <c r="H5312" s="3" t="s">
        <v>754</v>
      </c>
      <c r="I5312" s="11">
        <v>170.8</v>
      </c>
      <c r="J5312" s="18">
        <v>5</v>
      </c>
      <c r="K5312" s="12">
        <v>56.55</v>
      </c>
    </row>
    <row r="5313" spans="1:11" x14ac:dyDescent="0.25">
      <c r="A5313" s="4">
        <v>44156</v>
      </c>
      <c r="B5313" s="19">
        <f t="shared" si="164"/>
        <v>2020</v>
      </c>
      <c r="C5313" s="19">
        <f t="shared" si="165"/>
        <v>11</v>
      </c>
      <c r="D5313" s="5" t="s">
        <v>770</v>
      </c>
      <c r="E5313" s="5" t="s">
        <v>18</v>
      </c>
      <c r="F5313" s="5" t="s">
        <v>14</v>
      </c>
      <c r="G5313" s="5" t="s">
        <v>15</v>
      </c>
      <c r="H5313" s="5" t="s">
        <v>896</v>
      </c>
      <c r="I5313" s="13">
        <v>696.976</v>
      </c>
      <c r="J5313" s="19">
        <v>3</v>
      </c>
      <c r="K5313" s="14">
        <v>49.498199999999997</v>
      </c>
    </row>
    <row r="5314" spans="1:11" x14ac:dyDescent="0.25">
      <c r="A5314" s="2">
        <v>44156</v>
      </c>
      <c r="B5314" s="18">
        <f t="shared" ref="B5314:B5377" si="166">YEAR(A5314)</f>
        <v>2020</v>
      </c>
      <c r="C5314" s="18">
        <f t="shared" ref="C5314:C5377" si="167">MONTH(A5314)</f>
        <v>11</v>
      </c>
      <c r="D5314" s="3" t="s">
        <v>992</v>
      </c>
      <c r="E5314" s="3" t="s">
        <v>70</v>
      </c>
      <c r="F5314" s="3" t="s">
        <v>14</v>
      </c>
      <c r="G5314" s="3" t="s">
        <v>188</v>
      </c>
      <c r="H5314" s="3" t="s">
        <v>2564</v>
      </c>
      <c r="I5314" s="11">
        <v>1053.992</v>
      </c>
      <c r="J5314" s="18">
        <v>1</v>
      </c>
      <c r="K5314" s="12">
        <v>103.9992</v>
      </c>
    </row>
    <row r="5315" spans="1:11" x14ac:dyDescent="0.25">
      <c r="A5315" s="4">
        <v>44156</v>
      </c>
      <c r="B5315" s="19">
        <f t="shared" si="166"/>
        <v>2020</v>
      </c>
      <c r="C5315" s="19">
        <f t="shared" si="167"/>
        <v>11</v>
      </c>
      <c r="D5315" s="5" t="s">
        <v>770</v>
      </c>
      <c r="E5315" s="5" t="s">
        <v>18</v>
      </c>
      <c r="F5315" s="5" t="s">
        <v>19</v>
      </c>
      <c r="G5315" s="5" t="s">
        <v>40</v>
      </c>
      <c r="H5315" s="5" t="s">
        <v>845</v>
      </c>
      <c r="I5315" s="13">
        <v>113.56</v>
      </c>
      <c r="J5315" s="19">
        <v>2</v>
      </c>
      <c r="K5315" s="14">
        <v>1.4456</v>
      </c>
    </row>
    <row r="5316" spans="1:11" x14ac:dyDescent="0.25">
      <c r="A5316" s="2">
        <v>44156</v>
      </c>
      <c r="B5316" s="18">
        <f t="shared" si="166"/>
        <v>2020</v>
      </c>
      <c r="C5316" s="18">
        <f t="shared" si="167"/>
        <v>11</v>
      </c>
      <c r="D5316" s="3" t="s">
        <v>768</v>
      </c>
      <c r="E5316" s="3" t="s">
        <v>18</v>
      </c>
      <c r="F5316" s="3" t="s">
        <v>19</v>
      </c>
      <c r="G5316" s="3" t="s">
        <v>40</v>
      </c>
      <c r="H5316" s="3" t="s">
        <v>1780</v>
      </c>
      <c r="I5316" s="11">
        <v>119.76</v>
      </c>
      <c r="J5316" s="18">
        <v>4</v>
      </c>
      <c r="K5316" s="12">
        <v>3.1751999999999998</v>
      </c>
    </row>
    <row r="5317" spans="1:11" x14ac:dyDescent="0.25">
      <c r="A5317" s="4">
        <v>44156</v>
      </c>
      <c r="B5317" s="19">
        <f t="shared" si="166"/>
        <v>2020</v>
      </c>
      <c r="C5317" s="19">
        <f t="shared" si="167"/>
        <v>11</v>
      </c>
      <c r="D5317" s="5" t="s">
        <v>770</v>
      </c>
      <c r="E5317" s="5" t="s">
        <v>18</v>
      </c>
      <c r="F5317" s="5" t="s">
        <v>19</v>
      </c>
      <c r="G5317" s="5" t="s">
        <v>121</v>
      </c>
      <c r="H5317" s="5" t="s">
        <v>1408</v>
      </c>
      <c r="I5317" s="13">
        <v>108.62</v>
      </c>
      <c r="J5317" s="19">
        <v>1</v>
      </c>
      <c r="K5317" s="14">
        <v>2.2412000000000001</v>
      </c>
    </row>
    <row r="5318" spans="1:11" x14ac:dyDescent="0.25">
      <c r="A5318" s="2">
        <v>44156</v>
      </c>
      <c r="B5318" s="18">
        <f t="shared" si="166"/>
        <v>2020</v>
      </c>
      <c r="C5318" s="18">
        <f t="shared" si="167"/>
        <v>11</v>
      </c>
      <c r="D5318" s="3" t="s">
        <v>770</v>
      </c>
      <c r="E5318" s="3" t="s">
        <v>18</v>
      </c>
      <c r="F5318" s="3" t="s">
        <v>19</v>
      </c>
      <c r="G5318" s="3" t="s">
        <v>116</v>
      </c>
      <c r="H5318" s="3" t="s">
        <v>785</v>
      </c>
      <c r="I5318" s="11">
        <v>129.02000000000001</v>
      </c>
      <c r="J5318" s="18">
        <v>2</v>
      </c>
      <c r="K5318" s="12">
        <v>3.5177999999999998</v>
      </c>
    </row>
    <row r="5319" spans="1:11" x14ac:dyDescent="0.25">
      <c r="A5319" s="4">
        <v>44156</v>
      </c>
      <c r="B5319" s="19">
        <f t="shared" si="166"/>
        <v>2020</v>
      </c>
      <c r="C5319" s="19">
        <f t="shared" si="167"/>
        <v>11</v>
      </c>
      <c r="D5319" s="5" t="s">
        <v>745</v>
      </c>
      <c r="E5319" s="5" t="s">
        <v>39</v>
      </c>
      <c r="F5319" s="5" t="s">
        <v>19</v>
      </c>
      <c r="G5319" s="5" t="s">
        <v>53</v>
      </c>
      <c r="H5319" s="5" t="s">
        <v>1545</v>
      </c>
      <c r="I5319" s="13">
        <v>119.44799999999999</v>
      </c>
      <c r="J5319" s="19">
        <v>2</v>
      </c>
      <c r="K5319" s="14">
        <v>2.64</v>
      </c>
    </row>
    <row r="5320" spans="1:11" x14ac:dyDescent="0.25">
      <c r="A5320" s="2">
        <v>44156</v>
      </c>
      <c r="B5320" s="18">
        <f t="shared" si="166"/>
        <v>2020</v>
      </c>
      <c r="C5320" s="18">
        <f t="shared" si="167"/>
        <v>11</v>
      </c>
      <c r="D5320" s="3" t="s">
        <v>1841</v>
      </c>
      <c r="E5320" s="3" t="s">
        <v>94</v>
      </c>
      <c r="F5320" s="3" t="s">
        <v>11</v>
      </c>
      <c r="G5320" s="3" t="s">
        <v>51</v>
      </c>
      <c r="H5320" s="3" t="s">
        <v>1715</v>
      </c>
      <c r="I5320" s="11">
        <v>142.41999999999999</v>
      </c>
      <c r="J5320" s="18">
        <v>1</v>
      </c>
      <c r="K5320" s="12">
        <v>11.2422</v>
      </c>
    </row>
    <row r="5321" spans="1:11" x14ac:dyDescent="0.25">
      <c r="A5321" s="4">
        <v>44156</v>
      </c>
      <c r="B5321" s="19">
        <f t="shared" si="166"/>
        <v>2020</v>
      </c>
      <c r="C5321" s="19">
        <f t="shared" si="167"/>
        <v>11</v>
      </c>
      <c r="D5321" s="5" t="s">
        <v>745</v>
      </c>
      <c r="E5321" s="5" t="s">
        <v>39</v>
      </c>
      <c r="F5321" s="5" t="s">
        <v>19</v>
      </c>
      <c r="G5321" s="5" t="s">
        <v>20</v>
      </c>
      <c r="H5321" s="5" t="s">
        <v>2565</v>
      </c>
      <c r="I5321" s="13">
        <v>148.29599999999999</v>
      </c>
      <c r="J5321" s="19">
        <v>4</v>
      </c>
      <c r="K5321" s="14">
        <v>3.9296000000000002</v>
      </c>
    </row>
    <row r="5322" spans="1:11" x14ac:dyDescent="0.25">
      <c r="A5322" s="2">
        <v>44156</v>
      </c>
      <c r="B5322" s="18">
        <f t="shared" si="166"/>
        <v>2020</v>
      </c>
      <c r="C5322" s="18">
        <f t="shared" si="167"/>
        <v>11</v>
      </c>
      <c r="D5322" s="3" t="s">
        <v>427</v>
      </c>
      <c r="E5322" s="3" t="s">
        <v>23</v>
      </c>
      <c r="F5322" s="3" t="s">
        <v>14</v>
      </c>
      <c r="G5322" s="3" t="s">
        <v>15</v>
      </c>
      <c r="H5322" s="3" t="s">
        <v>879</v>
      </c>
      <c r="I5322" s="11">
        <v>124.176</v>
      </c>
      <c r="J5322" s="18">
        <v>3</v>
      </c>
      <c r="K5322" s="12">
        <v>-12.4146</v>
      </c>
    </row>
    <row r="5323" spans="1:11" x14ac:dyDescent="0.25">
      <c r="A5323" s="4">
        <v>44156</v>
      </c>
      <c r="B5323" s="19">
        <f t="shared" si="166"/>
        <v>2020</v>
      </c>
      <c r="C5323" s="19">
        <f t="shared" si="167"/>
        <v>11</v>
      </c>
      <c r="D5323" s="5" t="s">
        <v>768</v>
      </c>
      <c r="E5323" s="5" t="s">
        <v>18</v>
      </c>
      <c r="F5323" s="5" t="s">
        <v>19</v>
      </c>
      <c r="G5323" s="5" t="s">
        <v>32</v>
      </c>
      <c r="H5323" s="5" t="s">
        <v>1768</v>
      </c>
      <c r="I5323" s="13">
        <v>129.73599999999999</v>
      </c>
      <c r="J5323" s="19">
        <v>2</v>
      </c>
      <c r="K5323" s="14">
        <v>14.7668</v>
      </c>
    </row>
    <row r="5324" spans="1:11" x14ac:dyDescent="0.25">
      <c r="A5324" s="2">
        <v>44156</v>
      </c>
      <c r="B5324" s="18">
        <f t="shared" si="166"/>
        <v>2020</v>
      </c>
      <c r="C5324" s="18">
        <f t="shared" si="167"/>
        <v>11</v>
      </c>
      <c r="D5324" s="3" t="s">
        <v>1636</v>
      </c>
      <c r="E5324" s="3" t="s">
        <v>70</v>
      </c>
      <c r="F5324" s="3" t="s">
        <v>11</v>
      </c>
      <c r="G5324" s="3" t="s">
        <v>30</v>
      </c>
      <c r="H5324" s="3" t="s">
        <v>480</v>
      </c>
      <c r="I5324" s="11">
        <v>173.98</v>
      </c>
      <c r="J5324" s="18">
        <v>1</v>
      </c>
      <c r="K5324" s="12">
        <v>20.584199999999999</v>
      </c>
    </row>
    <row r="5325" spans="1:11" x14ac:dyDescent="0.25">
      <c r="A5325" s="4">
        <v>44156</v>
      </c>
      <c r="B5325" s="19">
        <f t="shared" si="166"/>
        <v>2020</v>
      </c>
      <c r="C5325" s="19">
        <f t="shared" si="167"/>
        <v>11</v>
      </c>
      <c r="D5325" s="5" t="s">
        <v>770</v>
      </c>
      <c r="E5325" s="5" t="s">
        <v>18</v>
      </c>
      <c r="F5325" s="5" t="s">
        <v>19</v>
      </c>
      <c r="G5325" s="5" t="s">
        <v>20</v>
      </c>
      <c r="H5325" s="5" t="s">
        <v>555</v>
      </c>
      <c r="I5325" s="13">
        <v>160.56</v>
      </c>
      <c r="J5325" s="19">
        <v>2</v>
      </c>
      <c r="K5325" s="14">
        <v>15.2712</v>
      </c>
    </row>
    <row r="5326" spans="1:11" x14ac:dyDescent="0.25">
      <c r="A5326" s="2">
        <v>44157</v>
      </c>
      <c r="B5326" s="18">
        <f t="shared" si="166"/>
        <v>2020</v>
      </c>
      <c r="C5326" s="18">
        <f t="shared" si="167"/>
        <v>11</v>
      </c>
      <c r="D5326" s="3" t="s">
        <v>1775</v>
      </c>
      <c r="E5326" s="3" t="s">
        <v>23</v>
      </c>
      <c r="F5326" s="3" t="s">
        <v>19</v>
      </c>
      <c r="G5326" s="3" t="s">
        <v>40</v>
      </c>
      <c r="H5326" s="3" t="s">
        <v>990</v>
      </c>
      <c r="I5326" s="11">
        <v>207.71199999999999</v>
      </c>
      <c r="J5326" s="18">
        <v>8</v>
      </c>
      <c r="K5326" s="12">
        <v>2.2320000000000002</v>
      </c>
    </row>
    <row r="5327" spans="1:11" x14ac:dyDescent="0.25">
      <c r="A5327" s="4">
        <v>44158</v>
      </c>
      <c r="B5327" s="19">
        <f t="shared" si="166"/>
        <v>2020</v>
      </c>
      <c r="C5327" s="19">
        <f t="shared" si="167"/>
        <v>11</v>
      </c>
      <c r="D5327" s="5" t="s">
        <v>1244</v>
      </c>
      <c r="E5327" s="5" t="s">
        <v>23</v>
      </c>
      <c r="F5327" s="5" t="s">
        <v>19</v>
      </c>
      <c r="G5327" s="5" t="s">
        <v>53</v>
      </c>
      <c r="H5327" s="5" t="s">
        <v>713</v>
      </c>
      <c r="I5327" s="13">
        <v>102.304</v>
      </c>
      <c r="J5327" s="19">
        <v>2</v>
      </c>
      <c r="K5327" s="14">
        <v>29.364000000000001</v>
      </c>
    </row>
    <row r="5328" spans="1:11" x14ac:dyDescent="0.25">
      <c r="A5328" s="2">
        <v>44158</v>
      </c>
      <c r="B5328" s="18">
        <f t="shared" si="166"/>
        <v>2020</v>
      </c>
      <c r="C5328" s="18">
        <f t="shared" si="167"/>
        <v>11</v>
      </c>
      <c r="D5328" s="3" t="s">
        <v>511</v>
      </c>
      <c r="E5328" s="3" t="s">
        <v>35</v>
      </c>
      <c r="F5328" s="3" t="s">
        <v>14</v>
      </c>
      <c r="G5328" s="3" t="s">
        <v>24</v>
      </c>
      <c r="H5328" s="3" t="s">
        <v>2452</v>
      </c>
      <c r="I5328" s="11">
        <v>114.11199999999999</v>
      </c>
      <c r="J5328" s="18">
        <v>8</v>
      </c>
      <c r="K5328" s="12">
        <v>17.601600000000001</v>
      </c>
    </row>
    <row r="5329" spans="1:11" x14ac:dyDescent="0.25">
      <c r="A5329" s="4">
        <v>44158</v>
      </c>
      <c r="B5329" s="19">
        <f t="shared" si="166"/>
        <v>2020</v>
      </c>
      <c r="C5329" s="19">
        <f t="shared" si="167"/>
        <v>11</v>
      </c>
      <c r="D5329" s="5" t="s">
        <v>1244</v>
      </c>
      <c r="E5329" s="5" t="s">
        <v>23</v>
      </c>
      <c r="F5329" s="5" t="s">
        <v>11</v>
      </c>
      <c r="G5329" s="5" t="s">
        <v>30</v>
      </c>
      <c r="H5329" s="5" t="s">
        <v>1534</v>
      </c>
      <c r="I5329" s="13">
        <v>162.785</v>
      </c>
      <c r="J5329" s="19">
        <v>1</v>
      </c>
      <c r="K5329" s="14">
        <v>-31.0335</v>
      </c>
    </row>
    <row r="5330" spans="1:11" x14ac:dyDescent="0.25">
      <c r="A5330" s="2">
        <v>44158</v>
      </c>
      <c r="B5330" s="18">
        <f t="shared" si="166"/>
        <v>2020</v>
      </c>
      <c r="C5330" s="18">
        <f t="shared" si="167"/>
        <v>11</v>
      </c>
      <c r="D5330" s="3" t="s">
        <v>268</v>
      </c>
      <c r="E5330" s="3" t="s">
        <v>23</v>
      </c>
      <c r="F5330" s="3" t="s">
        <v>14</v>
      </c>
      <c r="G5330" s="3" t="s">
        <v>15</v>
      </c>
      <c r="H5330" s="3" t="s">
        <v>1113</v>
      </c>
      <c r="I5330" s="11">
        <v>221.96</v>
      </c>
      <c r="J5330" s="18">
        <v>5</v>
      </c>
      <c r="K5330" s="12">
        <v>19.596</v>
      </c>
    </row>
    <row r="5331" spans="1:11" x14ac:dyDescent="0.25">
      <c r="A5331" s="4">
        <v>44158</v>
      </c>
      <c r="B5331" s="19">
        <f t="shared" si="166"/>
        <v>2020</v>
      </c>
      <c r="C5331" s="19">
        <f t="shared" si="167"/>
        <v>11</v>
      </c>
      <c r="D5331" s="5" t="s">
        <v>2079</v>
      </c>
      <c r="E5331" s="5" t="s">
        <v>164</v>
      </c>
      <c r="F5331" s="5" t="s">
        <v>14</v>
      </c>
      <c r="G5331" s="5" t="s">
        <v>15</v>
      </c>
      <c r="H5331" s="5" t="s">
        <v>2138</v>
      </c>
      <c r="I5331" s="13">
        <v>235.38399999999999</v>
      </c>
      <c r="J5331" s="19">
        <v>2</v>
      </c>
      <c r="K5331" s="14">
        <v>16.678799999999999</v>
      </c>
    </row>
    <row r="5332" spans="1:11" x14ac:dyDescent="0.25">
      <c r="A5332" s="2">
        <v>44158</v>
      </c>
      <c r="B5332" s="18">
        <f t="shared" si="166"/>
        <v>2020</v>
      </c>
      <c r="C5332" s="18">
        <f t="shared" si="167"/>
        <v>11</v>
      </c>
      <c r="D5332" s="3" t="s">
        <v>1883</v>
      </c>
      <c r="E5332" s="3" t="s">
        <v>365</v>
      </c>
      <c r="F5332" s="3" t="s">
        <v>19</v>
      </c>
      <c r="G5332" s="3" t="s">
        <v>32</v>
      </c>
      <c r="H5332" s="3" t="s">
        <v>1817</v>
      </c>
      <c r="I5332" s="11">
        <v>297.92</v>
      </c>
      <c r="J5332" s="18">
        <v>8</v>
      </c>
      <c r="K5332" s="12">
        <v>138.20160000000001</v>
      </c>
    </row>
    <row r="5333" spans="1:11" x14ac:dyDescent="0.25">
      <c r="A5333" s="4">
        <v>44158</v>
      </c>
      <c r="B5333" s="19">
        <f t="shared" si="166"/>
        <v>2020</v>
      </c>
      <c r="C5333" s="19">
        <f t="shared" si="167"/>
        <v>11</v>
      </c>
      <c r="D5333" s="5" t="s">
        <v>489</v>
      </c>
      <c r="E5333" s="5" t="s">
        <v>365</v>
      </c>
      <c r="F5333" s="5" t="s">
        <v>19</v>
      </c>
      <c r="G5333" s="5" t="s">
        <v>265</v>
      </c>
      <c r="H5333" s="5" t="s">
        <v>538</v>
      </c>
      <c r="I5333" s="13">
        <v>88.36</v>
      </c>
      <c r="J5333" s="19">
        <v>2</v>
      </c>
      <c r="K5333" s="14">
        <v>0.1744</v>
      </c>
    </row>
    <row r="5334" spans="1:11" x14ac:dyDescent="0.25">
      <c r="A5334" s="2">
        <v>44158</v>
      </c>
      <c r="B5334" s="18">
        <f t="shared" si="166"/>
        <v>2020</v>
      </c>
      <c r="C5334" s="18">
        <f t="shared" si="167"/>
        <v>11</v>
      </c>
      <c r="D5334" s="3" t="s">
        <v>2079</v>
      </c>
      <c r="E5334" s="3" t="s">
        <v>164</v>
      </c>
      <c r="F5334" s="3" t="s">
        <v>11</v>
      </c>
      <c r="G5334" s="3" t="s">
        <v>51</v>
      </c>
      <c r="H5334" s="3" t="s">
        <v>1696</v>
      </c>
      <c r="I5334" s="11">
        <v>86.463999999999999</v>
      </c>
      <c r="J5334" s="18">
        <v>1</v>
      </c>
      <c r="K5334" s="12">
        <v>-4.04</v>
      </c>
    </row>
    <row r="5335" spans="1:11" x14ac:dyDescent="0.25">
      <c r="A5335" s="4">
        <v>44158</v>
      </c>
      <c r="B5335" s="19">
        <f t="shared" si="166"/>
        <v>2020</v>
      </c>
      <c r="C5335" s="19">
        <f t="shared" si="167"/>
        <v>11</v>
      </c>
      <c r="D5335" s="5" t="s">
        <v>1244</v>
      </c>
      <c r="E5335" s="5" t="s">
        <v>23</v>
      </c>
      <c r="F5335" s="5" t="s">
        <v>19</v>
      </c>
      <c r="G5335" s="5" t="s">
        <v>32</v>
      </c>
      <c r="H5335" s="5" t="s">
        <v>616</v>
      </c>
      <c r="I5335" s="13">
        <v>118.104</v>
      </c>
      <c r="J5335" s="19">
        <v>2</v>
      </c>
      <c r="K5335" s="14">
        <v>-9.1560000000000006</v>
      </c>
    </row>
    <row r="5336" spans="1:11" x14ac:dyDescent="0.25">
      <c r="A5336" s="2">
        <v>44158</v>
      </c>
      <c r="B5336" s="18">
        <f t="shared" si="166"/>
        <v>2020</v>
      </c>
      <c r="C5336" s="18">
        <f t="shared" si="167"/>
        <v>11</v>
      </c>
      <c r="D5336" s="3" t="s">
        <v>1604</v>
      </c>
      <c r="E5336" s="3" t="s">
        <v>39</v>
      </c>
      <c r="F5336" s="3" t="s">
        <v>19</v>
      </c>
      <c r="G5336" s="3" t="s">
        <v>32</v>
      </c>
      <c r="H5336" s="3" t="s">
        <v>947</v>
      </c>
      <c r="I5336" s="11">
        <v>115.476</v>
      </c>
      <c r="J5336" s="18">
        <v>1</v>
      </c>
      <c r="K5336" s="12">
        <v>-5.9808000000000003</v>
      </c>
    </row>
    <row r="5337" spans="1:11" x14ac:dyDescent="0.25">
      <c r="A5337" s="4">
        <v>44158</v>
      </c>
      <c r="B5337" s="19">
        <f t="shared" si="166"/>
        <v>2020</v>
      </c>
      <c r="C5337" s="19">
        <f t="shared" si="167"/>
        <v>11</v>
      </c>
      <c r="D5337" s="5" t="s">
        <v>1883</v>
      </c>
      <c r="E5337" s="5" t="s">
        <v>365</v>
      </c>
      <c r="F5337" s="5" t="s">
        <v>11</v>
      </c>
      <c r="G5337" s="5" t="s">
        <v>51</v>
      </c>
      <c r="H5337" s="5" t="s">
        <v>357</v>
      </c>
      <c r="I5337" s="13">
        <v>116.4</v>
      </c>
      <c r="J5337" s="19">
        <v>2</v>
      </c>
      <c r="K5337" s="14">
        <v>11.076000000000001</v>
      </c>
    </row>
    <row r="5338" spans="1:11" x14ac:dyDescent="0.25">
      <c r="A5338" s="2">
        <v>44158</v>
      </c>
      <c r="B5338" s="18">
        <f t="shared" si="166"/>
        <v>2020</v>
      </c>
      <c r="C5338" s="18">
        <f t="shared" si="167"/>
        <v>11</v>
      </c>
      <c r="D5338" s="3" t="s">
        <v>511</v>
      </c>
      <c r="E5338" s="3" t="s">
        <v>35</v>
      </c>
      <c r="F5338" s="3" t="s">
        <v>19</v>
      </c>
      <c r="G5338" s="3" t="s">
        <v>40</v>
      </c>
      <c r="H5338" s="3" t="s">
        <v>1419</v>
      </c>
      <c r="I5338" s="11">
        <v>107.304</v>
      </c>
      <c r="J5338" s="18">
        <v>1</v>
      </c>
      <c r="K5338" s="12">
        <v>1.0738000000000001</v>
      </c>
    </row>
    <row r="5339" spans="1:11" x14ac:dyDescent="0.25">
      <c r="A5339" s="4">
        <v>44158</v>
      </c>
      <c r="B5339" s="19">
        <f t="shared" si="166"/>
        <v>2020</v>
      </c>
      <c r="C5339" s="19">
        <f t="shared" si="167"/>
        <v>11</v>
      </c>
      <c r="D5339" s="5" t="s">
        <v>511</v>
      </c>
      <c r="E5339" s="5" t="s">
        <v>35</v>
      </c>
      <c r="F5339" s="5" t="s">
        <v>14</v>
      </c>
      <c r="G5339" s="5" t="s">
        <v>15</v>
      </c>
      <c r="H5339" s="5" t="s">
        <v>2566</v>
      </c>
      <c r="I5339" s="13">
        <v>115.992</v>
      </c>
      <c r="J5339" s="19">
        <v>1</v>
      </c>
      <c r="K5339" s="14">
        <v>2.0994000000000002</v>
      </c>
    </row>
    <row r="5340" spans="1:11" x14ac:dyDescent="0.25">
      <c r="A5340" s="2">
        <v>44158</v>
      </c>
      <c r="B5340" s="18">
        <f t="shared" si="166"/>
        <v>2020</v>
      </c>
      <c r="C5340" s="18">
        <f t="shared" si="167"/>
        <v>11</v>
      </c>
      <c r="D5340" s="3" t="s">
        <v>1140</v>
      </c>
      <c r="E5340" s="3" t="s">
        <v>164</v>
      </c>
      <c r="F5340" s="3" t="s">
        <v>19</v>
      </c>
      <c r="G5340" s="3" t="s">
        <v>53</v>
      </c>
      <c r="H5340" s="3" t="s">
        <v>96</v>
      </c>
      <c r="I5340" s="11">
        <v>116.688</v>
      </c>
      <c r="J5340" s="18">
        <v>2</v>
      </c>
      <c r="K5340" s="12">
        <v>3.7408000000000001</v>
      </c>
    </row>
    <row r="5341" spans="1:11" x14ac:dyDescent="0.25">
      <c r="A5341" s="4">
        <v>44158</v>
      </c>
      <c r="B5341" s="19">
        <f t="shared" si="166"/>
        <v>2020</v>
      </c>
      <c r="C5341" s="19">
        <f t="shared" si="167"/>
        <v>11</v>
      </c>
      <c r="D5341" s="5" t="s">
        <v>2079</v>
      </c>
      <c r="E5341" s="5" t="s">
        <v>164</v>
      </c>
      <c r="F5341" s="5" t="s">
        <v>19</v>
      </c>
      <c r="G5341" s="5" t="s">
        <v>127</v>
      </c>
      <c r="H5341" s="5" t="s">
        <v>1825</v>
      </c>
      <c r="I5341" s="13">
        <v>146.52000000000001</v>
      </c>
      <c r="J5341" s="19">
        <v>5</v>
      </c>
      <c r="K5341" s="14">
        <v>4.1760000000000002</v>
      </c>
    </row>
    <row r="5342" spans="1:11" x14ac:dyDescent="0.25">
      <c r="A5342" s="2">
        <v>44158</v>
      </c>
      <c r="B5342" s="18">
        <f t="shared" si="166"/>
        <v>2020</v>
      </c>
      <c r="C5342" s="18">
        <f t="shared" si="167"/>
        <v>11</v>
      </c>
      <c r="D5342" s="3" t="s">
        <v>111</v>
      </c>
      <c r="E5342" s="3" t="s">
        <v>39</v>
      </c>
      <c r="F5342" s="3" t="s">
        <v>11</v>
      </c>
      <c r="G5342" s="3" t="s">
        <v>51</v>
      </c>
      <c r="H5342" s="3" t="s">
        <v>829</v>
      </c>
      <c r="I5342" s="11">
        <v>138.048</v>
      </c>
      <c r="J5342" s="18">
        <v>9</v>
      </c>
      <c r="K5342" s="12">
        <v>7.2144000000000004</v>
      </c>
    </row>
    <row r="5343" spans="1:11" x14ac:dyDescent="0.25">
      <c r="A5343" s="4">
        <v>44158</v>
      </c>
      <c r="B5343" s="19">
        <f t="shared" si="166"/>
        <v>2020</v>
      </c>
      <c r="C5343" s="19">
        <f t="shared" si="167"/>
        <v>11</v>
      </c>
      <c r="D5343" s="5" t="s">
        <v>1244</v>
      </c>
      <c r="E5343" s="5" t="s">
        <v>23</v>
      </c>
      <c r="F5343" s="5" t="s">
        <v>19</v>
      </c>
      <c r="G5343" s="5" t="s">
        <v>53</v>
      </c>
      <c r="H5343" s="5" t="s">
        <v>1785</v>
      </c>
      <c r="I5343" s="13">
        <v>133.28800000000001</v>
      </c>
      <c r="J5343" s="19">
        <v>7</v>
      </c>
      <c r="K5343" s="14">
        <v>12.700799999999999</v>
      </c>
    </row>
    <row r="5344" spans="1:11" x14ac:dyDescent="0.25">
      <c r="A5344" s="2">
        <v>44159</v>
      </c>
      <c r="B5344" s="18">
        <f t="shared" si="166"/>
        <v>2020</v>
      </c>
      <c r="C5344" s="18">
        <f t="shared" si="167"/>
        <v>11</v>
      </c>
      <c r="D5344" s="3" t="s">
        <v>946</v>
      </c>
      <c r="E5344" s="3" t="s">
        <v>219</v>
      </c>
      <c r="F5344" s="3" t="s">
        <v>19</v>
      </c>
      <c r="G5344" s="3" t="s">
        <v>86</v>
      </c>
      <c r="H5344" s="3" t="s">
        <v>2069</v>
      </c>
      <c r="I5344" s="11">
        <v>106.848</v>
      </c>
      <c r="J5344" s="18">
        <v>7</v>
      </c>
      <c r="K5344" s="12">
        <v>24.318000000000001</v>
      </c>
    </row>
    <row r="5345" spans="1:11" x14ac:dyDescent="0.25">
      <c r="A5345" s="4">
        <v>44159</v>
      </c>
      <c r="B5345" s="19">
        <f t="shared" si="166"/>
        <v>2020</v>
      </c>
      <c r="C5345" s="19">
        <f t="shared" si="167"/>
        <v>11</v>
      </c>
      <c r="D5345" s="5" t="s">
        <v>2150</v>
      </c>
      <c r="E5345" s="5" t="s">
        <v>1148</v>
      </c>
      <c r="F5345" s="5" t="s">
        <v>14</v>
      </c>
      <c r="G5345" s="5" t="s">
        <v>15</v>
      </c>
      <c r="H5345" s="5" t="s">
        <v>2438</v>
      </c>
      <c r="I5345" s="13">
        <v>114.1</v>
      </c>
      <c r="J5345" s="19">
        <v>2</v>
      </c>
      <c r="K5345" s="14">
        <v>39.549999999999997</v>
      </c>
    </row>
    <row r="5346" spans="1:11" x14ac:dyDescent="0.25">
      <c r="A5346" s="2">
        <v>44159</v>
      </c>
      <c r="B5346" s="18">
        <f t="shared" si="166"/>
        <v>2020</v>
      </c>
      <c r="C5346" s="18">
        <f t="shared" si="167"/>
        <v>11</v>
      </c>
      <c r="D5346" s="3" t="s">
        <v>2481</v>
      </c>
      <c r="E5346" s="3" t="s">
        <v>39</v>
      </c>
      <c r="F5346" s="3" t="s">
        <v>14</v>
      </c>
      <c r="G5346" s="3" t="s">
        <v>15</v>
      </c>
      <c r="H5346" s="3" t="s">
        <v>1209</v>
      </c>
      <c r="I5346" s="11">
        <v>126.988</v>
      </c>
      <c r="J5346" s="18">
        <v>2</v>
      </c>
      <c r="K5346" s="12">
        <v>-14.997999999999999</v>
      </c>
    </row>
    <row r="5347" spans="1:11" x14ac:dyDescent="0.25">
      <c r="A5347" s="4">
        <v>44159</v>
      </c>
      <c r="B5347" s="19">
        <f t="shared" si="166"/>
        <v>2020</v>
      </c>
      <c r="C5347" s="19">
        <f t="shared" si="167"/>
        <v>11</v>
      </c>
      <c r="D5347" s="5" t="s">
        <v>2065</v>
      </c>
      <c r="E5347" s="5" t="s">
        <v>94</v>
      </c>
      <c r="F5347" s="5" t="s">
        <v>19</v>
      </c>
      <c r="G5347" s="5" t="s">
        <v>86</v>
      </c>
      <c r="H5347" s="5" t="s">
        <v>209</v>
      </c>
      <c r="I5347" s="13">
        <v>194.96</v>
      </c>
      <c r="J5347" s="19">
        <v>2</v>
      </c>
      <c r="K5347" s="14">
        <v>78.941199999999995</v>
      </c>
    </row>
    <row r="5348" spans="1:11" x14ac:dyDescent="0.25">
      <c r="A5348" s="2">
        <v>44159</v>
      </c>
      <c r="B5348" s="18">
        <f t="shared" si="166"/>
        <v>2020</v>
      </c>
      <c r="C5348" s="18">
        <f t="shared" si="167"/>
        <v>11</v>
      </c>
      <c r="D5348" s="3" t="s">
        <v>734</v>
      </c>
      <c r="E5348" s="3" t="s">
        <v>18</v>
      </c>
      <c r="F5348" s="3" t="s">
        <v>14</v>
      </c>
      <c r="G5348" s="3" t="s">
        <v>24</v>
      </c>
      <c r="H5348" s="3" t="s">
        <v>2016</v>
      </c>
      <c r="I5348" s="11">
        <v>249.58</v>
      </c>
      <c r="J5348" s="18">
        <v>14</v>
      </c>
      <c r="K5348" s="12">
        <v>87.196200000000005</v>
      </c>
    </row>
    <row r="5349" spans="1:11" x14ac:dyDescent="0.25">
      <c r="A5349" s="4">
        <v>44159</v>
      </c>
      <c r="B5349" s="19">
        <f t="shared" si="166"/>
        <v>2020</v>
      </c>
      <c r="C5349" s="19">
        <f t="shared" si="167"/>
        <v>11</v>
      </c>
      <c r="D5349" s="5" t="s">
        <v>2481</v>
      </c>
      <c r="E5349" s="5" t="s">
        <v>39</v>
      </c>
      <c r="F5349" s="5" t="s">
        <v>19</v>
      </c>
      <c r="G5349" s="5" t="s">
        <v>53</v>
      </c>
      <c r="H5349" s="5" t="s">
        <v>1436</v>
      </c>
      <c r="I5349" s="13">
        <v>265.54399999999998</v>
      </c>
      <c r="J5349" s="19">
        <v>7</v>
      </c>
      <c r="K5349" s="14">
        <v>83.209699999999998</v>
      </c>
    </row>
    <row r="5350" spans="1:11" x14ac:dyDescent="0.25">
      <c r="A5350" s="2">
        <v>44159</v>
      </c>
      <c r="B5350" s="18">
        <f t="shared" si="166"/>
        <v>2020</v>
      </c>
      <c r="C5350" s="18">
        <f t="shared" si="167"/>
        <v>11</v>
      </c>
      <c r="D5350" s="3" t="s">
        <v>2150</v>
      </c>
      <c r="E5350" s="3" t="s">
        <v>1148</v>
      </c>
      <c r="F5350" s="3" t="s">
        <v>19</v>
      </c>
      <c r="G5350" s="3" t="s">
        <v>32</v>
      </c>
      <c r="H5350" s="3" t="s">
        <v>1503</v>
      </c>
      <c r="I5350" s="11">
        <v>337.84</v>
      </c>
      <c r="J5350" s="18">
        <v>8</v>
      </c>
      <c r="K5350" s="12">
        <v>157.36320000000001</v>
      </c>
    </row>
    <row r="5351" spans="1:11" x14ac:dyDescent="0.25">
      <c r="A5351" s="4">
        <v>44159</v>
      </c>
      <c r="B5351" s="19">
        <f t="shared" si="166"/>
        <v>2020</v>
      </c>
      <c r="C5351" s="19">
        <f t="shared" si="167"/>
        <v>11</v>
      </c>
      <c r="D5351" s="5" t="s">
        <v>2065</v>
      </c>
      <c r="E5351" s="5" t="s">
        <v>94</v>
      </c>
      <c r="F5351" s="5" t="s">
        <v>11</v>
      </c>
      <c r="G5351" s="5" t="s">
        <v>12</v>
      </c>
      <c r="H5351" s="5" t="s">
        <v>1658</v>
      </c>
      <c r="I5351" s="13">
        <v>371.56799999999998</v>
      </c>
      <c r="J5351" s="19">
        <v>2</v>
      </c>
      <c r="K5351" s="14">
        <v>-16.078399999999998</v>
      </c>
    </row>
    <row r="5352" spans="1:11" x14ac:dyDescent="0.25">
      <c r="A5352" s="2">
        <v>44159</v>
      </c>
      <c r="B5352" s="18">
        <f t="shared" si="166"/>
        <v>2020</v>
      </c>
      <c r="C5352" s="18">
        <f t="shared" si="167"/>
        <v>11</v>
      </c>
      <c r="D5352" s="3" t="s">
        <v>612</v>
      </c>
      <c r="E5352" s="3" t="s">
        <v>18</v>
      </c>
      <c r="F5352" s="3" t="s">
        <v>11</v>
      </c>
      <c r="G5352" s="3" t="s">
        <v>30</v>
      </c>
      <c r="H5352" s="3" t="s">
        <v>31</v>
      </c>
      <c r="I5352" s="11">
        <v>396.08</v>
      </c>
      <c r="J5352" s="18">
        <v>2</v>
      </c>
      <c r="K5352" s="12">
        <v>9.1020000000000003</v>
      </c>
    </row>
    <row r="5353" spans="1:11" x14ac:dyDescent="0.25">
      <c r="A5353" s="4">
        <v>44159</v>
      </c>
      <c r="B5353" s="19">
        <f t="shared" si="166"/>
        <v>2020</v>
      </c>
      <c r="C5353" s="19">
        <f t="shared" si="167"/>
        <v>11</v>
      </c>
      <c r="D5353" s="5" t="s">
        <v>498</v>
      </c>
      <c r="E5353" s="5" t="s">
        <v>198</v>
      </c>
      <c r="F5353" s="5" t="s">
        <v>19</v>
      </c>
      <c r="G5353" s="5" t="s">
        <v>20</v>
      </c>
      <c r="H5353" s="5" t="s">
        <v>617</v>
      </c>
      <c r="I5353" s="13">
        <v>450.87200000000001</v>
      </c>
      <c r="J5353" s="19">
        <v>8</v>
      </c>
      <c r="K5353" s="14">
        <v>-41.587200000000003</v>
      </c>
    </row>
    <row r="5354" spans="1:11" x14ac:dyDescent="0.25">
      <c r="A5354" s="2">
        <v>44159</v>
      </c>
      <c r="B5354" s="18">
        <f t="shared" si="166"/>
        <v>2020</v>
      </c>
      <c r="C5354" s="18">
        <f t="shared" si="167"/>
        <v>11</v>
      </c>
      <c r="D5354" s="3" t="s">
        <v>2276</v>
      </c>
      <c r="E5354" s="3" t="s">
        <v>94</v>
      </c>
      <c r="F5354" s="3" t="s">
        <v>11</v>
      </c>
      <c r="G5354" s="3" t="s">
        <v>112</v>
      </c>
      <c r="H5354" s="3" t="s">
        <v>114</v>
      </c>
      <c r="I5354" s="11">
        <v>1000.292</v>
      </c>
      <c r="J5354" s="18">
        <v>6</v>
      </c>
      <c r="K5354" s="12">
        <v>173.74080000000001</v>
      </c>
    </row>
    <row r="5355" spans="1:11" x14ac:dyDescent="0.25">
      <c r="A5355" s="4">
        <v>44159</v>
      </c>
      <c r="B5355" s="19">
        <f t="shared" si="166"/>
        <v>2020</v>
      </c>
      <c r="C5355" s="19">
        <f t="shared" si="167"/>
        <v>11</v>
      </c>
      <c r="D5355" s="5" t="s">
        <v>1008</v>
      </c>
      <c r="E5355" s="5" t="s">
        <v>195</v>
      </c>
      <c r="F5355" s="5" t="s">
        <v>19</v>
      </c>
      <c r="G5355" s="5" t="s">
        <v>20</v>
      </c>
      <c r="H5355" s="5" t="s">
        <v>141</v>
      </c>
      <c r="I5355" s="13">
        <v>1484.96</v>
      </c>
      <c r="J5355" s="19">
        <v>12</v>
      </c>
      <c r="K5355" s="14">
        <v>375.42959999999999</v>
      </c>
    </row>
    <row r="5356" spans="1:11" x14ac:dyDescent="0.25">
      <c r="A5356" s="2">
        <v>44159</v>
      </c>
      <c r="B5356" s="18">
        <f t="shared" si="166"/>
        <v>2020</v>
      </c>
      <c r="C5356" s="18">
        <f t="shared" si="167"/>
        <v>11</v>
      </c>
      <c r="D5356" s="3" t="s">
        <v>2421</v>
      </c>
      <c r="E5356" s="3" t="s">
        <v>18</v>
      </c>
      <c r="F5356" s="3" t="s">
        <v>19</v>
      </c>
      <c r="G5356" s="3" t="s">
        <v>53</v>
      </c>
      <c r="H5356" s="3" t="s">
        <v>2146</v>
      </c>
      <c r="I5356" s="11">
        <v>105.78</v>
      </c>
      <c r="J5356" s="18">
        <v>1</v>
      </c>
      <c r="K5356" s="12">
        <v>3.5009999999999999</v>
      </c>
    </row>
    <row r="5357" spans="1:11" x14ac:dyDescent="0.25">
      <c r="A5357" s="4">
        <v>44159</v>
      </c>
      <c r="B5357" s="19">
        <f t="shared" si="166"/>
        <v>2020</v>
      </c>
      <c r="C5357" s="19">
        <f t="shared" si="167"/>
        <v>11</v>
      </c>
      <c r="D5357" s="5" t="s">
        <v>946</v>
      </c>
      <c r="E5357" s="5" t="s">
        <v>219</v>
      </c>
      <c r="F5357" s="5" t="s">
        <v>19</v>
      </c>
      <c r="G5357" s="5" t="s">
        <v>32</v>
      </c>
      <c r="H5357" s="5" t="s">
        <v>2405</v>
      </c>
      <c r="I5357" s="13">
        <v>101.673</v>
      </c>
      <c r="J5357" s="19">
        <v>3</v>
      </c>
      <c r="K5357" s="14">
        <v>-7.782</v>
      </c>
    </row>
    <row r="5358" spans="1:11" x14ac:dyDescent="0.25">
      <c r="A5358" s="2">
        <v>44159</v>
      </c>
      <c r="B5358" s="18">
        <f t="shared" si="166"/>
        <v>2020</v>
      </c>
      <c r="C5358" s="18">
        <f t="shared" si="167"/>
        <v>11</v>
      </c>
      <c r="D5358" s="3" t="s">
        <v>261</v>
      </c>
      <c r="E5358" s="3" t="s">
        <v>23</v>
      </c>
      <c r="F5358" s="3" t="s">
        <v>19</v>
      </c>
      <c r="G5358" s="3" t="s">
        <v>116</v>
      </c>
      <c r="H5358" s="3" t="s">
        <v>785</v>
      </c>
      <c r="I5358" s="11">
        <v>99.823999999999998</v>
      </c>
      <c r="J5358" s="18">
        <v>3</v>
      </c>
      <c r="K5358" s="12">
        <v>2.5707</v>
      </c>
    </row>
    <row r="5359" spans="1:11" x14ac:dyDescent="0.25">
      <c r="A5359" s="4">
        <v>44159</v>
      </c>
      <c r="B5359" s="19">
        <f t="shared" si="166"/>
        <v>2020</v>
      </c>
      <c r="C5359" s="19">
        <f t="shared" si="167"/>
        <v>11</v>
      </c>
      <c r="D5359" s="5" t="s">
        <v>498</v>
      </c>
      <c r="E5359" s="5" t="s">
        <v>198</v>
      </c>
      <c r="F5359" s="5" t="s">
        <v>19</v>
      </c>
      <c r="G5359" s="5" t="s">
        <v>32</v>
      </c>
      <c r="H5359" s="5" t="s">
        <v>2411</v>
      </c>
      <c r="I5359" s="13">
        <v>107.724</v>
      </c>
      <c r="J5359" s="19">
        <v>2</v>
      </c>
      <c r="K5359" s="14">
        <v>-15.1976</v>
      </c>
    </row>
    <row r="5360" spans="1:11" x14ac:dyDescent="0.25">
      <c r="A5360" s="2">
        <v>44159</v>
      </c>
      <c r="B5360" s="18">
        <f t="shared" si="166"/>
        <v>2020</v>
      </c>
      <c r="C5360" s="18">
        <f t="shared" si="167"/>
        <v>11</v>
      </c>
      <c r="D5360" s="3" t="s">
        <v>2065</v>
      </c>
      <c r="E5360" s="3" t="s">
        <v>94</v>
      </c>
      <c r="F5360" s="3" t="s">
        <v>19</v>
      </c>
      <c r="G5360" s="3" t="s">
        <v>53</v>
      </c>
      <c r="H5360" s="3" t="s">
        <v>2026</v>
      </c>
      <c r="I5360" s="11">
        <v>111.96</v>
      </c>
      <c r="J5360" s="18">
        <v>2</v>
      </c>
      <c r="K5360" s="12">
        <v>6.2207999999999997</v>
      </c>
    </row>
    <row r="5361" spans="1:11" x14ac:dyDescent="0.25">
      <c r="A5361" s="4">
        <v>44159</v>
      </c>
      <c r="B5361" s="19">
        <f t="shared" si="166"/>
        <v>2020</v>
      </c>
      <c r="C5361" s="19">
        <f t="shared" si="167"/>
        <v>11</v>
      </c>
      <c r="D5361" s="5" t="s">
        <v>2065</v>
      </c>
      <c r="E5361" s="5" t="s">
        <v>94</v>
      </c>
      <c r="F5361" s="5" t="s">
        <v>19</v>
      </c>
      <c r="G5361" s="5" t="s">
        <v>40</v>
      </c>
      <c r="H5361" s="5" t="s">
        <v>1551</v>
      </c>
      <c r="I5361" s="13">
        <v>128.38</v>
      </c>
      <c r="J5361" s="19">
        <v>9</v>
      </c>
      <c r="K5361" s="14">
        <v>7.3710000000000004</v>
      </c>
    </row>
    <row r="5362" spans="1:11" x14ac:dyDescent="0.25">
      <c r="A5362" s="2">
        <v>44159</v>
      </c>
      <c r="B5362" s="18">
        <f t="shared" si="166"/>
        <v>2020</v>
      </c>
      <c r="C5362" s="18">
        <f t="shared" si="167"/>
        <v>11</v>
      </c>
      <c r="D5362" s="3" t="s">
        <v>2276</v>
      </c>
      <c r="E5362" s="3" t="s">
        <v>94</v>
      </c>
      <c r="F5362" s="3" t="s">
        <v>19</v>
      </c>
      <c r="G5362" s="3" t="s">
        <v>53</v>
      </c>
      <c r="H5362" s="3" t="s">
        <v>500</v>
      </c>
      <c r="I5362" s="11">
        <v>123.88</v>
      </c>
      <c r="J5362" s="18">
        <v>1</v>
      </c>
      <c r="K5362" s="12">
        <v>2.8812000000000002</v>
      </c>
    </row>
    <row r="5363" spans="1:11" x14ac:dyDescent="0.25">
      <c r="A5363" s="4">
        <v>44159</v>
      </c>
      <c r="B5363" s="19">
        <f t="shared" si="166"/>
        <v>2020</v>
      </c>
      <c r="C5363" s="19">
        <f t="shared" si="167"/>
        <v>11</v>
      </c>
      <c r="D5363" s="5" t="s">
        <v>313</v>
      </c>
      <c r="E5363" s="5" t="s">
        <v>23</v>
      </c>
      <c r="F5363" s="5" t="s">
        <v>19</v>
      </c>
      <c r="G5363" s="5" t="s">
        <v>121</v>
      </c>
      <c r="H5363" s="5" t="s">
        <v>1146</v>
      </c>
      <c r="I5363" s="13">
        <v>118.762</v>
      </c>
      <c r="J5363" s="19">
        <v>1</v>
      </c>
      <c r="K5363" s="14">
        <v>-24.771599999999999</v>
      </c>
    </row>
    <row r="5364" spans="1:11" x14ac:dyDescent="0.25">
      <c r="A5364" s="2">
        <v>44159</v>
      </c>
      <c r="B5364" s="18">
        <f t="shared" si="166"/>
        <v>2020</v>
      </c>
      <c r="C5364" s="18">
        <f t="shared" si="167"/>
        <v>11</v>
      </c>
      <c r="D5364" s="3" t="s">
        <v>951</v>
      </c>
      <c r="E5364" s="3" t="s">
        <v>1051</v>
      </c>
      <c r="F5364" s="3" t="s">
        <v>19</v>
      </c>
      <c r="G5364" s="3" t="s">
        <v>20</v>
      </c>
      <c r="H5364" s="3" t="s">
        <v>1714</v>
      </c>
      <c r="I5364" s="11">
        <v>133.29</v>
      </c>
      <c r="J5364" s="18">
        <v>1</v>
      </c>
      <c r="K5364" s="12">
        <v>7.9896000000000003</v>
      </c>
    </row>
    <row r="5365" spans="1:11" x14ac:dyDescent="0.25">
      <c r="A5365" s="4">
        <v>44159</v>
      </c>
      <c r="B5365" s="19">
        <f t="shared" si="166"/>
        <v>2020</v>
      </c>
      <c r="C5365" s="19">
        <f t="shared" si="167"/>
        <v>11</v>
      </c>
      <c r="D5365" s="5" t="s">
        <v>2310</v>
      </c>
      <c r="E5365" s="5" t="s">
        <v>35</v>
      </c>
      <c r="F5365" s="5" t="s">
        <v>19</v>
      </c>
      <c r="G5365" s="5" t="s">
        <v>32</v>
      </c>
      <c r="H5365" s="5" t="s">
        <v>476</v>
      </c>
      <c r="I5365" s="13">
        <v>132.00800000000001</v>
      </c>
      <c r="J5365" s="19">
        <v>8</v>
      </c>
      <c r="K5365" s="14">
        <v>-12.672000000000001</v>
      </c>
    </row>
    <row r="5366" spans="1:11" x14ac:dyDescent="0.25">
      <c r="A5366" s="2">
        <v>44159</v>
      </c>
      <c r="B5366" s="18">
        <f t="shared" si="166"/>
        <v>2020</v>
      </c>
      <c r="C5366" s="18">
        <f t="shared" si="167"/>
        <v>11</v>
      </c>
      <c r="D5366" s="3" t="s">
        <v>1008</v>
      </c>
      <c r="E5366" s="3" t="s">
        <v>195</v>
      </c>
      <c r="F5366" s="3" t="s">
        <v>19</v>
      </c>
      <c r="G5366" s="3" t="s">
        <v>32</v>
      </c>
      <c r="H5366" s="3" t="s">
        <v>168</v>
      </c>
      <c r="I5366" s="11">
        <v>117.88</v>
      </c>
      <c r="J5366" s="18">
        <v>1</v>
      </c>
      <c r="K5366" s="12">
        <v>1.4112</v>
      </c>
    </row>
    <row r="5367" spans="1:11" x14ac:dyDescent="0.25">
      <c r="A5367" s="4">
        <v>44159</v>
      </c>
      <c r="B5367" s="19">
        <f t="shared" si="166"/>
        <v>2020</v>
      </c>
      <c r="C5367" s="19">
        <f t="shared" si="167"/>
        <v>11</v>
      </c>
      <c r="D5367" s="5" t="s">
        <v>247</v>
      </c>
      <c r="E5367" s="5" t="s">
        <v>18</v>
      </c>
      <c r="F5367" s="5" t="s">
        <v>19</v>
      </c>
      <c r="G5367" s="5" t="s">
        <v>40</v>
      </c>
      <c r="H5367" s="5" t="s">
        <v>906</v>
      </c>
      <c r="I5367" s="13">
        <v>117.76</v>
      </c>
      <c r="J5367" s="19">
        <v>4</v>
      </c>
      <c r="K5367" s="14">
        <v>9.9936000000000007</v>
      </c>
    </row>
    <row r="5368" spans="1:11" x14ac:dyDescent="0.25">
      <c r="A5368" s="2">
        <v>44159</v>
      </c>
      <c r="B5368" s="18">
        <f t="shared" si="166"/>
        <v>2020</v>
      </c>
      <c r="C5368" s="18">
        <f t="shared" si="167"/>
        <v>11</v>
      </c>
      <c r="D5368" s="3" t="s">
        <v>612</v>
      </c>
      <c r="E5368" s="3" t="s">
        <v>18</v>
      </c>
      <c r="F5368" s="3" t="s">
        <v>11</v>
      </c>
      <c r="G5368" s="3" t="s">
        <v>30</v>
      </c>
      <c r="H5368" s="3" t="s">
        <v>778</v>
      </c>
      <c r="I5368" s="11">
        <v>163.08799999999999</v>
      </c>
      <c r="J5368" s="18">
        <v>2</v>
      </c>
      <c r="K5368" s="12">
        <v>-1.7771999999999999</v>
      </c>
    </row>
    <row r="5369" spans="1:11" x14ac:dyDescent="0.25">
      <c r="A5369" s="4">
        <v>44160</v>
      </c>
      <c r="B5369" s="19">
        <f t="shared" si="166"/>
        <v>2020</v>
      </c>
      <c r="C5369" s="19">
        <f t="shared" si="167"/>
        <v>11</v>
      </c>
      <c r="D5369" s="5" t="s">
        <v>454</v>
      </c>
      <c r="E5369" s="5" t="s">
        <v>23</v>
      </c>
      <c r="F5369" s="5" t="s">
        <v>19</v>
      </c>
      <c r="G5369" s="5" t="s">
        <v>121</v>
      </c>
      <c r="H5369" s="5" t="s">
        <v>1874</v>
      </c>
      <c r="I5369" s="13">
        <v>104.84</v>
      </c>
      <c r="J5369" s="19">
        <v>5</v>
      </c>
      <c r="K5369" s="14">
        <v>-179.77600000000001</v>
      </c>
    </row>
    <row r="5370" spans="1:11" x14ac:dyDescent="0.25">
      <c r="A5370" s="2">
        <v>44160</v>
      </c>
      <c r="B5370" s="18">
        <f t="shared" si="166"/>
        <v>2020</v>
      </c>
      <c r="C5370" s="18">
        <f t="shared" si="167"/>
        <v>11</v>
      </c>
      <c r="D5370" s="3" t="s">
        <v>454</v>
      </c>
      <c r="E5370" s="3" t="s">
        <v>23</v>
      </c>
      <c r="F5370" s="3" t="s">
        <v>14</v>
      </c>
      <c r="G5370" s="3" t="s">
        <v>15</v>
      </c>
      <c r="H5370" s="3" t="s">
        <v>1209</v>
      </c>
      <c r="I5370" s="11">
        <v>342.96</v>
      </c>
      <c r="J5370" s="18">
        <v>5</v>
      </c>
      <c r="K5370" s="12">
        <v>37.494999999999997</v>
      </c>
    </row>
    <row r="5371" spans="1:11" x14ac:dyDescent="0.25">
      <c r="A5371" s="4">
        <v>44160</v>
      </c>
      <c r="B5371" s="19">
        <f t="shared" si="166"/>
        <v>2020</v>
      </c>
      <c r="C5371" s="19">
        <f t="shared" si="167"/>
        <v>11</v>
      </c>
      <c r="D5371" s="5" t="s">
        <v>2108</v>
      </c>
      <c r="E5371" s="5" t="s">
        <v>18</v>
      </c>
      <c r="F5371" s="5" t="s">
        <v>11</v>
      </c>
      <c r="G5371" s="5" t="s">
        <v>12</v>
      </c>
      <c r="H5371" s="5" t="s">
        <v>120</v>
      </c>
      <c r="I5371" s="13">
        <v>387.49900000000002</v>
      </c>
      <c r="J5371" s="19">
        <v>3</v>
      </c>
      <c r="K5371" s="14">
        <v>-29.605799999999999</v>
      </c>
    </row>
    <row r="5372" spans="1:11" x14ac:dyDescent="0.25">
      <c r="A5372" s="2">
        <v>44160</v>
      </c>
      <c r="B5372" s="18">
        <f t="shared" si="166"/>
        <v>2020</v>
      </c>
      <c r="C5372" s="18">
        <f t="shared" si="167"/>
        <v>11</v>
      </c>
      <c r="D5372" s="3" t="s">
        <v>1464</v>
      </c>
      <c r="E5372" s="3" t="s">
        <v>365</v>
      </c>
      <c r="F5372" s="3" t="s">
        <v>19</v>
      </c>
      <c r="G5372" s="3" t="s">
        <v>20</v>
      </c>
      <c r="H5372" s="3" t="s">
        <v>2228</v>
      </c>
      <c r="I5372" s="11">
        <v>526.80999999999995</v>
      </c>
      <c r="J5372" s="18">
        <v>3</v>
      </c>
      <c r="K5372" s="12">
        <v>0</v>
      </c>
    </row>
    <row r="5373" spans="1:11" x14ac:dyDescent="0.25">
      <c r="A5373" s="4">
        <v>44160</v>
      </c>
      <c r="B5373" s="19">
        <f t="shared" si="166"/>
        <v>2020</v>
      </c>
      <c r="C5373" s="19">
        <f t="shared" si="167"/>
        <v>11</v>
      </c>
      <c r="D5373" s="5" t="s">
        <v>1585</v>
      </c>
      <c r="E5373" s="5" t="s">
        <v>195</v>
      </c>
      <c r="F5373" s="5" t="s">
        <v>11</v>
      </c>
      <c r="G5373" s="5" t="s">
        <v>112</v>
      </c>
      <c r="H5373" s="5" t="s">
        <v>1592</v>
      </c>
      <c r="I5373" s="13">
        <v>714.96</v>
      </c>
      <c r="J5373" s="19">
        <v>2</v>
      </c>
      <c r="K5373" s="14">
        <v>168.47040000000001</v>
      </c>
    </row>
    <row r="5374" spans="1:11" x14ac:dyDescent="0.25">
      <c r="A5374" s="2">
        <v>44160</v>
      </c>
      <c r="B5374" s="18">
        <f t="shared" si="166"/>
        <v>2020</v>
      </c>
      <c r="C5374" s="18">
        <f t="shared" si="167"/>
        <v>11</v>
      </c>
      <c r="D5374" s="3" t="s">
        <v>427</v>
      </c>
      <c r="E5374" s="3" t="s">
        <v>44</v>
      </c>
      <c r="F5374" s="3" t="s">
        <v>11</v>
      </c>
      <c r="G5374" s="3" t="s">
        <v>12</v>
      </c>
      <c r="H5374" s="3" t="s">
        <v>2498</v>
      </c>
      <c r="I5374" s="11">
        <v>768.92</v>
      </c>
      <c r="J5374" s="18">
        <v>5</v>
      </c>
      <c r="K5374" s="12">
        <v>-81.441000000000003</v>
      </c>
    </row>
    <row r="5375" spans="1:11" x14ac:dyDescent="0.25">
      <c r="A5375" s="4">
        <v>44160</v>
      </c>
      <c r="B5375" s="19">
        <f t="shared" si="166"/>
        <v>2020</v>
      </c>
      <c r="C5375" s="19">
        <f t="shared" si="167"/>
        <v>11</v>
      </c>
      <c r="D5375" s="5" t="s">
        <v>454</v>
      </c>
      <c r="E5375" s="5" t="s">
        <v>23</v>
      </c>
      <c r="F5375" s="5" t="s">
        <v>11</v>
      </c>
      <c r="G5375" s="5" t="s">
        <v>112</v>
      </c>
      <c r="H5375" s="5" t="s">
        <v>1163</v>
      </c>
      <c r="I5375" s="13">
        <v>899.93</v>
      </c>
      <c r="J5375" s="19">
        <v>5</v>
      </c>
      <c r="K5375" s="14">
        <v>-24.398</v>
      </c>
    </row>
    <row r="5376" spans="1:11" x14ac:dyDescent="0.25">
      <c r="A5376" s="2">
        <v>44160</v>
      </c>
      <c r="B5376" s="18">
        <f t="shared" si="166"/>
        <v>2020</v>
      </c>
      <c r="C5376" s="18">
        <f t="shared" si="167"/>
        <v>11</v>
      </c>
      <c r="D5376" s="3" t="s">
        <v>2108</v>
      </c>
      <c r="E5376" s="3" t="s">
        <v>18</v>
      </c>
      <c r="F5376" s="3" t="s">
        <v>19</v>
      </c>
      <c r="G5376" s="3" t="s">
        <v>20</v>
      </c>
      <c r="H5376" s="3" t="s">
        <v>1197</v>
      </c>
      <c r="I5376" s="11">
        <v>111.48</v>
      </c>
      <c r="J5376" s="18">
        <v>1</v>
      </c>
      <c r="K5376" s="12">
        <v>2.8296000000000001</v>
      </c>
    </row>
    <row r="5377" spans="1:11" x14ac:dyDescent="0.25">
      <c r="A5377" s="4">
        <v>44160</v>
      </c>
      <c r="B5377" s="19">
        <f t="shared" si="166"/>
        <v>2020</v>
      </c>
      <c r="C5377" s="19">
        <f t="shared" si="167"/>
        <v>11</v>
      </c>
      <c r="D5377" s="5" t="s">
        <v>285</v>
      </c>
      <c r="E5377" s="5" t="s">
        <v>18</v>
      </c>
      <c r="F5377" s="5" t="s">
        <v>19</v>
      </c>
      <c r="G5377" s="5" t="s">
        <v>40</v>
      </c>
      <c r="H5377" s="5" t="s">
        <v>1089</v>
      </c>
      <c r="I5377" s="13">
        <v>100.16</v>
      </c>
      <c r="J5377" s="19">
        <v>2</v>
      </c>
      <c r="K5377" s="14">
        <v>1.3415999999999999</v>
      </c>
    </row>
    <row r="5378" spans="1:11" x14ac:dyDescent="0.25">
      <c r="A5378" s="2">
        <v>44160</v>
      </c>
      <c r="B5378" s="18">
        <f t="shared" ref="B5378:B5441" si="168">YEAR(A5378)</f>
        <v>2020</v>
      </c>
      <c r="C5378" s="18">
        <f t="shared" ref="C5378:C5441" si="169">MONTH(A5378)</f>
        <v>11</v>
      </c>
      <c r="D5378" s="3" t="s">
        <v>454</v>
      </c>
      <c r="E5378" s="3" t="s">
        <v>23</v>
      </c>
      <c r="F5378" s="3" t="s">
        <v>19</v>
      </c>
      <c r="G5378" s="3" t="s">
        <v>40</v>
      </c>
      <c r="H5378" s="3" t="s">
        <v>1267</v>
      </c>
      <c r="I5378" s="11">
        <v>130.68799999999999</v>
      </c>
      <c r="J5378" s="18">
        <v>4</v>
      </c>
      <c r="K5378" s="12">
        <v>3.7376</v>
      </c>
    </row>
    <row r="5379" spans="1:11" x14ac:dyDescent="0.25">
      <c r="A5379" s="4">
        <v>44160</v>
      </c>
      <c r="B5379" s="19">
        <f t="shared" si="168"/>
        <v>2020</v>
      </c>
      <c r="C5379" s="19">
        <f t="shared" si="169"/>
        <v>11</v>
      </c>
      <c r="D5379" s="5" t="s">
        <v>592</v>
      </c>
      <c r="E5379" s="5" t="s">
        <v>18</v>
      </c>
      <c r="F5379" s="5" t="s">
        <v>14</v>
      </c>
      <c r="G5379" s="5" t="s">
        <v>15</v>
      </c>
      <c r="H5379" s="5" t="s">
        <v>1612</v>
      </c>
      <c r="I5379" s="13">
        <v>146.96</v>
      </c>
      <c r="J5379" s="19">
        <v>5</v>
      </c>
      <c r="K5379" s="14">
        <v>3.4965000000000002</v>
      </c>
    </row>
    <row r="5380" spans="1:11" x14ac:dyDescent="0.25">
      <c r="A5380" s="2">
        <v>44160</v>
      </c>
      <c r="B5380" s="18">
        <f t="shared" si="168"/>
        <v>2020</v>
      </c>
      <c r="C5380" s="18">
        <f t="shared" si="169"/>
        <v>11</v>
      </c>
      <c r="D5380" s="3" t="s">
        <v>592</v>
      </c>
      <c r="E5380" s="3" t="s">
        <v>18</v>
      </c>
      <c r="F5380" s="3" t="s">
        <v>19</v>
      </c>
      <c r="G5380" s="3" t="s">
        <v>53</v>
      </c>
      <c r="H5380" s="3" t="s">
        <v>675</v>
      </c>
      <c r="I5380" s="11">
        <v>170.08</v>
      </c>
      <c r="J5380" s="18">
        <v>6</v>
      </c>
      <c r="K5380" s="12">
        <v>15.336</v>
      </c>
    </row>
    <row r="5381" spans="1:11" x14ac:dyDescent="0.25">
      <c r="A5381" s="4">
        <v>44160</v>
      </c>
      <c r="B5381" s="19">
        <f t="shared" si="168"/>
        <v>2020</v>
      </c>
      <c r="C5381" s="19">
        <f t="shared" si="169"/>
        <v>11</v>
      </c>
      <c r="D5381" s="5" t="s">
        <v>1488</v>
      </c>
      <c r="E5381" s="5" t="s">
        <v>109</v>
      </c>
      <c r="F5381" s="5" t="s">
        <v>19</v>
      </c>
      <c r="G5381" s="5" t="s">
        <v>53</v>
      </c>
      <c r="H5381" s="5" t="s">
        <v>2523</v>
      </c>
      <c r="I5381" s="13">
        <v>150.87</v>
      </c>
      <c r="J5381" s="19">
        <v>9</v>
      </c>
      <c r="K5381" s="14">
        <v>23.946300000000001</v>
      </c>
    </row>
    <row r="5382" spans="1:11" x14ac:dyDescent="0.25">
      <c r="A5382" s="2">
        <v>44161</v>
      </c>
      <c r="B5382" s="18">
        <f t="shared" si="168"/>
        <v>2020</v>
      </c>
      <c r="C5382" s="18">
        <f t="shared" si="169"/>
        <v>11</v>
      </c>
      <c r="D5382" s="3" t="s">
        <v>463</v>
      </c>
      <c r="E5382" s="3" t="s">
        <v>67</v>
      </c>
      <c r="F5382" s="3" t="s">
        <v>19</v>
      </c>
      <c r="G5382" s="3" t="s">
        <v>121</v>
      </c>
      <c r="H5382" s="3" t="s">
        <v>917</v>
      </c>
      <c r="I5382" s="11">
        <v>100.27200000000001</v>
      </c>
      <c r="J5382" s="18">
        <v>3</v>
      </c>
      <c r="K5382" s="12">
        <v>9.8010000000000002</v>
      </c>
    </row>
    <row r="5383" spans="1:11" x14ac:dyDescent="0.25">
      <c r="A5383" s="4">
        <v>44161</v>
      </c>
      <c r="B5383" s="19">
        <f t="shared" si="168"/>
        <v>2020</v>
      </c>
      <c r="C5383" s="19">
        <f t="shared" si="169"/>
        <v>11</v>
      </c>
      <c r="D5383" s="5" t="s">
        <v>699</v>
      </c>
      <c r="E5383" s="5" t="s">
        <v>317</v>
      </c>
      <c r="F5383" s="5" t="s">
        <v>14</v>
      </c>
      <c r="G5383" s="5" t="s">
        <v>15</v>
      </c>
      <c r="H5383" s="5" t="s">
        <v>2323</v>
      </c>
      <c r="I5383" s="13">
        <v>116.98</v>
      </c>
      <c r="J5383" s="19">
        <v>2</v>
      </c>
      <c r="K5383" s="14">
        <v>43.190399999999997</v>
      </c>
    </row>
    <row r="5384" spans="1:11" x14ac:dyDescent="0.25">
      <c r="A5384" s="2">
        <v>44161</v>
      </c>
      <c r="B5384" s="18">
        <f t="shared" si="168"/>
        <v>2020</v>
      </c>
      <c r="C5384" s="18">
        <f t="shared" si="169"/>
        <v>11</v>
      </c>
      <c r="D5384" s="3" t="s">
        <v>2378</v>
      </c>
      <c r="E5384" s="3" t="s">
        <v>94</v>
      </c>
      <c r="F5384" s="3" t="s">
        <v>19</v>
      </c>
      <c r="G5384" s="3" t="s">
        <v>32</v>
      </c>
      <c r="H5384" s="3" t="s">
        <v>1155</v>
      </c>
      <c r="I5384" s="11">
        <v>135.34399999999999</v>
      </c>
      <c r="J5384" s="18">
        <v>4</v>
      </c>
      <c r="K5384" s="12">
        <v>32.670400000000001</v>
      </c>
    </row>
    <row r="5385" spans="1:11" x14ac:dyDescent="0.25">
      <c r="A5385" s="4">
        <v>44161</v>
      </c>
      <c r="B5385" s="19">
        <f t="shared" si="168"/>
        <v>2020</v>
      </c>
      <c r="C5385" s="19">
        <f t="shared" si="169"/>
        <v>11</v>
      </c>
      <c r="D5385" s="5" t="s">
        <v>850</v>
      </c>
      <c r="E5385" s="5" t="s">
        <v>94</v>
      </c>
      <c r="F5385" s="5" t="s">
        <v>11</v>
      </c>
      <c r="G5385" s="5" t="s">
        <v>51</v>
      </c>
      <c r="H5385" s="5" t="s">
        <v>2439</v>
      </c>
      <c r="I5385" s="13">
        <v>159.30000000000001</v>
      </c>
      <c r="J5385" s="19">
        <v>5</v>
      </c>
      <c r="K5385" s="14">
        <v>37.884</v>
      </c>
    </row>
    <row r="5386" spans="1:11" x14ac:dyDescent="0.25">
      <c r="A5386" s="2">
        <v>44161</v>
      </c>
      <c r="B5386" s="18">
        <f t="shared" si="168"/>
        <v>2020</v>
      </c>
      <c r="C5386" s="18">
        <f t="shared" si="169"/>
        <v>11</v>
      </c>
      <c r="D5386" s="3" t="s">
        <v>931</v>
      </c>
      <c r="E5386" s="3" t="s">
        <v>472</v>
      </c>
      <c r="F5386" s="3" t="s">
        <v>11</v>
      </c>
      <c r="G5386" s="3" t="s">
        <v>51</v>
      </c>
      <c r="H5386" s="3" t="s">
        <v>2353</v>
      </c>
      <c r="I5386" s="11">
        <v>170.3</v>
      </c>
      <c r="J5386" s="18">
        <v>3</v>
      </c>
      <c r="K5386" s="12">
        <v>40.415999999999997</v>
      </c>
    </row>
    <row r="5387" spans="1:11" x14ac:dyDescent="0.25">
      <c r="A5387" s="4">
        <v>44161</v>
      </c>
      <c r="B5387" s="19">
        <f t="shared" si="168"/>
        <v>2020</v>
      </c>
      <c r="C5387" s="19">
        <f t="shared" si="169"/>
        <v>11</v>
      </c>
      <c r="D5387" s="5" t="s">
        <v>406</v>
      </c>
      <c r="E5387" s="5" t="s">
        <v>67</v>
      </c>
      <c r="F5387" s="5" t="s">
        <v>14</v>
      </c>
      <c r="G5387" s="5" t="s">
        <v>15</v>
      </c>
      <c r="H5387" s="5" t="s">
        <v>649</v>
      </c>
      <c r="I5387" s="13">
        <v>232.75200000000001</v>
      </c>
      <c r="J5387" s="19">
        <v>8</v>
      </c>
      <c r="K5387" s="14">
        <v>-40.471200000000003</v>
      </c>
    </row>
    <row r="5388" spans="1:11" x14ac:dyDescent="0.25">
      <c r="A5388" s="2">
        <v>44161</v>
      </c>
      <c r="B5388" s="18">
        <f t="shared" si="168"/>
        <v>2020</v>
      </c>
      <c r="C5388" s="18">
        <f t="shared" si="169"/>
        <v>11</v>
      </c>
      <c r="D5388" s="3" t="s">
        <v>463</v>
      </c>
      <c r="E5388" s="3" t="s">
        <v>67</v>
      </c>
      <c r="F5388" s="3" t="s">
        <v>19</v>
      </c>
      <c r="G5388" s="3" t="s">
        <v>121</v>
      </c>
      <c r="H5388" s="3" t="s">
        <v>2076</v>
      </c>
      <c r="I5388" s="11">
        <v>242.136</v>
      </c>
      <c r="J5388" s="18">
        <v>7</v>
      </c>
      <c r="K5388" s="12">
        <v>23.977799999999998</v>
      </c>
    </row>
    <row r="5389" spans="1:11" x14ac:dyDescent="0.25">
      <c r="A5389" s="4">
        <v>44161</v>
      </c>
      <c r="B5389" s="19">
        <f t="shared" si="168"/>
        <v>2020</v>
      </c>
      <c r="C5389" s="19">
        <f t="shared" si="169"/>
        <v>11</v>
      </c>
      <c r="D5389" s="5" t="s">
        <v>699</v>
      </c>
      <c r="E5389" s="5" t="s">
        <v>317</v>
      </c>
      <c r="F5389" s="5" t="s">
        <v>11</v>
      </c>
      <c r="G5389" s="5" t="s">
        <v>30</v>
      </c>
      <c r="H5389" s="5" t="s">
        <v>609</v>
      </c>
      <c r="I5389" s="13">
        <v>280.94</v>
      </c>
      <c r="J5389" s="19">
        <v>3</v>
      </c>
      <c r="K5389" s="14">
        <v>67.064400000000006</v>
      </c>
    </row>
    <row r="5390" spans="1:11" x14ac:dyDescent="0.25">
      <c r="A5390" s="2">
        <v>44161</v>
      </c>
      <c r="B5390" s="18">
        <f t="shared" si="168"/>
        <v>2020</v>
      </c>
      <c r="C5390" s="18">
        <f t="shared" si="169"/>
        <v>11</v>
      </c>
      <c r="D5390" s="3" t="s">
        <v>699</v>
      </c>
      <c r="E5390" s="3" t="s">
        <v>317</v>
      </c>
      <c r="F5390" s="3" t="s">
        <v>11</v>
      </c>
      <c r="G5390" s="3" t="s">
        <v>112</v>
      </c>
      <c r="H5390" s="3" t="s">
        <v>417</v>
      </c>
      <c r="I5390" s="11">
        <v>843.6</v>
      </c>
      <c r="J5390" s="18">
        <v>3</v>
      </c>
      <c r="K5390" s="12">
        <v>240.29400000000001</v>
      </c>
    </row>
    <row r="5391" spans="1:11" x14ac:dyDescent="0.25">
      <c r="A5391" s="4">
        <v>44161</v>
      </c>
      <c r="B5391" s="19">
        <f t="shared" si="168"/>
        <v>2020</v>
      </c>
      <c r="C5391" s="19">
        <f t="shared" si="169"/>
        <v>11</v>
      </c>
      <c r="D5391" s="5" t="s">
        <v>850</v>
      </c>
      <c r="E5391" s="5" t="s">
        <v>94</v>
      </c>
      <c r="F5391" s="5" t="s">
        <v>14</v>
      </c>
      <c r="G5391" s="5" t="s">
        <v>15</v>
      </c>
      <c r="H5391" s="5" t="s">
        <v>1982</v>
      </c>
      <c r="I5391" s="13">
        <v>996.95</v>
      </c>
      <c r="J5391" s="19">
        <v>5</v>
      </c>
      <c r="K5391" s="14">
        <v>264.5865</v>
      </c>
    </row>
    <row r="5392" spans="1:11" x14ac:dyDescent="0.25">
      <c r="A5392" s="2">
        <v>44161</v>
      </c>
      <c r="B5392" s="18">
        <f t="shared" si="168"/>
        <v>2020</v>
      </c>
      <c r="C5392" s="18">
        <f t="shared" si="169"/>
        <v>11</v>
      </c>
      <c r="D5392" s="3" t="s">
        <v>699</v>
      </c>
      <c r="E5392" s="3" t="s">
        <v>317</v>
      </c>
      <c r="F5392" s="3" t="s">
        <v>14</v>
      </c>
      <c r="G5392" s="3" t="s">
        <v>15</v>
      </c>
      <c r="H5392" s="3" t="s">
        <v>228</v>
      </c>
      <c r="I5392" s="11">
        <v>1906.96</v>
      </c>
      <c r="J5392" s="18">
        <v>4</v>
      </c>
      <c r="K5392" s="12">
        <v>545.1884</v>
      </c>
    </row>
    <row r="5393" spans="1:11" x14ac:dyDescent="0.25">
      <c r="A5393" s="4">
        <v>44161</v>
      </c>
      <c r="B5393" s="19">
        <f t="shared" si="168"/>
        <v>2020</v>
      </c>
      <c r="C5393" s="19">
        <f t="shared" si="169"/>
        <v>11</v>
      </c>
      <c r="D5393" s="5" t="s">
        <v>1127</v>
      </c>
      <c r="E5393" s="5" t="s">
        <v>109</v>
      </c>
      <c r="F5393" s="5" t="s">
        <v>19</v>
      </c>
      <c r="G5393" s="5" t="s">
        <v>40</v>
      </c>
      <c r="H5393" s="5" t="s">
        <v>2092</v>
      </c>
      <c r="I5393" s="13">
        <v>97.84</v>
      </c>
      <c r="J5393" s="19">
        <v>3</v>
      </c>
      <c r="K5393" s="14">
        <v>3.7235999999999998</v>
      </c>
    </row>
    <row r="5394" spans="1:11" x14ac:dyDescent="0.25">
      <c r="A5394" s="2">
        <v>44161</v>
      </c>
      <c r="B5394" s="18">
        <f t="shared" si="168"/>
        <v>2020</v>
      </c>
      <c r="C5394" s="18">
        <f t="shared" si="169"/>
        <v>11</v>
      </c>
      <c r="D5394" s="3" t="s">
        <v>699</v>
      </c>
      <c r="E5394" s="3" t="s">
        <v>317</v>
      </c>
      <c r="F5394" s="3" t="s">
        <v>11</v>
      </c>
      <c r="G5394" s="3" t="s">
        <v>51</v>
      </c>
      <c r="H5394" s="3" t="s">
        <v>2312</v>
      </c>
      <c r="I5394" s="11">
        <v>124.46</v>
      </c>
      <c r="J5394" s="18">
        <v>2</v>
      </c>
      <c r="K5394" s="12">
        <v>9.8856000000000002</v>
      </c>
    </row>
    <row r="5395" spans="1:11" x14ac:dyDescent="0.25">
      <c r="A5395" s="4">
        <v>44161</v>
      </c>
      <c r="B5395" s="19">
        <f t="shared" si="168"/>
        <v>2020</v>
      </c>
      <c r="C5395" s="19">
        <f t="shared" si="169"/>
        <v>11</v>
      </c>
      <c r="D5395" s="5" t="s">
        <v>1167</v>
      </c>
      <c r="E5395" s="5" t="s">
        <v>164</v>
      </c>
      <c r="F5395" s="5" t="s">
        <v>19</v>
      </c>
      <c r="G5395" s="5" t="s">
        <v>32</v>
      </c>
      <c r="H5395" s="5" t="s">
        <v>1141</v>
      </c>
      <c r="I5395" s="13">
        <v>130.56800000000001</v>
      </c>
      <c r="J5395" s="19">
        <v>8</v>
      </c>
      <c r="K5395" s="14">
        <v>-53.708799999999997</v>
      </c>
    </row>
    <row r="5396" spans="1:11" x14ac:dyDescent="0.25">
      <c r="A5396" s="2">
        <v>44161</v>
      </c>
      <c r="B5396" s="18">
        <f t="shared" si="168"/>
        <v>2020</v>
      </c>
      <c r="C5396" s="18">
        <f t="shared" si="169"/>
        <v>11</v>
      </c>
      <c r="D5396" s="3" t="s">
        <v>931</v>
      </c>
      <c r="E5396" s="3" t="s">
        <v>472</v>
      </c>
      <c r="F5396" s="3" t="s">
        <v>14</v>
      </c>
      <c r="G5396" s="3" t="s">
        <v>24</v>
      </c>
      <c r="H5396" s="3" t="s">
        <v>890</v>
      </c>
      <c r="I5396" s="11">
        <v>136.04</v>
      </c>
      <c r="J5396" s="18">
        <v>2</v>
      </c>
      <c r="K5396" s="12">
        <v>12.172800000000001</v>
      </c>
    </row>
    <row r="5397" spans="1:11" x14ac:dyDescent="0.25">
      <c r="A5397" s="4">
        <v>44161</v>
      </c>
      <c r="B5397" s="19">
        <f t="shared" si="168"/>
        <v>2020</v>
      </c>
      <c r="C5397" s="19">
        <f t="shared" si="169"/>
        <v>11</v>
      </c>
      <c r="D5397" s="5" t="s">
        <v>2378</v>
      </c>
      <c r="E5397" s="5" t="s">
        <v>94</v>
      </c>
      <c r="F5397" s="5" t="s">
        <v>19</v>
      </c>
      <c r="G5397" s="5" t="s">
        <v>121</v>
      </c>
      <c r="H5397" s="5" t="s">
        <v>2224</v>
      </c>
      <c r="I5397" s="13">
        <v>142.72999999999999</v>
      </c>
      <c r="J5397" s="19">
        <v>7</v>
      </c>
      <c r="K5397" s="14">
        <v>14.682499999999999</v>
      </c>
    </row>
    <row r="5398" spans="1:11" x14ac:dyDescent="0.25">
      <c r="A5398" s="2">
        <v>44162</v>
      </c>
      <c r="B5398" s="18">
        <f t="shared" si="168"/>
        <v>2020</v>
      </c>
      <c r="C5398" s="18">
        <f t="shared" si="169"/>
        <v>11</v>
      </c>
      <c r="D5398" s="3" t="s">
        <v>632</v>
      </c>
      <c r="E5398" s="3" t="s">
        <v>18</v>
      </c>
      <c r="F5398" s="3" t="s">
        <v>19</v>
      </c>
      <c r="G5398" s="3" t="s">
        <v>32</v>
      </c>
      <c r="H5398" s="3" t="s">
        <v>1053</v>
      </c>
      <c r="I5398" s="11">
        <v>132.488</v>
      </c>
      <c r="J5398" s="18">
        <v>7</v>
      </c>
      <c r="K5398" s="12">
        <v>41.120800000000003</v>
      </c>
    </row>
    <row r="5399" spans="1:11" x14ac:dyDescent="0.25">
      <c r="A5399" s="4">
        <v>44162</v>
      </c>
      <c r="B5399" s="19">
        <f t="shared" si="168"/>
        <v>2020</v>
      </c>
      <c r="C5399" s="19">
        <f t="shared" si="169"/>
        <v>11</v>
      </c>
      <c r="D5399" s="5" t="s">
        <v>1384</v>
      </c>
      <c r="E5399" s="5" t="s">
        <v>94</v>
      </c>
      <c r="F5399" s="5" t="s">
        <v>19</v>
      </c>
      <c r="G5399" s="5" t="s">
        <v>32</v>
      </c>
      <c r="H5399" s="5" t="s">
        <v>2100</v>
      </c>
      <c r="I5399" s="13">
        <v>138.42400000000001</v>
      </c>
      <c r="J5399" s="19">
        <v>6</v>
      </c>
      <c r="K5399" s="14">
        <v>36.255600000000001</v>
      </c>
    </row>
    <row r="5400" spans="1:11" x14ac:dyDescent="0.25">
      <c r="A5400" s="2">
        <v>44162</v>
      </c>
      <c r="B5400" s="18">
        <f t="shared" si="168"/>
        <v>2020</v>
      </c>
      <c r="C5400" s="18">
        <f t="shared" si="169"/>
        <v>11</v>
      </c>
      <c r="D5400" s="3" t="s">
        <v>1659</v>
      </c>
      <c r="E5400" s="3" t="s">
        <v>56</v>
      </c>
      <c r="F5400" s="3" t="s">
        <v>14</v>
      </c>
      <c r="G5400" s="3" t="s">
        <v>24</v>
      </c>
      <c r="H5400" s="3" t="s">
        <v>2016</v>
      </c>
      <c r="I5400" s="11">
        <v>166.73</v>
      </c>
      <c r="J5400" s="18">
        <v>9</v>
      </c>
      <c r="K5400" s="12">
        <v>56.054699999999997</v>
      </c>
    </row>
    <row r="5401" spans="1:11" x14ac:dyDescent="0.25">
      <c r="A5401" s="4">
        <v>44162</v>
      </c>
      <c r="B5401" s="19">
        <f t="shared" si="168"/>
        <v>2020</v>
      </c>
      <c r="C5401" s="19">
        <f t="shared" si="169"/>
        <v>11</v>
      </c>
      <c r="D5401" s="5" t="s">
        <v>779</v>
      </c>
      <c r="E5401" s="5" t="s">
        <v>18</v>
      </c>
      <c r="F5401" s="5" t="s">
        <v>14</v>
      </c>
      <c r="G5401" s="5" t="s">
        <v>24</v>
      </c>
      <c r="H5401" s="5" t="s">
        <v>2357</v>
      </c>
      <c r="I5401" s="13">
        <v>179.16</v>
      </c>
      <c r="J5401" s="19">
        <v>8</v>
      </c>
      <c r="K5401" s="14">
        <v>59.817599999999999</v>
      </c>
    </row>
    <row r="5402" spans="1:11" x14ac:dyDescent="0.25">
      <c r="A5402" s="2">
        <v>44162</v>
      </c>
      <c r="B5402" s="18">
        <f t="shared" si="168"/>
        <v>2020</v>
      </c>
      <c r="C5402" s="18">
        <f t="shared" si="169"/>
        <v>11</v>
      </c>
      <c r="D5402" s="3" t="s">
        <v>231</v>
      </c>
      <c r="E5402" s="3" t="s">
        <v>317</v>
      </c>
      <c r="F5402" s="3" t="s">
        <v>19</v>
      </c>
      <c r="G5402" s="3" t="s">
        <v>53</v>
      </c>
      <c r="H5402" s="3" t="s">
        <v>767</v>
      </c>
      <c r="I5402" s="11">
        <v>207.28</v>
      </c>
      <c r="J5402" s="18">
        <v>6</v>
      </c>
      <c r="K5402" s="12">
        <v>72.808800000000005</v>
      </c>
    </row>
    <row r="5403" spans="1:11" x14ac:dyDescent="0.25">
      <c r="A5403" s="4">
        <v>44162</v>
      </c>
      <c r="B5403" s="19">
        <f t="shared" si="168"/>
        <v>2020</v>
      </c>
      <c r="C5403" s="19">
        <f t="shared" si="169"/>
        <v>11</v>
      </c>
      <c r="D5403" s="5" t="s">
        <v>779</v>
      </c>
      <c r="E5403" s="5" t="s">
        <v>18</v>
      </c>
      <c r="F5403" s="5" t="s">
        <v>19</v>
      </c>
      <c r="G5403" s="5" t="s">
        <v>53</v>
      </c>
      <c r="H5403" s="5" t="s">
        <v>1102</v>
      </c>
      <c r="I5403" s="13">
        <v>276.55</v>
      </c>
      <c r="J5403" s="19">
        <v>5</v>
      </c>
      <c r="K5403" s="14">
        <v>114.9385</v>
      </c>
    </row>
    <row r="5404" spans="1:11" x14ac:dyDescent="0.25">
      <c r="A5404" s="2">
        <v>44162</v>
      </c>
      <c r="B5404" s="18">
        <f t="shared" si="168"/>
        <v>2020</v>
      </c>
      <c r="C5404" s="18">
        <f t="shared" si="169"/>
        <v>11</v>
      </c>
      <c r="D5404" s="3" t="s">
        <v>231</v>
      </c>
      <c r="E5404" s="3" t="s">
        <v>317</v>
      </c>
      <c r="F5404" s="3" t="s">
        <v>19</v>
      </c>
      <c r="G5404" s="3" t="s">
        <v>32</v>
      </c>
      <c r="H5404" s="3" t="s">
        <v>248</v>
      </c>
      <c r="I5404" s="11">
        <v>510.94</v>
      </c>
      <c r="J5404" s="18">
        <v>3</v>
      </c>
      <c r="K5404" s="12">
        <v>224.07300000000001</v>
      </c>
    </row>
    <row r="5405" spans="1:11" x14ac:dyDescent="0.25">
      <c r="A5405" s="4">
        <v>44162</v>
      </c>
      <c r="B5405" s="19">
        <f t="shared" si="168"/>
        <v>2020</v>
      </c>
      <c r="C5405" s="19">
        <f t="shared" si="169"/>
        <v>11</v>
      </c>
      <c r="D5405" s="5" t="s">
        <v>1384</v>
      </c>
      <c r="E5405" s="5" t="s">
        <v>94</v>
      </c>
      <c r="F5405" s="5" t="s">
        <v>19</v>
      </c>
      <c r="G5405" s="5" t="s">
        <v>40</v>
      </c>
      <c r="H5405" s="5" t="s">
        <v>88</v>
      </c>
      <c r="I5405" s="13">
        <v>91.99</v>
      </c>
      <c r="J5405" s="19">
        <v>3</v>
      </c>
      <c r="K5405" s="14">
        <v>2.0270999999999999</v>
      </c>
    </row>
    <row r="5406" spans="1:11" x14ac:dyDescent="0.25">
      <c r="A5406" s="2">
        <v>44162</v>
      </c>
      <c r="B5406" s="18">
        <f t="shared" si="168"/>
        <v>2020</v>
      </c>
      <c r="C5406" s="18">
        <f t="shared" si="169"/>
        <v>11</v>
      </c>
      <c r="D5406" s="3" t="s">
        <v>1699</v>
      </c>
      <c r="E5406" s="3" t="s">
        <v>35</v>
      </c>
      <c r="F5406" s="3" t="s">
        <v>19</v>
      </c>
      <c r="G5406" s="3" t="s">
        <v>40</v>
      </c>
      <c r="H5406" s="3" t="s">
        <v>2235</v>
      </c>
      <c r="I5406" s="11">
        <v>120.76</v>
      </c>
      <c r="J5406" s="18">
        <v>5</v>
      </c>
      <c r="K5406" s="12">
        <v>0.76649999999999996</v>
      </c>
    </row>
    <row r="5407" spans="1:11" x14ac:dyDescent="0.25">
      <c r="A5407" s="4">
        <v>44162</v>
      </c>
      <c r="B5407" s="19">
        <f t="shared" si="168"/>
        <v>2020</v>
      </c>
      <c r="C5407" s="19">
        <f t="shared" si="169"/>
        <v>11</v>
      </c>
      <c r="D5407" s="5" t="s">
        <v>632</v>
      </c>
      <c r="E5407" s="5" t="s">
        <v>18</v>
      </c>
      <c r="F5407" s="5" t="s">
        <v>11</v>
      </c>
      <c r="G5407" s="5" t="s">
        <v>51</v>
      </c>
      <c r="H5407" s="5" t="s">
        <v>753</v>
      </c>
      <c r="I5407" s="13">
        <v>155.84</v>
      </c>
      <c r="J5407" s="19">
        <v>3</v>
      </c>
      <c r="K5407" s="14">
        <v>6.0288000000000004</v>
      </c>
    </row>
    <row r="5408" spans="1:11" x14ac:dyDescent="0.25">
      <c r="A5408" s="2">
        <v>44162</v>
      </c>
      <c r="B5408" s="18">
        <f t="shared" si="168"/>
        <v>2020</v>
      </c>
      <c r="C5408" s="18">
        <f t="shared" si="169"/>
        <v>11</v>
      </c>
      <c r="D5408" s="3" t="s">
        <v>1699</v>
      </c>
      <c r="E5408" s="3" t="s">
        <v>35</v>
      </c>
      <c r="F5408" s="3" t="s">
        <v>19</v>
      </c>
      <c r="G5408" s="3" t="s">
        <v>121</v>
      </c>
      <c r="H5408" s="3" t="s">
        <v>284</v>
      </c>
      <c r="I5408" s="11">
        <v>144.584</v>
      </c>
      <c r="J5408" s="18">
        <v>1</v>
      </c>
      <c r="K5408" s="12">
        <v>4.3583999999999996</v>
      </c>
    </row>
    <row r="5409" spans="1:11" x14ac:dyDescent="0.25">
      <c r="A5409" s="4">
        <v>44162</v>
      </c>
      <c r="B5409" s="19">
        <f t="shared" si="168"/>
        <v>2020</v>
      </c>
      <c r="C5409" s="19">
        <f t="shared" si="169"/>
        <v>11</v>
      </c>
      <c r="D5409" s="5" t="s">
        <v>1659</v>
      </c>
      <c r="E5409" s="5" t="s">
        <v>56</v>
      </c>
      <c r="F5409" s="5" t="s">
        <v>11</v>
      </c>
      <c r="G5409" s="5" t="s">
        <v>51</v>
      </c>
      <c r="H5409" s="5" t="s">
        <v>2554</v>
      </c>
      <c r="I5409" s="13">
        <v>147.94</v>
      </c>
      <c r="J5409" s="19">
        <v>1</v>
      </c>
      <c r="K5409" s="14">
        <v>19.2454</v>
      </c>
    </row>
    <row r="5410" spans="1:11" x14ac:dyDescent="0.25">
      <c r="A5410" s="2">
        <v>44162</v>
      </c>
      <c r="B5410" s="18">
        <f t="shared" si="168"/>
        <v>2020</v>
      </c>
      <c r="C5410" s="18">
        <f t="shared" si="169"/>
        <v>11</v>
      </c>
      <c r="D5410" s="3" t="s">
        <v>2419</v>
      </c>
      <c r="E5410" s="3" t="s">
        <v>18</v>
      </c>
      <c r="F5410" s="3" t="s">
        <v>14</v>
      </c>
      <c r="G5410" s="3" t="s">
        <v>15</v>
      </c>
      <c r="H5410" s="3" t="s">
        <v>1282</v>
      </c>
      <c r="I5410" s="11">
        <v>169.56800000000001</v>
      </c>
      <c r="J5410" s="18">
        <v>4</v>
      </c>
      <c r="K5410" s="12">
        <v>5.7568000000000001</v>
      </c>
    </row>
    <row r="5411" spans="1:11" x14ac:dyDescent="0.25">
      <c r="A5411" s="4">
        <v>44163</v>
      </c>
      <c r="B5411" s="19">
        <f t="shared" si="168"/>
        <v>2020</v>
      </c>
      <c r="C5411" s="19">
        <f t="shared" si="169"/>
        <v>11</v>
      </c>
      <c r="D5411" s="5" t="s">
        <v>1706</v>
      </c>
      <c r="E5411" s="5" t="s">
        <v>18</v>
      </c>
      <c r="F5411" s="5" t="s">
        <v>19</v>
      </c>
      <c r="G5411" s="5" t="s">
        <v>127</v>
      </c>
      <c r="H5411" s="5" t="s">
        <v>1237</v>
      </c>
      <c r="I5411" s="13">
        <v>101.65</v>
      </c>
      <c r="J5411" s="19">
        <v>5</v>
      </c>
      <c r="K5411" s="14">
        <v>29.445499999999999</v>
      </c>
    </row>
    <row r="5412" spans="1:11" x14ac:dyDescent="0.25">
      <c r="A5412" s="2">
        <v>44163</v>
      </c>
      <c r="B5412" s="18">
        <f t="shared" si="168"/>
        <v>2020</v>
      </c>
      <c r="C5412" s="18">
        <f t="shared" si="169"/>
        <v>11</v>
      </c>
      <c r="D5412" s="3" t="s">
        <v>1400</v>
      </c>
      <c r="E5412" s="3" t="s">
        <v>94</v>
      </c>
      <c r="F5412" s="3" t="s">
        <v>19</v>
      </c>
      <c r="G5412" s="3" t="s">
        <v>86</v>
      </c>
      <c r="H5412" s="3" t="s">
        <v>449</v>
      </c>
      <c r="I5412" s="11">
        <v>108.96</v>
      </c>
      <c r="J5412" s="18">
        <v>2</v>
      </c>
      <c r="K5412" s="12">
        <v>35.981999999999999</v>
      </c>
    </row>
    <row r="5413" spans="1:11" x14ac:dyDescent="0.25">
      <c r="A5413" s="4">
        <v>44163</v>
      </c>
      <c r="B5413" s="19">
        <f t="shared" si="168"/>
        <v>2020</v>
      </c>
      <c r="C5413" s="19">
        <f t="shared" si="169"/>
        <v>11</v>
      </c>
      <c r="D5413" s="5" t="s">
        <v>2407</v>
      </c>
      <c r="E5413" s="5" t="s">
        <v>306</v>
      </c>
      <c r="F5413" s="5" t="s">
        <v>19</v>
      </c>
      <c r="G5413" s="5" t="s">
        <v>53</v>
      </c>
      <c r="H5413" s="5" t="s">
        <v>1229</v>
      </c>
      <c r="I5413" s="13">
        <v>137.768</v>
      </c>
      <c r="J5413" s="19">
        <v>2</v>
      </c>
      <c r="K5413" s="14">
        <v>31.0688</v>
      </c>
    </row>
    <row r="5414" spans="1:11" x14ac:dyDescent="0.25">
      <c r="A5414" s="2">
        <v>44163</v>
      </c>
      <c r="B5414" s="18">
        <f t="shared" si="168"/>
        <v>2020</v>
      </c>
      <c r="C5414" s="18">
        <f t="shared" si="169"/>
        <v>11</v>
      </c>
      <c r="D5414" s="3" t="s">
        <v>628</v>
      </c>
      <c r="E5414" s="3" t="s">
        <v>39</v>
      </c>
      <c r="F5414" s="3" t="s">
        <v>11</v>
      </c>
      <c r="G5414" s="3" t="s">
        <v>51</v>
      </c>
      <c r="H5414" s="3" t="s">
        <v>193</v>
      </c>
      <c r="I5414" s="11">
        <v>536.48800000000006</v>
      </c>
      <c r="J5414" s="18">
        <v>7</v>
      </c>
      <c r="K5414" s="12">
        <v>-12.9122</v>
      </c>
    </row>
    <row r="5415" spans="1:11" x14ac:dyDescent="0.25">
      <c r="A5415" s="4">
        <v>44163</v>
      </c>
      <c r="B5415" s="19">
        <f t="shared" si="168"/>
        <v>2020</v>
      </c>
      <c r="C5415" s="19">
        <f t="shared" si="169"/>
        <v>11</v>
      </c>
      <c r="D5415" s="5" t="s">
        <v>628</v>
      </c>
      <c r="E5415" s="5" t="s">
        <v>39</v>
      </c>
      <c r="F5415" s="5" t="s">
        <v>11</v>
      </c>
      <c r="G5415" s="5" t="s">
        <v>51</v>
      </c>
      <c r="H5415" s="5" t="s">
        <v>875</v>
      </c>
      <c r="I5415" s="13">
        <v>122.232</v>
      </c>
      <c r="J5415" s="19">
        <v>6</v>
      </c>
      <c r="K5415" s="14">
        <v>75.542400000000001</v>
      </c>
    </row>
    <row r="5416" spans="1:11" x14ac:dyDescent="0.25">
      <c r="A5416" s="2">
        <v>44163</v>
      </c>
      <c r="B5416" s="18">
        <f t="shared" si="168"/>
        <v>2020</v>
      </c>
      <c r="C5416" s="18">
        <f t="shared" si="169"/>
        <v>11</v>
      </c>
      <c r="D5416" s="3" t="s">
        <v>1311</v>
      </c>
      <c r="E5416" s="3" t="s">
        <v>10</v>
      </c>
      <c r="F5416" s="3" t="s">
        <v>11</v>
      </c>
      <c r="G5416" s="3" t="s">
        <v>51</v>
      </c>
      <c r="H5416" s="3" t="s">
        <v>875</v>
      </c>
      <c r="I5416" s="11">
        <v>1081.2</v>
      </c>
      <c r="J5416" s="18">
        <v>5</v>
      </c>
      <c r="K5416" s="12">
        <v>272.79199999999997</v>
      </c>
    </row>
    <row r="5417" spans="1:11" x14ac:dyDescent="0.25">
      <c r="A5417" s="4">
        <v>44163</v>
      </c>
      <c r="B5417" s="19">
        <f t="shared" si="168"/>
        <v>2020</v>
      </c>
      <c r="C5417" s="19">
        <f t="shared" si="169"/>
        <v>11</v>
      </c>
      <c r="D5417" s="5" t="s">
        <v>1400</v>
      </c>
      <c r="E5417" s="5" t="s">
        <v>94</v>
      </c>
      <c r="F5417" s="5" t="s">
        <v>14</v>
      </c>
      <c r="G5417" s="5" t="s">
        <v>15</v>
      </c>
      <c r="H5417" s="5" t="s">
        <v>1981</v>
      </c>
      <c r="I5417" s="13">
        <v>524.89</v>
      </c>
      <c r="J5417" s="19">
        <v>11</v>
      </c>
      <c r="K5417" s="14">
        <v>494.97250000000003</v>
      </c>
    </row>
    <row r="5418" spans="1:11" x14ac:dyDescent="0.25">
      <c r="A5418" s="2">
        <v>44163</v>
      </c>
      <c r="B5418" s="18">
        <f t="shared" si="168"/>
        <v>2020</v>
      </c>
      <c r="C5418" s="18">
        <f t="shared" si="169"/>
        <v>11</v>
      </c>
      <c r="D5418" s="3" t="s">
        <v>628</v>
      </c>
      <c r="E5418" s="3" t="s">
        <v>39</v>
      </c>
      <c r="F5418" s="3" t="s">
        <v>11</v>
      </c>
      <c r="G5418" s="3" t="s">
        <v>30</v>
      </c>
      <c r="H5418" s="3" t="s">
        <v>2275</v>
      </c>
      <c r="I5418" s="11">
        <v>115.32</v>
      </c>
      <c r="J5418" s="18">
        <v>12</v>
      </c>
      <c r="K5418" s="12">
        <v>-619.596</v>
      </c>
    </row>
    <row r="5419" spans="1:11" x14ac:dyDescent="0.25">
      <c r="A5419" s="4">
        <v>44163</v>
      </c>
      <c r="B5419" s="19">
        <f t="shared" si="168"/>
        <v>2020</v>
      </c>
      <c r="C5419" s="19">
        <f t="shared" si="169"/>
        <v>11</v>
      </c>
      <c r="D5419" s="5" t="s">
        <v>1311</v>
      </c>
      <c r="E5419" s="5" t="s">
        <v>10</v>
      </c>
      <c r="F5419" s="5" t="s">
        <v>11</v>
      </c>
      <c r="G5419" s="5" t="s">
        <v>51</v>
      </c>
      <c r="H5419" s="5" t="s">
        <v>776</v>
      </c>
      <c r="I5419" s="13">
        <v>116.9</v>
      </c>
      <c r="J5419" s="19">
        <v>5</v>
      </c>
      <c r="K5419" s="14">
        <v>7.524</v>
      </c>
    </row>
    <row r="5420" spans="1:11" x14ac:dyDescent="0.25">
      <c r="A5420" s="2">
        <v>44163</v>
      </c>
      <c r="B5420" s="18">
        <f t="shared" si="168"/>
        <v>2020</v>
      </c>
      <c r="C5420" s="18">
        <f t="shared" si="169"/>
        <v>11</v>
      </c>
      <c r="D5420" s="3" t="s">
        <v>1311</v>
      </c>
      <c r="E5420" s="3" t="s">
        <v>10</v>
      </c>
      <c r="F5420" s="3" t="s">
        <v>19</v>
      </c>
      <c r="G5420" s="3" t="s">
        <v>40</v>
      </c>
      <c r="H5420" s="3" t="s">
        <v>679</v>
      </c>
      <c r="I5420" s="11">
        <v>117.64</v>
      </c>
      <c r="J5420" s="18">
        <v>1</v>
      </c>
      <c r="K5420" s="12">
        <v>0.73799999999999999</v>
      </c>
    </row>
    <row r="5421" spans="1:11" x14ac:dyDescent="0.25">
      <c r="A5421" s="4">
        <v>44163</v>
      </c>
      <c r="B5421" s="19">
        <f t="shared" si="168"/>
        <v>2020</v>
      </c>
      <c r="C5421" s="19">
        <f t="shared" si="169"/>
        <v>11</v>
      </c>
      <c r="D5421" s="5" t="s">
        <v>628</v>
      </c>
      <c r="E5421" s="5" t="s">
        <v>39</v>
      </c>
      <c r="F5421" s="5" t="s">
        <v>19</v>
      </c>
      <c r="G5421" s="5" t="s">
        <v>53</v>
      </c>
      <c r="H5421" s="5" t="s">
        <v>1862</v>
      </c>
      <c r="I5421" s="13">
        <v>102.34399999999999</v>
      </c>
      <c r="J5421" s="19">
        <v>6</v>
      </c>
      <c r="K5421" s="14">
        <v>7.92</v>
      </c>
    </row>
    <row r="5422" spans="1:11" x14ac:dyDescent="0.25">
      <c r="A5422" s="2">
        <v>44163</v>
      </c>
      <c r="B5422" s="18">
        <f t="shared" si="168"/>
        <v>2020</v>
      </c>
      <c r="C5422" s="18">
        <f t="shared" si="169"/>
        <v>11</v>
      </c>
      <c r="D5422" s="3" t="s">
        <v>628</v>
      </c>
      <c r="E5422" s="3" t="s">
        <v>39</v>
      </c>
      <c r="F5422" s="3" t="s">
        <v>19</v>
      </c>
      <c r="G5422" s="3" t="s">
        <v>53</v>
      </c>
      <c r="H5422" s="3" t="s">
        <v>1154</v>
      </c>
      <c r="I5422" s="11">
        <v>151.55199999999999</v>
      </c>
      <c r="J5422" s="18">
        <v>3</v>
      </c>
      <c r="K5422" s="12">
        <v>5.4432</v>
      </c>
    </row>
    <row r="5423" spans="1:11" x14ac:dyDescent="0.25">
      <c r="A5423" s="4">
        <v>44164</v>
      </c>
      <c r="B5423" s="19">
        <f t="shared" si="168"/>
        <v>2020</v>
      </c>
      <c r="C5423" s="19">
        <f t="shared" si="169"/>
        <v>11</v>
      </c>
      <c r="D5423" s="5" t="s">
        <v>825</v>
      </c>
      <c r="E5423" s="5" t="s">
        <v>219</v>
      </c>
      <c r="F5423" s="5" t="s">
        <v>11</v>
      </c>
      <c r="G5423" s="5" t="s">
        <v>51</v>
      </c>
      <c r="H5423" s="5" t="s">
        <v>2567</v>
      </c>
      <c r="I5423" s="13">
        <v>122.52</v>
      </c>
      <c r="J5423" s="19">
        <v>5</v>
      </c>
      <c r="K5423" s="14">
        <v>19.035</v>
      </c>
    </row>
    <row r="5424" spans="1:11" x14ac:dyDescent="0.25">
      <c r="A5424" s="2">
        <v>44164</v>
      </c>
      <c r="B5424" s="18">
        <f t="shared" si="168"/>
        <v>2020</v>
      </c>
      <c r="C5424" s="18">
        <f t="shared" si="169"/>
        <v>11</v>
      </c>
      <c r="D5424" s="3" t="s">
        <v>825</v>
      </c>
      <c r="E5424" s="3" t="s">
        <v>219</v>
      </c>
      <c r="F5424" s="3" t="s">
        <v>11</v>
      </c>
      <c r="G5424" s="3" t="s">
        <v>112</v>
      </c>
      <c r="H5424" s="3" t="s">
        <v>537</v>
      </c>
      <c r="I5424" s="11">
        <v>410.36799999999999</v>
      </c>
      <c r="J5424" s="18">
        <v>2</v>
      </c>
      <c r="K5424" s="12">
        <v>48.795999999999999</v>
      </c>
    </row>
    <row r="5425" spans="1:11" x14ac:dyDescent="0.25">
      <c r="A5425" s="4">
        <v>44165</v>
      </c>
      <c r="B5425" s="19">
        <f t="shared" si="168"/>
        <v>2020</v>
      </c>
      <c r="C5425" s="19">
        <f t="shared" si="169"/>
        <v>11</v>
      </c>
      <c r="D5425" s="5" t="s">
        <v>2358</v>
      </c>
      <c r="E5425" s="5" t="s">
        <v>94</v>
      </c>
      <c r="F5425" s="5" t="s">
        <v>19</v>
      </c>
      <c r="G5425" s="5" t="s">
        <v>20</v>
      </c>
      <c r="H5425" s="5" t="s">
        <v>2307</v>
      </c>
      <c r="I5425" s="13">
        <v>100.56</v>
      </c>
      <c r="J5425" s="19">
        <v>4</v>
      </c>
      <c r="K5425" s="14">
        <v>1.6712</v>
      </c>
    </row>
    <row r="5426" spans="1:11" x14ac:dyDescent="0.25">
      <c r="A5426" s="2">
        <v>44165</v>
      </c>
      <c r="B5426" s="18">
        <f t="shared" si="168"/>
        <v>2020</v>
      </c>
      <c r="C5426" s="18">
        <f t="shared" si="169"/>
        <v>11</v>
      </c>
      <c r="D5426" s="3" t="s">
        <v>2106</v>
      </c>
      <c r="E5426" s="3" t="s">
        <v>94</v>
      </c>
      <c r="F5426" s="3" t="s">
        <v>19</v>
      </c>
      <c r="G5426" s="3" t="s">
        <v>32</v>
      </c>
      <c r="H5426" s="3" t="s">
        <v>2072</v>
      </c>
      <c r="I5426" s="11">
        <v>106.47199999999999</v>
      </c>
      <c r="J5426" s="18">
        <v>3</v>
      </c>
      <c r="K5426" s="12">
        <v>23.109300000000001</v>
      </c>
    </row>
    <row r="5427" spans="1:11" x14ac:dyDescent="0.25">
      <c r="A5427" s="4">
        <v>44165</v>
      </c>
      <c r="B5427" s="19">
        <f t="shared" si="168"/>
        <v>2020</v>
      </c>
      <c r="C5427" s="19">
        <f t="shared" si="169"/>
        <v>11</v>
      </c>
      <c r="D5427" s="5" t="s">
        <v>1757</v>
      </c>
      <c r="E5427" s="5" t="s">
        <v>23</v>
      </c>
      <c r="F5427" s="5" t="s">
        <v>14</v>
      </c>
      <c r="G5427" s="5" t="s">
        <v>24</v>
      </c>
      <c r="H5427" s="5" t="s">
        <v>796</v>
      </c>
      <c r="I5427" s="13">
        <v>115.976</v>
      </c>
      <c r="J5427" s="19">
        <v>3</v>
      </c>
      <c r="K5427" s="14">
        <v>-10.7973</v>
      </c>
    </row>
    <row r="5428" spans="1:11" x14ac:dyDescent="0.25">
      <c r="A5428" s="2">
        <v>44165</v>
      </c>
      <c r="B5428" s="18">
        <f t="shared" si="168"/>
        <v>2020</v>
      </c>
      <c r="C5428" s="18">
        <f t="shared" si="169"/>
        <v>11</v>
      </c>
      <c r="D5428" s="3" t="s">
        <v>1366</v>
      </c>
      <c r="E5428" s="3" t="s">
        <v>309</v>
      </c>
      <c r="F5428" s="3" t="s">
        <v>19</v>
      </c>
      <c r="G5428" s="3" t="s">
        <v>40</v>
      </c>
      <c r="H5428" s="3" t="s">
        <v>430</v>
      </c>
      <c r="I5428" s="11">
        <v>166.94</v>
      </c>
      <c r="J5428" s="18">
        <v>6</v>
      </c>
      <c r="K5428" s="12">
        <v>45.2226</v>
      </c>
    </row>
    <row r="5429" spans="1:11" x14ac:dyDescent="0.25">
      <c r="A5429" s="4">
        <v>44165</v>
      </c>
      <c r="B5429" s="19">
        <f t="shared" si="168"/>
        <v>2020</v>
      </c>
      <c r="C5429" s="19">
        <f t="shared" si="169"/>
        <v>11</v>
      </c>
      <c r="D5429" s="5" t="s">
        <v>1841</v>
      </c>
      <c r="E5429" s="5" t="s">
        <v>143</v>
      </c>
      <c r="F5429" s="5" t="s">
        <v>19</v>
      </c>
      <c r="G5429" s="5" t="s">
        <v>20</v>
      </c>
      <c r="H5429" s="5" t="s">
        <v>865</v>
      </c>
      <c r="I5429" s="13">
        <v>204.8</v>
      </c>
      <c r="J5429" s="19">
        <v>5</v>
      </c>
      <c r="K5429" s="14">
        <v>43.45</v>
      </c>
    </row>
    <row r="5430" spans="1:11" x14ac:dyDescent="0.25">
      <c r="A5430" s="2">
        <v>44165</v>
      </c>
      <c r="B5430" s="18">
        <f t="shared" si="168"/>
        <v>2020</v>
      </c>
      <c r="C5430" s="18">
        <f t="shared" si="169"/>
        <v>11</v>
      </c>
      <c r="D5430" s="3" t="s">
        <v>2358</v>
      </c>
      <c r="E5430" s="3" t="s">
        <v>94</v>
      </c>
      <c r="F5430" s="3" t="s">
        <v>19</v>
      </c>
      <c r="G5430" s="3" t="s">
        <v>20</v>
      </c>
      <c r="H5430" s="3" t="s">
        <v>273</v>
      </c>
      <c r="I5430" s="11">
        <v>291.49</v>
      </c>
      <c r="J5430" s="18">
        <v>3</v>
      </c>
      <c r="K5430" s="12">
        <v>5.3898000000000001</v>
      </c>
    </row>
    <row r="5431" spans="1:11" x14ac:dyDescent="0.25">
      <c r="A5431" s="4">
        <v>44165</v>
      </c>
      <c r="B5431" s="19">
        <f t="shared" si="168"/>
        <v>2020</v>
      </c>
      <c r="C5431" s="19">
        <f t="shared" si="169"/>
        <v>11</v>
      </c>
      <c r="D5431" s="5" t="s">
        <v>1652</v>
      </c>
      <c r="E5431" s="5" t="s">
        <v>35</v>
      </c>
      <c r="F5431" s="5" t="s">
        <v>14</v>
      </c>
      <c r="G5431" s="5" t="s">
        <v>24</v>
      </c>
      <c r="H5431" s="5" t="s">
        <v>1819</v>
      </c>
      <c r="I5431" s="13">
        <v>408.976</v>
      </c>
      <c r="J5431" s="19">
        <v>3</v>
      </c>
      <c r="K5431" s="14">
        <v>81.594899999999996</v>
      </c>
    </row>
    <row r="5432" spans="1:11" x14ac:dyDescent="0.25">
      <c r="A5432" s="2">
        <v>44165</v>
      </c>
      <c r="B5432" s="18">
        <f t="shared" si="168"/>
        <v>2020</v>
      </c>
      <c r="C5432" s="18">
        <f t="shared" si="169"/>
        <v>11</v>
      </c>
      <c r="D5432" s="3" t="s">
        <v>2358</v>
      </c>
      <c r="E5432" s="3" t="s">
        <v>94</v>
      </c>
      <c r="F5432" s="3" t="s">
        <v>14</v>
      </c>
      <c r="G5432" s="3" t="s">
        <v>15</v>
      </c>
      <c r="H5432" s="3" t="s">
        <v>2568</v>
      </c>
      <c r="I5432" s="11">
        <v>590.05999999999995</v>
      </c>
      <c r="J5432" s="18">
        <v>3</v>
      </c>
      <c r="K5432" s="12">
        <v>163.81800000000001</v>
      </c>
    </row>
    <row r="5433" spans="1:11" x14ac:dyDescent="0.25">
      <c r="A5433" s="4">
        <v>44165</v>
      </c>
      <c r="B5433" s="19">
        <f t="shared" si="168"/>
        <v>2020</v>
      </c>
      <c r="C5433" s="19">
        <f t="shared" si="169"/>
        <v>11</v>
      </c>
      <c r="D5433" s="5" t="s">
        <v>1326</v>
      </c>
      <c r="E5433" s="5" t="s">
        <v>67</v>
      </c>
      <c r="F5433" s="5" t="s">
        <v>19</v>
      </c>
      <c r="G5433" s="5" t="s">
        <v>121</v>
      </c>
      <c r="H5433" s="5" t="s">
        <v>1531</v>
      </c>
      <c r="I5433" s="13">
        <v>673.93600000000004</v>
      </c>
      <c r="J5433" s="19">
        <v>4</v>
      </c>
      <c r="K5433" s="14">
        <v>82.992000000000004</v>
      </c>
    </row>
    <row r="5434" spans="1:11" x14ac:dyDescent="0.25">
      <c r="A5434" s="2">
        <v>44165</v>
      </c>
      <c r="B5434" s="18">
        <f t="shared" si="168"/>
        <v>2020</v>
      </c>
      <c r="C5434" s="18">
        <f t="shared" si="169"/>
        <v>11</v>
      </c>
      <c r="D5434" s="3" t="s">
        <v>805</v>
      </c>
      <c r="E5434" s="3" t="s">
        <v>39</v>
      </c>
      <c r="F5434" s="3" t="s">
        <v>11</v>
      </c>
      <c r="G5434" s="3" t="s">
        <v>112</v>
      </c>
      <c r="H5434" s="3" t="s">
        <v>1137</v>
      </c>
      <c r="I5434" s="11">
        <v>1129.316</v>
      </c>
      <c r="J5434" s="18">
        <v>6</v>
      </c>
      <c r="K5434" s="12">
        <v>-15.418799999999999</v>
      </c>
    </row>
    <row r="5435" spans="1:11" x14ac:dyDescent="0.25">
      <c r="A5435" s="4">
        <v>44165</v>
      </c>
      <c r="B5435" s="19">
        <f t="shared" si="168"/>
        <v>2020</v>
      </c>
      <c r="C5435" s="19">
        <f t="shared" si="169"/>
        <v>11</v>
      </c>
      <c r="D5435" s="5" t="s">
        <v>2106</v>
      </c>
      <c r="E5435" s="5" t="s">
        <v>94</v>
      </c>
      <c r="F5435" s="5" t="s">
        <v>11</v>
      </c>
      <c r="G5435" s="5" t="s">
        <v>112</v>
      </c>
      <c r="H5435" s="5" t="s">
        <v>417</v>
      </c>
      <c r="I5435" s="13">
        <v>1263.9000000000001</v>
      </c>
      <c r="J5435" s="19">
        <v>5</v>
      </c>
      <c r="K5435" s="14">
        <v>262.39</v>
      </c>
    </row>
    <row r="5436" spans="1:11" x14ac:dyDescent="0.25">
      <c r="A5436" s="2">
        <v>44165</v>
      </c>
      <c r="B5436" s="18">
        <f t="shared" si="168"/>
        <v>2020</v>
      </c>
      <c r="C5436" s="18">
        <f t="shared" si="169"/>
        <v>11</v>
      </c>
      <c r="D5436" s="3" t="s">
        <v>1652</v>
      </c>
      <c r="E5436" s="3" t="s">
        <v>35</v>
      </c>
      <c r="F5436" s="3" t="s">
        <v>11</v>
      </c>
      <c r="G5436" s="3" t="s">
        <v>30</v>
      </c>
      <c r="H5436" s="3" t="s">
        <v>693</v>
      </c>
      <c r="I5436" s="11">
        <v>1805.682</v>
      </c>
      <c r="J5436" s="18">
        <v>7</v>
      </c>
      <c r="K5436" s="12">
        <v>-653.28340000000003</v>
      </c>
    </row>
    <row r="5437" spans="1:11" x14ac:dyDescent="0.25">
      <c r="A5437" s="4">
        <v>44165</v>
      </c>
      <c r="B5437" s="19">
        <f t="shared" si="168"/>
        <v>2020</v>
      </c>
      <c r="C5437" s="19">
        <f t="shared" si="169"/>
        <v>11</v>
      </c>
      <c r="D5437" s="5" t="s">
        <v>2035</v>
      </c>
      <c r="E5437" s="5" t="s">
        <v>23</v>
      </c>
      <c r="F5437" s="5" t="s">
        <v>19</v>
      </c>
      <c r="G5437" s="5" t="s">
        <v>116</v>
      </c>
      <c r="H5437" s="5" t="s">
        <v>2109</v>
      </c>
      <c r="I5437" s="13">
        <v>128.36799999999999</v>
      </c>
      <c r="J5437" s="19">
        <v>2</v>
      </c>
      <c r="K5437" s="14">
        <v>0.82879999999999998</v>
      </c>
    </row>
    <row r="5438" spans="1:11" x14ac:dyDescent="0.25">
      <c r="A5438" s="2">
        <v>44165</v>
      </c>
      <c r="B5438" s="18">
        <f t="shared" si="168"/>
        <v>2020</v>
      </c>
      <c r="C5438" s="18">
        <f t="shared" si="169"/>
        <v>11</v>
      </c>
      <c r="D5438" s="3" t="s">
        <v>1703</v>
      </c>
      <c r="E5438" s="3" t="s">
        <v>18</v>
      </c>
      <c r="F5438" s="3" t="s">
        <v>11</v>
      </c>
      <c r="G5438" s="3" t="s">
        <v>51</v>
      </c>
      <c r="H5438" s="3" t="s">
        <v>2569</v>
      </c>
      <c r="I5438" s="11">
        <v>152.83000000000001</v>
      </c>
      <c r="J5438" s="18">
        <v>3</v>
      </c>
      <c r="K5438" s="12">
        <v>9.5571000000000002</v>
      </c>
    </row>
    <row r="5439" spans="1:11" x14ac:dyDescent="0.25">
      <c r="A5439" s="4">
        <v>44165</v>
      </c>
      <c r="B5439" s="19">
        <f t="shared" si="168"/>
        <v>2020</v>
      </c>
      <c r="C5439" s="19">
        <f t="shared" si="169"/>
        <v>11</v>
      </c>
      <c r="D5439" s="5" t="s">
        <v>1538</v>
      </c>
      <c r="E5439" s="5" t="s">
        <v>44</v>
      </c>
      <c r="F5439" s="5" t="s">
        <v>14</v>
      </c>
      <c r="G5439" s="5" t="s">
        <v>15</v>
      </c>
      <c r="H5439" s="5" t="s">
        <v>1176</v>
      </c>
      <c r="I5439" s="13">
        <v>175.976</v>
      </c>
      <c r="J5439" s="19">
        <v>3</v>
      </c>
      <c r="K5439" s="14">
        <v>8.9969999999999999</v>
      </c>
    </row>
    <row r="5440" spans="1:11" x14ac:dyDescent="0.25">
      <c r="A5440" s="2">
        <v>44166</v>
      </c>
      <c r="B5440" s="18">
        <f t="shared" si="168"/>
        <v>2020</v>
      </c>
      <c r="C5440" s="18">
        <f t="shared" si="169"/>
        <v>12</v>
      </c>
      <c r="D5440" s="3" t="s">
        <v>1507</v>
      </c>
      <c r="E5440" s="3" t="s">
        <v>365</v>
      </c>
      <c r="F5440" s="3" t="s">
        <v>19</v>
      </c>
      <c r="G5440" s="3" t="s">
        <v>20</v>
      </c>
      <c r="H5440" s="3" t="s">
        <v>494</v>
      </c>
      <c r="I5440" s="11">
        <v>103.99</v>
      </c>
      <c r="J5440" s="18">
        <v>1</v>
      </c>
      <c r="K5440" s="12">
        <v>3.6796000000000002</v>
      </c>
    </row>
    <row r="5441" spans="1:11" x14ac:dyDescent="0.25">
      <c r="A5441" s="4">
        <v>44166</v>
      </c>
      <c r="B5441" s="19">
        <f t="shared" si="168"/>
        <v>2020</v>
      </c>
      <c r="C5441" s="19">
        <f t="shared" si="169"/>
        <v>12</v>
      </c>
      <c r="D5441" s="5" t="s">
        <v>887</v>
      </c>
      <c r="E5441" s="5" t="s">
        <v>70</v>
      </c>
      <c r="F5441" s="5" t="s">
        <v>11</v>
      </c>
      <c r="G5441" s="5" t="s">
        <v>51</v>
      </c>
      <c r="H5441" s="5" t="s">
        <v>692</v>
      </c>
      <c r="I5441" s="13">
        <v>106.68</v>
      </c>
      <c r="J5441" s="19">
        <v>12</v>
      </c>
      <c r="K5441" s="14">
        <v>31.0992</v>
      </c>
    </row>
    <row r="5442" spans="1:11" x14ac:dyDescent="0.25">
      <c r="A5442" s="2">
        <v>44166</v>
      </c>
      <c r="B5442" s="18">
        <f t="shared" ref="B5442:B5505" si="170">YEAR(A5442)</f>
        <v>2020</v>
      </c>
      <c r="C5442" s="18">
        <f t="shared" ref="C5442:C5505" si="171">MONTH(A5442)</f>
        <v>12</v>
      </c>
      <c r="D5442" s="3" t="s">
        <v>1541</v>
      </c>
      <c r="E5442" s="3" t="s">
        <v>306</v>
      </c>
      <c r="F5442" s="3" t="s">
        <v>14</v>
      </c>
      <c r="G5442" s="3" t="s">
        <v>15</v>
      </c>
      <c r="H5442" s="3" t="s">
        <v>1813</v>
      </c>
      <c r="I5442" s="11">
        <v>127.584</v>
      </c>
      <c r="J5442" s="18">
        <v>2</v>
      </c>
      <c r="K5442" s="12">
        <v>9.2385999999999999</v>
      </c>
    </row>
    <row r="5443" spans="1:11" x14ac:dyDescent="0.25">
      <c r="A5443" s="4">
        <v>44166</v>
      </c>
      <c r="B5443" s="19">
        <f t="shared" si="170"/>
        <v>2020</v>
      </c>
      <c r="C5443" s="19">
        <f t="shared" si="171"/>
        <v>12</v>
      </c>
      <c r="D5443" s="5" t="s">
        <v>1507</v>
      </c>
      <c r="E5443" s="5" t="s">
        <v>365</v>
      </c>
      <c r="F5443" s="5" t="s">
        <v>19</v>
      </c>
      <c r="G5443" s="5" t="s">
        <v>20</v>
      </c>
      <c r="H5443" s="5" t="s">
        <v>1631</v>
      </c>
      <c r="I5443" s="13">
        <v>131.91999999999999</v>
      </c>
      <c r="J5443" s="19">
        <v>4</v>
      </c>
      <c r="K5443" s="14">
        <v>5.8743999999999996</v>
      </c>
    </row>
    <row r="5444" spans="1:11" x14ac:dyDescent="0.25">
      <c r="A5444" s="2">
        <v>44166</v>
      </c>
      <c r="B5444" s="18">
        <f t="shared" si="170"/>
        <v>2020</v>
      </c>
      <c r="C5444" s="18">
        <f t="shared" si="171"/>
        <v>12</v>
      </c>
      <c r="D5444" s="3" t="s">
        <v>729</v>
      </c>
      <c r="E5444" s="3" t="s">
        <v>39</v>
      </c>
      <c r="F5444" s="3" t="s">
        <v>19</v>
      </c>
      <c r="G5444" s="3" t="s">
        <v>86</v>
      </c>
      <c r="H5444" s="3" t="s">
        <v>87</v>
      </c>
      <c r="I5444" s="11">
        <v>138.68</v>
      </c>
      <c r="J5444" s="18">
        <v>5</v>
      </c>
      <c r="K5444" s="12">
        <v>35.329500000000003</v>
      </c>
    </row>
    <row r="5445" spans="1:11" x14ac:dyDescent="0.25">
      <c r="A5445" s="4">
        <v>44166</v>
      </c>
      <c r="B5445" s="19">
        <f t="shared" si="170"/>
        <v>2020</v>
      </c>
      <c r="C5445" s="19">
        <f t="shared" si="171"/>
        <v>12</v>
      </c>
      <c r="D5445" s="5" t="s">
        <v>2087</v>
      </c>
      <c r="E5445" s="5" t="s">
        <v>70</v>
      </c>
      <c r="F5445" s="5" t="s">
        <v>11</v>
      </c>
      <c r="G5445" s="5" t="s">
        <v>12</v>
      </c>
      <c r="H5445" s="5" t="s">
        <v>1902</v>
      </c>
      <c r="I5445" s="13">
        <v>153.96</v>
      </c>
      <c r="J5445" s="19">
        <v>2</v>
      </c>
      <c r="K5445" s="14">
        <v>41.168399999999998</v>
      </c>
    </row>
    <row r="5446" spans="1:11" x14ac:dyDescent="0.25">
      <c r="A5446" s="2">
        <v>44166</v>
      </c>
      <c r="B5446" s="18">
        <f t="shared" si="170"/>
        <v>2020</v>
      </c>
      <c r="C5446" s="18">
        <f t="shared" si="171"/>
        <v>12</v>
      </c>
      <c r="D5446" s="3" t="s">
        <v>1507</v>
      </c>
      <c r="E5446" s="3" t="s">
        <v>365</v>
      </c>
      <c r="F5446" s="3" t="s">
        <v>14</v>
      </c>
      <c r="G5446" s="3" t="s">
        <v>15</v>
      </c>
      <c r="H5446" s="3" t="s">
        <v>1334</v>
      </c>
      <c r="I5446" s="11">
        <v>156.97999999999999</v>
      </c>
      <c r="J5446" s="18">
        <v>2</v>
      </c>
      <c r="K5446" s="12">
        <v>35.634599999999999</v>
      </c>
    </row>
    <row r="5447" spans="1:11" x14ac:dyDescent="0.25">
      <c r="A5447" s="4">
        <v>44166</v>
      </c>
      <c r="B5447" s="19">
        <f t="shared" si="170"/>
        <v>2020</v>
      </c>
      <c r="C5447" s="19">
        <f t="shared" si="171"/>
        <v>12</v>
      </c>
      <c r="D5447" s="5" t="s">
        <v>1669</v>
      </c>
      <c r="E5447" s="5" t="s">
        <v>23</v>
      </c>
      <c r="F5447" s="5" t="s">
        <v>14</v>
      </c>
      <c r="G5447" s="5" t="s">
        <v>15</v>
      </c>
      <c r="H5447" s="5" t="s">
        <v>2041</v>
      </c>
      <c r="I5447" s="13">
        <v>229.8</v>
      </c>
      <c r="J5447" s="19">
        <v>5</v>
      </c>
      <c r="K5447" s="14">
        <v>24.727499999999999</v>
      </c>
    </row>
    <row r="5448" spans="1:11" x14ac:dyDescent="0.25">
      <c r="A5448" s="2">
        <v>44166</v>
      </c>
      <c r="B5448" s="18">
        <f t="shared" si="170"/>
        <v>2020</v>
      </c>
      <c r="C5448" s="18">
        <f t="shared" si="171"/>
        <v>12</v>
      </c>
      <c r="D5448" s="3" t="s">
        <v>316</v>
      </c>
      <c r="E5448" s="3" t="s">
        <v>94</v>
      </c>
      <c r="F5448" s="3" t="s">
        <v>19</v>
      </c>
      <c r="G5448" s="3" t="s">
        <v>20</v>
      </c>
      <c r="H5448" s="3" t="s">
        <v>1588</v>
      </c>
      <c r="I5448" s="11">
        <v>238.55</v>
      </c>
      <c r="J5448" s="18">
        <v>3</v>
      </c>
      <c r="K5448" s="12">
        <v>6.6464999999999996</v>
      </c>
    </row>
    <row r="5449" spans="1:11" x14ac:dyDescent="0.25">
      <c r="A5449" s="4">
        <v>44166</v>
      </c>
      <c r="B5449" s="19">
        <f t="shared" si="170"/>
        <v>2020</v>
      </c>
      <c r="C5449" s="19">
        <f t="shared" si="171"/>
        <v>12</v>
      </c>
      <c r="D5449" s="5" t="s">
        <v>1669</v>
      </c>
      <c r="E5449" s="5" t="s">
        <v>23</v>
      </c>
      <c r="F5449" s="5" t="s">
        <v>11</v>
      </c>
      <c r="G5449" s="5" t="s">
        <v>112</v>
      </c>
      <c r="H5449" s="5" t="s">
        <v>1286</v>
      </c>
      <c r="I5449" s="13">
        <v>354.05799999999999</v>
      </c>
      <c r="J5449" s="19">
        <v>3</v>
      </c>
      <c r="K5449" s="14">
        <v>-18.117599999999999</v>
      </c>
    </row>
    <row r="5450" spans="1:11" x14ac:dyDescent="0.25">
      <c r="A5450" s="2">
        <v>44166</v>
      </c>
      <c r="B5450" s="18">
        <f t="shared" si="170"/>
        <v>2020</v>
      </c>
      <c r="C5450" s="18">
        <f t="shared" si="171"/>
        <v>12</v>
      </c>
      <c r="D5450" s="3" t="s">
        <v>2047</v>
      </c>
      <c r="E5450" s="3" t="s">
        <v>39</v>
      </c>
      <c r="F5450" s="3" t="s">
        <v>11</v>
      </c>
      <c r="G5450" s="3" t="s">
        <v>112</v>
      </c>
      <c r="H5450" s="3" t="s">
        <v>1997</v>
      </c>
      <c r="I5450" s="11">
        <v>419.97199999999998</v>
      </c>
      <c r="J5450" s="18">
        <v>2</v>
      </c>
      <c r="K5450" s="12">
        <v>-28.498000000000001</v>
      </c>
    </row>
    <row r="5451" spans="1:11" x14ac:dyDescent="0.25">
      <c r="A5451" s="4">
        <v>44166</v>
      </c>
      <c r="B5451" s="19">
        <f t="shared" si="170"/>
        <v>2020</v>
      </c>
      <c r="C5451" s="19">
        <f t="shared" si="171"/>
        <v>12</v>
      </c>
      <c r="D5451" s="5" t="s">
        <v>1541</v>
      </c>
      <c r="E5451" s="5" t="s">
        <v>306</v>
      </c>
      <c r="F5451" s="5" t="s">
        <v>14</v>
      </c>
      <c r="G5451" s="5" t="s">
        <v>15</v>
      </c>
      <c r="H5451" s="5" t="s">
        <v>405</v>
      </c>
      <c r="I5451" s="13">
        <v>449.36799999999999</v>
      </c>
      <c r="J5451" s="19">
        <v>4</v>
      </c>
      <c r="K5451" s="14">
        <v>30.477599999999999</v>
      </c>
    </row>
    <row r="5452" spans="1:11" x14ac:dyDescent="0.25">
      <c r="A5452" s="2">
        <v>44166</v>
      </c>
      <c r="B5452" s="18">
        <f t="shared" si="170"/>
        <v>2020</v>
      </c>
      <c r="C5452" s="18">
        <f t="shared" si="171"/>
        <v>12</v>
      </c>
      <c r="D5452" s="3" t="s">
        <v>1541</v>
      </c>
      <c r="E5452" s="3" t="s">
        <v>306</v>
      </c>
      <c r="F5452" s="3" t="s">
        <v>14</v>
      </c>
      <c r="G5452" s="3" t="s">
        <v>15</v>
      </c>
      <c r="H5452" s="3" t="s">
        <v>1988</v>
      </c>
      <c r="I5452" s="11">
        <v>483.37599999999998</v>
      </c>
      <c r="J5452" s="18">
        <v>3</v>
      </c>
      <c r="K5452" s="12">
        <v>52.917299999999997</v>
      </c>
    </row>
    <row r="5453" spans="1:11" x14ac:dyDescent="0.25">
      <c r="A5453" s="4">
        <v>44166</v>
      </c>
      <c r="B5453" s="19">
        <f t="shared" si="170"/>
        <v>2020</v>
      </c>
      <c r="C5453" s="19">
        <f t="shared" si="171"/>
        <v>12</v>
      </c>
      <c r="D5453" s="5" t="s">
        <v>887</v>
      </c>
      <c r="E5453" s="5" t="s">
        <v>70</v>
      </c>
      <c r="F5453" s="5" t="s">
        <v>19</v>
      </c>
      <c r="G5453" s="5" t="s">
        <v>20</v>
      </c>
      <c r="H5453" s="5" t="s">
        <v>397</v>
      </c>
      <c r="I5453" s="13">
        <v>561.24</v>
      </c>
      <c r="J5453" s="19">
        <v>4</v>
      </c>
      <c r="K5453" s="14">
        <v>5.4123999999999999</v>
      </c>
    </row>
    <row r="5454" spans="1:11" x14ac:dyDescent="0.25">
      <c r="A5454" s="2">
        <v>44166</v>
      </c>
      <c r="B5454" s="18">
        <f t="shared" si="170"/>
        <v>2020</v>
      </c>
      <c r="C5454" s="18">
        <f t="shared" si="171"/>
        <v>12</v>
      </c>
      <c r="D5454" s="3" t="s">
        <v>1326</v>
      </c>
      <c r="E5454" s="3" t="s">
        <v>18</v>
      </c>
      <c r="F5454" s="3" t="s">
        <v>11</v>
      </c>
      <c r="G5454" s="3" t="s">
        <v>51</v>
      </c>
      <c r="H5454" s="3" t="s">
        <v>1480</v>
      </c>
      <c r="I5454" s="11">
        <v>669.64</v>
      </c>
      <c r="J5454" s="18">
        <v>9</v>
      </c>
      <c r="K5454" s="12">
        <v>107.03879999999999</v>
      </c>
    </row>
    <row r="5455" spans="1:11" x14ac:dyDescent="0.25">
      <c r="A5455" s="4">
        <v>44166</v>
      </c>
      <c r="B5455" s="19">
        <f t="shared" si="170"/>
        <v>2020</v>
      </c>
      <c r="C5455" s="19">
        <f t="shared" si="171"/>
        <v>12</v>
      </c>
      <c r="D5455" s="5" t="s">
        <v>2103</v>
      </c>
      <c r="E5455" s="5" t="s">
        <v>91</v>
      </c>
      <c r="F5455" s="5" t="s">
        <v>11</v>
      </c>
      <c r="G5455" s="5" t="s">
        <v>112</v>
      </c>
      <c r="H5455" s="5" t="s">
        <v>2367</v>
      </c>
      <c r="I5455" s="13">
        <v>928.15</v>
      </c>
      <c r="J5455" s="19">
        <v>3</v>
      </c>
      <c r="K5455" s="14">
        <v>251.202</v>
      </c>
    </row>
    <row r="5456" spans="1:11" x14ac:dyDescent="0.25">
      <c r="A5456" s="2">
        <v>44166</v>
      </c>
      <c r="B5456" s="18">
        <f t="shared" si="170"/>
        <v>2020</v>
      </c>
      <c r="C5456" s="18">
        <f t="shared" si="171"/>
        <v>12</v>
      </c>
      <c r="D5456" s="3" t="s">
        <v>1541</v>
      </c>
      <c r="E5456" s="3" t="s">
        <v>306</v>
      </c>
      <c r="F5456" s="3" t="s">
        <v>19</v>
      </c>
      <c r="G5456" s="3" t="s">
        <v>32</v>
      </c>
      <c r="H5456" s="3" t="s">
        <v>715</v>
      </c>
      <c r="I5456" s="11">
        <v>122.783</v>
      </c>
      <c r="J5456" s="18">
        <v>7</v>
      </c>
      <c r="K5456" s="12">
        <v>-4.7481</v>
      </c>
    </row>
    <row r="5457" spans="1:11" x14ac:dyDescent="0.25">
      <c r="A5457" s="4">
        <v>44166</v>
      </c>
      <c r="B5457" s="19">
        <f t="shared" si="170"/>
        <v>2020</v>
      </c>
      <c r="C5457" s="19">
        <f t="shared" si="171"/>
        <v>12</v>
      </c>
      <c r="D5457" s="5" t="s">
        <v>946</v>
      </c>
      <c r="E5457" s="5" t="s">
        <v>23</v>
      </c>
      <c r="F5457" s="5" t="s">
        <v>19</v>
      </c>
      <c r="G5457" s="5" t="s">
        <v>53</v>
      </c>
      <c r="H5457" s="5" t="s">
        <v>1166</v>
      </c>
      <c r="I5457" s="13">
        <v>118.36799999999999</v>
      </c>
      <c r="J5457" s="19">
        <v>2</v>
      </c>
      <c r="K5457" s="14">
        <v>3.6288</v>
      </c>
    </row>
    <row r="5458" spans="1:11" x14ac:dyDescent="0.25">
      <c r="A5458" s="2">
        <v>44166</v>
      </c>
      <c r="B5458" s="18">
        <f t="shared" si="170"/>
        <v>2020</v>
      </c>
      <c r="C5458" s="18">
        <f t="shared" si="171"/>
        <v>12</v>
      </c>
      <c r="D5458" s="3" t="s">
        <v>1909</v>
      </c>
      <c r="E5458" s="3" t="s">
        <v>67</v>
      </c>
      <c r="F5458" s="3" t="s">
        <v>11</v>
      </c>
      <c r="G5458" s="3" t="s">
        <v>51</v>
      </c>
      <c r="H5458" s="3" t="s">
        <v>1687</v>
      </c>
      <c r="I5458" s="11">
        <v>99.712000000000003</v>
      </c>
      <c r="J5458" s="18">
        <v>2</v>
      </c>
      <c r="K5458" s="12">
        <v>1.7352000000000001</v>
      </c>
    </row>
    <row r="5459" spans="1:11" x14ac:dyDescent="0.25">
      <c r="A5459" s="4">
        <v>44166</v>
      </c>
      <c r="B5459" s="19">
        <f t="shared" si="170"/>
        <v>2020</v>
      </c>
      <c r="C5459" s="19">
        <f t="shared" si="171"/>
        <v>12</v>
      </c>
      <c r="D5459" s="5" t="s">
        <v>316</v>
      </c>
      <c r="E5459" s="5" t="s">
        <v>94</v>
      </c>
      <c r="F5459" s="5" t="s">
        <v>19</v>
      </c>
      <c r="G5459" s="5" t="s">
        <v>32</v>
      </c>
      <c r="H5459" s="5" t="s">
        <v>1888</v>
      </c>
      <c r="I5459" s="13">
        <v>118.52</v>
      </c>
      <c r="J5459" s="19">
        <v>5</v>
      </c>
      <c r="K5459" s="14">
        <v>6.1319999999999997</v>
      </c>
    </row>
    <row r="5460" spans="1:11" x14ac:dyDescent="0.25">
      <c r="A5460" s="2">
        <v>44166</v>
      </c>
      <c r="B5460" s="18">
        <f t="shared" si="170"/>
        <v>2020</v>
      </c>
      <c r="C5460" s="18">
        <f t="shared" si="171"/>
        <v>12</v>
      </c>
      <c r="D5460" s="3" t="s">
        <v>1507</v>
      </c>
      <c r="E5460" s="3" t="s">
        <v>365</v>
      </c>
      <c r="F5460" s="3" t="s">
        <v>19</v>
      </c>
      <c r="G5460" s="3" t="s">
        <v>32</v>
      </c>
      <c r="H5460" s="3" t="s">
        <v>237</v>
      </c>
      <c r="I5460" s="11">
        <v>134.91999999999999</v>
      </c>
      <c r="J5460" s="18">
        <v>4</v>
      </c>
      <c r="K5460" s="12">
        <v>7.4824000000000002</v>
      </c>
    </row>
    <row r="5461" spans="1:11" x14ac:dyDescent="0.25">
      <c r="A5461" s="4">
        <v>44166</v>
      </c>
      <c r="B5461" s="19">
        <f t="shared" si="170"/>
        <v>2020</v>
      </c>
      <c r="C5461" s="19">
        <f t="shared" si="171"/>
        <v>12</v>
      </c>
      <c r="D5461" s="5" t="s">
        <v>887</v>
      </c>
      <c r="E5461" s="5" t="s">
        <v>70</v>
      </c>
      <c r="F5461" s="5" t="s">
        <v>19</v>
      </c>
      <c r="G5461" s="5" t="s">
        <v>32</v>
      </c>
      <c r="H5461" s="5" t="s">
        <v>1078</v>
      </c>
      <c r="I5461" s="13">
        <v>141.91999999999999</v>
      </c>
      <c r="J5461" s="19">
        <v>5</v>
      </c>
      <c r="K5461" s="14">
        <v>5.3730000000000002</v>
      </c>
    </row>
    <row r="5462" spans="1:11" x14ac:dyDescent="0.25">
      <c r="A5462" s="2">
        <v>44166</v>
      </c>
      <c r="B5462" s="18">
        <f t="shared" si="170"/>
        <v>2020</v>
      </c>
      <c r="C5462" s="18">
        <f t="shared" si="171"/>
        <v>12</v>
      </c>
      <c r="D5462" s="3" t="s">
        <v>2047</v>
      </c>
      <c r="E5462" s="3" t="s">
        <v>39</v>
      </c>
      <c r="F5462" s="3" t="s">
        <v>19</v>
      </c>
      <c r="G5462" s="3" t="s">
        <v>32</v>
      </c>
      <c r="H5462" s="3" t="s">
        <v>2018</v>
      </c>
      <c r="I5462" s="11">
        <v>117.001</v>
      </c>
      <c r="J5462" s="18">
        <v>7</v>
      </c>
      <c r="K5462" s="12">
        <v>-5.6006999999999998</v>
      </c>
    </row>
    <row r="5463" spans="1:11" x14ac:dyDescent="0.25">
      <c r="A5463" s="4">
        <v>44166</v>
      </c>
      <c r="B5463" s="19">
        <f t="shared" si="170"/>
        <v>2020</v>
      </c>
      <c r="C5463" s="19">
        <f t="shared" si="171"/>
        <v>12</v>
      </c>
      <c r="D5463" s="5" t="s">
        <v>1541</v>
      </c>
      <c r="E5463" s="5" t="s">
        <v>306</v>
      </c>
      <c r="F5463" s="5" t="s">
        <v>19</v>
      </c>
      <c r="G5463" s="5" t="s">
        <v>121</v>
      </c>
      <c r="H5463" s="5" t="s">
        <v>1522</v>
      </c>
      <c r="I5463" s="13">
        <v>112.152</v>
      </c>
      <c r="J5463" s="19">
        <v>3</v>
      </c>
      <c r="K5463" s="14">
        <v>3.5045999999999999</v>
      </c>
    </row>
    <row r="5464" spans="1:11" x14ac:dyDescent="0.25">
      <c r="A5464" s="2">
        <v>44166</v>
      </c>
      <c r="B5464" s="18">
        <f t="shared" si="170"/>
        <v>2020</v>
      </c>
      <c r="C5464" s="18">
        <f t="shared" si="171"/>
        <v>12</v>
      </c>
      <c r="D5464" s="3" t="s">
        <v>316</v>
      </c>
      <c r="E5464" s="3" t="s">
        <v>94</v>
      </c>
      <c r="F5464" s="3" t="s">
        <v>14</v>
      </c>
      <c r="G5464" s="3" t="s">
        <v>24</v>
      </c>
      <c r="H5464" s="3" t="s">
        <v>1455</v>
      </c>
      <c r="I5464" s="11">
        <v>127.37</v>
      </c>
      <c r="J5464" s="18">
        <v>3</v>
      </c>
      <c r="K5464" s="12">
        <v>6.9257999999999997</v>
      </c>
    </row>
    <row r="5465" spans="1:11" x14ac:dyDescent="0.25">
      <c r="A5465" s="4">
        <v>44166</v>
      </c>
      <c r="B5465" s="19">
        <f t="shared" si="170"/>
        <v>2020</v>
      </c>
      <c r="C5465" s="19">
        <f t="shared" si="171"/>
        <v>12</v>
      </c>
      <c r="D5465" s="5" t="s">
        <v>2047</v>
      </c>
      <c r="E5465" s="5" t="s">
        <v>39</v>
      </c>
      <c r="F5465" s="5" t="s">
        <v>19</v>
      </c>
      <c r="G5465" s="5" t="s">
        <v>127</v>
      </c>
      <c r="H5465" s="5" t="s">
        <v>1662</v>
      </c>
      <c r="I5465" s="13">
        <v>145.93600000000001</v>
      </c>
      <c r="J5465" s="19">
        <v>4</v>
      </c>
      <c r="K5465" s="14">
        <v>5.1791999999999998</v>
      </c>
    </row>
    <row r="5466" spans="1:11" x14ac:dyDescent="0.25">
      <c r="A5466" s="2">
        <v>44166</v>
      </c>
      <c r="B5466" s="18">
        <f t="shared" si="170"/>
        <v>2020</v>
      </c>
      <c r="C5466" s="18">
        <f t="shared" si="171"/>
        <v>12</v>
      </c>
      <c r="D5466" s="3" t="s">
        <v>2338</v>
      </c>
      <c r="E5466" s="3" t="s">
        <v>18</v>
      </c>
      <c r="F5466" s="3" t="s">
        <v>19</v>
      </c>
      <c r="G5466" s="3" t="s">
        <v>32</v>
      </c>
      <c r="H5466" s="3" t="s">
        <v>888</v>
      </c>
      <c r="I5466" s="11">
        <v>138.12799999999999</v>
      </c>
      <c r="J5466" s="18">
        <v>2</v>
      </c>
      <c r="K5466" s="12">
        <v>3.6714000000000002</v>
      </c>
    </row>
    <row r="5467" spans="1:11" x14ac:dyDescent="0.25">
      <c r="A5467" s="4">
        <v>44166</v>
      </c>
      <c r="B5467" s="19">
        <f t="shared" si="170"/>
        <v>2020</v>
      </c>
      <c r="C5467" s="19">
        <f t="shared" si="171"/>
        <v>12</v>
      </c>
      <c r="D5467" s="5" t="s">
        <v>1330</v>
      </c>
      <c r="E5467" s="5" t="s">
        <v>39</v>
      </c>
      <c r="F5467" s="5" t="s">
        <v>19</v>
      </c>
      <c r="G5467" s="5" t="s">
        <v>20</v>
      </c>
      <c r="H5467" s="5" t="s">
        <v>2328</v>
      </c>
      <c r="I5467" s="13">
        <v>150.392</v>
      </c>
      <c r="J5467" s="19">
        <v>3</v>
      </c>
      <c r="K5467" s="14">
        <v>2.3370000000000002</v>
      </c>
    </row>
    <row r="5468" spans="1:11" x14ac:dyDescent="0.25">
      <c r="A5468" s="2">
        <v>44166</v>
      </c>
      <c r="B5468" s="18">
        <f t="shared" si="170"/>
        <v>2020</v>
      </c>
      <c r="C5468" s="18">
        <f t="shared" si="171"/>
        <v>12</v>
      </c>
      <c r="D5468" s="3" t="s">
        <v>2103</v>
      </c>
      <c r="E5468" s="3" t="s">
        <v>91</v>
      </c>
      <c r="F5468" s="3" t="s">
        <v>19</v>
      </c>
      <c r="G5468" s="3" t="s">
        <v>53</v>
      </c>
      <c r="H5468" s="3" t="s">
        <v>2026</v>
      </c>
      <c r="I5468" s="11">
        <v>153.44</v>
      </c>
      <c r="J5468" s="18">
        <v>3</v>
      </c>
      <c r="K5468" s="12">
        <v>9.3312000000000008</v>
      </c>
    </row>
    <row r="5469" spans="1:11" x14ac:dyDescent="0.25">
      <c r="A5469" s="4">
        <v>44166</v>
      </c>
      <c r="B5469" s="19">
        <f t="shared" si="170"/>
        <v>2020</v>
      </c>
      <c r="C5469" s="19">
        <f t="shared" si="171"/>
        <v>12</v>
      </c>
      <c r="D5469" s="5" t="s">
        <v>2087</v>
      </c>
      <c r="E5469" s="5" t="s">
        <v>70</v>
      </c>
      <c r="F5469" s="5" t="s">
        <v>19</v>
      </c>
      <c r="G5469" s="5" t="s">
        <v>53</v>
      </c>
      <c r="H5469" s="5" t="s">
        <v>1702</v>
      </c>
      <c r="I5469" s="13">
        <v>129.86000000000001</v>
      </c>
      <c r="J5469" s="19">
        <v>7</v>
      </c>
      <c r="K5469" s="14">
        <v>18.837</v>
      </c>
    </row>
    <row r="5470" spans="1:11" x14ac:dyDescent="0.25">
      <c r="A5470" s="2">
        <v>44166</v>
      </c>
      <c r="B5470" s="18">
        <f t="shared" si="170"/>
        <v>2020</v>
      </c>
      <c r="C5470" s="18">
        <f t="shared" si="171"/>
        <v>12</v>
      </c>
      <c r="D5470" s="3" t="s">
        <v>2338</v>
      </c>
      <c r="E5470" s="3" t="s">
        <v>18</v>
      </c>
      <c r="F5470" s="3" t="s">
        <v>19</v>
      </c>
      <c r="G5470" s="3" t="s">
        <v>53</v>
      </c>
      <c r="H5470" s="3" t="s">
        <v>1651</v>
      </c>
      <c r="I5470" s="11">
        <v>130.36000000000001</v>
      </c>
      <c r="J5470" s="18">
        <v>7</v>
      </c>
      <c r="K5470" s="12">
        <v>21.7728</v>
      </c>
    </row>
    <row r="5471" spans="1:11" x14ac:dyDescent="0.25">
      <c r="A5471" s="4">
        <v>44166</v>
      </c>
      <c r="B5471" s="19">
        <f t="shared" si="170"/>
        <v>2020</v>
      </c>
      <c r="C5471" s="19">
        <f t="shared" si="171"/>
        <v>12</v>
      </c>
      <c r="D5471" s="5" t="s">
        <v>1507</v>
      </c>
      <c r="E5471" s="5" t="s">
        <v>365</v>
      </c>
      <c r="F5471" s="5" t="s">
        <v>19</v>
      </c>
      <c r="G5471" s="5" t="s">
        <v>116</v>
      </c>
      <c r="H5471" s="5" t="s">
        <v>652</v>
      </c>
      <c r="I5471" s="13">
        <v>117.29</v>
      </c>
      <c r="J5471" s="19">
        <v>9</v>
      </c>
      <c r="K5471" s="14">
        <v>16.209900000000001</v>
      </c>
    </row>
    <row r="5472" spans="1:11" x14ac:dyDescent="0.25">
      <c r="A5472" s="2">
        <v>44166</v>
      </c>
      <c r="B5472" s="18">
        <f t="shared" si="170"/>
        <v>2020</v>
      </c>
      <c r="C5472" s="18">
        <f t="shared" si="171"/>
        <v>12</v>
      </c>
      <c r="D5472" s="3" t="s">
        <v>729</v>
      </c>
      <c r="E5472" s="3" t="s">
        <v>39</v>
      </c>
      <c r="F5472" s="3" t="s">
        <v>14</v>
      </c>
      <c r="G5472" s="3" t="s">
        <v>15</v>
      </c>
      <c r="H5472" s="3" t="s">
        <v>1532</v>
      </c>
      <c r="I5472" s="11">
        <v>138.958</v>
      </c>
      <c r="J5472" s="18">
        <v>7</v>
      </c>
      <c r="K5472" s="12">
        <v>9.4436999999999998</v>
      </c>
    </row>
    <row r="5473" spans="1:11" x14ac:dyDescent="0.25">
      <c r="A5473" s="4">
        <v>44166</v>
      </c>
      <c r="B5473" s="19">
        <f t="shared" si="170"/>
        <v>2020</v>
      </c>
      <c r="C5473" s="19">
        <f t="shared" si="171"/>
        <v>12</v>
      </c>
      <c r="D5473" s="5" t="s">
        <v>1330</v>
      </c>
      <c r="E5473" s="5" t="s">
        <v>39</v>
      </c>
      <c r="F5473" s="5" t="s">
        <v>11</v>
      </c>
      <c r="G5473" s="5" t="s">
        <v>51</v>
      </c>
      <c r="H5473" s="5" t="s">
        <v>656</v>
      </c>
      <c r="I5473" s="13">
        <v>182.12</v>
      </c>
      <c r="J5473" s="19">
        <v>5</v>
      </c>
      <c r="K5473" s="14">
        <v>13.846</v>
      </c>
    </row>
    <row r="5474" spans="1:11" x14ac:dyDescent="0.25">
      <c r="A5474" s="2">
        <v>44167</v>
      </c>
      <c r="B5474" s="18">
        <f t="shared" si="170"/>
        <v>2020</v>
      </c>
      <c r="C5474" s="18">
        <f t="shared" si="171"/>
        <v>12</v>
      </c>
      <c r="D5474" s="3" t="s">
        <v>1220</v>
      </c>
      <c r="E5474" s="3" t="s">
        <v>18</v>
      </c>
      <c r="F5474" s="3" t="s">
        <v>19</v>
      </c>
      <c r="G5474" s="3" t="s">
        <v>32</v>
      </c>
      <c r="H5474" s="3" t="s">
        <v>359</v>
      </c>
      <c r="I5474" s="11">
        <v>104.456</v>
      </c>
      <c r="J5474" s="18">
        <v>2</v>
      </c>
      <c r="K5474" s="12">
        <v>22.5732</v>
      </c>
    </row>
    <row r="5475" spans="1:11" x14ac:dyDescent="0.25">
      <c r="A5475" s="4">
        <v>44167</v>
      </c>
      <c r="B5475" s="19">
        <f t="shared" si="170"/>
        <v>2020</v>
      </c>
      <c r="C5475" s="19">
        <f t="shared" si="171"/>
        <v>12</v>
      </c>
      <c r="D5475" s="5" t="s">
        <v>1220</v>
      </c>
      <c r="E5475" s="5" t="s">
        <v>18</v>
      </c>
      <c r="F5475" s="5" t="s">
        <v>19</v>
      </c>
      <c r="G5475" s="5" t="s">
        <v>121</v>
      </c>
      <c r="H5475" s="5" t="s">
        <v>1923</v>
      </c>
      <c r="I5475" s="13">
        <v>120.47</v>
      </c>
      <c r="J5475" s="19">
        <v>3</v>
      </c>
      <c r="K5475" s="14">
        <v>22.2516</v>
      </c>
    </row>
    <row r="5476" spans="1:11" x14ac:dyDescent="0.25">
      <c r="A5476" s="2">
        <v>44167</v>
      </c>
      <c r="B5476" s="18">
        <f t="shared" si="170"/>
        <v>2020</v>
      </c>
      <c r="C5476" s="18">
        <f t="shared" si="171"/>
        <v>12</v>
      </c>
      <c r="D5476" s="3" t="s">
        <v>1741</v>
      </c>
      <c r="E5476" s="3" t="s">
        <v>18</v>
      </c>
      <c r="F5476" s="3" t="s">
        <v>19</v>
      </c>
      <c r="G5476" s="3" t="s">
        <v>53</v>
      </c>
      <c r="H5476" s="3" t="s">
        <v>2478</v>
      </c>
      <c r="I5476" s="11">
        <v>143.91999999999999</v>
      </c>
      <c r="J5476" s="18">
        <v>2</v>
      </c>
      <c r="K5476" s="12">
        <v>53.860799999999998</v>
      </c>
    </row>
    <row r="5477" spans="1:11" x14ac:dyDescent="0.25">
      <c r="A5477" s="4">
        <v>44167</v>
      </c>
      <c r="B5477" s="19">
        <f t="shared" si="170"/>
        <v>2020</v>
      </c>
      <c r="C5477" s="19">
        <f t="shared" si="171"/>
        <v>12</v>
      </c>
      <c r="D5477" s="5" t="s">
        <v>2169</v>
      </c>
      <c r="E5477" s="5" t="s">
        <v>306</v>
      </c>
      <c r="F5477" s="5" t="s">
        <v>19</v>
      </c>
      <c r="G5477" s="5" t="s">
        <v>20</v>
      </c>
      <c r="H5477" s="5" t="s">
        <v>996</v>
      </c>
      <c r="I5477" s="13">
        <v>155.28800000000001</v>
      </c>
      <c r="J5477" s="19">
        <v>1</v>
      </c>
      <c r="K5477" s="14">
        <v>12.8574</v>
      </c>
    </row>
    <row r="5478" spans="1:11" x14ac:dyDescent="0.25">
      <c r="A5478" s="2">
        <v>44167</v>
      </c>
      <c r="B5478" s="18">
        <f t="shared" si="170"/>
        <v>2020</v>
      </c>
      <c r="C5478" s="18">
        <f t="shared" si="171"/>
        <v>12</v>
      </c>
      <c r="D5478" s="3" t="s">
        <v>565</v>
      </c>
      <c r="E5478" s="3" t="s">
        <v>67</v>
      </c>
      <c r="F5478" s="3" t="s">
        <v>14</v>
      </c>
      <c r="G5478" s="3" t="s">
        <v>15</v>
      </c>
      <c r="H5478" s="3" t="s">
        <v>2570</v>
      </c>
      <c r="I5478" s="11">
        <v>199.18799999999999</v>
      </c>
      <c r="J5478" s="18">
        <v>2</v>
      </c>
      <c r="K5478" s="12">
        <v>-25.198</v>
      </c>
    </row>
    <row r="5479" spans="1:11" x14ac:dyDescent="0.25">
      <c r="A5479" s="4">
        <v>44167</v>
      </c>
      <c r="B5479" s="19">
        <f t="shared" si="170"/>
        <v>2020</v>
      </c>
      <c r="C5479" s="19">
        <f t="shared" si="171"/>
        <v>12</v>
      </c>
      <c r="D5479" s="5" t="s">
        <v>1843</v>
      </c>
      <c r="E5479" s="5" t="s">
        <v>18</v>
      </c>
      <c r="F5479" s="5" t="s">
        <v>19</v>
      </c>
      <c r="G5479" s="5" t="s">
        <v>40</v>
      </c>
      <c r="H5479" s="5" t="s">
        <v>682</v>
      </c>
      <c r="I5479" s="13">
        <v>202.9</v>
      </c>
      <c r="J5479" s="19">
        <v>5</v>
      </c>
      <c r="K5479" s="14">
        <v>44.975000000000001</v>
      </c>
    </row>
    <row r="5480" spans="1:11" x14ac:dyDescent="0.25">
      <c r="A5480" s="2">
        <v>44167</v>
      </c>
      <c r="B5480" s="18">
        <f t="shared" si="170"/>
        <v>2020</v>
      </c>
      <c r="C5480" s="18">
        <f t="shared" si="171"/>
        <v>12</v>
      </c>
      <c r="D5480" s="3" t="s">
        <v>2169</v>
      </c>
      <c r="E5480" s="3" t="s">
        <v>306</v>
      </c>
      <c r="F5480" s="3" t="s">
        <v>11</v>
      </c>
      <c r="G5480" s="3" t="s">
        <v>12</v>
      </c>
      <c r="H5480" s="3" t="s">
        <v>1253</v>
      </c>
      <c r="I5480" s="11">
        <v>281.35199999999998</v>
      </c>
      <c r="J5480" s="18">
        <v>8</v>
      </c>
      <c r="K5480" s="12">
        <v>-363.52800000000002</v>
      </c>
    </row>
    <row r="5481" spans="1:11" x14ac:dyDescent="0.25">
      <c r="A5481" s="4">
        <v>44167</v>
      </c>
      <c r="B5481" s="19">
        <f t="shared" si="170"/>
        <v>2020</v>
      </c>
      <c r="C5481" s="19">
        <f t="shared" si="171"/>
        <v>12</v>
      </c>
      <c r="D5481" s="5" t="s">
        <v>677</v>
      </c>
      <c r="E5481" s="5" t="s">
        <v>370</v>
      </c>
      <c r="F5481" s="5" t="s">
        <v>19</v>
      </c>
      <c r="G5481" s="5" t="s">
        <v>121</v>
      </c>
      <c r="H5481" s="5" t="s">
        <v>2067</v>
      </c>
      <c r="I5481" s="13">
        <v>325.86</v>
      </c>
      <c r="J5481" s="19">
        <v>7</v>
      </c>
      <c r="K5481" s="14">
        <v>80.320800000000006</v>
      </c>
    </row>
    <row r="5482" spans="1:11" x14ac:dyDescent="0.25">
      <c r="A5482" s="2">
        <v>44167</v>
      </c>
      <c r="B5482" s="18">
        <f t="shared" si="170"/>
        <v>2020</v>
      </c>
      <c r="C5482" s="18">
        <f t="shared" si="171"/>
        <v>12</v>
      </c>
      <c r="D5482" s="3" t="s">
        <v>1250</v>
      </c>
      <c r="E5482" s="3" t="s">
        <v>23</v>
      </c>
      <c r="F5482" s="3" t="s">
        <v>19</v>
      </c>
      <c r="G5482" s="3" t="s">
        <v>121</v>
      </c>
      <c r="H5482" s="3" t="s">
        <v>1360</v>
      </c>
      <c r="I5482" s="11">
        <v>334.62</v>
      </c>
      <c r="J5482" s="18">
        <v>5</v>
      </c>
      <c r="K5482" s="12">
        <v>-766.01199999999994</v>
      </c>
    </row>
    <row r="5483" spans="1:11" x14ac:dyDescent="0.25">
      <c r="A5483" s="4">
        <v>44167</v>
      </c>
      <c r="B5483" s="19">
        <f t="shared" si="170"/>
        <v>2020</v>
      </c>
      <c r="C5483" s="19">
        <f t="shared" si="171"/>
        <v>12</v>
      </c>
      <c r="D5483" s="5" t="s">
        <v>2169</v>
      </c>
      <c r="E5483" s="5" t="s">
        <v>306</v>
      </c>
      <c r="F5483" s="5" t="s">
        <v>11</v>
      </c>
      <c r="G5483" s="5" t="s">
        <v>51</v>
      </c>
      <c r="H5483" s="5" t="s">
        <v>799</v>
      </c>
      <c r="I5483" s="13">
        <v>556.70399999999995</v>
      </c>
      <c r="J5483" s="19">
        <v>6</v>
      </c>
      <c r="K5483" s="14">
        <v>0</v>
      </c>
    </row>
    <row r="5484" spans="1:11" x14ac:dyDescent="0.25">
      <c r="A5484" s="2">
        <v>44167</v>
      </c>
      <c r="B5484" s="18">
        <f t="shared" si="170"/>
        <v>2020</v>
      </c>
      <c r="C5484" s="18">
        <f t="shared" si="171"/>
        <v>12</v>
      </c>
      <c r="D5484" s="3" t="s">
        <v>1741</v>
      </c>
      <c r="E5484" s="3" t="s">
        <v>18</v>
      </c>
      <c r="F5484" s="3" t="s">
        <v>19</v>
      </c>
      <c r="G5484" s="3" t="s">
        <v>20</v>
      </c>
      <c r="H5484" s="3" t="s">
        <v>216</v>
      </c>
      <c r="I5484" s="11">
        <v>596.62</v>
      </c>
      <c r="J5484" s="18">
        <v>9</v>
      </c>
      <c r="K5484" s="12">
        <v>151.09739999999999</v>
      </c>
    </row>
    <row r="5485" spans="1:11" x14ac:dyDescent="0.25">
      <c r="A5485" s="4">
        <v>44167</v>
      </c>
      <c r="B5485" s="19">
        <f t="shared" si="170"/>
        <v>2020</v>
      </c>
      <c r="C5485" s="19">
        <f t="shared" si="171"/>
        <v>12</v>
      </c>
      <c r="D5485" s="5" t="s">
        <v>256</v>
      </c>
      <c r="E5485" s="5" t="s">
        <v>39</v>
      </c>
      <c r="F5485" s="5" t="s">
        <v>19</v>
      </c>
      <c r="G5485" s="5" t="s">
        <v>32</v>
      </c>
      <c r="H5485" s="5" t="s">
        <v>1566</v>
      </c>
      <c r="I5485" s="13">
        <v>155.17599999999999</v>
      </c>
      <c r="J5485" s="19">
        <v>4</v>
      </c>
      <c r="K5485" s="14">
        <v>-462.86239999999998</v>
      </c>
    </row>
    <row r="5486" spans="1:11" x14ac:dyDescent="0.25">
      <c r="A5486" s="2">
        <v>44167</v>
      </c>
      <c r="B5486" s="18">
        <f t="shared" si="170"/>
        <v>2020</v>
      </c>
      <c r="C5486" s="18">
        <f t="shared" si="171"/>
        <v>12</v>
      </c>
      <c r="D5486" s="3" t="s">
        <v>1366</v>
      </c>
      <c r="E5486" s="3" t="s">
        <v>181</v>
      </c>
      <c r="F5486" s="3" t="s">
        <v>11</v>
      </c>
      <c r="G5486" s="3" t="s">
        <v>112</v>
      </c>
      <c r="H5486" s="3" t="s">
        <v>1592</v>
      </c>
      <c r="I5486" s="11">
        <v>723.96</v>
      </c>
      <c r="J5486" s="18">
        <v>2</v>
      </c>
      <c r="K5486" s="12">
        <v>168.47040000000001</v>
      </c>
    </row>
    <row r="5487" spans="1:11" x14ac:dyDescent="0.25">
      <c r="A5487" s="4">
        <v>44167</v>
      </c>
      <c r="B5487" s="19">
        <f t="shared" si="170"/>
        <v>2020</v>
      </c>
      <c r="C5487" s="19">
        <f t="shared" si="171"/>
        <v>12</v>
      </c>
      <c r="D5487" s="5" t="s">
        <v>2169</v>
      </c>
      <c r="E5487" s="5" t="s">
        <v>306</v>
      </c>
      <c r="F5487" s="5" t="s">
        <v>11</v>
      </c>
      <c r="G5487" s="5" t="s">
        <v>112</v>
      </c>
      <c r="H5487" s="5" t="s">
        <v>1195</v>
      </c>
      <c r="I5487" s="13">
        <v>245.68</v>
      </c>
      <c r="J5487" s="19">
        <v>5</v>
      </c>
      <c r="K5487" s="14">
        <v>68.001000000000005</v>
      </c>
    </row>
    <row r="5488" spans="1:11" x14ac:dyDescent="0.25">
      <c r="A5488" s="2">
        <v>44167</v>
      </c>
      <c r="B5488" s="18">
        <f t="shared" si="170"/>
        <v>2020</v>
      </c>
      <c r="C5488" s="18">
        <f t="shared" si="171"/>
        <v>12</v>
      </c>
      <c r="D5488" s="3" t="s">
        <v>677</v>
      </c>
      <c r="E5488" s="3" t="s">
        <v>370</v>
      </c>
      <c r="F5488" s="3" t="s">
        <v>14</v>
      </c>
      <c r="G5488" s="3" t="s">
        <v>15</v>
      </c>
      <c r="H5488" s="3" t="s">
        <v>1988</v>
      </c>
      <c r="I5488" s="11">
        <v>289.95</v>
      </c>
      <c r="J5488" s="18">
        <v>5</v>
      </c>
      <c r="K5488" s="12">
        <v>284.18549999999999</v>
      </c>
    </row>
    <row r="5489" spans="1:11" x14ac:dyDescent="0.25">
      <c r="A5489" s="4">
        <v>44167</v>
      </c>
      <c r="B5489" s="19">
        <f t="shared" si="170"/>
        <v>2020</v>
      </c>
      <c r="C5489" s="19">
        <f t="shared" si="171"/>
        <v>12</v>
      </c>
      <c r="D5489" s="5" t="s">
        <v>1843</v>
      </c>
      <c r="E5489" s="5" t="s">
        <v>18</v>
      </c>
      <c r="F5489" s="5" t="s">
        <v>11</v>
      </c>
      <c r="G5489" s="5" t="s">
        <v>112</v>
      </c>
      <c r="H5489" s="5" t="s">
        <v>315</v>
      </c>
      <c r="I5489" s="13">
        <v>182.05600000000001</v>
      </c>
      <c r="J5489" s="19">
        <v>9</v>
      </c>
      <c r="K5489" s="14">
        <v>43.464599999999997</v>
      </c>
    </row>
    <row r="5490" spans="1:11" x14ac:dyDescent="0.25">
      <c r="A5490" s="2">
        <v>44167</v>
      </c>
      <c r="B5490" s="18">
        <f t="shared" si="170"/>
        <v>2020</v>
      </c>
      <c r="C5490" s="18">
        <f t="shared" si="171"/>
        <v>12</v>
      </c>
      <c r="D5490" s="3" t="s">
        <v>2492</v>
      </c>
      <c r="E5490" s="3" t="s">
        <v>651</v>
      </c>
      <c r="F5490" s="3" t="s">
        <v>14</v>
      </c>
      <c r="G5490" s="3" t="s">
        <v>15</v>
      </c>
      <c r="H5490" s="3" t="s">
        <v>823</v>
      </c>
      <c r="I5490" s="11">
        <v>521.96</v>
      </c>
      <c r="J5490" s="18">
        <v>4</v>
      </c>
      <c r="K5490" s="12">
        <v>743.98800000000006</v>
      </c>
    </row>
    <row r="5491" spans="1:11" x14ac:dyDescent="0.25">
      <c r="A5491" s="4">
        <v>44167</v>
      </c>
      <c r="B5491" s="19">
        <f t="shared" si="170"/>
        <v>2020</v>
      </c>
      <c r="C5491" s="19">
        <f t="shared" si="171"/>
        <v>12</v>
      </c>
      <c r="D5491" s="5" t="s">
        <v>1741</v>
      </c>
      <c r="E5491" s="5" t="s">
        <v>18</v>
      </c>
      <c r="F5491" s="5" t="s">
        <v>19</v>
      </c>
      <c r="G5491" s="5" t="s">
        <v>53</v>
      </c>
      <c r="H5491" s="5" t="s">
        <v>547</v>
      </c>
      <c r="I5491" s="13">
        <v>84.56</v>
      </c>
      <c r="J5491" s="19">
        <v>2</v>
      </c>
      <c r="K5491" s="14">
        <v>3.8519999999999999</v>
      </c>
    </row>
    <row r="5492" spans="1:11" x14ac:dyDescent="0.25">
      <c r="A5492" s="2">
        <v>44167</v>
      </c>
      <c r="B5492" s="18">
        <f t="shared" si="170"/>
        <v>2020</v>
      </c>
      <c r="C5492" s="18">
        <f t="shared" si="171"/>
        <v>12</v>
      </c>
      <c r="D5492" s="3" t="s">
        <v>565</v>
      </c>
      <c r="E5492" s="3" t="s">
        <v>67</v>
      </c>
      <c r="F5492" s="3" t="s">
        <v>19</v>
      </c>
      <c r="G5492" s="3" t="s">
        <v>40</v>
      </c>
      <c r="H5492" s="3" t="s">
        <v>826</v>
      </c>
      <c r="I5492" s="11">
        <v>128.72800000000001</v>
      </c>
      <c r="J5492" s="18">
        <v>9</v>
      </c>
      <c r="K5492" s="12">
        <v>1.7262</v>
      </c>
    </row>
    <row r="5493" spans="1:11" x14ac:dyDescent="0.25">
      <c r="A5493" s="4">
        <v>44167</v>
      </c>
      <c r="B5493" s="19">
        <f t="shared" si="170"/>
        <v>2020</v>
      </c>
      <c r="C5493" s="19">
        <f t="shared" si="171"/>
        <v>12</v>
      </c>
      <c r="D5493" s="5" t="s">
        <v>858</v>
      </c>
      <c r="E5493" s="5" t="s">
        <v>23</v>
      </c>
      <c r="F5493" s="5" t="s">
        <v>19</v>
      </c>
      <c r="G5493" s="5" t="s">
        <v>40</v>
      </c>
      <c r="H5493" s="5" t="s">
        <v>1640</v>
      </c>
      <c r="I5493" s="13">
        <v>106.16</v>
      </c>
      <c r="J5493" s="19">
        <v>5</v>
      </c>
      <c r="K5493" s="14">
        <v>2.1280000000000001</v>
      </c>
    </row>
    <row r="5494" spans="1:11" x14ac:dyDescent="0.25">
      <c r="A5494" s="2">
        <v>44167</v>
      </c>
      <c r="B5494" s="18">
        <f t="shared" si="170"/>
        <v>2020</v>
      </c>
      <c r="C5494" s="18">
        <f t="shared" si="171"/>
        <v>12</v>
      </c>
      <c r="D5494" s="3" t="s">
        <v>1869</v>
      </c>
      <c r="E5494" s="3" t="s">
        <v>35</v>
      </c>
      <c r="F5494" s="3" t="s">
        <v>19</v>
      </c>
      <c r="G5494" s="3" t="s">
        <v>40</v>
      </c>
      <c r="H5494" s="3" t="s">
        <v>2571</v>
      </c>
      <c r="I5494" s="11">
        <v>93.775999999999996</v>
      </c>
      <c r="J5494" s="18">
        <v>1</v>
      </c>
      <c r="K5494" s="12">
        <v>2.4582000000000002</v>
      </c>
    </row>
    <row r="5495" spans="1:11" x14ac:dyDescent="0.25">
      <c r="A5495" s="4">
        <v>44167</v>
      </c>
      <c r="B5495" s="19">
        <f t="shared" si="170"/>
        <v>2020</v>
      </c>
      <c r="C5495" s="19">
        <f t="shared" si="171"/>
        <v>12</v>
      </c>
      <c r="D5495" s="5" t="s">
        <v>1220</v>
      </c>
      <c r="E5495" s="5" t="s">
        <v>18</v>
      </c>
      <c r="F5495" s="5" t="s">
        <v>19</v>
      </c>
      <c r="G5495" s="5" t="s">
        <v>40</v>
      </c>
      <c r="H5495" s="5" t="s">
        <v>481</v>
      </c>
      <c r="I5495" s="13">
        <v>121.08</v>
      </c>
      <c r="J5495" s="19">
        <v>6</v>
      </c>
      <c r="K5495" s="14">
        <v>5.04</v>
      </c>
    </row>
    <row r="5496" spans="1:11" x14ac:dyDescent="0.25">
      <c r="A5496" s="2">
        <v>44167</v>
      </c>
      <c r="B5496" s="18">
        <f t="shared" si="170"/>
        <v>2020</v>
      </c>
      <c r="C5496" s="18">
        <f t="shared" si="171"/>
        <v>12</v>
      </c>
      <c r="D5496" s="3" t="s">
        <v>1220</v>
      </c>
      <c r="E5496" s="3" t="s">
        <v>18</v>
      </c>
      <c r="F5496" s="3" t="s">
        <v>19</v>
      </c>
      <c r="G5496" s="3" t="s">
        <v>32</v>
      </c>
      <c r="H5496" s="3" t="s">
        <v>1626</v>
      </c>
      <c r="I5496" s="11">
        <v>132.024</v>
      </c>
      <c r="J5496" s="18">
        <v>6</v>
      </c>
      <c r="K5496" s="12">
        <v>3.1583999999999999</v>
      </c>
    </row>
    <row r="5497" spans="1:11" x14ac:dyDescent="0.25">
      <c r="A5497" s="4">
        <v>44167</v>
      </c>
      <c r="B5497" s="19">
        <f t="shared" si="170"/>
        <v>2020</v>
      </c>
      <c r="C5497" s="19">
        <f t="shared" si="171"/>
        <v>12</v>
      </c>
      <c r="D5497" s="5" t="s">
        <v>677</v>
      </c>
      <c r="E5497" s="5" t="s">
        <v>370</v>
      </c>
      <c r="F5497" s="5" t="s">
        <v>19</v>
      </c>
      <c r="G5497" s="5" t="s">
        <v>265</v>
      </c>
      <c r="H5497" s="5" t="s">
        <v>538</v>
      </c>
      <c r="I5497" s="13">
        <v>134.36000000000001</v>
      </c>
      <c r="J5497" s="19">
        <v>2</v>
      </c>
      <c r="K5497" s="14">
        <v>0.1744</v>
      </c>
    </row>
    <row r="5498" spans="1:11" x14ac:dyDescent="0.25">
      <c r="A5498" s="2">
        <v>44167</v>
      </c>
      <c r="B5498" s="18">
        <f t="shared" si="170"/>
        <v>2020</v>
      </c>
      <c r="C5498" s="18">
        <f t="shared" si="171"/>
        <v>12</v>
      </c>
      <c r="D5498" s="3" t="s">
        <v>2169</v>
      </c>
      <c r="E5498" s="3" t="s">
        <v>306</v>
      </c>
      <c r="F5498" s="3" t="s">
        <v>19</v>
      </c>
      <c r="G5498" s="3" t="s">
        <v>32</v>
      </c>
      <c r="H5498" s="3" t="s">
        <v>616</v>
      </c>
      <c r="I5498" s="11">
        <v>113.624</v>
      </c>
      <c r="J5498" s="18">
        <v>8</v>
      </c>
      <c r="K5498" s="12">
        <v>-24.416</v>
      </c>
    </row>
    <row r="5499" spans="1:11" x14ac:dyDescent="0.25">
      <c r="A5499" s="4">
        <v>44167</v>
      </c>
      <c r="B5499" s="19">
        <f t="shared" si="170"/>
        <v>2020</v>
      </c>
      <c r="C5499" s="19">
        <f t="shared" si="171"/>
        <v>12</v>
      </c>
      <c r="D5499" s="5" t="s">
        <v>1220</v>
      </c>
      <c r="E5499" s="5" t="s">
        <v>18</v>
      </c>
      <c r="F5499" s="5" t="s">
        <v>19</v>
      </c>
      <c r="G5499" s="5" t="s">
        <v>53</v>
      </c>
      <c r="H5499" s="5" t="s">
        <v>2523</v>
      </c>
      <c r="I5499" s="13">
        <v>115.86</v>
      </c>
      <c r="J5499" s="19">
        <v>2</v>
      </c>
      <c r="K5499" s="14">
        <v>5.3213999999999997</v>
      </c>
    </row>
    <row r="5500" spans="1:11" x14ac:dyDescent="0.25">
      <c r="A5500" s="2">
        <v>44167</v>
      </c>
      <c r="B5500" s="18">
        <f t="shared" si="170"/>
        <v>2020</v>
      </c>
      <c r="C5500" s="18">
        <f t="shared" si="171"/>
        <v>12</v>
      </c>
      <c r="D5500" s="3" t="s">
        <v>1250</v>
      </c>
      <c r="E5500" s="3" t="s">
        <v>23</v>
      </c>
      <c r="F5500" s="3" t="s">
        <v>11</v>
      </c>
      <c r="G5500" s="3" t="s">
        <v>51</v>
      </c>
      <c r="H5500" s="3" t="s">
        <v>428</v>
      </c>
      <c r="I5500" s="11">
        <v>139.75200000000001</v>
      </c>
      <c r="J5500" s="18">
        <v>4</v>
      </c>
      <c r="K5500" s="12">
        <v>-3.7195999999999998</v>
      </c>
    </row>
    <row r="5501" spans="1:11" x14ac:dyDescent="0.25">
      <c r="A5501" s="4">
        <v>44167</v>
      </c>
      <c r="B5501" s="19">
        <f t="shared" si="170"/>
        <v>2020</v>
      </c>
      <c r="C5501" s="19">
        <f t="shared" si="171"/>
        <v>12</v>
      </c>
      <c r="D5501" s="5" t="s">
        <v>835</v>
      </c>
      <c r="E5501" s="5" t="s">
        <v>44</v>
      </c>
      <c r="F5501" s="5" t="s">
        <v>19</v>
      </c>
      <c r="G5501" s="5" t="s">
        <v>40</v>
      </c>
      <c r="H5501" s="5" t="s">
        <v>1150</v>
      </c>
      <c r="I5501" s="13">
        <v>118.96</v>
      </c>
      <c r="J5501" s="19">
        <v>5</v>
      </c>
      <c r="K5501" s="14">
        <v>4.1965000000000003</v>
      </c>
    </row>
    <row r="5502" spans="1:11" x14ac:dyDescent="0.25">
      <c r="A5502" s="2">
        <v>44167</v>
      </c>
      <c r="B5502" s="18">
        <f t="shared" si="170"/>
        <v>2020</v>
      </c>
      <c r="C5502" s="18">
        <f t="shared" si="171"/>
        <v>12</v>
      </c>
      <c r="D5502" s="3" t="s">
        <v>2169</v>
      </c>
      <c r="E5502" s="3" t="s">
        <v>306</v>
      </c>
      <c r="F5502" s="3" t="s">
        <v>14</v>
      </c>
      <c r="G5502" s="3" t="s">
        <v>15</v>
      </c>
      <c r="H5502" s="3" t="s">
        <v>1111</v>
      </c>
      <c r="I5502" s="11">
        <v>135.36000000000001</v>
      </c>
      <c r="J5502" s="18">
        <v>6</v>
      </c>
      <c r="K5502" s="12">
        <v>-14.34</v>
      </c>
    </row>
    <row r="5503" spans="1:11" x14ac:dyDescent="0.25">
      <c r="A5503" s="4">
        <v>44167</v>
      </c>
      <c r="B5503" s="19">
        <f t="shared" si="170"/>
        <v>2020</v>
      </c>
      <c r="C5503" s="19">
        <f t="shared" si="171"/>
        <v>12</v>
      </c>
      <c r="D5503" s="5" t="s">
        <v>540</v>
      </c>
      <c r="E5503" s="5" t="s">
        <v>44</v>
      </c>
      <c r="F5503" s="5" t="s">
        <v>19</v>
      </c>
      <c r="G5503" s="5" t="s">
        <v>32</v>
      </c>
      <c r="H5503" s="5" t="s">
        <v>1310</v>
      </c>
      <c r="I5503" s="13">
        <v>133.66</v>
      </c>
      <c r="J5503" s="19">
        <v>5</v>
      </c>
      <c r="K5503" s="14">
        <v>-33.484000000000002</v>
      </c>
    </row>
    <row r="5504" spans="1:11" x14ac:dyDescent="0.25">
      <c r="A5504" s="2">
        <v>44167</v>
      </c>
      <c r="B5504" s="18">
        <f t="shared" si="170"/>
        <v>2020</v>
      </c>
      <c r="C5504" s="18">
        <f t="shared" si="171"/>
        <v>12</v>
      </c>
      <c r="D5504" s="3" t="s">
        <v>2169</v>
      </c>
      <c r="E5504" s="3" t="s">
        <v>306</v>
      </c>
      <c r="F5504" s="3" t="s">
        <v>14</v>
      </c>
      <c r="G5504" s="3" t="s">
        <v>15</v>
      </c>
      <c r="H5504" s="3" t="s">
        <v>2175</v>
      </c>
      <c r="I5504" s="11">
        <v>137.61600000000001</v>
      </c>
      <c r="J5504" s="18">
        <v>2</v>
      </c>
      <c r="K5504" s="12">
        <v>4.9615999999999998</v>
      </c>
    </row>
    <row r="5505" spans="1:11" x14ac:dyDescent="0.25">
      <c r="A5505" s="4">
        <v>44167</v>
      </c>
      <c r="B5505" s="19">
        <f t="shared" si="170"/>
        <v>2020</v>
      </c>
      <c r="C5505" s="19">
        <f t="shared" si="171"/>
        <v>12</v>
      </c>
      <c r="D5505" s="5" t="s">
        <v>747</v>
      </c>
      <c r="E5505" s="5" t="s">
        <v>181</v>
      </c>
      <c r="F5505" s="5" t="s">
        <v>19</v>
      </c>
      <c r="G5505" s="5" t="s">
        <v>40</v>
      </c>
      <c r="H5505" s="5" t="s">
        <v>1708</v>
      </c>
      <c r="I5505" s="13">
        <v>146.65</v>
      </c>
      <c r="J5505" s="19">
        <v>3</v>
      </c>
      <c r="K5505" s="14">
        <v>10.395</v>
      </c>
    </row>
    <row r="5506" spans="1:11" x14ac:dyDescent="0.25">
      <c r="A5506" s="2">
        <v>44167</v>
      </c>
      <c r="B5506" s="18">
        <f t="shared" ref="B5506:B5569" si="172">YEAR(A5506)</f>
        <v>2020</v>
      </c>
      <c r="C5506" s="18">
        <f t="shared" ref="C5506:C5569" si="173">MONTH(A5506)</f>
        <v>12</v>
      </c>
      <c r="D5506" s="3" t="s">
        <v>460</v>
      </c>
      <c r="E5506" s="3" t="s">
        <v>198</v>
      </c>
      <c r="F5506" s="3" t="s">
        <v>19</v>
      </c>
      <c r="G5506" s="3" t="s">
        <v>32</v>
      </c>
      <c r="H5506" s="3" t="s">
        <v>754</v>
      </c>
      <c r="I5506" s="11">
        <v>163.86</v>
      </c>
      <c r="J5506" s="18">
        <v>6</v>
      </c>
      <c r="K5506" s="12">
        <v>-45.24</v>
      </c>
    </row>
    <row r="5507" spans="1:11" x14ac:dyDescent="0.25">
      <c r="A5507" s="4">
        <v>44167</v>
      </c>
      <c r="B5507" s="19">
        <f t="shared" si="172"/>
        <v>2020</v>
      </c>
      <c r="C5507" s="19">
        <f t="shared" si="173"/>
        <v>12</v>
      </c>
      <c r="D5507" s="5" t="s">
        <v>1843</v>
      </c>
      <c r="E5507" s="5" t="s">
        <v>18</v>
      </c>
      <c r="F5507" s="5" t="s">
        <v>14</v>
      </c>
      <c r="G5507" s="5" t="s">
        <v>15</v>
      </c>
      <c r="H5507" s="5" t="s">
        <v>217</v>
      </c>
      <c r="I5507" s="13">
        <v>134.99199999999999</v>
      </c>
      <c r="J5507" s="19">
        <v>1</v>
      </c>
      <c r="K5507" s="14">
        <v>-7.9984000000000002</v>
      </c>
    </row>
    <row r="5508" spans="1:11" x14ac:dyDescent="0.25">
      <c r="A5508" s="2">
        <v>44168</v>
      </c>
      <c r="B5508" s="18">
        <f t="shared" si="172"/>
        <v>2020</v>
      </c>
      <c r="C5508" s="18">
        <f t="shared" si="173"/>
        <v>12</v>
      </c>
      <c r="D5508" s="3" t="s">
        <v>2360</v>
      </c>
      <c r="E5508" s="3" t="s">
        <v>94</v>
      </c>
      <c r="F5508" s="3" t="s">
        <v>19</v>
      </c>
      <c r="G5508" s="3" t="s">
        <v>32</v>
      </c>
      <c r="H5508" s="3" t="s">
        <v>1141</v>
      </c>
      <c r="I5508" s="11">
        <v>116.92</v>
      </c>
      <c r="J5508" s="18">
        <v>5</v>
      </c>
      <c r="K5508" s="12">
        <v>29.372</v>
      </c>
    </row>
    <row r="5509" spans="1:11" x14ac:dyDescent="0.25">
      <c r="A5509" s="4">
        <v>44168</v>
      </c>
      <c r="B5509" s="19">
        <f t="shared" si="172"/>
        <v>2020</v>
      </c>
      <c r="C5509" s="19">
        <f t="shared" si="173"/>
        <v>12</v>
      </c>
      <c r="D5509" s="5" t="s">
        <v>298</v>
      </c>
      <c r="E5509" s="5" t="s">
        <v>306</v>
      </c>
      <c r="F5509" s="5" t="s">
        <v>14</v>
      </c>
      <c r="G5509" s="5" t="s">
        <v>24</v>
      </c>
      <c r="H5509" s="5" t="s">
        <v>1422</v>
      </c>
      <c r="I5509" s="13">
        <v>122.752</v>
      </c>
      <c r="J5509" s="19">
        <v>6</v>
      </c>
      <c r="K5509" s="14">
        <v>10.5534</v>
      </c>
    </row>
    <row r="5510" spans="1:11" x14ac:dyDescent="0.25">
      <c r="A5510" s="2">
        <v>44168</v>
      </c>
      <c r="B5510" s="18">
        <f t="shared" si="172"/>
        <v>2020</v>
      </c>
      <c r="C5510" s="18">
        <f t="shared" si="173"/>
        <v>12</v>
      </c>
      <c r="D5510" s="3" t="s">
        <v>298</v>
      </c>
      <c r="E5510" s="3" t="s">
        <v>306</v>
      </c>
      <c r="F5510" s="3" t="s">
        <v>14</v>
      </c>
      <c r="G5510" s="3" t="s">
        <v>24</v>
      </c>
      <c r="H5510" s="3" t="s">
        <v>1422</v>
      </c>
      <c r="I5510" s="11">
        <v>150.33600000000001</v>
      </c>
      <c r="J5510" s="18">
        <v>8</v>
      </c>
      <c r="K5510" s="12">
        <v>14.071199999999999</v>
      </c>
    </row>
    <row r="5511" spans="1:11" x14ac:dyDescent="0.25">
      <c r="A5511" s="4">
        <v>44168</v>
      </c>
      <c r="B5511" s="19">
        <f t="shared" si="172"/>
        <v>2020</v>
      </c>
      <c r="C5511" s="19">
        <f t="shared" si="173"/>
        <v>12</v>
      </c>
      <c r="D5511" s="5" t="s">
        <v>2360</v>
      </c>
      <c r="E5511" s="5" t="s">
        <v>94</v>
      </c>
      <c r="F5511" s="5" t="s">
        <v>14</v>
      </c>
      <c r="G5511" s="5" t="s">
        <v>15</v>
      </c>
      <c r="H5511" s="5" t="s">
        <v>2221</v>
      </c>
      <c r="I5511" s="13">
        <v>154.99</v>
      </c>
      <c r="J5511" s="19">
        <v>1</v>
      </c>
      <c r="K5511" s="14">
        <v>36.987299999999998</v>
      </c>
    </row>
    <row r="5512" spans="1:11" x14ac:dyDescent="0.25">
      <c r="A5512" s="2">
        <v>44168</v>
      </c>
      <c r="B5512" s="18">
        <f t="shared" si="172"/>
        <v>2020</v>
      </c>
      <c r="C5512" s="18">
        <f t="shared" si="173"/>
        <v>12</v>
      </c>
      <c r="D5512" s="3" t="s">
        <v>1012</v>
      </c>
      <c r="E5512" s="3" t="s">
        <v>18</v>
      </c>
      <c r="F5512" s="3" t="s">
        <v>19</v>
      </c>
      <c r="G5512" s="3" t="s">
        <v>53</v>
      </c>
      <c r="H5512" s="3" t="s">
        <v>2192</v>
      </c>
      <c r="I5512" s="11">
        <v>209.44</v>
      </c>
      <c r="J5512" s="18">
        <v>3</v>
      </c>
      <c r="K5512" s="12">
        <v>79.891199999999998</v>
      </c>
    </row>
    <row r="5513" spans="1:11" x14ac:dyDescent="0.25">
      <c r="A5513" s="4">
        <v>44168</v>
      </c>
      <c r="B5513" s="19">
        <f t="shared" si="172"/>
        <v>2020</v>
      </c>
      <c r="C5513" s="19">
        <f t="shared" si="173"/>
        <v>12</v>
      </c>
      <c r="D5513" s="5" t="s">
        <v>1339</v>
      </c>
      <c r="E5513" s="5" t="s">
        <v>70</v>
      </c>
      <c r="F5513" s="5" t="s">
        <v>11</v>
      </c>
      <c r="G5513" s="5" t="s">
        <v>30</v>
      </c>
      <c r="H5513" s="5" t="s">
        <v>1932</v>
      </c>
      <c r="I5513" s="13">
        <v>547.96</v>
      </c>
      <c r="J5513" s="19">
        <v>2</v>
      </c>
      <c r="K5513" s="14">
        <v>88.733199999999997</v>
      </c>
    </row>
    <row r="5514" spans="1:11" x14ac:dyDescent="0.25">
      <c r="A5514" s="2">
        <v>44168</v>
      </c>
      <c r="B5514" s="18">
        <f t="shared" si="172"/>
        <v>2020</v>
      </c>
      <c r="C5514" s="18">
        <f t="shared" si="173"/>
        <v>12</v>
      </c>
      <c r="D5514" s="3" t="s">
        <v>298</v>
      </c>
      <c r="E5514" s="3" t="s">
        <v>306</v>
      </c>
      <c r="F5514" s="3" t="s">
        <v>19</v>
      </c>
      <c r="G5514" s="3" t="s">
        <v>40</v>
      </c>
      <c r="H5514" s="3" t="s">
        <v>845</v>
      </c>
      <c r="I5514" s="11">
        <v>75.343999999999994</v>
      </c>
      <c r="J5514" s="18">
        <v>6</v>
      </c>
      <c r="K5514" s="12">
        <v>1.0007999999999999</v>
      </c>
    </row>
    <row r="5515" spans="1:11" x14ac:dyDescent="0.25">
      <c r="A5515" s="4">
        <v>44168</v>
      </c>
      <c r="B5515" s="19">
        <f t="shared" si="172"/>
        <v>2020</v>
      </c>
      <c r="C5515" s="19">
        <f t="shared" si="173"/>
        <v>12</v>
      </c>
      <c r="D5515" s="5" t="s">
        <v>298</v>
      </c>
      <c r="E5515" s="5" t="s">
        <v>306</v>
      </c>
      <c r="F5515" s="5" t="s">
        <v>19</v>
      </c>
      <c r="G5515" s="5" t="s">
        <v>53</v>
      </c>
      <c r="H5515" s="5" t="s">
        <v>1443</v>
      </c>
      <c r="I5515" s="13">
        <v>100.32</v>
      </c>
      <c r="J5515" s="19">
        <v>2</v>
      </c>
      <c r="K5515" s="14">
        <v>3.7410000000000001</v>
      </c>
    </row>
    <row r="5516" spans="1:11" x14ac:dyDescent="0.25">
      <c r="A5516" s="2">
        <v>44168</v>
      </c>
      <c r="B5516" s="18">
        <f t="shared" si="172"/>
        <v>2020</v>
      </c>
      <c r="C5516" s="18">
        <f t="shared" si="173"/>
        <v>12</v>
      </c>
      <c r="D5516" s="3" t="s">
        <v>2360</v>
      </c>
      <c r="E5516" s="3" t="s">
        <v>94</v>
      </c>
      <c r="F5516" s="3" t="s">
        <v>19</v>
      </c>
      <c r="G5516" s="3" t="s">
        <v>127</v>
      </c>
      <c r="H5516" s="3" t="s">
        <v>1498</v>
      </c>
      <c r="I5516" s="11">
        <v>108.15</v>
      </c>
      <c r="J5516" s="18">
        <v>1</v>
      </c>
      <c r="K5516" s="12">
        <v>1.512</v>
      </c>
    </row>
    <row r="5517" spans="1:11" x14ac:dyDescent="0.25">
      <c r="A5517" s="4">
        <v>44168</v>
      </c>
      <c r="B5517" s="19">
        <f t="shared" si="172"/>
        <v>2020</v>
      </c>
      <c r="C5517" s="19">
        <f t="shared" si="173"/>
        <v>12</v>
      </c>
      <c r="D5517" s="5" t="s">
        <v>298</v>
      </c>
      <c r="E5517" s="5" t="s">
        <v>306</v>
      </c>
      <c r="F5517" s="5" t="s">
        <v>11</v>
      </c>
      <c r="G5517" s="5" t="s">
        <v>51</v>
      </c>
      <c r="H5517" s="5" t="s">
        <v>297</v>
      </c>
      <c r="I5517" s="13">
        <v>118.19199999999999</v>
      </c>
      <c r="J5517" s="19">
        <v>1</v>
      </c>
      <c r="K5517" s="14">
        <v>4.6551999999999998</v>
      </c>
    </row>
    <row r="5518" spans="1:11" x14ac:dyDescent="0.25">
      <c r="A5518" s="2">
        <v>44168</v>
      </c>
      <c r="B5518" s="18">
        <f t="shared" si="172"/>
        <v>2020</v>
      </c>
      <c r="C5518" s="18">
        <f t="shared" si="173"/>
        <v>12</v>
      </c>
      <c r="D5518" s="3" t="s">
        <v>298</v>
      </c>
      <c r="E5518" s="3" t="s">
        <v>306</v>
      </c>
      <c r="F5518" s="3" t="s">
        <v>11</v>
      </c>
      <c r="G5518" s="3" t="s">
        <v>51</v>
      </c>
      <c r="H5518" s="3" t="s">
        <v>797</v>
      </c>
      <c r="I5518" s="11">
        <v>117.376</v>
      </c>
      <c r="J5518" s="18">
        <v>3</v>
      </c>
      <c r="K5518" s="12">
        <v>7.0128000000000004</v>
      </c>
    </row>
    <row r="5519" spans="1:11" x14ac:dyDescent="0.25">
      <c r="A5519" s="4">
        <v>44168</v>
      </c>
      <c r="B5519" s="19">
        <f t="shared" si="172"/>
        <v>2020</v>
      </c>
      <c r="C5519" s="19">
        <f t="shared" si="173"/>
        <v>12</v>
      </c>
      <c r="D5519" s="5" t="s">
        <v>2036</v>
      </c>
      <c r="E5519" s="5" t="s">
        <v>35</v>
      </c>
      <c r="F5519" s="5" t="s">
        <v>19</v>
      </c>
      <c r="G5519" s="5" t="s">
        <v>32</v>
      </c>
      <c r="H5519" s="5" t="s">
        <v>443</v>
      </c>
      <c r="I5519" s="13">
        <v>133.78200000000001</v>
      </c>
      <c r="J5519" s="19">
        <v>6</v>
      </c>
      <c r="K5519" s="14">
        <v>-21.1068</v>
      </c>
    </row>
    <row r="5520" spans="1:11" x14ac:dyDescent="0.25">
      <c r="A5520" s="2">
        <v>44168</v>
      </c>
      <c r="B5520" s="18">
        <f t="shared" si="172"/>
        <v>2020</v>
      </c>
      <c r="C5520" s="18">
        <f t="shared" si="173"/>
        <v>12</v>
      </c>
      <c r="D5520" s="3" t="s">
        <v>298</v>
      </c>
      <c r="E5520" s="3" t="s">
        <v>306</v>
      </c>
      <c r="F5520" s="3" t="s">
        <v>11</v>
      </c>
      <c r="G5520" s="3" t="s">
        <v>51</v>
      </c>
      <c r="H5520" s="3" t="s">
        <v>776</v>
      </c>
      <c r="I5520" s="11">
        <v>132.72</v>
      </c>
      <c r="J5520" s="18">
        <v>5</v>
      </c>
      <c r="K5520" s="12">
        <v>3.3439999999999999</v>
      </c>
    </row>
    <row r="5521" spans="1:11" x14ac:dyDescent="0.25">
      <c r="A5521" s="4">
        <v>44168</v>
      </c>
      <c r="B5521" s="19">
        <f t="shared" si="172"/>
        <v>2020</v>
      </c>
      <c r="C5521" s="19">
        <f t="shared" si="173"/>
        <v>12</v>
      </c>
      <c r="D5521" s="5" t="s">
        <v>498</v>
      </c>
      <c r="E5521" s="5" t="s">
        <v>23</v>
      </c>
      <c r="F5521" s="5" t="s">
        <v>11</v>
      </c>
      <c r="G5521" s="5" t="s">
        <v>51</v>
      </c>
      <c r="H5521" s="5" t="s">
        <v>2317</v>
      </c>
      <c r="I5521" s="13">
        <v>127.592</v>
      </c>
      <c r="J5521" s="19">
        <v>2</v>
      </c>
      <c r="K5521" s="14">
        <v>-14.271599999999999</v>
      </c>
    </row>
    <row r="5522" spans="1:11" x14ac:dyDescent="0.25">
      <c r="A5522" s="2">
        <v>44168</v>
      </c>
      <c r="B5522" s="18">
        <f t="shared" si="172"/>
        <v>2020</v>
      </c>
      <c r="C5522" s="18">
        <f t="shared" si="173"/>
        <v>12</v>
      </c>
      <c r="D5522" s="3" t="s">
        <v>2360</v>
      </c>
      <c r="E5522" s="3" t="s">
        <v>94</v>
      </c>
      <c r="F5522" s="3" t="s">
        <v>19</v>
      </c>
      <c r="G5522" s="3" t="s">
        <v>32</v>
      </c>
      <c r="H5522" s="3" t="s">
        <v>1097</v>
      </c>
      <c r="I5522" s="11">
        <v>110.624</v>
      </c>
      <c r="J5522" s="18">
        <v>2</v>
      </c>
      <c r="K5522" s="12">
        <v>5.1184000000000003</v>
      </c>
    </row>
    <row r="5523" spans="1:11" x14ac:dyDescent="0.25">
      <c r="A5523" s="4">
        <v>44168</v>
      </c>
      <c r="B5523" s="19">
        <f t="shared" si="172"/>
        <v>2020</v>
      </c>
      <c r="C5523" s="19">
        <f t="shared" si="173"/>
        <v>12</v>
      </c>
      <c r="D5523" s="5" t="s">
        <v>2338</v>
      </c>
      <c r="E5523" s="5" t="s">
        <v>23</v>
      </c>
      <c r="F5523" s="5" t="s">
        <v>19</v>
      </c>
      <c r="G5523" s="5" t="s">
        <v>53</v>
      </c>
      <c r="H5523" s="5" t="s">
        <v>2399</v>
      </c>
      <c r="I5523" s="13">
        <v>117.36799999999999</v>
      </c>
      <c r="J5523" s="19">
        <v>2</v>
      </c>
      <c r="K5523" s="14">
        <v>3.6288</v>
      </c>
    </row>
    <row r="5524" spans="1:11" x14ac:dyDescent="0.25">
      <c r="A5524" s="2">
        <v>44168</v>
      </c>
      <c r="B5524" s="18">
        <f t="shared" si="172"/>
        <v>2020</v>
      </c>
      <c r="C5524" s="18">
        <f t="shared" si="173"/>
        <v>12</v>
      </c>
      <c r="D5524" s="3" t="s">
        <v>2036</v>
      </c>
      <c r="E5524" s="3" t="s">
        <v>35</v>
      </c>
      <c r="F5524" s="3" t="s">
        <v>19</v>
      </c>
      <c r="G5524" s="3" t="s">
        <v>53</v>
      </c>
      <c r="H5524" s="3" t="s">
        <v>314</v>
      </c>
      <c r="I5524" s="11">
        <v>148.44800000000001</v>
      </c>
      <c r="J5524" s="18">
        <v>4</v>
      </c>
      <c r="K5524" s="12">
        <v>8.8623999999999992</v>
      </c>
    </row>
    <row r="5525" spans="1:11" x14ac:dyDescent="0.25">
      <c r="A5525" s="4">
        <v>44168</v>
      </c>
      <c r="B5525" s="19">
        <f t="shared" si="172"/>
        <v>2020</v>
      </c>
      <c r="C5525" s="19">
        <f t="shared" si="173"/>
        <v>12</v>
      </c>
      <c r="D5525" s="5" t="s">
        <v>766</v>
      </c>
      <c r="E5525" s="5" t="s">
        <v>44</v>
      </c>
      <c r="F5525" s="5" t="s">
        <v>14</v>
      </c>
      <c r="G5525" s="5" t="s">
        <v>24</v>
      </c>
      <c r="H5525" s="5" t="s">
        <v>578</v>
      </c>
      <c r="I5525" s="13">
        <v>137.99199999999999</v>
      </c>
      <c r="J5525" s="19">
        <v>1</v>
      </c>
      <c r="K5525" s="14">
        <v>7.1988000000000003</v>
      </c>
    </row>
    <row r="5526" spans="1:11" x14ac:dyDescent="0.25">
      <c r="A5526" s="2">
        <v>44168</v>
      </c>
      <c r="B5526" s="18">
        <f t="shared" si="172"/>
        <v>2020</v>
      </c>
      <c r="C5526" s="18">
        <f t="shared" si="173"/>
        <v>12</v>
      </c>
      <c r="D5526" s="3" t="s">
        <v>298</v>
      </c>
      <c r="E5526" s="3" t="s">
        <v>306</v>
      </c>
      <c r="F5526" s="3" t="s">
        <v>19</v>
      </c>
      <c r="G5526" s="3" t="s">
        <v>265</v>
      </c>
      <c r="H5526" s="3" t="s">
        <v>324</v>
      </c>
      <c r="I5526" s="11">
        <v>137.32</v>
      </c>
      <c r="J5526" s="18">
        <v>7</v>
      </c>
      <c r="K5526" s="12">
        <v>5.915</v>
      </c>
    </row>
    <row r="5527" spans="1:11" x14ac:dyDescent="0.25">
      <c r="A5527" s="4">
        <v>44168</v>
      </c>
      <c r="B5527" s="19">
        <f t="shared" si="172"/>
        <v>2020</v>
      </c>
      <c r="C5527" s="19">
        <f t="shared" si="173"/>
        <v>12</v>
      </c>
      <c r="D5527" s="5" t="s">
        <v>2036</v>
      </c>
      <c r="E5527" s="5" t="s">
        <v>35</v>
      </c>
      <c r="F5527" s="5" t="s">
        <v>19</v>
      </c>
      <c r="G5527" s="5" t="s">
        <v>121</v>
      </c>
      <c r="H5527" s="5" t="s">
        <v>531</v>
      </c>
      <c r="I5527" s="13">
        <v>177.21600000000001</v>
      </c>
      <c r="J5527" s="19">
        <v>3</v>
      </c>
      <c r="K5527" s="14">
        <v>4.5216000000000003</v>
      </c>
    </row>
    <row r="5528" spans="1:11" x14ac:dyDescent="0.25">
      <c r="A5528" s="2">
        <v>44169</v>
      </c>
      <c r="B5528" s="18">
        <f t="shared" si="172"/>
        <v>2020</v>
      </c>
      <c r="C5528" s="18">
        <f t="shared" si="173"/>
        <v>12</v>
      </c>
      <c r="D5528" s="3" t="s">
        <v>1203</v>
      </c>
      <c r="E5528" s="3" t="s">
        <v>387</v>
      </c>
      <c r="F5528" s="3" t="s">
        <v>14</v>
      </c>
      <c r="G5528" s="3" t="s">
        <v>24</v>
      </c>
      <c r="H5528" s="3" t="s">
        <v>1235</v>
      </c>
      <c r="I5528" s="11">
        <v>161.80000000000001</v>
      </c>
      <c r="J5528" s="18">
        <v>1</v>
      </c>
      <c r="K5528" s="12">
        <v>29.988</v>
      </c>
    </row>
    <row r="5529" spans="1:11" x14ac:dyDescent="0.25">
      <c r="A5529" s="4">
        <v>44169</v>
      </c>
      <c r="B5529" s="19">
        <f t="shared" si="172"/>
        <v>2020</v>
      </c>
      <c r="C5529" s="19">
        <f t="shared" si="173"/>
        <v>12</v>
      </c>
      <c r="D5529" s="5" t="s">
        <v>1028</v>
      </c>
      <c r="E5529" s="5" t="s">
        <v>39</v>
      </c>
      <c r="F5529" s="5" t="s">
        <v>11</v>
      </c>
      <c r="G5529" s="5" t="s">
        <v>112</v>
      </c>
      <c r="H5529" s="5" t="s">
        <v>2572</v>
      </c>
      <c r="I5529" s="13">
        <v>213.55199999999999</v>
      </c>
      <c r="J5529" s="19">
        <v>7</v>
      </c>
      <c r="K5529" s="14">
        <v>-2.6936</v>
      </c>
    </row>
    <row r="5530" spans="1:11" x14ac:dyDescent="0.25">
      <c r="A5530" s="2">
        <v>44169</v>
      </c>
      <c r="B5530" s="18">
        <f t="shared" si="172"/>
        <v>2020</v>
      </c>
      <c r="C5530" s="18">
        <f t="shared" si="173"/>
        <v>12</v>
      </c>
      <c r="D5530" s="3" t="s">
        <v>2419</v>
      </c>
      <c r="E5530" s="3" t="s">
        <v>85</v>
      </c>
      <c r="F5530" s="3" t="s">
        <v>11</v>
      </c>
      <c r="G5530" s="3" t="s">
        <v>112</v>
      </c>
      <c r="H5530" s="3" t="s">
        <v>524</v>
      </c>
      <c r="I5530" s="11">
        <v>216.22</v>
      </c>
      <c r="J5530" s="18">
        <v>3</v>
      </c>
      <c r="K5530" s="12">
        <v>45.555</v>
      </c>
    </row>
    <row r="5531" spans="1:11" x14ac:dyDescent="0.25">
      <c r="A5531" s="4">
        <v>44169</v>
      </c>
      <c r="B5531" s="19">
        <f t="shared" si="172"/>
        <v>2020</v>
      </c>
      <c r="C5531" s="19">
        <f t="shared" si="173"/>
        <v>12</v>
      </c>
      <c r="D5531" s="5" t="s">
        <v>2573</v>
      </c>
      <c r="E5531" s="5" t="s">
        <v>39</v>
      </c>
      <c r="F5531" s="5" t="s">
        <v>11</v>
      </c>
      <c r="G5531" s="5" t="s">
        <v>112</v>
      </c>
      <c r="H5531" s="5" t="s">
        <v>579</v>
      </c>
      <c r="I5531" s="13">
        <v>254.96</v>
      </c>
      <c r="J5531" s="19">
        <v>10</v>
      </c>
      <c r="K5531" s="14">
        <v>-10.284000000000001</v>
      </c>
    </row>
    <row r="5532" spans="1:11" x14ac:dyDescent="0.25">
      <c r="A5532" s="2">
        <v>44169</v>
      </c>
      <c r="B5532" s="18">
        <f t="shared" si="172"/>
        <v>2020</v>
      </c>
      <c r="C5532" s="18">
        <f t="shared" si="173"/>
        <v>12</v>
      </c>
      <c r="D5532" s="3" t="s">
        <v>2573</v>
      </c>
      <c r="E5532" s="3" t="s">
        <v>39</v>
      </c>
      <c r="F5532" s="3" t="s">
        <v>14</v>
      </c>
      <c r="G5532" s="3" t="s">
        <v>24</v>
      </c>
      <c r="H5532" s="3" t="s">
        <v>912</v>
      </c>
      <c r="I5532" s="11">
        <v>279.96800000000002</v>
      </c>
      <c r="J5532" s="18">
        <v>4</v>
      </c>
      <c r="K5532" s="12">
        <v>-28.796399999999998</v>
      </c>
    </row>
    <row r="5533" spans="1:11" x14ac:dyDescent="0.25">
      <c r="A5533" s="4">
        <v>44169</v>
      </c>
      <c r="B5533" s="19">
        <f t="shared" si="172"/>
        <v>2020</v>
      </c>
      <c r="C5533" s="19">
        <f t="shared" si="173"/>
        <v>12</v>
      </c>
      <c r="D5533" s="5" t="s">
        <v>2419</v>
      </c>
      <c r="E5533" s="5" t="s">
        <v>85</v>
      </c>
      <c r="F5533" s="5" t="s">
        <v>11</v>
      </c>
      <c r="G5533" s="5" t="s">
        <v>112</v>
      </c>
      <c r="H5533" s="5" t="s">
        <v>922</v>
      </c>
      <c r="I5533" s="13">
        <v>314.94</v>
      </c>
      <c r="J5533" s="19">
        <v>3</v>
      </c>
      <c r="K5533" s="14">
        <v>18.176400000000001</v>
      </c>
    </row>
    <row r="5534" spans="1:11" x14ac:dyDescent="0.25">
      <c r="A5534" s="2">
        <v>44169</v>
      </c>
      <c r="B5534" s="18">
        <f t="shared" si="172"/>
        <v>2020</v>
      </c>
      <c r="C5534" s="18">
        <f t="shared" si="173"/>
        <v>12</v>
      </c>
      <c r="D5534" s="3" t="s">
        <v>1203</v>
      </c>
      <c r="E5534" s="3" t="s">
        <v>387</v>
      </c>
      <c r="F5534" s="3" t="s">
        <v>14</v>
      </c>
      <c r="G5534" s="3" t="s">
        <v>24</v>
      </c>
      <c r="H5534" s="3" t="s">
        <v>2497</v>
      </c>
      <c r="I5534" s="11">
        <v>438.95</v>
      </c>
      <c r="J5534" s="18">
        <v>5</v>
      </c>
      <c r="K5534" s="12">
        <v>143.982</v>
      </c>
    </row>
    <row r="5535" spans="1:11" x14ac:dyDescent="0.25">
      <c r="A5535" s="4">
        <v>44169</v>
      </c>
      <c r="B5535" s="19">
        <f t="shared" si="172"/>
        <v>2020</v>
      </c>
      <c r="C5535" s="19">
        <f t="shared" si="173"/>
        <v>12</v>
      </c>
      <c r="D5535" s="5" t="s">
        <v>17</v>
      </c>
      <c r="E5535" s="5" t="s">
        <v>219</v>
      </c>
      <c r="F5535" s="5" t="s">
        <v>14</v>
      </c>
      <c r="G5535" s="5" t="s">
        <v>188</v>
      </c>
      <c r="H5535" s="5" t="s">
        <v>1465</v>
      </c>
      <c r="I5535" s="13">
        <v>665</v>
      </c>
      <c r="J5535" s="19">
        <v>2</v>
      </c>
      <c r="K5535" s="14">
        <v>-272.58</v>
      </c>
    </row>
    <row r="5536" spans="1:11" x14ac:dyDescent="0.25">
      <c r="A5536" s="2">
        <v>44169</v>
      </c>
      <c r="B5536" s="18">
        <f t="shared" si="172"/>
        <v>2020</v>
      </c>
      <c r="C5536" s="18">
        <f t="shared" si="173"/>
        <v>12</v>
      </c>
      <c r="D5536" s="3" t="s">
        <v>1638</v>
      </c>
      <c r="E5536" s="3" t="s">
        <v>39</v>
      </c>
      <c r="F5536" s="3" t="s">
        <v>11</v>
      </c>
      <c r="G5536" s="3" t="s">
        <v>51</v>
      </c>
      <c r="H5536" s="3" t="s">
        <v>1554</v>
      </c>
      <c r="I5536" s="11">
        <v>109.352</v>
      </c>
      <c r="J5536" s="18">
        <v>3</v>
      </c>
      <c r="K5536" s="12">
        <v>2.6960999999999999</v>
      </c>
    </row>
    <row r="5537" spans="1:11" x14ac:dyDescent="0.25">
      <c r="A5537" s="4">
        <v>44169</v>
      </c>
      <c r="B5537" s="19">
        <f t="shared" si="172"/>
        <v>2020</v>
      </c>
      <c r="C5537" s="19">
        <f t="shared" si="173"/>
        <v>12</v>
      </c>
      <c r="D5537" s="5" t="s">
        <v>1740</v>
      </c>
      <c r="E5537" s="5" t="s">
        <v>39</v>
      </c>
      <c r="F5537" s="5" t="s">
        <v>19</v>
      </c>
      <c r="G5537" s="5" t="s">
        <v>32</v>
      </c>
      <c r="H5537" s="5" t="s">
        <v>33</v>
      </c>
      <c r="I5537" s="13">
        <v>112.346</v>
      </c>
      <c r="J5537" s="19">
        <v>3</v>
      </c>
      <c r="K5537" s="14">
        <v>-4.4550000000000001</v>
      </c>
    </row>
    <row r="5538" spans="1:11" x14ac:dyDescent="0.25">
      <c r="A5538" s="2">
        <v>44169</v>
      </c>
      <c r="B5538" s="18">
        <f t="shared" si="172"/>
        <v>2020</v>
      </c>
      <c r="C5538" s="18">
        <f t="shared" si="173"/>
        <v>12</v>
      </c>
      <c r="D5538" s="3" t="s">
        <v>2419</v>
      </c>
      <c r="E5538" s="3" t="s">
        <v>85</v>
      </c>
      <c r="F5538" s="3" t="s">
        <v>11</v>
      </c>
      <c r="G5538" s="3" t="s">
        <v>51</v>
      </c>
      <c r="H5538" s="3" t="s">
        <v>2574</v>
      </c>
      <c r="I5538" s="11">
        <v>106.99</v>
      </c>
      <c r="J5538" s="18">
        <v>1</v>
      </c>
      <c r="K5538" s="12">
        <v>1.5588</v>
      </c>
    </row>
    <row r="5539" spans="1:11" x14ac:dyDescent="0.25">
      <c r="A5539" s="4">
        <v>44169</v>
      </c>
      <c r="B5539" s="19">
        <f t="shared" si="172"/>
        <v>2020</v>
      </c>
      <c r="C5539" s="19">
        <f t="shared" si="173"/>
        <v>12</v>
      </c>
      <c r="D5539" s="5" t="s">
        <v>1203</v>
      </c>
      <c r="E5539" s="5" t="s">
        <v>387</v>
      </c>
      <c r="F5539" s="5" t="s">
        <v>19</v>
      </c>
      <c r="G5539" s="5" t="s">
        <v>40</v>
      </c>
      <c r="H5539" s="5" t="s">
        <v>1704</v>
      </c>
      <c r="I5539" s="13">
        <v>93.8</v>
      </c>
      <c r="J5539" s="19">
        <v>5</v>
      </c>
      <c r="K5539" s="14">
        <v>2.552</v>
      </c>
    </row>
    <row r="5540" spans="1:11" x14ac:dyDescent="0.25">
      <c r="A5540" s="2">
        <v>44169</v>
      </c>
      <c r="B5540" s="18">
        <f t="shared" si="172"/>
        <v>2020</v>
      </c>
      <c r="C5540" s="18">
        <f t="shared" si="173"/>
        <v>12</v>
      </c>
      <c r="D5540" s="3" t="s">
        <v>2573</v>
      </c>
      <c r="E5540" s="3" t="s">
        <v>39</v>
      </c>
      <c r="F5540" s="3" t="s">
        <v>19</v>
      </c>
      <c r="G5540" s="3" t="s">
        <v>53</v>
      </c>
      <c r="H5540" s="3" t="s">
        <v>2575</v>
      </c>
      <c r="I5540" s="11">
        <v>102.92</v>
      </c>
      <c r="J5540" s="18">
        <v>5</v>
      </c>
      <c r="K5540" s="12">
        <v>8.6709999999999994</v>
      </c>
    </row>
    <row r="5541" spans="1:11" x14ac:dyDescent="0.25">
      <c r="A5541" s="4">
        <v>44169</v>
      </c>
      <c r="B5541" s="19">
        <f t="shared" si="172"/>
        <v>2020</v>
      </c>
      <c r="C5541" s="19">
        <f t="shared" si="173"/>
        <v>12</v>
      </c>
      <c r="D5541" s="5" t="s">
        <v>1140</v>
      </c>
      <c r="E5541" s="5" t="s">
        <v>18</v>
      </c>
      <c r="F5541" s="5" t="s">
        <v>19</v>
      </c>
      <c r="G5541" s="5" t="s">
        <v>53</v>
      </c>
      <c r="H5541" s="5" t="s">
        <v>500</v>
      </c>
      <c r="I5541" s="13">
        <v>121.76</v>
      </c>
      <c r="J5541" s="19">
        <v>2</v>
      </c>
      <c r="K5541" s="14">
        <v>5.7624000000000004</v>
      </c>
    </row>
    <row r="5542" spans="1:11" x14ac:dyDescent="0.25">
      <c r="A5542" s="2">
        <v>44169</v>
      </c>
      <c r="B5542" s="18">
        <f t="shared" si="172"/>
        <v>2020</v>
      </c>
      <c r="C5542" s="18">
        <f t="shared" si="173"/>
        <v>12</v>
      </c>
      <c r="D5542" s="3" t="s">
        <v>2573</v>
      </c>
      <c r="E5542" s="3" t="s">
        <v>39</v>
      </c>
      <c r="F5542" s="3" t="s">
        <v>19</v>
      </c>
      <c r="G5542" s="3" t="s">
        <v>40</v>
      </c>
      <c r="H5542" s="3" t="s">
        <v>744</v>
      </c>
      <c r="I5542" s="11">
        <v>113.392</v>
      </c>
      <c r="J5542" s="18">
        <v>3</v>
      </c>
      <c r="K5542" s="12">
        <v>3.1806000000000001</v>
      </c>
    </row>
    <row r="5543" spans="1:11" x14ac:dyDescent="0.25">
      <c r="A5543" s="4">
        <v>44169</v>
      </c>
      <c r="B5543" s="19">
        <f t="shared" si="172"/>
        <v>2020</v>
      </c>
      <c r="C5543" s="19">
        <f t="shared" si="173"/>
        <v>12</v>
      </c>
      <c r="D5543" s="5" t="s">
        <v>135</v>
      </c>
      <c r="E5543" s="5" t="s">
        <v>164</v>
      </c>
      <c r="F5543" s="5" t="s">
        <v>19</v>
      </c>
      <c r="G5543" s="5" t="s">
        <v>20</v>
      </c>
      <c r="H5543" s="5" t="s">
        <v>924</v>
      </c>
      <c r="I5543" s="13">
        <v>126.568</v>
      </c>
      <c r="J5543" s="19">
        <v>2</v>
      </c>
      <c r="K5543" s="14">
        <v>4.6176000000000004</v>
      </c>
    </row>
    <row r="5544" spans="1:11" x14ac:dyDescent="0.25">
      <c r="A5544" s="2">
        <v>44169</v>
      </c>
      <c r="B5544" s="18">
        <f t="shared" si="172"/>
        <v>2020</v>
      </c>
      <c r="C5544" s="18">
        <f t="shared" si="173"/>
        <v>12</v>
      </c>
      <c r="D5544" s="3" t="s">
        <v>2573</v>
      </c>
      <c r="E5544" s="3" t="s">
        <v>39</v>
      </c>
      <c r="F5544" s="3" t="s">
        <v>11</v>
      </c>
      <c r="G5544" s="3" t="s">
        <v>51</v>
      </c>
      <c r="H5544" s="3" t="s">
        <v>2576</v>
      </c>
      <c r="I5544" s="11">
        <v>168.768</v>
      </c>
      <c r="J5544" s="18">
        <v>2</v>
      </c>
      <c r="K5544" s="12">
        <v>6.8460000000000001</v>
      </c>
    </row>
    <row r="5545" spans="1:11" x14ac:dyDescent="0.25">
      <c r="A5545" s="4">
        <v>44169</v>
      </c>
      <c r="B5545" s="19">
        <f t="shared" si="172"/>
        <v>2020</v>
      </c>
      <c r="C5545" s="19">
        <f t="shared" si="173"/>
        <v>12</v>
      </c>
      <c r="D5545" s="5" t="s">
        <v>2577</v>
      </c>
      <c r="E5545" s="5" t="s">
        <v>67</v>
      </c>
      <c r="F5545" s="5" t="s">
        <v>19</v>
      </c>
      <c r="G5545" s="5" t="s">
        <v>53</v>
      </c>
      <c r="H5545" s="5" t="s">
        <v>1040</v>
      </c>
      <c r="I5545" s="13">
        <v>178.352</v>
      </c>
      <c r="J5545" s="19">
        <v>3</v>
      </c>
      <c r="K5545" s="14">
        <v>23.234999999999999</v>
      </c>
    </row>
    <row r="5546" spans="1:11" x14ac:dyDescent="0.25">
      <c r="A5546" s="2">
        <v>44170</v>
      </c>
      <c r="B5546" s="18">
        <f t="shared" si="172"/>
        <v>2020</v>
      </c>
      <c r="C5546" s="18">
        <f t="shared" si="173"/>
        <v>12</v>
      </c>
      <c r="D5546" s="3" t="s">
        <v>2578</v>
      </c>
      <c r="E5546" s="3" t="s">
        <v>18</v>
      </c>
      <c r="F5546" s="3" t="s">
        <v>19</v>
      </c>
      <c r="G5546" s="3" t="s">
        <v>53</v>
      </c>
      <c r="H5546" s="3" t="s">
        <v>1145</v>
      </c>
      <c r="I5546" s="11">
        <v>107.94</v>
      </c>
      <c r="J5546" s="18">
        <v>3</v>
      </c>
      <c r="K5546" s="12">
        <v>41.823</v>
      </c>
    </row>
    <row r="5547" spans="1:11" x14ac:dyDescent="0.25">
      <c r="A5547" s="4">
        <v>44170</v>
      </c>
      <c r="B5547" s="19">
        <f t="shared" si="172"/>
        <v>2020</v>
      </c>
      <c r="C5547" s="19">
        <f t="shared" si="173"/>
        <v>12</v>
      </c>
      <c r="D5547" s="5" t="s">
        <v>732</v>
      </c>
      <c r="E5547" s="5" t="s">
        <v>317</v>
      </c>
      <c r="F5547" s="5" t="s">
        <v>14</v>
      </c>
      <c r="G5547" s="5" t="s">
        <v>24</v>
      </c>
      <c r="H5547" s="5" t="s">
        <v>760</v>
      </c>
      <c r="I5547" s="13">
        <v>140.38999999999999</v>
      </c>
      <c r="J5547" s="19">
        <v>3</v>
      </c>
      <c r="K5547" s="14">
        <v>40.749899999999997</v>
      </c>
    </row>
    <row r="5548" spans="1:11" x14ac:dyDescent="0.25">
      <c r="A5548" s="2">
        <v>44170</v>
      </c>
      <c r="B5548" s="18">
        <f t="shared" si="172"/>
        <v>2020</v>
      </c>
      <c r="C5548" s="18">
        <f t="shared" si="173"/>
        <v>12</v>
      </c>
      <c r="D5548" s="3" t="s">
        <v>1721</v>
      </c>
      <c r="E5548" s="3" t="s">
        <v>70</v>
      </c>
      <c r="F5548" s="3" t="s">
        <v>19</v>
      </c>
      <c r="G5548" s="3" t="s">
        <v>32</v>
      </c>
      <c r="H5548" s="3" t="s">
        <v>1817</v>
      </c>
      <c r="I5548" s="11">
        <v>216.75200000000001</v>
      </c>
      <c r="J5548" s="18">
        <v>6</v>
      </c>
      <c r="K5548" s="12">
        <v>60.463200000000001</v>
      </c>
    </row>
    <row r="5549" spans="1:11" x14ac:dyDescent="0.25">
      <c r="A5549" s="4">
        <v>44170</v>
      </c>
      <c r="B5549" s="19">
        <f t="shared" si="172"/>
        <v>2020</v>
      </c>
      <c r="C5549" s="19">
        <f t="shared" si="173"/>
        <v>12</v>
      </c>
      <c r="D5549" s="5" t="s">
        <v>606</v>
      </c>
      <c r="E5549" s="5" t="s">
        <v>138</v>
      </c>
      <c r="F5549" s="5" t="s">
        <v>14</v>
      </c>
      <c r="G5549" s="5" t="s">
        <v>24</v>
      </c>
      <c r="H5549" s="5" t="s">
        <v>484</v>
      </c>
      <c r="I5549" s="13">
        <v>223.03</v>
      </c>
      <c r="J5549" s="19">
        <v>7</v>
      </c>
      <c r="K5549" s="14">
        <v>67.659899999999993</v>
      </c>
    </row>
    <row r="5550" spans="1:11" x14ac:dyDescent="0.25">
      <c r="A5550" s="2">
        <v>44170</v>
      </c>
      <c r="B5550" s="18">
        <f t="shared" si="172"/>
        <v>2020</v>
      </c>
      <c r="C5550" s="18">
        <f t="shared" si="173"/>
        <v>12</v>
      </c>
      <c r="D5550" s="3" t="s">
        <v>1721</v>
      </c>
      <c r="E5550" s="3" t="s">
        <v>70</v>
      </c>
      <c r="F5550" s="3" t="s">
        <v>11</v>
      </c>
      <c r="G5550" s="3" t="s">
        <v>51</v>
      </c>
      <c r="H5550" s="3" t="s">
        <v>591</v>
      </c>
      <c r="I5550" s="11">
        <v>223.9</v>
      </c>
      <c r="J5550" s="18">
        <v>5</v>
      </c>
      <c r="K5550" s="12">
        <v>39.979999999999997</v>
      </c>
    </row>
    <row r="5551" spans="1:11" x14ac:dyDescent="0.25">
      <c r="A5551" s="4">
        <v>44170</v>
      </c>
      <c r="B5551" s="19">
        <f t="shared" si="172"/>
        <v>2020</v>
      </c>
      <c r="C5551" s="19">
        <f t="shared" si="173"/>
        <v>12</v>
      </c>
      <c r="D5551" s="5" t="s">
        <v>183</v>
      </c>
      <c r="E5551" s="5" t="s">
        <v>94</v>
      </c>
      <c r="F5551" s="5" t="s">
        <v>19</v>
      </c>
      <c r="G5551" s="5" t="s">
        <v>121</v>
      </c>
      <c r="H5551" s="5" t="s">
        <v>661</v>
      </c>
      <c r="I5551" s="13">
        <v>280.89999999999998</v>
      </c>
      <c r="J5551" s="19">
        <v>5</v>
      </c>
      <c r="K5551" s="14">
        <v>68.822999999999993</v>
      </c>
    </row>
    <row r="5552" spans="1:11" x14ac:dyDescent="0.25">
      <c r="A5552" s="2">
        <v>44170</v>
      </c>
      <c r="B5552" s="18">
        <f t="shared" si="172"/>
        <v>2020</v>
      </c>
      <c r="C5552" s="18">
        <f t="shared" si="173"/>
        <v>12</v>
      </c>
      <c r="D5552" s="3" t="s">
        <v>2211</v>
      </c>
      <c r="E5552" s="3" t="s">
        <v>70</v>
      </c>
      <c r="F5552" s="3" t="s">
        <v>19</v>
      </c>
      <c r="G5552" s="3" t="s">
        <v>32</v>
      </c>
      <c r="H5552" s="3" t="s">
        <v>1162</v>
      </c>
      <c r="I5552" s="11">
        <v>119.976</v>
      </c>
      <c r="J5552" s="18">
        <v>6</v>
      </c>
      <c r="K5552" s="12">
        <v>5.4287999999999998</v>
      </c>
    </row>
    <row r="5553" spans="1:11" x14ac:dyDescent="0.25">
      <c r="A5553" s="4">
        <v>44170</v>
      </c>
      <c r="B5553" s="19">
        <f t="shared" si="172"/>
        <v>2020</v>
      </c>
      <c r="C5553" s="19">
        <f t="shared" si="173"/>
        <v>12</v>
      </c>
      <c r="D5553" s="5" t="s">
        <v>1721</v>
      </c>
      <c r="E5553" s="5" t="s">
        <v>70</v>
      </c>
      <c r="F5553" s="5" t="s">
        <v>19</v>
      </c>
      <c r="G5553" s="5" t="s">
        <v>32</v>
      </c>
      <c r="H5553" s="5" t="s">
        <v>1450</v>
      </c>
      <c r="I5553" s="13">
        <v>87.296000000000006</v>
      </c>
      <c r="J5553" s="19">
        <v>2</v>
      </c>
      <c r="K5553" s="14">
        <v>3.0211999999999999</v>
      </c>
    </row>
    <row r="5554" spans="1:11" x14ac:dyDescent="0.25">
      <c r="A5554" s="2">
        <v>44170</v>
      </c>
      <c r="B5554" s="18">
        <f t="shared" si="172"/>
        <v>2020</v>
      </c>
      <c r="C5554" s="18">
        <f t="shared" si="173"/>
        <v>12</v>
      </c>
      <c r="D5554" s="3" t="s">
        <v>2456</v>
      </c>
      <c r="E5554" s="3" t="s">
        <v>94</v>
      </c>
      <c r="F5554" s="3" t="s">
        <v>19</v>
      </c>
      <c r="G5554" s="3" t="s">
        <v>53</v>
      </c>
      <c r="H5554" s="3" t="s">
        <v>147</v>
      </c>
      <c r="I5554" s="11">
        <v>113.6</v>
      </c>
      <c r="J5554" s="18">
        <v>6</v>
      </c>
      <c r="K5554" s="12">
        <v>9.9359999999999999</v>
      </c>
    </row>
    <row r="5555" spans="1:11" x14ac:dyDescent="0.25">
      <c r="A5555" s="4">
        <v>44170</v>
      </c>
      <c r="B5555" s="19">
        <f t="shared" si="172"/>
        <v>2020</v>
      </c>
      <c r="C5555" s="19">
        <f t="shared" si="173"/>
        <v>12</v>
      </c>
      <c r="D5555" s="5" t="s">
        <v>2456</v>
      </c>
      <c r="E5555" s="5" t="s">
        <v>94</v>
      </c>
      <c r="F5555" s="5" t="s">
        <v>19</v>
      </c>
      <c r="G5555" s="5" t="s">
        <v>127</v>
      </c>
      <c r="H5555" s="5" t="s">
        <v>1101</v>
      </c>
      <c r="I5555" s="13">
        <v>108.07</v>
      </c>
      <c r="J5555" s="19">
        <v>3</v>
      </c>
      <c r="K5555" s="14">
        <v>5.2028999999999996</v>
      </c>
    </row>
    <row r="5556" spans="1:11" x14ac:dyDescent="0.25">
      <c r="A5556" s="2">
        <v>44170</v>
      </c>
      <c r="B5556" s="18">
        <f t="shared" si="172"/>
        <v>2020</v>
      </c>
      <c r="C5556" s="18">
        <f t="shared" si="173"/>
        <v>12</v>
      </c>
      <c r="D5556" s="3" t="s">
        <v>2211</v>
      </c>
      <c r="E5556" s="3" t="s">
        <v>70</v>
      </c>
      <c r="F5556" s="3" t="s">
        <v>19</v>
      </c>
      <c r="G5556" s="3" t="s">
        <v>32</v>
      </c>
      <c r="H5556" s="3" t="s">
        <v>1020</v>
      </c>
      <c r="I5556" s="11">
        <v>119.816</v>
      </c>
      <c r="J5556" s="18">
        <v>3</v>
      </c>
      <c r="K5556" s="12">
        <v>8.3754000000000008</v>
      </c>
    </row>
    <row r="5557" spans="1:11" x14ac:dyDescent="0.25">
      <c r="A5557" s="4">
        <v>44170</v>
      </c>
      <c r="B5557" s="19">
        <f t="shared" si="172"/>
        <v>2020</v>
      </c>
      <c r="C5557" s="19">
        <f t="shared" si="173"/>
        <v>12</v>
      </c>
      <c r="D5557" s="5" t="s">
        <v>1721</v>
      </c>
      <c r="E5557" s="5" t="s">
        <v>70</v>
      </c>
      <c r="F5557" s="5" t="s">
        <v>14</v>
      </c>
      <c r="G5557" s="5" t="s">
        <v>15</v>
      </c>
      <c r="H5557" s="5" t="s">
        <v>78</v>
      </c>
      <c r="I5557" s="13">
        <v>109.176</v>
      </c>
      <c r="J5557" s="19">
        <v>3</v>
      </c>
      <c r="K5557" s="14">
        <v>-7.0145999999999997</v>
      </c>
    </row>
    <row r="5558" spans="1:11" x14ac:dyDescent="0.25">
      <c r="A5558" s="2">
        <v>44170</v>
      </c>
      <c r="B5558" s="18">
        <f t="shared" si="172"/>
        <v>2020</v>
      </c>
      <c r="C5558" s="18">
        <f t="shared" si="173"/>
        <v>12</v>
      </c>
      <c r="D5558" s="3" t="s">
        <v>520</v>
      </c>
      <c r="E5558" s="3" t="s">
        <v>94</v>
      </c>
      <c r="F5558" s="3" t="s">
        <v>19</v>
      </c>
      <c r="G5558" s="3" t="s">
        <v>127</v>
      </c>
      <c r="H5558" s="3" t="s">
        <v>1263</v>
      </c>
      <c r="I5558" s="11">
        <v>132.44999999999999</v>
      </c>
      <c r="J5558" s="18">
        <v>3</v>
      </c>
      <c r="K5558" s="12">
        <v>4.5359999999999996</v>
      </c>
    </row>
    <row r="5559" spans="1:11" x14ac:dyDescent="0.25">
      <c r="A5559" s="4">
        <v>44170</v>
      </c>
      <c r="B5559" s="19">
        <f t="shared" si="172"/>
        <v>2020</v>
      </c>
      <c r="C5559" s="19">
        <f t="shared" si="173"/>
        <v>12</v>
      </c>
      <c r="D5559" s="5" t="s">
        <v>732</v>
      </c>
      <c r="E5559" s="5" t="s">
        <v>317</v>
      </c>
      <c r="F5559" s="5" t="s">
        <v>19</v>
      </c>
      <c r="G5559" s="5" t="s">
        <v>53</v>
      </c>
      <c r="H5559" s="5" t="s">
        <v>2146</v>
      </c>
      <c r="I5559" s="13">
        <v>116.9</v>
      </c>
      <c r="J5559" s="19">
        <v>5</v>
      </c>
      <c r="K5559" s="14">
        <v>17.504999999999999</v>
      </c>
    </row>
    <row r="5560" spans="1:11" x14ac:dyDescent="0.25">
      <c r="A5560" s="2">
        <v>44170</v>
      </c>
      <c r="B5560" s="18">
        <f t="shared" si="172"/>
        <v>2020</v>
      </c>
      <c r="C5560" s="18">
        <f t="shared" si="173"/>
        <v>12</v>
      </c>
      <c r="D5560" s="3" t="s">
        <v>183</v>
      </c>
      <c r="E5560" s="3" t="s">
        <v>94</v>
      </c>
      <c r="F5560" s="3" t="s">
        <v>11</v>
      </c>
      <c r="G5560" s="3" t="s">
        <v>51</v>
      </c>
      <c r="H5560" s="3" t="s">
        <v>2094</v>
      </c>
      <c r="I5560" s="11">
        <v>129.94</v>
      </c>
      <c r="J5560" s="18">
        <v>3</v>
      </c>
      <c r="K5560" s="12">
        <v>6.0726000000000004</v>
      </c>
    </row>
    <row r="5561" spans="1:11" x14ac:dyDescent="0.25">
      <c r="A5561" s="4">
        <v>44170</v>
      </c>
      <c r="B5561" s="19">
        <f t="shared" si="172"/>
        <v>2020</v>
      </c>
      <c r="C5561" s="19">
        <f t="shared" si="173"/>
        <v>12</v>
      </c>
      <c r="D5561" s="5" t="s">
        <v>732</v>
      </c>
      <c r="E5561" s="5" t="s">
        <v>317</v>
      </c>
      <c r="F5561" s="5" t="s">
        <v>19</v>
      </c>
      <c r="G5561" s="5" t="s">
        <v>121</v>
      </c>
      <c r="H5561" s="5" t="s">
        <v>1674</v>
      </c>
      <c r="I5561" s="13">
        <v>165.44</v>
      </c>
      <c r="J5561" s="19">
        <v>3</v>
      </c>
      <c r="K5561" s="14">
        <v>16.588799999999999</v>
      </c>
    </row>
    <row r="5562" spans="1:11" x14ac:dyDescent="0.25">
      <c r="A5562" s="2">
        <v>44170</v>
      </c>
      <c r="B5562" s="18">
        <f t="shared" si="172"/>
        <v>2020</v>
      </c>
      <c r="C5562" s="18">
        <f t="shared" si="173"/>
        <v>12</v>
      </c>
      <c r="D5562" s="3" t="s">
        <v>183</v>
      </c>
      <c r="E5562" s="3" t="s">
        <v>94</v>
      </c>
      <c r="F5562" s="3" t="s">
        <v>11</v>
      </c>
      <c r="G5562" s="3" t="s">
        <v>51</v>
      </c>
      <c r="H5562" s="3" t="s">
        <v>2413</v>
      </c>
      <c r="I5562" s="11">
        <v>143.68</v>
      </c>
      <c r="J5562" s="18">
        <v>2</v>
      </c>
      <c r="K5562" s="12">
        <v>18.190799999999999</v>
      </c>
    </row>
    <row r="5563" spans="1:11" x14ac:dyDescent="0.25">
      <c r="A5563" s="4">
        <v>44170</v>
      </c>
      <c r="B5563" s="19">
        <f t="shared" si="172"/>
        <v>2020</v>
      </c>
      <c r="C5563" s="19">
        <f t="shared" si="173"/>
        <v>12</v>
      </c>
      <c r="D5563" s="5" t="s">
        <v>520</v>
      </c>
      <c r="E5563" s="5" t="s">
        <v>94</v>
      </c>
      <c r="F5563" s="5" t="s">
        <v>11</v>
      </c>
      <c r="G5563" s="5" t="s">
        <v>51</v>
      </c>
      <c r="H5563" s="5" t="s">
        <v>1849</v>
      </c>
      <c r="I5563" s="13">
        <v>156.96</v>
      </c>
      <c r="J5563" s="19">
        <v>2</v>
      </c>
      <c r="K5563" s="14">
        <v>10.909599999999999</v>
      </c>
    </row>
    <row r="5564" spans="1:11" x14ac:dyDescent="0.25">
      <c r="A5564" s="2">
        <v>44170</v>
      </c>
      <c r="B5564" s="18">
        <f t="shared" si="172"/>
        <v>2020</v>
      </c>
      <c r="C5564" s="18">
        <f t="shared" si="173"/>
        <v>12</v>
      </c>
      <c r="D5564" s="3" t="s">
        <v>1721</v>
      </c>
      <c r="E5564" s="3" t="s">
        <v>70</v>
      </c>
      <c r="F5564" s="3" t="s">
        <v>19</v>
      </c>
      <c r="G5564" s="3" t="s">
        <v>32</v>
      </c>
      <c r="H5564" s="3" t="s">
        <v>1141</v>
      </c>
      <c r="I5564" s="11">
        <v>150.91999999999999</v>
      </c>
      <c r="J5564" s="18">
        <v>5</v>
      </c>
      <c r="K5564" s="12">
        <v>29.372</v>
      </c>
    </row>
    <row r="5565" spans="1:11" x14ac:dyDescent="0.25">
      <c r="A5565" s="4">
        <v>44171</v>
      </c>
      <c r="B5565" s="19">
        <f t="shared" si="172"/>
        <v>2020</v>
      </c>
      <c r="C5565" s="19">
        <f t="shared" si="173"/>
        <v>12</v>
      </c>
      <c r="D5565" s="5" t="s">
        <v>2174</v>
      </c>
      <c r="E5565" s="5" t="s">
        <v>18</v>
      </c>
      <c r="F5565" s="5" t="s">
        <v>19</v>
      </c>
      <c r="G5565" s="5" t="s">
        <v>20</v>
      </c>
      <c r="H5565" s="5" t="s">
        <v>1048</v>
      </c>
      <c r="I5565" s="13">
        <v>216.68</v>
      </c>
      <c r="J5565" s="19">
        <v>1</v>
      </c>
      <c r="K5565" s="14">
        <v>2.8835999999999999</v>
      </c>
    </row>
    <row r="5566" spans="1:11" x14ac:dyDescent="0.25">
      <c r="A5566" s="2">
        <v>44172</v>
      </c>
      <c r="B5566" s="18">
        <f t="shared" si="172"/>
        <v>2020</v>
      </c>
      <c r="C5566" s="18">
        <f t="shared" si="173"/>
        <v>12</v>
      </c>
      <c r="D5566" s="3" t="s">
        <v>1823</v>
      </c>
      <c r="E5566" s="3" t="s">
        <v>181</v>
      </c>
      <c r="F5566" s="3" t="s">
        <v>11</v>
      </c>
      <c r="G5566" s="3" t="s">
        <v>51</v>
      </c>
      <c r="H5566" s="3" t="s">
        <v>2514</v>
      </c>
      <c r="I5566" s="11">
        <v>123.38</v>
      </c>
      <c r="J5566" s="18">
        <v>6</v>
      </c>
      <c r="K5566" s="12">
        <v>25.537800000000001</v>
      </c>
    </row>
    <row r="5567" spans="1:11" x14ac:dyDescent="0.25">
      <c r="A5567" s="4">
        <v>44172</v>
      </c>
      <c r="B5567" s="19">
        <f t="shared" si="172"/>
        <v>2020</v>
      </c>
      <c r="C5567" s="19">
        <f t="shared" si="173"/>
        <v>12</v>
      </c>
      <c r="D5567" s="5" t="s">
        <v>2022</v>
      </c>
      <c r="E5567" s="5" t="s">
        <v>67</v>
      </c>
      <c r="F5567" s="5" t="s">
        <v>14</v>
      </c>
      <c r="G5567" s="5" t="s">
        <v>24</v>
      </c>
      <c r="H5567" s="5" t="s">
        <v>338</v>
      </c>
      <c r="I5567" s="13">
        <v>142.98400000000001</v>
      </c>
      <c r="J5567" s="19">
        <v>2</v>
      </c>
      <c r="K5567" s="14">
        <v>25.596800000000002</v>
      </c>
    </row>
    <row r="5568" spans="1:11" x14ac:dyDescent="0.25">
      <c r="A5568" s="2">
        <v>44172</v>
      </c>
      <c r="B5568" s="18">
        <f t="shared" si="172"/>
        <v>2020</v>
      </c>
      <c r="C5568" s="18">
        <f t="shared" si="173"/>
        <v>12</v>
      </c>
      <c r="D5568" s="3" t="s">
        <v>308</v>
      </c>
      <c r="E5568" s="3" t="s">
        <v>143</v>
      </c>
      <c r="F5568" s="3" t="s">
        <v>19</v>
      </c>
      <c r="G5568" s="3" t="s">
        <v>121</v>
      </c>
      <c r="H5568" s="3" t="s">
        <v>412</v>
      </c>
      <c r="I5568" s="11">
        <v>354.64</v>
      </c>
      <c r="J5568" s="18">
        <v>4</v>
      </c>
      <c r="K5568" s="12">
        <v>89.779200000000003</v>
      </c>
    </row>
    <row r="5569" spans="1:11" x14ac:dyDescent="0.25">
      <c r="A5569" s="4">
        <v>44172</v>
      </c>
      <c r="B5569" s="19">
        <f t="shared" si="172"/>
        <v>2020</v>
      </c>
      <c r="C5569" s="19">
        <f t="shared" si="173"/>
        <v>12</v>
      </c>
      <c r="D5569" s="5" t="s">
        <v>126</v>
      </c>
      <c r="E5569" s="5" t="s">
        <v>18</v>
      </c>
      <c r="F5569" s="5" t="s">
        <v>14</v>
      </c>
      <c r="G5569" s="5" t="s">
        <v>15</v>
      </c>
      <c r="H5569" s="5" t="s">
        <v>1479</v>
      </c>
      <c r="I5569" s="13">
        <v>400.37599999999998</v>
      </c>
      <c r="J5569" s="19">
        <v>3</v>
      </c>
      <c r="K5569" s="14">
        <v>46.796999999999997</v>
      </c>
    </row>
    <row r="5570" spans="1:11" x14ac:dyDescent="0.25">
      <c r="A5570" s="2">
        <v>44172</v>
      </c>
      <c r="B5570" s="18">
        <f t="shared" ref="B5570:B5633" si="174">YEAR(A5570)</f>
        <v>2020</v>
      </c>
      <c r="C5570" s="18">
        <f t="shared" ref="C5570:C5633" si="175">MONTH(A5570)</f>
        <v>12</v>
      </c>
      <c r="D5570" s="3" t="s">
        <v>502</v>
      </c>
      <c r="E5570" s="3" t="s">
        <v>23</v>
      </c>
      <c r="F5570" s="3" t="s">
        <v>19</v>
      </c>
      <c r="G5570" s="3" t="s">
        <v>116</v>
      </c>
      <c r="H5570" s="3" t="s">
        <v>2109</v>
      </c>
      <c r="I5570" s="11">
        <v>1015.552</v>
      </c>
      <c r="J5570" s="18">
        <v>3</v>
      </c>
      <c r="K5570" s="12">
        <v>1.2432000000000001</v>
      </c>
    </row>
    <row r="5571" spans="1:11" x14ac:dyDescent="0.25">
      <c r="A5571" s="4">
        <v>44172</v>
      </c>
      <c r="B5571" s="19">
        <f t="shared" si="174"/>
        <v>2020</v>
      </c>
      <c r="C5571" s="19">
        <f t="shared" si="175"/>
        <v>12</v>
      </c>
      <c r="D5571" s="5" t="s">
        <v>142</v>
      </c>
      <c r="E5571" s="5" t="s">
        <v>164</v>
      </c>
      <c r="F5571" s="5" t="s">
        <v>19</v>
      </c>
      <c r="G5571" s="5" t="s">
        <v>32</v>
      </c>
      <c r="H5571" s="5" t="s">
        <v>1742</v>
      </c>
      <c r="I5571" s="13">
        <v>1901.99</v>
      </c>
      <c r="J5571" s="19">
        <v>5</v>
      </c>
      <c r="K5571" s="14">
        <v>-2929.4845</v>
      </c>
    </row>
    <row r="5572" spans="1:11" x14ac:dyDescent="0.25">
      <c r="A5572" s="2">
        <v>44172</v>
      </c>
      <c r="B5572" s="18">
        <f t="shared" si="174"/>
        <v>2020</v>
      </c>
      <c r="C5572" s="18">
        <f t="shared" si="175"/>
        <v>12</v>
      </c>
      <c r="D5572" s="3" t="s">
        <v>502</v>
      </c>
      <c r="E5572" s="3" t="s">
        <v>23</v>
      </c>
      <c r="F5572" s="3" t="s">
        <v>19</v>
      </c>
      <c r="G5572" s="3" t="s">
        <v>53</v>
      </c>
      <c r="H5572" s="3" t="s">
        <v>1578</v>
      </c>
      <c r="I5572" s="11">
        <v>128.55199999999999</v>
      </c>
      <c r="J5572" s="18">
        <v>3</v>
      </c>
      <c r="K5572" s="12">
        <v>5.4432</v>
      </c>
    </row>
    <row r="5573" spans="1:11" x14ac:dyDescent="0.25">
      <c r="A5573" s="4">
        <v>44172</v>
      </c>
      <c r="B5573" s="19">
        <f t="shared" si="174"/>
        <v>2020</v>
      </c>
      <c r="C5573" s="19">
        <f t="shared" si="175"/>
        <v>12</v>
      </c>
      <c r="D5573" s="5" t="s">
        <v>308</v>
      </c>
      <c r="E5573" s="5" t="s">
        <v>143</v>
      </c>
      <c r="F5573" s="5" t="s">
        <v>14</v>
      </c>
      <c r="G5573" s="5" t="s">
        <v>24</v>
      </c>
      <c r="H5573" s="5" t="s">
        <v>1934</v>
      </c>
      <c r="I5573" s="13">
        <v>126</v>
      </c>
      <c r="J5573" s="19">
        <v>4</v>
      </c>
      <c r="K5573" s="14">
        <v>23.4</v>
      </c>
    </row>
    <row r="5574" spans="1:11" x14ac:dyDescent="0.25">
      <c r="A5574" s="2">
        <v>44172</v>
      </c>
      <c r="B5574" s="18">
        <f t="shared" si="174"/>
        <v>2020</v>
      </c>
      <c r="C5574" s="18">
        <f t="shared" si="175"/>
        <v>12</v>
      </c>
      <c r="D5574" s="3" t="s">
        <v>1254</v>
      </c>
      <c r="E5574" s="3" t="s">
        <v>18</v>
      </c>
      <c r="F5574" s="3" t="s">
        <v>19</v>
      </c>
      <c r="G5574" s="3" t="s">
        <v>53</v>
      </c>
      <c r="H5574" s="3" t="s">
        <v>1632</v>
      </c>
      <c r="I5574" s="11">
        <v>159.04</v>
      </c>
      <c r="J5574" s="18">
        <v>6</v>
      </c>
      <c r="K5574" s="12">
        <v>25.02</v>
      </c>
    </row>
    <row r="5575" spans="1:11" x14ac:dyDescent="0.25">
      <c r="A5575" s="4">
        <v>44173</v>
      </c>
      <c r="B5575" s="19">
        <f t="shared" si="174"/>
        <v>2020</v>
      </c>
      <c r="C5575" s="19">
        <f t="shared" si="175"/>
        <v>12</v>
      </c>
      <c r="D5575" s="5" t="s">
        <v>1734</v>
      </c>
      <c r="E5575" s="5" t="s">
        <v>18</v>
      </c>
      <c r="F5575" s="5" t="s">
        <v>19</v>
      </c>
      <c r="G5575" s="5" t="s">
        <v>53</v>
      </c>
      <c r="H5575" s="5" t="s">
        <v>1565</v>
      </c>
      <c r="I5575" s="13">
        <v>101.12</v>
      </c>
      <c r="J5575" s="19">
        <v>9</v>
      </c>
      <c r="K5575" s="14">
        <v>28.857600000000001</v>
      </c>
    </row>
    <row r="5576" spans="1:11" x14ac:dyDescent="0.25">
      <c r="A5576" s="2">
        <v>44173</v>
      </c>
      <c r="B5576" s="18">
        <f t="shared" si="174"/>
        <v>2020</v>
      </c>
      <c r="C5576" s="18">
        <f t="shared" si="175"/>
        <v>12</v>
      </c>
      <c r="D5576" s="3" t="s">
        <v>1081</v>
      </c>
      <c r="E5576" s="3" t="s">
        <v>18</v>
      </c>
      <c r="F5576" s="3" t="s">
        <v>19</v>
      </c>
      <c r="G5576" s="3" t="s">
        <v>32</v>
      </c>
      <c r="H5576" s="3" t="s">
        <v>754</v>
      </c>
      <c r="I5576" s="11">
        <v>104.48</v>
      </c>
      <c r="J5576" s="18">
        <v>3</v>
      </c>
      <c r="K5576" s="12">
        <v>33.93</v>
      </c>
    </row>
    <row r="5577" spans="1:11" x14ac:dyDescent="0.25">
      <c r="A5577" s="4">
        <v>44173</v>
      </c>
      <c r="B5577" s="19">
        <f t="shared" si="174"/>
        <v>2020</v>
      </c>
      <c r="C5577" s="19">
        <f t="shared" si="175"/>
        <v>12</v>
      </c>
      <c r="D5577" s="5" t="s">
        <v>1081</v>
      </c>
      <c r="E5577" s="5" t="s">
        <v>18</v>
      </c>
      <c r="F5577" s="5" t="s">
        <v>19</v>
      </c>
      <c r="G5577" s="5" t="s">
        <v>53</v>
      </c>
      <c r="H5577" s="5" t="s">
        <v>648</v>
      </c>
      <c r="I5577" s="13">
        <v>114.92</v>
      </c>
      <c r="J5577" s="19">
        <v>4</v>
      </c>
      <c r="K5577" s="14">
        <v>40.443199999999997</v>
      </c>
    </row>
    <row r="5578" spans="1:11" x14ac:dyDescent="0.25">
      <c r="A5578" s="2">
        <v>44173</v>
      </c>
      <c r="B5578" s="18">
        <f t="shared" si="174"/>
        <v>2020</v>
      </c>
      <c r="C5578" s="18">
        <f t="shared" si="175"/>
        <v>12</v>
      </c>
      <c r="D5578" s="3" t="s">
        <v>710</v>
      </c>
      <c r="E5578" s="3" t="s">
        <v>39</v>
      </c>
      <c r="F5578" s="3" t="s">
        <v>14</v>
      </c>
      <c r="G5578" s="3" t="s">
        <v>15</v>
      </c>
      <c r="H5578" s="3" t="s">
        <v>1247</v>
      </c>
      <c r="I5578" s="11">
        <v>132.988</v>
      </c>
      <c r="J5578" s="18">
        <v>2</v>
      </c>
      <c r="K5578" s="12">
        <v>-20.997</v>
      </c>
    </row>
    <row r="5579" spans="1:11" x14ac:dyDescent="0.25">
      <c r="A5579" s="4">
        <v>44173</v>
      </c>
      <c r="B5579" s="19">
        <f t="shared" si="174"/>
        <v>2020</v>
      </c>
      <c r="C5579" s="19">
        <f t="shared" si="175"/>
        <v>12</v>
      </c>
      <c r="D5579" s="5" t="s">
        <v>2524</v>
      </c>
      <c r="E5579" s="5" t="s">
        <v>18</v>
      </c>
      <c r="F5579" s="5" t="s">
        <v>11</v>
      </c>
      <c r="G5579" s="5" t="s">
        <v>112</v>
      </c>
      <c r="H5579" s="5" t="s">
        <v>2562</v>
      </c>
      <c r="I5579" s="13">
        <v>142.56800000000001</v>
      </c>
      <c r="J5579" s="19">
        <v>2</v>
      </c>
      <c r="K5579" s="14">
        <v>-18.454799999999999</v>
      </c>
    </row>
    <row r="5580" spans="1:11" x14ac:dyDescent="0.25">
      <c r="A5580" s="2">
        <v>44173</v>
      </c>
      <c r="B5580" s="18">
        <f t="shared" si="174"/>
        <v>2020</v>
      </c>
      <c r="C5580" s="18">
        <f t="shared" si="175"/>
        <v>12</v>
      </c>
      <c r="D5580" s="3" t="s">
        <v>1488</v>
      </c>
      <c r="E5580" s="3" t="s">
        <v>94</v>
      </c>
      <c r="F5580" s="3" t="s">
        <v>11</v>
      </c>
      <c r="G5580" s="3" t="s">
        <v>51</v>
      </c>
      <c r="H5580" s="3" t="s">
        <v>1582</v>
      </c>
      <c r="I5580" s="11">
        <v>143.47999999999999</v>
      </c>
      <c r="J5580" s="18">
        <v>2</v>
      </c>
      <c r="K5580" s="12">
        <v>33.938800000000001</v>
      </c>
    </row>
    <row r="5581" spans="1:11" x14ac:dyDescent="0.25">
      <c r="A5581" s="4">
        <v>44173</v>
      </c>
      <c r="B5581" s="19">
        <f t="shared" si="174"/>
        <v>2020</v>
      </c>
      <c r="C5581" s="19">
        <f t="shared" si="175"/>
        <v>12</v>
      </c>
      <c r="D5581" s="5" t="s">
        <v>1734</v>
      </c>
      <c r="E5581" s="5" t="s">
        <v>18</v>
      </c>
      <c r="F5581" s="5" t="s">
        <v>11</v>
      </c>
      <c r="G5581" s="5" t="s">
        <v>51</v>
      </c>
      <c r="H5581" s="5" t="s">
        <v>2579</v>
      </c>
      <c r="I5581" s="13">
        <v>157.9</v>
      </c>
      <c r="J5581" s="19">
        <v>2</v>
      </c>
      <c r="K5581" s="14">
        <v>15.468</v>
      </c>
    </row>
    <row r="5582" spans="1:11" x14ac:dyDescent="0.25">
      <c r="A5582" s="2">
        <v>44173</v>
      </c>
      <c r="B5582" s="18">
        <f t="shared" si="174"/>
        <v>2020</v>
      </c>
      <c r="C5582" s="18">
        <f t="shared" si="175"/>
        <v>12</v>
      </c>
      <c r="D5582" s="3" t="s">
        <v>2524</v>
      </c>
      <c r="E5582" s="3" t="s">
        <v>18</v>
      </c>
      <c r="F5582" s="3" t="s">
        <v>14</v>
      </c>
      <c r="G5582" s="3" t="s">
        <v>24</v>
      </c>
      <c r="H5582" s="3" t="s">
        <v>1358</v>
      </c>
      <c r="I5582" s="11">
        <v>190.95</v>
      </c>
      <c r="J5582" s="18">
        <v>5</v>
      </c>
      <c r="K5582" s="12">
        <v>37.789499999999997</v>
      </c>
    </row>
    <row r="5583" spans="1:11" x14ac:dyDescent="0.25">
      <c r="A5583" s="4">
        <v>44173</v>
      </c>
      <c r="B5583" s="19">
        <f t="shared" si="174"/>
        <v>2020</v>
      </c>
      <c r="C5583" s="19">
        <f t="shared" si="175"/>
        <v>12</v>
      </c>
      <c r="D5583" s="5" t="s">
        <v>1377</v>
      </c>
      <c r="E5583" s="5" t="s">
        <v>56</v>
      </c>
      <c r="F5583" s="5" t="s">
        <v>14</v>
      </c>
      <c r="G5583" s="5" t="s">
        <v>24</v>
      </c>
      <c r="H5583" s="5" t="s">
        <v>1915</v>
      </c>
      <c r="I5583" s="13">
        <v>201.11</v>
      </c>
      <c r="J5583" s="19">
        <v>3</v>
      </c>
      <c r="K5583" s="14">
        <v>32.059800000000003</v>
      </c>
    </row>
    <row r="5584" spans="1:11" x14ac:dyDescent="0.25">
      <c r="A5584" s="2">
        <v>44173</v>
      </c>
      <c r="B5584" s="18">
        <f t="shared" si="174"/>
        <v>2020</v>
      </c>
      <c r="C5584" s="18">
        <f t="shared" si="175"/>
        <v>12</v>
      </c>
      <c r="D5584" s="3" t="s">
        <v>1968</v>
      </c>
      <c r="E5584" s="3" t="s">
        <v>39</v>
      </c>
      <c r="F5584" s="3" t="s">
        <v>11</v>
      </c>
      <c r="G5584" s="3" t="s">
        <v>112</v>
      </c>
      <c r="H5584" s="3" t="s">
        <v>1629</v>
      </c>
      <c r="I5584" s="11">
        <v>228.54400000000001</v>
      </c>
      <c r="J5584" s="18">
        <v>4</v>
      </c>
      <c r="K5584" s="12">
        <v>-58.504800000000003</v>
      </c>
    </row>
    <row r="5585" spans="1:11" x14ac:dyDescent="0.25">
      <c r="A5585" s="4">
        <v>44173</v>
      </c>
      <c r="B5585" s="19">
        <f t="shared" si="174"/>
        <v>2020</v>
      </c>
      <c r="C5585" s="19">
        <f t="shared" si="175"/>
        <v>12</v>
      </c>
      <c r="D5585" s="5" t="s">
        <v>1488</v>
      </c>
      <c r="E5585" s="5" t="s">
        <v>94</v>
      </c>
      <c r="F5585" s="5" t="s">
        <v>19</v>
      </c>
      <c r="G5585" s="5" t="s">
        <v>20</v>
      </c>
      <c r="H5585" s="5" t="s">
        <v>870</v>
      </c>
      <c r="I5585" s="13">
        <v>282.94</v>
      </c>
      <c r="J5585" s="19">
        <v>3</v>
      </c>
      <c r="K5585" s="14">
        <v>0</v>
      </c>
    </row>
    <row r="5586" spans="1:11" x14ac:dyDescent="0.25">
      <c r="A5586" s="2">
        <v>44173</v>
      </c>
      <c r="B5586" s="18">
        <f t="shared" si="174"/>
        <v>2020</v>
      </c>
      <c r="C5586" s="18">
        <f t="shared" si="175"/>
        <v>12</v>
      </c>
      <c r="D5586" s="3" t="s">
        <v>1377</v>
      </c>
      <c r="E5586" s="3" t="s">
        <v>56</v>
      </c>
      <c r="F5586" s="3" t="s">
        <v>11</v>
      </c>
      <c r="G5586" s="3" t="s">
        <v>12</v>
      </c>
      <c r="H5586" s="3" t="s">
        <v>1445</v>
      </c>
      <c r="I5586" s="11">
        <v>500.92</v>
      </c>
      <c r="J5586" s="18">
        <v>4</v>
      </c>
      <c r="K5586" s="12">
        <v>41.392800000000001</v>
      </c>
    </row>
    <row r="5587" spans="1:11" x14ac:dyDescent="0.25">
      <c r="A5587" s="4">
        <v>44173</v>
      </c>
      <c r="B5587" s="19">
        <f t="shared" si="174"/>
        <v>2020</v>
      </c>
      <c r="C5587" s="19">
        <f t="shared" si="175"/>
        <v>12</v>
      </c>
      <c r="D5587" s="5" t="s">
        <v>1793</v>
      </c>
      <c r="E5587" s="5" t="s">
        <v>883</v>
      </c>
      <c r="F5587" s="5" t="s">
        <v>19</v>
      </c>
      <c r="G5587" s="5" t="s">
        <v>20</v>
      </c>
      <c r="H5587" s="5" t="s">
        <v>277</v>
      </c>
      <c r="I5587" s="13">
        <v>612.74</v>
      </c>
      <c r="J5587" s="19">
        <v>6</v>
      </c>
      <c r="K5587" s="14">
        <v>160.03980000000001</v>
      </c>
    </row>
    <row r="5588" spans="1:11" x14ac:dyDescent="0.25">
      <c r="A5588" s="2">
        <v>44173</v>
      </c>
      <c r="B5588" s="18">
        <f t="shared" si="174"/>
        <v>2020</v>
      </c>
      <c r="C5588" s="18">
        <f t="shared" si="175"/>
        <v>12</v>
      </c>
      <c r="D5588" s="3" t="s">
        <v>2524</v>
      </c>
      <c r="E5588" s="3" t="s">
        <v>18</v>
      </c>
      <c r="F5588" s="3" t="s">
        <v>11</v>
      </c>
      <c r="G5588" s="3" t="s">
        <v>30</v>
      </c>
      <c r="H5588" s="3" t="s">
        <v>2359</v>
      </c>
      <c r="I5588" s="11">
        <v>822.024</v>
      </c>
      <c r="J5588" s="18">
        <v>7</v>
      </c>
      <c r="K5588" s="12">
        <v>-112.95269999999999</v>
      </c>
    </row>
    <row r="5589" spans="1:11" x14ac:dyDescent="0.25">
      <c r="A5589" s="4">
        <v>44173</v>
      </c>
      <c r="B5589" s="19">
        <f t="shared" si="174"/>
        <v>2020</v>
      </c>
      <c r="C5589" s="19">
        <f t="shared" si="175"/>
        <v>12</v>
      </c>
      <c r="D5589" s="5" t="s">
        <v>1377</v>
      </c>
      <c r="E5589" s="5" t="s">
        <v>56</v>
      </c>
      <c r="F5589" s="5" t="s">
        <v>19</v>
      </c>
      <c r="G5589" s="5" t="s">
        <v>121</v>
      </c>
      <c r="H5589" s="5" t="s">
        <v>457</v>
      </c>
      <c r="I5589" s="13">
        <v>1124.75</v>
      </c>
      <c r="J5589" s="19">
        <v>3</v>
      </c>
      <c r="K5589" s="14">
        <v>305.13</v>
      </c>
    </row>
    <row r="5590" spans="1:11" x14ac:dyDescent="0.25">
      <c r="A5590" s="2">
        <v>44173</v>
      </c>
      <c r="B5590" s="18">
        <f t="shared" si="174"/>
        <v>2020</v>
      </c>
      <c r="C5590" s="18">
        <f t="shared" si="175"/>
        <v>12</v>
      </c>
      <c r="D5590" s="3" t="s">
        <v>2524</v>
      </c>
      <c r="E5590" s="3" t="s">
        <v>18</v>
      </c>
      <c r="F5590" s="3" t="s">
        <v>14</v>
      </c>
      <c r="G5590" s="3" t="s">
        <v>36</v>
      </c>
      <c r="H5590" s="3" t="s">
        <v>1865</v>
      </c>
      <c r="I5590" s="11">
        <v>718.976</v>
      </c>
      <c r="J5590" s="18">
        <v>3</v>
      </c>
      <c r="K5590" s="12">
        <v>434.99130000000002</v>
      </c>
    </row>
    <row r="5591" spans="1:11" x14ac:dyDescent="0.25">
      <c r="A5591" s="4">
        <v>44173</v>
      </c>
      <c r="B5591" s="19">
        <f t="shared" si="174"/>
        <v>2020</v>
      </c>
      <c r="C5591" s="19">
        <f t="shared" si="175"/>
        <v>12</v>
      </c>
      <c r="D5591" s="5" t="s">
        <v>2524</v>
      </c>
      <c r="E5591" s="5" t="s">
        <v>18</v>
      </c>
      <c r="F5591" s="5" t="s">
        <v>11</v>
      </c>
      <c r="G5591" s="5" t="s">
        <v>12</v>
      </c>
      <c r="H5591" s="5" t="s">
        <v>2253</v>
      </c>
      <c r="I5591" s="13">
        <v>359.82900000000001</v>
      </c>
      <c r="J5591" s="19">
        <v>13</v>
      </c>
      <c r="K5591" s="14">
        <v>31.454799999999999</v>
      </c>
    </row>
    <row r="5592" spans="1:11" x14ac:dyDescent="0.25">
      <c r="A5592" s="2">
        <v>44173</v>
      </c>
      <c r="B5592" s="18">
        <f t="shared" si="174"/>
        <v>2020</v>
      </c>
      <c r="C5592" s="18">
        <f t="shared" si="175"/>
        <v>12</v>
      </c>
      <c r="D5592" s="3" t="s">
        <v>710</v>
      </c>
      <c r="E5592" s="3" t="s">
        <v>39</v>
      </c>
      <c r="F5592" s="3" t="s">
        <v>19</v>
      </c>
      <c r="G5592" s="3" t="s">
        <v>40</v>
      </c>
      <c r="H5592" s="3" t="s">
        <v>1639</v>
      </c>
      <c r="I5592" s="11">
        <v>113.248</v>
      </c>
      <c r="J5592" s="18">
        <v>4</v>
      </c>
      <c r="K5592" s="12">
        <v>3.6432000000000002</v>
      </c>
    </row>
    <row r="5593" spans="1:11" x14ac:dyDescent="0.25">
      <c r="A5593" s="4">
        <v>44173</v>
      </c>
      <c r="B5593" s="19">
        <f t="shared" si="174"/>
        <v>2020</v>
      </c>
      <c r="C5593" s="19">
        <f t="shared" si="175"/>
        <v>12</v>
      </c>
      <c r="D5593" s="5" t="s">
        <v>1081</v>
      </c>
      <c r="E5593" s="5" t="s">
        <v>18</v>
      </c>
      <c r="F5593" s="5" t="s">
        <v>19</v>
      </c>
      <c r="G5593" s="5" t="s">
        <v>32</v>
      </c>
      <c r="H5593" s="5" t="s">
        <v>686</v>
      </c>
      <c r="I5593" s="13">
        <v>117.42400000000001</v>
      </c>
      <c r="J5593" s="19">
        <v>1</v>
      </c>
      <c r="K5593" s="14">
        <v>8.4090000000000007</v>
      </c>
    </row>
    <row r="5594" spans="1:11" x14ac:dyDescent="0.25">
      <c r="A5594" s="2">
        <v>44173</v>
      </c>
      <c r="B5594" s="18">
        <f t="shared" si="174"/>
        <v>2020</v>
      </c>
      <c r="C5594" s="18">
        <f t="shared" si="175"/>
        <v>12</v>
      </c>
      <c r="D5594" s="3" t="s">
        <v>2524</v>
      </c>
      <c r="E5594" s="3" t="s">
        <v>18</v>
      </c>
      <c r="F5594" s="3" t="s">
        <v>19</v>
      </c>
      <c r="G5594" s="3" t="s">
        <v>53</v>
      </c>
      <c r="H5594" s="3" t="s">
        <v>2523</v>
      </c>
      <c r="I5594" s="11">
        <v>111.15</v>
      </c>
      <c r="J5594" s="18">
        <v>5</v>
      </c>
      <c r="K5594" s="12">
        <v>13.3035</v>
      </c>
    </row>
    <row r="5595" spans="1:11" x14ac:dyDescent="0.25">
      <c r="A5595" s="4">
        <v>44173</v>
      </c>
      <c r="B5595" s="19">
        <f t="shared" si="174"/>
        <v>2020</v>
      </c>
      <c r="C5595" s="19">
        <f t="shared" si="175"/>
        <v>12</v>
      </c>
      <c r="D5595" s="5" t="s">
        <v>2524</v>
      </c>
      <c r="E5595" s="5" t="s">
        <v>18</v>
      </c>
      <c r="F5595" s="5" t="s">
        <v>19</v>
      </c>
      <c r="G5595" s="5" t="s">
        <v>53</v>
      </c>
      <c r="H5595" s="5" t="s">
        <v>908</v>
      </c>
      <c r="I5595" s="13">
        <v>128.68</v>
      </c>
      <c r="J5595" s="19">
        <v>1</v>
      </c>
      <c r="K5595" s="14">
        <v>4.6463999999999999</v>
      </c>
    </row>
    <row r="5596" spans="1:11" x14ac:dyDescent="0.25">
      <c r="A5596" s="2">
        <v>44173</v>
      </c>
      <c r="B5596" s="18">
        <f t="shared" si="174"/>
        <v>2020</v>
      </c>
      <c r="C5596" s="18">
        <f t="shared" si="175"/>
        <v>12</v>
      </c>
      <c r="D5596" s="3" t="s">
        <v>1488</v>
      </c>
      <c r="E5596" s="3" t="s">
        <v>94</v>
      </c>
      <c r="F5596" s="3" t="s">
        <v>19</v>
      </c>
      <c r="G5596" s="3" t="s">
        <v>53</v>
      </c>
      <c r="H5596" s="3" t="s">
        <v>1822</v>
      </c>
      <c r="I5596" s="11">
        <v>130.44</v>
      </c>
      <c r="J5596" s="18">
        <v>3</v>
      </c>
      <c r="K5596" s="12">
        <v>9.3312000000000008</v>
      </c>
    </row>
    <row r="5597" spans="1:11" x14ac:dyDescent="0.25">
      <c r="A5597" s="4">
        <v>44173</v>
      </c>
      <c r="B5597" s="19">
        <f t="shared" si="174"/>
        <v>2020</v>
      </c>
      <c r="C5597" s="19">
        <f t="shared" si="175"/>
        <v>12</v>
      </c>
      <c r="D5597" s="5" t="s">
        <v>2524</v>
      </c>
      <c r="E5597" s="5" t="s">
        <v>18</v>
      </c>
      <c r="F5597" s="5" t="s">
        <v>19</v>
      </c>
      <c r="G5597" s="5" t="s">
        <v>127</v>
      </c>
      <c r="H5597" s="5" t="s">
        <v>1263</v>
      </c>
      <c r="I5597" s="13">
        <v>123.35</v>
      </c>
      <c r="J5597" s="19">
        <v>9</v>
      </c>
      <c r="K5597" s="14">
        <v>13.608000000000001</v>
      </c>
    </row>
    <row r="5598" spans="1:11" x14ac:dyDescent="0.25">
      <c r="A5598" s="2">
        <v>44173</v>
      </c>
      <c r="B5598" s="18">
        <f t="shared" si="174"/>
        <v>2020</v>
      </c>
      <c r="C5598" s="18">
        <f t="shared" si="175"/>
        <v>12</v>
      </c>
      <c r="D5598" s="3" t="s">
        <v>1488</v>
      </c>
      <c r="E5598" s="3" t="s">
        <v>94</v>
      </c>
      <c r="F5598" s="3" t="s">
        <v>19</v>
      </c>
      <c r="G5598" s="3" t="s">
        <v>20</v>
      </c>
      <c r="H5598" s="3" t="s">
        <v>2194</v>
      </c>
      <c r="I5598" s="11">
        <v>131.91999999999999</v>
      </c>
      <c r="J5598" s="18">
        <v>4</v>
      </c>
      <c r="K5598" s="12">
        <v>8.2992000000000008</v>
      </c>
    </row>
    <row r="5599" spans="1:11" x14ac:dyDescent="0.25">
      <c r="A5599" s="4">
        <v>44173</v>
      </c>
      <c r="B5599" s="19">
        <f t="shared" si="174"/>
        <v>2020</v>
      </c>
      <c r="C5599" s="19">
        <f t="shared" si="175"/>
        <v>12</v>
      </c>
      <c r="D5599" s="5" t="s">
        <v>1734</v>
      </c>
      <c r="E5599" s="5" t="s">
        <v>18</v>
      </c>
      <c r="F5599" s="5" t="s">
        <v>19</v>
      </c>
      <c r="G5599" s="5" t="s">
        <v>20</v>
      </c>
      <c r="H5599" s="5" t="s">
        <v>1898</v>
      </c>
      <c r="I5599" s="13">
        <v>150.79</v>
      </c>
      <c r="J5599" s="19">
        <v>3</v>
      </c>
      <c r="K5599" s="14">
        <v>8.6390999999999991</v>
      </c>
    </row>
    <row r="5600" spans="1:11" x14ac:dyDescent="0.25">
      <c r="A5600" s="2">
        <v>44173</v>
      </c>
      <c r="B5600" s="18">
        <f t="shared" si="174"/>
        <v>2020</v>
      </c>
      <c r="C5600" s="18">
        <f t="shared" si="175"/>
        <v>12</v>
      </c>
      <c r="D5600" s="3" t="s">
        <v>1377</v>
      </c>
      <c r="E5600" s="3" t="s">
        <v>56</v>
      </c>
      <c r="F5600" s="3" t="s">
        <v>19</v>
      </c>
      <c r="G5600" s="3" t="s">
        <v>53</v>
      </c>
      <c r="H5600" s="3" t="s">
        <v>573</v>
      </c>
      <c r="I5600" s="11">
        <v>132.52000000000001</v>
      </c>
      <c r="J5600" s="18">
        <v>4</v>
      </c>
      <c r="K5600" s="12">
        <v>12.6592</v>
      </c>
    </row>
    <row r="5601" spans="1:11" x14ac:dyDescent="0.25">
      <c r="A5601" s="4">
        <v>44173</v>
      </c>
      <c r="B5601" s="19">
        <f t="shared" si="174"/>
        <v>2020</v>
      </c>
      <c r="C5601" s="19">
        <f t="shared" si="175"/>
        <v>12</v>
      </c>
      <c r="D5601" s="5" t="s">
        <v>2524</v>
      </c>
      <c r="E5601" s="5" t="s">
        <v>18</v>
      </c>
      <c r="F5601" s="5" t="s">
        <v>19</v>
      </c>
      <c r="G5601" s="5" t="s">
        <v>53</v>
      </c>
      <c r="H5601" s="5" t="s">
        <v>1037</v>
      </c>
      <c r="I5601" s="13">
        <v>159.97999999999999</v>
      </c>
      <c r="J5601" s="19">
        <v>1</v>
      </c>
      <c r="K5601" s="14">
        <v>27.430199999999999</v>
      </c>
    </row>
    <row r="5602" spans="1:11" x14ac:dyDescent="0.25">
      <c r="A5602" s="2">
        <v>44173</v>
      </c>
      <c r="B5602" s="18">
        <f t="shared" si="174"/>
        <v>2020</v>
      </c>
      <c r="C5602" s="18">
        <f t="shared" si="175"/>
        <v>12</v>
      </c>
      <c r="D5602" s="3" t="s">
        <v>1081</v>
      </c>
      <c r="E5602" s="3" t="s">
        <v>18</v>
      </c>
      <c r="F5602" s="3" t="s">
        <v>19</v>
      </c>
      <c r="G5602" s="3" t="s">
        <v>20</v>
      </c>
      <c r="H5602" s="3" t="s">
        <v>1126</v>
      </c>
      <c r="I5602" s="11">
        <v>155.76</v>
      </c>
      <c r="J5602" s="18">
        <v>1</v>
      </c>
      <c r="K5602" s="12">
        <v>11.117599999999999</v>
      </c>
    </row>
    <row r="5603" spans="1:11" x14ac:dyDescent="0.25">
      <c r="A5603" s="4">
        <v>44173</v>
      </c>
      <c r="B5603" s="19">
        <f t="shared" si="174"/>
        <v>2020</v>
      </c>
      <c r="C5603" s="19">
        <f t="shared" si="175"/>
        <v>12</v>
      </c>
      <c r="D5603" s="5" t="s">
        <v>1960</v>
      </c>
      <c r="E5603" s="5" t="s">
        <v>18</v>
      </c>
      <c r="F5603" s="5" t="s">
        <v>19</v>
      </c>
      <c r="G5603" s="5" t="s">
        <v>121</v>
      </c>
      <c r="H5603" s="5" t="s">
        <v>2308</v>
      </c>
      <c r="I5603" s="13">
        <v>164.48</v>
      </c>
      <c r="J5603" s="19">
        <v>1</v>
      </c>
      <c r="K5603" s="14">
        <v>20.844000000000001</v>
      </c>
    </row>
    <row r="5604" spans="1:11" x14ac:dyDescent="0.25">
      <c r="A5604" s="2">
        <v>44173</v>
      </c>
      <c r="B5604" s="18">
        <f t="shared" si="174"/>
        <v>2020</v>
      </c>
      <c r="C5604" s="18">
        <f t="shared" si="175"/>
        <v>12</v>
      </c>
      <c r="D5604" s="3" t="s">
        <v>1377</v>
      </c>
      <c r="E5604" s="3" t="s">
        <v>56</v>
      </c>
      <c r="F5604" s="3" t="s">
        <v>19</v>
      </c>
      <c r="G5604" s="3" t="s">
        <v>127</v>
      </c>
      <c r="H5604" s="3" t="s">
        <v>1100</v>
      </c>
      <c r="I5604" s="11">
        <v>163.06</v>
      </c>
      <c r="J5604" s="18">
        <v>2</v>
      </c>
      <c r="K5604" s="12">
        <v>28.087599999999998</v>
      </c>
    </row>
    <row r="5605" spans="1:11" x14ac:dyDescent="0.25">
      <c r="A5605" s="4">
        <v>44174</v>
      </c>
      <c r="B5605" s="19">
        <f t="shared" si="174"/>
        <v>2020</v>
      </c>
      <c r="C5605" s="19">
        <f t="shared" si="175"/>
        <v>12</v>
      </c>
      <c r="D5605" s="5" t="s">
        <v>495</v>
      </c>
      <c r="E5605" s="5" t="s">
        <v>365</v>
      </c>
      <c r="F5605" s="5" t="s">
        <v>14</v>
      </c>
      <c r="G5605" s="5" t="s">
        <v>24</v>
      </c>
      <c r="H5605" s="5" t="s">
        <v>2278</v>
      </c>
      <c r="I5605" s="13">
        <v>123.88</v>
      </c>
      <c r="J5605" s="19">
        <v>6</v>
      </c>
      <c r="K5605" s="14">
        <v>41.951999999999998</v>
      </c>
    </row>
    <row r="5606" spans="1:11" x14ac:dyDescent="0.25">
      <c r="A5606" s="2">
        <v>44174</v>
      </c>
      <c r="B5606" s="18">
        <f t="shared" si="174"/>
        <v>2020</v>
      </c>
      <c r="C5606" s="18">
        <f t="shared" si="175"/>
        <v>12</v>
      </c>
      <c r="D5606" s="3" t="s">
        <v>540</v>
      </c>
      <c r="E5606" s="3" t="s">
        <v>18</v>
      </c>
      <c r="F5606" s="3" t="s">
        <v>11</v>
      </c>
      <c r="G5606" s="3" t="s">
        <v>12</v>
      </c>
      <c r="H5606" s="3" t="s">
        <v>2329</v>
      </c>
      <c r="I5606" s="11">
        <v>164.25700000000001</v>
      </c>
      <c r="J5606" s="18">
        <v>3</v>
      </c>
      <c r="K5606" s="12">
        <v>15.697800000000001</v>
      </c>
    </row>
    <row r="5607" spans="1:11" x14ac:dyDescent="0.25">
      <c r="A5607" s="4">
        <v>44174</v>
      </c>
      <c r="B5607" s="19">
        <f t="shared" si="174"/>
        <v>2020</v>
      </c>
      <c r="C5607" s="19">
        <f t="shared" si="175"/>
        <v>12</v>
      </c>
      <c r="D5607" s="5" t="s">
        <v>734</v>
      </c>
      <c r="E5607" s="5" t="s">
        <v>195</v>
      </c>
      <c r="F5607" s="5" t="s">
        <v>14</v>
      </c>
      <c r="G5607" s="5" t="s">
        <v>24</v>
      </c>
      <c r="H5607" s="5" t="s">
        <v>484</v>
      </c>
      <c r="I5607" s="13">
        <v>166.45</v>
      </c>
      <c r="J5607" s="19">
        <v>5</v>
      </c>
      <c r="K5607" s="14">
        <v>48.328499999999998</v>
      </c>
    </row>
    <row r="5608" spans="1:11" x14ac:dyDescent="0.25">
      <c r="A5608" s="2">
        <v>44174</v>
      </c>
      <c r="B5608" s="18">
        <f t="shared" si="174"/>
        <v>2020</v>
      </c>
      <c r="C5608" s="18">
        <f t="shared" si="175"/>
        <v>12</v>
      </c>
      <c r="D5608" s="3" t="s">
        <v>1087</v>
      </c>
      <c r="E5608" s="3" t="s">
        <v>164</v>
      </c>
      <c r="F5608" s="3" t="s">
        <v>19</v>
      </c>
      <c r="G5608" s="3" t="s">
        <v>53</v>
      </c>
      <c r="H5608" s="3" t="s">
        <v>1109</v>
      </c>
      <c r="I5608" s="11">
        <v>190.85599999999999</v>
      </c>
      <c r="J5608" s="18">
        <v>9</v>
      </c>
      <c r="K5608" s="12">
        <v>48.551400000000001</v>
      </c>
    </row>
    <row r="5609" spans="1:11" x14ac:dyDescent="0.25">
      <c r="A5609" s="4">
        <v>44174</v>
      </c>
      <c r="B5609" s="19">
        <f t="shared" si="174"/>
        <v>2020</v>
      </c>
      <c r="C5609" s="19">
        <f t="shared" si="175"/>
        <v>12</v>
      </c>
      <c r="D5609" s="5" t="s">
        <v>1913</v>
      </c>
      <c r="E5609" s="5" t="s">
        <v>18</v>
      </c>
      <c r="F5609" s="5" t="s">
        <v>19</v>
      </c>
      <c r="G5609" s="5" t="s">
        <v>121</v>
      </c>
      <c r="H5609" s="5" t="s">
        <v>1085</v>
      </c>
      <c r="I5609" s="13">
        <v>220</v>
      </c>
      <c r="J5609" s="19">
        <v>1</v>
      </c>
      <c r="K5609" s="14">
        <v>68.040000000000006</v>
      </c>
    </row>
    <row r="5610" spans="1:11" x14ac:dyDescent="0.25">
      <c r="A5610" s="2">
        <v>44174</v>
      </c>
      <c r="B5610" s="18">
        <f t="shared" si="174"/>
        <v>2020</v>
      </c>
      <c r="C5610" s="18">
        <f t="shared" si="175"/>
        <v>12</v>
      </c>
      <c r="D5610" s="3" t="s">
        <v>734</v>
      </c>
      <c r="E5610" s="3" t="s">
        <v>195</v>
      </c>
      <c r="F5610" s="3" t="s">
        <v>19</v>
      </c>
      <c r="G5610" s="3" t="s">
        <v>121</v>
      </c>
      <c r="H5610" s="3" t="s">
        <v>1468</v>
      </c>
      <c r="I5610" s="11">
        <v>232.9</v>
      </c>
      <c r="J5610" s="18">
        <v>5</v>
      </c>
      <c r="K5610" s="12">
        <v>62.320999999999998</v>
      </c>
    </row>
    <row r="5611" spans="1:11" x14ac:dyDescent="0.25">
      <c r="A5611" s="4">
        <v>44174</v>
      </c>
      <c r="B5611" s="19">
        <f t="shared" si="174"/>
        <v>2020</v>
      </c>
      <c r="C5611" s="19">
        <f t="shared" si="175"/>
        <v>12</v>
      </c>
      <c r="D5611" s="5" t="s">
        <v>1946</v>
      </c>
      <c r="E5611" s="5" t="s">
        <v>198</v>
      </c>
      <c r="F5611" s="5" t="s">
        <v>19</v>
      </c>
      <c r="G5611" s="5" t="s">
        <v>53</v>
      </c>
      <c r="H5611" s="5" t="s">
        <v>1786</v>
      </c>
      <c r="I5611" s="13">
        <v>461.4</v>
      </c>
      <c r="J5611" s="19">
        <v>5</v>
      </c>
      <c r="K5611" s="14">
        <v>146.79</v>
      </c>
    </row>
    <row r="5612" spans="1:11" x14ac:dyDescent="0.25">
      <c r="A5612" s="2">
        <v>44174</v>
      </c>
      <c r="B5612" s="18">
        <f t="shared" si="174"/>
        <v>2020</v>
      </c>
      <c r="C5612" s="18">
        <f t="shared" si="175"/>
        <v>12</v>
      </c>
      <c r="D5612" s="3" t="s">
        <v>867</v>
      </c>
      <c r="E5612" s="3" t="s">
        <v>18</v>
      </c>
      <c r="F5612" s="3" t="s">
        <v>14</v>
      </c>
      <c r="G5612" s="3" t="s">
        <v>15</v>
      </c>
      <c r="H5612" s="3" t="s">
        <v>893</v>
      </c>
      <c r="I5612" s="11">
        <v>473.76799999999997</v>
      </c>
      <c r="J5612" s="18">
        <v>4</v>
      </c>
      <c r="K5612" s="12">
        <v>44.476799999999997</v>
      </c>
    </row>
    <row r="5613" spans="1:11" x14ac:dyDescent="0.25">
      <c r="A5613" s="4">
        <v>44174</v>
      </c>
      <c r="B5613" s="19">
        <f t="shared" si="174"/>
        <v>2020</v>
      </c>
      <c r="C5613" s="19">
        <f t="shared" si="175"/>
        <v>12</v>
      </c>
      <c r="D5613" s="5" t="s">
        <v>493</v>
      </c>
      <c r="E5613" s="5" t="s">
        <v>365</v>
      </c>
      <c r="F5613" s="5" t="s">
        <v>11</v>
      </c>
      <c r="G5613" s="5" t="s">
        <v>112</v>
      </c>
      <c r="H5613" s="5" t="s">
        <v>542</v>
      </c>
      <c r="I5613" s="13">
        <v>897.94</v>
      </c>
      <c r="J5613" s="19">
        <v>3</v>
      </c>
      <c r="K5613" s="14">
        <v>226.96440000000001</v>
      </c>
    </row>
    <row r="5614" spans="1:11" x14ac:dyDescent="0.25">
      <c r="A5614" s="2">
        <v>44174</v>
      </c>
      <c r="B5614" s="18">
        <f t="shared" si="174"/>
        <v>2020</v>
      </c>
      <c r="C5614" s="18">
        <f t="shared" si="175"/>
        <v>12</v>
      </c>
      <c r="D5614" s="3" t="s">
        <v>1913</v>
      </c>
      <c r="E5614" s="3" t="s">
        <v>18</v>
      </c>
      <c r="F5614" s="3" t="s">
        <v>11</v>
      </c>
      <c r="G5614" s="3" t="s">
        <v>30</v>
      </c>
      <c r="H5614" s="3" t="s">
        <v>775</v>
      </c>
      <c r="I5614" s="11">
        <v>908.32799999999997</v>
      </c>
      <c r="J5614" s="18">
        <v>9</v>
      </c>
      <c r="K5614" s="12">
        <v>22.408200000000001</v>
      </c>
    </row>
    <row r="5615" spans="1:11" x14ac:dyDescent="0.25">
      <c r="A5615" s="4">
        <v>44174</v>
      </c>
      <c r="B5615" s="19">
        <f t="shared" si="174"/>
        <v>2020</v>
      </c>
      <c r="C5615" s="19">
        <f t="shared" si="175"/>
        <v>12</v>
      </c>
      <c r="D5615" s="5" t="s">
        <v>1831</v>
      </c>
      <c r="E5615" s="5" t="s">
        <v>39</v>
      </c>
      <c r="F5615" s="5" t="s">
        <v>19</v>
      </c>
      <c r="G5615" s="5" t="s">
        <v>40</v>
      </c>
      <c r="H5615" s="5" t="s">
        <v>2017</v>
      </c>
      <c r="I5615" s="13">
        <v>110.624</v>
      </c>
      <c r="J5615" s="19">
        <v>1</v>
      </c>
      <c r="K5615" s="14">
        <v>0.4264</v>
      </c>
    </row>
    <row r="5616" spans="1:11" x14ac:dyDescent="0.25">
      <c r="A5616" s="2">
        <v>44174</v>
      </c>
      <c r="B5616" s="18">
        <f t="shared" si="174"/>
        <v>2020</v>
      </c>
      <c r="C5616" s="18">
        <f t="shared" si="175"/>
        <v>12</v>
      </c>
      <c r="D5616" s="3" t="s">
        <v>596</v>
      </c>
      <c r="E5616" s="3" t="s">
        <v>317</v>
      </c>
      <c r="F5616" s="3" t="s">
        <v>19</v>
      </c>
      <c r="G5616" s="3" t="s">
        <v>32</v>
      </c>
      <c r="H5616" s="3" t="s">
        <v>2159</v>
      </c>
      <c r="I5616" s="11">
        <v>1021.4</v>
      </c>
      <c r="J5616" s="18">
        <v>5</v>
      </c>
      <c r="K5616" s="12">
        <v>5.0960000000000001</v>
      </c>
    </row>
    <row r="5617" spans="1:11" x14ac:dyDescent="0.25">
      <c r="A5617" s="4">
        <v>44174</v>
      </c>
      <c r="B5617" s="19">
        <f t="shared" si="174"/>
        <v>2020</v>
      </c>
      <c r="C5617" s="19">
        <f t="shared" si="175"/>
        <v>12</v>
      </c>
      <c r="D5617" s="5" t="s">
        <v>734</v>
      </c>
      <c r="E5617" s="5" t="s">
        <v>195</v>
      </c>
      <c r="F5617" s="5" t="s">
        <v>14</v>
      </c>
      <c r="G5617" s="5" t="s">
        <v>36</v>
      </c>
      <c r="H5617" s="5" t="s">
        <v>952</v>
      </c>
      <c r="I5617" s="13">
        <v>1444.98</v>
      </c>
      <c r="J5617" s="19">
        <v>2</v>
      </c>
      <c r="K5617" s="14">
        <v>629.99099999999999</v>
      </c>
    </row>
    <row r="5618" spans="1:11" x14ac:dyDescent="0.25">
      <c r="A5618" s="2">
        <v>44174</v>
      </c>
      <c r="B5618" s="18">
        <f t="shared" si="174"/>
        <v>2020</v>
      </c>
      <c r="C5618" s="18">
        <f t="shared" si="175"/>
        <v>12</v>
      </c>
      <c r="D5618" s="3" t="s">
        <v>994</v>
      </c>
      <c r="E5618" s="3" t="s">
        <v>23</v>
      </c>
      <c r="F5618" s="3" t="s">
        <v>11</v>
      </c>
      <c r="G5618" s="3" t="s">
        <v>51</v>
      </c>
      <c r="H5618" s="3" t="s">
        <v>1493</v>
      </c>
      <c r="I5618" s="11">
        <v>826.70799999999997</v>
      </c>
      <c r="J5618" s="18">
        <v>3</v>
      </c>
      <c r="K5618" s="12">
        <v>-5.8247999999999998</v>
      </c>
    </row>
    <row r="5619" spans="1:11" x14ac:dyDescent="0.25">
      <c r="A5619" s="4">
        <v>44174</v>
      </c>
      <c r="B5619" s="19">
        <f t="shared" si="174"/>
        <v>2020</v>
      </c>
      <c r="C5619" s="19">
        <f t="shared" si="175"/>
        <v>12</v>
      </c>
      <c r="D5619" s="5" t="s">
        <v>1913</v>
      </c>
      <c r="E5619" s="5" t="s">
        <v>18</v>
      </c>
      <c r="F5619" s="5" t="s">
        <v>19</v>
      </c>
      <c r="G5619" s="5" t="s">
        <v>40</v>
      </c>
      <c r="H5619" s="5" t="s">
        <v>990</v>
      </c>
      <c r="I5619" s="13">
        <v>98.16</v>
      </c>
      <c r="J5619" s="19">
        <v>2</v>
      </c>
      <c r="K5619" s="14">
        <v>2.79</v>
      </c>
    </row>
    <row r="5620" spans="1:11" x14ac:dyDescent="0.25">
      <c r="A5620" s="2">
        <v>44174</v>
      </c>
      <c r="B5620" s="18">
        <f t="shared" si="174"/>
        <v>2020</v>
      </c>
      <c r="C5620" s="18">
        <f t="shared" si="175"/>
        <v>12</v>
      </c>
      <c r="D5620" s="3" t="s">
        <v>994</v>
      </c>
      <c r="E5620" s="3" t="s">
        <v>23</v>
      </c>
      <c r="F5620" s="3" t="s">
        <v>19</v>
      </c>
      <c r="G5620" s="3" t="s">
        <v>32</v>
      </c>
      <c r="H5620" s="3" t="s">
        <v>2159</v>
      </c>
      <c r="I5620" s="11">
        <v>98.248000000000005</v>
      </c>
      <c r="J5620" s="18">
        <v>3</v>
      </c>
      <c r="K5620" s="12">
        <v>-1.9343999999999999</v>
      </c>
    </row>
    <row r="5621" spans="1:11" x14ac:dyDescent="0.25">
      <c r="A5621" s="4">
        <v>44174</v>
      </c>
      <c r="B5621" s="19">
        <f t="shared" si="174"/>
        <v>2020</v>
      </c>
      <c r="C5621" s="19">
        <f t="shared" si="175"/>
        <v>12</v>
      </c>
      <c r="D5621" s="5" t="s">
        <v>734</v>
      </c>
      <c r="E5621" s="5" t="s">
        <v>195</v>
      </c>
      <c r="F5621" s="5" t="s">
        <v>19</v>
      </c>
      <c r="G5621" s="5" t="s">
        <v>127</v>
      </c>
      <c r="H5621" s="5" t="s">
        <v>2261</v>
      </c>
      <c r="I5621" s="13">
        <v>106.76</v>
      </c>
      <c r="J5621" s="19">
        <v>2</v>
      </c>
      <c r="K5621" s="14">
        <v>2.6496</v>
      </c>
    </row>
    <row r="5622" spans="1:11" x14ac:dyDescent="0.25">
      <c r="A5622" s="2">
        <v>44174</v>
      </c>
      <c r="B5622" s="18">
        <f t="shared" si="174"/>
        <v>2020</v>
      </c>
      <c r="C5622" s="18">
        <f t="shared" si="175"/>
        <v>12</v>
      </c>
      <c r="D5622" s="3" t="s">
        <v>495</v>
      </c>
      <c r="E5622" s="3" t="s">
        <v>365</v>
      </c>
      <c r="F5622" s="3" t="s">
        <v>19</v>
      </c>
      <c r="G5622" s="3" t="s">
        <v>53</v>
      </c>
      <c r="H5622" s="3" t="s">
        <v>172</v>
      </c>
      <c r="I5622" s="11">
        <v>130.94</v>
      </c>
      <c r="J5622" s="18">
        <v>3</v>
      </c>
      <c r="K5622" s="12">
        <v>7.0217999999999998</v>
      </c>
    </row>
    <row r="5623" spans="1:11" x14ac:dyDescent="0.25">
      <c r="A5623" s="4">
        <v>44174</v>
      </c>
      <c r="B5623" s="19">
        <f t="shared" si="174"/>
        <v>2020</v>
      </c>
      <c r="C5623" s="19">
        <f t="shared" si="175"/>
        <v>12</v>
      </c>
      <c r="D5623" s="5" t="s">
        <v>821</v>
      </c>
      <c r="E5623" s="5" t="s">
        <v>39</v>
      </c>
      <c r="F5623" s="5" t="s">
        <v>19</v>
      </c>
      <c r="G5623" s="5" t="s">
        <v>32</v>
      </c>
      <c r="H5623" s="5" t="s">
        <v>1259</v>
      </c>
      <c r="I5623" s="13">
        <v>106.08799999999999</v>
      </c>
      <c r="J5623" s="19">
        <v>7</v>
      </c>
      <c r="K5623" s="14">
        <v>-8.1311999999999998</v>
      </c>
    </row>
    <row r="5624" spans="1:11" x14ac:dyDescent="0.25">
      <c r="A5624" s="2">
        <v>44174</v>
      </c>
      <c r="B5624" s="18">
        <f t="shared" si="174"/>
        <v>2020</v>
      </c>
      <c r="C5624" s="18">
        <f t="shared" si="175"/>
        <v>12</v>
      </c>
      <c r="D5624" s="3" t="s">
        <v>734</v>
      </c>
      <c r="E5624" s="3" t="s">
        <v>195</v>
      </c>
      <c r="F5624" s="3" t="s">
        <v>19</v>
      </c>
      <c r="G5624" s="3" t="s">
        <v>20</v>
      </c>
      <c r="H5624" s="3" t="s">
        <v>1643</v>
      </c>
      <c r="I5624" s="11">
        <v>129.13999999999999</v>
      </c>
      <c r="J5624" s="18">
        <v>1</v>
      </c>
      <c r="K5624" s="12">
        <v>0.60560000000000003</v>
      </c>
    </row>
    <row r="5625" spans="1:11" x14ac:dyDescent="0.25">
      <c r="A5625" s="4">
        <v>44174</v>
      </c>
      <c r="B5625" s="19">
        <f t="shared" si="174"/>
        <v>2020</v>
      </c>
      <c r="C5625" s="19">
        <f t="shared" si="175"/>
        <v>12</v>
      </c>
      <c r="D5625" s="5" t="s">
        <v>734</v>
      </c>
      <c r="E5625" s="5" t="s">
        <v>195</v>
      </c>
      <c r="F5625" s="5" t="s">
        <v>19</v>
      </c>
      <c r="G5625" s="5" t="s">
        <v>32</v>
      </c>
      <c r="H5625" s="5" t="s">
        <v>60</v>
      </c>
      <c r="I5625" s="13">
        <v>137.36000000000001</v>
      </c>
      <c r="J5625" s="19">
        <v>2</v>
      </c>
      <c r="K5625" s="14">
        <v>13.505599999999999</v>
      </c>
    </row>
    <row r="5626" spans="1:11" x14ac:dyDescent="0.25">
      <c r="A5626" s="2">
        <v>44174</v>
      </c>
      <c r="B5626" s="18">
        <f t="shared" si="174"/>
        <v>2020</v>
      </c>
      <c r="C5626" s="18">
        <f t="shared" si="175"/>
        <v>12</v>
      </c>
      <c r="D5626" s="3" t="s">
        <v>596</v>
      </c>
      <c r="E5626" s="3" t="s">
        <v>317</v>
      </c>
      <c r="F5626" s="3" t="s">
        <v>19</v>
      </c>
      <c r="G5626" s="3" t="s">
        <v>53</v>
      </c>
      <c r="H5626" s="3" t="s">
        <v>932</v>
      </c>
      <c r="I5626" s="11">
        <v>139.44999999999999</v>
      </c>
      <c r="J5626" s="18">
        <v>5</v>
      </c>
      <c r="K5626" s="12">
        <v>15.387</v>
      </c>
    </row>
    <row r="5627" spans="1:11" x14ac:dyDescent="0.25">
      <c r="A5627" s="4">
        <v>44174</v>
      </c>
      <c r="B5627" s="19">
        <f t="shared" si="174"/>
        <v>2020</v>
      </c>
      <c r="C5627" s="19">
        <f t="shared" si="175"/>
        <v>12</v>
      </c>
      <c r="D5627" s="5" t="s">
        <v>1570</v>
      </c>
      <c r="E5627" s="5" t="s">
        <v>164</v>
      </c>
      <c r="F5627" s="5" t="s">
        <v>19</v>
      </c>
      <c r="G5627" s="5" t="s">
        <v>53</v>
      </c>
      <c r="H5627" s="5" t="s">
        <v>1193</v>
      </c>
      <c r="I5627" s="13">
        <v>139.98400000000001</v>
      </c>
      <c r="J5627" s="19">
        <v>2</v>
      </c>
      <c r="K5627" s="14">
        <v>4.9950000000000001</v>
      </c>
    </row>
    <row r="5628" spans="1:11" x14ac:dyDescent="0.25">
      <c r="A5628" s="2">
        <v>44174</v>
      </c>
      <c r="B5628" s="18">
        <f t="shared" si="174"/>
        <v>2020</v>
      </c>
      <c r="C5628" s="18">
        <f t="shared" si="175"/>
        <v>12</v>
      </c>
      <c r="D5628" s="3" t="s">
        <v>994</v>
      </c>
      <c r="E5628" s="3" t="s">
        <v>23</v>
      </c>
      <c r="F5628" s="3" t="s">
        <v>19</v>
      </c>
      <c r="G5628" s="3" t="s">
        <v>20</v>
      </c>
      <c r="H5628" s="3" t="s">
        <v>1990</v>
      </c>
      <c r="I5628" s="11">
        <v>121.24</v>
      </c>
      <c r="J5628" s="18">
        <v>3</v>
      </c>
      <c r="K5628" s="12">
        <v>2.7240000000000002</v>
      </c>
    </row>
    <row r="5629" spans="1:11" x14ac:dyDescent="0.25">
      <c r="A5629" s="4">
        <v>44174</v>
      </c>
      <c r="B5629" s="19">
        <f t="shared" si="174"/>
        <v>2020</v>
      </c>
      <c r="C5629" s="19">
        <f t="shared" si="175"/>
        <v>12</v>
      </c>
      <c r="D5629" s="5" t="s">
        <v>493</v>
      </c>
      <c r="E5629" s="5" t="s">
        <v>365</v>
      </c>
      <c r="F5629" s="5" t="s">
        <v>19</v>
      </c>
      <c r="G5629" s="5" t="s">
        <v>53</v>
      </c>
      <c r="H5629" s="5" t="s">
        <v>920</v>
      </c>
      <c r="I5629" s="13">
        <v>118.96</v>
      </c>
      <c r="J5629" s="19">
        <v>2</v>
      </c>
      <c r="K5629" s="14">
        <v>6.2207999999999997</v>
      </c>
    </row>
    <row r="5630" spans="1:11" x14ac:dyDescent="0.25">
      <c r="A5630" s="2">
        <v>44174</v>
      </c>
      <c r="B5630" s="18">
        <f t="shared" si="174"/>
        <v>2020</v>
      </c>
      <c r="C5630" s="18">
        <f t="shared" si="175"/>
        <v>12</v>
      </c>
      <c r="D5630" s="3" t="s">
        <v>22</v>
      </c>
      <c r="E5630" s="3" t="s">
        <v>67</v>
      </c>
      <c r="F5630" s="3" t="s">
        <v>19</v>
      </c>
      <c r="G5630" s="3" t="s">
        <v>20</v>
      </c>
      <c r="H5630" s="3" t="s">
        <v>202</v>
      </c>
      <c r="I5630" s="11">
        <v>111.208</v>
      </c>
      <c r="J5630" s="18">
        <v>1</v>
      </c>
      <c r="K5630" s="12">
        <v>-7.4416000000000002</v>
      </c>
    </row>
    <row r="5631" spans="1:11" x14ac:dyDescent="0.25">
      <c r="A5631" s="4">
        <v>44174</v>
      </c>
      <c r="B5631" s="19">
        <f t="shared" si="174"/>
        <v>2020</v>
      </c>
      <c r="C5631" s="19">
        <f t="shared" si="175"/>
        <v>12</v>
      </c>
      <c r="D5631" s="5" t="s">
        <v>493</v>
      </c>
      <c r="E5631" s="5" t="s">
        <v>365</v>
      </c>
      <c r="F5631" s="5" t="s">
        <v>19</v>
      </c>
      <c r="G5631" s="5" t="s">
        <v>32</v>
      </c>
      <c r="H5631" s="5" t="s">
        <v>1832</v>
      </c>
      <c r="I5631" s="13">
        <v>130.54</v>
      </c>
      <c r="J5631" s="19">
        <v>2</v>
      </c>
      <c r="K5631" s="14">
        <v>19.523800000000001</v>
      </c>
    </row>
    <row r="5632" spans="1:11" x14ac:dyDescent="0.25">
      <c r="A5632" s="2">
        <v>44174</v>
      </c>
      <c r="B5632" s="18">
        <f t="shared" si="174"/>
        <v>2020</v>
      </c>
      <c r="C5632" s="18">
        <f t="shared" si="175"/>
        <v>12</v>
      </c>
      <c r="D5632" s="3" t="s">
        <v>495</v>
      </c>
      <c r="E5632" s="3" t="s">
        <v>365</v>
      </c>
      <c r="F5632" s="3" t="s">
        <v>19</v>
      </c>
      <c r="G5632" s="3" t="s">
        <v>32</v>
      </c>
      <c r="H5632" s="3" t="s">
        <v>1810</v>
      </c>
      <c r="I5632" s="11">
        <v>149.72</v>
      </c>
      <c r="J5632" s="18">
        <v>4</v>
      </c>
      <c r="K5632" s="12">
        <v>15.511200000000001</v>
      </c>
    </row>
    <row r="5633" spans="1:11" x14ac:dyDescent="0.25">
      <c r="A5633" s="4">
        <v>44174</v>
      </c>
      <c r="B5633" s="19">
        <f t="shared" si="174"/>
        <v>2020</v>
      </c>
      <c r="C5633" s="19">
        <f t="shared" si="175"/>
        <v>12</v>
      </c>
      <c r="D5633" s="5" t="s">
        <v>1946</v>
      </c>
      <c r="E5633" s="5" t="s">
        <v>198</v>
      </c>
      <c r="F5633" s="5" t="s">
        <v>19</v>
      </c>
      <c r="G5633" s="5" t="s">
        <v>32</v>
      </c>
      <c r="H5633" s="5" t="s">
        <v>863</v>
      </c>
      <c r="I5633" s="13">
        <v>118.005</v>
      </c>
      <c r="J5633" s="19">
        <v>3</v>
      </c>
      <c r="K5633" s="14">
        <v>-9.9704999999999995</v>
      </c>
    </row>
    <row r="5634" spans="1:11" x14ac:dyDescent="0.25">
      <c r="A5634" s="2">
        <v>44174</v>
      </c>
      <c r="B5634" s="18">
        <f t="shared" ref="B5634:B5697" si="176">YEAR(A5634)</f>
        <v>2020</v>
      </c>
      <c r="C5634" s="18">
        <f t="shared" ref="C5634:C5697" si="177">MONTH(A5634)</f>
        <v>12</v>
      </c>
      <c r="D5634" s="3" t="s">
        <v>495</v>
      </c>
      <c r="E5634" s="3" t="s">
        <v>365</v>
      </c>
      <c r="F5634" s="3" t="s">
        <v>19</v>
      </c>
      <c r="G5634" s="3" t="s">
        <v>40</v>
      </c>
      <c r="H5634" s="3" t="s">
        <v>906</v>
      </c>
      <c r="I5634" s="11">
        <v>126.7</v>
      </c>
      <c r="J5634" s="18">
        <v>5</v>
      </c>
      <c r="K5634" s="12">
        <v>12.492000000000001</v>
      </c>
    </row>
    <row r="5635" spans="1:11" x14ac:dyDescent="0.25">
      <c r="A5635" s="4">
        <v>44174</v>
      </c>
      <c r="B5635" s="19">
        <f t="shared" si="176"/>
        <v>2020</v>
      </c>
      <c r="C5635" s="19">
        <f t="shared" si="177"/>
        <v>12</v>
      </c>
      <c r="D5635" s="5" t="s">
        <v>734</v>
      </c>
      <c r="E5635" s="5" t="s">
        <v>195</v>
      </c>
      <c r="F5635" s="5" t="s">
        <v>19</v>
      </c>
      <c r="G5635" s="5" t="s">
        <v>32</v>
      </c>
      <c r="H5635" s="5" t="s">
        <v>237</v>
      </c>
      <c r="I5635" s="13">
        <v>135.91999999999999</v>
      </c>
      <c r="J5635" s="19">
        <v>4</v>
      </c>
      <c r="K5635" s="14">
        <v>7.4824000000000002</v>
      </c>
    </row>
    <row r="5636" spans="1:11" x14ac:dyDescent="0.25">
      <c r="A5636" s="2">
        <v>44174</v>
      </c>
      <c r="B5636" s="18">
        <f t="shared" si="176"/>
        <v>2020</v>
      </c>
      <c r="C5636" s="18">
        <f t="shared" si="177"/>
        <v>12</v>
      </c>
      <c r="D5636" s="3" t="s">
        <v>862</v>
      </c>
      <c r="E5636" s="3" t="s">
        <v>365</v>
      </c>
      <c r="F5636" s="3" t="s">
        <v>19</v>
      </c>
      <c r="G5636" s="3" t="s">
        <v>32</v>
      </c>
      <c r="H5636" s="3" t="s">
        <v>1399</v>
      </c>
      <c r="I5636" s="11">
        <v>129.9</v>
      </c>
      <c r="J5636" s="18">
        <v>5</v>
      </c>
      <c r="K5636" s="12">
        <v>26.901</v>
      </c>
    </row>
    <row r="5637" spans="1:11" x14ac:dyDescent="0.25">
      <c r="A5637" s="4">
        <v>44174</v>
      </c>
      <c r="B5637" s="19">
        <f t="shared" si="176"/>
        <v>2020</v>
      </c>
      <c r="C5637" s="19">
        <f t="shared" si="177"/>
        <v>12</v>
      </c>
      <c r="D5637" s="5" t="s">
        <v>22</v>
      </c>
      <c r="E5637" s="5" t="s">
        <v>67</v>
      </c>
      <c r="F5637" s="5" t="s">
        <v>19</v>
      </c>
      <c r="G5637" s="5" t="s">
        <v>86</v>
      </c>
      <c r="H5637" s="5" t="s">
        <v>290</v>
      </c>
      <c r="I5637" s="13">
        <v>157.57599999999999</v>
      </c>
      <c r="J5637" s="19">
        <v>3</v>
      </c>
      <c r="K5637" s="14">
        <v>21.591000000000001</v>
      </c>
    </row>
    <row r="5638" spans="1:11" x14ac:dyDescent="0.25">
      <c r="A5638" s="2">
        <v>44175</v>
      </c>
      <c r="B5638" s="18">
        <f t="shared" si="176"/>
        <v>2020</v>
      </c>
      <c r="C5638" s="18">
        <f t="shared" si="177"/>
        <v>12</v>
      </c>
      <c r="D5638" s="3" t="s">
        <v>93</v>
      </c>
      <c r="E5638" s="3" t="s">
        <v>39</v>
      </c>
      <c r="F5638" s="3" t="s">
        <v>11</v>
      </c>
      <c r="G5638" s="3" t="s">
        <v>51</v>
      </c>
      <c r="H5638" s="3" t="s">
        <v>123</v>
      </c>
      <c r="I5638" s="11">
        <v>384.92</v>
      </c>
      <c r="J5638" s="18">
        <v>5</v>
      </c>
      <c r="K5638" s="12">
        <v>15.385999999999999</v>
      </c>
    </row>
    <row r="5639" spans="1:11" x14ac:dyDescent="0.25">
      <c r="A5639" s="4">
        <v>44175</v>
      </c>
      <c r="B5639" s="19">
        <f t="shared" si="176"/>
        <v>2020</v>
      </c>
      <c r="C5639" s="19">
        <f t="shared" si="177"/>
        <v>12</v>
      </c>
      <c r="D5639" s="5" t="s">
        <v>1323</v>
      </c>
      <c r="E5639" s="5" t="s">
        <v>18</v>
      </c>
      <c r="F5639" s="5" t="s">
        <v>14</v>
      </c>
      <c r="G5639" s="5" t="s">
        <v>15</v>
      </c>
      <c r="H5639" s="5" t="s">
        <v>972</v>
      </c>
      <c r="I5639" s="13">
        <v>440.84</v>
      </c>
      <c r="J5639" s="19">
        <v>4</v>
      </c>
      <c r="K5639" s="14">
        <v>34.741999999999997</v>
      </c>
    </row>
    <row r="5640" spans="1:11" x14ac:dyDescent="0.25">
      <c r="A5640" s="2">
        <v>44175</v>
      </c>
      <c r="B5640" s="18">
        <f t="shared" si="176"/>
        <v>2020</v>
      </c>
      <c r="C5640" s="18">
        <f t="shared" si="177"/>
        <v>12</v>
      </c>
      <c r="D5640" s="3" t="s">
        <v>2427</v>
      </c>
      <c r="E5640" s="3" t="s">
        <v>39</v>
      </c>
      <c r="F5640" s="3" t="s">
        <v>11</v>
      </c>
      <c r="G5640" s="3" t="s">
        <v>51</v>
      </c>
      <c r="H5640" s="3" t="s">
        <v>451</v>
      </c>
      <c r="I5640" s="11">
        <v>536.88</v>
      </c>
      <c r="J5640" s="18">
        <v>2</v>
      </c>
      <c r="K5640" s="12">
        <v>23.315999999999999</v>
      </c>
    </row>
    <row r="5641" spans="1:11" x14ac:dyDescent="0.25">
      <c r="A5641" s="4">
        <v>44175</v>
      </c>
      <c r="B5641" s="19">
        <f t="shared" si="176"/>
        <v>2020</v>
      </c>
      <c r="C5641" s="19">
        <f t="shared" si="177"/>
        <v>12</v>
      </c>
      <c r="D5641" s="5" t="s">
        <v>38</v>
      </c>
      <c r="E5641" s="5" t="s">
        <v>70</v>
      </c>
      <c r="F5641" s="5" t="s">
        <v>19</v>
      </c>
      <c r="G5641" s="5" t="s">
        <v>20</v>
      </c>
      <c r="H5641" s="5" t="s">
        <v>617</v>
      </c>
      <c r="I5641" s="13">
        <v>526.9</v>
      </c>
      <c r="J5641" s="19">
        <v>5</v>
      </c>
      <c r="K5641" s="14">
        <v>38.988</v>
      </c>
    </row>
    <row r="5642" spans="1:11" x14ac:dyDescent="0.25">
      <c r="A5642" s="2">
        <v>44175</v>
      </c>
      <c r="B5642" s="18">
        <f t="shared" si="176"/>
        <v>2020</v>
      </c>
      <c r="C5642" s="18">
        <f t="shared" si="177"/>
        <v>12</v>
      </c>
      <c r="D5642" s="3" t="s">
        <v>319</v>
      </c>
      <c r="E5642" s="3" t="s">
        <v>91</v>
      </c>
      <c r="F5642" s="3" t="s">
        <v>19</v>
      </c>
      <c r="G5642" s="3" t="s">
        <v>121</v>
      </c>
      <c r="H5642" s="3" t="s">
        <v>1289</v>
      </c>
      <c r="I5642" s="11">
        <v>607.79</v>
      </c>
      <c r="J5642" s="18">
        <v>7</v>
      </c>
      <c r="K5642" s="12">
        <v>123.76909999999999</v>
      </c>
    </row>
    <row r="5643" spans="1:11" x14ac:dyDescent="0.25">
      <c r="A5643" s="4">
        <v>44175</v>
      </c>
      <c r="B5643" s="19">
        <f t="shared" si="176"/>
        <v>2020</v>
      </c>
      <c r="C5643" s="19">
        <f t="shared" si="177"/>
        <v>12</v>
      </c>
      <c r="D5643" s="5" t="s">
        <v>1157</v>
      </c>
      <c r="E5643" s="5" t="s">
        <v>143</v>
      </c>
      <c r="F5643" s="5" t="s">
        <v>14</v>
      </c>
      <c r="G5643" s="5" t="s">
        <v>24</v>
      </c>
      <c r="H5643" s="5" t="s">
        <v>1751</v>
      </c>
      <c r="I5643" s="13">
        <v>106.97</v>
      </c>
      <c r="J5643" s="19">
        <v>3</v>
      </c>
      <c r="K5643" s="14">
        <v>257.9871</v>
      </c>
    </row>
    <row r="5644" spans="1:11" x14ac:dyDescent="0.25">
      <c r="A5644" s="2">
        <v>44175</v>
      </c>
      <c r="B5644" s="18">
        <f t="shared" si="176"/>
        <v>2020</v>
      </c>
      <c r="C5644" s="18">
        <f t="shared" si="177"/>
        <v>12</v>
      </c>
      <c r="D5644" s="3" t="s">
        <v>1815</v>
      </c>
      <c r="E5644" s="3" t="s">
        <v>483</v>
      </c>
      <c r="F5644" s="3" t="s">
        <v>11</v>
      </c>
      <c r="G5644" s="3" t="s">
        <v>30</v>
      </c>
      <c r="H5644" s="3" t="s">
        <v>169</v>
      </c>
      <c r="I5644" s="11">
        <v>904.6</v>
      </c>
      <c r="J5644" s="18">
        <v>4</v>
      </c>
      <c r="K5644" s="12">
        <v>116.872</v>
      </c>
    </row>
    <row r="5645" spans="1:11" x14ac:dyDescent="0.25">
      <c r="A5645" s="4">
        <v>44175</v>
      </c>
      <c r="B5645" s="19">
        <f t="shared" si="176"/>
        <v>2020</v>
      </c>
      <c r="C5645" s="19">
        <f t="shared" si="177"/>
        <v>12</v>
      </c>
      <c r="D5645" s="5" t="s">
        <v>1975</v>
      </c>
      <c r="E5645" s="5" t="s">
        <v>1148</v>
      </c>
      <c r="F5645" s="5" t="s">
        <v>11</v>
      </c>
      <c r="G5645" s="5" t="s">
        <v>51</v>
      </c>
      <c r="H5645" s="5" t="s">
        <v>1122</v>
      </c>
      <c r="I5645" s="13">
        <v>372.76</v>
      </c>
      <c r="J5645" s="19">
        <v>2</v>
      </c>
      <c r="K5645" s="14">
        <v>4.2804000000000002</v>
      </c>
    </row>
    <row r="5646" spans="1:11" x14ac:dyDescent="0.25">
      <c r="A5646" s="2">
        <v>44175</v>
      </c>
      <c r="B5646" s="18">
        <f t="shared" si="176"/>
        <v>2020</v>
      </c>
      <c r="C5646" s="18">
        <f t="shared" si="177"/>
        <v>12</v>
      </c>
      <c r="D5646" s="3" t="s">
        <v>319</v>
      </c>
      <c r="E5646" s="3" t="s">
        <v>91</v>
      </c>
      <c r="F5646" s="3" t="s">
        <v>19</v>
      </c>
      <c r="G5646" s="3" t="s">
        <v>86</v>
      </c>
      <c r="H5646" s="3" t="s">
        <v>1374</v>
      </c>
      <c r="I5646" s="11">
        <v>403.86</v>
      </c>
      <c r="J5646" s="18">
        <v>3</v>
      </c>
      <c r="K5646" s="12">
        <v>5.1041999999999996</v>
      </c>
    </row>
    <row r="5647" spans="1:11" x14ac:dyDescent="0.25">
      <c r="A5647" s="4">
        <v>44175</v>
      </c>
      <c r="B5647" s="19">
        <f t="shared" si="176"/>
        <v>2020</v>
      </c>
      <c r="C5647" s="19">
        <f t="shared" si="177"/>
        <v>12</v>
      </c>
      <c r="D5647" s="5" t="s">
        <v>38</v>
      </c>
      <c r="E5647" s="5" t="s">
        <v>70</v>
      </c>
      <c r="F5647" s="5" t="s">
        <v>19</v>
      </c>
      <c r="G5647" s="5" t="s">
        <v>40</v>
      </c>
      <c r="H5647" s="5" t="s">
        <v>2172</v>
      </c>
      <c r="I5647" s="13">
        <v>397.24</v>
      </c>
      <c r="J5647" s="19">
        <v>3</v>
      </c>
      <c r="K5647" s="14">
        <v>5.2896000000000001</v>
      </c>
    </row>
    <row r="5648" spans="1:11" x14ac:dyDescent="0.25">
      <c r="A5648" s="2">
        <v>44175</v>
      </c>
      <c r="B5648" s="18">
        <f t="shared" si="176"/>
        <v>2020</v>
      </c>
      <c r="C5648" s="18">
        <f t="shared" si="177"/>
        <v>12</v>
      </c>
      <c r="D5648" s="3" t="s">
        <v>93</v>
      </c>
      <c r="E5648" s="3" t="s">
        <v>39</v>
      </c>
      <c r="F5648" s="3" t="s">
        <v>19</v>
      </c>
      <c r="G5648" s="3" t="s">
        <v>32</v>
      </c>
      <c r="H5648" s="3" t="s">
        <v>155</v>
      </c>
      <c r="I5648" s="11">
        <v>443.27300000000002</v>
      </c>
      <c r="J5648" s="18">
        <v>1</v>
      </c>
      <c r="K5648" s="12">
        <v>-2.5093000000000001</v>
      </c>
    </row>
    <row r="5649" spans="1:11" x14ac:dyDescent="0.25">
      <c r="A5649" s="4">
        <v>44175</v>
      </c>
      <c r="B5649" s="19">
        <f t="shared" si="176"/>
        <v>2020</v>
      </c>
      <c r="C5649" s="19">
        <f t="shared" si="177"/>
        <v>12</v>
      </c>
      <c r="D5649" s="5" t="s">
        <v>38</v>
      </c>
      <c r="E5649" s="5" t="s">
        <v>18</v>
      </c>
      <c r="F5649" s="5" t="s">
        <v>19</v>
      </c>
      <c r="G5649" s="5" t="s">
        <v>32</v>
      </c>
      <c r="H5649" s="5" t="s">
        <v>2157</v>
      </c>
      <c r="I5649" s="13">
        <v>429.93599999999998</v>
      </c>
      <c r="J5649" s="19">
        <v>4</v>
      </c>
      <c r="K5649" s="14">
        <v>7.2267999999999999</v>
      </c>
    </row>
    <row r="5650" spans="1:11" x14ac:dyDescent="0.25">
      <c r="A5650" s="2">
        <v>44175</v>
      </c>
      <c r="B5650" s="18">
        <f t="shared" si="176"/>
        <v>2020</v>
      </c>
      <c r="C5650" s="18">
        <f t="shared" si="177"/>
        <v>12</v>
      </c>
      <c r="D5650" s="3" t="s">
        <v>2427</v>
      </c>
      <c r="E5650" s="3" t="s">
        <v>39</v>
      </c>
      <c r="F5650" s="3" t="s">
        <v>19</v>
      </c>
      <c r="G5650" s="3" t="s">
        <v>53</v>
      </c>
      <c r="H5650" s="3" t="s">
        <v>1154</v>
      </c>
      <c r="I5650" s="11">
        <v>103.36799999999999</v>
      </c>
      <c r="J5650" s="18">
        <v>2</v>
      </c>
      <c r="K5650" s="12">
        <v>3.6288</v>
      </c>
    </row>
    <row r="5651" spans="1:11" x14ac:dyDescent="0.25">
      <c r="A5651" s="4">
        <v>44175</v>
      </c>
      <c r="B5651" s="19">
        <f t="shared" si="176"/>
        <v>2020</v>
      </c>
      <c r="C5651" s="19">
        <f t="shared" si="177"/>
        <v>12</v>
      </c>
      <c r="D5651" s="5" t="s">
        <v>1157</v>
      </c>
      <c r="E5651" s="5" t="s">
        <v>143</v>
      </c>
      <c r="F5651" s="5" t="s">
        <v>14</v>
      </c>
      <c r="G5651" s="5" t="s">
        <v>15</v>
      </c>
      <c r="H5651" s="5" t="s">
        <v>78</v>
      </c>
      <c r="I5651" s="13">
        <v>161.97</v>
      </c>
      <c r="J5651" s="19">
        <v>3</v>
      </c>
      <c r="K5651" s="14">
        <v>0.77939999999999998</v>
      </c>
    </row>
    <row r="5652" spans="1:11" x14ac:dyDescent="0.25">
      <c r="A5652" s="2">
        <v>44175</v>
      </c>
      <c r="B5652" s="18">
        <f t="shared" si="176"/>
        <v>2020</v>
      </c>
      <c r="C5652" s="18">
        <f t="shared" si="177"/>
        <v>12</v>
      </c>
      <c r="D5652" s="3" t="s">
        <v>1344</v>
      </c>
      <c r="E5652" s="3" t="s">
        <v>39</v>
      </c>
      <c r="F5652" s="3" t="s">
        <v>14</v>
      </c>
      <c r="G5652" s="3" t="s">
        <v>24</v>
      </c>
      <c r="H5652" s="3" t="s">
        <v>1296</v>
      </c>
      <c r="I5652" s="11">
        <v>302.2</v>
      </c>
      <c r="J5652" s="18">
        <v>1</v>
      </c>
      <c r="K5652" s="12">
        <v>3.3725000000000001</v>
      </c>
    </row>
    <row r="5653" spans="1:11" x14ac:dyDescent="0.25">
      <c r="A5653" s="4">
        <v>44175</v>
      </c>
      <c r="B5653" s="19">
        <f t="shared" si="176"/>
        <v>2020</v>
      </c>
      <c r="C5653" s="19">
        <f t="shared" si="177"/>
        <v>12</v>
      </c>
      <c r="D5653" s="5" t="s">
        <v>1323</v>
      </c>
      <c r="E5653" s="5" t="s">
        <v>18</v>
      </c>
      <c r="F5653" s="5" t="s">
        <v>19</v>
      </c>
      <c r="G5653" s="5" t="s">
        <v>53</v>
      </c>
      <c r="H5653" s="5" t="s">
        <v>466</v>
      </c>
      <c r="I5653" s="13">
        <v>385.96</v>
      </c>
      <c r="J5653" s="19">
        <v>2</v>
      </c>
      <c r="K5653" s="14">
        <v>6.2207999999999997</v>
      </c>
    </row>
    <row r="5654" spans="1:11" x14ac:dyDescent="0.25">
      <c r="A5654" s="2">
        <v>44175</v>
      </c>
      <c r="B5654" s="18">
        <f t="shared" si="176"/>
        <v>2020</v>
      </c>
      <c r="C5654" s="18">
        <f t="shared" si="177"/>
        <v>12</v>
      </c>
      <c r="D5654" s="3" t="s">
        <v>1311</v>
      </c>
      <c r="E5654" s="3" t="s">
        <v>651</v>
      </c>
      <c r="F5654" s="3" t="s">
        <v>19</v>
      </c>
      <c r="G5654" s="3" t="s">
        <v>32</v>
      </c>
      <c r="H5654" s="3" t="s">
        <v>413</v>
      </c>
      <c r="I5654" s="11">
        <v>301.5</v>
      </c>
      <c r="J5654" s="18">
        <v>3</v>
      </c>
      <c r="K5654" s="12">
        <v>15.525</v>
      </c>
    </row>
    <row r="5655" spans="1:11" x14ac:dyDescent="0.25">
      <c r="A5655" s="4">
        <v>44175</v>
      </c>
      <c r="B5655" s="19">
        <f t="shared" si="176"/>
        <v>2020</v>
      </c>
      <c r="C5655" s="19">
        <f t="shared" si="177"/>
        <v>12</v>
      </c>
      <c r="D5655" s="5" t="s">
        <v>601</v>
      </c>
      <c r="E5655" s="5" t="s">
        <v>44</v>
      </c>
      <c r="F5655" s="5" t="s">
        <v>11</v>
      </c>
      <c r="G5655" s="5" t="s">
        <v>51</v>
      </c>
      <c r="H5655" s="5" t="s">
        <v>797</v>
      </c>
      <c r="I5655" s="13">
        <v>396.10399999999998</v>
      </c>
      <c r="J5655" s="19">
        <v>3</v>
      </c>
      <c r="K5655" s="14">
        <v>5.7312000000000003</v>
      </c>
    </row>
    <row r="5656" spans="1:11" x14ac:dyDescent="0.25">
      <c r="A5656" s="2">
        <v>44175</v>
      </c>
      <c r="B5656" s="18">
        <f t="shared" si="176"/>
        <v>2020</v>
      </c>
      <c r="C5656" s="18">
        <f t="shared" si="177"/>
        <v>12</v>
      </c>
      <c r="D5656" s="3" t="s">
        <v>38</v>
      </c>
      <c r="E5656" s="3" t="s">
        <v>18</v>
      </c>
      <c r="F5656" s="3" t="s">
        <v>19</v>
      </c>
      <c r="G5656" s="3" t="s">
        <v>32</v>
      </c>
      <c r="H5656" s="3" t="s">
        <v>1503</v>
      </c>
      <c r="I5656" s="11">
        <v>147.56800000000001</v>
      </c>
      <c r="J5656" s="18">
        <v>2</v>
      </c>
      <c r="K5656" s="12">
        <v>22.948799999999999</v>
      </c>
    </row>
    <row r="5657" spans="1:11" x14ac:dyDescent="0.25">
      <c r="A5657" s="4">
        <v>44175</v>
      </c>
      <c r="B5657" s="19">
        <f t="shared" si="176"/>
        <v>2020</v>
      </c>
      <c r="C5657" s="19">
        <f t="shared" si="177"/>
        <v>12</v>
      </c>
      <c r="D5657" s="5" t="s">
        <v>38</v>
      </c>
      <c r="E5657" s="5" t="s">
        <v>70</v>
      </c>
      <c r="F5657" s="5" t="s">
        <v>14</v>
      </c>
      <c r="G5657" s="5" t="s">
        <v>24</v>
      </c>
      <c r="H5657" s="5" t="s">
        <v>789</v>
      </c>
      <c r="I5657" s="13">
        <v>447.08</v>
      </c>
      <c r="J5657" s="19">
        <v>3</v>
      </c>
      <c r="K5657" s="14">
        <v>4.9080000000000004</v>
      </c>
    </row>
    <row r="5658" spans="1:11" x14ac:dyDescent="0.25">
      <c r="A5658" s="2">
        <v>44175</v>
      </c>
      <c r="B5658" s="18">
        <f t="shared" si="176"/>
        <v>2020</v>
      </c>
      <c r="C5658" s="18">
        <f t="shared" si="177"/>
        <v>12</v>
      </c>
      <c r="D5658" s="3" t="s">
        <v>1157</v>
      </c>
      <c r="E5658" s="3" t="s">
        <v>143</v>
      </c>
      <c r="F5658" s="3" t="s">
        <v>19</v>
      </c>
      <c r="G5658" s="3" t="s">
        <v>32</v>
      </c>
      <c r="H5658" s="3" t="s">
        <v>2423</v>
      </c>
      <c r="I5658" s="11">
        <v>354.84</v>
      </c>
      <c r="J5658" s="18">
        <v>8</v>
      </c>
      <c r="K5658" s="12">
        <v>22.0032</v>
      </c>
    </row>
    <row r="5659" spans="1:11" x14ac:dyDescent="0.25">
      <c r="A5659" s="4">
        <v>44176</v>
      </c>
      <c r="B5659" s="19">
        <f t="shared" si="176"/>
        <v>2020</v>
      </c>
      <c r="C5659" s="19">
        <f t="shared" si="177"/>
        <v>12</v>
      </c>
      <c r="D5659" s="5" t="s">
        <v>1028</v>
      </c>
      <c r="E5659" s="5" t="s">
        <v>44</v>
      </c>
      <c r="F5659" s="5" t="s">
        <v>14</v>
      </c>
      <c r="G5659" s="5" t="s">
        <v>15</v>
      </c>
      <c r="H5659" s="5" t="s">
        <v>879</v>
      </c>
      <c r="I5659" s="13">
        <v>344.56799999999998</v>
      </c>
      <c r="J5659" s="19">
        <v>4</v>
      </c>
      <c r="K5659" s="14">
        <v>-16.552800000000001</v>
      </c>
    </row>
    <row r="5660" spans="1:11" x14ac:dyDescent="0.25">
      <c r="A5660" s="2">
        <v>44176</v>
      </c>
      <c r="B5660" s="18">
        <f t="shared" si="176"/>
        <v>2020</v>
      </c>
      <c r="C5660" s="18">
        <f t="shared" si="177"/>
        <v>12</v>
      </c>
      <c r="D5660" s="3" t="s">
        <v>884</v>
      </c>
      <c r="E5660" s="3" t="s">
        <v>164</v>
      </c>
      <c r="F5660" s="3" t="s">
        <v>14</v>
      </c>
      <c r="G5660" s="3" t="s">
        <v>24</v>
      </c>
      <c r="H5660" s="3" t="s">
        <v>2357</v>
      </c>
      <c r="I5660" s="11">
        <v>440.31200000000001</v>
      </c>
      <c r="J5660" s="18">
        <v>7</v>
      </c>
      <c r="K5660" s="12">
        <v>23.2624</v>
      </c>
    </row>
    <row r="5661" spans="1:11" x14ac:dyDescent="0.25">
      <c r="A5661" s="4">
        <v>44176</v>
      </c>
      <c r="B5661" s="19">
        <f t="shared" si="176"/>
        <v>2020</v>
      </c>
      <c r="C5661" s="19">
        <f t="shared" si="177"/>
        <v>12</v>
      </c>
      <c r="D5661" s="5" t="s">
        <v>1196</v>
      </c>
      <c r="E5661" s="5" t="s">
        <v>94</v>
      </c>
      <c r="F5661" s="5" t="s">
        <v>14</v>
      </c>
      <c r="G5661" s="5" t="s">
        <v>15</v>
      </c>
      <c r="H5661" s="5" t="s">
        <v>2391</v>
      </c>
      <c r="I5661" s="13">
        <v>333.98</v>
      </c>
      <c r="J5661" s="19">
        <v>2</v>
      </c>
      <c r="K5661" s="14">
        <v>29.245000000000001</v>
      </c>
    </row>
    <row r="5662" spans="1:11" x14ac:dyDescent="0.25">
      <c r="A5662" s="2">
        <v>44176</v>
      </c>
      <c r="B5662" s="18">
        <f t="shared" si="176"/>
        <v>2020</v>
      </c>
      <c r="C5662" s="18">
        <f t="shared" si="177"/>
        <v>12</v>
      </c>
      <c r="D5662" s="3" t="s">
        <v>2248</v>
      </c>
      <c r="E5662" s="3" t="s">
        <v>370</v>
      </c>
      <c r="F5662" s="3" t="s">
        <v>14</v>
      </c>
      <c r="G5662" s="3" t="s">
        <v>15</v>
      </c>
      <c r="H5662" s="3" t="s">
        <v>2173</v>
      </c>
      <c r="I5662" s="11">
        <v>418.85</v>
      </c>
      <c r="J5662" s="18">
        <v>3</v>
      </c>
      <c r="K5662" s="12">
        <v>3.8654999999999999</v>
      </c>
    </row>
    <row r="5663" spans="1:11" x14ac:dyDescent="0.25">
      <c r="A5663" s="4">
        <v>44176</v>
      </c>
      <c r="B5663" s="19">
        <f t="shared" si="176"/>
        <v>2020</v>
      </c>
      <c r="C5663" s="19">
        <f t="shared" si="177"/>
        <v>12</v>
      </c>
      <c r="D5663" s="5" t="s">
        <v>1863</v>
      </c>
      <c r="E5663" s="5" t="s">
        <v>164</v>
      </c>
      <c r="F5663" s="5" t="s">
        <v>11</v>
      </c>
      <c r="G5663" s="5" t="s">
        <v>112</v>
      </c>
      <c r="H5663" s="5" t="s">
        <v>2145</v>
      </c>
      <c r="I5663" s="13">
        <v>775.46400000000006</v>
      </c>
      <c r="J5663" s="19">
        <v>2</v>
      </c>
      <c r="K5663" s="14">
        <v>-14.8704</v>
      </c>
    </row>
    <row r="5664" spans="1:11" x14ac:dyDescent="0.25">
      <c r="A5664" s="2">
        <v>44176</v>
      </c>
      <c r="B5664" s="18">
        <f t="shared" si="176"/>
        <v>2020</v>
      </c>
      <c r="C5664" s="18">
        <f t="shared" si="177"/>
        <v>12</v>
      </c>
      <c r="D5664" s="3" t="s">
        <v>1028</v>
      </c>
      <c r="E5664" s="3" t="s">
        <v>44</v>
      </c>
      <c r="F5664" s="3" t="s">
        <v>11</v>
      </c>
      <c r="G5664" s="3" t="s">
        <v>30</v>
      </c>
      <c r="H5664" s="3" t="s">
        <v>2443</v>
      </c>
      <c r="I5664" s="11">
        <v>271.875</v>
      </c>
      <c r="J5664" s="18">
        <v>6</v>
      </c>
      <c r="K5664" s="12">
        <v>-420</v>
      </c>
    </row>
    <row r="5665" spans="1:11" x14ac:dyDescent="0.25">
      <c r="A5665" s="4">
        <v>44176</v>
      </c>
      <c r="B5665" s="19">
        <f t="shared" si="176"/>
        <v>2020</v>
      </c>
      <c r="C5665" s="19">
        <f t="shared" si="177"/>
        <v>12</v>
      </c>
      <c r="D5665" s="5" t="s">
        <v>2558</v>
      </c>
      <c r="E5665" s="5" t="s">
        <v>85</v>
      </c>
      <c r="F5665" s="5" t="s">
        <v>19</v>
      </c>
      <c r="G5665" s="5" t="s">
        <v>32</v>
      </c>
      <c r="H5665" s="5" t="s">
        <v>550</v>
      </c>
      <c r="I5665" s="13">
        <v>1055.98</v>
      </c>
      <c r="J5665" s="19">
        <v>2</v>
      </c>
      <c r="K5665" s="14">
        <v>331.19099999999997</v>
      </c>
    </row>
    <row r="5666" spans="1:11" x14ac:dyDescent="0.25">
      <c r="A5666" s="2">
        <v>44176</v>
      </c>
      <c r="B5666" s="18">
        <f t="shared" si="176"/>
        <v>2020</v>
      </c>
      <c r="C5666" s="18">
        <f t="shared" si="177"/>
        <v>12</v>
      </c>
      <c r="D5666" s="3" t="s">
        <v>1028</v>
      </c>
      <c r="E5666" s="3" t="s">
        <v>44</v>
      </c>
      <c r="F5666" s="3" t="s">
        <v>19</v>
      </c>
      <c r="G5666" s="3" t="s">
        <v>40</v>
      </c>
      <c r="H5666" s="3" t="s">
        <v>1676</v>
      </c>
      <c r="I5666" s="11">
        <v>332.584</v>
      </c>
      <c r="J5666" s="18">
        <v>1</v>
      </c>
      <c r="K5666" s="12">
        <v>1.3584000000000001</v>
      </c>
    </row>
    <row r="5667" spans="1:11" x14ac:dyDescent="0.25">
      <c r="A5667" s="4">
        <v>44176</v>
      </c>
      <c r="B5667" s="19">
        <f t="shared" si="176"/>
        <v>2020</v>
      </c>
      <c r="C5667" s="19">
        <f t="shared" si="177"/>
        <v>12</v>
      </c>
      <c r="D5667" s="5" t="s">
        <v>1010</v>
      </c>
      <c r="E5667" s="5" t="s">
        <v>1350</v>
      </c>
      <c r="F5667" s="5" t="s">
        <v>19</v>
      </c>
      <c r="G5667" s="5" t="s">
        <v>86</v>
      </c>
      <c r="H5667" s="5" t="s">
        <v>2580</v>
      </c>
      <c r="I5667" s="13">
        <v>252.28</v>
      </c>
      <c r="J5667" s="19">
        <v>1</v>
      </c>
      <c r="K5667" s="14">
        <v>3.4944000000000002</v>
      </c>
    </row>
    <row r="5668" spans="1:11" x14ac:dyDescent="0.25">
      <c r="A5668" s="2">
        <v>44176</v>
      </c>
      <c r="B5668" s="18">
        <f t="shared" si="176"/>
        <v>2020</v>
      </c>
      <c r="C5668" s="18">
        <f t="shared" si="177"/>
        <v>12</v>
      </c>
      <c r="D5668" s="3" t="s">
        <v>1863</v>
      </c>
      <c r="E5668" s="3" t="s">
        <v>164</v>
      </c>
      <c r="F5668" s="3" t="s">
        <v>19</v>
      </c>
      <c r="G5668" s="3" t="s">
        <v>53</v>
      </c>
      <c r="H5668" s="3" t="s">
        <v>2525</v>
      </c>
      <c r="I5668" s="11">
        <v>271.36799999999999</v>
      </c>
      <c r="J5668" s="18">
        <v>2</v>
      </c>
      <c r="K5668" s="12">
        <v>3.6288</v>
      </c>
    </row>
    <row r="5669" spans="1:11" x14ac:dyDescent="0.25">
      <c r="A5669" s="4">
        <v>44176</v>
      </c>
      <c r="B5669" s="19">
        <f t="shared" si="176"/>
        <v>2020</v>
      </c>
      <c r="C5669" s="19">
        <f t="shared" si="177"/>
        <v>12</v>
      </c>
      <c r="D5669" s="5" t="s">
        <v>1010</v>
      </c>
      <c r="E5669" s="5" t="s">
        <v>1350</v>
      </c>
      <c r="F5669" s="5" t="s">
        <v>19</v>
      </c>
      <c r="G5669" s="5" t="s">
        <v>32</v>
      </c>
      <c r="H5669" s="5" t="s">
        <v>1273</v>
      </c>
      <c r="I5669" s="13">
        <v>449.4</v>
      </c>
      <c r="J5669" s="19">
        <v>3</v>
      </c>
      <c r="K5669" s="14">
        <v>2.5920000000000001</v>
      </c>
    </row>
    <row r="5670" spans="1:11" x14ac:dyDescent="0.25">
      <c r="A5670" s="2">
        <v>44176</v>
      </c>
      <c r="B5670" s="18">
        <f t="shared" si="176"/>
        <v>2020</v>
      </c>
      <c r="C5670" s="18">
        <f t="shared" si="177"/>
        <v>12</v>
      </c>
      <c r="D5670" s="3" t="s">
        <v>2558</v>
      </c>
      <c r="E5670" s="3" t="s">
        <v>85</v>
      </c>
      <c r="F5670" s="3" t="s">
        <v>19</v>
      </c>
      <c r="G5670" s="3" t="s">
        <v>121</v>
      </c>
      <c r="H5670" s="3" t="s">
        <v>1894</v>
      </c>
      <c r="I5670" s="11">
        <v>303.75</v>
      </c>
      <c r="J5670" s="18">
        <v>7</v>
      </c>
      <c r="K5670" s="12">
        <v>6.5975000000000001</v>
      </c>
    </row>
    <row r="5671" spans="1:11" x14ac:dyDescent="0.25">
      <c r="A5671" s="4">
        <v>44176</v>
      </c>
      <c r="B5671" s="19">
        <f t="shared" si="176"/>
        <v>2020</v>
      </c>
      <c r="C5671" s="19">
        <f t="shared" si="177"/>
        <v>12</v>
      </c>
      <c r="D5671" s="5" t="s">
        <v>1233</v>
      </c>
      <c r="E5671" s="5" t="s">
        <v>23</v>
      </c>
      <c r="F5671" s="5" t="s">
        <v>19</v>
      </c>
      <c r="G5671" s="5" t="s">
        <v>121</v>
      </c>
      <c r="H5671" s="5" t="s">
        <v>2581</v>
      </c>
      <c r="I5671" s="13">
        <v>360.392</v>
      </c>
      <c r="J5671" s="19">
        <v>2</v>
      </c>
      <c r="K5671" s="14">
        <v>-3.7584</v>
      </c>
    </row>
    <row r="5672" spans="1:11" x14ac:dyDescent="0.25">
      <c r="A5672" s="2">
        <v>44176</v>
      </c>
      <c r="B5672" s="18">
        <f t="shared" si="176"/>
        <v>2020</v>
      </c>
      <c r="C5672" s="18">
        <f t="shared" si="177"/>
        <v>12</v>
      </c>
      <c r="D5672" s="3" t="s">
        <v>726</v>
      </c>
      <c r="E5672" s="3" t="s">
        <v>85</v>
      </c>
      <c r="F5672" s="3" t="s">
        <v>19</v>
      </c>
      <c r="G5672" s="3" t="s">
        <v>116</v>
      </c>
      <c r="H5672" s="3" t="s">
        <v>1783</v>
      </c>
      <c r="I5672" s="11">
        <v>291.54000000000002</v>
      </c>
      <c r="J5672" s="18">
        <v>3</v>
      </c>
      <c r="K5672" s="12">
        <v>2.1581999999999999</v>
      </c>
    </row>
    <row r="5673" spans="1:11" x14ac:dyDescent="0.25">
      <c r="A5673" s="4">
        <v>44176</v>
      </c>
      <c r="B5673" s="19">
        <f t="shared" si="176"/>
        <v>2020</v>
      </c>
      <c r="C5673" s="19">
        <f t="shared" si="177"/>
        <v>12</v>
      </c>
      <c r="D5673" s="5" t="s">
        <v>1196</v>
      </c>
      <c r="E5673" s="5" t="s">
        <v>94</v>
      </c>
      <c r="F5673" s="5" t="s">
        <v>19</v>
      </c>
      <c r="G5673" s="5" t="s">
        <v>32</v>
      </c>
      <c r="H5673" s="5" t="s">
        <v>467</v>
      </c>
      <c r="I5673" s="13">
        <v>415.952</v>
      </c>
      <c r="J5673" s="19">
        <v>1</v>
      </c>
      <c r="K5673" s="14">
        <v>5.0462999999999996</v>
      </c>
    </row>
    <row r="5674" spans="1:11" x14ac:dyDescent="0.25">
      <c r="A5674" s="2">
        <v>44176</v>
      </c>
      <c r="B5674" s="18">
        <f t="shared" si="176"/>
        <v>2020</v>
      </c>
      <c r="C5674" s="18">
        <f t="shared" si="177"/>
        <v>12</v>
      </c>
      <c r="D5674" s="3" t="s">
        <v>1196</v>
      </c>
      <c r="E5674" s="3" t="s">
        <v>94</v>
      </c>
      <c r="F5674" s="3" t="s">
        <v>19</v>
      </c>
      <c r="G5674" s="3" t="s">
        <v>53</v>
      </c>
      <c r="H5674" s="3" t="s">
        <v>1620</v>
      </c>
      <c r="I5674" s="11">
        <v>470.94</v>
      </c>
      <c r="J5674" s="18">
        <v>3</v>
      </c>
      <c r="K5674" s="12">
        <v>8.0730000000000004</v>
      </c>
    </row>
    <row r="5675" spans="1:11" x14ac:dyDescent="0.25">
      <c r="A5675" s="4">
        <v>44176</v>
      </c>
      <c r="B5675" s="19">
        <f t="shared" si="176"/>
        <v>2020</v>
      </c>
      <c r="C5675" s="19">
        <f t="shared" si="177"/>
        <v>12</v>
      </c>
      <c r="D5675" s="5" t="s">
        <v>1074</v>
      </c>
      <c r="E5675" s="5" t="s">
        <v>94</v>
      </c>
      <c r="F5675" s="5" t="s">
        <v>19</v>
      </c>
      <c r="G5675" s="5" t="s">
        <v>32</v>
      </c>
      <c r="H5675" s="5" t="s">
        <v>674</v>
      </c>
      <c r="I5675" s="13">
        <v>398.36</v>
      </c>
      <c r="J5675" s="19">
        <v>4</v>
      </c>
      <c r="K5675" s="14">
        <v>7.8840000000000003</v>
      </c>
    </row>
    <row r="5676" spans="1:11" x14ac:dyDescent="0.25">
      <c r="A5676" s="2">
        <v>44176</v>
      </c>
      <c r="B5676" s="18">
        <f t="shared" si="176"/>
        <v>2020</v>
      </c>
      <c r="C5676" s="18">
        <f t="shared" si="177"/>
        <v>12</v>
      </c>
      <c r="D5676" s="3" t="s">
        <v>1074</v>
      </c>
      <c r="E5676" s="3" t="s">
        <v>94</v>
      </c>
      <c r="F5676" s="3" t="s">
        <v>14</v>
      </c>
      <c r="G5676" s="3" t="s">
        <v>24</v>
      </c>
      <c r="H5676" s="3" t="s">
        <v>2250</v>
      </c>
      <c r="I5676" s="11">
        <v>430.98</v>
      </c>
      <c r="J5676" s="18">
        <v>2</v>
      </c>
      <c r="K5676" s="12">
        <v>13.5932</v>
      </c>
    </row>
    <row r="5677" spans="1:11" x14ac:dyDescent="0.25">
      <c r="A5677" s="4">
        <v>44176</v>
      </c>
      <c r="B5677" s="19">
        <f t="shared" si="176"/>
        <v>2020</v>
      </c>
      <c r="C5677" s="19">
        <f t="shared" si="177"/>
        <v>12</v>
      </c>
      <c r="D5677" s="5" t="s">
        <v>1833</v>
      </c>
      <c r="E5677" s="5" t="s">
        <v>39</v>
      </c>
      <c r="F5677" s="5" t="s">
        <v>11</v>
      </c>
      <c r="G5677" s="5" t="s">
        <v>112</v>
      </c>
      <c r="H5677" s="5" t="s">
        <v>1262</v>
      </c>
      <c r="I5677" s="13">
        <v>483.68599999999998</v>
      </c>
      <c r="J5677" s="19">
        <v>1</v>
      </c>
      <c r="K5677" s="14">
        <v>-9.0980000000000008</v>
      </c>
    </row>
    <row r="5678" spans="1:11" x14ac:dyDescent="0.25">
      <c r="A5678" s="2">
        <v>44176</v>
      </c>
      <c r="B5678" s="18">
        <f t="shared" si="176"/>
        <v>2020</v>
      </c>
      <c r="C5678" s="18">
        <f t="shared" si="177"/>
        <v>12</v>
      </c>
      <c r="D5678" s="3" t="s">
        <v>2558</v>
      </c>
      <c r="E5678" s="3" t="s">
        <v>85</v>
      </c>
      <c r="F5678" s="3" t="s">
        <v>19</v>
      </c>
      <c r="G5678" s="3" t="s">
        <v>32</v>
      </c>
      <c r="H5678" s="3" t="s">
        <v>1191</v>
      </c>
      <c r="I5678" s="11">
        <v>323.2</v>
      </c>
      <c r="J5678" s="18">
        <v>5</v>
      </c>
      <c r="K5678" s="12">
        <v>18.09</v>
      </c>
    </row>
    <row r="5679" spans="1:11" x14ac:dyDescent="0.25">
      <c r="A5679" s="4">
        <v>44176</v>
      </c>
      <c r="B5679" s="19">
        <f t="shared" si="176"/>
        <v>2020</v>
      </c>
      <c r="C5679" s="19">
        <f t="shared" si="177"/>
        <v>12</v>
      </c>
      <c r="D5679" s="5" t="s">
        <v>1863</v>
      </c>
      <c r="E5679" s="5" t="s">
        <v>164</v>
      </c>
      <c r="F5679" s="5" t="s">
        <v>11</v>
      </c>
      <c r="G5679" s="5" t="s">
        <v>51</v>
      </c>
      <c r="H5679" s="5" t="s">
        <v>451</v>
      </c>
      <c r="I5679" s="13">
        <v>447.72</v>
      </c>
      <c r="J5679" s="19">
        <v>1</v>
      </c>
      <c r="K5679" s="14">
        <v>-66.061999999999998</v>
      </c>
    </row>
    <row r="5680" spans="1:11" x14ac:dyDescent="0.25">
      <c r="A5680" s="2">
        <v>44176</v>
      </c>
      <c r="B5680" s="18">
        <f t="shared" si="176"/>
        <v>2020</v>
      </c>
      <c r="C5680" s="18">
        <f t="shared" si="177"/>
        <v>12</v>
      </c>
      <c r="D5680" s="3" t="s">
        <v>1028</v>
      </c>
      <c r="E5680" s="3" t="s">
        <v>44</v>
      </c>
      <c r="F5680" s="3" t="s">
        <v>11</v>
      </c>
      <c r="G5680" s="3" t="s">
        <v>112</v>
      </c>
      <c r="H5680" s="3" t="s">
        <v>615</v>
      </c>
      <c r="I5680" s="11">
        <v>339.78399999999999</v>
      </c>
      <c r="J5680" s="18">
        <v>1</v>
      </c>
      <c r="K5680" s="12">
        <v>-12.147</v>
      </c>
    </row>
    <row r="5681" spans="1:11" x14ac:dyDescent="0.25">
      <c r="A5681" s="4">
        <v>44178</v>
      </c>
      <c r="B5681" s="19">
        <f t="shared" si="176"/>
        <v>2020</v>
      </c>
      <c r="C5681" s="19">
        <f t="shared" si="177"/>
        <v>12</v>
      </c>
      <c r="D5681" s="5" t="s">
        <v>1706</v>
      </c>
      <c r="E5681" s="5" t="s">
        <v>18</v>
      </c>
      <c r="F5681" s="5" t="s">
        <v>11</v>
      </c>
      <c r="G5681" s="5" t="s">
        <v>51</v>
      </c>
      <c r="H5681" s="5" t="s">
        <v>2244</v>
      </c>
      <c r="I5681" s="13">
        <v>379.04</v>
      </c>
      <c r="J5681" s="19">
        <v>8</v>
      </c>
      <c r="K5681" s="14">
        <v>54.280799999999999</v>
      </c>
    </row>
    <row r="5682" spans="1:11" x14ac:dyDescent="0.25">
      <c r="A5682" s="2">
        <v>44178</v>
      </c>
      <c r="B5682" s="18">
        <f t="shared" si="176"/>
        <v>2020</v>
      </c>
      <c r="C5682" s="18">
        <f t="shared" si="177"/>
        <v>12</v>
      </c>
      <c r="D5682" s="3" t="s">
        <v>1706</v>
      </c>
      <c r="E5682" s="3" t="s">
        <v>18</v>
      </c>
      <c r="F5682" s="3" t="s">
        <v>19</v>
      </c>
      <c r="G5682" s="3" t="s">
        <v>127</v>
      </c>
      <c r="H5682" s="3" t="s">
        <v>1386</v>
      </c>
      <c r="I5682" s="11">
        <v>505.64</v>
      </c>
      <c r="J5682" s="18">
        <v>3</v>
      </c>
      <c r="K5682" s="12">
        <v>4.2336</v>
      </c>
    </row>
    <row r="5683" spans="1:11" x14ac:dyDescent="0.25">
      <c r="A5683" s="4">
        <v>44178</v>
      </c>
      <c r="B5683" s="19">
        <f t="shared" si="176"/>
        <v>2020</v>
      </c>
      <c r="C5683" s="19">
        <f t="shared" si="177"/>
        <v>12</v>
      </c>
      <c r="D5683" s="5" t="s">
        <v>1757</v>
      </c>
      <c r="E5683" s="5" t="s">
        <v>94</v>
      </c>
      <c r="F5683" s="5" t="s">
        <v>11</v>
      </c>
      <c r="G5683" s="5" t="s">
        <v>12</v>
      </c>
      <c r="H5683" s="5" t="s">
        <v>208</v>
      </c>
      <c r="I5683" s="13">
        <v>241.976</v>
      </c>
      <c r="J5683" s="19">
        <v>3</v>
      </c>
      <c r="K5683" s="14">
        <v>7.1993999999999998</v>
      </c>
    </row>
    <row r="5684" spans="1:11" x14ac:dyDescent="0.25">
      <c r="A5684" s="2">
        <v>44178</v>
      </c>
      <c r="B5684" s="18">
        <f t="shared" si="176"/>
        <v>2020</v>
      </c>
      <c r="C5684" s="18">
        <f t="shared" si="177"/>
        <v>12</v>
      </c>
      <c r="D5684" s="3" t="s">
        <v>1706</v>
      </c>
      <c r="E5684" s="3" t="s">
        <v>18</v>
      </c>
      <c r="F5684" s="3" t="s">
        <v>19</v>
      </c>
      <c r="G5684" s="3" t="s">
        <v>53</v>
      </c>
      <c r="H5684" s="3" t="s">
        <v>1046</v>
      </c>
      <c r="I5684" s="11">
        <v>323.95999999999998</v>
      </c>
      <c r="J5684" s="18">
        <v>2</v>
      </c>
      <c r="K5684" s="12">
        <v>6.3503999999999996</v>
      </c>
    </row>
    <row r="5685" spans="1:11" x14ac:dyDescent="0.25">
      <c r="A5685" s="4">
        <v>44178</v>
      </c>
      <c r="B5685" s="19">
        <f t="shared" si="176"/>
        <v>2020</v>
      </c>
      <c r="C5685" s="19">
        <f t="shared" si="177"/>
        <v>12</v>
      </c>
      <c r="D5685" s="5" t="s">
        <v>1706</v>
      </c>
      <c r="E5685" s="5" t="s">
        <v>18</v>
      </c>
      <c r="F5685" s="5" t="s">
        <v>19</v>
      </c>
      <c r="G5685" s="5" t="s">
        <v>53</v>
      </c>
      <c r="H5685" s="5" t="s">
        <v>1822</v>
      </c>
      <c r="I5685" s="13">
        <v>433.88</v>
      </c>
      <c r="J5685" s="19">
        <v>6</v>
      </c>
      <c r="K5685" s="14">
        <v>18.662400000000002</v>
      </c>
    </row>
    <row r="5686" spans="1:11" x14ac:dyDescent="0.25">
      <c r="A5686" s="2">
        <v>44178</v>
      </c>
      <c r="B5686" s="18">
        <f t="shared" si="176"/>
        <v>2020</v>
      </c>
      <c r="C5686" s="18">
        <f t="shared" si="177"/>
        <v>12</v>
      </c>
      <c r="D5686" s="3" t="s">
        <v>2060</v>
      </c>
      <c r="E5686" s="3" t="s">
        <v>70</v>
      </c>
      <c r="F5686" s="3" t="s">
        <v>19</v>
      </c>
      <c r="G5686" s="3" t="s">
        <v>20</v>
      </c>
      <c r="H5686" s="3" t="s">
        <v>1197</v>
      </c>
      <c r="I5686" s="11">
        <v>373.44</v>
      </c>
      <c r="J5686" s="18">
        <v>3</v>
      </c>
      <c r="K5686" s="12">
        <v>8.4887999999999995</v>
      </c>
    </row>
    <row r="5687" spans="1:11" x14ac:dyDescent="0.25">
      <c r="A5687" s="4">
        <v>44179</v>
      </c>
      <c r="B5687" s="19">
        <f t="shared" si="176"/>
        <v>2020</v>
      </c>
      <c r="C5687" s="19">
        <f t="shared" si="177"/>
        <v>12</v>
      </c>
      <c r="D5687" s="5" t="s">
        <v>1979</v>
      </c>
      <c r="E5687" s="5" t="s">
        <v>18</v>
      </c>
      <c r="F5687" s="5" t="s">
        <v>19</v>
      </c>
      <c r="G5687" s="5" t="s">
        <v>32</v>
      </c>
      <c r="H5687" s="5" t="s">
        <v>272</v>
      </c>
      <c r="I5687" s="13">
        <v>391.96</v>
      </c>
      <c r="J5687" s="19">
        <v>14</v>
      </c>
      <c r="K5687" s="14">
        <v>22.736000000000001</v>
      </c>
    </row>
    <row r="5688" spans="1:11" x14ac:dyDescent="0.25">
      <c r="A5688" s="2">
        <v>44179</v>
      </c>
      <c r="B5688" s="18">
        <f t="shared" si="176"/>
        <v>2020</v>
      </c>
      <c r="C5688" s="18">
        <f t="shared" si="177"/>
        <v>12</v>
      </c>
      <c r="D5688" s="3" t="s">
        <v>177</v>
      </c>
      <c r="E5688" s="3" t="s">
        <v>370</v>
      </c>
      <c r="F5688" s="3" t="s">
        <v>19</v>
      </c>
      <c r="G5688" s="3" t="s">
        <v>20</v>
      </c>
      <c r="H5688" s="3" t="s">
        <v>1588</v>
      </c>
      <c r="I5688" s="11">
        <v>289.85000000000002</v>
      </c>
      <c r="J5688" s="18">
        <v>1</v>
      </c>
      <c r="K5688" s="12">
        <v>2.2155</v>
      </c>
    </row>
    <row r="5689" spans="1:11" x14ac:dyDescent="0.25">
      <c r="A5689" s="4">
        <v>44179</v>
      </c>
      <c r="B5689" s="19">
        <f t="shared" si="176"/>
        <v>2020</v>
      </c>
      <c r="C5689" s="19">
        <f t="shared" si="177"/>
        <v>12</v>
      </c>
      <c r="D5689" s="5" t="s">
        <v>456</v>
      </c>
      <c r="E5689" s="5" t="s">
        <v>164</v>
      </c>
      <c r="F5689" s="5" t="s">
        <v>19</v>
      </c>
      <c r="G5689" s="5" t="s">
        <v>40</v>
      </c>
      <c r="H5689" s="5" t="s">
        <v>1490</v>
      </c>
      <c r="I5689" s="13">
        <v>407.23200000000003</v>
      </c>
      <c r="J5689" s="19">
        <v>6</v>
      </c>
      <c r="K5689" s="14">
        <v>24.9984</v>
      </c>
    </row>
    <row r="5690" spans="1:11" x14ac:dyDescent="0.25">
      <c r="A5690" s="2">
        <v>44179</v>
      </c>
      <c r="B5690" s="18">
        <f t="shared" si="176"/>
        <v>2020</v>
      </c>
      <c r="C5690" s="18">
        <f t="shared" si="177"/>
        <v>12</v>
      </c>
      <c r="D5690" s="3" t="s">
        <v>456</v>
      </c>
      <c r="E5690" s="3" t="s">
        <v>164</v>
      </c>
      <c r="F5690" s="3" t="s">
        <v>11</v>
      </c>
      <c r="G5690" s="3" t="s">
        <v>51</v>
      </c>
      <c r="H5690" s="3" t="s">
        <v>2554</v>
      </c>
      <c r="I5690" s="11">
        <v>422.32799999999997</v>
      </c>
      <c r="J5690" s="18">
        <v>3</v>
      </c>
      <c r="K5690" s="12">
        <v>-26.755800000000001</v>
      </c>
    </row>
    <row r="5691" spans="1:11" x14ac:dyDescent="0.25">
      <c r="A5691" s="4">
        <v>44179</v>
      </c>
      <c r="B5691" s="19">
        <f t="shared" si="176"/>
        <v>2020</v>
      </c>
      <c r="C5691" s="19">
        <f t="shared" si="177"/>
        <v>12</v>
      </c>
      <c r="D5691" s="5" t="s">
        <v>177</v>
      </c>
      <c r="E5691" s="5" t="s">
        <v>370</v>
      </c>
      <c r="F5691" s="5" t="s">
        <v>19</v>
      </c>
      <c r="G5691" s="5" t="s">
        <v>265</v>
      </c>
      <c r="H5691" s="5" t="s">
        <v>266</v>
      </c>
      <c r="I5691" s="13">
        <v>332.71</v>
      </c>
      <c r="J5691" s="19">
        <v>3</v>
      </c>
      <c r="K5691" s="14">
        <v>6.6845999999999997</v>
      </c>
    </row>
    <row r="5692" spans="1:11" x14ac:dyDescent="0.25">
      <c r="A5692" s="2">
        <v>44179</v>
      </c>
      <c r="B5692" s="18">
        <f t="shared" si="176"/>
        <v>2020</v>
      </c>
      <c r="C5692" s="18">
        <f t="shared" si="177"/>
        <v>12</v>
      </c>
      <c r="D5692" s="3" t="s">
        <v>1622</v>
      </c>
      <c r="E5692" s="3" t="s">
        <v>589</v>
      </c>
      <c r="F5692" s="3" t="s">
        <v>14</v>
      </c>
      <c r="G5692" s="3" t="s">
        <v>24</v>
      </c>
      <c r="H5692" s="3" t="s">
        <v>368</v>
      </c>
      <c r="I5692" s="11">
        <v>447.8</v>
      </c>
      <c r="J5692" s="18">
        <v>4</v>
      </c>
      <c r="K5692" s="12">
        <v>70.311999999999998</v>
      </c>
    </row>
    <row r="5693" spans="1:11" x14ac:dyDescent="0.25">
      <c r="A5693" s="4">
        <v>44179</v>
      </c>
      <c r="B5693" s="19">
        <f t="shared" si="176"/>
        <v>2020</v>
      </c>
      <c r="C5693" s="19">
        <f t="shared" si="177"/>
        <v>12</v>
      </c>
      <c r="D5693" s="5" t="s">
        <v>554</v>
      </c>
      <c r="E5693" s="5" t="s">
        <v>164</v>
      </c>
      <c r="F5693" s="5" t="s">
        <v>14</v>
      </c>
      <c r="G5693" s="5" t="s">
        <v>24</v>
      </c>
      <c r="H5693" s="5" t="s">
        <v>418</v>
      </c>
      <c r="I5693" s="13">
        <v>197.976</v>
      </c>
      <c r="J5693" s="19">
        <v>3</v>
      </c>
      <c r="K5693" s="14">
        <v>28.497</v>
      </c>
    </row>
    <row r="5694" spans="1:11" x14ac:dyDescent="0.25">
      <c r="A5694" s="2">
        <v>44179</v>
      </c>
      <c r="B5694" s="18">
        <f t="shared" si="176"/>
        <v>2020</v>
      </c>
      <c r="C5694" s="18">
        <f t="shared" si="177"/>
        <v>12</v>
      </c>
      <c r="D5694" s="3" t="s">
        <v>554</v>
      </c>
      <c r="E5694" s="3" t="s">
        <v>164</v>
      </c>
      <c r="F5694" s="3" t="s">
        <v>14</v>
      </c>
      <c r="G5694" s="3" t="s">
        <v>15</v>
      </c>
      <c r="H5694" s="3" t="s">
        <v>1686</v>
      </c>
      <c r="I5694" s="11">
        <v>500.68</v>
      </c>
      <c r="J5694" s="18">
        <v>3</v>
      </c>
      <c r="K5694" s="12">
        <v>19.754999999999999</v>
      </c>
    </row>
    <row r="5695" spans="1:11" x14ac:dyDescent="0.25">
      <c r="A5695" s="4">
        <v>44179</v>
      </c>
      <c r="B5695" s="19">
        <f t="shared" si="176"/>
        <v>2020</v>
      </c>
      <c r="C5695" s="19">
        <f t="shared" si="177"/>
        <v>12</v>
      </c>
      <c r="D5695" s="5" t="s">
        <v>1979</v>
      </c>
      <c r="E5695" s="5" t="s">
        <v>18</v>
      </c>
      <c r="F5695" s="5" t="s">
        <v>19</v>
      </c>
      <c r="G5695" s="5" t="s">
        <v>86</v>
      </c>
      <c r="H5695" s="5" t="s">
        <v>2447</v>
      </c>
      <c r="I5695" s="13">
        <v>502.7</v>
      </c>
      <c r="J5695" s="19">
        <v>5</v>
      </c>
      <c r="K5695" s="14">
        <v>20.539000000000001</v>
      </c>
    </row>
    <row r="5696" spans="1:11" x14ac:dyDescent="0.25">
      <c r="A5696" s="2">
        <v>44179</v>
      </c>
      <c r="B5696" s="18">
        <f t="shared" si="176"/>
        <v>2020</v>
      </c>
      <c r="C5696" s="18">
        <f t="shared" si="177"/>
        <v>12</v>
      </c>
      <c r="D5696" s="3" t="s">
        <v>456</v>
      </c>
      <c r="E5696" s="3" t="s">
        <v>164</v>
      </c>
      <c r="F5696" s="3" t="s">
        <v>11</v>
      </c>
      <c r="G5696" s="3" t="s">
        <v>51</v>
      </c>
      <c r="H5696" s="3" t="s">
        <v>1076</v>
      </c>
      <c r="I5696" s="11">
        <v>171.352</v>
      </c>
      <c r="J5696" s="18">
        <v>6</v>
      </c>
      <c r="K5696" s="12">
        <v>-292.98719999999997</v>
      </c>
    </row>
    <row r="5697" spans="1:11" x14ac:dyDescent="0.25">
      <c r="A5697" s="4">
        <v>44179</v>
      </c>
      <c r="B5697" s="19">
        <f t="shared" si="176"/>
        <v>2020</v>
      </c>
      <c r="C5697" s="19">
        <f t="shared" si="177"/>
        <v>12</v>
      </c>
      <c r="D5697" s="5" t="s">
        <v>177</v>
      </c>
      <c r="E5697" s="5" t="s">
        <v>370</v>
      </c>
      <c r="F5697" s="5" t="s">
        <v>11</v>
      </c>
      <c r="G5697" s="5" t="s">
        <v>30</v>
      </c>
      <c r="H5697" s="5" t="s">
        <v>1027</v>
      </c>
      <c r="I5697" s="13">
        <v>239.58199999999999</v>
      </c>
      <c r="J5697" s="19">
        <v>2</v>
      </c>
      <c r="K5697" s="14">
        <v>-52.658200000000001</v>
      </c>
    </row>
    <row r="5698" spans="1:11" x14ac:dyDescent="0.25">
      <c r="A5698" s="2">
        <v>44179</v>
      </c>
      <c r="B5698" s="18">
        <f t="shared" ref="B5698:B5761" si="178">YEAR(A5698)</f>
        <v>2020</v>
      </c>
      <c r="C5698" s="18">
        <f t="shared" ref="C5698:C5761" si="179">MONTH(A5698)</f>
        <v>12</v>
      </c>
      <c r="D5698" s="3" t="s">
        <v>1075</v>
      </c>
      <c r="E5698" s="3" t="s">
        <v>23</v>
      </c>
      <c r="F5698" s="3" t="s">
        <v>11</v>
      </c>
      <c r="G5698" s="3" t="s">
        <v>30</v>
      </c>
      <c r="H5698" s="3" t="s">
        <v>2015</v>
      </c>
      <c r="I5698" s="11">
        <v>287.988</v>
      </c>
      <c r="J5698" s="18">
        <v>4</v>
      </c>
      <c r="K5698" s="12">
        <v>-97.498800000000003</v>
      </c>
    </row>
    <row r="5699" spans="1:11" x14ac:dyDescent="0.25">
      <c r="A5699" s="4">
        <v>44179</v>
      </c>
      <c r="B5699" s="19">
        <f t="shared" si="178"/>
        <v>2020</v>
      </c>
      <c r="C5699" s="19">
        <f t="shared" si="179"/>
        <v>12</v>
      </c>
      <c r="D5699" s="5" t="s">
        <v>177</v>
      </c>
      <c r="E5699" s="5" t="s">
        <v>370</v>
      </c>
      <c r="F5699" s="5" t="s">
        <v>14</v>
      </c>
      <c r="G5699" s="5" t="s">
        <v>36</v>
      </c>
      <c r="H5699" s="5" t="s">
        <v>2198</v>
      </c>
      <c r="I5699" s="13">
        <v>162.97999999999999</v>
      </c>
      <c r="J5699" s="19">
        <v>2</v>
      </c>
      <c r="K5699" s="14">
        <v>467.99220000000003</v>
      </c>
    </row>
    <row r="5700" spans="1:11" x14ac:dyDescent="0.25">
      <c r="A5700" s="2">
        <v>44179</v>
      </c>
      <c r="B5700" s="18">
        <f t="shared" si="178"/>
        <v>2020</v>
      </c>
      <c r="C5700" s="18">
        <f t="shared" si="179"/>
        <v>12</v>
      </c>
      <c r="D5700" s="3" t="s">
        <v>554</v>
      </c>
      <c r="E5700" s="3" t="s">
        <v>164</v>
      </c>
      <c r="F5700" s="3" t="s">
        <v>11</v>
      </c>
      <c r="G5700" s="3" t="s">
        <v>51</v>
      </c>
      <c r="H5700" s="3" t="s">
        <v>2472</v>
      </c>
      <c r="I5700" s="11">
        <v>434.03199999999998</v>
      </c>
      <c r="J5700" s="18">
        <v>1</v>
      </c>
      <c r="K5700" s="12">
        <v>-1.3208</v>
      </c>
    </row>
    <row r="5701" spans="1:11" x14ac:dyDescent="0.25">
      <c r="A5701" s="4">
        <v>44179</v>
      </c>
      <c r="B5701" s="19">
        <f t="shared" si="178"/>
        <v>2020</v>
      </c>
      <c r="C5701" s="19">
        <f t="shared" si="179"/>
        <v>12</v>
      </c>
      <c r="D5701" s="5" t="s">
        <v>456</v>
      </c>
      <c r="E5701" s="5" t="s">
        <v>164</v>
      </c>
      <c r="F5701" s="5" t="s">
        <v>14</v>
      </c>
      <c r="G5701" s="5" t="s">
        <v>24</v>
      </c>
      <c r="H5701" s="5" t="s">
        <v>789</v>
      </c>
      <c r="I5701" s="13">
        <v>274.26400000000001</v>
      </c>
      <c r="J5701" s="19">
        <v>3</v>
      </c>
      <c r="K5701" s="14">
        <v>-4.9080000000000004</v>
      </c>
    </row>
    <row r="5702" spans="1:11" x14ac:dyDescent="0.25">
      <c r="A5702" s="2">
        <v>44179</v>
      </c>
      <c r="B5702" s="18">
        <f t="shared" si="178"/>
        <v>2020</v>
      </c>
      <c r="C5702" s="18">
        <f t="shared" si="179"/>
        <v>12</v>
      </c>
      <c r="D5702" s="3" t="s">
        <v>1979</v>
      </c>
      <c r="E5702" s="3" t="s">
        <v>18</v>
      </c>
      <c r="F5702" s="3" t="s">
        <v>11</v>
      </c>
      <c r="G5702" s="3" t="s">
        <v>51</v>
      </c>
      <c r="H5702" s="3" t="s">
        <v>1628</v>
      </c>
      <c r="I5702" s="11">
        <v>375.25</v>
      </c>
      <c r="J5702" s="18">
        <v>3</v>
      </c>
      <c r="K5702" s="12">
        <v>11.025</v>
      </c>
    </row>
    <row r="5703" spans="1:11" x14ac:dyDescent="0.25">
      <c r="A5703" s="4">
        <v>44179</v>
      </c>
      <c r="B5703" s="19">
        <f t="shared" si="178"/>
        <v>2020</v>
      </c>
      <c r="C5703" s="19">
        <f t="shared" si="179"/>
        <v>12</v>
      </c>
      <c r="D5703" s="5" t="s">
        <v>177</v>
      </c>
      <c r="E5703" s="5" t="s">
        <v>370</v>
      </c>
      <c r="F5703" s="5" t="s">
        <v>19</v>
      </c>
      <c r="G5703" s="5" t="s">
        <v>116</v>
      </c>
      <c r="H5703" s="5" t="s">
        <v>328</v>
      </c>
      <c r="I5703" s="13">
        <v>413.28</v>
      </c>
      <c r="J5703" s="19">
        <v>6</v>
      </c>
      <c r="K5703" s="14">
        <v>8.1216000000000008</v>
      </c>
    </row>
    <row r="5704" spans="1:11" x14ac:dyDescent="0.25">
      <c r="A5704" s="2">
        <v>44179</v>
      </c>
      <c r="B5704" s="18">
        <f t="shared" si="178"/>
        <v>2020</v>
      </c>
      <c r="C5704" s="18">
        <f t="shared" si="179"/>
        <v>12</v>
      </c>
      <c r="D5704" s="3" t="s">
        <v>1622</v>
      </c>
      <c r="E5704" s="3" t="s">
        <v>589</v>
      </c>
      <c r="F5704" s="3" t="s">
        <v>14</v>
      </c>
      <c r="G5704" s="3" t="s">
        <v>24</v>
      </c>
      <c r="H5704" s="3" t="s">
        <v>383</v>
      </c>
      <c r="I5704" s="11">
        <v>367.75</v>
      </c>
      <c r="J5704" s="18">
        <v>5</v>
      </c>
      <c r="K5704" s="12">
        <v>8.5024999999999995</v>
      </c>
    </row>
    <row r="5705" spans="1:11" x14ac:dyDescent="0.25">
      <c r="A5705" s="4">
        <v>44180</v>
      </c>
      <c r="B5705" s="19">
        <f t="shared" si="178"/>
        <v>2020</v>
      </c>
      <c r="C5705" s="19">
        <f t="shared" si="179"/>
        <v>12</v>
      </c>
      <c r="D5705" s="5" t="s">
        <v>1301</v>
      </c>
      <c r="E5705" s="5" t="s">
        <v>18</v>
      </c>
      <c r="F5705" s="5" t="s">
        <v>14</v>
      </c>
      <c r="G5705" s="5" t="s">
        <v>15</v>
      </c>
      <c r="H5705" s="5" t="s">
        <v>2148</v>
      </c>
      <c r="I5705" s="13">
        <v>1425.7760000000001</v>
      </c>
      <c r="J5705" s="19">
        <v>3</v>
      </c>
      <c r="K5705" s="14">
        <v>14.7582</v>
      </c>
    </row>
    <row r="5706" spans="1:11" x14ac:dyDescent="0.25">
      <c r="A5706" s="2">
        <v>44180</v>
      </c>
      <c r="B5706" s="18">
        <f t="shared" si="178"/>
        <v>2020</v>
      </c>
      <c r="C5706" s="18">
        <f t="shared" si="179"/>
        <v>12</v>
      </c>
      <c r="D5706" s="3" t="s">
        <v>2055</v>
      </c>
      <c r="E5706" s="3" t="s">
        <v>164</v>
      </c>
      <c r="F5706" s="3" t="s">
        <v>19</v>
      </c>
      <c r="G5706" s="3" t="s">
        <v>40</v>
      </c>
      <c r="H5706" s="3" t="s">
        <v>672</v>
      </c>
      <c r="I5706" s="11">
        <v>416.19200000000001</v>
      </c>
      <c r="J5706" s="18">
        <v>7</v>
      </c>
      <c r="K5706" s="12">
        <v>1.0192000000000001</v>
      </c>
    </row>
    <row r="5707" spans="1:11" x14ac:dyDescent="0.25">
      <c r="A5707" s="4">
        <v>44180</v>
      </c>
      <c r="B5707" s="19">
        <f t="shared" si="178"/>
        <v>2020</v>
      </c>
      <c r="C5707" s="19">
        <f t="shared" si="179"/>
        <v>12</v>
      </c>
      <c r="D5707" s="5" t="s">
        <v>1301</v>
      </c>
      <c r="E5707" s="5" t="s">
        <v>18</v>
      </c>
      <c r="F5707" s="5" t="s">
        <v>19</v>
      </c>
      <c r="G5707" s="5" t="s">
        <v>53</v>
      </c>
      <c r="H5707" s="5" t="s">
        <v>1543</v>
      </c>
      <c r="I5707" s="13">
        <v>450.83</v>
      </c>
      <c r="J5707" s="19">
        <v>3</v>
      </c>
      <c r="K5707" s="14">
        <v>10.7301</v>
      </c>
    </row>
    <row r="5708" spans="1:11" x14ac:dyDescent="0.25">
      <c r="A5708" s="2">
        <v>44180</v>
      </c>
      <c r="B5708" s="18">
        <f t="shared" si="178"/>
        <v>2020</v>
      </c>
      <c r="C5708" s="18">
        <f t="shared" si="179"/>
        <v>12</v>
      </c>
      <c r="D5708" s="3" t="s">
        <v>435</v>
      </c>
      <c r="E5708" s="3" t="s">
        <v>70</v>
      </c>
      <c r="F5708" s="3" t="s">
        <v>11</v>
      </c>
      <c r="G5708" s="3" t="s">
        <v>51</v>
      </c>
      <c r="H5708" s="3" t="s">
        <v>1860</v>
      </c>
      <c r="I5708" s="11">
        <v>437.77</v>
      </c>
      <c r="J5708" s="18">
        <v>3</v>
      </c>
      <c r="K5708" s="12">
        <v>9.7911000000000001</v>
      </c>
    </row>
    <row r="5709" spans="1:11" x14ac:dyDescent="0.25">
      <c r="A5709" s="4">
        <v>44180</v>
      </c>
      <c r="B5709" s="19">
        <f t="shared" si="178"/>
        <v>2020</v>
      </c>
      <c r="C5709" s="19">
        <f t="shared" si="179"/>
        <v>12</v>
      </c>
      <c r="D5709" s="5" t="s">
        <v>1301</v>
      </c>
      <c r="E5709" s="5" t="s">
        <v>18</v>
      </c>
      <c r="F5709" s="5" t="s">
        <v>19</v>
      </c>
      <c r="G5709" s="5" t="s">
        <v>121</v>
      </c>
      <c r="H5709" s="5" t="s">
        <v>2078</v>
      </c>
      <c r="I5709" s="13">
        <v>329.32</v>
      </c>
      <c r="J5709" s="19">
        <v>4</v>
      </c>
      <c r="K5709" s="14">
        <v>16.295999999999999</v>
      </c>
    </row>
    <row r="5710" spans="1:11" x14ac:dyDescent="0.25">
      <c r="A5710" s="2">
        <v>44181</v>
      </c>
      <c r="B5710" s="18">
        <f t="shared" si="178"/>
        <v>2020</v>
      </c>
      <c r="C5710" s="18">
        <f t="shared" si="179"/>
        <v>12</v>
      </c>
      <c r="D5710" s="3" t="s">
        <v>2031</v>
      </c>
      <c r="E5710" s="3" t="s">
        <v>18</v>
      </c>
      <c r="F5710" s="3" t="s">
        <v>11</v>
      </c>
      <c r="G5710" s="3" t="s">
        <v>112</v>
      </c>
      <c r="H5710" s="3" t="s">
        <v>524</v>
      </c>
      <c r="I5710" s="11">
        <v>386.18400000000003</v>
      </c>
      <c r="J5710" s="18">
        <v>2</v>
      </c>
      <c r="K5710" s="12">
        <v>6.0739999999999998</v>
      </c>
    </row>
    <row r="5711" spans="1:11" x14ac:dyDescent="0.25">
      <c r="A5711" s="4">
        <v>44181</v>
      </c>
      <c r="B5711" s="19">
        <f t="shared" si="178"/>
        <v>2020</v>
      </c>
      <c r="C5711" s="19">
        <f t="shared" si="179"/>
        <v>12</v>
      </c>
      <c r="D5711" s="5" t="s">
        <v>1831</v>
      </c>
      <c r="E5711" s="5" t="s">
        <v>18</v>
      </c>
      <c r="F5711" s="5" t="s">
        <v>14</v>
      </c>
      <c r="G5711" s="5" t="s">
        <v>24</v>
      </c>
      <c r="H5711" s="5" t="s">
        <v>1807</v>
      </c>
      <c r="I5711" s="13">
        <v>378.95</v>
      </c>
      <c r="J5711" s="19">
        <v>5</v>
      </c>
      <c r="K5711" s="14">
        <v>31.4895</v>
      </c>
    </row>
    <row r="5712" spans="1:11" x14ac:dyDescent="0.25">
      <c r="A5712" s="2">
        <v>44181</v>
      </c>
      <c r="B5712" s="18">
        <f t="shared" si="178"/>
        <v>2020</v>
      </c>
      <c r="C5712" s="18">
        <f t="shared" si="179"/>
        <v>12</v>
      </c>
      <c r="D5712" s="3" t="s">
        <v>367</v>
      </c>
      <c r="E5712" s="3" t="s">
        <v>18</v>
      </c>
      <c r="F5712" s="3" t="s">
        <v>19</v>
      </c>
      <c r="G5712" s="3" t="s">
        <v>20</v>
      </c>
      <c r="H5712" s="3" t="s">
        <v>2541</v>
      </c>
      <c r="I5712" s="11">
        <v>485.9</v>
      </c>
      <c r="J5712" s="18">
        <v>5</v>
      </c>
      <c r="K5712" s="12">
        <v>7.9450000000000003</v>
      </c>
    </row>
    <row r="5713" spans="1:11" x14ac:dyDescent="0.25">
      <c r="A5713" s="4">
        <v>44181</v>
      </c>
      <c r="B5713" s="19">
        <f t="shared" si="178"/>
        <v>2020</v>
      </c>
      <c r="C5713" s="19">
        <f t="shared" si="179"/>
        <v>12</v>
      </c>
      <c r="D5713" s="5" t="s">
        <v>1831</v>
      </c>
      <c r="E5713" s="5" t="s">
        <v>18</v>
      </c>
      <c r="F5713" s="5" t="s">
        <v>14</v>
      </c>
      <c r="G5713" s="5" t="s">
        <v>24</v>
      </c>
      <c r="H5713" s="5" t="s">
        <v>1225</v>
      </c>
      <c r="I5713" s="13">
        <v>522.95000000000005</v>
      </c>
      <c r="J5713" s="19">
        <v>5</v>
      </c>
      <c r="K5713" s="14">
        <v>45.588000000000001</v>
      </c>
    </row>
    <row r="5714" spans="1:11" x14ac:dyDescent="0.25">
      <c r="A5714" s="2">
        <v>44181</v>
      </c>
      <c r="B5714" s="18">
        <f t="shared" si="178"/>
        <v>2020</v>
      </c>
      <c r="C5714" s="18">
        <f t="shared" si="179"/>
        <v>12</v>
      </c>
      <c r="D5714" s="3" t="s">
        <v>2058</v>
      </c>
      <c r="E5714" s="3" t="s">
        <v>29</v>
      </c>
      <c r="F5714" s="3" t="s">
        <v>19</v>
      </c>
      <c r="G5714" s="3" t="s">
        <v>32</v>
      </c>
      <c r="H5714" s="3" t="s">
        <v>347</v>
      </c>
      <c r="I5714" s="11">
        <v>530.79999999999995</v>
      </c>
      <c r="J5714" s="18">
        <v>5</v>
      </c>
      <c r="K5714" s="12">
        <v>5.1840000000000002</v>
      </c>
    </row>
    <row r="5715" spans="1:11" x14ac:dyDescent="0.25">
      <c r="A5715" s="4">
        <v>44181</v>
      </c>
      <c r="B5715" s="19">
        <f t="shared" si="178"/>
        <v>2020</v>
      </c>
      <c r="C5715" s="19">
        <f t="shared" si="179"/>
        <v>12</v>
      </c>
      <c r="D5715" s="5" t="s">
        <v>1831</v>
      </c>
      <c r="E5715" s="5" t="s">
        <v>18</v>
      </c>
      <c r="F5715" s="5" t="s">
        <v>19</v>
      </c>
      <c r="G5715" s="5" t="s">
        <v>127</v>
      </c>
      <c r="H5715" s="5" t="s">
        <v>128</v>
      </c>
      <c r="I5715" s="13">
        <v>602.4</v>
      </c>
      <c r="J5715" s="19">
        <v>3</v>
      </c>
      <c r="K5715" s="14">
        <v>22.2</v>
      </c>
    </row>
    <row r="5716" spans="1:11" x14ac:dyDescent="0.25">
      <c r="A5716" s="2">
        <v>44181</v>
      </c>
      <c r="B5716" s="18">
        <f t="shared" si="178"/>
        <v>2020</v>
      </c>
      <c r="C5716" s="18">
        <f t="shared" si="179"/>
        <v>12</v>
      </c>
      <c r="D5716" s="3" t="s">
        <v>367</v>
      </c>
      <c r="E5716" s="3" t="s">
        <v>18</v>
      </c>
      <c r="F5716" s="3" t="s">
        <v>19</v>
      </c>
      <c r="G5716" s="3" t="s">
        <v>53</v>
      </c>
      <c r="H5716" s="3" t="s">
        <v>802</v>
      </c>
      <c r="I5716" s="11">
        <v>302.36</v>
      </c>
      <c r="J5716" s="18">
        <v>2</v>
      </c>
      <c r="K5716" s="12">
        <v>6.4127999999999998</v>
      </c>
    </row>
    <row r="5717" spans="1:11" x14ac:dyDescent="0.25">
      <c r="A5717" s="4">
        <v>44181</v>
      </c>
      <c r="B5717" s="19">
        <f t="shared" si="178"/>
        <v>2020</v>
      </c>
      <c r="C5717" s="19">
        <f t="shared" si="179"/>
        <v>12</v>
      </c>
      <c r="D5717" s="5" t="s">
        <v>2031</v>
      </c>
      <c r="E5717" s="5" t="s">
        <v>18</v>
      </c>
      <c r="F5717" s="5" t="s">
        <v>11</v>
      </c>
      <c r="G5717" s="5" t="s">
        <v>51</v>
      </c>
      <c r="H5717" s="5" t="s">
        <v>68</v>
      </c>
      <c r="I5717" s="13">
        <v>286.95999999999998</v>
      </c>
      <c r="J5717" s="19">
        <v>2</v>
      </c>
      <c r="K5717" s="14">
        <v>7.5839999999999996</v>
      </c>
    </row>
    <row r="5718" spans="1:11" x14ac:dyDescent="0.25">
      <c r="A5718" s="2">
        <v>44181</v>
      </c>
      <c r="B5718" s="18">
        <f t="shared" si="178"/>
        <v>2020</v>
      </c>
      <c r="C5718" s="18">
        <f t="shared" si="179"/>
        <v>12</v>
      </c>
      <c r="D5718" s="3" t="s">
        <v>2031</v>
      </c>
      <c r="E5718" s="3" t="s">
        <v>18</v>
      </c>
      <c r="F5718" s="3" t="s">
        <v>19</v>
      </c>
      <c r="G5718" s="3" t="s">
        <v>32</v>
      </c>
      <c r="H5718" s="3" t="s">
        <v>1761</v>
      </c>
      <c r="I5718" s="11">
        <v>318.32</v>
      </c>
      <c r="J5718" s="18">
        <v>5</v>
      </c>
      <c r="K5718" s="12">
        <v>8.2080000000000002</v>
      </c>
    </row>
    <row r="5719" spans="1:11" x14ac:dyDescent="0.25">
      <c r="A5719" s="4">
        <v>44181</v>
      </c>
      <c r="B5719" s="19">
        <f t="shared" si="178"/>
        <v>2020</v>
      </c>
      <c r="C5719" s="19">
        <f t="shared" si="179"/>
        <v>12</v>
      </c>
      <c r="D5719" s="5" t="s">
        <v>238</v>
      </c>
      <c r="E5719" s="5" t="s">
        <v>94</v>
      </c>
      <c r="F5719" s="5" t="s">
        <v>19</v>
      </c>
      <c r="G5719" s="5" t="s">
        <v>32</v>
      </c>
      <c r="H5719" s="5" t="s">
        <v>1724</v>
      </c>
      <c r="I5719" s="13">
        <v>277.37599999999998</v>
      </c>
      <c r="J5719" s="19">
        <v>4</v>
      </c>
      <c r="K5719" s="14">
        <v>10.43</v>
      </c>
    </row>
    <row r="5720" spans="1:11" x14ac:dyDescent="0.25">
      <c r="A5720" s="2">
        <v>44181</v>
      </c>
      <c r="B5720" s="18">
        <f t="shared" si="178"/>
        <v>2020</v>
      </c>
      <c r="C5720" s="18">
        <f t="shared" si="179"/>
        <v>12</v>
      </c>
      <c r="D5720" s="3" t="s">
        <v>1831</v>
      </c>
      <c r="E5720" s="3" t="s">
        <v>18</v>
      </c>
      <c r="F5720" s="3" t="s">
        <v>19</v>
      </c>
      <c r="G5720" s="3" t="s">
        <v>32</v>
      </c>
      <c r="H5720" s="3" t="s">
        <v>1907</v>
      </c>
      <c r="I5720" s="11">
        <v>318.98399999999998</v>
      </c>
      <c r="J5720" s="18">
        <v>2</v>
      </c>
      <c r="K5720" s="12">
        <v>2.2440000000000002</v>
      </c>
    </row>
    <row r="5721" spans="1:11" x14ac:dyDescent="0.25">
      <c r="A5721" s="4">
        <v>44181</v>
      </c>
      <c r="B5721" s="19">
        <f t="shared" si="178"/>
        <v>2020</v>
      </c>
      <c r="C5721" s="19">
        <f t="shared" si="179"/>
        <v>12</v>
      </c>
      <c r="D5721" s="5" t="s">
        <v>1831</v>
      </c>
      <c r="E5721" s="5" t="s">
        <v>18</v>
      </c>
      <c r="F5721" s="5" t="s">
        <v>19</v>
      </c>
      <c r="G5721" s="5" t="s">
        <v>40</v>
      </c>
      <c r="H5721" s="5" t="s">
        <v>2304</v>
      </c>
      <c r="I5721" s="13">
        <v>317.95</v>
      </c>
      <c r="J5721" s="19">
        <v>5</v>
      </c>
      <c r="K5721" s="14">
        <v>8.6854999999999993</v>
      </c>
    </row>
    <row r="5722" spans="1:11" x14ac:dyDescent="0.25">
      <c r="A5722" s="2">
        <v>44181</v>
      </c>
      <c r="B5722" s="18">
        <f t="shared" si="178"/>
        <v>2020</v>
      </c>
      <c r="C5722" s="18">
        <f t="shared" si="179"/>
        <v>12</v>
      </c>
      <c r="D5722" s="3" t="s">
        <v>2031</v>
      </c>
      <c r="E5722" s="3" t="s">
        <v>18</v>
      </c>
      <c r="F5722" s="3" t="s">
        <v>11</v>
      </c>
      <c r="G5722" s="3" t="s">
        <v>112</v>
      </c>
      <c r="H5722" s="3" t="s">
        <v>1014</v>
      </c>
      <c r="I5722" s="11">
        <v>348.56799999999998</v>
      </c>
      <c r="J5722" s="18">
        <v>2</v>
      </c>
      <c r="K5722" s="12">
        <v>9.1763999999999992</v>
      </c>
    </row>
    <row r="5723" spans="1:11" x14ac:dyDescent="0.25">
      <c r="A5723" s="4">
        <v>44182</v>
      </c>
      <c r="B5723" s="19">
        <f t="shared" si="178"/>
        <v>2020</v>
      </c>
      <c r="C5723" s="19">
        <f t="shared" si="179"/>
        <v>12</v>
      </c>
      <c r="D5723" s="5" t="s">
        <v>574</v>
      </c>
      <c r="E5723" s="5" t="s">
        <v>23</v>
      </c>
      <c r="F5723" s="5" t="s">
        <v>19</v>
      </c>
      <c r="G5723" s="5" t="s">
        <v>121</v>
      </c>
      <c r="H5723" s="5" t="s">
        <v>889</v>
      </c>
      <c r="I5723" s="13">
        <v>283.28399999999999</v>
      </c>
      <c r="J5723" s="19">
        <v>2</v>
      </c>
      <c r="K5723" s="14">
        <v>-178.96680000000001</v>
      </c>
    </row>
    <row r="5724" spans="1:11" x14ac:dyDescent="0.25">
      <c r="A5724" s="2">
        <v>44182</v>
      </c>
      <c r="B5724" s="18">
        <f t="shared" si="178"/>
        <v>2020</v>
      </c>
      <c r="C5724" s="18">
        <f t="shared" si="179"/>
        <v>12</v>
      </c>
      <c r="D5724" s="3" t="s">
        <v>966</v>
      </c>
      <c r="E5724" s="3" t="s">
        <v>94</v>
      </c>
      <c r="F5724" s="3" t="s">
        <v>11</v>
      </c>
      <c r="G5724" s="3" t="s">
        <v>51</v>
      </c>
      <c r="H5724" s="3" t="s">
        <v>1429</v>
      </c>
      <c r="I5724" s="11">
        <v>486.36</v>
      </c>
      <c r="J5724" s="18">
        <v>2</v>
      </c>
      <c r="K5724" s="12">
        <v>27.359200000000001</v>
      </c>
    </row>
    <row r="5725" spans="1:11" x14ac:dyDescent="0.25">
      <c r="A5725" s="4">
        <v>44182</v>
      </c>
      <c r="B5725" s="19">
        <f t="shared" si="178"/>
        <v>2020</v>
      </c>
      <c r="C5725" s="19">
        <f t="shared" si="179"/>
        <v>12</v>
      </c>
      <c r="D5725" s="5" t="s">
        <v>966</v>
      </c>
      <c r="E5725" s="5" t="s">
        <v>94</v>
      </c>
      <c r="F5725" s="5" t="s">
        <v>19</v>
      </c>
      <c r="G5725" s="5" t="s">
        <v>20</v>
      </c>
      <c r="H5725" s="5" t="s">
        <v>1260</v>
      </c>
      <c r="I5725" s="13">
        <v>499.72</v>
      </c>
      <c r="J5725" s="19">
        <v>2</v>
      </c>
      <c r="K5725" s="14">
        <v>41.68</v>
      </c>
    </row>
    <row r="5726" spans="1:11" x14ac:dyDescent="0.25">
      <c r="A5726" s="2">
        <v>44182</v>
      </c>
      <c r="B5726" s="18">
        <f t="shared" si="178"/>
        <v>2020</v>
      </c>
      <c r="C5726" s="18">
        <f t="shared" si="179"/>
        <v>12</v>
      </c>
      <c r="D5726" s="3" t="s">
        <v>574</v>
      </c>
      <c r="E5726" s="3" t="s">
        <v>18</v>
      </c>
      <c r="F5726" s="3" t="s">
        <v>19</v>
      </c>
      <c r="G5726" s="3" t="s">
        <v>53</v>
      </c>
      <c r="H5726" s="3" t="s">
        <v>1435</v>
      </c>
      <c r="I5726" s="11">
        <v>541.23</v>
      </c>
      <c r="J5726" s="18">
        <v>3</v>
      </c>
      <c r="K5726" s="12">
        <v>6.0857999999999999</v>
      </c>
    </row>
    <row r="5727" spans="1:11" x14ac:dyDescent="0.25">
      <c r="A5727" s="4">
        <v>44182</v>
      </c>
      <c r="B5727" s="19">
        <f t="shared" si="178"/>
        <v>2020</v>
      </c>
      <c r="C5727" s="19">
        <f t="shared" si="179"/>
        <v>12</v>
      </c>
      <c r="D5727" s="5" t="s">
        <v>1088</v>
      </c>
      <c r="E5727" s="5" t="s">
        <v>56</v>
      </c>
      <c r="F5727" s="5" t="s">
        <v>19</v>
      </c>
      <c r="G5727" s="5" t="s">
        <v>20</v>
      </c>
      <c r="H5727" s="5" t="s">
        <v>2210</v>
      </c>
      <c r="I5727" s="13">
        <v>639.55999999999995</v>
      </c>
      <c r="J5727" s="19">
        <v>2</v>
      </c>
      <c r="K5727" s="14">
        <v>8.4656000000000002</v>
      </c>
    </row>
    <row r="5728" spans="1:11" x14ac:dyDescent="0.25">
      <c r="A5728" s="2">
        <v>44182</v>
      </c>
      <c r="B5728" s="18">
        <f t="shared" si="178"/>
        <v>2020</v>
      </c>
      <c r="C5728" s="18">
        <f t="shared" si="179"/>
        <v>12</v>
      </c>
      <c r="D5728" s="3" t="s">
        <v>22</v>
      </c>
      <c r="E5728" s="3" t="s">
        <v>18</v>
      </c>
      <c r="F5728" s="3" t="s">
        <v>19</v>
      </c>
      <c r="G5728" s="3" t="s">
        <v>20</v>
      </c>
      <c r="H5728" s="3" t="s">
        <v>141</v>
      </c>
      <c r="I5728" s="11">
        <v>682.32</v>
      </c>
      <c r="J5728" s="18">
        <v>4</v>
      </c>
      <c r="K5728" s="12">
        <v>125.14319999999999</v>
      </c>
    </row>
    <row r="5729" spans="1:11" x14ac:dyDescent="0.25">
      <c r="A5729" s="4">
        <v>44182</v>
      </c>
      <c r="B5729" s="19">
        <f t="shared" si="178"/>
        <v>2020</v>
      </c>
      <c r="C5729" s="19">
        <f t="shared" si="179"/>
        <v>12</v>
      </c>
      <c r="D5729" s="5" t="s">
        <v>1833</v>
      </c>
      <c r="E5729" s="5" t="s">
        <v>181</v>
      </c>
      <c r="F5729" s="5" t="s">
        <v>11</v>
      </c>
      <c r="G5729" s="5" t="s">
        <v>112</v>
      </c>
      <c r="H5729" s="5" t="s">
        <v>1095</v>
      </c>
      <c r="I5729" s="13">
        <v>699.9</v>
      </c>
      <c r="J5729" s="19">
        <v>5</v>
      </c>
      <c r="K5729" s="14">
        <v>80.784000000000006</v>
      </c>
    </row>
    <row r="5730" spans="1:11" x14ac:dyDescent="0.25">
      <c r="A5730" s="2">
        <v>44182</v>
      </c>
      <c r="B5730" s="18">
        <f t="shared" si="178"/>
        <v>2020</v>
      </c>
      <c r="C5730" s="18">
        <f t="shared" si="179"/>
        <v>12</v>
      </c>
      <c r="D5730" s="3" t="s">
        <v>356</v>
      </c>
      <c r="E5730" s="3" t="s">
        <v>181</v>
      </c>
      <c r="F5730" s="3" t="s">
        <v>19</v>
      </c>
      <c r="G5730" s="3" t="s">
        <v>20</v>
      </c>
      <c r="H5730" s="3" t="s">
        <v>303</v>
      </c>
      <c r="I5730" s="11">
        <v>935.38</v>
      </c>
      <c r="J5730" s="18">
        <v>3</v>
      </c>
      <c r="K5730" s="12">
        <v>157.87020000000001</v>
      </c>
    </row>
    <row r="5731" spans="1:11" x14ac:dyDescent="0.25">
      <c r="A5731" s="4">
        <v>44182</v>
      </c>
      <c r="B5731" s="19">
        <f t="shared" si="178"/>
        <v>2020</v>
      </c>
      <c r="C5731" s="19">
        <f t="shared" si="179"/>
        <v>12</v>
      </c>
      <c r="D5731" s="5" t="s">
        <v>22</v>
      </c>
      <c r="E5731" s="5" t="s">
        <v>18</v>
      </c>
      <c r="F5731" s="5" t="s">
        <v>19</v>
      </c>
      <c r="G5731" s="5" t="s">
        <v>265</v>
      </c>
      <c r="H5731" s="5" t="s">
        <v>2068</v>
      </c>
      <c r="I5731" s="13">
        <v>1150.98</v>
      </c>
      <c r="J5731" s="19">
        <v>1</v>
      </c>
      <c r="K5731" s="14">
        <v>3.6347999999999998</v>
      </c>
    </row>
    <row r="5732" spans="1:11" x14ac:dyDescent="0.25">
      <c r="A5732" s="2">
        <v>44182</v>
      </c>
      <c r="B5732" s="18">
        <f t="shared" si="178"/>
        <v>2020</v>
      </c>
      <c r="C5732" s="18">
        <f t="shared" si="179"/>
        <v>12</v>
      </c>
      <c r="D5732" s="3" t="s">
        <v>574</v>
      </c>
      <c r="E5732" s="3" t="s">
        <v>18</v>
      </c>
      <c r="F5732" s="3" t="s">
        <v>19</v>
      </c>
      <c r="G5732" s="3" t="s">
        <v>32</v>
      </c>
      <c r="H5732" s="3" t="s">
        <v>1904</v>
      </c>
      <c r="I5732" s="11">
        <v>335.24</v>
      </c>
      <c r="J5732" s="18">
        <v>5</v>
      </c>
      <c r="K5732" s="12">
        <v>5.1435000000000004</v>
      </c>
    </row>
    <row r="5733" spans="1:11" x14ac:dyDescent="0.25">
      <c r="A5733" s="4">
        <v>44182</v>
      </c>
      <c r="B5733" s="19">
        <f t="shared" si="178"/>
        <v>2020</v>
      </c>
      <c r="C5733" s="19">
        <f t="shared" si="179"/>
        <v>12</v>
      </c>
      <c r="D5733" s="5" t="s">
        <v>966</v>
      </c>
      <c r="E5733" s="5" t="s">
        <v>94</v>
      </c>
      <c r="F5733" s="5" t="s">
        <v>19</v>
      </c>
      <c r="G5733" s="5" t="s">
        <v>32</v>
      </c>
      <c r="H5733" s="5" t="s">
        <v>1020</v>
      </c>
      <c r="I5733" s="13">
        <v>444.81599999999997</v>
      </c>
      <c r="J5733" s="19">
        <v>3</v>
      </c>
      <c r="K5733" s="14">
        <v>8.3754000000000008</v>
      </c>
    </row>
    <row r="5734" spans="1:11" x14ac:dyDescent="0.25">
      <c r="A5734" s="2">
        <v>44182</v>
      </c>
      <c r="B5734" s="18">
        <f t="shared" si="178"/>
        <v>2020</v>
      </c>
      <c r="C5734" s="18">
        <f t="shared" si="179"/>
        <v>12</v>
      </c>
      <c r="D5734" s="3" t="s">
        <v>2305</v>
      </c>
      <c r="E5734" s="3" t="s">
        <v>317</v>
      </c>
      <c r="F5734" s="3" t="s">
        <v>19</v>
      </c>
      <c r="G5734" s="3" t="s">
        <v>53</v>
      </c>
      <c r="H5734" s="3" t="s">
        <v>1092</v>
      </c>
      <c r="I5734" s="11">
        <v>407.16</v>
      </c>
      <c r="J5734" s="18">
        <v>4</v>
      </c>
      <c r="K5734" s="12">
        <v>13.235200000000001</v>
      </c>
    </row>
    <row r="5735" spans="1:11" x14ac:dyDescent="0.25">
      <c r="A5735" s="4">
        <v>44182</v>
      </c>
      <c r="B5735" s="19">
        <f t="shared" si="178"/>
        <v>2020</v>
      </c>
      <c r="C5735" s="19">
        <f t="shared" si="179"/>
        <v>12</v>
      </c>
      <c r="D5735" s="5" t="s">
        <v>2088</v>
      </c>
      <c r="E5735" s="5" t="s">
        <v>18</v>
      </c>
      <c r="F5735" s="5" t="s">
        <v>19</v>
      </c>
      <c r="G5735" s="5" t="s">
        <v>32</v>
      </c>
      <c r="H5735" s="5" t="s">
        <v>515</v>
      </c>
      <c r="I5735" s="13">
        <v>431.80799999999999</v>
      </c>
      <c r="J5735" s="19">
        <v>2</v>
      </c>
      <c r="K5735" s="14">
        <v>4.2804000000000002</v>
      </c>
    </row>
    <row r="5736" spans="1:11" x14ac:dyDescent="0.25">
      <c r="A5736" s="2">
        <v>44183</v>
      </c>
      <c r="B5736" s="18">
        <f t="shared" si="178"/>
        <v>2020</v>
      </c>
      <c r="C5736" s="18">
        <f t="shared" si="179"/>
        <v>12</v>
      </c>
      <c r="D5736" s="3" t="s">
        <v>612</v>
      </c>
      <c r="E5736" s="3" t="s">
        <v>67</v>
      </c>
      <c r="F5736" s="3" t="s">
        <v>19</v>
      </c>
      <c r="G5736" s="3" t="s">
        <v>53</v>
      </c>
      <c r="H5736" s="3" t="s">
        <v>1496</v>
      </c>
      <c r="I5736" s="11">
        <v>344.36</v>
      </c>
      <c r="J5736" s="18">
        <v>5</v>
      </c>
      <c r="K5736" s="12">
        <v>29.692</v>
      </c>
    </row>
    <row r="5737" spans="1:11" x14ac:dyDescent="0.25">
      <c r="A5737" s="4">
        <v>44183</v>
      </c>
      <c r="B5737" s="19">
        <f t="shared" si="178"/>
        <v>2020</v>
      </c>
      <c r="C5737" s="19">
        <f t="shared" si="179"/>
        <v>12</v>
      </c>
      <c r="D5737" s="5" t="s">
        <v>1623</v>
      </c>
      <c r="E5737" s="5" t="s">
        <v>18</v>
      </c>
      <c r="F5737" s="5" t="s">
        <v>14</v>
      </c>
      <c r="G5737" s="5" t="s">
        <v>24</v>
      </c>
      <c r="H5737" s="5" t="s">
        <v>1337</v>
      </c>
      <c r="I5737" s="13">
        <v>395.98</v>
      </c>
      <c r="J5737" s="19">
        <v>2</v>
      </c>
      <c r="K5737" s="14">
        <v>57.590400000000002</v>
      </c>
    </row>
    <row r="5738" spans="1:11" x14ac:dyDescent="0.25">
      <c r="A5738" s="2">
        <v>44183</v>
      </c>
      <c r="B5738" s="18">
        <f t="shared" si="178"/>
        <v>2020</v>
      </c>
      <c r="C5738" s="18">
        <f t="shared" si="179"/>
        <v>12</v>
      </c>
      <c r="D5738" s="3" t="s">
        <v>163</v>
      </c>
      <c r="E5738" s="3" t="s">
        <v>56</v>
      </c>
      <c r="F5738" s="3" t="s">
        <v>11</v>
      </c>
      <c r="G5738" s="3" t="s">
        <v>51</v>
      </c>
      <c r="H5738" s="3" t="s">
        <v>2374</v>
      </c>
      <c r="I5738" s="11">
        <v>432.95</v>
      </c>
      <c r="J5738" s="18">
        <v>5</v>
      </c>
      <c r="K5738" s="12">
        <v>22.988499999999998</v>
      </c>
    </row>
    <row r="5739" spans="1:11" x14ac:dyDescent="0.25">
      <c r="A5739" s="4">
        <v>44183</v>
      </c>
      <c r="B5739" s="19">
        <f t="shared" si="178"/>
        <v>2020</v>
      </c>
      <c r="C5739" s="19">
        <f t="shared" si="179"/>
        <v>12</v>
      </c>
      <c r="D5739" s="5" t="s">
        <v>1623</v>
      </c>
      <c r="E5739" s="5" t="s">
        <v>18</v>
      </c>
      <c r="F5739" s="5" t="s">
        <v>11</v>
      </c>
      <c r="G5739" s="5" t="s">
        <v>12</v>
      </c>
      <c r="H5739" s="5" t="s">
        <v>2582</v>
      </c>
      <c r="I5739" s="13">
        <v>363.83300000000003</v>
      </c>
      <c r="J5739" s="19">
        <v>1</v>
      </c>
      <c r="K5739" s="14">
        <v>-12.6882</v>
      </c>
    </row>
    <row r="5740" spans="1:11" x14ac:dyDescent="0.25">
      <c r="A5740" s="2">
        <v>44183</v>
      </c>
      <c r="B5740" s="18">
        <f t="shared" si="178"/>
        <v>2020</v>
      </c>
      <c r="C5740" s="18">
        <f t="shared" si="179"/>
        <v>12</v>
      </c>
      <c r="D5740" s="3" t="s">
        <v>612</v>
      </c>
      <c r="E5740" s="3" t="s">
        <v>67</v>
      </c>
      <c r="F5740" s="3" t="s">
        <v>19</v>
      </c>
      <c r="G5740" s="3" t="s">
        <v>121</v>
      </c>
      <c r="H5740" s="3" t="s">
        <v>685</v>
      </c>
      <c r="I5740" s="11">
        <v>498.11200000000002</v>
      </c>
      <c r="J5740" s="18">
        <v>2</v>
      </c>
      <c r="K5740" s="12">
        <v>13.011200000000001</v>
      </c>
    </row>
    <row r="5741" spans="1:11" x14ac:dyDescent="0.25">
      <c r="A5741" s="4">
        <v>44183</v>
      </c>
      <c r="B5741" s="19">
        <f t="shared" si="178"/>
        <v>2020</v>
      </c>
      <c r="C5741" s="19">
        <f t="shared" si="179"/>
        <v>12</v>
      </c>
      <c r="D5741" s="5" t="s">
        <v>163</v>
      </c>
      <c r="E5741" s="5" t="s">
        <v>56</v>
      </c>
      <c r="F5741" s="5" t="s">
        <v>14</v>
      </c>
      <c r="G5741" s="5" t="s">
        <v>24</v>
      </c>
      <c r="H5741" s="5" t="s">
        <v>2090</v>
      </c>
      <c r="I5741" s="13">
        <v>577.34</v>
      </c>
      <c r="J5741" s="19">
        <v>3</v>
      </c>
      <c r="K5741" s="14">
        <v>10.8558</v>
      </c>
    </row>
    <row r="5742" spans="1:11" x14ac:dyDescent="0.25">
      <c r="A5742" s="2">
        <v>44183</v>
      </c>
      <c r="B5742" s="18">
        <f t="shared" si="178"/>
        <v>2020</v>
      </c>
      <c r="C5742" s="18">
        <f t="shared" si="179"/>
        <v>12</v>
      </c>
      <c r="D5742" s="3" t="s">
        <v>1706</v>
      </c>
      <c r="E5742" s="3" t="s">
        <v>18</v>
      </c>
      <c r="F5742" s="3" t="s">
        <v>19</v>
      </c>
      <c r="G5742" s="3" t="s">
        <v>53</v>
      </c>
      <c r="H5742" s="3" t="s">
        <v>1194</v>
      </c>
      <c r="I5742" s="11">
        <v>723.4</v>
      </c>
      <c r="J5742" s="18">
        <v>5</v>
      </c>
      <c r="K5742" s="12">
        <v>15.552</v>
      </c>
    </row>
    <row r="5743" spans="1:11" x14ac:dyDescent="0.25">
      <c r="A5743" s="4">
        <v>44183</v>
      </c>
      <c r="B5743" s="19">
        <f t="shared" si="178"/>
        <v>2020</v>
      </c>
      <c r="C5743" s="19">
        <f t="shared" si="179"/>
        <v>12</v>
      </c>
      <c r="D5743" s="5" t="s">
        <v>1878</v>
      </c>
      <c r="E5743" s="5" t="s">
        <v>94</v>
      </c>
      <c r="F5743" s="5" t="s">
        <v>11</v>
      </c>
      <c r="G5743" s="5" t="s">
        <v>112</v>
      </c>
      <c r="H5743" s="5" t="s">
        <v>1284</v>
      </c>
      <c r="I5743" s="13">
        <v>1406.9380000000001</v>
      </c>
      <c r="J5743" s="19">
        <v>9</v>
      </c>
      <c r="K5743" s="14">
        <v>139.5702</v>
      </c>
    </row>
    <row r="5744" spans="1:11" x14ac:dyDescent="0.25">
      <c r="A5744" s="2">
        <v>44183</v>
      </c>
      <c r="B5744" s="18">
        <f t="shared" si="178"/>
        <v>2020</v>
      </c>
      <c r="C5744" s="18">
        <f t="shared" si="179"/>
        <v>12</v>
      </c>
      <c r="D5744" s="3" t="s">
        <v>1878</v>
      </c>
      <c r="E5744" s="3" t="s">
        <v>94</v>
      </c>
      <c r="F5744" s="3" t="s">
        <v>19</v>
      </c>
      <c r="G5744" s="3" t="s">
        <v>121</v>
      </c>
      <c r="H5744" s="3" t="s">
        <v>938</v>
      </c>
      <c r="I5744" s="11">
        <v>2087.56</v>
      </c>
      <c r="J5744" s="18">
        <v>13</v>
      </c>
      <c r="K5744" s="12">
        <v>511.36799999999999</v>
      </c>
    </row>
    <row r="5745" spans="1:11" x14ac:dyDescent="0.25">
      <c r="A5745" s="4">
        <v>44183</v>
      </c>
      <c r="B5745" s="19">
        <f t="shared" si="178"/>
        <v>2020</v>
      </c>
      <c r="C5745" s="19">
        <f t="shared" si="179"/>
        <v>12</v>
      </c>
      <c r="D5745" s="5" t="s">
        <v>699</v>
      </c>
      <c r="E5745" s="5" t="s">
        <v>18</v>
      </c>
      <c r="F5745" s="5" t="s">
        <v>19</v>
      </c>
      <c r="G5745" s="5" t="s">
        <v>40</v>
      </c>
      <c r="H5745" s="5" t="s">
        <v>1427</v>
      </c>
      <c r="I5745" s="13">
        <v>293.76</v>
      </c>
      <c r="J5745" s="19">
        <v>2</v>
      </c>
      <c r="K5745" s="14">
        <v>1.6704000000000001</v>
      </c>
    </row>
    <row r="5746" spans="1:11" x14ac:dyDescent="0.25">
      <c r="A5746" s="2">
        <v>44183</v>
      </c>
      <c r="B5746" s="18">
        <f t="shared" si="178"/>
        <v>2020</v>
      </c>
      <c r="C5746" s="18">
        <f t="shared" si="179"/>
        <v>12</v>
      </c>
      <c r="D5746" s="3" t="s">
        <v>612</v>
      </c>
      <c r="E5746" s="3" t="s">
        <v>67</v>
      </c>
      <c r="F5746" s="3" t="s">
        <v>19</v>
      </c>
      <c r="G5746" s="3" t="s">
        <v>32</v>
      </c>
      <c r="H5746" s="3" t="s">
        <v>1191</v>
      </c>
      <c r="I5746" s="11">
        <v>284.23599999999999</v>
      </c>
      <c r="J5746" s="18">
        <v>3</v>
      </c>
      <c r="K5746" s="12">
        <v>-6.03</v>
      </c>
    </row>
    <row r="5747" spans="1:11" x14ac:dyDescent="0.25">
      <c r="A5747" s="4">
        <v>44183</v>
      </c>
      <c r="B5747" s="19">
        <f t="shared" si="178"/>
        <v>2020</v>
      </c>
      <c r="C5747" s="19">
        <f t="shared" si="179"/>
        <v>12</v>
      </c>
      <c r="D5747" s="5" t="s">
        <v>1323</v>
      </c>
      <c r="E5747" s="5" t="s">
        <v>35</v>
      </c>
      <c r="F5747" s="5" t="s">
        <v>19</v>
      </c>
      <c r="G5747" s="5" t="s">
        <v>40</v>
      </c>
      <c r="H5747" s="5" t="s">
        <v>1704</v>
      </c>
      <c r="I5747" s="13">
        <v>354.67200000000003</v>
      </c>
      <c r="J5747" s="19">
        <v>9</v>
      </c>
      <c r="K5747" s="14">
        <v>1.4256</v>
      </c>
    </row>
    <row r="5748" spans="1:11" x14ac:dyDescent="0.25">
      <c r="A5748" s="2">
        <v>44183</v>
      </c>
      <c r="B5748" s="18">
        <f t="shared" si="178"/>
        <v>2020</v>
      </c>
      <c r="C5748" s="18">
        <f t="shared" si="179"/>
        <v>12</v>
      </c>
      <c r="D5748" s="3" t="s">
        <v>473</v>
      </c>
      <c r="E5748" s="3" t="s">
        <v>39</v>
      </c>
      <c r="F5748" s="3" t="s">
        <v>19</v>
      </c>
      <c r="G5748" s="3" t="s">
        <v>40</v>
      </c>
      <c r="H5748" s="3" t="s">
        <v>1707</v>
      </c>
      <c r="I5748" s="11">
        <v>342.70400000000001</v>
      </c>
      <c r="J5748" s="18">
        <v>7</v>
      </c>
      <c r="K5748" s="12">
        <v>2.3380000000000001</v>
      </c>
    </row>
    <row r="5749" spans="1:11" x14ac:dyDescent="0.25">
      <c r="A5749" s="4">
        <v>44183</v>
      </c>
      <c r="B5749" s="19">
        <f t="shared" si="178"/>
        <v>2020</v>
      </c>
      <c r="C5749" s="19">
        <f t="shared" si="179"/>
        <v>12</v>
      </c>
      <c r="D5749" s="5" t="s">
        <v>612</v>
      </c>
      <c r="E5749" s="5" t="s">
        <v>67</v>
      </c>
      <c r="F5749" s="5" t="s">
        <v>19</v>
      </c>
      <c r="G5749" s="5" t="s">
        <v>116</v>
      </c>
      <c r="H5749" s="5" t="s">
        <v>635</v>
      </c>
      <c r="I5749" s="13">
        <v>379.82400000000001</v>
      </c>
      <c r="J5749" s="19">
        <v>3</v>
      </c>
      <c r="K5749" s="14">
        <v>1.7486999999999999</v>
      </c>
    </row>
    <row r="5750" spans="1:11" x14ac:dyDescent="0.25">
      <c r="A5750" s="2">
        <v>44183</v>
      </c>
      <c r="B5750" s="18">
        <f t="shared" si="178"/>
        <v>2020</v>
      </c>
      <c r="C5750" s="18">
        <f t="shared" si="179"/>
        <v>12</v>
      </c>
      <c r="D5750" s="3" t="s">
        <v>1706</v>
      </c>
      <c r="E5750" s="3" t="s">
        <v>18</v>
      </c>
      <c r="F5750" s="3" t="s">
        <v>19</v>
      </c>
      <c r="G5750" s="3" t="s">
        <v>40</v>
      </c>
      <c r="H5750" s="3" t="s">
        <v>2057</v>
      </c>
      <c r="I5750" s="11">
        <v>385.63</v>
      </c>
      <c r="J5750" s="18">
        <v>3</v>
      </c>
      <c r="K5750" s="12">
        <v>1.7901</v>
      </c>
    </row>
    <row r="5751" spans="1:11" x14ac:dyDescent="0.25">
      <c r="A5751" s="4">
        <v>44183</v>
      </c>
      <c r="B5751" s="19">
        <f t="shared" si="178"/>
        <v>2020</v>
      </c>
      <c r="C5751" s="19">
        <f t="shared" si="179"/>
        <v>12</v>
      </c>
      <c r="D5751" s="5" t="s">
        <v>1706</v>
      </c>
      <c r="E5751" s="5" t="s">
        <v>18</v>
      </c>
      <c r="F5751" s="5" t="s">
        <v>19</v>
      </c>
      <c r="G5751" s="5" t="s">
        <v>53</v>
      </c>
      <c r="H5751" s="5" t="s">
        <v>1822</v>
      </c>
      <c r="I5751" s="13">
        <v>267.95999999999998</v>
      </c>
      <c r="J5751" s="19">
        <v>2</v>
      </c>
      <c r="K5751" s="14">
        <v>6.2207999999999997</v>
      </c>
    </row>
    <row r="5752" spans="1:11" x14ac:dyDescent="0.25">
      <c r="A5752" s="2">
        <v>44183</v>
      </c>
      <c r="B5752" s="18">
        <f t="shared" si="178"/>
        <v>2020</v>
      </c>
      <c r="C5752" s="18">
        <f t="shared" si="179"/>
        <v>12</v>
      </c>
      <c r="D5752" s="3" t="s">
        <v>1878</v>
      </c>
      <c r="E5752" s="3" t="s">
        <v>94</v>
      </c>
      <c r="F5752" s="3" t="s">
        <v>19</v>
      </c>
      <c r="G5752" s="3" t="s">
        <v>40</v>
      </c>
      <c r="H5752" s="3" t="s">
        <v>811</v>
      </c>
      <c r="I5752" s="11">
        <v>266.2</v>
      </c>
      <c r="J5752" s="18">
        <v>2</v>
      </c>
      <c r="K5752" s="12">
        <v>1.3759999999999999</v>
      </c>
    </row>
    <row r="5753" spans="1:11" x14ac:dyDescent="0.25">
      <c r="A5753" s="4">
        <v>44183</v>
      </c>
      <c r="B5753" s="19">
        <f t="shared" si="178"/>
        <v>2020</v>
      </c>
      <c r="C5753" s="19">
        <f t="shared" si="179"/>
        <v>12</v>
      </c>
      <c r="D5753" s="5" t="s">
        <v>2073</v>
      </c>
      <c r="E5753" s="5" t="s">
        <v>94</v>
      </c>
      <c r="F5753" s="5" t="s">
        <v>11</v>
      </c>
      <c r="G5753" s="5" t="s">
        <v>51</v>
      </c>
      <c r="H5753" s="5" t="s">
        <v>392</v>
      </c>
      <c r="I5753" s="13">
        <v>332.96</v>
      </c>
      <c r="J5753" s="19">
        <v>2</v>
      </c>
      <c r="K5753" s="14">
        <v>8.532</v>
      </c>
    </row>
    <row r="5754" spans="1:11" x14ac:dyDescent="0.25">
      <c r="A5754" s="2">
        <v>44183</v>
      </c>
      <c r="B5754" s="18">
        <f t="shared" si="178"/>
        <v>2020</v>
      </c>
      <c r="C5754" s="18">
        <f t="shared" si="179"/>
        <v>12</v>
      </c>
      <c r="D5754" s="3" t="s">
        <v>1623</v>
      </c>
      <c r="E5754" s="3" t="s">
        <v>18</v>
      </c>
      <c r="F5754" s="3" t="s">
        <v>19</v>
      </c>
      <c r="G5754" s="3" t="s">
        <v>32</v>
      </c>
      <c r="H5754" s="3" t="s">
        <v>1155</v>
      </c>
      <c r="I5754" s="11">
        <v>455.67200000000003</v>
      </c>
      <c r="J5754" s="18">
        <v>2</v>
      </c>
      <c r="K5754" s="12">
        <v>16.3352</v>
      </c>
    </row>
    <row r="5755" spans="1:11" x14ac:dyDescent="0.25">
      <c r="A5755" s="4">
        <v>44183</v>
      </c>
      <c r="B5755" s="19">
        <f t="shared" si="178"/>
        <v>2020</v>
      </c>
      <c r="C5755" s="19">
        <f t="shared" si="179"/>
        <v>12</v>
      </c>
      <c r="D5755" s="5" t="s">
        <v>1878</v>
      </c>
      <c r="E5755" s="5" t="s">
        <v>94</v>
      </c>
      <c r="F5755" s="5" t="s">
        <v>19</v>
      </c>
      <c r="G5755" s="5" t="s">
        <v>40</v>
      </c>
      <c r="H5755" s="5" t="s">
        <v>1672</v>
      </c>
      <c r="I5755" s="13">
        <v>394.82</v>
      </c>
      <c r="J5755" s="19">
        <v>6</v>
      </c>
      <c r="K5755" s="14">
        <v>17.469000000000001</v>
      </c>
    </row>
    <row r="5756" spans="1:11" x14ac:dyDescent="0.25">
      <c r="A5756" s="2">
        <v>44184</v>
      </c>
      <c r="B5756" s="18">
        <f t="shared" si="178"/>
        <v>2020</v>
      </c>
      <c r="C5756" s="18">
        <f t="shared" si="179"/>
        <v>12</v>
      </c>
      <c r="D5756" s="3" t="s">
        <v>1642</v>
      </c>
      <c r="E5756" s="3" t="s">
        <v>306</v>
      </c>
      <c r="F5756" s="3" t="s">
        <v>11</v>
      </c>
      <c r="G5756" s="3" t="s">
        <v>12</v>
      </c>
      <c r="H5756" s="3" t="s">
        <v>162</v>
      </c>
      <c r="I5756" s="11">
        <v>363.01799999999997</v>
      </c>
      <c r="J5756" s="18">
        <v>7</v>
      </c>
      <c r="K5756" s="12">
        <v>-183.63239999999999</v>
      </c>
    </row>
    <row r="5757" spans="1:11" x14ac:dyDescent="0.25">
      <c r="A5757" s="4">
        <v>44184</v>
      </c>
      <c r="B5757" s="19">
        <f t="shared" si="178"/>
        <v>2020</v>
      </c>
      <c r="C5757" s="19">
        <f t="shared" si="179"/>
        <v>12</v>
      </c>
      <c r="D5757" s="5" t="s">
        <v>702</v>
      </c>
      <c r="E5757" s="5" t="s">
        <v>18</v>
      </c>
      <c r="F5757" s="5" t="s">
        <v>19</v>
      </c>
      <c r="G5757" s="5" t="s">
        <v>32</v>
      </c>
      <c r="H5757" s="5" t="s">
        <v>1430</v>
      </c>
      <c r="I5757" s="13">
        <v>488.67200000000003</v>
      </c>
      <c r="J5757" s="19">
        <v>2</v>
      </c>
      <c r="K5757" s="14">
        <v>11.46</v>
      </c>
    </row>
    <row r="5758" spans="1:11" x14ac:dyDescent="0.25">
      <c r="A5758" s="2">
        <v>44184</v>
      </c>
      <c r="B5758" s="18">
        <f t="shared" si="178"/>
        <v>2020</v>
      </c>
      <c r="C5758" s="18">
        <f t="shared" si="179"/>
        <v>12</v>
      </c>
      <c r="D5758" s="3" t="s">
        <v>1642</v>
      </c>
      <c r="E5758" s="3" t="s">
        <v>306</v>
      </c>
      <c r="F5758" s="3" t="s">
        <v>19</v>
      </c>
      <c r="G5758" s="3" t="s">
        <v>20</v>
      </c>
      <c r="H5758" s="3" t="s">
        <v>761</v>
      </c>
      <c r="I5758" s="11">
        <v>677.25599999999997</v>
      </c>
      <c r="J5758" s="18">
        <v>2</v>
      </c>
      <c r="K5758" s="12">
        <v>-17.607600000000001</v>
      </c>
    </row>
    <row r="5759" spans="1:11" x14ac:dyDescent="0.25">
      <c r="A5759" s="4">
        <v>44184</v>
      </c>
      <c r="B5759" s="19">
        <f t="shared" si="178"/>
        <v>2020</v>
      </c>
      <c r="C5759" s="19">
        <f t="shared" si="179"/>
        <v>12</v>
      </c>
      <c r="D5759" s="5" t="s">
        <v>1614</v>
      </c>
      <c r="E5759" s="5" t="s">
        <v>394</v>
      </c>
      <c r="F5759" s="5" t="s">
        <v>19</v>
      </c>
      <c r="G5759" s="5" t="s">
        <v>265</v>
      </c>
      <c r="H5759" s="5" t="s">
        <v>2086</v>
      </c>
      <c r="I5759" s="13">
        <v>2029.62</v>
      </c>
      <c r="J5759" s="19">
        <v>2</v>
      </c>
      <c r="K5759" s="14">
        <v>33.312399999999997</v>
      </c>
    </row>
    <row r="5760" spans="1:11" x14ac:dyDescent="0.25">
      <c r="A5760" s="2">
        <v>44184</v>
      </c>
      <c r="B5760" s="18">
        <f t="shared" si="178"/>
        <v>2020</v>
      </c>
      <c r="C5760" s="18">
        <f t="shared" si="179"/>
        <v>12</v>
      </c>
      <c r="D5760" s="3" t="s">
        <v>1642</v>
      </c>
      <c r="E5760" s="3" t="s">
        <v>306</v>
      </c>
      <c r="F5760" s="3" t="s">
        <v>11</v>
      </c>
      <c r="G5760" s="3" t="s">
        <v>51</v>
      </c>
      <c r="H5760" s="3" t="s">
        <v>829</v>
      </c>
      <c r="I5760" s="11">
        <v>423.36</v>
      </c>
      <c r="J5760" s="18">
        <v>5</v>
      </c>
      <c r="K5760" s="12">
        <v>4.008</v>
      </c>
    </row>
    <row r="5761" spans="1:11" x14ac:dyDescent="0.25">
      <c r="A5761" s="4">
        <v>44185</v>
      </c>
      <c r="B5761" s="19">
        <f t="shared" si="178"/>
        <v>2020</v>
      </c>
      <c r="C5761" s="19">
        <f t="shared" si="179"/>
        <v>12</v>
      </c>
      <c r="D5761" s="5" t="s">
        <v>2583</v>
      </c>
      <c r="E5761" s="5" t="s">
        <v>94</v>
      </c>
      <c r="F5761" s="5" t="s">
        <v>19</v>
      </c>
      <c r="G5761" s="5" t="s">
        <v>53</v>
      </c>
      <c r="H5761" s="5" t="s">
        <v>1037</v>
      </c>
      <c r="I5761" s="13">
        <v>582.9</v>
      </c>
      <c r="J5761" s="19">
        <v>5</v>
      </c>
      <c r="K5761" s="14">
        <v>137.15100000000001</v>
      </c>
    </row>
    <row r="5762" spans="1:11" x14ac:dyDescent="0.25">
      <c r="A5762" s="2">
        <v>44185</v>
      </c>
      <c r="B5762" s="18">
        <f t="shared" ref="B5762:B5825" si="180">YEAR(A5762)</f>
        <v>2020</v>
      </c>
      <c r="C5762" s="18">
        <f t="shared" ref="C5762:C5825" si="181">MONTH(A5762)</f>
        <v>12</v>
      </c>
      <c r="D5762" s="3" t="s">
        <v>396</v>
      </c>
      <c r="E5762" s="3" t="s">
        <v>94</v>
      </c>
      <c r="F5762" s="3" t="s">
        <v>19</v>
      </c>
      <c r="G5762" s="3" t="s">
        <v>32</v>
      </c>
      <c r="H5762" s="3" t="s">
        <v>388</v>
      </c>
      <c r="I5762" s="11">
        <v>3269.9839999999999</v>
      </c>
      <c r="J5762" s="18">
        <v>1</v>
      </c>
      <c r="K5762" s="12">
        <v>2.3571</v>
      </c>
    </row>
    <row r="5763" spans="1:11" x14ac:dyDescent="0.25">
      <c r="A5763" s="4">
        <v>44185</v>
      </c>
      <c r="B5763" s="19">
        <f t="shared" si="180"/>
        <v>2020</v>
      </c>
      <c r="C5763" s="19">
        <f t="shared" si="181"/>
        <v>12</v>
      </c>
      <c r="D5763" s="5" t="s">
        <v>396</v>
      </c>
      <c r="E5763" s="5" t="s">
        <v>94</v>
      </c>
      <c r="F5763" s="5" t="s">
        <v>19</v>
      </c>
      <c r="G5763" s="5" t="s">
        <v>53</v>
      </c>
      <c r="H5763" s="5" t="s">
        <v>600</v>
      </c>
      <c r="I5763" s="13">
        <v>280.48</v>
      </c>
      <c r="J5763" s="19">
        <v>1</v>
      </c>
      <c r="K5763" s="14">
        <v>3.1103999999999998</v>
      </c>
    </row>
    <row r="5764" spans="1:11" x14ac:dyDescent="0.25">
      <c r="A5764" s="2">
        <v>44185</v>
      </c>
      <c r="B5764" s="18">
        <f t="shared" si="180"/>
        <v>2020</v>
      </c>
      <c r="C5764" s="18">
        <f t="shared" si="181"/>
        <v>12</v>
      </c>
      <c r="D5764" s="3" t="s">
        <v>2583</v>
      </c>
      <c r="E5764" s="3" t="s">
        <v>94</v>
      </c>
      <c r="F5764" s="3" t="s">
        <v>19</v>
      </c>
      <c r="G5764" s="3" t="s">
        <v>53</v>
      </c>
      <c r="H5764" s="3" t="s">
        <v>519</v>
      </c>
      <c r="I5764" s="11">
        <v>293.02</v>
      </c>
      <c r="J5764" s="18">
        <v>3</v>
      </c>
      <c r="K5764" s="12">
        <v>16.669799999999999</v>
      </c>
    </row>
    <row r="5765" spans="1:11" x14ac:dyDescent="0.25">
      <c r="A5765" s="4">
        <v>44185</v>
      </c>
      <c r="B5765" s="19">
        <f t="shared" si="180"/>
        <v>2020</v>
      </c>
      <c r="C5765" s="19">
        <f t="shared" si="181"/>
        <v>12</v>
      </c>
      <c r="D5765" s="5" t="s">
        <v>2583</v>
      </c>
      <c r="E5765" s="5" t="s">
        <v>94</v>
      </c>
      <c r="F5765" s="5" t="s">
        <v>19</v>
      </c>
      <c r="G5765" s="5" t="s">
        <v>32</v>
      </c>
      <c r="H5765" s="5" t="s">
        <v>1141</v>
      </c>
      <c r="I5765" s="13">
        <v>489.35199999999998</v>
      </c>
      <c r="J5765" s="19">
        <v>3</v>
      </c>
      <c r="K5765" s="14">
        <v>17.623200000000001</v>
      </c>
    </row>
    <row r="5766" spans="1:11" x14ac:dyDescent="0.25">
      <c r="A5766" s="2">
        <v>44186</v>
      </c>
      <c r="B5766" s="18">
        <f t="shared" si="180"/>
        <v>2020</v>
      </c>
      <c r="C5766" s="18">
        <f t="shared" si="181"/>
        <v>12</v>
      </c>
      <c r="D5766" s="3" t="s">
        <v>495</v>
      </c>
      <c r="E5766" s="3" t="s">
        <v>85</v>
      </c>
      <c r="F5766" s="3" t="s">
        <v>19</v>
      </c>
      <c r="G5766" s="3" t="s">
        <v>265</v>
      </c>
      <c r="H5766" s="3" t="s">
        <v>904</v>
      </c>
      <c r="I5766" s="11">
        <v>383.5</v>
      </c>
      <c r="J5766" s="18">
        <v>5</v>
      </c>
      <c r="K5766" s="12">
        <v>20.155000000000001</v>
      </c>
    </row>
    <row r="5767" spans="1:11" x14ac:dyDescent="0.25">
      <c r="A5767" s="4">
        <v>44186</v>
      </c>
      <c r="B5767" s="19">
        <f t="shared" si="180"/>
        <v>2020</v>
      </c>
      <c r="C5767" s="19">
        <f t="shared" si="181"/>
        <v>12</v>
      </c>
      <c r="D5767" s="5" t="s">
        <v>187</v>
      </c>
      <c r="E5767" s="5" t="s">
        <v>18</v>
      </c>
      <c r="F5767" s="5" t="s">
        <v>19</v>
      </c>
      <c r="G5767" s="5" t="s">
        <v>20</v>
      </c>
      <c r="H5767" s="5" t="s">
        <v>216</v>
      </c>
      <c r="I5767" s="13">
        <v>334.36</v>
      </c>
      <c r="J5767" s="19">
        <v>2</v>
      </c>
      <c r="K5767" s="14">
        <v>33.577199999999998</v>
      </c>
    </row>
    <row r="5768" spans="1:11" x14ac:dyDescent="0.25">
      <c r="A5768" s="2">
        <v>44186</v>
      </c>
      <c r="B5768" s="18">
        <f t="shared" si="180"/>
        <v>2020</v>
      </c>
      <c r="C5768" s="18">
        <f t="shared" si="181"/>
        <v>12</v>
      </c>
      <c r="D5768" s="3" t="s">
        <v>495</v>
      </c>
      <c r="E5768" s="3" t="s">
        <v>85</v>
      </c>
      <c r="F5768" s="3" t="s">
        <v>19</v>
      </c>
      <c r="G5768" s="3" t="s">
        <v>53</v>
      </c>
      <c r="H5768" s="3" t="s">
        <v>2202</v>
      </c>
      <c r="I5768" s="11">
        <v>337.44</v>
      </c>
      <c r="J5768" s="18">
        <v>3</v>
      </c>
      <c r="K5768" s="12">
        <v>79.891199999999998</v>
      </c>
    </row>
    <row r="5769" spans="1:11" x14ac:dyDescent="0.25">
      <c r="A5769" s="4">
        <v>44186</v>
      </c>
      <c r="B5769" s="19">
        <f t="shared" si="180"/>
        <v>2020</v>
      </c>
      <c r="C5769" s="19">
        <f t="shared" si="181"/>
        <v>12</v>
      </c>
      <c r="D5769" s="5" t="s">
        <v>495</v>
      </c>
      <c r="E5769" s="5" t="s">
        <v>85</v>
      </c>
      <c r="F5769" s="5" t="s">
        <v>14</v>
      </c>
      <c r="G5769" s="5" t="s">
        <v>15</v>
      </c>
      <c r="H5769" s="5" t="s">
        <v>2006</v>
      </c>
      <c r="I5769" s="13">
        <v>450.97</v>
      </c>
      <c r="J5769" s="19">
        <v>3</v>
      </c>
      <c r="K5769" s="14">
        <v>78.951599999999999</v>
      </c>
    </row>
    <row r="5770" spans="1:11" x14ac:dyDescent="0.25">
      <c r="A5770" s="2">
        <v>44186</v>
      </c>
      <c r="B5770" s="18">
        <f t="shared" si="180"/>
        <v>2020</v>
      </c>
      <c r="C5770" s="18">
        <f t="shared" si="181"/>
        <v>12</v>
      </c>
      <c r="D5770" s="3" t="s">
        <v>1006</v>
      </c>
      <c r="E5770" s="3" t="s">
        <v>317</v>
      </c>
      <c r="F5770" s="3" t="s">
        <v>19</v>
      </c>
      <c r="G5770" s="3" t="s">
        <v>20</v>
      </c>
      <c r="H5770" s="3" t="s">
        <v>1943</v>
      </c>
      <c r="I5770" s="11">
        <v>541.34</v>
      </c>
      <c r="J5770" s="18">
        <v>1</v>
      </c>
      <c r="K5770" s="12">
        <v>18.766999999999999</v>
      </c>
    </row>
    <row r="5771" spans="1:11" x14ac:dyDescent="0.25">
      <c r="A5771" s="4">
        <v>44186</v>
      </c>
      <c r="B5771" s="19">
        <f t="shared" si="180"/>
        <v>2020</v>
      </c>
      <c r="C5771" s="19">
        <f t="shared" si="181"/>
        <v>12</v>
      </c>
      <c r="D5771" s="5" t="s">
        <v>2237</v>
      </c>
      <c r="E5771" s="5" t="s">
        <v>18</v>
      </c>
      <c r="F5771" s="5" t="s">
        <v>19</v>
      </c>
      <c r="G5771" s="5" t="s">
        <v>20</v>
      </c>
      <c r="H5771" s="5" t="s">
        <v>996</v>
      </c>
      <c r="I5771" s="13">
        <v>1305.02</v>
      </c>
      <c r="J5771" s="19">
        <v>7</v>
      </c>
      <c r="K5771" s="14">
        <v>290.00580000000002</v>
      </c>
    </row>
    <row r="5772" spans="1:11" x14ac:dyDescent="0.25">
      <c r="A5772" s="2">
        <v>44186</v>
      </c>
      <c r="B5772" s="18">
        <f t="shared" si="180"/>
        <v>2020</v>
      </c>
      <c r="C5772" s="18">
        <f t="shared" si="181"/>
        <v>12</v>
      </c>
      <c r="D5772" s="3" t="s">
        <v>868</v>
      </c>
      <c r="E5772" s="3" t="s">
        <v>18</v>
      </c>
      <c r="F5772" s="3" t="s">
        <v>19</v>
      </c>
      <c r="G5772" s="3" t="s">
        <v>40</v>
      </c>
      <c r="H5772" s="3" t="s">
        <v>2057</v>
      </c>
      <c r="I5772" s="11">
        <v>420.63</v>
      </c>
      <c r="J5772" s="18">
        <v>3</v>
      </c>
      <c r="K5772" s="12">
        <v>1.7901</v>
      </c>
    </row>
    <row r="5773" spans="1:11" x14ac:dyDescent="0.25">
      <c r="A5773" s="4">
        <v>44186</v>
      </c>
      <c r="B5773" s="19">
        <f t="shared" si="180"/>
        <v>2020</v>
      </c>
      <c r="C5773" s="19">
        <f t="shared" si="181"/>
        <v>12</v>
      </c>
      <c r="D5773" s="5" t="s">
        <v>646</v>
      </c>
      <c r="E5773" s="5" t="s">
        <v>1148</v>
      </c>
      <c r="F5773" s="5" t="s">
        <v>19</v>
      </c>
      <c r="G5773" s="5" t="s">
        <v>32</v>
      </c>
      <c r="H5773" s="5" t="s">
        <v>1078</v>
      </c>
      <c r="I5773" s="13">
        <v>467.88</v>
      </c>
      <c r="J5773" s="19">
        <v>6</v>
      </c>
      <c r="K5773" s="14">
        <v>11.223599999999999</v>
      </c>
    </row>
    <row r="5774" spans="1:11" x14ac:dyDescent="0.25">
      <c r="A5774" s="2">
        <v>44186</v>
      </c>
      <c r="B5774" s="18">
        <f t="shared" si="180"/>
        <v>2020</v>
      </c>
      <c r="C5774" s="18">
        <f t="shared" si="181"/>
        <v>12</v>
      </c>
      <c r="D5774" s="3" t="s">
        <v>868</v>
      </c>
      <c r="E5774" s="3" t="s">
        <v>18</v>
      </c>
      <c r="F5774" s="3" t="s">
        <v>19</v>
      </c>
      <c r="G5774" s="3" t="s">
        <v>40</v>
      </c>
      <c r="H5774" s="3" t="s">
        <v>2042</v>
      </c>
      <c r="I5774" s="11">
        <v>302.88</v>
      </c>
      <c r="J5774" s="18">
        <v>2</v>
      </c>
      <c r="K5774" s="12">
        <v>1.7052</v>
      </c>
    </row>
    <row r="5775" spans="1:11" x14ac:dyDescent="0.25">
      <c r="A5775" s="4">
        <v>44186</v>
      </c>
      <c r="B5775" s="19">
        <f t="shared" si="180"/>
        <v>2020</v>
      </c>
      <c r="C5775" s="19">
        <f t="shared" si="181"/>
        <v>12</v>
      </c>
      <c r="D5775" s="5" t="s">
        <v>367</v>
      </c>
      <c r="E5775" s="5" t="s">
        <v>651</v>
      </c>
      <c r="F5775" s="5" t="s">
        <v>11</v>
      </c>
      <c r="G5775" s="5" t="s">
        <v>51</v>
      </c>
      <c r="H5775" s="5" t="s">
        <v>797</v>
      </c>
      <c r="I5775" s="13">
        <v>348.92</v>
      </c>
      <c r="J5775" s="19">
        <v>2</v>
      </c>
      <c r="K5775" s="14">
        <v>7.0048000000000004</v>
      </c>
    </row>
    <row r="5776" spans="1:11" x14ac:dyDescent="0.25">
      <c r="A5776" s="2">
        <v>44186</v>
      </c>
      <c r="B5776" s="18">
        <f t="shared" si="180"/>
        <v>2020</v>
      </c>
      <c r="C5776" s="18">
        <f t="shared" si="181"/>
        <v>12</v>
      </c>
      <c r="D5776" s="3" t="s">
        <v>2584</v>
      </c>
      <c r="E5776" s="3" t="s">
        <v>195</v>
      </c>
      <c r="F5776" s="3" t="s">
        <v>14</v>
      </c>
      <c r="G5776" s="3" t="s">
        <v>24</v>
      </c>
      <c r="H5776" s="3" t="s">
        <v>1296</v>
      </c>
      <c r="I5776" s="11">
        <v>315</v>
      </c>
      <c r="J5776" s="18">
        <v>4</v>
      </c>
      <c r="K5776" s="12">
        <v>27.69</v>
      </c>
    </row>
    <row r="5777" spans="1:11" x14ac:dyDescent="0.25">
      <c r="A5777" s="4">
        <v>44187</v>
      </c>
      <c r="B5777" s="19">
        <f t="shared" si="180"/>
        <v>2020</v>
      </c>
      <c r="C5777" s="19">
        <f t="shared" si="181"/>
        <v>12</v>
      </c>
      <c r="D5777" s="5" t="s">
        <v>1203</v>
      </c>
      <c r="E5777" s="5" t="s">
        <v>365</v>
      </c>
      <c r="F5777" s="5" t="s">
        <v>14</v>
      </c>
      <c r="G5777" s="5" t="s">
        <v>24</v>
      </c>
      <c r="H5777" s="5" t="s">
        <v>89</v>
      </c>
      <c r="I5777" s="13">
        <v>469.99</v>
      </c>
      <c r="J5777" s="19">
        <v>1</v>
      </c>
      <c r="K5777" s="14">
        <v>30.596399999999999</v>
      </c>
    </row>
    <row r="5778" spans="1:11" x14ac:dyDescent="0.25">
      <c r="A5778" s="2">
        <v>44187</v>
      </c>
      <c r="B5778" s="18">
        <f t="shared" si="180"/>
        <v>2020</v>
      </c>
      <c r="C5778" s="18">
        <f t="shared" si="181"/>
        <v>12</v>
      </c>
      <c r="D5778" s="3" t="s">
        <v>2246</v>
      </c>
      <c r="E5778" s="3" t="s">
        <v>898</v>
      </c>
      <c r="F5778" s="3" t="s">
        <v>11</v>
      </c>
      <c r="G5778" s="3" t="s">
        <v>112</v>
      </c>
      <c r="H5778" s="3" t="s">
        <v>372</v>
      </c>
      <c r="I5778" s="11">
        <v>328.96</v>
      </c>
      <c r="J5778" s="18">
        <v>2</v>
      </c>
      <c r="K5778" s="12">
        <v>35.49</v>
      </c>
    </row>
    <row r="5779" spans="1:11" x14ac:dyDescent="0.25">
      <c r="A5779" s="4">
        <v>44187</v>
      </c>
      <c r="B5779" s="19">
        <f t="shared" si="180"/>
        <v>2020</v>
      </c>
      <c r="C5779" s="19">
        <f t="shared" si="181"/>
        <v>12</v>
      </c>
      <c r="D5779" s="5" t="s">
        <v>1323</v>
      </c>
      <c r="E5779" s="5" t="s">
        <v>198</v>
      </c>
      <c r="F5779" s="5" t="s">
        <v>11</v>
      </c>
      <c r="G5779" s="5" t="s">
        <v>30</v>
      </c>
      <c r="H5779" s="5" t="s">
        <v>1534</v>
      </c>
      <c r="I5779" s="13">
        <v>466.55</v>
      </c>
      <c r="J5779" s="19">
        <v>2</v>
      </c>
      <c r="K5779" s="14">
        <v>-135.08699999999999</v>
      </c>
    </row>
    <row r="5780" spans="1:11" x14ac:dyDescent="0.25">
      <c r="A5780" s="2">
        <v>44187</v>
      </c>
      <c r="B5780" s="18">
        <f t="shared" si="180"/>
        <v>2020</v>
      </c>
      <c r="C5780" s="18">
        <f t="shared" si="181"/>
        <v>12</v>
      </c>
      <c r="D5780" s="3" t="s">
        <v>1203</v>
      </c>
      <c r="E5780" s="3" t="s">
        <v>365</v>
      </c>
      <c r="F5780" s="3" t="s">
        <v>14</v>
      </c>
      <c r="G5780" s="3" t="s">
        <v>24</v>
      </c>
      <c r="H5780" s="3" t="s">
        <v>2140</v>
      </c>
      <c r="I5780" s="11">
        <v>317.95</v>
      </c>
      <c r="J5780" s="18">
        <v>5</v>
      </c>
      <c r="K5780" s="12">
        <v>63.984000000000002</v>
      </c>
    </row>
    <row r="5781" spans="1:11" x14ac:dyDescent="0.25">
      <c r="A5781" s="4">
        <v>44187</v>
      </c>
      <c r="B5781" s="19">
        <f t="shared" si="180"/>
        <v>2020</v>
      </c>
      <c r="C5781" s="19">
        <f t="shared" si="181"/>
        <v>12</v>
      </c>
      <c r="D5781" s="5" t="s">
        <v>313</v>
      </c>
      <c r="E5781" s="5" t="s">
        <v>883</v>
      </c>
      <c r="F5781" s="5" t="s">
        <v>11</v>
      </c>
      <c r="G5781" s="5" t="s">
        <v>12</v>
      </c>
      <c r="H5781" s="5" t="s">
        <v>2149</v>
      </c>
      <c r="I5781" s="13">
        <v>375.98</v>
      </c>
      <c r="J5781" s="19">
        <v>1</v>
      </c>
      <c r="K5781" s="14">
        <v>50.825400000000002</v>
      </c>
    </row>
    <row r="5782" spans="1:11" x14ac:dyDescent="0.25">
      <c r="A5782" s="2">
        <v>44187</v>
      </c>
      <c r="B5782" s="18">
        <f t="shared" si="180"/>
        <v>2020</v>
      </c>
      <c r="C5782" s="18">
        <f t="shared" si="181"/>
        <v>12</v>
      </c>
      <c r="D5782" s="3" t="s">
        <v>1203</v>
      </c>
      <c r="E5782" s="3" t="s">
        <v>365</v>
      </c>
      <c r="F5782" s="3" t="s">
        <v>11</v>
      </c>
      <c r="G5782" s="3" t="s">
        <v>30</v>
      </c>
      <c r="H5782" s="3" t="s">
        <v>740</v>
      </c>
      <c r="I5782" s="11">
        <v>118.8</v>
      </c>
      <c r="J5782" s="18">
        <v>2</v>
      </c>
      <c r="K5782" s="12">
        <v>70.006</v>
      </c>
    </row>
    <row r="5783" spans="1:11" x14ac:dyDescent="0.25">
      <c r="A5783" s="4">
        <v>44187</v>
      </c>
      <c r="B5783" s="19">
        <f t="shared" si="180"/>
        <v>2020</v>
      </c>
      <c r="C5783" s="19">
        <f t="shared" si="181"/>
        <v>12</v>
      </c>
      <c r="D5783" s="5" t="s">
        <v>2217</v>
      </c>
      <c r="E5783" s="5" t="s">
        <v>18</v>
      </c>
      <c r="F5783" s="5" t="s">
        <v>14</v>
      </c>
      <c r="G5783" s="5" t="s">
        <v>24</v>
      </c>
      <c r="H5783" s="5" t="s">
        <v>418</v>
      </c>
      <c r="I5783" s="13">
        <v>263.95</v>
      </c>
      <c r="J5783" s="19">
        <v>5</v>
      </c>
      <c r="K5783" s="14">
        <v>142.48500000000001</v>
      </c>
    </row>
    <row r="5784" spans="1:11" x14ac:dyDescent="0.25">
      <c r="A5784" s="2">
        <v>44187</v>
      </c>
      <c r="B5784" s="18">
        <f t="shared" si="180"/>
        <v>2020</v>
      </c>
      <c r="C5784" s="18">
        <f t="shared" si="181"/>
        <v>12</v>
      </c>
      <c r="D5784" s="3" t="s">
        <v>2400</v>
      </c>
      <c r="E5784" s="3" t="s">
        <v>387</v>
      </c>
      <c r="F5784" s="3" t="s">
        <v>11</v>
      </c>
      <c r="G5784" s="3" t="s">
        <v>30</v>
      </c>
      <c r="H5784" s="3" t="s">
        <v>320</v>
      </c>
      <c r="I5784" s="11">
        <v>463.52</v>
      </c>
      <c r="J5784" s="18">
        <v>2</v>
      </c>
      <c r="K5784" s="12">
        <v>97.203199999999995</v>
      </c>
    </row>
    <row r="5785" spans="1:11" x14ac:dyDescent="0.25">
      <c r="A5785" s="4">
        <v>44187</v>
      </c>
      <c r="B5785" s="19">
        <f t="shared" si="180"/>
        <v>2020</v>
      </c>
      <c r="C5785" s="19">
        <f t="shared" si="181"/>
        <v>12</v>
      </c>
      <c r="D5785" s="5" t="s">
        <v>1939</v>
      </c>
      <c r="E5785" s="5" t="s">
        <v>67</v>
      </c>
      <c r="F5785" s="5" t="s">
        <v>14</v>
      </c>
      <c r="G5785" s="5" t="s">
        <v>15</v>
      </c>
      <c r="H5785" s="5" t="s">
        <v>1732</v>
      </c>
      <c r="I5785" s="13">
        <v>212.958</v>
      </c>
      <c r="J5785" s="19">
        <v>7</v>
      </c>
      <c r="K5785" s="14">
        <v>94.493700000000004</v>
      </c>
    </row>
    <row r="5786" spans="1:11" x14ac:dyDescent="0.25">
      <c r="A5786" s="2">
        <v>44187</v>
      </c>
      <c r="B5786" s="18">
        <f t="shared" si="180"/>
        <v>2020</v>
      </c>
      <c r="C5786" s="18">
        <f t="shared" si="181"/>
        <v>12</v>
      </c>
      <c r="D5786" s="3" t="s">
        <v>313</v>
      </c>
      <c r="E5786" s="3" t="s">
        <v>883</v>
      </c>
      <c r="F5786" s="3" t="s">
        <v>19</v>
      </c>
      <c r="G5786" s="3" t="s">
        <v>265</v>
      </c>
      <c r="H5786" s="3" t="s">
        <v>695</v>
      </c>
      <c r="I5786" s="11">
        <v>144.16</v>
      </c>
      <c r="J5786" s="18">
        <v>6</v>
      </c>
      <c r="K5786" s="12">
        <v>34.758000000000003</v>
      </c>
    </row>
    <row r="5787" spans="1:11" x14ac:dyDescent="0.25">
      <c r="A5787" s="4">
        <v>44187</v>
      </c>
      <c r="B5787" s="19">
        <f t="shared" si="180"/>
        <v>2020</v>
      </c>
      <c r="C5787" s="19">
        <f t="shared" si="181"/>
        <v>12</v>
      </c>
      <c r="D5787" s="5" t="s">
        <v>2585</v>
      </c>
      <c r="E5787" s="5" t="s">
        <v>472</v>
      </c>
      <c r="F5787" s="5" t="s">
        <v>19</v>
      </c>
      <c r="G5787" s="5" t="s">
        <v>121</v>
      </c>
      <c r="H5787" s="5" t="s">
        <v>1093</v>
      </c>
      <c r="I5787" s="13">
        <v>468.43</v>
      </c>
      <c r="J5787" s="19">
        <v>3</v>
      </c>
      <c r="K5787" s="14">
        <v>218.2518</v>
      </c>
    </row>
    <row r="5788" spans="1:11" x14ac:dyDescent="0.25">
      <c r="A5788" s="2">
        <v>44187</v>
      </c>
      <c r="B5788" s="18">
        <f t="shared" si="180"/>
        <v>2020</v>
      </c>
      <c r="C5788" s="18">
        <f t="shared" si="181"/>
        <v>12</v>
      </c>
      <c r="D5788" s="3" t="s">
        <v>718</v>
      </c>
      <c r="E5788" s="3" t="s">
        <v>219</v>
      </c>
      <c r="F5788" s="3" t="s">
        <v>11</v>
      </c>
      <c r="G5788" s="3" t="s">
        <v>30</v>
      </c>
      <c r="H5788" s="3" t="s">
        <v>92</v>
      </c>
      <c r="I5788" s="11">
        <v>510.95600000000002</v>
      </c>
      <c r="J5788" s="18">
        <v>6</v>
      </c>
      <c r="K5788" s="12">
        <v>-249.32159999999999</v>
      </c>
    </row>
    <row r="5789" spans="1:11" x14ac:dyDescent="0.25">
      <c r="A5789" s="4">
        <v>44187</v>
      </c>
      <c r="B5789" s="19">
        <f t="shared" si="180"/>
        <v>2020</v>
      </c>
      <c r="C5789" s="19">
        <f t="shared" si="181"/>
        <v>12</v>
      </c>
      <c r="D5789" s="5" t="s">
        <v>1323</v>
      </c>
      <c r="E5789" s="5" t="s">
        <v>23</v>
      </c>
      <c r="F5789" s="5" t="s">
        <v>19</v>
      </c>
      <c r="G5789" s="5" t="s">
        <v>32</v>
      </c>
      <c r="H5789" s="5" t="s">
        <v>888</v>
      </c>
      <c r="I5789" s="13">
        <v>129.35</v>
      </c>
      <c r="J5789" s="19">
        <v>5</v>
      </c>
      <c r="K5789" s="14">
        <v>-9.8115000000000006</v>
      </c>
    </row>
    <row r="5790" spans="1:11" x14ac:dyDescent="0.25">
      <c r="A5790" s="2">
        <v>44187</v>
      </c>
      <c r="B5790" s="18">
        <f t="shared" si="180"/>
        <v>2020</v>
      </c>
      <c r="C5790" s="18">
        <f t="shared" si="181"/>
        <v>12</v>
      </c>
      <c r="D5790" s="3" t="s">
        <v>1203</v>
      </c>
      <c r="E5790" s="3" t="s">
        <v>365</v>
      </c>
      <c r="F5790" s="3" t="s">
        <v>11</v>
      </c>
      <c r="G5790" s="3" t="s">
        <v>112</v>
      </c>
      <c r="H5790" s="3" t="s">
        <v>1195</v>
      </c>
      <c r="I5790" s="11">
        <v>155.69</v>
      </c>
      <c r="J5790" s="18">
        <v>7</v>
      </c>
      <c r="K5790" s="12">
        <v>412.5394</v>
      </c>
    </row>
    <row r="5791" spans="1:11" x14ac:dyDescent="0.25">
      <c r="A5791" s="4">
        <v>44187</v>
      </c>
      <c r="B5791" s="19">
        <f t="shared" si="180"/>
        <v>2020</v>
      </c>
      <c r="C5791" s="19">
        <f t="shared" si="181"/>
        <v>12</v>
      </c>
      <c r="D5791" s="5" t="s">
        <v>1771</v>
      </c>
      <c r="E5791" s="5" t="s">
        <v>1868</v>
      </c>
      <c r="F5791" s="5" t="s">
        <v>19</v>
      </c>
      <c r="G5791" s="5" t="s">
        <v>40</v>
      </c>
      <c r="H5791" s="5" t="s">
        <v>2491</v>
      </c>
      <c r="I5791" s="13">
        <v>389.17</v>
      </c>
      <c r="J5791" s="19">
        <v>3</v>
      </c>
      <c r="K5791" s="14">
        <v>1.0842000000000001</v>
      </c>
    </row>
    <row r="5792" spans="1:11" x14ac:dyDescent="0.25">
      <c r="A5792" s="2">
        <v>44187</v>
      </c>
      <c r="B5792" s="18">
        <f t="shared" si="180"/>
        <v>2020</v>
      </c>
      <c r="C5792" s="18">
        <f t="shared" si="181"/>
        <v>12</v>
      </c>
      <c r="D5792" s="3" t="s">
        <v>1377</v>
      </c>
      <c r="E5792" s="3" t="s">
        <v>44</v>
      </c>
      <c r="F5792" s="3" t="s">
        <v>19</v>
      </c>
      <c r="G5792" s="3" t="s">
        <v>86</v>
      </c>
      <c r="H5792" s="3" t="s">
        <v>176</v>
      </c>
      <c r="I5792" s="11">
        <v>399.82400000000001</v>
      </c>
      <c r="J5792" s="18">
        <v>1</v>
      </c>
      <c r="K5792" s="12">
        <v>2.9340000000000002</v>
      </c>
    </row>
    <row r="5793" spans="1:11" x14ac:dyDescent="0.25">
      <c r="A5793" s="4">
        <v>44187</v>
      </c>
      <c r="B5793" s="19">
        <f t="shared" si="180"/>
        <v>2020</v>
      </c>
      <c r="C5793" s="19">
        <f t="shared" si="181"/>
        <v>12</v>
      </c>
      <c r="D5793" s="5" t="s">
        <v>718</v>
      </c>
      <c r="E5793" s="5" t="s">
        <v>219</v>
      </c>
      <c r="F5793" s="5" t="s">
        <v>19</v>
      </c>
      <c r="G5793" s="5" t="s">
        <v>40</v>
      </c>
      <c r="H5793" s="5" t="s">
        <v>1295</v>
      </c>
      <c r="I5793" s="13">
        <v>274.12799999999999</v>
      </c>
      <c r="J5793" s="19">
        <v>7</v>
      </c>
      <c r="K5793" s="14">
        <v>2.891</v>
      </c>
    </row>
    <row r="5794" spans="1:11" x14ac:dyDescent="0.25">
      <c r="A5794" s="2">
        <v>44187</v>
      </c>
      <c r="B5794" s="18">
        <f t="shared" si="180"/>
        <v>2020</v>
      </c>
      <c r="C5794" s="18">
        <f t="shared" si="181"/>
        <v>12</v>
      </c>
      <c r="D5794" s="3" t="s">
        <v>1939</v>
      </c>
      <c r="E5794" s="3" t="s">
        <v>67</v>
      </c>
      <c r="F5794" s="3" t="s">
        <v>19</v>
      </c>
      <c r="G5794" s="3" t="s">
        <v>32</v>
      </c>
      <c r="H5794" s="3" t="s">
        <v>950</v>
      </c>
      <c r="I5794" s="11">
        <v>128.64099999999999</v>
      </c>
      <c r="J5794" s="18">
        <v>1</v>
      </c>
      <c r="K5794" s="12">
        <v>-1.3128</v>
      </c>
    </row>
    <row r="5795" spans="1:11" x14ac:dyDescent="0.25">
      <c r="A5795" s="4">
        <v>44187</v>
      </c>
      <c r="B5795" s="19">
        <f t="shared" si="180"/>
        <v>2020</v>
      </c>
      <c r="C5795" s="19">
        <f t="shared" si="181"/>
        <v>12</v>
      </c>
      <c r="D5795" s="5" t="s">
        <v>1323</v>
      </c>
      <c r="E5795" s="5" t="s">
        <v>23</v>
      </c>
      <c r="F5795" s="5" t="s">
        <v>19</v>
      </c>
      <c r="G5795" s="5" t="s">
        <v>53</v>
      </c>
      <c r="H5795" s="5" t="s">
        <v>577</v>
      </c>
      <c r="I5795" s="13">
        <v>139.91999999999999</v>
      </c>
      <c r="J5795" s="19">
        <v>5</v>
      </c>
      <c r="K5795" s="14">
        <v>9.0719999999999992</v>
      </c>
    </row>
    <row r="5796" spans="1:11" x14ac:dyDescent="0.25">
      <c r="A5796" s="2">
        <v>44187</v>
      </c>
      <c r="B5796" s="18">
        <f t="shared" si="180"/>
        <v>2020</v>
      </c>
      <c r="C5796" s="18">
        <f t="shared" si="181"/>
        <v>12</v>
      </c>
      <c r="D5796" s="3" t="s">
        <v>1771</v>
      </c>
      <c r="E5796" s="3" t="s">
        <v>1868</v>
      </c>
      <c r="F5796" s="3" t="s">
        <v>19</v>
      </c>
      <c r="G5796" s="3" t="s">
        <v>127</v>
      </c>
      <c r="H5796" s="3" t="s">
        <v>1996</v>
      </c>
      <c r="I5796" s="11">
        <v>146.44999999999999</v>
      </c>
      <c r="J5796" s="18">
        <v>5</v>
      </c>
      <c r="K5796" s="12">
        <v>8.6715</v>
      </c>
    </row>
    <row r="5797" spans="1:11" x14ac:dyDescent="0.25">
      <c r="A5797" s="4">
        <v>44187</v>
      </c>
      <c r="B5797" s="19">
        <f t="shared" si="180"/>
        <v>2020</v>
      </c>
      <c r="C5797" s="19">
        <f t="shared" si="181"/>
        <v>12</v>
      </c>
      <c r="D5797" s="5" t="s">
        <v>1771</v>
      </c>
      <c r="E5797" s="5" t="s">
        <v>1868</v>
      </c>
      <c r="F5797" s="5" t="s">
        <v>19</v>
      </c>
      <c r="G5797" s="5" t="s">
        <v>20</v>
      </c>
      <c r="H5797" s="5" t="s">
        <v>960</v>
      </c>
      <c r="I5797" s="13">
        <v>116.32</v>
      </c>
      <c r="J5797" s="19">
        <v>3</v>
      </c>
      <c r="K5797" s="14">
        <v>10.4496</v>
      </c>
    </row>
    <row r="5798" spans="1:11" x14ac:dyDescent="0.25">
      <c r="A5798" s="2">
        <v>44187</v>
      </c>
      <c r="B5798" s="18">
        <f t="shared" si="180"/>
        <v>2020</v>
      </c>
      <c r="C5798" s="18">
        <f t="shared" si="181"/>
        <v>12</v>
      </c>
      <c r="D5798" s="3" t="s">
        <v>718</v>
      </c>
      <c r="E5798" s="3" t="s">
        <v>219</v>
      </c>
      <c r="F5798" s="3" t="s">
        <v>19</v>
      </c>
      <c r="G5798" s="3" t="s">
        <v>20</v>
      </c>
      <c r="H5798" s="3" t="s">
        <v>1481</v>
      </c>
      <c r="I5798" s="11">
        <v>395.16</v>
      </c>
      <c r="J5798" s="18">
        <v>3</v>
      </c>
      <c r="K5798" s="12">
        <v>1.962</v>
      </c>
    </row>
    <row r="5799" spans="1:11" x14ac:dyDescent="0.25">
      <c r="A5799" s="4">
        <v>44187</v>
      </c>
      <c r="B5799" s="19">
        <f t="shared" si="180"/>
        <v>2020</v>
      </c>
      <c r="C5799" s="19">
        <f t="shared" si="181"/>
        <v>12</v>
      </c>
      <c r="D5799" s="5" t="s">
        <v>2400</v>
      </c>
      <c r="E5799" s="5" t="s">
        <v>387</v>
      </c>
      <c r="F5799" s="5" t="s">
        <v>19</v>
      </c>
      <c r="G5799" s="5" t="s">
        <v>20</v>
      </c>
      <c r="H5799" s="5" t="s">
        <v>2328</v>
      </c>
      <c r="I5799" s="13">
        <v>132.16</v>
      </c>
      <c r="J5799" s="19">
        <v>2</v>
      </c>
      <c r="K5799" s="14">
        <v>7.79</v>
      </c>
    </row>
    <row r="5800" spans="1:11" x14ac:dyDescent="0.25">
      <c r="A5800" s="2">
        <v>44187</v>
      </c>
      <c r="B5800" s="18">
        <f t="shared" si="180"/>
        <v>2020</v>
      </c>
      <c r="C5800" s="18">
        <f t="shared" si="181"/>
        <v>12</v>
      </c>
      <c r="D5800" s="3" t="s">
        <v>718</v>
      </c>
      <c r="E5800" s="3" t="s">
        <v>219</v>
      </c>
      <c r="F5800" s="3" t="s">
        <v>14</v>
      </c>
      <c r="G5800" s="3" t="s">
        <v>24</v>
      </c>
      <c r="H5800" s="3" t="s">
        <v>484</v>
      </c>
      <c r="I5800" s="11">
        <v>159.864</v>
      </c>
      <c r="J5800" s="18">
        <v>2</v>
      </c>
      <c r="K5800" s="12">
        <v>7.6154000000000002</v>
      </c>
    </row>
    <row r="5801" spans="1:11" x14ac:dyDescent="0.25">
      <c r="A5801" s="4">
        <v>44187</v>
      </c>
      <c r="B5801" s="19">
        <f t="shared" si="180"/>
        <v>2020</v>
      </c>
      <c r="C5801" s="19">
        <f t="shared" si="181"/>
        <v>12</v>
      </c>
      <c r="D5801" s="5" t="s">
        <v>718</v>
      </c>
      <c r="E5801" s="5" t="s">
        <v>219</v>
      </c>
      <c r="F5801" s="5" t="s">
        <v>19</v>
      </c>
      <c r="G5801" s="5" t="s">
        <v>121</v>
      </c>
      <c r="H5801" s="5" t="s">
        <v>1274</v>
      </c>
      <c r="I5801" s="13">
        <v>338.24</v>
      </c>
      <c r="J5801" s="19">
        <v>5</v>
      </c>
      <c r="K5801" s="14">
        <v>16.291</v>
      </c>
    </row>
    <row r="5802" spans="1:11" x14ac:dyDescent="0.25">
      <c r="A5802" s="2">
        <v>44187</v>
      </c>
      <c r="B5802" s="18">
        <f t="shared" si="180"/>
        <v>2020</v>
      </c>
      <c r="C5802" s="18">
        <f t="shared" si="181"/>
        <v>12</v>
      </c>
      <c r="D5802" s="3" t="s">
        <v>1771</v>
      </c>
      <c r="E5802" s="3" t="s">
        <v>1868</v>
      </c>
      <c r="F5802" s="3" t="s">
        <v>14</v>
      </c>
      <c r="G5802" s="3" t="s">
        <v>15</v>
      </c>
      <c r="H5802" s="3" t="s">
        <v>1737</v>
      </c>
      <c r="I5802" s="11">
        <v>299.04000000000002</v>
      </c>
      <c r="J5802" s="18">
        <v>4</v>
      </c>
      <c r="K5802" s="12">
        <v>6.7039999999999997</v>
      </c>
    </row>
    <row r="5803" spans="1:11" x14ac:dyDescent="0.25">
      <c r="A5803" s="4">
        <v>44187</v>
      </c>
      <c r="B5803" s="19">
        <f t="shared" si="180"/>
        <v>2020</v>
      </c>
      <c r="C5803" s="19">
        <f t="shared" si="181"/>
        <v>12</v>
      </c>
      <c r="D5803" s="5" t="s">
        <v>1323</v>
      </c>
      <c r="E5803" s="5" t="s">
        <v>23</v>
      </c>
      <c r="F5803" s="5" t="s">
        <v>19</v>
      </c>
      <c r="G5803" s="5" t="s">
        <v>53</v>
      </c>
      <c r="H5803" s="5" t="s">
        <v>1664</v>
      </c>
      <c r="I5803" s="13">
        <v>473.88</v>
      </c>
      <c r="J5803" s="19">
        <v>5</v>
      </c>
      <c r="K5803" s="14">
        <v>26.558</v>
      </c>
    </row>
    <row r="5804" spans="1:11" x14ac:dyDescent="0.25">
      <c r="A5804" s="2">
        <v>44188</v>
      </c>
      <c r="B5804" s="18">
        <f t="shared" si="180"/>
        <v>2020</v>
      </c>
      <c r="C5804" s="18">
        <f t="shared" si="181"/>
        <v>12</v>
      </c>
      <c r="D5804" s="3" t="s">
        <v>201</v>
      </c>
      <c r="E5804" s="3" t="s">
        <v>164</v>
      </c>
      <c r="F5804" s="3" t="s">
        <v>19</v>
      </c>
      <c r="G5804" s="3" t="s">
        <v>53</v>
      </c>
      <c r="H5804" s="3" t="s">
        <v>2478</v>
      </c>
      <c r="I5804" s="11">
        <v>431.87200000000001</v>
      </c>
      <c r="J5804" s="18">
        <v>4</v>
      </c>
      <c r="K5804" s="12">
        <v>63.753599999999999</v>
      </c>
    </row>
    <row r="5805" spans="1:11" x14ac:dyDescent="0.25">
      <c r="A5805" s="4">
        <v>44188</v>
      </c>
      <c r="B5805" s="19">
        <f t="shared" si="180"/>
        <v>2020</v>
      </c>
      <c r="C5805" s="19">
        <f t="shared" si="181"/>
        <v>12</v>
      </c>
      <c r="D5805" s="5" t="s">
        <v>599</v>
      </c>
      <c r="E5805" s="5" t="s">
        <v>91</v>
      </c>
      <c r="F5805" s="5" t="s">
        <v>11</v>
      </c>
      <c r="G5805" s="5" t="s">
        <v>51</v>
      </c>
      <c r="H5805" s="5" t="s">
        <v>2361</v>
      </c>
      <c r="I5805" s="13">
        <v>390.95</v>
      </c>
      <c r="J5805" s="19">
        <v>3</v>
      </c>
      <c r="K5805" s="14">
        <v>38.209499999999998</v>
      </c>
    </row>
    <row r="5806" spans="1:11" x14ac:dyDescent="0.25">
      <c r="A5806" s="2">
        <v>44188</v>
      </c>
      <c r="B5806" s="18">
        <f t="shared" si="180"/>
        <v>2020</v>
      </c>
      <c r="C5806" s="18">
        <f t="shared" si="181"/>
        <v>12</v>
      </c>
      <c r="D5806" s="3" t="s">
        <v>2586</v>
      </c>
      <c r="E5806" s="3" t="s">
        <v>589</v>
      </c>
      <c r="F5806" s="3" t="s">
        <v>19</v>
      </c>
      <c r="G5806" s="3" t="s">
        <v>86</v>
      </c>
      <c r="H5806" s="3" t="s">
        <v>363</v>
      </c>
      <c r="I5806" s="11">
        <v>552.94000000000005</v>
      </c>
      <c r="J5806" s="18">
        <v>3</v>
      </c>
      <c r="K5806" s="12">
        <v>85.981800000000007</v>
      </c>
    </row>
    <row r="5807" spans="1:11" x14ac:dyDescent="0.25">
      <c r="A5807" s="4">
        <v>44188</v>
      </c>
      <c r="B5807" s="19">
        <f t="shared" si="180"/>
        <v>2020</v>
      </c>
      <c r="C5807" s="19">
        <f t="shared" si="181"/>
        <v>12</v>
      </c>
      <c r="D5807" s="5" t="s">
        <v>2266</v>
      </c>
      <c r="E5807" s="5" t="s">
        <v>219</v>
      </c>
      <c r="F5807" s="5" t="s">
        <v>19</v>
      </c>
      <c r="G5807" s="5" t="s">
        <v>20</v>
      </c>
      <c r="H5807" s="5" t="s">
        <v>870</v>
      </c>
      <c r="I5807" s="13">
        <v>560.35199999999998</v>
      </c>
      <c r="J5807" s="19">
        <v>3</v>
      </c>
      <c r="K5807" s="14">
        <v>-54.588000000000001</v>
      </c>
    </row>
    <row r="5808" spans="1:11" x14ac:dyDescent="0.25">
      <c r="A5808" s="2">
        <v>44188</v>
      </c>
      <c r="B5808" s="18">
        <f t="shared" si="180"/>
        <v>2020</v>
      </c>
      <c r="C5808" s="18">
        <f t="shared" si="181"/>
        <v>12</v>
      </c>
      <c r="D5808" s="3" t="s">
        <v>2586</v>
      </c>
      <c r="E5808" s="3" t="s">
        <v>589</v>
      </c>
      <c r="F5808" s="3" t="s">
        <v>19</v>
      </c>
      <c r="G5808" s="3" t="s">
        <v>20</v>
      </c>
      <c r="H5808" s="3" t="s">
        <v>494</v>
      </c>
      <c r="I5808" s="11">
        <v>749.96</v>
      </c>
      <c r="J5808" s="18">
        <v>4</v>
      </c>
      <c r="K5808" s="12">
        <v>14.718400000000001</v>
      </c>
    </row>
    <row r="5809" spans="1:11" x14ac:dyDescent="0.25">
      <c r="A5809" s="4">
        <v>44188</v>
      </c>
      <c r="B5809" s="19">
        <f t="shared" si="180"/>
        <v>2020</v>
      </c>
      <c r="C5809" s="19">
        <f t="shared" si="181"/>
        <v>12</v>
      </c>
      <c r="D5809" s="5" t="s">
        <v>2586</v>
      </c>
      <c r="E5809" s="5" t="s">
        <v>589</v>
      </c>
      <c r="F5809" s="5" t="s">
        <v>14</v>
      </c>
      <c r="G5809" s="5" t="s">
        <v>15</v>
      </c>
      <c r="H5809" s="5" t="s">
        <v>2101</v>
      </c>
      <c r="I5809" s="13">
        <v>678.97</v>
      </c>
      <c r="J5809" s="19">
        <v>3</v>
      </c>
      <c r="K5809" s="14">
        <v>148.49100000000001</v>
      </c>
    </row>
    <row r="5810" spans="1:11" x14ac:dyDescent="0.25">
      <c r="A5810" s="2">
        <v>44188</v>
      </c>
      <c r="B5810" s="18">
        <f t="shared" si="180"/>
        <v>2020</v>
      </c>
      <c r="C5810" s="18">
        <f t="shared" si="181"/>
        <v>12</v>
      </c>
      <c r="D5810" s="3" t="s">
        <v>2586</v>
      </c>
      <c r="E5810" s="3" t="s">
        <v>589</v>
      </c>
      <c r="F5810" s="3" t="s">
        <v>19</v>
      </c>
      <c r="G5810" s="3" t="s">
        <v>53</v>
      </c>
      <c r="H5810" s="3" t="s">
        <v>488</v>
      </c>
      <c r="I5810" s="11">
        <v>1237.96</v>
      </c>
      <c r="J5810" s="18">
        <v>2</v>
      </c>
      <c r="K5810" s="12">
        <v>20.6816</v>
      </c>
    </row>
    <row r="5811" spans="1:11" x14ac:dyDescent="0.25">
      <c r="A5811" s="4">
        <v>44188</v>
      </c>
      <c r="B5811" s="19">
        <f t="shared" si="180"/>
        <v>2020</v>
      </c>
      <c r="C5811" s="19">
        <f t="shared" si="181"/>
        <v>12</v>
      </c>
      <c r="D5811" s="5" t="s">
        <v>2266</v>
      </c>
      <c r="E5811" s="5" t="s">
        <v>219</v>
      </c>
      <c r="F5811" s="5" t="s">
        <v>19</v>
      </c>
      <c r="G5811" s="5" t="s">
        <v>40</v>
      </c>
      <c r="H5811" s="5" t="s">
        <v>2235</v>
      </c>
      <c r="I5811" s="13">
        <v>402.26400000000001</v>
      </c>
      <c r="J5811" s="19">
        <v>7</v>
      </c>
      <c r="K5811" s="14">
        <v>1.0730999999999999</v>
      </c>
    </row>
    <row r="5812" spans="1:11" x14ac:dyDescent="0.25">
      <c r="A5812" s="2">
        <v>44188</v>
      </c>
      <c r="B5812" s="18">
        <f t="shared" si="180"/>
        <v>2020</v>
      </c>
      <c r="C5812" s="18">
        <f t="shared" si="181"/>
        <v>12</v>
      </c>
      <c r="D5812" s="3" t="s">
        <v>702</v>
      </c>
      <c r="E5812" s="3" t="s">
        <v>23</v>
      </c>
      <c r="F5812" s="3" t="s">
        <v>19</v>
      </c>
      <c r="G5812" s="3" t="s">
        <v>53</v>
      </c>
      <c r="H5812" s="3" t="s">
        <v>2385</v>
      </c>
      <c r="I5812" s="11">
        <v>338.67200000000003</v>
      </c>
      <c r="J5812" s="18">
        <v>8</v>
      </c>
      <c r="K5812" s="12">
        <v>10.393599999999999</v>
      </c>
    </row>
    <row r="5813" spans="1:11" x14ac:dyDescent="0.25">
      <c r="A5813" s="4">
        <v>44188</v>
      </c>
      <c r="B5813" s="19">
        <f t="shared" si="180"/>
        <v>2020</v>
      </c>
      <c r="C5813" s="19">
        <f t="shared" si="181"/>
        <v>12</v>
      </c>
      <c r="D5813" s="5" t="s">
        <v>201</v>
      </c>
      <c r="E5813" s="5" t="s">
        <v>164</v>
      </c>
      <c r="F5813" s="5" t="s">
        <v>19</v>
      </c>
      <c r="G5813" s="5" t="s">
        <v>32</v>
      </c>
      <c r="H5813" s="5" t="s">
        <v>841</v>
      </c>
      <c r="I5813" s="13">
        <v>316.83999999999997</v>
      </c>
      <c r="J5813" s="19">
        <v>4</v>
      </c>
      <c r="K5813" s="14">
        <v>-22.143999999999998</v>
      </c>
    </row>
    <row r="5814" spans="1:11" x14ac:dyDescent="0.25">
      <c r="A5814" s="2">
        <v>44188</v>
      </c>
      <c r="B5814" s="18">
        <f t="shared" si="180"/>
        <v>2020</v>
      </c>
      <c r="C5814" s="18">
        <f t="shared" si="181"/>
        <v>12</v>
      </c>
      <c r="D5814" s="3" t="s">
        <v>448</v>
      </c>
      <c r="E5814" s="3" t="s">
        <v>18</v>
      </c>
      <c r="F5814" s="3" t="s">
        <v>19</v>
      </c>
      <c r="G5814" s="3" t="s">
        <v>40</v>
      </c>
      <c r="H5814" s="3" t="s">
        <v>2587</v>
      </c>
      <c r="I5814" s="11">
        <v>457.48</v>
      </c>
      <c r="J5814" s="18">
        <v>4</v>
      </c>
      <c r="K5814" s="12">
        <v>5.9311999999999996</v>
      </c>
    </row>
    <row r="5815" spans="1:11" x14ac:dyDescent="0.25">
      <c r="A5815" s="4">
        <v>44188</v>
      </c>
      <c r="B5815" s="19">
        <f t="shared" si="180"/>
        <v>2020</v>
      </c>
      <c r="C5815" s="19">
        <f t="shared" si="181"/>
        <v>12</v>
      </c>
      <c r="D5815" s="5" t="s">
        <v>342</v>
      </c>
      <c r="E5815" s="5" t="s">
        <v>91</v>
      </c>
      <c r="F5815" s="5" t="s">
        <v>11</v>
      </c>
      <c r="G5815" s="5" t="s">
        <v>51</v>
      </c>
      <c r="H5815" s="5" t="s">
        <v>2312</v>
      </c>
      <c r="I5815" s="13">
        <v>456.46</v>
      </c>
      <c r="J5815" s="19">
        <v>2</v>
      </c>
      <c r="K5815" s="14">
        <v>9.8856000000000002</v>
      </c>
    </row>
    <row r="5816" spans="1:11" x14ac:dyDescent="0.25">
      <c r="A5816" s="2">
        <v>44188</v>
      </c>
      <c r="B5816" s="18">
        <f t="shared" si="180"/>
        <v>2020</v>
      </c>
      <c r="C5816" s="18">
        <f t="shared" si="181"/>
        <v>12</v>
      </c>
      <c r="D5816" s="3" t="s">
        <v>702</v>
      </c>
      <c r="E5816" s="3" t="s">
        <v>23</v>
      </c>
      <c r="F5816" s="3" t="s">
        <v>19</v>
      </c>
      <c r="G5816" s="3" t="s">
        <v>121</v>
      </c>
      <c r="H5816" s="3" t="s">
        <v>1881</v>
      </c>
      <c r="I5816" s="11">
        <v>355.31200000000001</v>
      </c>
      <c r="J5816" s="18">
        <v>8</v>
      </c>
      <c r="K5816" s="12">
        <v>-74.745599999999996</v>
      </c>
    </row>
    <row r="5817" spans="1:11" x14ac:dyDescent="0.25">
      <c r="A5817" s="4">
        <v>44188</v>
      </c>
      <c r="B5817" s="19">
        <f t="shared" si="180"/>
        <v>2020</v>
      </c>
      <c r="C5817" s="19">
        <f t="shared" si="181"/>
        <v>12</v>
      </c>
      <c r="D5817" s="5" t="s">
        <v>2586</v>
      </c>
      <c r="E5817" s="5" t="s">
        <v>589</v>
      </c>
      <c r="F5817" s="5" t="s">
        <v>19</v>
      </c>
      <c r="G5817" s="5" t="s">
        <v>20</v>
      </c>
      <c r="H5817" s="5" t="s">
        <v>1221</v>
      </c>
      <c r="I5817" s="13">
        <v>294.04000000000002</v>
      </c>
      <c r="J5817" s="19">
        <v>4</v>
      </c>
      <c r="K5817" s="14">
        <v>17.371200000000002</v>
      </c>
    </row>
    <row r="5818" spans="1:11" x14ac:dyDescent="0.25">
      <c r="A5818" s="2">
        <v>44188</v>
      </c>
      <c r="B5818" s="18">
        <f t="shared" si="180"/>
        <v>2020</v>
      </c>
      <c r="C5818" s="18">
        <f t="shared" si="181"/>
        <v>12</v>
      </c>
      <c r="D5818" s="3" t="s">
        <v>2266</v>
      </c>
      <c r="E5818" s="3" t="s">
        <v>219</v>
      </c>
      <c r="F5818" s="3" t="s">
        <v>11</v>
      </c>
      <c r="G5818" s="3" t="s">
        <v>51</v>
      </c>
      <c r="H5818" s="3" t="s">
        <v>2506</v>
      </c>
      <c r="I5818" s="11">
        <v>373.70400000000001</v>
      </c>
      <c r="J5818" s="18">
        <v>4</v>
      </c>
      <c r="K5818" s="12">
        <v>19.084800000000001</v>
      </c>
    </row>
    <row r="5819" spans="1:11" x14ac:dyDescent="0.25">
      <c r="A5819" s="4">
        <v>44189</v>
      </c>
      <c r="B5819" s="19">
        <f t="shared" si="180"/>
        <v>2020</v>
      </c>
      <c r="C5819" s="19">
        <f t="shared" si="181"/>
        <v>12</v>
      </c>
      <c r="D5819" s="5" t="s">
        <v>2588</v>
      </c>
      <c r="E5819" s="5" t="s">
        <v>18</v>
      </c>
      <c r="F5819" s="5" t="s">
        <v>19</v>
      </c>
      <c r="G5819" s="5" t="s">
        <v>32</v>
      </c>
      <c r="H5819" s="5" t="s">
        <v>754</v>
      </c>
      <c r="I5819" s="13">
        <v>471.48</v>
      </c>
      <c r="J5819" s="19">
        <v>3</v>
      </c>
      <c r="K5819" s="14">
        <v>33.93</v>
      </c>
    </row>
    <row r="5820" spans="1:11" x14ac:dyDescent="0.25">
      <c r="A5820" s="2">
        <v>44189</v>
      </c>
      <c r="B5820" s="18">
        <f t="shared" si="180"/>
        <v>2020</v>
      </c>
      <c r="C5820" s="18">
        <f t="shared" si="181"/>
        <v>12</v>
      </c>
      <c r="D5820" s="3" t="s">
        <v>444</v>
      </c>
      <c r="E5820" s="3" t="s">
        <v>394</v>
      </c>
      <c r="F5820" s="3" t="s">
        <v>11</v>
      </c>
      <c r="G5820" s="3" t="s">
        <v>112</v>
      </c>
      <c r="H5820" s="3" t="s">
        <v>2589</v>
      </c>
      <c r="I5820" s="11">
        <v>559.88</v>
      </c>
      <c r="J5820" s="18">
        <v>4</v>
      </c>
      <c r="K5820" s="12">
        <v>60.5488</v>
      </c>
    </row>
    <row r="5821" spans="1:11" x14ac:dyDescent="0.25">
      <c r="A5821" s="4">
        <v>44189</v>
      </c>
      <c r="B5821" s="19">
        <f t="shared" si="180"/>
        <v>2020</v>
      </c>
      <c r="C5821" s="19">
        <f t="shared" si="181"/>
        <v>12</v>
      </c>
      <c r="D5821" s="5" t="s">
        <v>1914</v>
      </c>
      <c r="E5821" s="5" t="s">
        <v>23</v>
      </c>
      <c r="F5821" s="5" t="s">
        <v>19</v>
      </c>
      <c r="G5821" s="5" t="s">
        <v>20</v>
      </c>
      <c r="H5821" s="5" t="s">
        <v>2396</v>
      </c>
      <c r="I5821" s="13">
        <v>523.32000000000005</v>
      </c>
      <c r="J5821" s="19">
        <v>2</v>
      </c>
      <c r="K5821" s="14">
        <v>19.824000000000002</v>
      </c>
    </row>
    <row r="5822" spans="1:11" x14ac:dyDescent="0.25">
      <c r="A5822" s="2">
        <v>44189</v>
      </c>
      <c r="B5822" s="18">
        <f t="shared" si="180"/>
        <v>2020</v>
      </c>
      <c r="C5822" s="18">
        <f t="shared" si="181"/>
        <v>12</v>
      </c>
      <c r="D5822" s="3" t="s">
        <v>1357</v>
      </c>
      <c r="E5822" s="3" t="s">
        <v>94</v>
      </c>
      <c r="F5822" s="3" t="s">
        <v>11</v>
      </c>
      <c r="G5822" s="3" t="s">
        <v>112</v>
      </c>
      <c r="H5822" s="3" t="s">
        <v>1286</v>
      </c>
      <c r="I5822" s="11">
        <v>622.76400000000001</v>
      </c>
      <c r="J5822" s="18">
        <v>2</v>
      </c>
      <c r="K5822" s="12">
        <v>48.313600000000001</v>
      </c>
    </row>
    <row r="5823" spans="1:11" x14ac:dyDescent="0.25">
      <c r="A5823" s="4">
        <v>44189</v>
      </c>
      <c r="B5823" s="19">
        <f t="shared" si="180"/>
        <v>2020</v>
      </c>
      <c r="C5823" s="19">
        <f t="shared" si="181"/>
        <v>12</v>
      </c>
      <c r="D5823" s="5" t="s">
        <v>444</v>
      </c>
      <c r="E5823" s="5" t="s">
        <v>394</v>
      </c>
      <c r="F5823" s="5" t="s">
        <v>14</v>
      </c>
      <c r="G5823" s="5" t="s">
        <v>188</v>
      </c>
      <c r="H5823" s="5" t="s">
        <v>2544</v>
      </c>
      <c r="I5823" s="13">
        <v>711.97</v>
      </c>
      <c r="J5823" s="19">
        <v>3</v>
      </c>
      <c r="K5823" s="14">
        <v>239.98500000000001</v>
      </c>
    </row>
    <row r="5824" spans="1:11" x14ac:dyDescent="0.25">
      <c r="A5824" s="2">
        <v>44189</v>
      </c>
      <c r="B5824" s="18">
        <f t="shared" si="180"/>
        <v>2020</v>
      </c>
      <c r="C5824" s="18">
        <f t="shared" si="181"/>
        <v>12</v>
      </c>
      <c r="D5824" s="3" t="s">
        <v>1666</v>
      </c>
      <c r="E5824" s="3" t="s">
        <v>94</v>
      </c>
      <c r="F5824" s="3" t="s">
        <v>19</v>
      </c>
      <c r="G5824" s="3" t="s">
        <v>32</v>
      </c>
      <c r="H5824" s="3" t="s">
        <v>513</v>
      </c>
      <c r="I5824" s="11">
        <v>362.88</v>
      </c>
      <c r="J5824" s="18">
        <v>3</v>
      </c>
      <c r="K5824" s="12">
        <v>5.5875000000000004</v>
      </c>
    </row>
    <row r="5825" spans="1:11" x14ac:dyDescent="0.25">
      <c r="A5825" s="4">
        <v>44189</v>
      </c>
      <c r="B5825" s="19">
        <f t="shared" si="180"/>
        <v>2020</v>
      </c>
      <c r="C5825" s="19">
        <f t="shared" si="181"/>
        <v>12</v>
      </c>
      <c r="D5825" s="5" t="s">
        <v>1063</v>
      </c>
      <c r="E5825" s="5" t="s">
        <v>198</v>
      </c>
      <c r="F5825" s="5" t="s">
        <v>11</v>
      </c>
      <c r="G5825" s="5" t="s">
        <v>112</v>
      </c>
      <c r="H5825" s="5" t="s">
        <v>1595</v>
      </c>
      <c r="I5825" s="13">
        <v>814.37599999999998</v>
      </c>
      <c r="J5825" s="19">
        <v>3</v>
      </c>
      <c r="K5825" s="14">
        <v>105.297</v>
      </c>
    </row>
    <row r="5826" spans="1:11" x14ac:dyDescent="0.25">
      <c r="A5826" s="2">
        <v>44189</v>
      </c>
      <c r="B5826" s="18">
        <f t="shared" ref="B5826:B5889" si="182">YEAR(A5826)</f>
        <v>2020</v>
      </c>
      <c r="C5826" s="18">
        <f t="shared" ref="C5826:C5889" si="183">MONTH(A5826)</f>
        <v>12</v>
      </c>
      <c r="D5826" s="3" t="s">
        <v>1357</v>
      </c>
      <c r="E5826" s="3" t="s">
        <v>94</v>
      </c>
      <c r="F5826" s="3" t="s">
        <v>19</v>
      </c>
      <c r="G5826" s="3" t="s">
        <v>32</v>
      </c>
      <c r="H5826" s="3" t="s">
        <v>2282</v>
      </c>
      <c r="I5826" s="11">
        <v>454.37599999999998</v>
      </c>
      <c r="J5826" s="18">
        <v>3</v>
      </c>
      <c r="K5826" s="12">
        <v>4.8518999999999997</v>
      </c>
    </row>
    <row r="5827" spans="1:11" x14ac:dyDescent="0.25">
      <c r="A5827" s="4">
        <v>44189</v>
      </c>
      <c r="B5827" s="19">
        <f t="shared" si="182"/>
        <v>2020</v>
      </c>
      <c r="C5827" s="19">
        <f t="shared" si="183"/>
        <v>12</v>
      </c>
      <c r="D5827" s="5" t="s">
        <v>268</v>
      </c>
      <c r="E5827" s="5" t="s">
        <v>70</v>
      </c>
      <c r="F5827" s="5" t="s">
        <v>19</v>
      </c>
      <c r="G5827" s="5" t="s">
        <v>20</v>
      </c>
      <c r="H5827" s="5" t="s">
        <v>2228</v>
      </c>
      <c r="I5827" s="13">
        <v>814.62</v>
      </c>
      <c r="J5827" s="19">
        <v>6</v>
      </c>
      <c r="K5827" s="14">
        <v>0</v>
      </c>
    </row>
    <row r="5828" spans="1:11" x14ac:dyDescent="0.25">
      <c r="A5828" s="2">
        <v>44189</v>
      </c>
      <c r="B5828" s="18">
        <f t="shared" si="182"/>
        <v>2020</v>
      </c>
      <c r="C5828" s="18">
        <f t="shared" si="183"/>
        <v>12</v>
      </c>
      <c r="D5828" s="3" t="s">
        <v>2588</v>
      </c>
      <c r="E5828" s="3" t="s">
        <v>18</v>
      </c>
      <c r="F5828" s="3" t="s">
        <v>14</v>
      </c>
      <c r="G5828" s="3" t="s">
        <v>36</v>
      </c>
      <c r="H5828" s="3" t="s">
        <v>1287</v>
      </c>
      <c r="I5828" s="11">
        <v>536.952</v>
      </c>
      <c r="J5828" s="18">
        <v>6</v>
      </c>
      <c r="K5828" s="12">
        <v>1007.9832</v>
      </c>
    </row>
    <row r="5829" spans="1:11" x14ac:dyDescent="0.25">
      <c r="A5829" s="4">
        <v>44189</v>
      </c>
      <c r="B5829" s="19">
        <f t="shared" si="182"/>
        <v>2020</v>
      </c>
      <c r="C5829" s="19">
        <f t="shared" si="183"/>
        <v>12</v>
      </c>
      <c r="D5829" s="5" t="s">
        <v>1946</v>
      </c>
      <c r="E5829" s="5" t="s">
        <v>370</v>
      </c>
      <c r="F5829" s="5" t="s">
        <v>19</v>
      </c>
      <c r="G5829" s="5" t="s">
        <v>32</v>
      </c>
      <c r="H5829" s="5" t="s">
        <v>1307</v>
      </c>
      <c r="I5829" s="13">
        <v>264.3</v>
      </c>
      <c r="J5829" s="19">
        <v>5</v>
      </c>
      <c r="K5829" s="14">
        <v>6.15</v>
      </c>
    </row>
    <row r="5830" spans="1:11" x14ac:dyDescent="0.25">
      <c r="A5830" s="2">
        <v>44189</v>
      </c>
      <c r="B5830" s="18">
        <f t="shared" si="182"/>
        <v>2020</v>
      </c>
      <c r="C5830" s="18">
        <f t="shared" si="183"/>
        <v>12</v>
      </c>
      <c r="D5830" s="3" t="s">
        <v>1063</v>
      </c>
      <c r="E5830" s="3" t="s">
        <v>198</v>
      </c>
      <c r="F5830" s="3" t="s">
        <v>11</v>
      </c>
      <c r="G5830" s="3" t="s">
        <v>51</v>
      </c>
      <c r="H5830" s="3" t="s">
        <v>191</v>
      </c>
      <c r="I5830" s="11">
        <v>427.54399999999998</v>
      </c>
      <c r="J5830" s="18">
        <v>4</v>
      </c>
      <c r="K5830" s="12">
        <v>1.9224000000000001</v>
      </c>
    </row>
    <row r="5831" spans="1:11" x14ac:dyDescent="0.25">
      <c r="A5831" s="4">
        <v>44189</v>
      </c>
      <c r="B5831" s="19">
        <f t="shared" si="182"/>
        <v>2020</v>
      </c>
      <c r="C5831" s="19">
        <f t="shared" si="183"/>
        <v>12</v>
      </c>
      <c r="D5831" s="5" t="s">
        <v>2142</v>
      </c>
      <c r="E5831" s="5" t="s">
        <v>94</v>
      </c>
      <c r="F5831" s="5" t="s">
        <v>11</v>
      </c>
      <c r="G5831" s="5" t="s">
        <v>51</v>
      </c>
      <c r="H5831" s="5" t="s">
        <v>733</v>
      </c>
      <c r="I5831" s="13">
        <v>322.93</v>
      </c>
      <c r="J5831" s="19">
        <v>1</v>
      </c>
      <c r="K5831" s="14">
        <v>6.8273999999999999</v>
      </c>
    </row>
    <row r="5832" spans="1:11" x14ac:dyDescent="0.25">
      <c r="A5832" s="2">
        <v>44189</v>
      </c>
      <c r="B5832" s="18">
        <f t="shared" si="182"/>
        <v>2020</v>
      </c>
      <c r="C5832" s="18">
        <f t="shared" si="183"/>
        <v>12</v>
      </c>
      <c r="D5832" s="3" t="s">
        <v>1088</v>
      </c>
      <c r="E5832" s="3" t="s">
        <v>499</v>
      </c>
      <c r="F5832" s="3" t="s">
        <v>19</v>
      </c>
      <c r="G5832" s="3" t="s">
        <v>32</v>
      </c>
      <c r="H5832" s="3" t="s">
        <v>2206</v>
      </c>
      <c r="I5832" s="11">
        <v>379.31200000000001</v>
      </c>
      <c r="J5832" s="18">
        <v>3</v>
      </c>
      <c r="K5832" s="12">
        <v>7.992</v>
      </c>
    </row>
    <row r="5833" spans="1:11" x14ac:dyDescent="0.25">
      <c r="A5833" s="4">
        <v>44189</v>
      </c>
      <c r="B5833" s="19">
        <f t="shared" si="182"/>
        <v>2020</v>
      </c>
      <c r="C5833" s="19">
        <f t="shared" si="183"/>
        <v>12</v>
      </c>
      <c r="D5833" s="5" t="s">
        <v>1946</v>
      </c>
      <c r="E5833" s="5" t="s">
        <v>370</v>
      </c>
      <c r="F5833" s="5" t="s">
        <v>19</v>
      </c>
      <c r="G5833" s="5" t="s">
        <v>53</v>
      </c>
      <c r="H5833" s="5" t="s">
        <v>2026</v>
      </c>
      <c r="I5833" s="13">
        <v>334.44</v>
      </c>
      <c r="J5833" s="19">
        <v>3</v>
      </c>
      <c r="K5833" s="14">
        <v>9.3312000000000008</v>
      </c>
    </row>
    <row r="5834" spans="1:11" x14ac:dyDescent="0.25">
      <c r="A5834" s="2">
        <v>44189</v>
      </c>
      <c r="B5834" s="18">
        <f t="shared" si="182"/>
        <v>2020</v>
      </c>
      <c r="C5834" s="18">
        <f t="shared" si="183"/>
        <v>12</v>
      </c>
      <c r="D5834" s="3" t="s">
        <v>660</v>
      </c>
      <c r="E5834" s="3" t="s">
        <v>94</v>
      </c>
      <c r="F5834" s="3" t="s">
        <v>19</v>
      </c>
      <c r="G5834" s="3" t="s">
        <v>121</v>
      </c>
      <c r="H5834" s="3" t="s">
        <v>832</v>
      </c>
      <c r="I5834" s="11">
        <v>455.91</v>
      </c>
      <c r="J5834" s="18">
        <v>3</v>
      </c>
      <c r="K5834" s="12">
        <v>9.6957000000000004</v>
      </c>
    </row>
    <row r="5835" spans="1:11" x14ac:dyDescent="0.25">
      <c r="A5835" s="4">
        <v>44190</v>
      </c>
      <c r="B5835" s="19">
        <f t="shared" si="182"/>
        <v>2020</v>
      </c>
      <c r="C5835" s="19">
        <f t="shared" si="183"/>
        <v>12</v>
      </c>
      <c r="D5835" s="5" t="s">
        <v>1404</v>
      </c>
      <c r="E5835" s="5" t="s">
        <v>898</v>
      </c>
      <c r="F5835" s="5" t="s">
        <v>19</v>
      </c>
      <c r="G5835" s="5" t="s">
        <v>53</v>
      </c>
      <c r="H5835" s="5" t="s">
        <v>1508</v>
      </c>
      <c r="I5835" s="13">
        <v>450.08</v>
      </c>
      <c r="J5835" s="19">
        <v>2</v>
      </c>
      <c r="K5835" s="14">
        <v>46.118400000000001</v>
      </c>
    </row>
    <row r="5836" spans="1:11" x14ac:dyDescent="0.25">
      <c r="A5836" s="2">
        <v>44190</v>
      </c>
      <c r="B5836" s="18">
        <f t="shared" si="182"/>
        <v>2020</v>
      </c>
      <c r="C5836" s="18">
        <f t="shared" si="183"/>
        <v>12</v>
      </c>
      <c r="D5836" s="3" t="s">
        <v>1404</v>
      </c>
      <c r="E5836" s="3" t="s">
        <v>898</v>
      </c>
      <c r="F5836" s="3" t="s">
        <v>14</v>
      </c>
      <c r="G5836" s="3" t="s">
        <v>15</v>
      </c>
      <c r="H5836" s="3" t="s">
        <v>27</v>
      </c>
      <c r="I5836" s="11">
        <v>352.48</v>
      </c>
      <c r="J5836" s="18">
        <v>2</v>
      </c>
      <c r="K5836" s="12">
        <v>23.524799999999999</v>
      </c>
    </row>
    <row r="5837" spans="1:11" x14ac:dyDescent="0.25">
      <c r="A5837" s="4">
        <v>44190</v>
      </c>
      <c r="B5837" s="19">
        <f t="shared" si="182"/>
        <v>2020</v>
      </c>
      <c r="C5837" s="19">
        <f t="shared" si="183"/>
        <v>12</v>
      </c>
      <c r="D5837" s="5" t="s">
        <v>2062</v>
      </c>
      <c r="E5837" s="5" t="s">
        <v>195</v>
      </c>
      <c r="F5837" s="5" t="s">
        <v>19</v>
      </c>
      <c r="G5837" s="5" t="s">
        <v>20</v>
      </c>
      <c r="H5837" s="5" t="s">
        <v>684</v>
      </c>
      <c r="I5837" s="13">
        <v>465.94</v>
      </c>
      <c r="J5837" s="19">
        <v>3</v>
      </c>
      <c r="K5837" s="14">
        <v>9.5939999999999994</v>
      </c>
    </row>
    <row r="5838" spans="1:11" x14ac:dyDescent="0.25">
      <c r="A5838" s="2">
        <v>44190</v>
      </c>
      <c r="B5838" s="18">
        <f t="shared" si="182"/>
        <v>2020</v>
      </c>
      <c r="C5838" s="18">
        <f t="shared" si="183"/>
        <v>12</v>
      </c>
      <c r="D5838" s="3" t="s">
        <v>2561</v>
      </c>
      <c r="E5838" s="3" t="s">
        <v>44</v>
      </c>
      <c r="F5838" s="3" t="s">
        <v>14</v>
      </c>
      <c r="G5838" s="3" t="s">
        <v>188</v>
      </c>
      <c r="H5838" s="3" t="s">
        <v>2468</v>
      </c>
      <c r="I5838" s="11">
        <v>434</v>
      </c>
      <c r="J5838" s="18">
        <v>2</v>
      </c>
      <c r="K5838" s="12">
        <v>-7.2</v>
      </c>
    </row>
    <row r="5839" spans="1:11" x14ac:dyDescent="0.25">
      <c r="A5839" s="4">
        <v>44190</v>
      </c>
      <c r="B5839" s="19">
        <f t="shared" si="182"/>
        <v>2020</v>
      </c>
      <c r="C5839" s="19">
        <f t="shared" si="183"/>
        <v>12</v>
      </c>
      <c r="D5839" s="5" t="s">
        <v>460</v>
      </c>
      <c r="E5839" s="5" t="s">
        <v>67</v>
      </c>
      <c r="F5839" s="5" t="s">
        <v>14</v>
      </c>
      <c r="G5839" s="5" t="s">
        <v>24</v>
      </c>
      <c r="H5839" s="5" t="s">
        <v>1719</v>
      </c>
      <c r="I5839" s="13">
        <v>349.928</v>
      </c>
      <c r="J5839" s="19">
        <v>7</v>
      </c>
      <c r="K5839" s="14">
        <v>41.718600000000002</v>
      </c>
    </row>
    <row r="5840" spans="1:11" x14ac:dyDescent="0.25">
      <c r="A5840" s="2">
        <v>44190</v>
      </c>
      <c r="B5840" s="18">
        <f t="shared" si="182"/>
        <v>2020</v>
      </c>
      <c r="C5840" s="18">
        <f t="shared" si="183"/>
        <v>12</v>
      </c>
      <c r="D5840" s="3" t="s">
        <v>1954</v>
      </c>
      <c r="E5840" s="3" t="s">
        <v>18</v>
      </c>
      <c r="F5840" s="3" t="s">
        <v>19</v>
      </c>
      <c r="G5840" s="3" t="s">
        <v>32</v>
      </c>
      <c r="H5840" s="3" t="s">
        <v>836</v>
      </c>
      <c r="I5840" s="11">
        <v>468.55200000000002</v>
      </c>
      <c r="J5840" s="18">
        <v>3</v>
      </c>
      <c r="K5840" s="12">
        <v>51.823799999999999</v>
      </c>
    </row>
    <row r="5841" spans="1:11" x14ac:dyDescent="0.25">
      <c r="A5841" s="4">
        <v>44190</v>
      </c>
      <c r="B5841" s="19">
        <f t="shared" si="182"/>
        <v>2020</v>
      </c>
      <c r="C5841" s="19">
        <f t="shared" si="183"/>
        <v>12</v>
      </c>
      <c r="D5841" s="5" t="s">
        <v>1330</v>
      </c>
      <c r="E5841" s="5" t="s">
        <v>94</v>
      </c>
      <c r="F5841" s="5" t="s">
        <v>11</v>
      </c>
      <c r="G5841" s="5" t="s">
        <v>12</v>
      </c>
      <c r="H5841" s="5" t="s">
        <v>208</v>
      </c>
      <c r="I5841" s="13">
        <v>408.98399999999998</v>
      </c>
      <c r="J5841" s="19">
        <v>2</v>
      </c>
      <c r="K5841" s="14">
        <v>4.7995999999999999</v>
      </c>
    </row>
    <row r="5842" spans="1:11" x14ac:dyDescent="0.25">
      <c r="A5842" s="2">
        <v>44190</v>
      </c>
      <c r="B5842" s="18">
        <f t="shared" si="182"/>
        <v>2020</v>
      </c>
      <c r="C5842" s="18">
        <f t="shared" si="183"/>
        <v>12</v>
      </c>
      <c r="D5842" s="3" t="s">
        <v>1954</v>
      </c>
      <c r="E5842" s="3" t="s">
        <v>18</v>
      </c>
      <c r="F5842" s="3" t="s">
        <v>19</v>
      </c>
      <c r="G5842" s="3" t="s">
        <v>20</v>
      </c>
      <c r="H5842" s="3" t="s">
        <v>397</v>
      </c>
      <c r="I5842" s="11">
        <v>386.62</v>
      </c>
      <c r="J5842" s="18">
        <v>2</v>
      </c>
      <c r="K5842" s="12">
        <v>2.7061999999999999</v>
      </c>
    </row>
    <row r="5843" spans="1:11" x14ac:dyDescent="0.25">
      <c r="A5843" s="4">
        <v>44190</v>
      </c>
      <c r="B5843" s="19">
        <f t="shared" si="182"/>
        <v>2020</v>
      </c>
      <c r="C5843" s="19">
        <f t="shared" si="183"/>
        <v>12</v>
      </c>
      <c r="D5843" s="5" t="s">
        <v>460</v>
      </c>
      <c r="E5843" s="5" t="s">
        <v>67</v>
      </c>
      <c r="F5843" s="5" t="s">
        <v>11</v>
      </c>
      <c r="G5843" s="5" t="s">
        <v>30</v>
      </c>
      <c r="H5843" s="5" t="s">
        <v>953</v>
      </c>
      <c r="I5843" s="13">
        <v>591.05999999999995</v>
      </c>
      <c r="J5843" s="19">
        <v>2</v>
      </c>
      <c r="K5843" s="14">
        <v>-104.673</v>
      </c>
    </row>
    <row r="5844" spans="1:11" x14ac:dyDescent="0.25">
      <c r="A5844" s="2">
        <v>44190</v>
      </c>
      <c r="B5844" s="18">
        <f t="shared" si="182"/>
        <v>2020</v>
      </c>
      <c r="C5844" s="18">
        <f t="shared" si="183"/>
        <v>12</v>
      </c>
      <c r="D5844" s="3" t="s">
        <v>2062</v>
      </c>
      <c r="E5844" s="3" t="s">
        <v>195</v>
      </c>
      <c r="F5844" s="3" t="s">
        <v>11</v>
      </c>
      <c r="G5844" s="3" t="s">
        <v>112</v>
      </c>
      <c r="H5844" s="3" t="s">
        <v>1116</v>
      </c>
      <c r="I5844" s="11">
        <v>583.45000000000005</v>
      </c>
      <c r="J5844" s="18">
        <v>5</v>
      </c>
      <c r="K5844" s="12">
        <v>76.112499999999997</v>
      </c>
    </row>
    <row r="5845" spans="1:11" x14ac:dyDescent="0.25">
      <c r="A5845" s="4">
        <v>44190</v>
      </c>
      <c r="B5845" s="19">
        <f t="shared" si="182"/>
        <v>2020</v>
      </c>
      <c r="C5845" s="19">
        <f t="shared" si="183"/>
        <v>12</v>
      </c>
      <c r="D5845" s="5" t="s">
        <v>1404</v>
      </c>
      <c r="E5845" s="5" t="s">
        <v>898</v>
      </c>
      <c r="F5845" s="5" t="s">
        <v>19</v>
      </c>
      <c r="G5845" s="5" t="s">
        <v>53</v>
      </c>
      <c r="H5845" s="5" t="s">
        <v>927</v>
      </c>
      <c r="I5845" s="13">
        <v>836.1</v>
      </c>
      <c r="J5845" s="19">
        <v>6</v>
      </c>
      <c r="K5845" s="14">
        <v>301.96800000000002</v>
      </c>
    </row>
    <row r="5846" spans="1:11" x14ac:dyDescent="0.25">
      <c r="A5846" s="2">
        <v>44190</v>
      </c>
      <c r="B5846" s="18">
        <f t="shared" si="182"/>
        <v>2020</v>
      </c>
      <c r="C5846" s="18">
        <f t="shared" si="183"/>
        <v>12</v>
      </c>
      <c r="D5846" s="3" t="s">
        <v>1404</v>
      </c>
      <c r="E5846" s="3" t="s">
        <v>898</v>
      </c>
      <c r="F5846" s="3" t="s">
        <v>19</v>
      </c>
      <c r="G5846" s="3" t="s">
        <v>116</v>
      </c>
      <c r="H5846" s="3" t="s">
        <v>1773</v>
      </c>
      <c r="I5846" s="11">
        <v>435.62</v>
      </c>
      <c r="J5846" s="18">
        <v>2</v>
      </c>
      <c r="K5846" s="12">
        <v>1.1946000000000001</v>
      </c>
    </row>
    <row r="5847" spans="1:11" x14ac:dyDescent="0.25">
      <c r="A5847" s="4">
        <v>44190</v>
      </c>
      <c r="B5847" s="19">
        <f t="shared" si="182"/>
        <v>2020</v>
      </c>
      <c r="C5847" s="19">
        <f t="shared" si="183"/>
        <v>12</v>
      </c>
      <c r="D5847" s="5" t="s">
        <v>460</v>
      </c>
      <c r="E5847" s="5" t="s">
        <v>67</v>
      </c>
      <c r="F5847" s="5" t="s">
        <v>19</v>
      </c>
      <c r="G5847" s="5" t="s">
        <v>32</v>
      </c>
      <c r="H5847" s="5" t="s">
        <v>359</v>
      </c>
      <c r="I5847" s="13">
        <v>331.02300000000002</v>
      </c>
      <c r="J5847" s="19">
        <v>1</v>
      </c>
      <c r="K5847" s="14">
        <v>-10.4184</v>
      </c>
    </row>
    <row r="5848" spans="1:11" x14ac:dyDescent="0.25">
      <c r="A5848" s="2">
        <v>44190</v>
      </c>
      <c r="B5848" s="18">
        <f t="shared" si="182"/>
        <v>2020</v>
      </c>
      <c r="C5848" s="18">
        <f t="shared" si="183"/>
        <v>12</v>
      </c>
      <c r="D5848" s="3" t="s">
        <v>2077</v>
      </c>
      <c r="E5848" s="3" t="s">
        <v>23</v>
      </c>
      <c r="F5848" s="3" t="s">
        <v>19</v>
      </c>
      <c r="G5848" s="3" t="s">
        <v>32</v>
      </c>
      <c r="H5848" s="3" t="s">
        <v>1259</v>
      </c>
      <c r="I5848" s="11">
        <v>339.16800000000001</v>
      </c>
      <c r="J5848" s="18">
        <v>3</v>
      </c>
      <c r="K5848" s="12">
        <v>-5.0688000000000004</v>
      </c>
    </row>
    <row r="5849" spans="1:11" x14ac:dyDescent="0.25">
      <c r="A5849" s="4">
        <v>44190</v>
      </c>
      <c r="B5849" s="19">
        <f t="shared" si="182"/>
        <v>2020</v>
      </c>
      <c r="C5849" s="19">
        <f t="shared" si="183"/>
        <v>12</v>
      </c>
      <c r="D5849" s="5" t="s">
        <v>1587</v>
      </c>
      <c r="E5849" s="5" t="s">
        <v>85</v>
      </c>
      <c r="F5849" s="5" t="s">
        <v>14</v>
      </c>
      <c r="G5849" s="5" t="s">
        <v>24</v>
      </c>
      <c r="H5849" s="5" t="s">
        <v>2590</v>
      </c>
      <c r="I5849" s="13">
        <v>379.8</v>
      </c>
      <c r="J5849" s="19">
        <v>3</v>
      </c>
      <c r="K5849" s="14">
        <v>13.673999999999999</v>
      </c>
    </row>
    <row r="5850" spans="1:11" x14ac:dyDescent="0.25">
      <c r="A5850" s="2">
        <v>44190</v>
      </c>
      <c r="B5850" s="18">
        <f t="shared" si="182"/>
        <v>2020</v>
      </c>
      <c r="C5850" s="18">
        <f t="shared" si="183"/>
        <v>12</v>
      </c>
      <c r="D5850" s="3" t="s">
        <v>1544</v>
      </c>
      <c r="E5850" s="3" t="s">
        <v>70</v>
      </c>
      <c r="F5850" s="3" t="s">
        <v>19</v>
      </c>
      <c r="G5850" s="3" t="s">
        <v>32</v>
      </c>
      <c r="H5850" s="3" t="s">
        <v>735</v>
      </c>
      <c r="I5850" s="11">
        <v>272.85599999999999</v>
      </c>
      <c r="J5850" s="18">
        <v>1</v>
      </c>
      <c r="K5850" s="12">
        <v>1.3977999999999999</v>
      </c>
    </row>
    <row r="5851" spans="1:11" x14ac:dyDescent="0.25">
      <c r="A5851" s="4">
        <v>44190</v>
      </c>
      <c r="B5851" s="19">
        <f t="shared" si="182"/>
        <v>2020</v>
      </c>
      <c r="C5851" s="19">
        <f t="shared" si="183"/>
        <v>12</v>
      </c>
      <c r="D5851" s="5" t="s">
        <v>2077</v>
      </c>
      <c r="E5851" s="5" t="s">
        <v>23</v>
      </c>
      <c r="F5851" s="5" t="s">
        <v>19</v>
      </c>
      <c r="G5851" s="5" t="s">
        <v>32</v>
      </c>
      <c r="H5851" s="5" t="s">
        <v>1503</v>
      </c>
      <c r="I5851" s="13">
        <v>399.98</v>
      </c>
      <c r="J5851" s="19">
        <v>5</v>
      </c>
      <c r="K5851" s="14">
        <v>-65.567999999999998</v>
      </c>
    </row>
    <row r="5852" spans="1:11" x14ac:dyDescent="0.25">
      <c r="A5852" s="2">
        <v>44190</v>
      </c>
      <c r="B5852" s="18">
        <f t="shared" si="182"/>
        <v>2020</v>
      </c>
      <c r="C5852" s="18">
        <f t="shared" si="183"/>
        <v>12</v>
      </c>
      <c r="D5852" s="3" t="s">
        <v>2077</v>
      </c>
      <c r="E5852" s="3" t="s">
        <v>23</v>
      </c>
      <c r="F5852" s="3" t="s">
        <v>19</v>
      </c>
      <c r="G5852" s="3" t="s">
        <v>40</v>
      </c>
      <c r="H5852" s="3" t="s">
        <v>299</v>
      </c>
      <c r="I5852" s="11">
        <v>302.74400000000003</v>
      </c>
      <c r="J5852" s="18">
        <v>2</v>
      </c>
      <c r="K5852" s="12">
        <v>2.3807999999999998</v>
      </c>
    </row>
    <row r="5853" spans="1:11" x14ac:dyDescent="0.25">
      <c r="A5853" s="4">
        <v>44190</v>
      </c>
      <c r="B5853" s="19">
        <f t="shared" si="182"/>
        <v>2020</v>
      </c>
      <c r="C5853" s="19">
        <f t="shared" si="183"/>
        <v>12</v>
      </c>
      <c r="D5853" s="5" t="s">
        <v>2561</v>
      </c>
      <c r="E5853" s="5" t="s">
        <v>44</v>
      </c>
      <c r="F5853" s="5" t="s">
        <v>11</v>
      </c>
      <c r="G5853" s="5" t="s">
        <v>51</v>
      </c>
      <c r="H5853" s="5" t="s">
        <v>1628</v>
      </c>
      <c r="I5853" s="13">
        <v>421</v>
      </c>
      <c r="J5853" s="19">
        <v>3</v>
      </c>
      <c r="K5853" s="14">
        <v>5.7750000000000004</v>
      </c>
    </row>
    <row r="5854" spans="1:11" x14ac:dyDescent="0.25">
      <c r="A5854" s="2">
        <v>44190</v>
      </c>
      <c r="B5854" s="18">
        <f t="shared" si="182"/>
        <v>2020</v>
      </c>
      <c r="C5854" s="18">
        <f t="shared" si="183"/>
        <v>12</v>
      </c>
      <c r="D5854" s="3" t="s">
        <v>2077</v>
      </c>
      <c r="E5854" s="3" t="s">
        <v>23</v>
      </c>
      <c r="F5854" s="3" t="s">
        <v>19</v>
      </c>
      <c r="G5854" s="3" t="s">
        <v>265</v>
      </c>
      <c r="H5854" s="3" t="s">
        <v>538</v>
      </c>
      <c r="I5854" s="11">
        <v>433.68799999999999</v>
      </c>
      <c r="J5854" s="18">
        <v>7</v>
      </c>
      <c r="K5854" s="12">
        <v>5.0274000000000001</v>
      </c>
    </row>
    <row r="5855" spans="1:11" x14ac:dyDescent="0.25">
      <c r="A5855" s="4">
        <v>44190</v>
      </c>
      <c r="B5855" s="19">
        <f t="shared" si="182"/>
        <v>2020</v>
      </c>
      <c r="C5855" s="19">
        <f t="shared" si="183"/>
        <v>12</v>
      </c>
      <c r="D5855" s="5" t="s">
        <v>460</v>
      </c>
      <c r="E5855" s="5" t="s">
        <v>67</v>
      </c>
      <c r="F5855" s="5" t="s">
        <v>19</v>
      </c>
      <c r="G5855" s="5" t="s">
        <v>116</v>
      </c>
      <c r="H5855" s="5" t="s">
        <v>301</v>
      </c>
      <c r="I5855" s="13">
        <v>330.31200000000001</v>
      </c>
      <c r="J5855" s="19">
        <v>13</v>
      </c>
      <c r="K5855" s="14">
        <v>12.776400000000001</v>
      </c>
    </row>
    <row r="5856" spans="1:11" x14ac:dyDescent="0.25">
      <c r="A5856" s="2">
        <v>44190</v>
      </c>
      <c r="B5856" s="18">
        <f t="shared" si="182"/>
        <v>2020</v>
      </c>
      <c r="C5856" s="18">
        <f t="shared" si="183"/>
        <v>12</v>
      </c>
      <c r="D5856" s="3" t="s">
        <v>2077</v>
      </c>
      <c r="E5856" s="3" t="s">
        <v>23</v>
      </c>
      <c r="F5856" s="3" t="s">
        <v>19</v>
      </c>
      <c r="G5856" s="3" t="s">
        <v>32</v>
      </c>
      <c r="H5856" s="3" t="s">
        <v>2264</v>
      </c>
      <c r="I5856" s="11">
        <v>418.58199999999999</v>
      </c>
      <c r="J5856" s="18">
        <v>9</v>
      </c>
      <c r="K5856" s="12">
        <v>-59.372999999999998</v>
      </c>
    </row>
    <row r="5857" spans="1:11" x14ac:dyDescent="0.25">
      <c r="A5857" s="4">
        <v>44190</v>
      </c>
      <c r="B5857" s="19">
        <f t="shared" si="182"/>
        <v>2020</v>
      </c>
      <c r="C5857" s="19">
        <f t="shared" si="183"/>
        <v>12</v>
      </c>
      <c r="D5857" s="5" t="s">
        <v>817</v>
      </c>
      <c r="E5857" s="5" t="s">
        <v>94</v>
      </c>
      <c r="F5857" s="5" t="s">
        <v>11</v>
      </c>
      <c r="G5857" s="5" t="s">
        <v>51</v>
      </c>
      <c r="H5857" s="5" t="s">
        <v>1849</v>
      </c>
      <c r="I5857" s="13">
        <v>329.96</v>
      </c>
      <c r="J5857" s="19">
        <v>2</v>
      </c>
      <c r="K5857" s="14">
        <v>10.909599999999999</v>
      </c>
    </row>
    <row r="5858" spans="1:11" x14ac:dyDescent="0.25">
      <c r="A5858" s="2">
        <v>44191</v>
      </c>
      <c r="B5858" s="18">
        <f t="shared" si="182"/>
        <v>2020</v>
      </c>
      <c r="C5858" s="18">
        <f t="shared" si="183"/>
        <v>12</v>
      </c>
      <c r="D5858" s="3" t="s">
        <v>560</v>
      </c>
      <c r="E5858" s="3" t="s">
        <v>651</v>
      </c>
      <c r="F5858" s="3" t="s">
        <v>19</v>
      </c>
      <c r="G5858" s="3" t="s">
        <v>20</v>
      </c>
      <c r="H5858" s="3" t="s">
        <v>1943</v>
      </c>
      <c r="I5858" s="11">
        <v>1063.68</v>
      </c>
      <c r="J5858" s="18">
        <v>2</v>
      </c>
      <c r="K5858" s="12">
        <v>37.533999999999999</v>
      </c>
    </row>
    <row r="5859" spans="1:11" x14ac:dyDescent="0.25">
      <c r="A5859" s="4">
        <v>44191</v>
      </c>
      <c r="B5859" s="19">
        <f t="shared" si="182"/>
        <v>2020</v>
      </c>
      <c r="C5859" s="19">
        <f t="shared" si="183"/>
        <v>12</v>
      </c>
      <c r="D5859" s="5" t="s">
        <v>1254</v>
      </c>
      <c r="E5859" s="5" t="s">
        <v>67</v>
      </c>
      <c r="F5859" s="5" t="s">
        <v>19</v>
      </c>
      <c r="G5859" s="5" t="s">
        <v>32</v>
      </c>
      <c r="H5859" s="5" t="s">
        <v>1794</v>
      </c>
      <c r="I5859" s="13">
        <v>308.13200000000001</v>
      </c>
      <c r="J5859" s="19">
        <v>2</v>
      </c>
      <c r="K5859" s="14">
        <v>-2.61</v>
      </c>
    </row>
    <row r="5860" spans="1:11" x14ac:dyDescent="0.25">
      <c r="A5860" s="2">
        <v>44191</v>
      </c>
      <c r="B5860" s="18">
        <f t="shared" si="182"/>
        <v>2020</v>
      </c>
      <c r="C5860" s="18">
        <f t="shared" si="183"/>
        <v>12</v>
      </c>
      <c r="D5860" s="3" t="s">
        <v>218</v>
      </c>
      <c r="E5860" s="3" t="s">
        <v>23</v>
      </c>
      <c r="F5860" s="3" t="s">
        <v>19</v>
      </c>
      <c r="G5860" s="3" t="s">
        <v>53</v>
      </c>
      <c r="H5860" s="3" t="s">
        <v>96</v>
      </c>
      <c r="I5860" s="11">
        <v>324.03199999999998</v>
      </c>
      <c r="J5860" s="18">
        <v>3</v>
      </c>
      <c r="K5860" s="12">
        <v>5.6112000000000002</v>
      </c>
    </row>
    <row r="5861" spans="1:11" x14ac:dyDescent="0.25">
      <c r="A5861" s="4">
        <v>44191</v>
      </c>
      <c r="B5861" s="19">
        <f t="shared" si="182"/>
        <v>2020</v>
      </c>
      <c r="C5861" s="19">
        <f t="shared" si="183"/>
        <v>12</v>
      </c>
      <c r="D5861" s="5" t="s">
        <v>1451</v>
      </c>
      <c r="E5861" s="5" t="s">
        <v>1350</v>
      </c>
      <c r="F5861" s="5" t="s">
        <v>19</v>
      </c>
      <c r="G5861" s="5" t="s">
        <v>53</v>
      </c>
      <c r="H5861" s="5" t="s">
        <v>1725</v>
      </c>
      <c r="I5861" s="13">
        <v>270.75</v>
      </c>
      <c r="J5861" s="19">
        <v>5</v>
      </c>
      <c r="K5861" s="14">
        <v>20.585000000000001</v>
      </c>
    </row>
    <row r="5862" spans="1:11" x14ac:dyDescent="0.25">
      <c r="A5862" s="2">
        <v>44192</v>
      </c>
      <c r="B5862" s="18">
        <f t="shared" si="182"/>
        <v>2020</v>
      </c>
      <c r="C5862" s="18">
        <f t="shared" si="183"/>
        <v>12</v>
      </c>
      <c r="D5862" s="3" t="s">
        <v>485</v>
      </c>
      <c r="E5862" s="3" t="s">
        <v>67</v>
      </c>
      <c r="F5862" s="3" t="s">
        <v>14</v>
      </c>
      <c r="G5862" s="3" t="s">
        <v>15</v>
      </c>
      <c r="H5862" s="3" t="s">
        <v>2221</v>
      </c>
      <c r="I5862" s="11">
        <v>928.38800000000003</v>
      </c>
      <c r="J5862" s="18">
        <v>2</v>
      </c>
      <c r="K5862" s="12">
        <v>-35.617400000000004</v>
      </c>
    </row>
    <row r="5863" spans="1:11" x14ac:dyDescent="0.25">
      <c r="A5863" s="4">
        <v>44192</v>
      </c>
      <c r="B5863" s="19">
        <f t="shared" si="182"/>
        <v>2020</v>
      </c>
      <c r="C5863" s="19">
        <f t="shared" si="183"/>
        <v>12</v>
      </c>
      <c r="D5863" s="5" t="s">
        <v>485</v>
      </c>
      <c r="E5863" s="5" t="s">
        <v>67</v>
      </c>
      <c r="F5863" s="5" t="s">
        <v>19</v>
      </c>
      <c r="G5863" s="5" t="s">
        <v>40</v>
      </c>
      <c r="H5863" s="5" t="s">
        <v>1639</v>
      </c>
      <c r="I5863" s="13">
        <v>1267.248</v>
      </c>
      <c r="J5863" s="19">
        <v>4</v>
      </c>
      <c r="K5863" s="14">
        <v>3.6432000000000002</v>
      </c>
    </row>
    <row r="5864" spans="1:11" x14ac:dyDescent="0.25">
      <c r="A5864" s="2">
        <v>44193</v>
      </c>
      <c r="B5864" s="18">
        <f t="shared" si="182"/>
        <v>2020</v>
      </c>
      <c r="C5864" s="18">
        <f t="shared" si="183"/>
        <v>12</v>
      </c>
      <c r="D5864" s="3" t="s">
        <v>2453</v>
      </c>
      <c r="E5864" s="3" t="s">
        <v>94</v>
      </c>
      <c r="F5864" s="3" t="s">
        <v>19</v>
      </c>
      <c r="G5864" s="3" t="s">
        <v>127</v>
      </c>
      <c r="H5864" s="3" t="s">
        <v>534</v>
      </c>
      <c r="I5864" s="11">
        <v>292.45</v>
      </c>
      <c r="J5864" s="18">
        <v>7</v>
      </c>
      <c r="K5864" s="12">
        <v>34.776000000000003</v>
      </c>
    </row>
    <row r="5865" spans="1:11" x14ac:dyDescent="0.25">
      <c r="A5865" s="4">
        <v>44193</v>
      </c>
      <c r="B5865" s="19">
        <f t="shared" si="182"/>
        <v>2020</v>
      </c>
      <c r="C5865" s="19">
        <f t="shared" si="183"/>
        <v>12</v>
      </c>
      <c r="D5865" s="5" t="s">
        <v>729</v>
      </c>
      <c r="E5865" s="5" t="s">
        <v>219</v>
      </c>
      <c r="F5865" s="5" t="s">
        <v>19</v>
      </c>
      <c r="G5865" s="5" t="s">
        <v>20</v>
      </c>
      <c r="H5865" s="5" t="s">
        <v>263</v>
      </c>
      <c r="I5865" s="13">
        <v>401.78399999999999</v>
      </c>
      <c r="J5865" s="19">
        <v>1</v>
      </c>
      <c r="K5865" s="14">
        <v>-12.956799999999999</v>
      </c>
    </row>
    <row r="5866" spans="1:11" x14ac:dyDescent="0.25">
      <c r="A5866" s="2">
        <v>44193</v>
      </c>
      <c r="B5866" s="18">
        <f t="shared" si="182"/>
        <v>2020</v>
      </c>
      <c r="C5866" s="18">
        <f t="shared" si="183"/>
        <v>12</v>
      </c>
      <c r="D5866" s="3" t="s">
        <v>460</v>
      </c>
      <c r="E5866" s="3" t="s">
        <v>1868</v>
      </c>
      <c r="F5866" s="3" t="s">
        <v>19</v>
      </c>
      <c r="G5866" s="3" t="s">
        <v>20</v>
      </c>
      <c r="H5866" s="3" t="s">
        <v>1495</v>
      </c>
      <c r="I5866" s="11">
        <v>453.25</v>
      </c>
      <c r="J5866" s="18">
        <v>5</v>
      </c>
      <c r="K5866" s="12">
        <v>34.292499999999997</v>
      </c>
    </row>
    <row r="5867" spans="1:11" x14ac:dyDescent="0.25">
      <c r="A5867" s="4">
        <v>44193</v>
      </c>
      <c r="B5867" s="19">
        <f t="shared" si="182"/>
        <v>2020</v>
      </c>
      <c r="C5867" s="19">
        <f t="shared" si="183"/>
        <v>12</v>
      </c>
      <c r="D5867" s="5" t="s">
        <v>2311</v>
      </c>
      <c r="E5867" s="5" t="s">
        <v>164</v>
      </c>
      <c r="F5867" s="5" t="s">
        <v>11</v>
      </c>
      <c r="G5867" s="5" t="s">
        <v>112</v>
      </c>
      <c r="H5867" s="5" t="s">
        <v>1929</v>
      </c>
      <c r="I5867" s="13">
        <v>116.372</v>
      </c>
      <c r="J5867" s="19">
        <v>2</v>
      </c>
      <c r="K5867" s="14">
        <v>-3.2391999999999999</v>
      </c>
    </row>
    <row r="5868" spans="1:11" x14ac:dyDescent="0.25">
      <c r="A5868" s="2">
        <v>44193</v>
      </c>
      <c r="B5868" s="18">
        <f t="shared" si="182"/>
        <v>2020</v>
      </c>
      <c r="C5868" s="18">
        <f t="shared" si="183"/>
        <v>12</v>
      </c>
      <c r="D5868" s="3" t="s">
        <v>313</v>
      </c>
      <c r="E5868" s="3" t="s">
        <v>18</v>
      </c>
      <c r="F5868" s="3" t="s">
        <v>11</v>
      </c>
      <c r="G5868" s="3" t="s">
        <v>112</v>
      </c>
      <c r="H5868" s="3" t="s">
        <v>1068</v>
      </c>
      <c r="I5868" s="11">
        <v>331.70400000000001</v>
      </c>
      <c r="J5868" s="18">
        <v>6</v>
      </c>
      <c r="K5868" s="12">
        <v>-34.070399999999999</v>
      </c>
    </row>
    <row r="5869" spans="1:11" x14ac:dyDescent="0.25">
      <c r="A5869" s="4">
        <v>44193</v>
      </c>
      <c r="B5869" s="19">
        <f t="shared" si="182"/>
        <v>2020</v>
      </c>
      <c r="C5869" s="19">
        <f t="shared" si="183"/>
        <v>12</v>
      </c>
      <c r="D5869" s="5" t="s">
        <v>1200</v>
      </c>
      <c r="E5869" s="5" t="s">
        <v>18</v>
      </c>
      <c r="F5869" s="5" t="s">
        <v>19</v>
      </c>
      <c r="G5869" s="5" t="s">
        <v>20</v>
      </c>
      <c r="H5869" s="5" t="s">
        <v>303</v>
      </c>
      <c r="I5869" s="13">
        <v>244.84</v>
      </c>
      <c r="J5869" s="19">
        <v>4</v>
      </c>
      <c r="K5869" s="14">
        <v>210.49359999999999</v>
      </c>
    </row>
    <row r="5870" spans="1:11" x14ac:dyDescent="0.25">
      <c r="A5870" s="2">
        <v>44193</v>
      </c>
      <c r="B5870" s="18">
        <f t="shared" si="182"/>
        <v>2020</v>
      </c>
      <c r="C5870" s="18">
        <f t="shared" si="183"/>
        <v>12</v>
      </c>
      <c r="D5870" s="3" t="s">
        <v>2311</v>
      </c>
      <c r="E5870" s="3" t="s">
        <v>164</v>
      </c>
      <c r="F5870" s="3" t="s">
        <v>11</v>
      </c>
      <c r="G5870" s="3" t="s">
        <v>51</v>
      </c>
      <c r="H5870" s="3" t="s">
        <v>2009</v>
      </c>
      <c r="I5870" s="11">
        <v>478.96</v>
      </c>
      <c r="J5870" s="18">
        <v>2</v>
      </c>
      <c r="K5870" s="12">
        <v>-1.4059999999999999</v>
      </c>
    </row>
    <row r="5871" spans="1:11" x14ac:dyDescent="0.25">
      <c r="A5871" s="4">
        <v>44193</v>
      </c>
      <c r="B5871" s="19">
        <f t="shared" si="182"/>
        <v>2020</v>
      </c>
      <c r="C5871" s="19">
        <f t="shared" si="183"/>
        <v>12</v>
      </c>
      <c r="D5871" s="5" t="s">
        <v>1820</v>
      </c>
      <c r="E5871" s="5" t="s">
        <v>306</v>
      </c>
      <c r="F5871" s="5" t="s">
        <v>19</v>
      </c>
      <c r="G5871" s="5" t="s">
        <v>32</v>
      </c>
      <c r="H5871" s="5" t="s">
        <v>1739</v>
      </c>
      <c r="I5871" s="13">
        <v>198.18799999999999</v>
      </c>
      <c r="J5871" s="19">
        <v>2</v>
      </c>
      <c r="K5871" s="14">
        <v>-0.99</v>
      </c>
    </row>
    <row r="5872" spans="1:11" x14ac:dyDescent="0.25">
      <c r="A5872" s="2">
        <v>44193</v>
      </c>
      <c r="B5872" s="18">
        <f t="shared" si="182"/>
        <v>2020</v>
      </c>
      <c r="C5872" s="18">
        <f t="shared" si="183"/>
        <v>12</v>
      </c>
      <c r="D5872" s="3" t="s">
        <v>822</v>
      </c>
      <c r="E5872" s="3" t="s">
        <v>2300</v>
      </c>
      <c r="F5872" s="3" t="s">
        <v>19</v>
      </c>
      <c r="G5872" s="3" t="s">
        <v>40</v>
      </c>
      <c r="H5872" s="3" t="s">
        <v>1672</v>
      </c>
      <c r="I5872" s="11">
        <v>373.48</v>
      </c>
      <c r="J5872" s="18">
        <v>1</v>
      </c>
      <c r="K5872" s="12">
        <v>0.86799999999999999</v>
      </c>
    </row>
    <row r="5873" spans="1:11" x14ac:dyDescent="0.25">
      <c r="A5873" s="4">
        <v>44193</v>
      </c>
      <c r="B5873" s="19">
        <f t="shared" si="182"/>
        <v>2020</v>
      </c>
      <c r="C5873" s="19">
        <f t="shared" si="183"/>
        <v>12</v>
      </c>
      <c r="D5873" s="5" t="s">
        <v>828</v>
      </c>
      <c r="E5873" s="5" t="s">
        <v>70</v>
      </c>
      <c r="F5873" s="5" t="s">
        <v>11</v>
      </c>
      <c r="G5873" s="5" t="s">
        <v>51</v>
      </c>
      <c r="H5873" s="5" t="s">
        <v>2009</v>
      </c>
      <c r="I5873" s="13">
        <v>304.39999999999998</v>
      </c>
      <c r="J5873" s="19">
        <v>2</v>
      </c>
      <c r="K5873" s="14">
        <v>3.0339999999999998</v>
      </c>
    </row>
    <row r="5874" spans="1:11" x14ac:dyDescent="0.25">
      <c r="A5874" s="2">
        <v>44193</v>
      </c>
      <c r="B5874" s="18">
        <f t="shared" si="182"/>
        <v>2020</v>
      </c>
      <c r="C5874" s="18">
        <f t="shared" si="183"/>
        <v>12</v>
      </c>
      <c r="D5874" s="3" t="s">
        <v>2311</v>
      </c>
      <c r="E5874" s="3" t="s">
        <v>164</v>
      </c>
      <c r="F5874" s="3" t="s">
        <v>19</v>
      </c>
      <c r="G5874" s="3" t="s">
        <v>32</v>
      </c>
      <c r="H5874" s="3" t="s">
        <v>774</v>
      </c>
      <c r="I5874" s="11">
        <v>398.68</v>
      </c>
      <c r="J5874" s="18">
        <v>5</v>
      </c>
      <c r="K5874" s="12">
        <v>-2.6880000000000002</v>
      </c>
    </row>
    <row r="5875" spans="1:11" x14ac:dyDescent="0.25">
      <c r="A5875" s="4">
        <v>44193</v>
      </c>
      <c r="B5875" s="19">
        <f t="shared" si="182"/>
        <v>2020</v>
      </c>
      <c r="C5875" s="19">
        <f t="shared" si="183"/>
        <v>12</v>
      </c>
      <c r="D5875" s="5" t="s">
        <v>822</v>
      </c>
      <c r="E5875" s="5" t="s">
        <v>2300</v>
      </c>
      <c r="F5875" s="5" t="s">
        <v>19</v>
      </c>
      <c r="G5875" s="5" t="s">
        <v>32</v>
      </c>
      <c r="H5875" s="5" t="s">
        <v>722</v>
      </c>
      <c r="I5875" s="13">
        <v>296.89999999999998</v>
      </c>
      <c r="J5875" s="19">
        <v>5</v>
      </c>
      <c r="K5875" s="14">
        <v>12.691000000000001</v>
      </c>
    </row>
    <row r="5876" spans="1:11" x14ac:dyDescent="0.25">
      <c r="A5876" s="2">
        <v>44193</v>
      </c>
      <c r="B5876" s="18">
        <f t="shared" si="182"/>
        <v>2020</v>
      </c>
      <c r="C5876" s="18">
        <f t="shared" si="183"/>
        <v>12</v>
      </c>
      <c r="D5876" s="3" t="s">
        <v>460</v>
      </c>
      <c r="E5876" s="3" t="s">
        <v>1868</v>
      </c>
      <c r="F5876" s="3" t="s">
        <v>19</v>
      </c>
      <c r="G5876" s="3" t="s">
        <v>53</v>
      </c>
      <c r="H5876" s="3" t="s">
        <v>2195</v>
      </c>
      <c r="I5876" s="11">
        <v>131.28</v>
      </c>
      <c r="J5876" s="18">
        <v>1</v>
      </c>
      <c r="K5876" s="12">
        <v>1.9259999999999999</v>
      </c>
    </row>
    <row r="5877" spans="1:11" x14ac:dyDescent="0.25">
      <c r="A5877" s="4">
        <v>44193</v>
      </c>
      <c r="B5877" s="19">
        <f t="shared" si="182"/>
        <v>2020</v>
      </c>
      <c r="C5877" s="19">
        <f t="shared" si="183"/>
        <v>12</v>
      </c>
      <c r="D5877" s="5" t="s">
        <v>2311</v>
      </c>
      <c r="E5877" s="5" t="s">
        <v>164</v>
      </c>
      <c r="F5877" s="5" t="s">
        <v>11</v>
      </c>
      <c r="G5877" s="5" t="s">
        <v>51</v>
      </c>
      <c r="H5877" s="5" t="s">
        <v>1618</v>
      </c>
      <c r="I5877" s="13">
        <v>1302.9680000000001</v>
      </c>
      <c r="J5877" s="19">
        <v>3</v>
      </c>
      <c r="K5877" s="14">
        <v>-2.3904000000000001</v>
      </c>
    </row>
    <row r="5878" spans="1:11" x14ac:dyDescent="0.25">
      <c r="A5878" s="2">
        <v>44193</v>
      </c>
      <c r="B5878" s="18">
        <f t="shared" si="182"/>
        <v>2020</v>
      </c>
      <c r="C5878" s="18">
        <f t="shared" si="183"/>
        <v>12</v>
      </c>
      <c r="D5878" s="3" t="s">
        <v>2591</v>
      </c>
      <c r="E5878" s="3" t="s">
        <v>23</v>
      </c>
      <c r="F5878" s="3" t="s">
        <v>19</v>
      </c>
      <c r="G5878" s="3" t="s">
        <v>40</v>
      </c>
      <c r="H5878" s="3" t="s">
        <v>1676</v>
      </c>
      <c r="I5878" s="11">
        <v>362.16800000000001</v>
      </c>
      <c r="J5878" s="18">
        <v>2</v>
      </c>
      <c r="K5878" s="12">
        <v>2.7168000000000001</v>
      </c>
    </row>
    <row r="5879" spans="1:11" x14ac:dyDescent="0.25">
      <c r="A5879" s="4">
        <v>44193</v>
      </c>
      <c r="B5879" s="19">
        <f t="shared" si="182"/>
        <v>2020</v>
      </c>
      <c r="C5879" s="19">
        <f t="shared" si="183"/>
        <v>12</v>
      </c>
      <c r="D5879" s="5" t="s">
        <v>2453</v>
      </c>
      <c r="E5879" s="5" t="s">
        <v>94</v>
      </c>
      <c r="F5879" s="5" t="s">
        <v>19</v>
      </c>
      <c r="G5879" s="5" t="s">
        <v>116</v>
      </c>
      <c r="H5879" s="5" t="s">
        <v>1338</v>
      </c>
      <c r="I5879" s="13">
        <v>138.96</v>
      </c>
      <c r="J5879" s="19">
        <v>4</v>
      </c>
      <c r="K5879" s="14">
        <v>6.4215999999999998</v>
      </c>
    </row>
    <row r="5880" spans="1:11" x14ac:dyDescent="0.25">
      <c r="A5880" s="2">
        <v>44193</v>
      </c>
      <c r="B5880" s="18">
        <f t="shared" si="182"/>
        <v>2020</v>
      </c>
      <c r="C5880" s="18">
        <f t="shared" si="183"/>
        <v>12</v>
      </c>
      <c r="D5880" s="3" t="s">
        <v>2453</v>
      </c>
      <c r="E5880" s="3" t="s">
        <v>94</v>
      </c>
      <c r="F5880" s="3" t="s">
        <v>14</v>
      </c>
      <c r="G5880" s="3" t="s">
        <v>15</v>
      </c>
      <c r="H5880" s="3" t="s">
        <v>2319</v>
      </c>
      <c r="I5880" s="11">
        <v>381.85</v>
      </c>
      <c r="J5880" s="18">
        <v>3</v>
      </c>
      <c r="K5880" s="12">
        <v>4.0095000000000001</v>
      </c>
    </row>
    <row r="5881" spans="1:11" x14ac:dyDescent="0.25">
      <c r="A5881" s="4">
        <v>44193</v>
      </c>
      <c r="B5881" s="19">
        <f t="shared" si="182"/>
        <v>2020</v>
      </c>
      <c r="C5881" s="19">
        <f t="shared" si="183"/>
        <v>12</v>
      </c>
      <c r="D5881" s="5" t="s">
        <v>2453</v>
      </c>
      <c r="E5881" s="5" t="s">
        <v>94</v>
      </c>
      <c r="F5881" s="5" t="s">
        <v>19</v>
      </c>
      <c r="G5881" s="5" t="s">
        <v>32</v>
      </c>
      <c r="H5881" s="5" t="s">
        <v>33</v>
      </c>
      <c r="I5881" s="13">
        <v>158.26400000000001</v>
      </c>
      <c r="J5881" s="19">
        <v>7</v>
      </c>
      <c r="K5881" s="14">
        <v>11.226599999999999</v>
      </c>
    </row>
    <row r="5882" spans="1:11" x14ac:dyDescent="0.25">
      <c r="A5882" s="2">
        <v>44193</v>
      </c>
      <c r="B5882" s="18">
        <f t="shared" si="182"/>
        <v>2020</v>
      </c>
      <c r="C5882" s="18">
        <f t="shared" si="183"/>
        <v>12</v>
      </c>
      <c r="D5882" s="3" t="s">
        <v>2591</v>
      </c>
      <c r="E5882" s="3" t="s">
        <v>23</v>
      </c>
      <c r="F5882" s="3" t="s">
        <v>11</v>
      </c>
      <c r="G5882" s="3" t="s">
        <v>12</v>
      </c>
      <c r="H5882" s="3" t="s">
        <v>13</v>
      </c>
      <c r="I5882" s="11">
        <v>188.8528</v>
      </c>
      <c r="J5882" s="18">
        <v>2</v>
      </c>
      <c r="K5882" s="12">
        <v>-11.596</v>
      </c>
    </row>
    <row r="5883" spans="1:11" x14ac:dyDescent="0.25">
      <c r="A5883" s="4">
        <v>44194</v>
      </c>
      <c r="B5883" s="19">
        <f t="shared" si="182"/>
        <v>2020</v>
      </c>
      <c r="C5883" s="19">
        <f t="shared" si="183"/>
        <v>12</v>
      </c>
      <c r="D5883" s="5" t="s">
        <v>38</v>
      </c>
      <c r="E5883" s="5" t="s">
        <v>18</v>
      </c>
      <c r="F5883" s="5" t="s">
        <v>11</v>
      </c>
      <c r="G5883" s="5" t="s">
        <v>51</v>
      </c>
      <c r="H5883" s="5" t="s">
        <v>1633</v>
      </c>
      <c r="I5883" s="13">
        <v>419.12</v>
      </c>
      <c r="J5883" s="19">
        <v>8</v>
      </c>
      <c r="K5883" s="14">
        <v>37.414400000000001</v>
      </c>
    </row>
    <row r="5884" spans="1:11" x14ac:dyDescent="0.25">
      <c r="A5884" s="2">
        <v>44194</v>
      </c>
      <c r="B5884" s="18">
        <f t="shared" si="182"/>
        <v>2020</v>
      </c>
      <c r="C5884" s="18">
        <f t="shared" si="183"/>
        <v>12</v>
      </c>
      <c r="D5884" s="3" t="s">
        <v>994</v>
      </c>
      <c r="E5884" s="3" t="s">
        <v>365</v>
      </c>
      <c r="F5884" s="3" t="s">
        <v>19</v>
      </c>
      <c r="G5884" s="3" t="s">
        <v>53</v>
      </c>
      <c r="H5884" s="3" t="s">
        <v>927</v>
      </c>
      <c r="I5884" s="11">
        <v>180.7</v>
      </c>
      <c r="J5884" s="18">
        <v>2</v>
      </c>
      <c r="K5884" s="12">
        <v>100.65600000000001</v>
      </c>
    </row>
    <row r="5885" spans="1:11" x14ac:dyDescent="0.25">
      <c r="A5885" s="4">
        <v>44194</v>
      </c>
      <c r="B5885" s="19">
        <f t="shared" si="182"/>
        <v>2020</v>
      </c>
      <c r="C5885" s="19">
        <f t="shared" si="183"/>
        <v>12</v>
      </c>
      <c r="D5885" s="5" t="s">
        <v>1164</v>
      </c>
      <c r="E5885" s="5" t="s">
        <v>195</v>
      </c>
      <c r="F5885" s="5" t="s">
        <v>11</v>
      </c>
      <c r="G5885" s="5" t="s">
        <v>112</v>
      </c>
      <c r="H5885" s="5" t="s">
        <v>230</v>
      </c>
      <c r="I5885" s="13">
        <v>184.75</v>
      </c>
      <c r="J5885" s="19">
        <v>3</v>
      </c>
      <c r="K5885" s="14">
        <v>77.625</v>
      </c>
    </row>
    <row r="5886" spans="1:11" x14ac:dyDescent="0.25">
      <c r="A5886" s="2">
        <v>44194</v>
      </c>
      <c r="B5886" s="18">
        <f t="shared" si="182"/>
        <v>2020</v>
      </c>
      <c r="C5886" s="18">
        <f t="shared" si="183"/>
        <v>12</v>
      </c>
      <c r="D5886" s="3" t="s">
        <v>1164</v>
      </c>
      <c r="E5886" s="3" t="s">
        <v>195</v>
      </c>
      <c r="F5886" s="3" t="s">
        <v>11</v>
      </c>
      <c r="G5886" s="3" t="s">
        <v>112</v>
      </c>
      <c r="H5886" s="3" t="s">
        <v>1856</v>
      </c>
      <c r="I5886" s="11">
        <v>351.98</v>
      </c>
      <c r="J5886" s="18">
        <v>1</v>
      </c>
      <c r="K5886" s="12">
        <v>87.284199999999998</v>
      </c>
    </row>
    <row r="5887" spans="1:11" x14ac:dyDescent="0.25">
      <c r="A5887" s="4">
        <v>44194</v>
      </c>
      <c r="B5887" s="19">
        <f t="shared" si="182"/>
        <v>2020</v>
      </c>
      <c r="C5887" s="19">
        <f t="shared" si="183"/>
        <v>12</v>
      </c>
      <c r="D5887" s="5" t="s">
        <v>1285</v>
      </c>
      <c r="E5887" s="5" t="s">
        <v>18</v>
      </c>
      <c r="F5887" s="5" t="s">
        <v>14</v>
      </c>
      <c r="G5887" s="5" t="s">
        <v>15</v>
      </c>
      <c r="H5887" s="5" t="s">
        <v>1762</v>
      </c>
      <c r="I5887" s="13">
        <v>156.376</v>
      </c>
      <c r="J5887" s="19">
        <v>3</v>
      </c>
      <c r="K5887" s="14">
        <v>22.6782</v>
      </c>
    </row>
    <row r="5888" spans="1:11" x14ac:dyDescent="0.25">
      <c r="A5888" s="2">
        <v>44194</v>
      </c>
      <c r="B5888" s="18">
        <f t="shared" si="182"/>
        <v>2020</v>
      </c>
      <c r="C5888" s="18">
        <f t="shared" si="183"/>
        <v>12</v>
      </c>
      <c r="D5888" s="3" t="s">
        <v>1285</v>
      </c>
      <c r="E5888" s="3" t="s">
        <v>18</v>
      </c>
      <c r="F5888" s="3" t="s">
        <v>11</v>
      </c>
      <c r="G5888" s="3" t="s">
        <v>112</v>
      </c>
      <c r="H5888" s="3" t="s">
        <v>432</v>
      </c>
      <c r="I5888" s="11">
        <v>119.568</v>
      </c>
      <c r="J5888" s="18">
        <v>4</v>
      </c>
      <c r="K5888" s="12">
        <v>-44.276400000000002</v>
      </c>
    </row>
    <row r="5889" spans="1:11" x14ac:dyDescent="0.25">
      <c r="A5889" s="4">
        <v>44194</v>
      </c>
      <c r="B5889" s="19">
        <f t="shared" si="182"/>
        <v>2020</v>
      </c>
      <c r="C5889" s="19">
        <f t="shared" si="183"/>
        <v>12</v>
      </c>
      <c r="D5889" s="5" t="s">
        <v>1815</v>
      </c>
      <c r="E5889" s="5" t="s">
        <v>94</v>
      </c>
      <c r="F5889" s="5" t="s">
        <v>19</v>
      </c>
      <c r="G5889" s="5" t="s">
        <v>116</v>
      </c>
      <c r="H5889" s="5" t="s">
        <v>635</v>
      </c>
      <c r="I5889" s="13">
        <v>254.03</v>
      </c>
      <c r="J5889" s="19">
        <v>3</v>
      </c>
      <c r="K5889" s="14">
        <v>2.9546999999999999</v>
      </c>
    </row>
    <row r="5890" spans="1:11" x14ac:dyDescent="0.25">
      <c r="A5890" s="2">
        <v>44194</v>
      </c>
      <c r="B5890" s="18">
        <f t="shared" ref="B5890:B5902" si="184">YEAR(A5890)</f>
        <v>2020</v>
      </c>
      <c r="C5890" s="18">
        <f t="shared" ref="C5890:C5902" si="185">MONTH(A5890)</f>
        <v>12</v>
      </c>
      <c r="D5890" s="3" t="s">
        <v>1164</v>
      </c>
      <c r="E5890" s="3" t="s">
        <v>195</v>
      </c>
      <c r="F5890" s="3" t="s">
        <v>11</v>
      </c>
      <c r="G5890" s="3" t="s">
        <v>112</v>
      </c>
      <c r="H5890" s="3" t="s">
        <v>1286</v>
      </c>
      <c r="I5890" s="11">
        <v>460.84</v>
      </c>
      <c r="J5890" s="18">
        <v>8</v>
      </c>
      <c r="K5890" s="12">
        <v>314.03840000000002</v>
      </c>
    </row>
    <row r="5891" spans="1:11" x14ac:dyDescent="0.25">
      <c r="A5891" s="4">
        <v>44194</v>
      </c>
      <c r="B5891" s="19">
        <f t="shared" si="184"/>
        <v>2020</v>
      </c>
      <c r="C5891" s="19">
        <f t="shared" si="185"/>
        <v>12</v>
      </c>
      <c r="D5891" s="5" t="s">
        <v>1164</v>
      </c>
      <c r="E5891" s="5" t="s">
        <v>195</v>
      </c>
      <c r="F5891" s="5" t="s">
        <v>19</v>
      </c>
      <c r="G5891" s="5" t="s">
        <v>32</v>
      </c>
      <c r="H5891" s="5" t="s">
        <v>627</v>
      </c>
      <c r="I5891" s="13">
        <v>408.53</v>
      </c>
      <c r="J5891" s="19">
        <v>1</v>
      </c>
      <c r="K5891" s="14">
        <v>5.8891</v>
      </c>
    </row>
    <row r="5892" spans="1:11" x14ac:dyDescent="0.25">
      <c r="A5892" s="2">
        <v>44194</v>
      </c>
      <c r="B5892" s="18">
        <f t="shared" si="184"/>
        <v>2020</v>
      </c>
      <c r="C5892" s="18">
        <f t="shared" si="185"/>
        <v>12</v>
      </c>
      <c r="D5892" s="3" t="s">
        <v>1948</v>
      </c>
      <c r="E5892" s="3" t="s">
        <v>70</v>
      </c>
      <c r="F5892" s="3" t="s">
        <v>19</v>
      </c>
      <c r="G5892" s="3" t="s">
        <v>116</v>
      </c>
      <c r="H5892" s="3" t="s">
        <v>2592</v>
      </c>
      <c r="I5892" s="11">
        <v>282.60000000000002</v>
      </c>
      <c r="J5892" s="18">
        <v>5</v>
      </c>
      <c r="K5892" s="12">
        <v>9.6039999999999992</v>
      </c>
    </row>
    <row r="5893" spans="1:11" x14ac:dyDescent="0.25">
      <c r="A5893" s="4">
        <v>44194</v>
      </c>
      <c r="B5893" s="19">
        <f t="shared" si="184"/>
        <v>2020</v>
      </c>
      <c r="C5893" s="19">
        <f t="shared" si="185"/>
        <v>12</v>
      </c>
      <c r="D5893" s="5" t="s">
        <v>1164</v>
      </c>
      <c r="E5893" s="5" t="s">
        <v>195</v>
      </c>
      <c r="F5893" s="5" t="s">
        <v>19</v>
      </c>
      <c r="G5893" s="5" t="s">
        <v>40</v>
      </c>
      <c r="H5893" s="5" t="s">
        <v>49</v>
      </c>
      <c r="I5893" s="13">
        <v>478.58</v>
      </c>
      <c r="J5893" s="19">
        <v>1</v>
      </c>
      <c r="K5893" s="14">
        <v>10.0282</v>
      </c>
    </row>
    <row r="5894" spans="1:11" x14ac:dyDescent="0.25">
      <c r="A5894" s="2">
        <v>44194</v>
      </c>
      <c r="B5894" s="18">
        <f t="shared" si="184"/>
        <v>2020</v>
      </c>
      <c r="C5894" s="18">
        <f t="shared" si="185"/>
        <v>12</v>
      </c>
      <c r="D5894" s="3" t="s">
        <v>1948</v>
      </c>
      <c r="E5894" s="3" t="s">
        <v>70</v>
      </c>
      <c r="F5894" s="3" t="s">
        <v>11</v>
      </c>
      <c r="G5894" s="3" t="s">
        <v>51</v>
      </c>
      <c r="H5894" s="3" t="s">
        <v>2576</v>
      </c>
      <c r="I5894" s="11">
        <v>466.46</v>
      </c>
      <c r="J5894" s="18">
        <v>2</v>
      </c>
      <c r="K5894" s="12">
        <v>20.538</v>
      </c>
    </row>
    <row r="5895" spans="1:11" x14ac:dyDescent="0.25">
      <c r="A5895" s="4">
        <v>44195</v>
      </c>
      <c r="B5895" s="19">
        <f t="shared" si="184"/>
        <v>2020</v>
      </c>
      <c r="C5895" s="19">
        <f t="shared" si="185"/>
        <v>12</v>
      </c>
      <c r="D5895" s="5" t="s">
        <v>1587</v>
      </c>
      <c r="E5895" s="5" t="s">
        <v>94</v>
      </c>
      <c r="F5895" s="5" t="s">
        <v>14</v>
      </c>
      <c r="G5895" s="5" t="s">
        <v>15</v>
      </c>
      <c r="H5895" s="5" t="s">
        <v>678</v>
      </c>
      <c r="I5895" s="13">
        <v>441.93</v>
      </c>
      <c r="J5895" s="19">
        <v>7</v>
      </c>
      <c r="K5895" s="14">
        <v>2.7279</v>
      </c>
    </row>
    <row r="5896" spans="1:11" x14ac:dyDescent="0.25">
      <c r="A5896" s="2">
        <v>44195</v>
      </c>
      <c r="B5896" s="18">
        <f t="shared" si="184"/>
        <v>2020</v>
      </c>
      <c r="C5896" s="18">
        <f t="shared" si="185"/>
        <v>12</v>
      </c>
      <c r="D5896" s="3" t="s">
        <v>103</v>
      </c>
      <c r="E5896" s="3" t="s">
        <v>317</v>
      </c>
      <c r="F5896" s="3" t="s">
        <v>19</v>
      </c>
      <c r="G5896" s="3" t="s">
        <v>121</v>
      </c>
      <c r="H5896" s="3" t="s">
        <v>1459</v>
      </c>
      <c r="I5896" s="11">
        <v>509.3</v>
      </c>
      <c r="J5896" s="18">
        <v>2</v>
      </c>
      <c r="K5896" s="12">
        <v>56.511000000000003</v>
      </c>
    </row>
    <row r="5897" spans="1:11" x14ac:dyDescent="0.25">
      <c r="A5897" s="4">
        <v>44195</v>
      </c>
      <c r="B5897" s="19">
        <f t="shared" si="184"/>
        <v>2020</v>
      </c>
      <c r="C5897" s="19">
        <f t="shared" si="185"/>
        <v>12</v>
      </c>
      <c r="D5897" s="5" t="s">
        <v>34</v>
      </c>
      <c r="E5897" s="5" t="s">
        <v>18</v>
      </c>
      <c r="F5897" s="5" t="s">
        <v>19</v>
      </c>
      <c r="G5897" s="5" t="s">
        <v>32</v>
      </c>
      <c r="H5897" s="5" t="s">
        <v>374</v>
      </c>
      <c r="I5897" s="13">
        <v>496.72</v>
      </c>
      <c r="J5897" s="19">
        <v>2</v>
      </c>
      <c r="K5897" s="14">
        <v>6.4749999999999996</v>
      </c>
    </row>
    <row r="5898" spans="1:11" x14ac:dyDescent="0.25">
      <c r="A5898" s="2">
        <v>44195</v>
      </c>
      <c r="B5898" s="18">
        <f t="shared" si="184"/>
        <v>2020</v>
      </c>
      <c r="C5898" s="18">
        <f t="shared" si="185"/>
        <v>12</v>
      </c>
      <c r="D5898" s="3" t="s">
        <v>1587</v>
      </c>
      <c r="E5898" s="3" t="s">
        <v>94</v>
      </c>
      <c r="F5898" s="3" t="s">
        <v>11</v>
      </c>
      <c r="G5898" s="3" t="s">
        <v>12</v>
      </c>
      <c r="H5898" s="3" t="s">
        <v>654</v>
      </c>
      <c r="I5898" s="11">
        <v>213.136</v>
      </c>
      <c r="J5898" s="18">
        <v>4</v>
      </c>
      <c r="K5898" s="12">
        <v>12.117599999999999</v>
      </c>
    </row>
    <row r="5899" spans="1:11" x14ac:dyDescent="0.25">
      <c r="A5899" s="4">
        <v>44195</v>
      </c>
      <c r="B5899" s="19">
        <f t="shared" si="184"/>
        <v>2020</v>
      </c>
      <c r="C5899" s="19">
        <f t="shared" si="185"/>
        <v>12</v>
      </c>
      <c r="D5899" s="5" t="s">
        <v>34</v>
      </c>
      <c r="E5899" s="5" t="s">
        <v>18</v>
      </c>
      <c r="F5899" s="5" t="s">
        <v>19</v>
      </c>
      <c r="G5899" s="5" t="s">
        <v>32</v>
      </c>
      <c r="H5899" s="5" t="s">
        <v>1567</v>
      </c>
      <c r="I5899" s="13">
        <v>295.904</v>
      </c>
      <c r="J5899" s="19">
        <v>2</v>
      </c>
      <c r="K5899" s="14">
        <v>4.5187999999999997</v>
      </c>
    </row>
    <row r="5900" spans="1:11" x14ac:dyDescent="0.25">
      <c r="A5900" s="2">
        <v>44195</v>
      </c>
      <c r="B5900" s="18">
        <f t="shared" si="184"/>
        <v>2020</v>
      </c>
      <c r="C5900" s="18">
        <f t="shared" si="185"/>
        <v>12</v>
      </c>
      <c r="D5900" s="3" t="s">
        <v>626</v>
      </c>
      <c r="E5900" s="3" t="s">
        <v>306</v>
      </c>
      <c r="F5900" s="3" t="s">
        <v>19</v>
      </c>
      <c r="G5900" s="3" t="s">
        <v>116</v>
      </c>
      <c r="H5900" s="3" t="s">
        <v>117</v>
      </c>
      <c r="I5900" s="11">
        <v>388.024</v>
      </c>
      <c r="J5900" s="18">
        <v>3</v>
      </c>
      <c r="K5900" s="12">
        <v>-0.6048</v>
      </c>
    </row>
    <row r="5901" spans="1:11" x14ac:dyDescent="0.25">
      <c r="A5901" s="4">
        <v>44195</v>
      </c>
      <c r="B5901" s="19">
        <f t="shared" si="184"/>
        <v>2020</v>
      </c>
      <c r="C5901" s="19">
        <f t="shared" si="185"/>
        <v>12</v>
      </c>
      <c r="D5901" s="5" t="s">
        <v>1587</v>
      </c>
      <c r="E5901" s="5" t="s">
        <v>94</v>
      </c>
      <c r="F5901" s="5" t="s">
        <v>19</v>
      </c>
      <c r="G5901" s="5" t="s">
        <v>32</v>
      </c>
      <c r="H5901" s="5" t="s">
        <v>2264</v>
      </c>
      <c r="I5901" s="13">
        <v>462.77600000000001</v>
      </c>
      <c r="J5901" s="19">
        <v>3</v>
      </c>
      <c r="K5901" s="14">
        <v>19.791</v>
      </c>
    </row>
    <row r="5902" spans="1:11" x14ac:dyDescent="0.25">
      <c r="A5902" s="6">
        <v>44196</v>
      </c>
      <c r="B5902" s="20">
        <f t="shared" si="184"/>
        <v>2020</v>
      </c>
      <c r="C5902" s="20">
        <f t="shared" si="185"/>
        <v>12</v>
      </c>
      <c r="D5902" s="1" t="s">
        <v>626</v>
      </c>
      <c r="E5902" s="1" t="s">
        <v>306</v>
      </c>
      <c r="F5902" s="1" t="s">
        <v>19</v>
      </c>
      <c r="G5902" s="1" t="s">
        <v>116</v>
      </c>
      <c r="H5902" s="1" t="s">
        <v>117</v>
      </c>
      <c r="I5902" s="15">
        <v>2975.51</v>
      </c>
      <c r="J5902" s="20">
        <v>3</v>
      </c>
      <c r="K5902" s="16">
        <v>-0.6048</v>
      </c>
    </row>
    <row r="5903" spans="1:11" hidden="1" x14ac:dyDescent="0.25">
      <c r="B5903" s="21"/>
      <c r="C5903" s="21"/>
      <c r="I5903" s="17"/>
      <c r="J5903" s="21"/>
      <c r="K5903" s="17"/>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C29BD-AB5F-4573-A06A-D8141B4FBFEA}">
  <dimension ref="A1:E1332"/>
  <sheetViews>
    <sheetView workbookViewId="0">
      <selection activeCell="P20" sqref="P20"/>
    </sheetView>
  </sheetViews>
  <sheetFormatPr defaultRowHeight="15" x14ac:dyDescent="0.25"/>
  <cols>
    <col min="1" max="1" width="9.5703125" customWidth="1"/>
    <col min="2" max="2" width="27.85546875" customWidth="1"/>
    <col min="4" max="4" width="13.140625" bestFit="1" customWidth="1"/>
    <col min="5" max="5" width="23.7109375" bestFit="1" customWidth="1"/>
  </cols>
  <sheetData>
    <row r="1" spans="1:5" x14ac:dyDescent="0.25">
      <c r="A1" s="22" t="s">
        <v>2593</v>
      </c>
      <c r="B1" s="8" t="s">
        <v>1</v>
      </c>
    </row>
    <row r="2" spans="1:5" x14ac:dyDescent="0.25">
      <c r="A2" s="18">
        <v>2019</v>
      </c>
      <c r="B2" s="3" t="s">
        <v>9</v>
      </c>
    </row>
    <row r="3" spans="1:5" x14ac:dyDescent="0.25">
      <c r="A3" s="19">
        <v>2019</v>
      </c>
      <c r="B3" s="5" t="s">
        <v>17</v>
      </c>
    </row>
    <row r="4" spans="1:5" x14ac:dyDescent="0.25">
      <c r="A4" s="18">
        <v>2019</v>
      </c>
      <c r="B4" s="3" t="s">
        <v>22</v>
      </c>
    </row>
    <row r="5" spans="1:5" x14ac:dyDescent="0.25">
      <c r="A5" s="19">
        <v>2019</v>
      </c>
      <c r="B5" s="5" t="s">
        <v>28</v>
      </c>
      <c r="D5" s="23" t="s">
        <v>2595</v>
      </c>
      <c r="E5" t="s">
        <v>2600</v>
      </c>
    </row>
    <row r="6" spans="1:5" x14ac:dyDescent="0.25">
      <c r="A6" s="19">
        <v>2019</v>
      </c>
      <c r="B6" s="5" t="s">
        <v>34</v>
      </c>
      <c r="D6" s="26">
        <v>2019</v>
      </c>
      <c r="E6" s="25">
        <v>638</v>
      </c>
    </row>
    <row r="7" spans="1:5" x14ac:dyDescent="0.25">
      <c r="A7" s="18">
        <v>2019</v>
      </c>
      <c r="B7" s="3" t="s">
        <v>38</v>
      </c>
      <c r="D7" s="26">
        <v>2020</v>
      </c>
      <c r="E7" s="25">
        <v>693</v>
      </c>
    </row>
    <row r="8" spans="1:5" x14ac:dyDescent="0.25">
      <c r="A8" s="18">
        <v>2019</v>
      </c>
      <c r="B8" s="3" t="s">
        <v>43</v>
      </c>
    </row>
    <row r="9" spans="1:5" x14ac:dyDescent="0.25">
      <c r="A9" s="19">
        <v>2019</v>
      </c>
      <c r="B9" s="5" t="s">
        <v>48</v>
      </c>
    </row>
    <row r="10" spans="1:5" x14ac:dyDescent="0.25">
      <c r="A10" s="18">
        <v>2019</v>
      </c>
      <c r="B10" s="3" t="s">
        <v>50</v>
      </c>
    </row>
    <row r="11" spans="1:5" x14ac:dyDescent="0.25">
      <c r="A11" s="18">
        <v>2019</v>
      </c>
      <c r="B11" s="3" t="s">
        <v>55</v>
      </c>
    </row>
    <row r="12" spans="1:5" x14ac:dyDescent="0.25">
      <c r="A12" s="18">
        <v>2019</v>
      </c>
      <c r="B12" s="3" t="s">
        <v>59</v>
      </c>
    </row>
    <row r="13" spans="1:5" x14ac:dyDescent="0.25">
      <c r="A13" s="19">
        <v>2019</v>
      </c>
      <c r="B13" s="5" t="s">
        <v>63</v>
      </c>
    </row>
    <row r="14" spans="1:5" x14ac:dyDescent="0.25">
      <c r="A14" s="19">
        <v>2019</v>
      </c>
      <c r="B14" s="5" t="s">
        <v>66</v>
      </c>
    </row>
    <row r="15" spans="1:5" x14ac:dyDescent="0.25">
      <c r="A15" s="18">
        <v>2019</v>
      </c>
      <c r="B15" s="3" t="s">
        <v>69</v>
      </c>
    </row>
    <row r="16" spans="1:5" x14ac:dyDescent="0.25">
      <c r="A16" s="18">
        <v>2019</v>
      </c>
      <c r="B16" s="3" t="s">
        <v>73</v>
      </c>
    </row>
    <row r="17" spans="1:2" x14ac:dyDescent="0.25">
      <c r="A17" s="19">
        <v>2019</v>
      </c>
      <c r="B17" s="5" t="s">
        <v>75</v>
      </c>
    </row>
    <row r="18" spans="1:2" x14ac:dyDescent="0.25">
      <c r="A18" s="18">
        <v>2019</v>
      </c>
      <c r="B18" s="3" t="s">
        <v>79</v>
      </c>
    </row>
    <row r="19" spans="1:2" x14ac:dyDescent="0.25">
      <c r="A19" s="19">
        <v>2019</v>
      </c>
      <c r="B19" s="5" t="s">
        <v>81</v>
      </c>
    </row>
    <row r="20" spans="1:2" x14ac:dyDescent="0.25">
      <c r="A20" s="19">
        <v>2019</v>
      </c>
      <c r="B20" s="5" t="s">
        <v>84</v>
      </c>
    </row>
    <row r="21" spans="1:2" x14ac:dyDescent="0.25">
      <c r="A21" s="18">
        <v>2019</v>
      </c>
      <c r="B21" s="3" t="s">
        <v>90</v>
      </c>
    </row>
    <row r="22" spans="1:2" x14ac:dyDescent="0.25">
      <c r="A22" s="19">
        <v>2019</v>
      </c>
      <c r="B22" s="5" t="s">
        <v>93</v>
      </c>
    </row>
    <row r="23" spans="1:2" x14ac:dyDescent="0.25">
      <c r="A23" s="18">
        <v>2019</v>
      </c>
      <c r="B23" s="3" t="s">
        <v>98</v>
      </c>
    </row>
    <row r="24" spans="1:2" x14ac:dyDescent="0.25">
      <c r="A24" s="19">
        <v>2019</v>
      </c>
      <c r="B24" s="5" t="s">
        <v>100</v>
      </c>
    </row>
    <row r="25" spans="1:2" x14ac:dyDescent="0.25">
      <c r="A25" s="19">
        <v>2019</v>
      </c>
      <c r="B25" s="5" t="s">
        <v>103</v>
      </c>
    </row>
    <row r="26" spans="1:2" x14ac:dyDescent="0.25">
      <c r="A26" s="18">
        <v>2019</v>
      </c>
      <c r="B26" s="3" t="s">
        <v>108</v>
      </c>
    </row>
    <row r="27" spans="1:2" x14ac:dyDescent="0.25">
      <c r="A27" s="19">
        <v>2019</v>
      </c>
      <c r="B27" s="5" t="s">
        <v>111</v>
      </c>
    </row>
    <row r="28" spans="1:2" x14ac:dyDescent="0.25">
      <c r="A28" s="19">
        <v>2019</v>
      </c>
      <c r="B28" s="5" t="s">
        <v>115</v>
      </c>
    </row>
    <row r="29" spans="1:2" x14ac:dyDescent="0.25">
      <c r="A29" s="18">
        <v>2019</v>
      </c>
      <c r="B29" s="3" t="s">
        <v>118</v>
      </c>
    </row>
    <row r="30" spans="1:2" x14ac:dyDescent="0.25">
      <c r="A30" s="18">
        <v>2019</v>
      </c>
      <c r="B30" s="3" t="s">
        <v>124</v>
      </c>
    </row>
    <row r="31" spans="1:2" x14ac:dyDescent="0.25">
      <c r="A31" s="19">
        <v>2019</v>
      </c>
      <c r="B31" s="5" t="s">
        <v>126</v>
      </c>
    </row>
    <row r="32" spans="1:2" x14ac:dyDescent="0.25">
      <c r="A32" s="19">
        <v>2019</v>
      </c>
      <c r="B32" s="5" t="s">
        <v>130</v>
      </c>
    </row>
    <row r="33" spans="1:2" x14ac:dyDescent="0.25">
      <c r="A33" s="19">
        <v>2019</v>
      </c>
      <c r="B33" s="5" t="s">
        <v>133</v>
      </c>
    </row>
    <row r="34" spans="1:2" x14ac:dyDescent="0.25">
      <c r="A34" s="18">
        <v>2019</v>
      </c>
      <c r="B34" s="3" t="s">
        <v>135</v>
      </c>
    </row>
    <row r="35" spans="1:2" x14ac:dyDescent="0.25">
      <c r="A35" s="19">
        <v>2019</v>
      </c>
      <c r="B35" s="5" t="s">
        <v>137</v>
      </c>
    </row>
    <row r="36" spans="1:2" x14ac:dyDescent="0.25">
      <c r="A36" s="18">
        <v>2019</v>
      </c>
      <c r="B36" s="3" t="s">
        <v>142</v>
      </c>
    </row>
    <row r="37" spans="1:2" x14ac:dyDescent="0.25">
      <c r="A37" s="19">
        <v>2019</v>
      </c>
      <c r="B37" s="5" t="s">
        <v>145</v>
      </c>
    </row>
    <row r="38" spans="1:2" x14ac:dyDescent="0.25">
      <c r="A38" s="19">
        <v>2019</v>
      </c>
      <c r="B38" s="5" t="s">
        <v>148</v>
      </c>
    </row>
    <row r="39" spans="1:2" x14ac:dyDescent="0.25">
      <c r="A39" s="18">
        <v>2019</v>
      </c>
      <c r="B39" s="3" t="s">
        <v>154</v>
      </c>
    </row>
    <row r="40" spans="1:2" x14ac:dyDescent="0.25">
      <c r="A40" s="19">
        <v>2019</v>
      </c>
      <c r="B40" s="5" t="s">
        <v>156</v>
      </c>
    </row>
    <row r="41" spans="1:2" x14ac:dyDescent="0.25">
      <c r="A41" s="18">
        <v>2019</v>
      </c>
      <c r="B41" s="3" t="s">
        <v>160</v>
      </c>
    </row>
    <row r="42" spans="1:2" x14ac:dyDescent="0.25">
      <c r="A42" s="18">
        <v>2019</v>
      </c>
      <c r="B42" s="3" t="s">
        <v>163</v>
      </c>
    </row>
    <row r="43" spans="1:2" x14ac:dyDescent="0.25">
      <c r="A43" s="19">
        <v>2019</v>
      </c>
      <c r="B43" s="5" t="s">
        <v>166</v>
      </c>
    </row>
    <row r="44" spans="1:2" x14ac:dyDescent="0.25">
      <c r="A44" s="18">
        <v>2019</v>
      </c>
      <c r="B44" s="3" t="s">
        <v>170</v>
      </c>
    </row>
    <row r="45" spans="1:2" x14ac:dyDescent="0.25">
      <c r="A45" s="18">
        <v>2019</v>
      </c>
      <c r="B45" s="3" t="s">
        <v>173</v>
      </c>
    </row>
    <row r="46" spans="1:2" x14ac:dyDescent="0.25">
      <c r="A46" s="19">
        <v>2019</v>
      </c>
      <c r="B46" s="5" t="s">
        <v>175</v>
      </c>
    </row>
    <row r="47" spans="1:2" x14ac:dyDescent="0.25">
      <c r="A47" s="18">
        <v>2019</v>
      </c>
      <c r="B47" s="3" t="s">
        <v>177</v>
      </c>
    </row>
    <row r="48" spans="1:2" x14ac:dyDescent="0.25">
      <c r="A48" s="18">
        <v>2019</v>
      </c>
      <c r="B48" s="3" t="s">
        <v>180</v>
      </c>
    </row>
    <row r="49" spans="1:2" x14ac:dyDescent="0.25">
      <c r="A49" s="19">
        <v>2019</v>
      </c>
      <c r="B49" s="5" t="s">
        <v>183</v>
      </c>
    </row>
    <row r="50" spans="1:2" x14ac:dyDescent="0.25">
      <c r="A50" s="18">
        <v>2019</v>
      </c>
      <c r="B50" s="3" t="s">
        <v>185</v>
      </c>
    </row>
    <row r="51" spans="1:2" x14ac:dyDescent="0.25">
      <c r="A51" s="19">
        <v>2019</v>
      </c>
      <c r="B51" s="5" t="s">
        <v>187</v>
      </c>
    </row>
    <row r="52" spans="1:2" x14ac:dyDescent="0.25">
      <c r="A52" s="18">
        <v>2019</v>
      </c>
      <c r="B52" s="3" t="s">
        <v>192</v>
      </c>
    </row>
    <row r="53" spans="1:2" x14ac:dyDescent="0.25">
      <c r="A53" s="19">
        <v>2019</v>
      </c>
      <c r="B53" s="5" t="s">
        <v>194</v>
      </c>
    </row>
    <row r="54" spans="1:2" x14ac:dyDescent="0.25">
      <c r="A54" s="18">
        <v>2019</v>
      </c>
      <c r="B54" s="3" t="s">
        <v>197</v>
      </c>
    </row>
    <row r="55" spans="1:2" x14ac:dyDescent="0.25">
      <c r="A55" s="19">
        <v>2019</v>
      </c>
      <c r="B55" s="5" t="s">
        <v>200</v>
      </c>
    </row>
    <row r="56" spans="1:2" x14ac:dyDescent="0.25">
      <c r="A56" s="18">
        <v>2019</v>
      </c>
      <c r="B56" s="3" t="s">
        <v>201</v>
      </c>
    </row>
    <row r="57" spans="1:2" x14ac:dyDescent="0.25">
      <c r="A57" s="19">
        <v>2019</v>
      </c>
      <c r="B57" s="5" t="s">
        <v>203</v>
      </c>
    </row>
    <row r="58" spans="1:2" x14ac:dyDescent="0.25">
      <c r="A58" s="18">
        <v>2019</v>
      </c>
      <c r="B58" s="3" t="s">
        <v>214</v>
      </c>
    </row>
    <row r="59" spans="1:2" x14ac:dyDescent="0.25">
      <c r="A59" s="18">
        <v>2019</v>
      </c>
      <c r="B59" s="3" t="s">
        <v>218</v>
      </c>
    </row>
    <row r="60" spans="1:2" x14ac:dyDescent="0.25">
      <c r="A60" s="19">
        <v>2019</v>
      </c>
      <c r="B60" s="5" t="s">
        <v>221</v>
      </c>
    </row>
    <row r="61" spans="1:2" x14ac:dyDescent="0.25">
      <c r="A61" s="19">
        <v>2019</v>
      </c>
      <c r="B61" s="5" t="s">
        <v>224</v>
      </c>
    </row>
    <row r="62" spans="1:2" x14ac:dyDescent="0.25">
      <c r="A62" s="19">
        <v>2019</v>
      </c>
      <c r="B62" s="5" t="s">
        <v>227</v>
      </c>
    </row>
    <row r="63" spans="1:2" x14ac:dyDescent="0.25">
      <c r="A63" s="18">
        <v>2019</v>
      </c>
      <c r="B63" s="3" t="s">
        <v>229</v>
      </c>
    </row>
    <row r="64" spans="1:2" x14ac:dyDescent="0.25">
      <c r="A64" s="19">
        <v>2019</v>
      </c>
      <c r="B64" s="5" t="s">
        <v>231</v>
      </c>
    </row>
    <row r="65" spans="1:2" x14ac:dyDescent="0.25">
      <c r="A65" s="19">
        <v>2019</v>
      </c>
      <c r="B65" s="5" t="s">
        <v>233</v>
      </c>
    </row>
    <row r="66" spans="1:2" x14ac:dyDescent="0.25">
      <c r="A66" s="18">
        <v>2019</v>
      </c>
      <c r="B66" s="3" t="s">
        <v>235</v>
      </c>
    </row>
    <row r="67" spans="1:2" x14ac:dyDescent="0.25">
      <c r="A67" s="18">
        <v>2019</v>
      </c>
      <c r="B67" s="3" t="s">
        <v>238</v>
      </c>
    </row>
    <row r="68" spans="1:2" x14ac:dyDescent="0.25">
      <c r="A68" s="19">
        <v>2019</v>
      </c>
      <c r="B68" s="5" t="s">
        <v>240</v>
      </c>
    </row>
    <row r="69" spans="1:2" x14ac:dyDescent="0.25">
      <c r="A69" s="19">
        <v>2019</v>
      </c>
      <c r="B69" s="5" t="s">
        <v>245</v>
      </c>
    </row>
    <row r="70" spans="1:2" x14ac:dyDescent="0.25">
      <c r="A70" s="18">
        <v>2019</v>
      </c>
      <c r="B70" s="3" t="s">
        <v>247</v>
      </c>
    </row>
    <row r="71" spans="1:2" x14ac:dyDescent="0.25">
      <c r="A71" s="18">
        <v>2019</v>
      </c>
      <c r="B71" s="3" t="s">
        <v>250</v>
      </c>
    </row>
    <row r="72" spans="1:2" x14ac:dyDescent="0.25">
      <c r="A72" s="18">
        <v>2019</v>
      </c>
      <c r="B72" s="3" t="s">
        <v>254</v>
      </c>
    </row>
    <row r="73" spans="1:2" x14ac:dyDescent="0.25">
      <c r="A73" s="19">
        <v>2019</v>
      </c>
      <c r="B73" s="5" t="s">
        <v>256</v>
      </c>
    </row>
    <row r="74" spans="1:2" x14ac:dyDescent="0.25">
      <c r="A74" s="19">
        <v>2019</v>
      </c>
      <c r="B74" s="5" t="s">
        <v>259</v>
      </c>
    </row>
    <row r="75" spans="1:2" x14ac:dyDescent="0.25">
      <c r="A75" s="19">
        <v>2019</v>
      </c>
      <c r="B75" s="5" t="s">
        <v>261</v>
      </c>
    </row>
    <row r="76" spans="1:2" x14ac:dyDescent="0.25">
      <c r="A76" s="18">
        <v>2019</v>
      </c>
      <c r="B76" s="3" t="s">
        <v>268</v>
      </c>
    </row>
    <row r="77" spans="1:2" x14ac:dyDescent="0.25">
      <c r="A77" s="19">
        <v>2019</v>
      </c>
      <c r="B77" s="5" t="s">
        <v>270</v>
      </c>
    </row>
    <row r="78" spans="1:2" x14ac:dyDescent="0.25">
      <c r="A78" s="19">
        <v>2019</v>
      </c>
      <c r="B78" s="5" t="s">
        <v>275</v>
      </c>
    </row>
    <row r="79" spans="1:2" x14ac:dyDescent="0.25">
      <c r="A79" s="18">
        <v>2019</v>
      </c>
      <c r="B79" s="3" t="s">
        <v>279</v>
      </c>
    </row>
    <row r="80" spans="1:2" x14ac:dyDescent="0.25">
      <c r="A80" s="18">
        <v>2019</v>
      </c>
      <c r="B80" s="3" t="s">
        <v>283</v>
      </c>
    </row>
    <row r="81" spans="1:2" x14ac:dyDescent="0.25">
      <c r="A81" s="19">
        <v>2019</v>
      </c>
      <c r="B81" s="5" t="s">
        <v>285</v>
      </c>
    </row>
    <row r="82" spans="1:2" x14ac:dyDescent="0.25">
      <c r="A82" s="18">
        <v>2019</v>
      </c>
      <c r="B82" s="3" t="s">
        <v>289</v>
      </c>
    </row>
    <row r="83" spans="1:2" x14ac:dyDescent="0.25">
      <c r="A83" s="19">
        <v>2019</v>
      </c>
      <c r="B83" s="5" t="s">
        <v>291</v>
      </c>
    </row>
    <row r="84" spans="1:2" x14ac:dyDescent="0.25">
      <c r="A84" s="18">
        <v>2019</v>
      </c>
      <c r="B84" s="3" t="s">
        <v>292</v>
      </c>
    </row>
    <row r="85" spans="1:2" x14ac:dyDescent="0.25">
      <c r="A85" s="19">
        <v>2019</v>
      </c>
      <c r="B85" s="5" t="s">
        <v>294</v>
      </c>
    </row>
    <row r="86" spans="1:2" x14ac:dyDescent="0.25">
      <c r="A86" s="18">
        <v>2019</v>
      </c>
      <c r="B86" s="3" t="s">
        <v>296</v>
      </c>
    </row>
    <row r="87" spans="1:2" x14ac:dyDescent="0.25">
      <c r="A87" s="19">
        <v>2019</v>
      </c>
      <c r="B87" s="5" t="s">
        <v>298</v>
      </c>
    </row>
    <row r="88" spans="1:2" x14ac:dyDescent="0.25">
      <c r="A88" s="18">
        <v>2019</v>
      </c>
      <c r="B88" s="3" t="s">
        <v>300</v>
      </c>
    </row>
    <row r="89" spans="1:2" x14ac:dyDescent="0.25">
      <c r="A89" s="19">
        <v>2019</v>
      </c>
      <c r="B89" s="5" t="s">
        <v>302</v>
      </c>
    </row>
    <row r="90" spans="1:2" x14ac:dyDescent="0.25">
      <c r="A90" s="19">
        <v>2019</v>
      </c>
      <c r="B90" s="5" t="s">
        <v>305</v>
      </c>
    </row>
    <row r="91" spans="1:2" x14ac:dyDescent="0.25">
      <c r="A91" s="18">
        <v>2019</v>
      </c>
      <c r="B91" s="3" t="s">
        <v>308</v>
      </c>
    </row>
    <row r="92" spans="1:2" x14ac:dyDescent="0.25">
      <c r="A92" s="19">
        <v>2019</v>
      </c>
      <c r="B92" s="5" t="s">
        <v>313</v>
      </c>
    </row>
    <row r="93" spans="1:2" x14ac:dyDescent="0.25">
      <c r="A93" s="19">
        <v>2019</v>
      </c>
      <c r="B93" s="5" t="s">
        <v>316</v>
      </c>
    </row>
    <row r="94" spans="1:2" x14ac:dyDescent="0.25">
      <c r="A94" s="18">
        <v>2019</v>
      </c>
      <c r="B94" s="3" t="s">
        <v>319</v>
      </c>
    </row>
    <row r="95" spans="1:2" x14ac:dyDescent="0.25">
      <c r="A95" s="19">
        <v>2019</v>
      </c>
      <c r="B95" s="5" t="s">
        <v>323</v>
      </c>
    </row>
    <row r="96" spans="1:2" x14ac:dyDescent="0.25">
      <c r="A96" s="19">
        <v>2019</v>
      </c>
      <c r="B96" s="5" t="s">
        <v>326</v>
      </c>
    </row>
    <row r="97" spans="1:2" x14ac:dyDescent="0.25">
      <c r="A97" s="19">
        <v>2019</v>
      </c>
      <c r="B97" s="5" t="s">
        <v>331</v>
      </c>
    </row>
    <row r="98" spans="1:2" x14ac:dyDescent="0.25">
      <c r="A98" s="18">
        <v>2019</v>
      </c>
      <c r="B98" s="3" t="s">
        <v>333</v>
      </c>
    </row>
    <row r="99" spans="1:2" x14ac:dyDescent="0.25">
      <c r="A99" s="19">
        <v>2019</v>
      </c>
      <c r="B99" s="5" t="s">
        <v>335</v>
      </c>
    </row>
    <row r="100" spans="1:2" x14ac:dyDescent="0.25">
      <c r="A100" s="18">
        <v>2019</v>
      </c>
      <c r="B100" s="3" t="s">
        <v>337</v>
      </c>
    </row>
    <row r="101" spans="1:2" x14ac:dyDescent="0.25">
      <c r="A101" s="19">
        <v>2019</v>
      </c>
      <c r="B101" s="5" t="s">
        <v>339</v>
      </c>
    </row>
    <row r="102" spans="1:2" x14ac:dyDescent="0.25">
      <c r="A102" s="19">
        <v>2019</v>
      </c>
      <c r="B102" s="5" t="s">
        <v>342</v>
      </c>
    </row>
    <row r="103" spans="1:2" x14ac:dyDescent="0.25">
      <c r="A103" s="18">
        <v>2019</v>
      </c>
      <c r="B103" s="3" t="s">
        <v>349</v>
      </c>
    </row>
    <row r="104" spans="1:2" x14ac:dyDescent="0.25">
      <c r="A104" s="19">
        <v>2019</v>
      </c>
      <c r="B104" s="5" t="s">
        <v>351</v>
      </c>
    </row>
    <row r="105" spans="1:2" x14ac:dyDescent="0.25">
      <c r="A105" s="18">
        <v>2019</v>
      </c>
      <c r="B105" s="3" t="s">
        <v>354</v>
      </c>
    </row>
    <row r="106" spans="1:2" x14ac:dyDescent="0.25">
      <c r="A106" s="18">
        <v>2019</v>
      </c>
      <c r="B106" s="3" t="s">
        <v>356</v>
      </c>
    </row>
    <row r="107" spans="1:2" x14ac:dyDescent="0.25">
      <c r="A107" s="19">
        <v>2019</v>
      </c>
      <c r="B107" s="5" t="s">
        <v>360</v>
      </c>
    </row>
    <row r="108" spans="1:2" x14ac:dyDescent="0.25">
      <c r="A108" s="18">
        <v>2019</v>
      </c>
      <c r="B108" s="3" t="s">
        <v>364</v>
      </c>
    </row>
    <row r="109" spans="1:2" x14ac:dyDescent="0.25">
      <c r="A109" s="18">
        <v>2019</v>
      </c>
      <c r="B109" s="3" t="s">
        <v>367</v>
      </c>
    </row>
    <row r="110" spans="1:2" x14ac:dyDescent="0.25">
      <c r="A110" s="19">
        <v>2019</v>
      </c>
      <c r="B110" s="5" t="s">
        <v>369</v>
      </c>
    </row>
    <row r="111" spans="1:2" x14ac:dyDescent="0.25">
      <c r="A111" s="19">
        <v>2019</v>
      </c>
      <c r="B111" s="5" t="s">
        <v>375</v>
      </c>
    </row>
    <row r="112" spans="1:2" x14ac:dyDescent="0.25">
      <c r="A112" s="18">
        <v>2019</v>
      </c>
      <c r="B112" s="3" t="s">
        <v>377</v>
      </c>
    </row>
    <row r="113" spans="1:2" x14ac:dyDescent="0.25">
      <c r="A113" s="19">
        <v>2019</v>
      </c>
      <c r="B113" s="5" t="s">
        <v>379</v>
      </c>
    </row>
    <row r="114" spans="1:2" x14ac:dyDescent="0.25">
      <c r="A114" s="19">
        <v>2019</v>
      </c>
      <c r="B114" s="5" t="s">
        <v>382</v>
      </c>
    </row>
    <row r="115" spans="1:2" x14ac:dyDescent="0.25">
      <c r="A115" s="19">
        <v>2019</v>
      </c>
      <c r="B115" s="5" t="s">
        <v>385</v>
      </c>
    </row>
    <row r="116" spans="1:2" x14ac:dyDescent="0.25">
      <c r="A116" s="18">
        <v>2019</v>
      </c>
      <c r="B116" s="3" t="s">
        <v>389</v>
      </c>
    </row>
    <row r="117" spans="1:2" x14ac:dyDescent="0.25">
      <c r="A117" s="19">
        <v>2019</v>
      </c>
      <c r="B117" s="5" t="s">
        <v>390</v>
      </c>
    </row>
    <row r="118" spans="1:2" x14ac:dyDescent="0.25">
      <c r="A118" s="19">
        <v>2019</v>
      </c>
      <c r="B118" s="5" t="s">
        <v>391</v>
      </c>
    </row>
    <row r="119" spans="1:2" x14ac:dyDescent="0.25">
      <c r="A119" s="18">
        <v>2019</v>
      </c>
      <c r="B119" s="3" t="s">
        <v>393</v>
      </c>
    </row>
    <row r="120" spans="1:2" x14ac:dyDescent="0.25">
      <c r="A120" s="19">
        <v>2019</v>
      </c>
      <c r="B120" s="5" t="s">
        <v>395</v>
      </c>
    </row>
    <row r="121" spans="1:2" x14ac:dyDescent="0.25">
      <c r="A121" s="18">
        <v>2019</v>
      </c>
      <c r="B121" s="3" t="s">
        <v>396</v>
      </c>
    </row>
    <row r="122" spans="1:2" x14ac:dyDescent="0.25">
      <c r="A122" s="18">
        <v>2019</v>
      </c>
      <c r="B122" s="3" t="s">
        <v>401</v>
      </c>
    </row>
    <row r="123" spans="1:2" x14ac:dyDescent="0.25">
      <c r="A123" s="19">
        <v>2019</v>
      </c>
      <c r="B123" s="5" t="s">
        <v>403</v>
      </c>
    </row>
    <row r="124" spans="1:2" x14ac:dyDescent="0.25">
      <c r="A124" s="19">
        <v>2019</v>
      </c>
      <c r="B124" s="5" t="s">
        <v>406</v>
      </c>
    </row>
    <row r="125" spans="1:2" x14ac:dyDescent="0.25">
      <c r="A125" s="18">
        <v>2019</v>
      </c>
      <c r="B125" s="3" t="s">
        <v>410</v>
      </c>
    </row>
    <row r="126" spans="1:2" x14ac:dyDescent="0.25">
      <c r="A126" s="19">
        <v>2019</v>
      </c>
      <c r="B126" s="5" t="s">
        <v>414</v>
      </c>
    </row>
    <row r="127" spans="1:2" x14ac:dyDescent="0.25">
      <c r="A127" s="19">
        <v>2019</v>
      </c>
      <c r="B127" s="5" t="s">
        <v>416</v>
      </c>
    </row>
    <row r="128" spans="1:2" x14ac:dyDescent="0.25">
      <c r="A128" s="18">
        <v>2019</v>
      </c>
      <c r="B128" s="3" t="s">
        <v>425</v>
      </c>
    </row>
    <row r="129" spans="1:2" x14ac:dyDescent="0.25">
      <c r="A129" s="19">
        <v>2019</v>
      </c>
      <c r="B129" s="5" t="s">
        <v>427</v>
      </c>
    </row>
    <row r="130" spans="1:2" x14ac:dyDescent="0.25">
      <c r="A130" s="19">
        <v>2019</v>
      </c>
      <c r="B130" s="5" t="s">
        <v>431</v>
      </c>
    </row>
    <row r="131" spans="1:2" x14ac:dyDescent="0.25">
      <c r="A131" s="19">
        <v>2019</v>
      </c>
      <c r="B131" s="5" t="s">
        <v>433</v>
      </c>
    </row>
    <row r="132" spans="1:2" x14ac:dyDescent="0.25">
      <c r="A132" s="18">
        <v>2019</v>
      </c>
      <c r="B132" s="3" t="s">
        <v>435</v>
      </c>
    </row>
    <row r="133" spans="1:2" x14ac:dyDescent="0.25">
      <c r="A133" s="19">
        <v>2019</v>
      </c>
      <c r="B133" s="5" t="s">
        <v>437</v>
      </c>
    </row>
    <row r="134" spans="1:2" x14ac:dyDescent="0.25">
      <c r="A134" s="19">
        <v>2019</v>
      </c>
      <c r="B134" s="5" t="s">
        <v>441</v>
      </c>
    </row>
    <row r="135" spans="1:2" x14ac:dyDescent="0.25">
      <c r="A135" s="19">
        <v>2019</v>
      </c>
      <c r="B135" s="5" t="s">
        <v>444</v>
      </c>
    </row>
    <row r="136" spans="1:2" x14ac:dyDescent="0.25">
      <c r="A136" s="18">
        <v>2019</v>
      </c>
      <c r="B136" s="3" t="s">
        <v>445</v>
      </c>
    </row>
    <row r="137" spans="1:2" x14ac:dyDescent="0.25">
      <c r="A137" s="18">
        <v>2019</v>
      </c>
      <c r="B137" s="3" t="s">
        <v>448</v>
      </c>
    </row>
    <row r="138" spans="1:2" x14ac:dyDescent="0.25">
      <c r="A138" s="19">
        <v>2019</v>
      </c>
      <c r="B138" s="5" t="s">
        <v>452</v>
      </c>
    </row>
    <row r="139" spans="1:2" x14ac:dyDescent="0.25">
      <c r="A139" s="18">
        <v>2019</v>
      </c>
      <c r="B139" s="3" t="s">
        <v>454</v>
      </c>
    </row>
    <row r="140" spans="1:2" x14ac:dyDescent="0.25">
      <c r="A140" s="19">
        <v>2019</v>
      </c>
      <c r="B140" s="5" t="s">
        <v>456</v>
      </c>
    </row>
    <row r="141" spans="1:2" x14ac:dyDescent="0.25">
      <c r="A141" s="18">
        <v>2019</v>
      </c>
      <c r="B141" s="3" t="s">
        <v>458</v>
      </c>
    </row>
    <row r="142" spans="1:2" x14ac:dyDescent="0.25">
      <c r="A142" s="19">
        <v>2019</v>
      </c>
      <c r="B142" s="5" t="s">
        <v>460</v>
      </c>
    </row>
    <row r="143" spans="1:2" x14ac:dyDescent="0.25">
      <c r="A143" s="19">
        <v>2019</v>
      </c>
      <c r="B143" s="5" t="s">
        <v>463</v>
      </c>
    </row>
    <row r="144" spans="1:2" x14ac:dyDescent="0.25">
      <c r="A144" s="18">
        <v>2019</v>
      </c>
      <c r="B144" s="3" t="s">
        <v>469</v>
      </c>
    </row>
    <row r="145" spans="1:2" x14ac:dyDescent="0.25">
      <c r="A145" s="19">
        <v>2019</v>
      </c>
      <c r="B145" s="5" t="s">
        <v>471</v>
      </c>
    </row>
    <row r="146" spans="1:2" x14ac:dyDescent="0.25">
      <c r="A146" s="18">
        <v>2019</v>
      </c>
      <c r="B146" s="3" t="s">
        <v>473</v>
      </c>
    </row>
    <row r="147" spans="1:2" x14ac:dyDescent="0.25">
      <c r="A147" s="19">
        <v>2019</v>
      </c>
      <c r="B147" s="5" t="s">
        <v>475</v>
      </c>
    </row>
    <row r="148" spans="1:2" x14ac:dyDescent="0.25">
      <c r="A148" s="18">
        <v>2019</v>
      </c>
      <c r="B148" s="3" t="s">
        <v>479</v>
      </c>
    </row>
    <row r="149" spans="1:2" x14ac:dyDescent="0.25">
      <c r="A149" s="18">
        <v>2019</v>
      </c>
      <c r="B149" s="3" t="s">
        <v>482</v>
      </c>
    </row>
    <row r="150" spans="1:2" x14ac:dyDescent="0.25">
      <c r="A150" s="18">
        <v>2019</v>
      </c>
      <c r="B150" s="3" t="s">
        <v>485</v>
      </c>
    </row>
    <row r="151" spans="1:2" x14ac:dyDescent="0.25">
      <c r="A151" s="19">
        <v>2019</v>
      </c>
      <c r="B151" s="5" t="s">
        <v>487</v>
      </c>
    </row>
    <row r="152" spans="1:2" x14ac:dyDescent="0.25">
      <c r="A152" s="18">
        <v>2019</v>
      </c>
      <c r="B152" s="3" t="s">
        <v>489</v>
      </c>
    </row>
    <row r="153" spans="1:2" x14ac:dyDescent="0.25">
      <c r="A153" s="19">
        <v>2019</v>
      </c>
      <c r="B153" s="5" t="s">
        <v>493</v>
      </c>
    </row>
    <row r="154" spans="1:2" x14ac:dyDescent="0.25">
      <c r="A154" s="19">
        <v>2019</v>
      </c>
      <c r="B154" s="5" t="s">
        <v>495</v>
      </c>
    </row>
    <row r="155" spans="1:2" x14ac:dyDescent="0.25">
      <c r="A155" s="19">
        <v>2019</v>
      </c>
      <c r="B155" s="5" t="s">
        <v>498</v>
      </c>
    </row>
    <row r="156" spans="1:2" x14ac:dyDescent="0.25">
      <c r="A156" s="19">
        <v>2019</v>
      </c>
      <c r="B156" s="5" t="s">
        <v>502</v>
      </c>
    </row>
    <row r="157" spans="1:2" x14ac:dyDescent="0.25">
      <c r="A157" s="18">
        <v>2019</v>
      </c>
      <c r="B157" s="3" t="s">
        <v>504</v>
      </c>
    </row>
    <row r="158" spans="1:2" x14ac:dyDescent="0.25">
      <c r="A158" s="19">
        <v>2019</v>
      </c>
      <c r="B158" s="5" t="s">
        <v>508</v>
      </c>
    </row>
    <row r="159" spans="1:2" x14ac:dyDescent="0.25">
      <c r="A159" s="18">
        <v>2019</v>
      </c>
      <c r="B159" s="3" t="s">
        <v>511</v>
      </c>
    </row>
    <row r="160" spans="1:2" x14ac:dyDescent="0.25">
      <c r="A160" s="18">
        <v>2019</v>
      </c>
      <c r="B160" s="3" t="s">
        <v>516</v>
      </c>
    </row>
    <row r="161" spans="1:2" x14ac:dyDescent="0.25">
      <c r="A161" s="18">
        <v>2019</v>
      </c>
      <c r="B161" s="3" t="s">
        <v>518</v>
      </c>
    </row>
    <row r="162" spans="1:2" x14ac:dyDescent="0.25">
      <c r="A162" s="19">
        <v>2019</v>
      </c>
      <c r="B162" s="5" t="s">
        <v>520</v>
      </c>
    </row>
    <row r="163" spans="1:2" x14ac:dyDescent="0.25">
      <c r="A163" s="19">
        <v>2019</v>
      </c>
      <c r="B163" s="5" t="s">
        <v>523</v>
      </c>
    </row>
    <row r="164" spans="1:2" x14ac:dyDescent="0.25">
      <c r="A164" s="18">
        <v>2019</v>
      </c>
      <c r="B164" s="3" t="s">
        <v>525</v>
      </c>
    </row>
    <row r="165" spans="1:2" x14ac:dyDescent="0.25">
      <c r="A165" s="18">
        <v>2019</v>
      </c>
      <c r="B165" s="3" t="s">
        <v>530</v>
      </c>
    </row>
    <row r="166" spans="1:2" x14ac:dyDescent="0.25">
      <c r="A166" s="19">
        <v>2019</v>
      </c>
      <c r="B166" s="5" t="s">
        <v>533</v>
      </c>
    </row>
    <row r="167" spans="1:2" x14ac:dyDescent="0.25">
      <c r="A167" s="19">
        <v>2019</v>
      </c>
      <c r="B167" s="5" t="s">
        <v>540</v>
      </c>
    </row>
    <row r="168" spans="1:2" x14ac:dyDescent="0.25">
      <c r="A168" s="19">
        <v>2019</v>
      </c>
      <c r="B168" s="5" t="s">
        <v>541</v>
      </c>
    </row>
    <row r="169" spans="1:2" x14ac:dyDescent="0.25">
      <c r="A169" s="19">
        <v>2019</v>
      </c>
      <c r="B169" s="5" t="s">
        <v>544</v>
      </c>
    </row>
    <row r="170" spans="1:2" x14ac:dyDescent="0.25">
      <c r="A170" s="19">
        <v>2019</v>
      </c>
      <c r="B170" s="5" t="s">
        <v>546</v>
      </c>
    </row>
    <row r="171" spans="1:2" x14ac:dyDescent="0.25">
      <c r="A171" s="18">
        <v>2019</v>
      </c>
      <c r="B171" s="3" t="s">
        <v>549</v>
      </c>
    </row>
    <row r="172" spans="1:2" x14ac:dyDescent="0.25">
      <c r="A172" s="19">
        <v>2019</v>
      </c>
      <c r="B172" s="5" t="s">
        <v>551</v>
      </c>
    </row>
    <row r="173" spans="1:2" x14ac:dyDescent="0.25">
      <c r="A173" s="18">
        <v>2019</v>
      </c>
      <c r="B173" s="3" t="s">
        <v>554</v>
      </c>
    </row>
    <row r="174" spans="1:2" x14ac:dyDescent="0.25">
      <c r="A174" s="19">
        <v>2019</v>
      </c>
      <c r="B174" s="5" t="s">
        <v>556</v>
      </c>
    </row>
    <row r="175" spans="1:2" x14ac:dyDescent="0.25">
      <c r="A175" s="19">
        <v>2019</v>
      </c>
      <c r="B175" s="5" t="s">
        <v>558</v>
      </c>
    </row>
    <row r="176" spans="1:2" x14ac:dyDescent="0.25">
      <c r="A176" s="18">
        <v>2019</v>
      </c>
      <c r="B176" s="3" t="s">
        <v>560</v>
      </c>
    </row>
    <row r="177" spans="1:2" x14ac:dyDescent="0.25">
      <c r="A177" s="19">
        <v>2019</v>
      </c>
      <c r="B177" s="5" t="s">
        <v>562</v>
      </c>
    </row>
    <row r="178" spans="1:2" x14ac:dyDescent="0.25">
      <c r="A178" s="18">
        <v>2019</v>
      </c>
      <c r="B178" s="3" t="s">
        <v>563</v>
      </c>
    </row>
    <row r="179" spans="1:2" x14ac:dyDescent="0.25">
      <c r="A179" s="19">
        <v>2019</v>
      </c>
      <c r="B179" s="5" t="s">
        <v>565</v>
      </c>
    </row>
    <row r="180" spans="1:2" x14ac:dyDescent="0.25">
      <c r="A180" s="18">
        <v>2019</v>
      </c>
      <c r="B180" s="3" t="s">
        <v>567</v>
      </c>
    </row>
    <row r="181" spans="1:2" x14ac:dyDescent="0.25">
      <c r="A181" s="18">
        <v>2019</v>
      </c>
      <c r="B181" s="3" t="s">
        <v>570</v>
      </c>
    </row>
    <row r="182" spans="1:2" x14ac:dyDescent="0.25">
      <c r="A182" s="18">
        <v>2019</v>
      </c>
      <c r="B182" s="3" t="s">
        <v>574</v>
      </c>
    </row>
    <row r="183" spans="1:2" x14ac:dyDescent="0.25">
      <c r="A183" s="18">
        <v>2019</v>
      </c>
      <c r="B183" s="3" t="s">
        <v>581</v>
      </c>
    </row>
    <row r="184" spans="1:2" x14ac:dyDescent="0.25">
      <c r="A184" s="18">
        <v>2019</v>
      </c>
      <c r="B184" s="3" t="s">
        <v>586</v>
      </c>
    </row>
    <row r="185" spans="1:2" x14ac:dyDescent="0.25">
      <c r="A185" s="19">
        <v>2019</v>
      </c>
      <c r="B185" s="5" t="s">
        <v>588</v>
      </c>
    </row>
    <row r="186" spans="1:2" x14ac:dyDescent="0.25">
      <c r="A186" s="18">
        <v>2019</v>
      </c>
      <c r="B186" s="3" t="s">
        <v>592</v>
      </c>
    </row>
    <row r="187" spans="1:2" x14ac:dyDescent="0.25">
      <c r="A187" s="19">
        <v>2019</v>
      </c>
      <c r="B187" s="5" t="s">
        <v>594</v>
      </c>
    </row>
    <row r="188" spans="1:2" x14ac:dyDescent="0.25">
      <c r="A188" s="19">
        <v>2019</v>
      </c>
      <c r="B188" s="5" t="s">
        <v>596</v>
      </c>
    </row>
    <row r="189" spans="1:2" x14ac:dyDescent="0.25">
      <c r="A189" s="19">
        <v>2019</v>
      </c>
      <c r="B189" s="5" t="s">
        <v>599</v>
      </c>
    </row>
    <row r="190" spans="1:2" x14ac:dyDescent="0.25">
      <c r="A190" s="19">
        <v>2019</v>
      </c>
      <c r="B190" s="5" t="s">
        <v>601</v>
      </c>
    </row>
    <row r="191" spans="1:2" x14ac:dyDescent="0.25">
      <c r="A191" s="19">
        <v>2019</v>
      </c>
      <c r="B191" s="5" t="s">
        <v>606</v>
      </c>
    </row>
    <row r="192" spans="1:2" x14ac:dyDescent="0.25">
      <c r="A192" s="18">
        <v>2019</v>
      </c>
      <c r="B192" s="3" t="s">
        <v>608</v>
      </c>
    </row>
    <row r="193" spans="1:2" x14ac:dyDescent="0.25">
      <c r="A193" s="19">
        <v>2019</v>
      </c>
      <c r="B193" s="5" t="s">
        <v>612</v>
      </c>
    </row>
    <row r="194" spans="1:2" x14ac:dyDescent="0.25">
      <c r="A194" s="19">
        <v>2019</v>
      </c>
      <c r="B194" s="5" t="s">
        <v>614</v>
      </c>
    </row>
    <row r="195" spans="1:2" x14ac:dyDescent="0.25">
      <c r="A195" s="19">
        <v>2019</v>
      </c>
      <c r="B195" s="5" t="s">
        <v>619</v>
      </c>
    </row>
    <row r="196" spans="1:2" x14ac:dyDescent="0.25">
      <c r="A196" s="18">
        <v>2019</v>
      </c>
      <c r="B196" s="3" t="s">
        <v>621</v>
      </c>
    </row>
    <row r="197" spans="1:2" x14ac:dyDescent="0.25">
      <c r="A197" s="19">
        <v>2019</v>
      </c>
      <c r="B197" s="5" t="s">
        <v>625</v>
      </c>
    </row>
    <row r="198" spans="1:2" x14ac:dyDescent="0.25">
      <c r="A198" s="18">
        <v>2019</v>
      </c>
      <c r="B198" s="3" t="s">
        <v>626</v>
      </c>
    </row>
    <row r="199" spans="1:2" x14ac:dyDescent="0.25">
      <c r="A199" s="19">
        <v>2019</v>
      </c>
      <c r="B199" s="5" t="s">
        <v>628</v>
      </c>
    </row>
    <row r="200" spans="1:2" x14ac:dyDescent="0.25">
      <c r="A200" s="19">
        <v>2019</v>
      </c>
      <c r="B200" s="5" t="s">
        <v>632</v>
      </c>
    </row>
    <row r="201" spans="1:2" x14ac:dyDescent="0.25">
      <c r="A201" s="18">
        <v>2019</v>
      </c>
      <c r="B201" s="3" t="s">
        <v>636</v>
      </c>
    </row>
    <row r="202" spans="1:2" x14ac:dyDescent="0.25">
      <c r="A202" s="19">
        <v>2019</v>
      </c>
      <c r="B202" s="5" t="s">
        <v>638</v>
      </c>
    </row>
    <row r="203" spans="1:2" x14ac:dyDescent="0.25">
      <c r="A203" s="18">
        <v>2019</v>
      </c>
      <c r="B203" s="3" t="s">
        <v>640</v>
      </c>
    </row>
    <row r="204" spans="1:2" x14ac:dyDescent="0.25">
      <c r="A204" s="19">
        <v>2019</v>
      </c>
      <c r="B204" s="5" t="s">
        <v>644</v>
      </c>
    </row>
    <row r="205" spans="1:2" x14ac:dyDescent="0.25">
      <c r="A205" s="18">
        <v>2019</v>
      </c>
      <c r="B205" s="3" t="s">
        <v>646</v>
      </c>
    </row>
    <row r="206" spans="1:2" x14ac:dyDescent="0.25">
      <c r="A206" s="19">
        <v>2019</v>
      </c>
      <c r="B206" s="5" t="s">
        <v>653</v>
      </c>
    </row>
    <row r="207" spans="1:2" x14ac:dyDescent="0.25">
      <c r="A207" s="18">
        <v>2019</v>
      </c>
      <c r="B207" s="3" t="s">
        <v>655</v>
      </c>
    </row>
    <row r="208" spans="1:2" x14ac:dyDescent="0.25">
      <c r="A208" s="19">
        <v>2019</v>
      </c>
      <c r="B208" s="5" t="s">
        <v>657</v>
      </c>
    </row>
    <row r="209" spans="1:2" x14ac:dyDescent="0.25">
      <c r="A209" s="19">
        <v>2019</v>
      </c>
      <c r="B209" s="5" t="s">
        <v>660</v>
      </c>
    </row>
    <row r="210" spans="1:2" x14ac:dyDescent="0.25">
      <c r="A210" s="19">
        <v>2019</v>
      </c>
      <c r="B210" s="5" t="s">
        <v>663</v>
      </c>
    </row>
    <row r="211" spans="1:2" x14ac:dyDescent="0.25">
      <c r="A211" s="18">
        <v>2019</v>
      </c>
      <c r="B211" s="3" t="s">
        <v>666</v>
      </c>
    </row>
    <row r="212" spans="1:2" x14ac:dyDescent="0.25">
      <c r="A212" s="18">
        <v>2019</v>
      </c>
      <c r="B212" s="3" t="s">
        <v>670</v>
      </c>
    </row>
    <row r="213" spans="1:2" x14ac:dyDescent="0.25">
      <c r="A213" s="18">
        <v>2019</v>
      </c>
      <c r="B213" s="3" t="s">
        <v>677</v>
      </c>
    </row>
    <row r="214" spans="1:2" x14ac:dyDescent="0.25">
      <c r="A214" s="18">
        <v>2019</v>
      </c>
      <c r="B214" s="3" t="s">
        <v>687</v>
      </c>
    </row>
    <row r="215" spans="1:2" x14ac:dyDescent="0.25">
      <c r="A215" s="19">
        <v>2019</v>
      </c>
      <c r="B215" s="5" t="s">
        <v>691</v>
      </c>
    </row>
    <row r="216" spans="1:2" x14ac:dyDescent="0.25">
      <c r="A216" s="18">
        <v>2019</v>
      </c>
      <c r="B216" s="3" t="s">
        <v>697</v>
      </c>
    </row>
    <row r="217" spans="1:2" x14ac:dyDescent="0.25">
      <c r="A217" s="19">
        <v>2019</v>
      </c>
      <c r="B217" s="5" t="s">
        <v>699</v>
      </c>
    </row>
    <row r="218" spans="1:2" x14ac:dyDescent="0.25">
      <c r="A218" s="19">
        <v>2019</v>
      </c>
      <c r="B218" s="5" t="s">
        <v>702</v>
      </c>
    </row>
    <row r="219" spans="1:2" x14ac:dyDescent="0.25">
      <c r="A219" s="19">
        <v>2019</v>
      </c>
      <c r="B219" s="5" t="s">
        <v>705</v>
      </c>
    </row>
    <row r="220" spans="1:2" x14ac:dyDescent="0.25">
      <c r="A220" s="19">
        <v>2019</v>
      </c>
      <c r="B220" s="5" t="s">
        <v>708</v>
      </c>
    </row>
    <row r="221" spans="1:2" x14ac:dyDescent="0.25">
      <c r="A221" s="18">
        <v>2019</v>
      </c>
      <c r="B221" s="3" t="s">
        <v>710</v>
      </c>
    </row>
    <row r="222" spans="1:2" x14ac:dyDescent="0.25">
      <c r="A222" s="19">
        <v>2019</v>
      </c>
      <c r="B222" s="5" t="s">
        <v>714</v>
      </c>
    </row>
    <row r="223" spans="1:2" x14ac:dyDescent="0.25">
      <c r="A223" s="19">
        <v>2019</v>
      </c>
      <c r="B223" s="5" t="s">
        <v>716</v>
      </c>
    </row>
    <row r="224" spans="1:2" x14ac:dyDescent="0.25">
      <c r="A224" s="18">
        <v>2019</v>
      </c>
      <c r="B224" s="3" t="s">
        <v>718</v>
      </c>
    </row>
    <row r="225" spans="1:2" x14ac:dyDescent="0.25">
      <c r="A225" s="19">
        <v>2019</v>
      </c>
      <c r="B225" s="5" t="s">
        <v>720</v>
      </c>
    </row>
    <row r="226" spans="1:2" x14ac:dyDescent="0.25">
      <c r="A226" s="18">
        <v>2019</v>
      </c>
      <c r="B226" s="3" t="s">
        <v>723</v>
      </c>
    </row>
    <row r="227" spans="1:2" x14ac:dyDescent="0.25">
      <c r="A227" s="18">
        <v>2019</v>
      </c>
      <c r="B227" s="3" t="s">
        <v>726</v>
      </c>
    </row>
    <row r="228" spans="1:2" x14ac:dyDescent="0.25">
      <c r="A228" s="18">
        <v>2019</v>
      </c>
      <c r="B228" s="3" t="s">
        <v>729</v>
      </c>
    </row>
    <row r="229" spans="1:2" x14ac:dyDescent="0.25">
      <c r="A229" s="18">
        <v>2019</v>
      </c>
      <c r="B229" s="3" t="s">
        <v>732</v>
      </c>
    </row>
    <row r="230" spans="1:2" x14ac:dyDescent="0.25">
      <c r="A230" s="19">
        <v>2019</v>
      </c>
      <c r="B230" s="5" t="s">
        <v>734</v>
      </c>
    </row>
    <row r="231" spans="1:2" x14ac:dyDescent="0.25">
      <c r="A231" s="19">
        <v>2019</v>
      </c>
      <c r="B231" s="5" t="s">
        <v>737</v>
      </c>
    </row>
    <row r="232" spans="1:2" x14ac:dyDescent="0.25">
      <c r="A232" s="19">
        <v>2019</v>
      </c>
      <c r="B232" s="5" t="s">
        <v>742</v>
      </c>
    </row>
    <row r="233" spans="1:2" x14ac:dyDescent="0.25">
      <c r="A233" s="19">
        <v>2019</v>
      </c>
      <c r="B233" s="5" t="s">
        <v>745</v>
      </c>
    </row>
    <row r="234" spans="1:2" x14ac:dyDescent="0.25">
      <c r="A234" s="18">
        <v>2019</v>
      </c>
      <c r="B234" s="3" t="s">
        <v>747</v>
      </c>
    </row>
    <row r="235" spans="1:2" x14ac:dyDescent="0.25">
      <c r="A235" s="19">
        <v>2019</v>
      </c>
      <c r="B235" s="5" t="s">
        <v>751</v>
      </c>
    </row>
    <row r="236" spans="1:2" x14ac:dyDescent="0.25">
      <c r="A236" s="19">
        <v>2019</v>
      </c>
      <c r="B236" s="5" t="s">
        <v>759</v>
      </c>
    </row>
    <row r="237" spans="1:2" x14ac:dyDescent="0.25">
      <c r="A237" s="19">
        <v>2019</v>
      </c>
      <c r="B237" s="5" t="s">
        <v>766</v>
      </c>
    </row>
    <row r="238" spans="1:2" x14ac:dyDescent="0.25">
      <c r="A238" s="18">
        <v>2019</v>
      </c>
      <c r="B238" s="3" t="s">
        <v>768</v>
      </c>
    </row>
    <row r="239" spans="1:2" x14ac:dyDescent="0.25">
      <c r="A239" s="19">
        <v>2019</v>
      </c>
      <c r="B239" s="5" t="s">
        <v>770</v>
      </c>
    </row>
    <row r="240" spans="1:2" x14ac:dyDescent="0.25">
      <c r="A240" s="19">
        <v>2019</v>
      </c>
      <c r="B240" s="5" t="s">
        <v>773</v>
      </c>
    </row>
    <row r="241" spans="1:2" x14ac:dyDescent="0.25">
      <c r="A241" s="18">
        <v>2019</v>
      </c>
      <c r="B241" s="3" t="s">
        <v>777</v>
      </c>
    </row>
    <row r="242" spans="1:2" x14ac:dyDescent="0.25">
      <c r="A242" s="19">
        <v>2019</v>
      </c>
      <c r="B242" s="5" t="s">
        <v>779</v>
      </c>
    </row>
    <row r="243" spans="1:2" x14ac:dyDescent="0.25">
      <c r="A243" s="19">
        <v>2019</v>
      </c>
      <c r="B243" s="5" t="s">
        <v>784</v>
      </c>
    </row>
    <row r="244" spans="1:2" x14ac:dyDescent="0.25">
      <c r="A244" s="19">
        <v>2019</v>
      </c>
      <c r="B244" s="5" t="s">
        <v>790</v>
      </c>
    </row>
    <row r="245" spans="1:2" x14ac:dyDescent="0.25">
      <c r="A245" s="18">
        <v>2019</v>
      </c>
      <c r="B245" s="3" t="s">
        <v>798</v>
      </c>
    </row>
    <row r="246" spans="1:2" x14ac:dyDescent="0.25">
      <c r="A246" s="19">
        <v>2019</v>
      </c>
      <c r="B246" s="5" t="s">
        <v>800</v>
      </c>
    </row>
    <row r="247" spans="1:2" x14ac:dyDescent="0.25">
      <c r="A247" s="18">
        <v>2019</v>
      </c>
      <c r="B247" s="3" t="s">
        <v>805</v>
      </c>
    </row>
    <row r="248" spans="1:2" x14ac:dyDescent="0.25">
      <c r="A248" s="19">
        <v>2019</v>
      </c>
      <c r="B248" s="5" t="s">
        <v>807</v>
      </c>
    </row>
    <row r="249" spans="1:2" x14ac:dyDescent="0.25">
      <c r="A249" s="18">
        <v>2019</v>
      </c>
      <c r="B249" s="3" t="s">
        <v>809</v>
      </c>
    </row>
    <row r="250" spans="1:2" x14ac:dyDescent="0.25">
      <c r="A250" s="18">
        <v>2019</v>
      </c>
      <c r="B250" s="3" t="s">
        <v>810</v>
      </c>
    </row>
    <row r="251" spans="1:2" x14ac:dyDescent="0.25">
      <c r="A251" s="19">
        <v>2019</v>
      </c>
      <c r="B251" s="5" t="s">
        <v>812</v>
      </c>
    </row>
    <row r="252" spans="1:2" x14ac:dyDescent="0.25">
      <c r="A252" s="19">
        <v>2019</v>
      </c>
      <c r="B252" s="5" t="s">
        <v>815</v>
      </c>
    </row>
    <row r="253" spans="1:2" x14ac:dyDescent="0.25">
      <c r="A253" s="18">
        <v>2019</v>
      </c>
      <c r="B253" s="3" t="s">
        <v>817</v>
      </c>
    </row>
    <row r="254" spans="1:2" x14ac:dyDescent="0.25">
      <c r="A254" s="19">
        <v>2019</v>
      </c>
      <c r="B254" s="5" t="s">
        <v>821</v>
      </c>
    </row>
    <row r="255" spans="1:2" x14ac:dyDescent="0.25">
      <c r="A255" s="18">
        <v>2019</v>
      </c>
      <c r="B255" s="3" t="s">
        <v>822</v>
      </c>
    </row>
    <row r="256" spans="1:2" x14ac:dyDescent="0.25">
      <c r="A256" s="18">
        <v>2019</v>
      </c>
      <c r="B256" s="3" t="s">
        <v>825</v>
      </c>
    </row>
    <row r="257" spans="1:2" x14ac:dyDescent="0.25">
      <c r="A257" s="18">
        <v>2019</v>
      </c>
      <c r="B257" s="3" t="s">
        <v>828</v>
      </c>
    </row>
    <row r="258" spans="1:2" x14ac:dyDescent="0.25">
      <c r="A258" s="18">
        <v>2019</v>
      </c>
      <c r="B258" s="3" t="s">
        <v>833</v>
      </c>
    </row>
    <row r="259" spans="1:2" x14ac:dyDescent="0.25">
      <c r="A259" s="19">
        <v>2019</v>
      </c>
      <c r="B259" s="5" t="s">
        <v>835</v>
      </c>
    </row>
    <row r="260" spans="1:2" x14ac:dyDescent="0.25">
      <c r="A260" s="18">
        <v>2019</v>
      </c>
      <c r="B260" s="3" t="s">
        <v>842</v>
      </c>
    </row>
    <row r="261" spans="1:2" x14ac:dyDescent="0.25">
      <c r="A261" s="19">
        <v>2019</v>
      </c>
      <c r="B261" s="5" t="s">
        <v>843</v>
      </c>
    </row>
    <row r="262" spans="1:2" x14ac:dyDescent="0.25">
      <c r="A262" s="18">
        <v>2019</v>
      </c>
      <c r="B262" s="3" t="s">
        <v>846</v>
      </c>
    </row>
    <row r="263" spans="1:2" x14ac:dyDescent="0.25">
      <c r="A263" s="19">
        <v>2019</v>
      </c>
      <c r="B263" s="5" t="s">
        <v>848</v>
      </c>
    </row>
    <row r="264" spans="1:2" x14ac:dyDescent="0.25">
      <c r="A264" s="18">
        <v>2019</v>
      </c>
      <c r="B264" s="3" t="s">
        <v>850</v>
      </c>
    </row>
    <row r="265" spans="1:2" x14ac:dyDescent="0.25">
      <c r="A265" s="19">
        <v>2019</v>
      </c>
      <c r="B265" s="5" t="s">
        <v>852</v>
      </c>
    </row>
    <row r="266" spans="1:2" x14ac:dyDescent="0.25">
      <c r="A266" s="18">
        <v>2019</v>
      </c>
      <c r="B266" s="3" t="s">
        <v>853</v>
      </c>
    </row>
    <row r="267" spans="1:2" x14ac:dyDescent="0.25">
      <c r="A267" s="19">
        <v>2019</v>
      </c>
      <c r="B267" s="5" t="s">
        <v>855</v>
      </c>
    </row>
    <row r="268" spans="1:2" x14ac:dyDescent="0.25">
      <c r="A268" s="19">
        <v>2019</v>
      </c>
      <c r="B268" s="5" t="s">
        <v>858</v>
      </c>
    </row>
    <row r="269" spans="1:2" x14ac:dyDescent="0.25">
      <c r="A269" s="19">
        <v>2019</v>
      </c>
      <c r="B269" s="5" t="s">
        <v>859</v>
      </c>
    </row>
    <row r="270" spans="1:2" x14ac:dyDescent="0.25">
      <c r="A270" s="18">
        <v>2019</v>
      </c>
      <c r="B270" s="3" t="s">
        <v>862</v>
      </c>
    </row>
    <row r="271" spans="1:2" x14ac:dyDescent="0.25">
      <c r="A271" s="18">
        <v>2019</v>
      </c>
      <c r="B271" s="3" t="s">
        <v>867</v>
      </c>
    </row>
    <row r="272" spans="1:2" x14ac:dyDescent="0.25">
      <c r="A272" s="19">
        <v>2019</v>
      </c>
      <c r="B272" s="5" t="s">
        <v>868</v>
      </c>
    </row>
    <row r="273" spans="1:2" x14ac:dyDescent="0.25">
      <c r="A273" s="18">
        <v>2019</v>
      </c>
      <c r="B273" s="3" t="s">
        <v>872</v>
      </c>
    </row>
    <row r="274" spans="1:2" x14ac:dyDescent="0.25">
      <c r="A274" s="18">
        <v>2019</v>
      </c>
      <c r="B274" s="3" t="s">
        <v>874</v>
      </c>
    </row>
    <row r="275" spans="1:2" x14ac:dyDescent="0.25">
      <c r="A275" s="19">
        <v>2019</v>
      </c>
      <c r="B275" s="5" t="s">
        <v>877</v>
      </c>
    </row>
    <row r="276" spans="1:2" x14ac:dyDescent="0.25">
      <c r="A276" s="18">
        <v>2019</v>
      </c>
      <c r="B276" s="3" t="s">
        <v>880</v>
      </c>
    </row>
    <row r="277" spans="1:2" x14ac:dyDescent="0.25">
      <c r="A277" s="19">
        <v>2019</v>
      </c>
      <c r="B277" s="5" t="s">
        <v>882</v>
      </c>
    </row>
    <row r="278" spans="1:2" x14ac:dyDescent="0.25">
      <c r="A278" s="18">
        <v>2019</v>
      </c>
      <c r="B278" s="3" t="s">
        <v>884</v>
      </c>
    </row>
    <row r="279" spans="1:2" x14ac:dyDescent="0.25">
      <c r="A279" s="18">
        <v>2019</v>
      </c>
      <c r="B279" s="3" t="s">
        <v>887</v>
      </c>
    </row>
    <row r="280" spans="1:2" x14ac:dyDescent="0.25">
      <c r="A280" s="18">
        <v>2019</v>
      </c>
      <c r="B280" s="3" t="s">
        <v>892</v>
      </c>
    </row>
    <row r="281" spans="1:2" x14ac:dyDescent="0.25">
      <c r="A281" s="19">
        <v>2019</v>
      </c>
      <c r="B281" s="5" t="s">
        <v>894</v>
      </c>
    </row>
    <row r="282" spans="1:2" x14ac:dyDescent="0.25">
      <c r="A282" s="18">
        <v>2019</v>
      </c>
      <c r="B282" s="3" t="s">
        <v>895</v>
      </c>
    </row>
    <row r="283" spans="1:2" x14ac:dyDescent="0.25">
      <c r="A283" s="19">
        <v>2019</v>
      </c>
      <c r="B283" s="5" t="s">
        <v>897</v>
      </c>
    </row>
    <row r="284" spans="1:2" x14ac:dyDescent="0.25">
      <c r="A284" s="18">
        <v>2019</v>
      </c>
      <c r="B284" s="3" t="s">
        <v>900</v>
      </c>
    </row>
    <row r="285" spans="1:2" x14ac:dyDescent="0.25">
      <c r="A285" s="18">
        <v>2019</v>
      </c>
      <c r="B285" s="3" t="s">
        <v>905</v>
      </c>
    </row>
    <row r="286" spans="1:2" x14ac:dyDescent="0.25">
      <c r="A286" s="18">
        <v>2019</v>
      </c>
      <c r="B286" s="3" t="s">
        <v>910</v>
      </c>
    </row>
    <row r="287" spans="1:2" x14ac:dyDescent="0.25">
      <c r="A287" s="18">
        <v>2019</v>
      </c>
      <c r="B287" s="3" t="s">
        <v>918</v>
      </c>
    </row>
    <row r="288" spans="1:2" x14ac:dyDescent="0.25">
      <c r="A288" s="19">
        <v>2019</v>
      </c>
      <c r="B288" s="5" t="s">
        <v>928</v>
      </c>
    </row>
    <row r="289" spans="1:2" x14ac:dyDescent="0.25">
      <c r="A289" s="18">
        <v>2019</v>
      </c>
      <c r="B289" s="3" t="s">
        <v>931</v>
      </c>
    </row>
    <row r="290" spans="1:2" x14ac:dyDescent="0.25">
      <c r="A290" s="19">
        <v>2019</v>
      </c>
      <c r="B290" s="5" t="s">
        <v>933</v>
      </c>
    </row>
    <row r="291" spans="1:2" x14ac:dyDescent="0.25">
      <c r="A291" s="18">
        <v>2019</v>
      </c>
      <c r="B291" s="3" t="s">
        <v>935</v>
      </c>
    </row>
    <row r="292" spans="1:2" x14ac:dyDescent="0.25">
      <c r="A292" s="19">
        <v>2019</v>
      </c>
      <c r="B292" s="5" t="s">
        <v>942</v>
      </c>
    </row>
    <row r="293" spans="1:2" x14ac:dyDescent="0.25">
      <c r="A293" s="18">
        <v>2019</v>
      </c>
      <c r="B293" s="3" t="s">
        <v>946</v>
      </c>
    </row>
    <row r="294" spans="1:2" x14ac:dyDescent="0.25">
      <c r="A294" s="19">
        <v>2019</v>
      </c>
      <c r="B294" s="5" t="s">
        <v>949</v>
      </c>
    </row>
    <row r="295" spans="1:2" x14ac:dyDescent="0.25">
      <c r="A295" s="18">
        <v>2019</v>
      </c>
      <c r="B295" s="3" t="s">
        <v>951</v>
      </c>
    </row>
    <row r="296" spans="1:2" x14ac:dyDescent="0.25">
      <c r="A296" s="18">
        <v>2019</v>
      </c>
      <c r="B296" s="3" t="s">
        <v>955</v>
      </c>
    </row>
    <row r="297" spans="1:2" x14ac:dyDescent="0.25">
      <c r="A297" s="19">
        <v>2019</v>
      </c>
      <c r="B297" s="5" t="s">
        <v>956</v>
      </c>
    </row>
    <row r="298" spans="1:2" x14ac:dyDescent="0.25">
      <c r="A298" s="18">
        <v>2019</v>
      </c>
      <c r="B298" s="3" t="s">
        <v>958</v>
      </c>
    </row>
    <row r="299" spans="1:2" x14ac:dyDescent="0.25">
      <c r="A299" s="19">
        <v>2019</v>
      </c>
      <c r="B299" s="5" t="s">
        <v>966</v>
      </c>
    </row>
    <row r="300" spans="1:2" x14ac:dyDescent="0.25">
      <c r="A300" s="19">
        <v>2019</v>
      </c>
      <c r="B300" s="5" t="s">
        <v>973</v>
      </c>
    </row>
    <row r="301" spans="1:2" x14ac:dyDescent="0.25">
      <c r="A301" s="18">
        <v>2019</v>
      </c>
      <c r="B301" s="3" t="s">
        <v>983</v>
      </c>
    </row>
    <row r="302" spans="1:2" x14ac:dyDescent="0.25">
      <c r="A302" s="18">
        <v>2019</v>
      </c>
      <c r="B302" s="3" t="s">
        <v>987</v>
      </c>
    </row>
    <row r="303" spans="1:2" x14ac:dyDescent="0.25">
      <c r="A303" s="18">
        <v>2019</v>
      </c>
      <c r="B303" s="3" t="s">
        <v>989</v>
      </c>
    </row>
    <row r="304" spans="1:2" x14ac:dyDescent="0.25">
      <c r="A304" s="19">
        <v>2019</v>
      </c>
      <c r="B304" s="5" t="s">
        <v>992</v>
      </c>
    </row>
    <row r="305" spans="1:2" x14ac:dyDescent="0.25">
      <c r="A305" s="19">
        <v>2019</v>
      </c>
      <c r="B305" s="5" t="s">
        <v>994</v>
      </c>
    </row>
    <row r="306" spans="1:2" x14ac:dyDescent="0.25">
      <c r="A306" s="18">
        <v>2019</v>
      </c>
      <c r="B306" s="3" t="s">
        <v>997</v>
      </c>
    </row>
    <row r="307" spans="1:2" x14ac:dyDescent="0.25">
      <c r="A307" s="19">
        <v>2019</v>
      </c>
      <c r="B307" s="5" t="s">
        <v>1006</v>
      </c>
    </row>
    <row r="308" spans="1:2" x14ac:dyDescent="0.25">
      <c r="A308" s="18">
        <v>2019</v>
      </c>
      <c r="B308" s="3" t="s">
        <v>1008</v>
      </c>
    </row>
    <row r="309" spans="1:2" x14ac:dyDescent="0.25">
      <c r="A309" s="18">
        <v>2019</v>
      </c>
      <c r="B309" s="3" t="s">
        <v>1010</v>
      </c>
    </row>
    <row r="310" spans="1:2" x14ac:dyDescent="0.25">
      <c r="A310" s="19">
        <v>2019</v>
      </c>
      <c r="B310" s="5" t="s">
        <v>1011</v>
      </c>
    </row>
    <row r="311" spans="1:2" x14ac:dyDescent="0.25">
      <c r="A311" s="18">
        <v>2019</v>
      </c>
      <c r="B311" s="3" t="s">
        <v>1012</v>
      </c>
    </row>
    <row r="312" spans="1:2" x14ac:dyDescent="0.25">
      <c r="A312" s="18">
        <v>2019</v>
      </c>
      <c r="B312" s="3" t="s">
        <v>1015</v>
      </c>
    </row>
    <row r="313" spans="1:2" x14ac:dyDescent="0.25">
      <c r="A313" s="19">
        <v>2019</v>
      </c>
      <c r="B313" s="5" t="s">
        <v>1017</v>
      </c>
    </row>
    <row r="314" spans="1:2" x14ac:dyDescent="0.25">
      <c r="A314" s="19">
        <v>2019</v>
      </c>
      <c r="B314" s="5" t="s">
        <v>1019</v>
      </c>
    </row>
    <row r="315" spans="1:2" x14ac:dyDescent="0.25">
      <c r="A315" s="18">
        <v>2019</v>
      </c>
      <c r="B315" s="3" t="s">
        <v>1022</v>
      </c>
    </row>
    <row r="316" spans="1:2" x14ac:dyDescent="0.25">
      <c r="A316" s="18">
        <v>2019</v>
      </c>
      <c r="B316" s="3" t="s">
        <v>1026</v>
      </c>
    </row>
    <row r="317" spans="1:2" x14ac:dyDescent="0.25">
      <c r="A317" s="19">
        <v>2019</v>
      </c>
      <c r="B317" s="5" t="s">
        <v>1028</v>
      </c>
    </row>
    <row r="318" spans="1:2" x14ac:dyDescent="0.25">
      <c r="A318" s="19">
        <v>2019</v>
      </c>
      <c r="B318" s="5" t="s">
        <v>1035</v>
      </c>
    </row>
    <row r="319" spans="1:2" x14ac:dyDescent="0.25">
      <c r="A319" s="19">
        <v>2019</v>
      </c>
      <c r="B319" s="5" t="s">
        <v>1038</v>
      </c>
    </row>
    <row r="320" spans="1:2" x14ac:dyDescent="0.25">
      <c r="A320" s="18">
        <v>2019</v>
      </c>
      <c r="B320" s="3" t="s">
        <v>1042</v>
      </c>
    </row>
    <row r="321" spans="1:2" x14ac:dyDescent="0.25">
      <c r="A321" s="18">
        <v>2019</v>
      </c>
      <c r="B321" s="3" t="s">
        <v>1056</v>
      </c>
    </row>
    <row r="322" spans="1:2" x14ac:dyDescent="0.25">
      <c r="A322" s="18">
        <v>2019</v>
      </c>
      <c r="B322" s="3" t="s">
        <v>1058</v>
      </c>
    </row>
    <row r="323" spans="1:2" x14ac:dyDescent="0.25">
      <c r="A323" s="19">
        <v>2019</v>
      </c>
      <c r="B323" s="5" t="s">
        <v>1061</v>
      </c>
    </row>
    <row r="324" spans="1:2" x14ac:dyDescent="0.25">
      <c r="A324" s="18">
        <v>2019</v>
      </c>
      <c r="B324" s="3" t="s">
        <v>1063</v>
      </c>
    </row>
    <row r="325" spans="1:2" x14ac:dyDescent="0.25">
      <c r="A325" s="19">
        <v>2019</v>
      </c>
      <c r="B325" s="5" t="s">
        <v>1065</v>
      </c>
    </row>
    <row r="326" spans="1:2" x14ac:dyDescent="0.25">
      <c r="A326" s="18">
        <v>2019</v>
      </c>
      <c r="B326" s="3" t="s">
        <v>1066</v>
      </c>
    </row>
    <row r="327" spans="1:2" x14ac:dyDescent="0.25">
      <c r="A327" s="19">
        <v>2019</v>
      </c>
      <c r="B327" s="5" t="s">
        <v>1071</v>
      </c>
    </row>
    <row r="328" spans="1:2" x14ac:dyDescent="0.25">
      <c r="A328" s="19">
        <v>2019</v>
      </c>
      <c r="B328" s="5" t="s">
        <v>1074</v>
      </c>
    </row>
    <row r="329" spans="1:2" x14ac:dyDescent="0.25">
      <c r="A329" s="18">
        <v>2019</v>
      </c>
      <c r="B329" s="3" t="s">
        <v>1075</v>
      </c>
    </row>
    <row r="330" spans="1:2" x14ac:dyDescent="0.25">
      <c r="A330" s="19">
        <v>2019</v>
      </c>
      <c r="B330" s="5" t="s">
        <v>1081</v>
      </c>
    </row>
    <row r="331" spans="1:2" x14ac:dyDescent="0.25">
      <c r="A331" s="19">
        <v>2019</v>
      </c>
      <c r="B331" s="5" t="s">
        <v>1087</v>
      </c>
    </row>
    <row r="332" spans="1:2" x14ac:dyDescent="0.25">
      <c r="A332" s="19">
        <v>2019</v>
      </c>
      <c r="B332" s="5" t="s">
        <v>1088</v>
      </c>
    </row>
    <row r="333" spans="1:2" x14ac:dyDescent="0.25">
      <c r="A333" s="19">
        <v>2019</v>
      </c>
      <c r="B333" s="5" t="s">
        <v>1091</v>
      </c>
    </row>
    <row r="334" spans="1:2" x14ac:dyDescent="0.25">
      <c r="A334" s="18">
        <v>2019</v>
      </c>
      <c r="B334" s="3" t="s">
        <v>1099</v>
      </c>
    </row>
    <row r="335" spans="1:2" x14ac:dyDescent="0.25">
      <c r="A335" s="19">
        <v>2019</v>
      </c>
      <c r="B335" s="5" t="s">
        <v>1104</v>
      </c>
    </row>
    <row r="336" spans="1:2" x14ac:dyDescent="0.25">
      <c r="A336" s="18">
        <v>2019</v>
      </c>
      <c r="B336" s="3" t="s">
        <v>1106</v>
      </c>
    </row>
    <row r="337" spans="1:2" x14ac:dyDescent="0.25">
      <c r="A337" s="18">
        <v>2019</v>
      </c>
      <c r="B337" s="3" t="s">
        <v>1110</v>
      </c>
    </row>
    <row r="338" spans="1:2" x14ac:dyDescent="0.25">
      <c r="A338" s="18">
        <v>2019</v>
      </c>
      <c r="B338" s="3" t="s">
        <v>1112</v>
      </c>
    </row>
    <row r="339" spans="1:2" x14ac:dyDescent="0.25">
      <c r="A339" s="19">
        <v>2019</v>
      </c>
      <c r="B339" s="5" t="s">
        <v>1114</v>
      </c>
    </row>
    <row r="340" spans="1:2" x14ac:dyDescent="0.25">
      <c r="A340" s="19">
        <v>2019</v>
      </c>
      <c r="B340" s="5" t="s">
        <v>1118</v>
      </c>
    </row>
    <row r="341" spans="1:2" x14ac:dyDescent="0.25">
      <c r="A341" s="18">
        <v>2019</v>
      </c>
      <c r="B341" s="3" t="s">
        <v>1120</v>
      </c>
    </row>
    <row r="342" spans="1:2" x14ac:dyDescent="0.25">
      <c r="A342" s="18">
        <v>2019</v>
      </c>
      <c r="B342" s="3" t="s">
        <v>1123</v>
      </c>
    </row>
    <row r="343" spans="1:2" x14ac:dyDescent="0.25">
      <c r="A343" s="19">
        <v>2019</v>
      </c>
      <c r="B343" s="5" t="s">
        <v>1125</v>
      </c>
    </row>
    <row r="344" spans="1:2" x14ac:dyDescent="0.25">
      <c r="A344" s="18">
        <v>2019</v>
      </c>
      <c r="B344" s="3" t="s">
        <v>1127</v>
      </c>
    </row>
    <row r="345" spans="1:2" x14ac:dyDescent="0.25">
      <c r="A345" s="19">
        <v>2019</v>
      </c>
      <c r="B345" s="5" t="s">
        <v>1130</v>
      </c>
    </row>
    <row r="346" spans="1:2" x14ac:dyDescent="0.25">
      <c r="A346" s="18">
        <v>2019</v>
      </c>
      <c r="B346" s="3" t="s">
        <v>1134</v>
      </c>
    </row>
    <row r="347" spans="1:2" x14ac:dyDescent="0.25">
      <c r="A347" s="19">
        <v>2019</v>
      </c>
      <c r="B347" s="5" t="s">
        <v>1136</v>
      </c>
    </row>
    <row r="348" spans="1:2" x14ac:dyDescent="0.25">
      <c r="A348" s="18">
        <v>2019</v>
      </c>
      <c r="B348" s="3" t="s">
        <v>1138</v>
      </c>
    </row>
    <row r="349" spans="1:2" x14ac:dyDescent="0.25">
      <c r="A349" s="19">
        <v>2019</v>
      </c>
      <c r="B349" s="5" t="s">
        <v>1140</v>
      </c>
    </row>
    <row r="350" spans="1:2" x14ac:dyDescent="0.25">
      <c r="A350" s="19">
        <v>2019</v>
      </c>
      <c r="B350" s="5" t="s">
        <v>1142</v>
      </c>
    </row>
    <row r="351" spans="1:2" x14ac:dyDescent="0.25">
      <c r="A351" s="18">
        <v>2019</v>
      </c>
      <c r="B351" s="3" t="s">
        <v>1147</v>
      </c>
    </row>
    <row r="352" spans="1:2" x14ac:dyDescent="0.25">
      <c r="A352" s="19">
        <v>2019</v>
      </c>
      <c r="B352" s="5" t="s">
        <v>1149</v>
      </c>
    </row>
    <row r="353" spans="1:2" x14ac:dyDescent="0.25">
      <c r="A353" s="19">
        <v>2019</v>
      </c>
      <c r="B353" s="5" t="s">
        <v>1152</v>
      </c>
    </row>
    <row r="354" spans="1:2" x14ac:dyDescent="0.25">
      <c r="A354" s="18">
        <v>2019</v>
      </c>
      <c r="B354" s="3" t="s">
        <v>1153</v>
      </c>
    </row>
    <row r="355" spans="1:2" x14ac:dyDescent="0.25">
      <c r="A355" s="18">
        <v>2019</v>
      </c>
      <c r="B355" s="3" t="s">
        <v>1157</v>
      </c>
    </row>
    <row r="356" spans="1:2" x14ac:dyDescent="0.25">
      <c r="A356" s="19">
        <v>2019</v>
      </c>
      <c r="B356" s="5" t="s">
        <v>1161</v>
      </c>
    </row>
    <row r="357" spans="1:2" x14ac:dyDescent="0.25">
      <c r="A357" s="19">
        <v>2019</v>
      </c>
      <c r="B357" s="5" t="s">
        <v>1164</v>
      </c>
    </row>
    <row r="358" spans="1:2" x14ac:dyDescent="0.25">
      <c r="A358" s="18">
        <v>2019</v>
      </c>
      <c r="B358" s="3" t="s">
        <v>1167</v>
      </c>
    </row>
    <row r="359" spans="1:2" x14ac:dyDescent="0.25">
      <c r="A359" s="18">
        <v>2019</v>
      </c>
      <c r="B359" s="3" t="s">
        <v>1172</v>
      </c>
    </row>
    <row r="360" spans="1:2" x14ac:dyDescent="0.25">
      <c r="A360" s="19">
        <v>2019</v>
      </c>
      <c r="B360" s="5" t="s">
        <v>1177</v>
      </c>
    </row>
    <row r="361" spans="1:2" x14ac:dyDescent="0.25">
      <c r="A361" s="19">
        <v>2019</v>
      </c>
      <c r="B361" s="5" t="s">
        <v>1180</v>
      </c>
    </row>
    <row r="362" spans="1:2" x14ac:dyDescent="0.25">
      <c r="A362" s="18">
        <v>2019</v>
      </c>
      <c r="B362" s="3" t="s">
        <v>1184</v>
      </c>
    </row>
    <row r="363" spans="1:2" x14ac:dyDescent="0.25">
      <c r="A363" s="18">
        <v>2019</v>
      </c>
      <c r="B363" s="3" t="s">
        <v>1189</v>
      </c>
    </row>
    <row r="364" spans="1:2" x14ac:dyDescent="0.25">
      <c r="A364" s="19">
        <v>2019</v>
      </c>
      <c r="B364" s="5" t="s">
        <v>1196</v>
      </c>
    </row>
    <row r="365" spans="1:2" x14ac:dyDescent="0.25">
      <c r="A365" s="18">
        <v>2019</v>
      </c>
      <c r="B365" s="3" t="s">
        <v>1200</v>
      </c>
    </row>
    <row r="366" spans="1:2" x14ac:dyDescent="0.25">
      <c r="A366" s="18">
        <v>2019</v>
      </c>
      <c r="B366" s="3" t="s">
        <v>1203</v>
      </c>
    </row>
    <row r="367" spans="1:2" x14ac:dyDescent="0.25">
      <c r="A367" s="19">
        <v>2019</v>
      </c>
      <c r="B367" s="5" t="s">
        <v>1205</v>
      </c>
    </row>
    <row r="368" spans="1:2" x14ac:dyDescent="0.25">
      <c r="A368" s="19">
        <v>2019</v>
      </c>
      <c r="B368" s="5" t="s">
        <v>1211</v>
      </c>
    </row>
    <row r="369" spans="1:2" x14ac:dyDescent="0.25">
      <c r="A369" s="18">
        <v>2019</v>
      </c>
      <c r="B369" s="3" t="s">
        <v>1213</v>
      </c>
    </row>
    <row r="370" spans="1:2" x14ac:dyDescent="0.25">
      <c r="A370" s="18">
        <v>2019</v>
      </c>
      <c r="B370" s="3" t="s">
        <v>1214</v>
      </c>
    </row>
    <row r="371" spans="1:2" x14ac:dyDescent="0.25">
      <c r="A371" s="18">
        <v>2019</v>
      </c>
      <c r="B371" s="3" t="s">
        <v>1219</v>
      </c>
    </row>
    <row r="372" spans="1:2" x14ac:dyDescent="0.25">
      <c r="A372" s="18">
        <v>2019</v>
      </c>
      <c r="B372" s="3" t="s">
        <v>1220</v>
      </c>
    </row>
    <row r="373" spans="1:2" x14ac:dyDescent="0.25">
      <c r="A373" s="18">
        <v>2019</v>
      </c>
      <c r="B373" s="3" t="s">
        <v>1227</v>
      </c>
    </row>
    <row r="374" spans="1:2" x14ac:dyDescent="0.25">
      <c r="A374" s="19">
        <v>2019</v>
      </c>
      <c r="B374" s="5" t="s">
        <v>1228</v>
      </c>
    </row>
    <row r="375" spans="1:2" x14ac:dyDescent="0.25">
      <c r="A375" s="18">
        <v>2019</v>
      </c>
      <c r="B375" s="3" t="s">
        <v>1230</v>
      </c>
    </row>
    <row r="376" spans="1:2" x14ac:dyDescent="0.25">
      <c r="A376" s="19">
        <v>2019</v>
      </c>
      <c r="B376" s="5" t="s">
        <v>1233</v>
      </c>
    </row>
    <row r="377" spans="1:2" x14ac:dyDescent="0.25">
      <c r="A377" s="19">
        <v>2019</v>
      </c>
      <c r="B377" s="5" t="s">
        <v>1240</v>
      </c>
    </row>
    <row r="378" spans="1:2" x14ac:dyDescent="0.25">
      <c r="A378" s="19">
        <v>2019</v>
      </c>
      <c r="B378" s="5" t="s">
        <v>1244</v>
      </c>
    </row>
    <row r="379" spans="1:2" x14ac:dyDescent="0.25">
      <c r="A379" s="19">
        <v>2019</v>
      </c>
      <c r="B379" s="5" t="s">
        <v>1246</v>
      </c>
    </row>
    <row r="380" spans="1:2" x14ac:dyDescent="0.25">
      <c r="A380" s="18">
        <v>2019</v>
      </c>
      <c r="B380" s="3" t="s">
        <v>1248</v>
      </c>
    </row>
    <row r="381" spans="1:2" x14ac:dyDescent="0.25">
      <c r="A381" s="19">
        <v>2019</v>
      </c>
      <c r="B381" s="5" t="s">
        <v>1250</v>
      </c>
    </row>
    <row r="382" spans="1:2" x14ac:dyDescent="0.25">
      <c r="A382" s="19">
        <v>2019</v>
      </c>
      <c r="B382" s="5" t="s">
        <v>1254</v>
      </c>
    </row>
    <row r="383" spans="1:2" x14ac:dyDescent="0.25">
      <c r="A383" s="19">
        <v>2019</v>
      </c>
      <c r="B383" s="5" t="s">
        <v>1256</v>
      </c>
    </row>
    <row r="384" spans="1:2" x14ac:dyDescent="0.25">
      <c r="A384" s="18">
        <v>2019</v>
      </c>
      <c r="B384" s="3" t="s">
        <v>1269</v>
      </c>
    </row>
    <row r="385" spans="1:2" x14ac:dyDescent="0.25">
      <c r="A385" s="18">
        <v>2019</v>
      </c>
      <c r="B385" s="3" t="s">
        <v>1276</v>
      </c>
    </row>
    <row r="386" spans="1:2" x14ac:dyDescent="0.25">
      <c r="A386" s="18">
        <v>2019</v>
      </c>
      <c r="B386" s="3" t="s">
        <v>1281</v>
      </c>
    </row>
    <row r="387" spans="1:2" x14ac:dyDescent="0.25">
      <c r="A387" s="19">
        <v>2019</v>
      </c>
      <c r="B387" s="5" t="s">
        <v>1283</v>
      </c>
    </row>
    <row r="388" spans="1:2" x14ac:dyDescent="0.25">
      <c r="A388" s="18">
        <v>2019</v>
      </c>
      <c r="B388" s="3" t="s">
        <v>1285</v>
      </c>
    </row>
    <row r="389" spans="1:2" x14ac:dyDescent="0.25">
      <c r="A389" s="18">
        <v>2019</v>
      </c>
      <c r="B389" s="3" t="s">
        <v>1288</v>
      </c>
    </row>
    <row r="390" spans="1:2" x14ac:dyDescent="0.25">
      <c r="A390" s="18">
        <v>2019</v>
      </c>
      <c r="B390" s="3" t="s">
        <v>1290</v>
      </c>
    </row>
    <row r="391" spans="1:2" x14ac:dyDescent="0.25">
      <c r="A391" s="19">
        <v>2019</v>
      </c>
      <c r="B391" s="5" t="s">
        <v>1291</v>
      </c>
    </row>
    <row r="392" spans="1:2" x14ac:dyDescent="0.25">
      <c r="A392" s="18">
        <v>2019</v>
      </c>
      <c r="B392" s="3" t="s">
        <v>1293</v>
      </c>
    </row>
    <row r="393" spans="1:2" x14ac:dyDescent="0.25">
      <c r="A393" s="18">
        <v>2019</v>
      </c>
      <c r="B393" s="3" t="s">
        <v>1299</v>
      </c>
    </row>
    <row r="394" spans="1:2" x14ac:dyDescent="0.25">
      <c r="A394" s="18">
        <v>2019</v>
      </c>
      <c r="B394" s="3" t="s">
        <v>1301</v>
      </c>
    </row>
    <row r="395" spans="1:2" x14ac:dyDescent="0.25">
      <c r="A395" s="19">
        <v>2019</v>
      </c>
      <c r="B395" s="5" t="s">
        <v>1306</v>
      </c>
    </row>
    <row r="396" spans="1:2" x14ac:dyDescent="0.25">
      <c r="A396" s="18">
        <v>2019</v>
      </c>
      <c r="B396" s="3" t="s">
        <v>1308</v>
      </c>
    </row>
    <row r="397" spans="1:2" x14ac:dyDescent="0.25">
      <c r="A397" s="18">
        <v>2019</v>
      </c>
      <c r="B397" s="3" t="s">
        <v>1311</v>
      </c>
    </row>
    <row r="398" spans="1:2" x14ac:dyDescent="0.25">
      <c r="A398" s="19">
        <v>2019</v>
      </c>
      <c r="B398" s="5" t="s">
        <v>1319</v>
      </c>
    </row>
    <row r="399" spans="1:2" x14ac:dyDescent="0.25">
      <c r="A399" s="18">
        <v>2019</v>
      </c>
      <c r="B399" s="3" t="s">
        <v>1320</v>
      </c>
    </row>
    <row r="400" spans="1:2" x14ac:dyDescent="0.25">
      <c r="A400" s="18">
        <v>2019</v>
      </c>
      <c r="B400" s="3" t="s">
        <v>1323</v>
      </c>
    </row>
    <row r="401" spans="1:2" x14ac:dyDescent="0.25">
      <c r="A401" s="18">
        <v>2019</v>
      </c>
      <c r="B401" s="3" t="s">
        <v>1326</v>
      </c>
    </row>
    <row r="402" spans="1:2" x14ac:dyDescent="0.25">
      <c r="A402" s="18">
        <v>2019</v>
      </c>
      <c r="B402" s="3" t="s">
        <v>1330</v>
      </c>
    </row>
    <row r="403" spans="1:2" x14ac:dyDescent="0.25">
      <c r="A403" s="18">
        <v>2019</v>
      </c>
      <c r="B403" s="3" t="s">
        <v>1333</v>
      </c>
    </row>
    <row r="404" spans="1:2" x14ac:dyDescent="0.25">
      <c r="A404" s="19">
        <v>2019</v>
      </c>
      <c r="B404" s="5" t="s">
        <v>1335</v>
      </c>
    </row>
    <row r="405" spans="1:2" x14ac:dyDescent="0.25">
      <c r="A405" s="18">
        <v>2019</v>
      </c>
      <c r="B405" s="3" t="s">
        <v>1336</v>
      </c>
    </row>
    <row r="406" spans="1:2" x14ac:dyDescent="0.25">
      <c r="A406" s="19">
        <v>2019</v>
      </c>
      <c r="B406" s="5" t="s">
        <v>1339</v>
      </c>
    </row>
    <row r="407" spans="1:2" x14ac:dyDescent="0.25">
      <c r="A407" s="19">
        <v>2019</v>
      </c>
      <c r="B407" s="5" t="s">
        <v>1342</v>
      </c>
    </row>
    <row r="408" spans="1:2" x14ac:dyDescent="0.25">
      <c r="A408" s="18">
        <v>2019</v>
      </c>
      <c r="B408" s="3" t="s">
        <v>1344</v>
      </c>
    </row>
    <row r="409" spans="1:2" x14ac:dyDescent="0.25">
      <c r="A409" s="19">
        <v>2019</v>
      </c>
      <c r="B409" s="5" t="s">
        <v>1348</v>
      </c>
    </row>
    <row r="410" spans="1:2" x14ac:dyDescent="0.25">
      <c r="A410" s="19">
        <v>2019</v>
      </c>
      <c r="B410" s="5" t="s">
        <v>1349</v>
      </c>
    </row>
    <row r="411" spans="1:2" x14ac:dyDescent="0.25">
      <c r="A411" s="18">
        <v>2019</v>
      </c>
      <c r="B411" s="3" t="s">
        <v>1353</v>
      </c>
    </row>
    <row r="412" spans="1:2" x14ac:dyDescent="0.25">
      <c r="A412" s="18">
        <v>2019</v>
      </c>
      <c r="B412" s="3" t="s">
        <v>1354</v>
      </c>
    </row>
    <row r="413" spans="1:2" x14ac:dyDescent="0.25">
      <c r="A413" s="19">
        <v>2019</v>
      </c>
      <c r="B413" s="5" t="s">
        <v>1355</v>
      </c>
    </row>
    <row r="414" spans="1:2" x14ac:dyDescent="0.25">
      <c r="A414" s="19">
        <v>2019</v>
      </c>
      <c r="B414" s="5" t="s">
        <v>1357</v>
      </c>
    </row>
    <row r="415" spans="1:2" x14ac:dyDescent="0.25">
      <c r="A415" s="19">
        <v>2019</v>
      </c>
      <c r="B415" s="5" t="s">
        <v>1359</v>
      </c>
    </row>
    <row r="416" spans="1:2" x14ac:dyDescent="0.25">
      <c r="A416" s="19">
        <v>2019</v>
      </c>
      <c r="B416" s="5" t="s">
        <v>1363</v>
      </c>
    </row>
    <row r="417" spans="1:2" x14ac:dyDescent="0.25">
      <c r="A417" s="19">
        <v>2019</v>
      </c>
      <c r="B417" s="5" t="s">
        <v>1366</v>
      </c>
    </row>
    <row r="418" spans="1:2" x14ac:dyDescent="0.25">
      <c r="A418" s="19">
        <v>2019</v>
      </c>
      <c r="B418" s="5" t="s">
        <v>1368</v>
      </c>
    </row>
    <row r="419" spans="1:2" x14ac:dyDescent="0.25">
      <c r="A419" s="19">
        <v>2019</v>
      </c>
      <c r="B419" s="5" t="s">
        <v>1370</v>
      </c>
    </row>
    <row r="420" spans="1:2" x14ac:dyDescent="0.25">
      <c r="A420" s="18">
        <v>2019</v>
      </c>
      <c r="B420" s="3" t="s">
        <v>1375</v>
      </c>
    </row>
    <row r="421" spans="1:2" x14ac:dyDescent="0.25">
      <c r="A421" s="19">
        <v>2019</v>
      </c>
      <c r="B421" s="5" t="s">
        <v>1377</v>
      </c>
    </row>
    <row r="422" spans="1:2" x14ac:dyDescent="0.25">
      <c r="A422" s="19">
        <v>2019</v>
      </c>
      <c r="B422" s="5" t="s">
        <v>1378</v>
      </c>
    </row>
    <row r="423" spans="1:2" x14ac:dyDescent="0.25">
      <c r="A423" s="18">
        <v>2019</v>
      </c>
      <c r="B423" s="3" t="s">
        <v>1380</v>
      </c>
    </row>
    <row r="424" spans="1:2" x14ac:dyDescent="0.25">
      <c r="A424" s="19">
        <v>2019</v>
      </c>
      <c r="B424" s="5" t="s">
        <v>1382</v>
      </c>
    </row>
    <row r="425" spans="1:2" x14ac:dyDescent="0.25">
      <c r="A425" s="19">
        <v>2019</v>
      </c>
      <c r="B425" s="5" t="s">
        <v>1383</v>
      </c>
    </row>
    <row r="426" spans="1:2" x14ac:dyDescent="0.25">
      <c r="A426" s="19">
        <v>2019</v>
      </c>
      <c r="B426" s="5" t="s">
        <v>1384</v>
      </c>
    </row>
    <row r="427" spans="1:2" x14ac:dyDescent="0.25">
      <c r="A427" s="19">
        <v>2019</v>
      </c>
      <c r="B427" s="5" t="s">
        <v>1392</v>
      </c>
    </row>
    <row r="428" spans="1:2" x14ac:dyDescent="0.25">
      <c r="A428" s="18">
        <v>2019</v>
      </c>
      <c r="B428" s="3" t="s">
        <v>1393</v>
      </c>
    </row>
    <row r="429" spans="1:2" x14ac:dyDescent="0.25">
      <c r="A429" s="18">
        <v>2019</v>
      </c>
      <c r="B429" s="3" t="s">
        <v>1397</v>
      </c>
    </row>
    <row r="430" spans="1:2" x14ac:dyDescent="0.25">
      <c r="A430" s="19">
        <v>2019</v>
      </c>
      <c r="B430" s="5" t="s">
        <v>1398</v>
      </c>
    </row>
    <row r="431" spans="1:2" x14ac:dyDescent="0.25">
      <c r="A431" s="18">
        <v>2019</v>
      </c>
      <c r="B431" s="3" t="s">
        <v>1400</v>
      </c>
    </row>
    <row r="432" spans="1:2" x14ac:dyDescent="0.25">
      <c r="A432" s="19">
        <v>2019</v>
      </c>
      <c r="B432" s="5" t="s">
        <v>1401</v>
      </c>
    </row>
    <row r="433" spans="1:2" x14ac:dyDescent="0.25">
      <c r="A433" s="18">
        <v>2019</v>
      </c>
      <c r="B433" s="3" t="s">
        <v>1403</v>
      </c>
    </row>
    <row r="434" spans="1:2" x14ac:dyDescent="0.25">
      <c r="A434" s="19">
        <v>2019</v>
      </c>
      <c r="B434" s="5" t="s">
        <v>1404</v>
      </c>
    </row>
    <row r="435" spans="1:2" x14ac:dyDescent="0.25">
      <c r="A435" s="18">
        <v>2019</v>
      </c>
      <c r="B435" s="3" t="s">
        <v>1407</v>
      </c>
    </row>
    <row r="436" spans="1:2" x14ac:dyDescent="0.25">
      <c r="A436" s="18">
        <v>2019</v>
      </c>
      <c r="B436" s="3" t="s">
        <v>1416</v>
      </c>
    </row>
    <row r="437" spans="1:2" x14ac:dyDescent="0.25">
      <c r="A437" s="19">
        <v>2019</v>
      </c>
      <c r="B437" s="5" t="s">
        <v>1418</v>
      </c>
    </row>
    <row r="438" spans="1:2" x14ac:dyDescent="0.25">
      <c r="A438" s="18">
        <v>2019</v>
      </c>
      <c r="B438" s="3" t="s">
        <v>1421</v>
      </c>
    </row>
    <row r="439" spans="1:2" x14ac:dyDescent="0.25">
      <c r="A439" s="18">
        <v>2019</v>
      </c>
      <c r="B439" s="3" t="s">
        <v>1428</v>
      </c>
    </row>
    <row r="440" spans="1:2" x14ac:dyDescent="0.25">
      <c r="A440" s="18">
        <v>2019</v>
      </c>
      <c r="B440" s="3" t="s">
        <v>1431</v>
      </c>
    </row>
    <row r="441" spans="1:2" x14ac:dyDescent="0.25">
      <c r="A441" s="19">
        <v>2019</v>
      </c>
      <c r="B441" s="5" t="s">
        <v>1433</v>
      </c>
    </row>
    <row r="442" spans="1:2" x14ac:dyDescent="0.25">
      <c r="A442" s="19">
        <v>2019</v>
      </c>
      <c r="B442" s="5" t="s">
        <v>1440</v>
      </c>
    </row>
    <row r="443" spans="1:2" x14ac:dyDescent="0.25">
      <c r="A443" s="18">
        <v>2019</v>
      </c>
      <c r="B443" s="3" t="s">
        <v>1442</v>
      </c>
    </row>
    <row r="444" spans="1:2" x14ac:dyDescent="0.25">
      <c r="A444" s="18">
        <v>2019</v>
      </c>
      <c r="B444" s="3" t="s">
        <v>1444</v>
      </c>
    </row>
    <row r="445" spans="1:2" x14ac:dyDescent="0.25">
      <c r="A445" s="18">
        <v>2019</v>
      </c>
      <c r="B445" s="3" t="s">
        <v>1448</v>
      </c>
    </row>
    <row r="446" spans="1:2" x14ac:dyDescent="0.25">
      <c r="A446" s="19">
        <v>2019</v>
      </c>
      <c r="B446" s="5" t="s">
        <v>1451</v>
      </c>
    </row>
    <row r="447" spans="1:2" x14ac:dyDescent="0.25">
      <c r="A447" s="18">
        <v>2019</v>
      </c>
      <c r="B447" s="3" t="s">
        <v>1453</v>
      </c>
    </row>
    <row r="448" spans="1:2" x14ac:dyDescent="0.25">
      <c r="A448" s="18">
        <v>2019</v>
      </c>
      <c r="B448" s="3" t="s">
        <v>1458</v>
      </c>
    </row>
    <row r="449" spans="1:2" x14ac:dyDescent="0.25">
      <c r="A449" s="18">
        <v>2019</v>
      </c>
      <c r="B449" s="3" t="s">
        <v>1460</v>
      </c>
    </row>
    <row r="450" spans="1:2" x14ac:dyDescent="0.25">
      <c r="A450" s="19">
        <v>2019</v>
      </c>
      <c r="B450" s="5" t="s">
        <v>1464</v>
      </c>
    </row>
    <row r="451" spans="1:2" x14ac:dyDescent="0.25">
      <c r="A451" s="19">
        <v>2019</v>
      </c>
      <c r="B451" s="5" t="s">
        <v>1466</v>
      </c>
    </row>
    <row r="452" spans="1:2" x14ac:dyDescent="0.25">
      <c r="A452" s="18">
        <v>2019</v>
      </c>
      <c r="B452" s="3" t="s">
        <v>1473</v>
      </c>
    </row>
    <row r="453" spans="1:2" x14ac:dyDescent="0.25">
      <c r="A453" s="19">
        <v>2019</v>
      </c>
      <c r="B453" s="5" t="s">
        <v>1475</v>
      </c>
    </row>
    <row r="454" spans="1:2" x14ac:dyDescent="0.25">
      <c r="A454" s="19">
        <v>2019</v>
      </c>
      <c r="B454" s="5" t="s">
        <v>1478</v>
      </c>
    </row>
    <row r="455" spans="1:2" x14ac:dyDescent="0.25">
      <c r="A455" s="19">
        <v>2019</v>
      </c>
      <c r="B455" s="5" t="s">
        <v>1484</v>
      </c>
    </row>
    <row r="456" spans="1:2" x14ac:dyDescent="0.25">
      <c r="A456" s="18">
        <v>2019</v>
      </c>
      <c r="B456" s="3" t="s">
        <v>1486</v>
      </c>
    </row>
    <row r="457" spans="1:2" x14ac:dyDescent="0.25">
      <c r="A457" s="19">
        <v>2019</v>
      </c>
      <c r="B457" s="5" t="s">
        <v>1488</v>
      </c>
    </row>
    <row r="458" spans="1:2" x14ac:dyDescent="0.25">
      <c r="A458" s="18">
        <v>2019</v>
      </c>
      <c r="B458" s="3" t="s">
        <v>1492</v>
      </c>
    </row>
    <row r="459" spans="1:2" x14ac:dyDescent="0.25">
      <c r="A459" s="18">
        <v>2019</v>
      </c>
      <c r="B459" s="3" t="s">
        <v>1500</v>
      </c>
    </row>
    <row r="460" spans="1:2" x14ac:dyDescent="0.25">
      <c r="A460" s="19">
        <v>2019</v>
      </c>
      <c r="B460" s="5" t="s">
        <v>1501</v>
      </c>
    </row>
    <row r="461" spans="1:2" x14ac:dyDescent="0.25">
      <c r="A461" s="18">
        <v>2019</v>
      </c>
      <c r="B461" s="3" t="s">
        <v>1507</v>
      </c>
    </row>
    <row r="462" spans="1:2" x14ac:dyDescent="0.25">
      <c r="A462" s="19">
        <v>2019</v>
      </c>
      <c r="B462" s="5" t="s">
        <v>1509</v>
      </c>
    </row>
    <row r="463" spans="1:2" x14ac:dyDescent="0.25">
      <c r="A463" s="19">
        <v>2019</v>
      </c>
      <c r="B463" s="5" t="s">
        <v>1512</v>
      </c>
    </row>
    <row r="464" spans="1:2" x14ac:dyDescent="0.25">
      <c r="A464" s="19">
        <v>2019</v>
      </c>
      <c r="B464" s="5" t="s">
        <v>1515</v>
      </c>
    </row>
    <row r="465" spans="1:2" x14ac:dyDescent="0.25">
      <c r="A465" s="19">
        <v>2019</v>
      </c>
      <c r="B465" s="5" t="s">
        <v>1520</v>
      </c>
    </row>
    <row r="466" spans="1:2" x14ac:dyDescent="0.25">
      <c r="A466" s="18">
        <v>2019</v>
      </c>
      <c r="B466" s="3" t="s">
        <v>1521</v>
      </c>
    </row>
    <row r="467" spans="1:2" x14ac:dyDescent="0.25">
      <c r="A467" s="19">
        <v>2019</v>
      </c>
      <c r="B467" s="5" t="s">
        <v>1523</v>
      </c>
    </row>
    <row r="468" spans="1:2" x14ac:dyDescent="0.25">
      <c r="A468" s="19">
        <v>2019</v>
      </c>
      <c r="B468" s="5" t="s">
        <v>1524</v>
      </c>
    </row>
    <row r="469" spans="1:2" x14ac:dyDescent="0.25">
      <c r="A469" s="18">
        <v>2019</v>
      </c>
      <c r="B469" s="3" t="s">
        <v>1530</v>
      </c>
    </row>
    <row r="470" spans="1:2" x14ac:dyDescent="0.25">
      <c r="A470" s="19">
        <v>2019</v>
      </c>
      <c r="B470" s="5" t="s">
        <v>1535</v>
      </c>
    </row>
    <row r="471" spans="1:2" x14ac:dyDescent="0.25">
      <c r="A471" s="18">
        <v>2019</v>
      </c>
      <c r="B471" s="3" t="s">
        <v>1538</v>
      </c>
    </row>
    <row r="472" spans="1:2" x14ac:dyDescent="0.25">
      <c r="A472" s="19">
        <v>2019</v>
      </c>
      <c r="B472" s="5" t="s">
        <v>1540</v>
      </c>
    </row>
    <row r="473" spans="1:2" x14ac:dyDescent="0.25">
      <c r="A473" s="18">
        <v>2019</v>
      </c>
      <c r="B473" s="3" t="s">
        <v>1541</v>
      </c>
    </row>
    <row r="474" spans="1:2" x14ac:dyDescent="0.25">
      <c r="A474" s="19">
        <v>2019</v>
      </c>
      <c r="B474" s="5" t="s">
        <v>1542</v>
      </c>
    </row>
    <row r="475" spans="1:2" x14ac:dyDescent="0.25">
      <c r="A475" s="19">
        <v>2019</v>
      </c>
      <c r="B475" s="5" t="s">
        <v>1544</v>
      </c>
    </row>
    <row r="476" spans="1:2" x14ac:dyDescent="0.25">
      <c r="A476" s="19">
        <v>2019</v>
      </c>
      <c r="B476" s="5" t="s">
        <v>1548</v>
      </c>
    </row>
    <row r="477" spans="1:2" x14ac:dyDescent="0.25">
      <c r="A477" s="19">
        <v>2019</v>
      </c>
      <c r="B477" s="5" t="s">
        <v>1553</v>
      </c>
    </row>
    <row r="478" spans="1:2" x14ac:dyDescent="0.25">
      <c r="A478" s="19">
        <v>2019</v>
      </c>
      <c r="B478" s="5" t="s">
        <v>1559</v>
      </c>
    </row>
    <row r="479" spans="1:2" x14ac:dyDescent="0.25">
      <c r="A479" s="18">
        <v>2019</v>
      </c>
      <c r="B479" s="3" t="s">
        <v>1568</v>
      </c>
    </row>
    <row r="480" spans="1:2" x14ac:dyDescent="0.25">
      <c r="A480" s="18">
        <v>2019</v>
      </c>
      <c r="B480" s="3" t="s">
        <v>1570</v>
      </c>
    </row>
    <row r="481" spans="1:2" x14ac:dyDescent="0.25">
      <c r="A481" s="18">
        <v>2019</v>
      </c>
      <c r="B481" s="3" t="s">
        <v>1573</v>
      </c>
    </row>
    <row r="482" spans="1:2" x14ac:dyDescent="0.25">
      <c r="A482" s="18">
        <v>2019</v>
      </c>
      <c r="B482" s="3" t="s">
        <v>1576</v>
      </c>
    </row>
    <row r="483" spans="1:2" x14ac:dyDescent="0.25">
      <c r="A483" s="18">
        <v>2019</v>
      </c>
      <c r="B483" s="3" t="s">
        <v>1579</v>
      </c>
    </row>
    <row r="484" spans="1:2" x14ac:dyDescent="0.25">
      <c r="A484" s="18">
        <v>2019</v>
      </c>
      <c r="B484" s="3" t="s">
        <v>1585</v>
      </c>
    </row>
    <row r="485" spans="1:2" x14ac:dyDescent="0.25">
      <c r="A485" s="19">
        <v>2019</v>
      </c>
      <c r="B485" s="5" t="s">
        <v>1587</v>
      </c>
    </row>
    <row r="486" spans="1:2" x14ac:dyDescent="0.25">
      <c r="A486" s="19">
        <v>2019</v>
      </c>
      <c r="B486" s="5" t="s">
        <v>1589</v>
      </c>
    </row>
    <row r="487" spans="1:2" x14ac:dyDescent="0.25">
      <c r="A487" s="19">
        <v>2019</v>
      </c>
      <c r="B487" s="5" t="s">
        <v>1591</v>
      </c>
    </row>
    <row r="488" spans="1:2" x14ac:dyDescent="0.25">
      <c r="A488" s="19">
        <v>2019</v>
      </c>
      <c r="B488" s="5" t="s">
        <v>1594</v>
      </c>
    </row>
    <row r="489" spans="1:2" x14ac:dyDescent="0.25">
      <c r="A489" s="18">
        <v>2019</v>
      </c>
      <c r="B489" s="3" t="s">
        <v>1597</v>
      </c>
    </row>
    <row r="490" spans="1:2" x14ac:dyDescent="0.25">
      <c r="A490" s="19">
        <v>2019</v>
      </c>
      <c r="B490" s="5" t="s">
        <v>1599</v>
      </c>
    </row>
    <row r="491" spans="1:2" x14ac:dyDescent="0.25">
      <c r="A491" s="19">
        <v>2019</v>
      </c>
      <c r="B491" s="5" t="s">
        <v>1604</v>
      </c>
    </row>
    <row r="492" spans="1:2" x14ac:dyDescent="0.25">
      <c r="A492" s="18">
        <v>2019</v>
      </c>
      <c r="B492" s="3" t="s">
        <v>1605</v>
      </c>
    </row>
    <row r="493" spans="1:2" x14ac:dyDescent="0.25">
      <c r="A493" s="19">
        <v>2019</v>
      </c>
      <c r="B493" s="5" t="s">
        <v>1609</v>
      </c>
    </row>
    <row r="494" spans="1:2" x14ac:dyDescent="0.25">
      <c r="A494" s="19">
        <v>2019</v>
      </c>
      <c r="B494" s="5" t="s">
        <v>1611</v>
      </c>
    </row>
    <row r="495" spans="1:2" x14ac:dyDescent="0.25">
      <c r="A495" s="19">
        <v>2019</v>
      </c>
      <c r="B495" s="5" t="s">
        <v>1614</v>
      </c>
    </row>
    <row r="496" spans="1:2" x14ac:dyDescent="0.25">
      <c r="A496" s="19">
        <v>2019</v>
      </c>
      <c r="B496" s="5" t="s">
        <v>1617</v>
      </c>
    </row>
    <row r="497" spans="1:2" x14ac:dyDescent="0.25">
      <c r="A497" s="19">
        <v>2019</v>
      </c>
      <c r="B497" s="5" t="s">
        <v>1621</v>
      </c>
    </row>
    <row r="498" spans="1:2" x14ac:dyDescent="0.25">
      <c r="A498" s="18">
        <v>2019</v>
      </c>
      <c r="B498" s="3" t="s">
        <v>1622</v>
      </c>
    </row>
    <row r="499" spans="1:2" x14ac:dyDescent="0.25">
      <c r="A499" s="18">
        <v>2019</v>
      </c>
      <c r="B499" s="3" t="s">
        <v>1623</v>
      </c>
    </row>
    <row r="500" spans="1:2" x14ac:dyDescent="0.25">
      <c r="A500" s="18">
        <v>2019</v>
      </c>
      <c r="B500" s="3" t="s">
        <v>1624</v>
      </c>
    </row>
    <row r="501" spans="1:2" x14ac:dyDescent="0.25">
      <c r="A501" s="19">
        <v>2019</v>
      </c>
      <c r="B501" s="5" t="s">
        <v>1636</v>
      </c>
    </row>
    <row r="502" spans="1:2" x14ac:dyDescent="0.25">
      <c r="A502" s="18">
        <v>2019</v>
      </c>
      <c r="B502" s="3" t="s">
        <v>1637</v>
      </c>
    </row>
    <row r="503" spans="1:2" x14ac:dyDescent="0.25">
      <c r="A503" s="19">
        <v>2019</v>
      </c>
      <c r="B503" s="5" t="s">
        <v>1638</v>
      </c>
    </row>
    <row r="504" spans="1:2" x14ac:dyDescent="0.25">
      <c r="A504" s="18">
        <v>2019</v>
      </c>
      <c r="B504" s="3" t="s">
        <v>1642</v>
      </c>
    </row>
    <row r="505" spans="1:2" x14ac:dyDescent="0.25">
      <c r="A505" s="18">
        <v>2019</v>
      </c>
      <c r="B505" s="3" t="s">
        <v>1649</v>
      </c>
    </row>
    <row r="506" spans="1:2" x14ac:dyDescent="0.25">
      <c r="A506" s="18">
        <v>2019</v>
      </c>
      <c r="B506" s="3" t="s">
        <v>1652</v>
      </c>
    </row>
    <row r="507" spans="1:2" x14ac:dyDescent="0.25">
      <c r="A507" s="19">
        <v>2019</v>
      </c>
      <c r="B507" s="5" t="s">
        <v>1654</v>
      </c>
    </row>
    <row r="508" spans="1:2" x14ac:dyDescent="0.25">
      <c r="A508" s="19">
        <v>2019</v>
      </c>
      <c r="B508" s="5" t="s">
        <v>1659</v>
      </c>
    </row>
    <row r="509" spans="1:2" x14ac:dyDescent="0.25">
      <c r="A509" s="18">
        <v>2019</v>
      </c>
      <c r="B509" s="3" t="s">
        <v>1660</v>
      </c>
    </row>
    <row r="510" spans="1:2" x14ac:dyDescent="0.25">
      <c r="A510" s="18">
        <v>2019</v>
      </c>
      <c r="B510" s="3" t="s">
        <v>1666</v>
      </c>
    </row>
    <row r="511" spans="1:2" x14ac:dyDescent="0.25">
      <c r="A511" s="19">
        <v>2019</v>
      </c>
      <c r="B511" s="5" t="s">
        <v>1668</v>
      </c>
    </row>
    <row r="512" spans="1:2" x14ac:dyDescent="0.25">
      <c r="A512" s="18">
        <v>2019</v>
      </c>
      <c r="B512" s="3" t="s">
        <v>1669</v>
      </c>
    </row>
    <row r="513" spans="1:2" x14ac:dyDescent="0.25">
      <c r="A513" s="18">
        <v>2019</v>
      </c>
      <c r="B513" s="3" t="s">
        <v>1671</v>
      </c>
    </row>
    <row r="514" spans="1:2" x14ac:dyDescent="0.25">
      <c r="A514" s="18">
        <v>2019</v>
      </c>
      <c r="B514" s="3" t="s">
        <v>1673</v>
      </c>
    </row>
    <row r="515" spans="1:2" x14ac:dyDescent="0.25">
      <c r="A515" s="18">
        <v>2019</v>
      </c>
      <c r="B515" s="3" t="s">
        <v>1675</v>
      </c>
    </row>
    <row r="516" spans="1:2" x14ac:dyDescent="0.25">
      <c r="A516" s="18">
        <v>2019</v>
      </c>
      <c r="B516" s="3" t="s">
        <v>1677</v>
      </c>
    </row>
    <row r="517" spans="1:2" x14ac:dyDescent="0.25">
      <c r="A517" s="19">
        <v>2019</v>
      </c>
      <c r="B517" s="5" t="s">
        <v>1678</v>
      </c>
    </row>
    <row r="518" spans="1:2" x14ac:dyDescent="0.25">
      <c r="A518" s="19">
        <v>2019</v>
      </c>
      <c r="B518" s="5" t="s">
        <v>1683</v>
      </c>
    </row>
    <row r="519" spans="1:2" x14ac:dyDescent="0.25">
      <c r="A519" s="18">
        <v>2019</v>
      </c>
      <c r="B519" s="3" t="s">
        <v>1685</v>
      </c>
    </row>
    <row r="520" spans="1:2" x14ac:dyDescent="0.25">
      <c r="A520" s="19">
        <v>2019</v>
      </c>
      <c r="B520" s="5" t="s">
        <v>1688</v>
      </c>
    </row>
    <row r="521" spans="1:2" x14ac:dyDescent="0.25">
      <c r="A521" s="18">
        <v>2019</v>
      </c>
      <c r="B521" s="3" t="s">
        <v>1694</v>
      </c>
    </row>
    <row r="522" spans="1:2" x14ac:dyDescent="0.25">
      <c r="A522" s="19">
        <v>2019</v>
      </c>
      <c r="B522" s="5" t="s">
        <v>1695</v>
      </c>
    </row>
    <row r="523" spans="1:2" x14ac:dyDescent="0.25">
      <c r="A523" s="18">
        <v>2019</v>
      </c>
      <c r="B523" s="3" t="s">
        <v>1697</v>
      </c>
    </row>
    <row r="524" spans="1:2" x14ac:dyDescent="0.25">
      <c r="A524" s="19">
        <v>2019</v>
      </c>
      <c r="B524" s="5" t="s">
        <v>1698</v>
      </c>
    </row>
    <row r="525" spans="1:2" x14ac:dyDescent="0.25">
      <c r="A525" s="18">
        <v>2019</v>
      </c>
      <c r="B525" s="3" t="s">
        <v>1699</v>
      </c>
    </row>
    <row r="526" spans="1:2" x14ac:dyDescent="0.25">
      <c r="A526" s="19">
        <v>2019</v>
      </c>
      <c r="B526" s="5" t="s">
        <v>1701</v>
      </c>
    </row>
    <row r="527" spans="1:2" x14ac:dyDescent="0.25">
      <c r="A527" s="18">
        <v>2019</v>
      </c>
      <c r="B527" s="3" t="s">
        <v>1703</v>
      </c>
    </row>
    <row r="528" spans="1:2" x14ac:dyDescent="0.25">
      <c r="A528" s="19">
        <v>2019</v>
      </c>
      <c r="B528" s="5" t="s">
        <v>1706</v>
      </c>
    </row>
    <row r="529" spans="1:2" x14ac:dyDescent="0.25">
      <c r="A529" s="18">
        <v>2019</v>
      </c>
      <c r="B529" s="3" t="s">
        <v>1711</v>
      </c>
    </row>
    <row r="530" spans="1:2" x14ac:dyDescent="0.25">
      <c r="A530" s="19">
        <v>2019</v>
      </c>
      <c r="B530" s="5" t="s">
        <v>1717</v>
      </c>
    </row>
    <row r="531" spans="1:2" x14ac:dyDescent="0.25">
      <c r="A531" s="18">
        <v>2019</v>
      </c>
      <c r="B531" s="3" t="s">
        <v>1721</v>
      </c>
    </row>
    <row r="532" spans="1:2" x14ac:dyDescent="0.25">
      <c r="A532" s="18">
        <v>2019</v>
      </c>
      <c r="B532" s="3" t="s">
        <v>1726</v>
      </c>
    </row>
    <row r="533" spans="1:2" x14ac:dyDescent="0.25">
      <c r="A533" s="18">
        <v>2019</v>
      </c>
      <c r="B533" s="3" t="s">
        <v>1731</v>
      </c>
    </row>
    <row r="534" spans="1:2" x14ac:dyDescent="0.25">
      <c r="A534" s="19">
        <v>2019</v>
      </c>
      <c r="B534" s="5" t="s">
        <v>1734</v>
      </c>
    </row>
    <row r="535" spans="1:2" x14ac:dyDescent="0.25">
      <c r="A535" s="18">
        <v>2019</v>
      </c>
      <c r="B535" s="3" t="s">
        <v>1738</v>
      </c>
    </row>
    <row r="536" spans="1:2" x14ac:dyDescent="0.25">
      <c r="A536" s="18">
        <v>2019</v>
      </c>
      <c r="B536" s="3" t="s">
        <v>1740</v>
      </c>
    </row>
    <row r="537" spans="1:2" x14ac:dyDescent="0.25">
      <c r="A537" s="18">
        <v>2019</v>
      </c>
      <c r="B537" s="3" t="s">
        <v>1741</v>
      </c>
    </row>
    <row r="538" spans="1:2" x14ac:dyDescent="0.25">
      <c r="A538" s="18">
        <v>2019</v>
      </c>
      <c r="B538" s="3" t="s">
        <v>1746</v>
      </c>
    </row>
    <row r="539" spans="1:2" x14ac:dyDescent="0.25">
      <c r="A539" s="18">
        <v>2019</v>
      </c>
      <c r="B539" s="3" t="s">
        <v>1753</v>
      </c>
    </row>
    <row r="540" spans="1:2" x14ac:dyDescent="0.25">
      <c r="A540" s="19">
        <v>2019</v>
      </c>
      <c r="B540" s="5" t="s">
        <v>1755</v>
      </c>
    </row>
    <row r="541" spans="1:2" x14ac:dyDescent="0.25">
      <c r="A541" s="18">
        <v>2019</v>
      </c>
      <c r="B541" s="3" t="s">
        <v>1756</v>
      </c>
    </row>
    <row r="542" spans="1:2" x14ac:dyDescent="0.25">
      <c r="A542" s="19">
        <v>2019</v>
      </c>
      <c r="B542" s="5" t="s">
        <v>1757</v>
      </c>
    </row>
    <row r="543" spans="1:2" x14ac:dyDescent="0.25">
      <c r="A543" s="19">
        <v>2019</v>
      </c>
      <c r="B543" s="5" t="s">
        <v>1758</v>
      </c>
    </row>
    <row r="544" spans="1:2" x14ac:dyDescent="0.25">
      <c r="A544" s="18">
        <v>2019</v>
      </c>
      <c r="B544" s="3" t="s">
        <v>1759</v>
      </c>
    </row>
    <row r="545" spans="1:2" x14ac:dyDescent="0.25">
      <c r="A545" s="18">
        <v>2019</v>
      </c>
      <c r="B545" s="3" t="s">
        <v>1769</v>
      </c>
    </row>
    <row r="546" spans="1:2" x14ac:dyDescent="0.25">
      <c r="A546" s="19">
        <v>2019</v>
      </c>
      <c r="B546" s="5" t="s">
        <v>1770</v>
      </c>
    </row>
    <row r="547" spans="1:2" x14ac:dyDescent="0.25">
      <c r="A547" s="18">
        <v>2019</v>
      </c>
      <c r="B547" s="3" t="s">
        <v>1771</v>
      </c>
    </row>
    <row r="548" spans="1:2" x14ac:dyDescent="0.25">
      <c r="A548" s="18">
        <v>2019</v>
      </c>
      <c r="B548" s="3" t="s">
        <v>1772</v>
      </c>
    </row>
    <row r="549" spans="1:2" x14ac:dyDescent="0.25">
      <c r="A549" s="18">
        <v>2019</v>
      </c>
      <c r="B549" s="3" t="s">
        <v>1775</v>
      </c>
    </row>
    <row r="550" spans="1:2" x14ac:dyDescent="0.25">
      <c r="A550" s="19">
        <v>2019</v>
      </c>
      <c r="B550" s="5" t="s">
        <v>1778</v>
      </c>
    </row>
    <row r="551" spans="1:2" x14ac:dyDescent="0.25">
      <c r="A551" s="18">
        <v>2019</v>
      </c>
      <c r="B551" s="3" t="s">
        <v>1787</v>
      </c>
    </row>
    <row r="552" spans="1:2" x14ac:dyDescent="0.25">
      <c r="A552" s="18">
        <v>2019</v>
      </c>
      <c r="B552" s="3" t="s">
        <v>1790</v>
      </c>
    </row>
    <row r="553" spans="1:2" x14ac:dyDescent="0.25">
      <c r="A553" s="19">
        <v>2019</v>
      </c>
      <c r="B553" s="5" t="s">
        <v>1793</v>
      </c>
    </row>
    <row r="554" spans="1:2" x14ac:dyDescent="0.25">
      <c r="A554" s="19">
        <v>2019</v>
      </c>
      <c r="B554" s="5" t="s">
        <v>1798</v>
      </c>
    </row>
    <row r="555" spans="1:2" x14ac:dyDescent="0.25">
      <c r="A555" s="19">
        <v>2019</v>
      </c>
      <c r="B555" s="5" t="s">
        <v>1800</v>
      </c>
    </row>
    <row r="556" spans="1:2" x14ac:dyDescent="0.25">
      <c r="A556" s="18">
        <v>2019</v>
      </c>
      <c r="B556" s="3" t="s">
        <v>1805</v>
      </c>
    </row>
    <row r="557" spans="1:2" x14ac:dyDescent="0.25">
      <c r="A557" s="19">
        <v>2019</v>
      </c>
      <c r="B557" s="5" t="s">
        <v>1808</v>
      </c>
    </row>
    <row r="558" spans="1:2" x14ac:dyDescent="0.25">
      <c r="A558" s="18">
        <v>2019</v>
      </c>
      <c r="B558" s="3" t="s">
        <v>1811</v>
      </c>
    </row>
    <row r="559" spans="1:2" x14ac:dyDescent="0.25">
      <c r="A559" s="19">
        <v>2019</v>
      </c>
      <c r="B559" s="5" t="s">
        <v>1815</v>
      </c>
    </row>
    <row r="560" spans="1:2" x14ac:dyDescent="0.25">
      <c r="A560" s="19">
        <v>2019</v>
      </c>
      <c r="B560" s="5" t="s">
        <v>1818</v>
      </c>
    </row>
    <row r="561" spans="1:2" x14ac:dyDescent="0.25">
      <c r="A561" s="18">
        <v>2019</v>
      </c>
      <c r="B561" s="3" t="s">
        <v>1820</v>
      </c>
    </row>
    <row r="562" spans="1:2" x14ac:dyDescent="0.25">
      <c r="A562" s="18">
        <v>2019</v>
      </c>
      <c r="B562" s="3" t="s">
        <v>1823</v>
      </c>
    </row>
    <row r="563" spans="1:2" x14ac:dyDescent="0.25">
      <c r="A563" s="19">
        <v>2019</v>
      </c>
      <c r="B563" s="5" t="s">
        <v>1824</v>
      </c>
    </row>
    <row r="564" spans="1:2" x14ac:dyDescent="0.25">
      <c r="A564" s="19">
        <v>2019</v>
      </c>
      <c r="B564" s="5" t="s">
        <v>1831</v>
      </c>
    </row>
    <row r="565" spans="1:2" x14ac:dyDescent="0.25">
      <c r="A565" s="19">
        <v>2019</v>
      </c>
      <c r="B565" s="5" t="s">
        <v>1833</v>
      </c>
    </row>
    <row r="566" spans="1:2" x14ac:dyDescent="0.25">
      <c r="A566" s="19">
        <v>2019</v>
      </c>
      <c r="B566" s="5" t="s">
        <v>1838</v>
      </c>
    </row>
    <row r="567" spans="1:2" x14ac:dyDescent="0.25">
      <c r="A567" s="19">
        <v>2019</v>
      </c>
      <c r="B567" s="5" t="s">
        <v>1841</v>
      </c>
    </row>
    <row r="568" spans="1:2" x14ac:dyDescent="0.25">
      <c r="A568" s="19">
        <v>2019</v>
      </c>
      <c r="B568" s="5" t="s">
        <v>1843</v>
      </c>
    </row>
    <row r="569" spans="1:2" x14ac:dyDescent="0.25">
      <c r="A569" s="18">
        <v>2019</v>
      </c>
      <c r="B569" s="3" t="s">
        <v>1845</v>
      </c>
    </row>
    <row r="570" spans="1:2" x14ac:dyDescent="0.25">
      <c r="A570" s="19">
        <v>2019</v>
      </c>
      <c r="B570" s="5" t="s">
        <v>1848</v>
      </c>
    </row>
    <row r="571" spans="1:2" x14ac:dyDescent="0.25">
      <c r="A571" s="19">
        <v>2019</v>
      </c>
      <c r="B571" s="5" t="s">
        <v>1852</v>
      </c>
    </row>
    <row r="572" spans="1:2" x14ac:dyDescent="0.25">
      <c r="A572" s="18">
        <v>2019</v>
      </c>
      <c r="B572" s="3" t="s">
        <v>1857</v>
      </c>
    </row>
    <row r="573" spans="1:2" x14ac:dyDescent="0.25">
      <c r="A573" s="18">
        <v>2019</v>
      </c>
      <c r="B573" s="3" t="s">
        <v>1863</v>
      </c>
    </row>
    <row r="574" spans="1:2" x14ac:dyDescent="0.25">
      <c r="A574" s="18">
        <v>2019</v>
      </c>
      <c r="B574" s="3" t="s">
        <v>1864</v>
      </c>
    </row>
    <row r="575" spans="1:2" x14ac:dyDescent="0.25">
      <c r="A575" s="19">
        <v>2019</v>
      </c>
      <c r="B575" s="5" t="s">
        <v>1869</v>
      </c>
    </row>
    <row r="576" spans="1:2" x14ac:dyDescent="0.25">
      <c r="A576" s="19">
        <v>2019</v>
      </c>
      <c r="B576" s="5" t="s">
        <v>1872</v>
      </c>
    </row>
    <row r="577" spans="1:2" x14ac:dyDescent="0.25">
      <c r="A577" s="18">
        <v>2019</v>
      </c>
      <c r="B577" s="3" t="s">
        <v>1875</v>
      </c>
    </row>
    <row r="578" spans="1:2" x14ac:dyDescent="0.25">
      <c r="A578" s="18">
        <v>2019</v>
      </c>
      <c r="B578" s="3" t="s">
        <v>1878</v>
      </c>
    </row>
    <row r="579" spans="1:2" x14ac:dyDescent="0.25">
      <c r="A579" s="19">
        <v>2019</v>
      </c>
      <c r="B579" s="5" t="s">
        <v>1883</v>
      </c>
    </row>
    <row r="580" spans="1:2" x14ac:dyDescent="0.25">
      <c r="A580" s="18">
        <v>2019</v>
      </c>
      <c r="B580" s="3" t="s">
        <v>1886</v>
      </c>
    </row>
    <row r="581" spans="1:2" x14ac:dyDescent="0.25">
      <c r="A581" s="19">
        <v>2019</v>
      </c>
      <c r="B581" s="5" t="s">
        <v>1890</v>
      </c>
    </row>
    <row r="582" spans="1:2" x14ac:dyDescent="0.25">
      <c r="A582" s="18">
        <v>2019</v>
      </c>
      <c r="B582" s="3" t="s">
        <v>1891</v>
      </c>
    </row>
    <row r="583" spans="1:2" x14ac:dyDescent="0.25">
      <c r="A583" s="18">
        <v>2019</v>
      </c>
      <c r="B583" s="3" t="s">
        <v>1893</v>
      </c>
    </row>
    <row r="584" spans="1:2" x14ac:dyDescent="0.25">
      <c r="A584" s="19">
        <v>2019</v>
      </c>
      <c r="B584" s="5" t="s">
        <v>1895</v>
      </c>
    </row>
    <row r="585" spans="1:2" x14ac:dyDescent="0.25">
      <c r="A585" s="18">
        <v>2019</v>
      </c>
      <c r="B585" s="3" t="s">
        <v>1897</v>
      </c>
    </row>
    <row r="586" spans="1:2" x14ac:dyDescent="0.25">
      <c r="A586" s="19">
        <v>2019</v>
      </c>
      <c r="B586" s="5" t="s">
        <v>1905</v>
      </c>
    </row>
    <row r="587" spans="1:2" x14ac:dyDescent="0.25">
      <c r="A587" s="18">
        <v>2019</v>
      </c>
      <c r="B587" s="3" t="s">
        <v>1908</v>
      </c>
    </row>
    <row r="588" spans="1:2" x14ac:dyDescent="0.25">
      <c r="A588" s="19">
        <v>2019</v>
      </c>
      <c r="B588" s="5" t="s">
        <v>1909</v>
      </c>
    </row>
    <row r="589" spans="1:2" x14ac:dyDescent="0.25">
      <c r="A589" s="18">
        <v>2019</v>
      </c>
      <c r="B589" s="3" t="s">
        <v>1911</v>
      </c>
    </row>
    <row r="590" spans="1:2" x14ac:dyDescent="0.25">
      <c r="A590" s="18">
        <v>2019</v>
      </c>
      <c r="B590" s="3" t="s">
        <v>1913</v>
      </c>
    </row>
    <row r="591" spans="1:2" x14ac:dyDescent="0.25">
      <c r="A591" s="18">
        <v>2019</v>
      </c>
      <c r="B591" s="3" t="s">
        <v>1914</v>
      </c>
    </row>
    <row r="592" spans="1:2" x14ac:dyDescent="0.25">
      <c r="A592" s="18">
        <v>2019</v>
      </c>
      <c r="B592" s="3" t="s">
        <v>1917</v>
      </c>
    </row>
    <row r="593" spans="1:2" x14ac:dyDescent="0.25">
      <c r="A593" s="19">
        <v>2019</v>
      </c>
      <c r="B593" s="5" t="s">
        <v>1918</v>
      </c>
    </row>
    <row r="594" spans="1:2" x14ac:dyDescent="0.25">
      <c r="A594" s="18">
        <v>2019</v>
      </c>
      <c r="B594" s="3" t="s">
        <v>1919</v>
      </c>
    </row>
    <row r="595" spans="1:2" x14ac:dyDescent="0.25">
      <c r="A595" s="19">
        <v>2019</v>
      </c>
      <c r="B595" s="5" t="s">
        <v>1924</v>
      </c>
    </row>
    <row r="596" spans="1:2" x14ac:dyDescent="0.25">
      <c r="A596" s="19">
        <v>2019</v>
      </c>
      <c r="B596" s="5" t="s">
        <v>1928</v>
      </c>
    </row>
    <row r="597" spans="1:2" x14ac:dyDescent="0.25">
      <c r="A597" s="18">
        <v>2019</v>
      </c>
      <c r="B597" s="3" t="s">
        <v>1936</v>
      </c>
    </row>
    <row r="598" spans="1:2" x14ac:dyDescent="0.25">
      <c r="A598" s="18">
        <v>2019</v>
      </c>
      <c r="B598" s="3" t="s">
        <v>1939</v>
      </c>
    </row>
    <row r="599" spans="1:2" x14ac:dyDescent="0.25">
      <c r="A599" s="19">
        <v>2019</v>
      </c>
      <c r="B599" s="5" t="s">
        <v>1940</v>
      </c>
    </row>
    <row r="600" spans="1:2" x14ac:dyDescent="0.25">
      <c r="A600" s="19">
        <v>2019</v>
      </c>
      <c r="B600" s="5" t="s">
        <v>1946</v>
      </c>
    </row>
    <row r="601" spans="1:2" x14ac:dyDescent="0.25">
      <c r="A601" s="18">
        <v>2019</v>
      </c>
      <c r="B601" s="3" t="s">
        <v>1948</v>
      </c>
    </row>
    <row r="602" spans="1:2" x14ac:dyDescent="0.25">
      <c r="A602" s="18">
        <v>2019</v>
      </c>
      <c r="B602" s="3" t="s">
        <v>1949</v>
      </c>
    </row>
    <row r="603" spans="1:2" x14ac:dyDescent="0.25">
      <c r="A603" s="18">
        <v>2019</v>
      </c>
      <c r="B603" s="3" t="s">
        <v>1950</v>
      </c>
    </row>
    <row r="604" spans="1:2" x14ac:dyDescent="0.25">
      <c r="A604" s="19">
        <v>2019</v>
      </c>
      <c r="B604" s="5" t="s">
        <v>1954</v>
      </c>
    </row>
    <row r="605" spans="1:2" x14ac:dyDescent="0.25">
      <c r="A605" s="18">
        <v>2019</v>
      </c>
      <c r="B605" s="3" t="s">
        <v>1956</v>
      </c>
    </row>
    <row r="606" spans="1:2" x14ac:dyDescent="0.25">
      <c r="A606" s="18">
        <v>2019</v>
      </c>
      <c r="B606" s="3" t="s">
        <v>1959</v>
      </c>
    </row>
    <row r="607" spans="1:2" x14ac:dyDescent="0.25">
      <c r="A607" s="19">
        <v>2019</v>
      </c>
      <c r="B607" s="5" t="s">
        <v>1960</v>
      </c>
    </row>
    <row r="608" spans="1:2" x14ac:dyDescent="0.25">
      <c r="A608" s="19">
        <v>2019</v>
      </c>
      <c r="B608" s="5" t="s">
        <v>1964</v>
      </c>
    </row>
    <row r="609" spans="1:2" x14ac:dyDescent="0.25">
      <c r="A609" s="19">
        <v>2019</v>
      </c>
      <c r="B609" s="5" t="s">
        <v>1967</v>
      </c>
    </row>
    <row r="610" spans="1:2" x14ac:dyDescent="0.25">
      <c r="A610" s="19">
        <v>2019</v>
      </c>
      <c r="B610" s="5" t="s">
        <v>1968</v>
      </c>
    </row>
    <row r="611" spans="1:2" x14ac:dyDescent="0.25">
      <c r="A611" s="18">
        <v>2019</v>
      </c>
      <c r="B611" s="3" t="s">
        <v>1972</v>
      </c>
    </row>
    <row r="612" spans="1:2" x14ac:dyDescent="0.25">
      <c r="A612" s="19">
        <v>2019</v>
      </c>
      <c r="B612" s="5" t="s">
        <v>1975</v>
      </c>
    </row>
    <row r="613" spans="1:2" x14ac:dyDescent="0.25">
      <c r="A613" s="19">
        <v>2019</v>
      </c>
      <c r="B613" s="5" t="s">
        <v>1978</v>
      </c>
    </row>
    <row r="614" spans="1:2" x14ac:dyDescent="0.25">
      <c r="A614" s="18">
        <v>2019</v>
      </c>
      <c r="B614" s="3" t="s">
        <v>1979</v>
      </c>
    </row>
    <row r="615" spans="1:2" x14ac:dyDescent="0.25">
      <c r="A615" s="19">
        <v>2019</v>
      </c>
      <c r="B615" s="5" t="s">
        <v>1985</v>
      </c>
    </row>
    <row r="616" spans="1:2" x14ac:dyDescent="0.25">
      <c r="A616" s="18">
        <v>2019</v>
      </c>
      <c r="B616" s="3" t="s">
        <v>1987</v>
      </c>
    </row>
    <row r="617" spans="1:2" x14ac:dyDescent="0.25">
      <c r="A617" s="18">
        <v>2019</v>
      </c>
      <c r="B617" s="3" t="s">
        <v>1992</v>
      </c>
    </row>
    <row r="618" spans="1:2" x14ac:dyDescent="0.25">
      <c r="A618" s="18">
        <v>2019</v>
      </c>
      <c r="B618" s="3" t="s">
        <v>2002</v>
      </c>
    </row>
    <row r="619" spans="1:2" x14ac:dyDescent="0.25">
      <c r="A619" s="19">
        <v>2019</v>
      </c>
      <c r="B619" s="5" t="s">
        <v>2010</v>
      </c>
    </row>
    <row r="620" spans="1:2" x14ac:dyDescent="0.25">
      <c r="A620" s="18">
        <v>2019</v>
      </c>
      <c r="B620" s="3" t="s">
        <v>2012</v>
      </c>
    </row>
    <row r="621" spans="1:2" x14ac:dyDescent="0.25">
      <c r="A621" s="19">
        <v>2019</v>
      </c>
      <c r="B621" s="5" t="s">
        <v>2022</v>
      </c>
    </row>
    <row r="622" spans="1:2" x14ac:dyDescent="0.25">
      <c r="A622" s="19">
        <v>2019</v>
      </c>
      <c r="B622" s="5" t="s">
        <v>2023</v>
      </c>
    </row>
    <row r="623" spans="1:2" x14ac:dyDescent="0.25">
      <c r="A623" s="19">
        <v>2019</v>
      </c>
      <c r="B623" s="5" t="s">
        <v>2028</v>
      </c>
    </row>
    <row r="624" spans="1:2" x14ac:dyDescent="0.25">
      <c r="A624" s="18">
        <v>2019</v>
      </c>
      <c r="B624" s="3" t="s">
        <v>2031</v>
      </c>
    </row>
    <row r="625" spans="1:2" x14ac:dyDescent="0.25">
      <c r="A625" s="18">
        <v>2019</v>
      </c>
      <c r="B625" s="3" t="s">
        <v>2035</v>
      </c>
    </row>
    <row r="626" spans="1:2" x14ac:dyDescent="0.25">
      <c r="A626" s="19">
        <v>2019</v>
      </c>
      <c r="B626" s="5" t="s">
        <v>2036</v>
      </c>
    </row>
    <row r="627" spans="1:2" x14ac:dyDescent="0.25">
      <c r="A627" s="19">
        <v>2019</v>
      </c>
      <c r="B627" s="5" t="s">
        <v>2038</v>
      </c>
    </row>
    <row r="628" spans="1:2" x14ac:dyDescent="0.25">
      <c r="A628" s="18">
        <v>2019</v>
      </c>
      <c r="B628" s="3" t="s">
        <v>2039</v>
      </c>
    </row>
    <row r="629" spans="1:2" x14ac:dyDescent="0.25">
      <c r="A629" s="18">
        <v>2019</v>
      </c>
      <c r="B629" s="3" t="s">
        <v>2047</v>
      </c>
    </row>
    <row r="630" spans="1:2" x14ac:dyDescent="0.25">
      <c r="A630" s="19">
        <v>2019</v>
      </c>
      <c r="B630" s="5" t="s">
        <v>2051</v>
      </c>
    </row>
    <row r="631" spans="1:2" x14ac:dyDescent="0.25">
      <c r="A631" s="18">
        <v>2019</v>
      </c>
      <c r="B631" s="3" t="s">
        <v>2052</v>
      </c>
    </row>
    <row r="632" spans="1:2" x14ac:dyDescent="0.25">
      <c r="A632" s="19">
        <v>2019</v>
      </c>
      <c r="B632" s="5" t="s">
        <v>2055</v>
      </c>
    </row>
    <row r="633" spans="1:2" x14ac:dyDescent="0.25">
      <c r="A633" s="19">
        <v>2019</v>
      </c>
      <c r="B633" s="5" t="s">
        <v>2058</v>
      </c>
    </row>
    <row r="634" spans="1:2" x14ac:dyDescent="0.25">
      <c r="A634" s="19">
        <v>2019</v>
      </c>
      <c r="B634" s="5" t="s">
        <v>2060</v>
      </c>
    </row>
    <row r="635" spans="1:2" x14ac:dyDescent="0.25">
      <c r="A635" s="18">
        <v>2019</v>
      </c>
      <c r="B635" s="3" t="s">
        <v>2062</v>
      </c>
    </row>
    <row r="636" spans="1:2" x14ac:dyDescent="0.25">
      <c r="A636" s="18">
        <v>2019</v>
      </c>
      <c r="B636" s="3" t="s">
        <v>2065</v>
      </c>
    </row>
    <row r="637" spans="1:2" x14ac:dyDescent="0.25">
      <c r="A637" s="19">
        <v>2019</v>
      </c>
      <c r="B637" s="5" t="s">
        <v>2066</v>
      </c>
    </row>
    <row r="638" spans="1:2" x14ac:dyDescent="0.25">
      <c r="A638" s="18">
        <v>2019</v>
      </c>
      <c r="B638" s="3" t="s">
        <v>2071</v>
      </c>
    </row>
    <row r="639" spans="1:2" x14ac:dyDescent="0.25">
      <c r="A639" s="19">
        <v>2019</v>
      </c>
      <c r="B639" s="5" t="s">
        <v>2073</v>
      </c>
    </row>
    <row r="640" spans="1:2" x14ac:dyDescent="0.25">
      <c r="A640" s="18">
        <v>2020</v>
      </c>
      <c r="B640" s="3" t="s">
        <v>511</v>
      </c>
    </row>
    <row r="641" spans="1:2" x14ac:dyDescent="0.25">
      <c r="A641" s="19">
        <v>2020</v>
      </c>
      <c r="B641" s="5" t="s">
        <v>156</v>
      </c>
    </row>
    <row r="642" spans="1:2" x14ac:dyDescent="0.25">
      <c r="A642" s="18">
        <v>2020</v>
      </c>
      <c r="B642" s="3" t="s">
        <v>905</v>
      </c>
    </row>
    <row r="643" spans="1:2" x14ac:dyDescent="0.25">
      <c r="A643" s="19">
        <v>2020</v>
      </c>
      <c r="B643" s="5" t="s">
        <v>2077</v>
      </c>
    </row>
    <row r="644" spans="1:2" x14ac:dyDescent="0.25">
      <c r="A644" s="18">
        <v>2020</v>
      </c>
      <c r="B644" s="3" t="s">
        <v>2051</v>
      </c>
    </row>
    <row r="645" spans="1:2" x14ac:dyDescent="0.25">
      <c r="A645" s="19">
        <v>2020</v>
      </c>
      <c r="B645" s="5" t="s">
        <v>504</v>
      </c>
    </row>
    <row r="646" spans="1:2" x14ac:dyDescent="0.25">
      <c r="A646" s="19">
        <v>2020</v>
      </c>
      <c r="B646" s="5" t="s">
        <v>1520</v>
      </c>
    </row>
    <row r="647" spans="1:2" x14ac:dyDescent="0.25">
      <c r="A647" s="18">
        <v>2020</v>
      </c>
      <c r="B647" s="3" t="s">
        <v>2079</v>
      </c>
    </row>
    <row r="648" spans="1:2" x14ac:dyDescent="0.25">
      <c r="A648" s="18">
        <v>2020</v>
      </c>
      <c r="B648" s="3" t="s">
        <v>1488</v>
      </c>
    </row>
    <row r="649" spans="1:2" x14ac:dyDescent="0.25">
      <c r="A649" s="18">
        <v>2020</v>
      </c>
      <c r="B649" s="3" t="s">
        <v>1959</v>
      </c>
    </row>
    <row r="650" spans="1:2" x14ac:dyDescent="0.25">
      <c r="A650" s="19">
        <v>2020</v>
      </c>
      <c r="B650" s="5" t="s">
        <v>1695</v>
      </c>
    </row>
    <row r="651" spans="1:2" x14ac:dyDescent="0.25">
      <c r="A651" s="19">
        <v>2020</v>
      </c>
      <c r="B651" s="5" t="s">
        <v>2082</v>
      </c>
    </row>
    <row r="652" spans="1:2" x14ac:dyDescent="0.25">
      <c r="A652" s="18">
        <v>2020</v>
      </c>
      <c r="B652" s="3" t="s">
        <v>812</v>
      </c>
    </row>
    <row r="653" spans="1:2" x14ac:dyDescent="0.25">
      <c r="A653" s="19">
        <v>2020</v>
      </c>
      <c r="B653" s="5" t="s">
        <v>612</v>
      </c>
    </row>
    <row r="654" spans="1:2" x14ac:dyDescent="0.25">
      <c r="A654" s="18">
        <v>2020</v>
      </c>
      <c r="B654" s="3" t="s">
        <v>2083</v>
      </c>
    </row>
    <row r="655" spans="1:2" x14ac:dyDescent="0.25">
      <c r="A655" s="19">
        <v>2020</v>
      </c>
      <c r="B655" s="5" t="s">
        <v>1240</v>
      </c>
    </row>
    <row r="656" spans="1:2" x14ac:dyDescent="0.25">
      <c r="A656" s="18">
        <v>2020</v>
      </c>
      <c r="B656" s="3" t="s">
        <v>2084</v>
      </c>
    </row>
    <row r="657" spans="1:2" x14ac:dyDescent="0.25">
      <c r="A657" s="18">
        <v>2020</v>
      </c>
      <c r="B657" s="3" t="s">
        <v>518</v>
      </c>
    </row>
    <row r="658" spans="1:2" x14ac:dyDescent="0.25">
      <c r="A658" s="18">
        <v>2020</v>
      </c>
      <c r="B658" s="3" t="s">
        <v>308</v>
      </c>
    </row>
    <row r="659" spans="1:2" x14ac:dyDescent="0.25">
      <c r="A659" s="19">
        <v>2020</v>
      </c>
      <c r="B659" s="5" t="s">
        <v>2087</v>
      </c>
    </row>
    <row r="660" spans="1:2" x14ac:dyDescent="0.25">
      <c r="A660" s="18">
        <v>2020</v>
      </c>
      <c r="B660" s="3" t="s">
        <v>2088</v>
      </c>
    </row>
    <row r="661" spans="1:2" x14ac:dyDescent="0.25">
      <c r="A661" s="19">
        <v>2020</v>
      </c>
      <c r="B661" s="5" t="s">
        <v>1678</v>
      </c>
    </row>
    <row r="662" spans="1:2" x14ac:dyDescent="0.25">
      <c r="A662" s="19">
        <v>2020</v>
      </c>
      <c r="B662" s="5" t="s">
        <v>732</v>
      </c>
    </row>
    <row r="663" spans="1:2" x14ac:dyDescent="0.25">
      <c r="A663" s="18">
        <v>2020</v>
      </c>
      <c r="B663" s="3" t="s">
        <v>160</v>
      </c>
    </row>
    <row r="664" spans="1:2" x14ac:dyDescent="0.25">
      <c r="A664" s="19">
        <v>2020</v>
      </c>
      <c r="B664" s="5" t="s">
        <v>949</v>
      </c>
    </row>
    <row r="665" spans="1:2" x14ac:dyDescent="0.25">
      <c r="A665" s="19">
        <v>2020</v>
      </c>
      <c r="B665" s="5" t="s">
        <v>699</v>
      </c>
    </row>
    <row r="666" spans="1:2" x14ac:dyDescent="0.25">
      <c r="A666" s="18">
        <v>2020</v>
      </c>
      <c r="B666" s="3" t="s">
        <v>855</v>
      </c>
    </row>
    <row r="667" spans="1:2" x14ac:dyDescent="0.25">
      <c r="A667" s="18">
        <v>2020</v>
      </c>
      <c r="B667" s="3" t="s">
        <v>1666</v>
      </c>
    </row>
    <row r="668" spans="1:2" x14ac:dyDescent="0.25">
      <c r="A668" s="19">
        <v>2020</v>
      </c>
      <c r="B668" s="5" t="s">
        <v>55</v>
      </c>
    </row>
    <row r="669" spans="1:2" x14ac:dyDescent="0.25">
      <c r="A669" s="19">
        <v>2020</v>
      </c>
      <c r="B669" s="5" t="s">
        <v>586</v>
      </c>
    </row>
    <row r="670" spans="1:2" x14ac:dyDescent="0.25">
      <c r="A670" s="18">
        <v>2020</v>
      </c>
      <c r="B670" s="3" t="s">
        <v>1914</v>
      </c>
    </row>
    <row r="671" spans="1:2" x14ac:dyDescent="0.25">
      <c r="A671" s="19">
        <v>2020</v>
      </c>
      <c r="B671" s="5" t="s">
        <v>292</v>
      </c>
    </row>
    <row r="672" spans="1:2" x14ac:dyDescent="0.25">
      <c r="A672" s="18">
        <v>2020</v>
      </c>
      <c r="B672" s="3" t="s">
        <v>815</v>
      </c>
    </row>
    <row r="673" spans="1:2" x14ac:dyDescent="0.25">
      <c r="A673" s="19">
        <v>2020</v>
      </c>
      <c r="B673" s="5" t="s">
        <v>817</v>
      </c>
    </row>
    <row r="674" spans="1:2" x14ac:dyDescent="0.25">
      <c r="A674" s="18">
        <v>2020</v>
      </c>
      <c r="B674" s="3" t="s">
        <v>2098</v>
      </c>
    </row>
    <row r="675" spans="1:2" x14ac:dyDescent="0.25">
      <c r="A675" s="19">
        <v>2020</v>
      </c>
      <c r="B675" s="5" t="s">
        <v>154</v>
      </c>
    </row>
    <row r="676" spans="1:2" x14ac:dyDescent="0.25">
      <c r="A676" s="18">
        <v>2020</v>
      </c>
      <c r="B676" s="3" t="s">
        <v>1668</v>
      </c>
    </row>
    <row r="677" spans="1:2" x14ac:dyDescent="0.25">
      <c r="A677" s="18">
        <v>2020</v>
      </c>
      <c r="B677" s="3" t="s">
        <v>2099</v>
      </c>
    </row>
    <row r="678" spans="1:2" x14ac:dyDescent="0.25">
      <c r="A678" s="19">
        <v>2020</v>
      </c>
      <c r="B678" s="5" t="s">
        <v>1404</v>
      </c>
    </row>
    <row r="679" spans="1:2" x14ac:dyDescent="0.25">
      <c r="A679" s="18">
        <v>2020</v>
      </c>
      <c r="B679" s="3" t="s">
        <v>224</v>
      </c>
    </row>
    <row r="680" spans="1:2" x14ac:dyDescent="0.25">
      <c r="A680" s="18">
        <v>2020</v>
      </c>
      <c r="B680" s="3" t="s">
        <v>1811</v>
      </c>
    </row>
    <row r="681" spans="1:2" x14ac:dyDescent="0.25">
      <c r="A681" s="18">
        <v>2020</v>
      </c>
      <c r="B681" s="3" t="s">
        <v>2103</v>
      </c>
    </row>
    <row r="682" spans="1:2" x14ac:dyDescent="0.25">
      <c r="A682" s="18">
        <v>2020</v>
      </c>
      <c r="B682" s="3" t="s">
        <v>414</v>
      </c>
    </row>
    <row r="683" spans="1:2" x14ac:dyDescent="0.25">
      <c r="A683" s="18">
        <v>2020</v>
      </c>
      <c r="B683" s="3" t="s">
        <v>2106</v>
      </c>
    </row>
    <row r="684" spans="1:2" x14ac:dyDescent="0.25">
      <c r="A684" s="19">
        <v>2020</v>
      </c>
      <c r="B684" s="5" t="s">
        <v>1140</v>
      </c>
    </row>
    <row r="685" spans="1:2" x14ac:dyDescent="0.25">
      <c r="A685" s="18">
        <v>2020</v>
      </c>
      <c r="B685" s="3" t="s">
        <v>1893</v>
      </c>
    </row>
    <row r="686" spans="1:2" x14ac:dyDescent="0.25">
      <c r="A686" s="19">
        <v>2020</v>
      </c>
      <c r="B686" s="5" t="s">
        <v>1573</v>
      </c>
    </row>
    <row r="687" spans="1:2" x14ac:dyDescent="0.25">
      <c r="A687" s="19">
        <v>2020</v>
      </c>
      <c r="B687" s="5" t="s">
        <v>1203</v>
      </c>
    </row>
    <row r="688" spans="1:2" x14ac:dyDescent="0.25">
      <c r="A688" s="19">
        <v>2020</v>
      </c>
      <c r="B688" s="5" t="s">
        <v>2108</v>
      </c>
    </row>
    <row r="689" spans="1:2" x14ac:dyDescent="0.25">
      <c r="A689" s="19">
        <v>2020</v>
      </c>
      <c r="B689" s="5" t="s">
        <v>2039</v>
      </c>
    </row>
    <row r="690" spans="1:2" x14ac:dyDescent="0.25">
      <c r="A690" s="18">
        <v>2020</v>
      </c>
      <c r="B690" s="3" t="s">
        <v>375</v>
      </c>
    </row>
    <row r="691" spans="1:2" x14ac:dyDescent="0.25">
      <c r="A691" s="18">
        <v>2020</v>
      </c>
      <c r="B691" s="3" t="s">
        <v>1818</v>
      </c>
    </row>
    <row r="692" spans="1:2" x14ac:dyDescent="0.25">
      <c r="A692" s="19">
        <v>2020</v>
      </c>
      <c r="B692" s="5" t="s">
        <v>2110</v>
      </c>
    </row>
    <row r="693" spans="1:2" x14ac:dyDescent="0.25">
      <c r="A693" s="19">
        <v>2020</v>
      </c>
      <c r="B693" s="5" t="s">
        <v>1473</v>
      </c>
    </row>
    <row r="694" spans="1:2" x14ac:dyDescent="0.25">
      <c r="A694" s="19">
        <v>2020</v>
      </c>
      <c r="B694" s="5" t="s">
        <v>2112</v>
      </c>
    </row>
    <row r="695" spans="1:2" x14ac:dyDescent="0.25">
      <c r="A695" s="18">
        <v>2020</v>
      </c>
      <c r="B695" s="3" t="s">
        <v>356</v>
      </c>
    </row>
    <row r="696" spans="1:2" x14ac:dyDescent="0.25">
      <c r="A696" s="19">
        <v>2020</v>
      </c>
      <c r="B696" s="5" t="s">
        <v>720</v>
      </c>
    </row>
    <row r="697" spans="1:2" x14ac:dyDescent="0.25">
      <c r="A697" s="18">
        <v>2020</v>
      </c>
      <c r="B697" s="3" t="s">
        <v>1333</v>
      </c>
    </row>
    <row r="698" spans="1:2" x14ac:dyDescent="0.25">
      <c r="A698" s="18">
        <v>2020</v>
      </c>
      <c r="B698" s="3" t="s">
        <v>1905</v>
      </c>
    </row>
    <row r="699" spans="1:2" x14ac:dyDescent="0.25">
      <c r="A699" s="19">
        <v>2020</v>
      </c>
      <c r="B699" s="5" t="s">
        <v>377</v>
      </c>
    </row>
    <row r="700" spans="1:2" x14ac:dyDescent="0.25">
      <c r="A700" s="18">
        <v>2020</v>
      </c>
      <c r="B700" s="3" t="s">
        <v>395</v>
      </c>
    </row>
    <row r="701" spans="1:2" x14ac:dyDescent="0.25">
      <c r="A701" s="19">
        <v>2020</v>
      </c>
      <c r="B701" s="5" t="s">
        <v>1006</v>
      </c>
    </row>
    <row r="702" spans="1:2" x14ac:dyDescent="0.25">
      <c r="A702" s="18">
        <v>2020</v>
      </c>
      <c r="B702" s="3" t="s">
        <v>581</v>
      </c>
    </row>
    <row r="703" spans="1:2" x14ac:dyDescent="0.25">
      <c r="A703" s="19">
        <v>2020</v>
      </c>
      <c r="B703" s="5" t="s">
        <v>702</v>
      </c>
    </row>
    <row r="704" spans="1:2" x14ac:dyDescent="0.25">
      <c r="A704" s="18">
        <v>2020</v>
      </c>
      <c r="B704" s="3" t="s">
        <v>275</v>
      </c>
    </row>
    <row r="705" spans="1:2" x14ac:dyDescent="0.25">
      <c r="A705" s="19">
        <v>2020</v>
      </c>
      <c r="B705" s="5" t="s">
        <v>1677</v>
      </c>
    </row>
    <row r="706" spans="1:2" x14ac:dyDescent="0.25">
      <c r="A706" s="18">
        <v>2020</v>
      </c>
      <c r="B706" s="3" t="s">
        <v>1464</v>
      </c>
    </row>
    <row r="707" spans="1:2" x14ac:dyDescent="0.25">
      <c r="A707" s="19">
        <v>2020</v>
      </c>
      <c r="B707" s="5" t="s">
        <v>1336</v>
      </c>
    </row>
    <row r="708" spans="1:2" x14ac:dyDescent="0.25">
      <c r="A708" s="18">
        <v>2020</v>
      </c>
      <c r="B708" s="3" t="s">
        <v>734</v>
      </c>
    </row>
    <row r="709" spans="1:2" x14ac:dyDescent="0.25">
      <c r="A709" s="19">
        <v>2020</v>
      </c>
      <c r="B709" s="5" t="s">
        <v>28</v>
      </c>
    </row>
    <row r="710" spans="1:2" x14ac:dyDescent="0.25">
      <c r="A710" s="18">
        <v>2020</v>
      </c>
      <c r="B710" s="3" t="s">
        <v>1652</v>
      </c>
    </row>
    <row r="711" spans="1:2" x14ac:dyDescent="0.25">
      <c r="A711" s="19">
        <v>2020</v>
      </c>
      <c r="B711" s="5" t="s">
        <v>238</v>
      </c>
    </row>
    <row r="712" spans="1:2" x14ac:dyDescent="0.25">
      <c r="A712" s="18">
        <v>2020</v>
      </c>
      <c r="B712" s="3" t="s">
        <v>2036</v>
      </c>
    </row>
    <row r="713" spans="1:2" x14ac:dyDescent="0.25">
      <c r="A713" s="18">
        <v>2020</v>
      </c>
      <c r="B713" s="3" t="s">
        <v>1153</v>
      </c>
    </row>
    <row r="714" spans="1:2" x14ac:dyDescent="0.25">
      <c r="A714" s="19">
        <v>2020</v>
      </c>
      <c r="B714" s="5" t="s">
        <v>1936</v>
      </c>
    </row>
    <row r="715" spans="1:2" x14ac:dyDescent="0.25">
      <c r="A715" s="19">
        <v>2020</v>
      </c>
      <c r="B715" s="5" t="s">
        <v>437</v>
      </c>
    </row>
    <row r="716" spans="1:2" x14ac:dyDescent="0.25">
      <c r="A716" s="19">
        <v>2020</v>
      </c>
      <c r="B716" s="5" t="s">
        <v>433</v>
      </c>
    </row>
    <row r="717" spans="1:2" x14ac:dyDescent="0.25">
      <c r="A717" s="19">
        <v>2020</v>
      </c>
      <c r="B717" s="5" t="s">
        <v>498</v>
      </c>
    </row>
    <row r="718" spans="1:2" x14ac:dyDescent="0.25">
      <c r="A718" s="18">
        <v>2020</v>
      </c>
      <c r="B718" s="3" t="s">
        <v>1125</v>
      </c>
    </row>
    <row r="719" spans="1:2" x14ac:dyDescent="0.25">
      <c r="A719" s="18">
        <v>2020</v>
      </c>
      <c r="B719" s="3" t="s">
        <v>1444</v>
      </c>
    </row>
    <row r="720" spans="1:2" x14ac:dyDescent="0.25">
      <c r="A720" s="19">
        <v>2020</v>
      </c>
      <c r="B720" s="5" t="s">
        <v>2123</v>
      </c>
    </row>
    <row r="721" spans="1:2" x14ac:dyDescent="0.25">
      <c r="A721" s="18">
        <v>2020</v>
      </c>
      <c r="B721" s="3" t="s">
        <v>1500</v>
      </c>
    </row>
    <row r="722" spans="1:2" x14ac:dyDescent="0.25">
      <c r="A722" s="18">
        <v>2020</v>
      </c>
      <c r="B722" s="3" t="s">
        <v>1979</v>
      </c>
    </row>
    <row r="723" spans="1:2" x14ac:dyDescent="0.25">
      <c r="A723" s="19">
        <v>2020</v>
      </c>
      <c r="B723" s="5" t="s">
        <v>850</v>
      </c>
    </row>
    <row r="724" spans="1:2" x14ac:dyDescent="0.25">
      <c r="A724" s="18">
        <v>2020</v>
      </c>
      <c r="B724" s="3" t="s">
        <v>2124</v>
      </c>
    </row>
    <row r="725" spans="1:2" x14ac:dyDescent="0.25">
      <c r="A725" s="19">
        <v>2020</v>
      </c>
      <c r="B725" s="5" t="s">
        <v>1594</v>
      </c>
    </row>
    <row r="726" spans="1:2" x14ac:dyDescent="0.25">
      <c r="A726" s="18">
        <v>2020</v>
      </c>
      <c r="B726" s="3" t="s">
        <v>1741</v>
      </c>
    </row>
    <row r="727" spans="1:2" x14ac:dyDescent="0.25">
      <c r="A727" s="19">
        <v>2020</v>
      </c>
      <c r="B727" s="5" t="s">
        <v>1416</v>
      </c>
    </row>
    <row r="728" spans="1:2" x14ac:dyDescent="0.25">
      <c r="A728" s="19">
        <v>2020</v>
      </c>
      <c r="B728" s="5" t="s">
        <v>1928</v>
      </c>
    </row>
    <row r="729" spans="1:2" x14ac:dyDescent="0.25">
      <c r="A729" s="18">
        <v>2020</v>
      </c>
      <c r="B729" s="3" t="s">
        <v>2126</v>
      </c>
    </row>
    <row r="730" spans="1:2" x14ac:dyDescent="0.25">
      <c r="A730" s="19">
        <v>2020</v>
      </c>
      <c r="B730" s="5" t="s">
        <v>1244</v>
      </c>
    </row>
    <row r="731" spans="1:2" x14ac:dyDescent="0.25">
      <c r="A731" s="18">
        <v>2020</v>
      </c>
      <c r="B731" s="3" t="s">
        <v>918</v>
      </c>
    </row>
    <row r="732" spans="1:2" x14ac:dyDescent="0.25">
      <c r="A732" s="18">
        <v>2020</v>
      </c>
      <c r="B732" s="3" t="s">
        <v>2128</v>
      </c>
    </row>
    <row r="733" spans="1:2" x14ac:dyDescent="0.25">
      <c r="A733" s="19">
        <v>2020</v>
      </c>
      <c r="B733" s="5" t="s">
        <v>1250</v>
      </c>
    </row>
    <row r="734" spans="1:2" x14ac:dyDescent="0.25">
      <c r="A734" s="18">
        <v>2020</v>
      </c>
      <c r="B734" s="3" t="s">
        <v>1734</v>
      </c>
    </row>
    <row r="735" spans="1:2" x14ac:dyDescent="0.25">
      <c r="A735" s="18">
        <v>2020</v>
      </c>
      <c r="B735" s="3" t="s">
        <v>588</v>
      </c>
    </row>
    <row r="736" spans="1:2" x14ac:dyDescent="0.25">
      <c r="A736" s="19">
        <v>2020</v>
      </c>
      <c r="B736" s="5" t="s">
        <v>2131</v>
      </c>
    </row>
    <row r="737" spans="1:2" x14ac:dyDescent="0.25">
      <c r="A737" s="18">
        <v>2020</v>
      </c>
      <c r="B737" s="3" t="s">
        <v>636</v>
      </c>
    </row>
    <row r="738" spans="1:2" x14ac:dyDescent="0.25">
      <c r="A738" s="19">
        <v>2020</v>
      </c>
      <c r="B738" s="5" t="s">
        <v>1348</v>
      </c>
    </row>
    <row r="739" spans="1:2" x14ac:dyDescent="0.25">
      <c r="A739" s="18">
        <v>2020</v>
      </c>
      <c r="B739" s="3" t="s">
        <v>2135</v>
      </c>
    </row>
    <row r="740" spans="1:2" x14ac:dyDescent="0.25">
      <c r="A740" s="18">
        <v>2020</v>
      </c>
      <c r="B740" s="3" t="s">
        <v>1366</v>
      </c>
    </row>
    <row r="741" spans="1:2" x14ac:dyDescent="0.25">
      <c r="A741" s="19">
        <v>2020</v>
      </c>
      <c r="B741" s="5" t="s">
        <v>1637</v>
      </c>
    </row>
    <row r="742" spans="1:2" x14ac:dyDescent="0.25">
      <c r="A742" s="18">
        <v>2020</v>
      </c>
      <c r="B742" s="3" t="s">
        <v>1753</v>
      </c>
    </row>
    <row r="743" spans="1:2" x14ac:dyDescent="0.25">
      <c r="A743" s="18">
        <v>2020</v>
      </c>
      <c r="B743" s="3" t="s">
        <v>1293</v>
      </c>
    </row>
    <row r="744" spans="1:2" x14ac:dyDescent="0.25">
      <c r="A744" s="18">
        <v>2020</v>
      </c>
      <c r="B744" s="3" t="s">
        <v>1378</v>
      </c>
    </row>
    <row r="745" spans="1:2" x14ac:dyDescent="0.25">
      <c r="A745" s="18">
        <v>2020</v>
      </c>
      <c r="B745" s="3" t="s">
        <v>390</v>
      </c>
    </row>
    <row r="746" spans="1:2" x14ac:dyDescent="0.25">
      <c r="A746" s="18">
        <v>2020</v>
      </c>
      <c r="B746" s="3" t="s">
        <v>1757</v>
      </c>
    </row>
    <row r="747" spans="1:2" x14ac:dyDescent="0.25">
      <c r="A747" s="19">
        <v>2020</v>
      </c>
      <c r="B747" s="5" t="s">
        <v>240</v>
      </c>
    </row>
    <row r="748" spans="1:2" x14ac:dyDescent="0.25">
      <c r="A748" s="18">
        <v>2020</v>
      </c>
      <c r="B748" s="3" t="s">
        <v>2142</v>
      </c>
    </row>
    <row r="749" spans="1:2" x14ac:dyDescent="0.25">
      <c r="A749" s="19">
        <v>2020</v>
      </c>
      <c r="B749" s="5" t="s">
        <v>565</v>
      </c>
    </row>
    <row r="750" spans="1:2" x14ac:dyDescent="0.25">
      <c r="A750" s="19">
        <v>2020</v>
      </c>
      <c r="B750" s="5" t="s">
        <v>135</v>
      </c>
    </row>
    <row r="751" spans="1:2" x14ac:dyDescent="0.25">
      <c r="A751" s="18">
        <v>2020</v>
      </c>
      <c r="B751" s="3" t="s">
        <v>401</v>
      </c>
    </row>
    <row r="752" spans="1:2" x14ac:dyDescent="0.25">
      <c r="A752" s="18">
        <v>2020</v>
      </c>
      <c r="B752" s="3" t="s">
        <v>2144</v>
      </c>
    </row>
    <row r="753" spans="1:2" x14ac:dyDescent="0.25">
      <c r="A753" s="19">
        <v>2020</v>
      </c>
      <c r="B753" s="5" t="s">
        <v>456</v>
      </c>
    </row>
    <row r="754" spans="1:2" x14ac:dyDescent="0.25">
      <c r="A754" s="18">
        <v>2020</v>
      </c>
      <c r="B754" s="3" t="s">
        <v>130</v>
      </c>
    </row>
    <row r="755" spans="1:2" x14ac:dyDescent="0.25">
      <c r="A755" s="19">
        <v>2020</v>
      </c>
      <c r="B755" s="5" t="s">
        <v>1475</v>
      </c>
    </row>
    <row r="756" spans="1:2" x14ac:dyDescent="0.25">
      <c r="A756" s="18">
        <v>2020</v>
      </c>
      <c r="B756" s="3" t="s">
        <v>2073</v>
      </c>
    </row>
    <row r="757" spans="1:2" x14ac:dyDescent="0.25">
      <c r="A757" s="18">
        <v>2020</v>
      </c>
      <c r="B757" s="3" t="s">
        <v>2147</v>
      </c>
    </row>
    <row r="758" spans="1:2" x14ac:dyDescent="0.25">
      <c r="A758" s="19">
        <v>2020</v>
      </c>
      <c r="B758" s="5" t="s">
        <v>737</v>
      </c>
    </row>
    <row r="759" spans="1:2" x14ac:dyDescent="0.25">
      <c r="A759" s="18">
        <v>2020</v>
      </c>
      <c r="B759" s="3" t="s">
        <v>946</v>
      </c>
    </row>
    <row r="760" spans="1:2" x14ac:dyDescent="0.25">
      <c r="A760" s="19">
        <v>2020</v>
      </c>
      <c r="B760" s="5" t="s">
        <v>416</v>
      </c>
    </row>
    <row r="761" spans="1:2" x14ac:dyDescent="0.25">
      <c r="A761" s="18">
        <v>2020</v>
      </c>
      <c r="B761" s="3" t="s">
        <v>2150</v>
      </c>
    </row>
    <row r="762" spans="1:2" x14ac:dyDescent="0.25">
      <c r="A762" s="18">
        <v>2020</v>
      </c>
      <c r="B762" s="3" t="s">
        <v>1458</v>
      </c>
    </row>
    <row r="763" spans="1:2" x14ac:dyDescent="0.25">
      <c r="A763" s="18">
        <v>2020</v>
      </c>
      <c r="B763" s="3" t="s">
        <v>1706</v>
      </c>
    </row>
    <row r="764" spans="1:2" x14ac:dyDescent="0.25">
      <c r="A764" s="19">
        <v>2020</v>
      </c>
      <c r="B764" s="5" t="s">
        <v>2151</v>
      </c>
    </row>
    <row r="765" spans="1:2" x14ac:dyDescent="0.25">
      <c r="A765" s="19">
        <v>2020</v>
      </c>
      <c r="B765" s="5" t="s">
        <v>872</v>
      </c>
    </row>
    <row r="766" spans="1:2" x14ac:dyDescent="0.25">
      <c r="A766" s="19">
        <v>2020</v>
      </c>
      <c r="B766" s="5" t="s">
        <v>1213</v>
      </c>
    </row>
    <row r="767" spans="1:2" x14ac:dyDescent="0.25">
      <c r="A767" s="19">
        <v>2020</v>
      </c>
      <c r="B767" s="5" t="s">
        <v>848</v>
      </c>
    </row>
    <row r="768" spans="1:2" x14ac:dyDescent="0.25">
      <c r="A768" s="18">
        <v>2020</v>
      </c>
      <c r="B768" s="3" t="s">
        <v>1919</v>
      </c>
    </row>
    <row r="769" spans="1:2" x14ac:dyDescent="0.25">
      <c r="A769" s="18">
        <v>2020</v>
      </c>
      <c r="B769" s="3" t="s">
        <v>2155</v>
      </c>
    </row>
    <row r="770" spans="1:2" x14ac:dyDescent="0.25">
      <c r="A770" s="18">
        <v>2020</v>
      </c>
      <c r="B770" s="3" t="s">
        <v>137</v>
      </c>
    </row>
    <row r="771" spans="1:2" x14ac:dyDescent="0.25">
      <c r="A771" s="18">
        <v>2020</v>
      </c>
      <c r="B771" s="3" t="s">
        <v>646</v>
      </c>
    </row>
    <row r="772" spans="1:2" x14ac:dyDescent="0.25">
      <c r="A772" s="19">
        <v>2020</v>
      </c>
      <c r="B772" s="5" t="s">
        <v>1731</v>
      </c>
    </row>
    <row r="773" spans="1:2" x14ac:dyDescent="0.25">
      <c r="A773" s="19">
        <v>2020</v>
      </c>
      <c r="B773" s="5" t="s">
        <v>296</v>
      </c>
    </row>
    <row r="774" spans="1:2" x14ac:dyDescent="0.25">
      <c r="A774" s="19">
        <v>2020</v>
      </c>
      <c r="B774" s="5" t="s">
        <v>2158</v>
      </c>
    </row>
    <row r="775" spans="1:2" x14ac:dyDescent="0.25">
      <c r="A775" s="18">
        <v>2020</v>
      </c>
      <c r="B775" s="3" t="s">
        <v>177</v>
      </c>
    </row>
    <row r="776" spans="1:2" x14ac:dyDescent="0.25">
      <c r="A776" s="18">
        <v>2020</v>
      </c>
      <c r="B776" s="3" t="s">
        <v>887</v>
      </c>
    </row>
    <row r="777" spans="1:2" x14ac:dyDescent="0.25">
      <c r="A777" s="19">
        <v>2020</v>
      </c>
      <c r="B777" s="5" t="s">
        <v>2022</v>
      </c>
    </row>
    <row r="778" spans="1:2" x14ac:dyDescent="0.25">
      <c r="A778" s="19">
        <v>2020</v>
      </c>
      <c r="B778" s="5" t="s">
        <v>331</v>
      </c>
    </row>
    <row r="779" spans="1:2" x14ac:dyDescent="0.25">
      <c r="A779" s="18">
        <v>2020</v>
      </c>
      <c r="B779" s="3" t="s">
        <v>268</v>
      </c>
    </row>
    <row r="780" spans="1:2" x14ac:dyDescent="0.25">
      <c r="A780" s="19">
        <v>2020</v>
      </c>
      <c r="B780" s="5" t="s">
        <v>1770</v>
      </c>
    </row>
    <row r="781" spans="1:2" x14ac:dyDescent="0.25">
      <c r="A781" s="18">
        <v>2020</v>
      </c>
      <c r="B781" s="3" t="s">
        <v>779</v>
      </c>
    </row>
    <row r="782" spans="1:2" x14ac:dyDescent="0.25">
      <c r="A782" s="19">
        <v>2020</v>
      </c>
      <c r="B782" s="5" t="s">
        <v>1524</v>
      </c>
    </row>
    <row r="783" spans="1:2" x14ac:dyDescent="0.25">
      <c r="A783" s="19">
        <v>2020</v>
      </c>
      <c r="B783" s="5" t="s">
        <v>1624</v>
      </c>
    </row>
    <row r="784" spans="1:2" x14ac:dyDescent="0.25">
      <c r="A784" s="18">
        <v>2020</v>
      </c>
      <c r="B784" s="3" t="s">
        <v>1515</v>
      </c>
    </row>
    <row r="785" spans="1:2" x14ac:dyDescent="0.25">
      <c r="A785" s="18">
        <v>2020</v>
      </c>
      <c r="B785" s="3" t="s">
        <v>2165</v>
      </c>
    </row>
    <row r="786" spans="1:2" x14ac:dyDescent="0.25">
      <c r="A786" s="18">
        <v>2020</v>
      </c>
      <c r="B786" s="3" t="s">
        <v>283</v>
      </c>
    </row>
    <row r="787" spans="1:2" x14ac:dyDescent="0.25">
      <c r="A787" s="19">
        <v>2020</v>
      </c>
      <c r="B787" s="5" t="s">
        <v>1056</v>
      </c>
    </row>
    <row r="788" spans="1:2" x14ac:dyDescent="0.25">
      <c r="A788" s="19">
        <v>2020</v>
      </c>
      <c r="B788" s="5" t="s">
        <v>710</v>
      </c>
    </row>
    <row r="789" spans="1:2" x14ac:dyDescent="0.25">
      <c r="A789" s="19">
        <v>2020</v>
      </c>
      <c r="B789" s="5" t="s">
        <v>69</v>
      </c>
    </row>
    <row r="790" spans="1:2" x14ac:dyDescent="0.25">
      <c r="A790" s="18">
        <v>2020</v>
      </c>
      <c r="B790" s="3" t="s">
        <v>2169</v>
      </c>
    </row>
    <row r="791" spans="1:2" x14ac:dyDescent="0.25">
      <c r="A791" s="18">
        <v>2020</v>
      </c>
      <c r="B791" s="3" t="s">
        <v>1015</v>
      </c>
    </row>
    <row r="792" spans="1:2" x14ac:dyDescent="0.25">
      <c r="A792" s="19">
        <v>2020</v>
      </c>
      <c r="B792" s="5" t="s">
        <v>1157</v>
      </c>
    </row>
    <row r="793" spans="1:2" x14ac:dyDescent="0.25">
      <c r="A793" s="19">
        <v>2020</v>
      </c>
      <c r="B793" s="5" t="s">
        <v>73</v>
      </c>
    </row>
    <row r="794" spans="1:2" x14ac:dyDescent="0.25">
      <c r="A794" s="19">
        <v>2020</v>
      </c>
      <c r="B794" s="5" t="s">
        <v>1291</v>
      </c>
    </row>
    <row r="795" spans="1:2" x14ac:dyDescent="0.25">
      <c r="A795" s="18">
        <v>2020</v>
      </c>
      <c r="B795" s="3" t="s">
        <v>379</v>
      </c>
    </row>
    <row r="796" spans="1:2" x14ac:dyDescent="0.25">
      <c r="A796" s="19">
        <v>2020</v>
      </c>
      <c r="B796" s="5" t="s">
        <v>187</v>
      </c>
    </row>
    <row r="797" spans="1:2" x14ac:dyDescent="0.25">
      <c r="A797" s="18">
        <v>2020</v>
      </c>
      <c r="B797" s="3" t="s">
        <v>1604</v>
      </c>
    </row>
    <row r="798" spans="1:2" x14ac:dyDescent="0.25">
      <c r="A798" s="18">
        <v>2020</v>
      </c>
      <c r="B798" s="3" t="s">
        <v>2174</v>
      </c>
    </row>
    <row r="799" spans="1:2" x14ac:dyDescent="0.25">
      <c r="A799" s="18">
        <v>2020</v>
      </c>
      <c r="B799" s="3" t="s">
        <v>619</v>
      </c>
    </row>
    <row r="800" spans="1:2" x14ac:dyDescent="0.25">
      <c r="A800" s="18">
        <v>2020</v>
      </c>
      <c r="B800" s="3" t="s">
        <v>1909</v>
      </c>
    </row>
    <row r="801" spans="1:2" x14ac:dyDescent="0.25">
      <c r="A801" s="19">
        <v>2020</v>
      </c>
      <c r="B801" s="5" t="s">
        <v>558</v>
      </c>
    </row>
    <row r="802" spans="1:2" x14ac:dyDescent="0.25">
      <c r="A802" s="18">
        <v>2020</v>
      </c>
      <c r="B802" s="3" t="s">
        <v>2178</v>
      </c>
    </row>
    <row r="803" spans="1:2" x14ac:dyDescent="0.25">
      <c r="A803" s="19">
        <v>2020</v>
      </c>
      <c r="B803" s="5" t="s">
        <v>1035</v>
      </c>
    </row>
    <row r="804" spans="1:2" x14ac:dyDescent="0.25">
      <c r="A804" s="18">
        <v>2020</v>
      </c>
      <c r="B804" s="3" t="s">
        <v>800</v>
      </c>
    </row>
    <row r="805" spans="1:2" x14ac:dyDescent="0.25">
      <c r="A805" s="19">
        <v>2020</v>
      </c>
      <c r="B805" s="5" t="s">
        <v>1617</v>
      </c>
    </row>
    <row r="806" spans="1:2" x14ac:dyDescent="0.25">
      <c r="A806" s="19">
        <v>2020</v>
      </c>
      <c r="B806" s="5" t="s">
        <v>1917</v>
      </c>
    </row>
    <row r="807" spans="1:2" x14ac:dyDescent="0.25">
      <c r="A807" s="18">
        <v>2020</v>
      </c>
      <c r="B807" s="3" t="s">
        <v>175</v>
      </c>
    </row>
    <row r="808" spans="1:2" x14ac:dyDescent="0.25">
      <c r="A808" s="18">
        <v>2020</v>
      </c>
      <c r="B808" s="3" t="s">
        <v>846</v>
      </c>
    </row>
    <row r="809" spans="1:2" x14ac:dyDescent="0.25">
      <c r="A809" s="18">
        <v>2020</v>
      </c>
      <c r="B809" s="3" t="s">
        <v>1924</v>
      </c>
    </row>
    <row r="810" spans="1:2" x14ac:dyDescent="0.25">
      <c r="A810" s="19">
        <v>2020</v>
      </c>
      <c r="B810" s="5" t="s">
        <v>983</v>
      </c>
    </row>
    <row r="811" spans="1:2" x14ac:dyDescent="0.25">
      <c r="A811" s="19">
        <v>2020</v>
      </c>
      <c r="B811" s="5" t="s">
        <v>1841</v>
      </c>
    </row>
    <row r="812" spans="1:2" x14ac:dyDescent="0.25">
      <c r="A812" s="19">
        <v>2020</v>
      </c>
      <c r="B812" s="5" t="s">
        <v>766</v>
      </c>
    </row>
    <row r="813" spans="1:2" x14ac:dyDescent="0.25">
      <c r="A813" s="19">
        <v>2020</v>
      </c>
      <c r="B813" s="5" t="s">
        <v>2186</v>
      </c>
    </row>
    <row r="814" spans="1:2" x14ac:dyDescent="0.25">
      <c r="A814" s="19">
        <v>2020</v>
      </c>
      <c r="B814" s="5" t="s">
        <v>2038</v>
      </c>
    </row>
    <row r="815" spans="1:2" x14ac:dyDescent="0.25">
      <c r="A815" s="18">
        <v>2020</v>
      </c>
      <c r="B815" s="3" t="s">
        <v>487</v>
      </c>
    </row>
    <row r="816" spans="1:2" x14ac:dyDescent="0.25">
      <c r="A816" s="19">
        <v>2020</v>
      </c>
      <c r="B816" s="5" t="s">
        <v>1091</v>
      </c>
    </row>
    <row r="817" spans="1:2" x14ac:dyDescent="0.25">
      <c r="A817" s="18">
        <v>2020</v>
      </c>
      <c r="B817" s="3" t="s">
        <v>821</v>
      </c>
    </row>
    <row r="818" spans="1:2" x14ac:dyDescent="0.25">
      <c r="A818" s="19">
        <v>2020</v>
      </c>
      <c r="B818" s="5" t="s">
        <v>2188</v>
      </c>
    </row>
    <row r="819" spans="1:2" x14ac:dyDescent="0.25">
      <c r="A819" s="19">
        <v>2020</v>
      </c>
      <c r="B819" s="5" t="s">
        <v>516</v>
      </c>
    </row>
    <row r="820" spans="1:2" x14ac:dyDescent="0.25">
      <c r="A820" s="18">
        <v>2020</v>
      </c>
      <c r="B820" s="3" t="s">
        <v>1403</v>
      </c>
    </row>
    <row r="821" spans="1:2" x14ac:dyDescent="0.25">
      <c r="A821" s="18">
        <v>2020</v>
      </c>
      <c r="B821" s="3" t="s">
        <v>810</v>
      </c>
    </row>
    <row r="822" spans="1:2" x14ac:dyDescent="0.25">
      <c r="A822" s="18">
        <v>2020</v>
      </c>
      <c r="B822" s="3" t="s">
        <v>1066</v>
      </c>
    </row>
    <row r="823" spans="1:2" x14ac:dyDescent="0.25">
      <c r="A823" s="18">
        <v>2020</v>
      </c>
      <c r="B823" s="3" t="s">
        <v>452</v>
      </c>
    </row>
    <row r="824" spans="1:2" x14ac:dyDescent="0.25">
      <c r="A824" s="19">
        <v>2020</v>
      </c>
      <c r="B824" s="5" t="s">
        <v>98</v>
      </c>
    </row>
    <row r="825" spans="1:2" x14ac:dyDescent="0.25">
      <c r="A825" s="18">
        <v>2020</v>
      </c>
      <c r="B825" s="3" t="s">
        <v>1019</v>
      </c>
    </row>
    <row r="826" spans="1:2" x14ac:dyDescent="0.25">
      <c r="A826" s="19">
        <v>2020</v>
      </c>
      <c r="B826" s="5" t="s">
        <v>525</v>
      </c>
    </row>
    <row r="827" spans="1:2" x14ac:dyDescent="0.25">
      <c r="A827" s="19">
        <v>2020</v>
      </c>
      <c r="B827" s="5" t="s">
        <v>2012</v>
      </c>
    </row>
    <row r="828" spans="1:2" x14ac:dyDescent="0.25">
      <c r="A828" s="19">
        <v>2020</v>
      </c>
      <c r="B828" s="5" t="s">
        <v>360</v>
      </c>
    </row>
    <row r="829" spans="1:2" x14ac:dyDescent="0.25">
      <c r="A829" s="18">
        <v>2020</v>
      </c>
      <c r="B829" s="3" t="s">
        <v>1659</v>
      </c>
    </row>
    <row r="830" spans="1:2" x14ac:dyDescent="0.25">
      <c r="A830" s="19">
        <v>2020</v>
      </c>
      <c r="B830" s="5" t="s">
        <v>2193</v>
      </c>
    </row>
    <row r="831" spans="1:2" x14ac:dyDescent="0.25">
      <c r="A831" s="19">
        <v>2020</v>
      </c>
      <c r="B831" s="5" t="s">
        <v>1568</v>
      </c>
    </row>
    <row r="832" spans="1:2" x14ac:dyDescent="0.25">
      <c r="A832" s="18">
        <v>2020</v>
      </c>
      <c r="B832" s="3" t="s">
        <v>1486</v>
      </c>
    </row>
    <row r="833" spans="1:2" x14ac:dyDescent="0.25">
      <c r="A833" s="18">
        <v>2020</v>
      </c>
      <c r="B833" s="3" t="s">
        <v>1370</v>
      </c>
    </row>
    <row r="834" spans="1:2" x14ac:dyDescent="0.25">
      <c r="A834" s="19">
        <v>2020</v>
      </c>
      <c r="B834" s="5" t="s">
        <v>599</v>
      </c>
    </row>
    <row r="835" spans="1:2" x14ac:dyDescent="0.25">
      <c r="A835" s="19">
        <v>2020</v>
      </c>
      <c r="B835" s="5" t="s">
        <v>2196</v>
      </c>
    </row>
    <row r="836" spans="1:2" x14ac:dyDescent="0.25">
      <c r="A836" s="18">
        <v>2020</v>
      </c>
      <c r="B836" s="3" t="s">
        <v>708</v>
      </c>
    </row>
    <row r="837" spans="1:2" x14ac:dyDescent="0.25">
      <c r="A837" s="18">
        <v>2020</v>
      </c>
      <c r="B837" s="3" t="s">
        <v>1967</v>
      </c>
    </row>
    <row r="838" spans="1:2" x14ac:dyDescent="0.25">
      <c r="A838" s="18">
        <v>2020</v>
      </c>
      <c r="B838" s="3" t="s">
        <v>1703</v>
      </c>
    </row>
    <row r="839" spans="1:2" x14ac:dyDescent="0.25">
      <c r="A839" s="19">
        <v>2020</v>
      </c>
      <c r="B839" s="5" t="s">
        <v>2200</v>
      </c>
    </row>
    <row r="840" spans="1:2" x14ac:dyDescent="0.25">
      <c r="A840" s="18">
        <v>2020</v>
      </c>
      <c r="B840" s="3" t="s">
        <v>2201</v>
      </c>
    </row>
    <row r="841" spans="1:2" x14ac:dyDescent="0.25">
      <c r="A841" s="19">
        <v>2020</v>
      </c>
      <c r="B841" s="5" t="s">
        <v>298</v>
      </c>
    </row>
    <row r="842" spans="1:2" x14ac:dyDescent="0.25">
      <c r="A842" s="19">
        <v>2020</v>
      </c>
      <c r="B842" s="5" t="s">
        <v>1559</v>
      </c>
    </row>
    <row r="843" spans="1:2" x14ac:dyDescent="0.25">
      <c r="A843" s="18">
        <v>2020</v>
      </c>
      <c r="B843" s="3" t="s">
        <v>180</v>
      </c>
    </row>
    <row r="844" spans="1:2" x14ac:dyDescent="0.25">
      <c r="A844" s="19">
        <v>2020</v>
      </c>
      <c r="B844" s="5" t="s">
        <v>1114</v>
      </c>
    </row>
    <row r="845" spans="1:2" x14ac:dyDescent="0.25">
      <c r="A845" s="19">
        <v>2020</v>
      </c>
      <c r="B845" s="5" t="s">
        <v>2211</v>
      </c>
    </row>
    <row r="846" spans="1:2" x14ac:dyDescent="0.25">
      <c r="A846" s="18">
        <v>2020</v>
      </c>
      <c r="B846" s="3" t="s">
        <v>625</v>
      </c>
    </row>
    <row r="847" spans="1:2" x14ac:dyDescent="0.25">
      <c r="A847" s="19">
        <v>2020</v>
      </c>
      <c r="B847" s="5" t="s">
        <v>2212</v>
      </c>
    </row>
    <row r="848" spans="1:2" x14ac:dyDescent="0.25">
      <c r="A848" s="19">
        <v>2020</v>
      </c>
      <c r="B848" s="5" t="s">
        <v>1142</v>
      </c>
    </row>
    <row r="849" spans="1:2" x14ac:dyDescent="0.25">
      <c r="A849" s="18">
        <v>2020</v>
      </c>
      <c r="B849" s="3" t="s">
        <v>508</v>
      </c>
    </row>
    <row r="850" spans="1:2" x14ac:dyDescent="0.25">
      <c r="A850" s="19">
        <v>2020</v>
      </c>
      <c r="B850" s="5" t="s">
        <v>540</v>
      </c>
    </row>
    <row r="851" spans="1:2" x14ac:dyDescent="0.25">
      <c r="A851" s="18">
        <v>2020</v>
      </c>
      <c r="B851" s="3" t="s">
        <v>853</v>
      </c>
    </row>
    <row r="852" spans="1:2" x14ac:dyDescent="0.25">
      <c r="A852" s="19">
        <v>2020</v>
      </c>
      <c r="B852" s="5" t="s">
        <v>502</v>
      </c>
    </row>
    <row r="853" spans="1:2" x14ac:dyDescent="0.25">
      <c r="A853" s="19">
        <v>2020</v>
      </c>
      <c r="B853" s="5" t="s">
        <v>2217</v>
      </c>
    </row>
    <row r="854" spans="1:2" x14ac:dyDescent="0.25">
      <c r="A854" s="18">
        <v>2020</v>
      </c>
      <c r="B854" s="3" t="s">
        <v>892</v>
      </c>
    </row>
    <row r="855" spans="1:2" x14ac:dyDescent="0.25">
      <c r="A855" s="19">
        <v>2020</v>
      </c>
      <c r="B855" s="5" t="s">
        <v>1968</v>
      </c>
    </row>
    <row r="856" spans="1:2" x14ac:dyDescent="0.25">
      <c r="A856" s="18">
        <v>2020</v>
      </c>
      <c r="B856" s="3" t="s">
        <v>142</v>
      </c>
    </row>
    <row r="857" spans="1:2" x14ac:dyDescent="0.25">
      <c r="A857" s="19">
        <v>2020</v>
      </c>
      <c r="B857" s="5" t="s">
        <v>2219</v>
      </c>
    </row>
    <row r="858" spans="1:2" x14ac:dyDescent="0.25">
      <c r="A858" s="18">
        <v>2020</v>
      </c>
      <c r="B858" s="3" t="s">
        <v>747</v>
      </c>
    </row>
    <row r="859" spans="1:2" x14ac:dyDescent="0.25">
      <c r="A859" s="19">
        <v>2020</v>
      </c>
      <c r="B859" s="5" t="s">
        <v>798</v>
      </c>
    </row>
    <row r="860" spans="1:2" x14ac:dyDescent="0.25">
      <c r="A860" s="18">
        <v>2020</v>
      </c>
      <c r="B860" s="3" t="s">
        <v>200</v>
      </c>
    </row>
    <row r="861" spans="1:2" x14ac:dyDescent="0.25">
      <c r="A861" s="19">
        <v>2020</v>
      </c>
      <c r="B861" s="5" t="s">
        <v>1180</v>
      </c>
    </row>
    <row r="862" spans="1:2" x14ac:dyDescent="0.25">
      <c r="A862" s="18">
        <v>2020</v>
      </c>
      <c r="B862" s="3" t="s">
        <v>1946</v>
      </c>
    </row>
    <row r="863" spans="1:2" x14ac:dyDescent="0.25">
      <c r="A863" s="18">
        <v>2020</v>
      </c>
      <c r="B863" s="3" t="s">
        <v>1401</v>
      </c>
    </row>
    <row r="864" spans="1:2" x14ac:dyDescent="0.25">
      <c r="A864" s="18">
        <v>2020</v>
      </c>
      <c r="B864" s="3" t="s">
        <v>777</v>
      </c>
    </row>
    <row r="865" spans="1:2" x14ac:dyDescent="0.25">
      <c r="A865" s="19">
        <v>2020</v>
      </c>
      <c r="B865" s="5" t="s">
        <v>1913</v>
      </c>
    </row>
    <row r="866" spans="1:2" x14ac:dyDescent="0.25">
      <c r="A866" s="18">
        <v>2020</v>
      </c>
      <c r="B866" s="3" t="s">
        <v>1164</v>
      </c>
    </row>
    <row r="867" spans="1:2" x14ac:dyDescent="0.25">
      <c r="A867" s="19">
        <v>2020</v>
      </c>
      <c r="B867" s="5" t="s">
        <v>1591</v>
      </c>
    </row>
    <row r="868" spans="1:2" x14ac:dyDescent="0.25">
      <c r="A868" s="19">
        <v>2020</v>
      </c>
      <c r="B868" s="5" t="s">
        <v>1466</v>
      </c>
    </row>
    <row r="869" spans="1:2" x14ac:dyDescent="0.25">
      <c r="A869" s="19">
        <v>2020</v>
      </c>
      <c r="B869" s="5" t="s">
        <v>1326</v>
      </c>
    </row>
    <row r="870" spans="1:2" x14ac:dyDescent="0.25">
      <c r="A870" s="18">
        <v>2020</v>
      </c>
      <c r="B870" s="3" t="s">
        <v>655</v>
      </c>
    </row>
    <row r="871" spans="1:2" x14ac:dyDescent="0.25">
      <c r="A871" s="18">
        <v>2020</v>
      </c>
      <c r="B871" s="3" t="s">
        <v>822</v>
      </c>
    </row>
    <row r="872" spans="1:2" x14ac:dyDescent="0.25">
      <c r="A872" s="18">
        <v>2020</v>
      </c>
      <c r="B872" s="3" t="s">
        <v>1152</v>
      </c>
    </row>
    <row r="873" spans="1:2" x14ac:dyDescent="0.25">
      <c r="A873" s="19">
        <v>2020</v>
      </c>
      <c r="B873" s="5" t="s">
        <v>1081</v>
      </c>
    </row>
    <row r="874" spans="1:2" x14ac:dyDescent="0.25">
      <c r="A874" s="18">
        <v>2020</v>
      </c>
      <c r="B874" s="3" t="s">
        <v>1711</v>
      </c>
    </row>
    <row r="875" spans="1:2" x14ac:dyDescent="0.25">
      <c r="A875" s="19">
        <v>2020</v>
      </c>
      <c r="B875" s="5" t="s">
        <v>2225</v>
      </c>
    </row>
    <row r="876" spans="1:2" x14ac:dyDescent="0.25">
      <c r="A876" s="19">
        <v>2020</v>
      </c>
      <c r="B876" s="5" t="s">
        <v>895</v>
      </c>
    </row>
    <row r="877" spans="1:2" x14ac:dyDescent="0.25">
      <c r="A877" s="18">
        <v>2020</v>
      </c>
      <c r="B877" s="3" t="s">
        <v>425</v>
      </c>
    </row>
    <row r="878" spans="1:2" x14ac:dyDescent="0.25">
      <c r="A878" s="19">
        <v>2020</v>
      </c>
      <c r="B878" s="5" t="s">
        <v>2232</v>
      </c>
    </row>
    <row r="879" spans="1:2" x14ac:dyDescent="0.25">
      <c r="A879" s="18">
        <v>2020</v>
      </c>
      <c r="B879" s="3" t="s">
        <v>1948</v>
      </c>
    </row>
    <row r="880" spans="1:2" x14ac:dyDescent="0.25">
      <c r="A880" s="19">
        <v>2020</v>
      </c>
      <c r="B880" s="5" t="s">
        <v>2233</v>
      </c>
    </row>
    <row r="881" spans="1:2" x14ac:dyDescent="0.25">
      <c r="A881" s="18">
        <v>2020</v>
      </c>
      <c r="B881" s="3" t="s">
        <v>862</v>
      </c>
    </row>
    <row r="882" spans="1:2" x14ac:dyDescent="0.25">
      <c r="A882" s="19">
        <v>2020</v>
      </c>
      <c r="B882" s="5" t="s">
        <v>1589</v>
      </c>
    </row>
    <row r="883" spans="1:2" x14ac:dyDescent="0.25">
      <c r="A883" s="19">
        <v>2020</v>
      </c>
      <c r="B883" s="5" t="s">
        <v>718</v>
      </c>
    </row>
    <row r="884" spans="1:2" x14ac:dyDescent="0.25">
      <c r="A884" s="19">
        <v>2020</v>
      </c>
      <c r="B884" s="5" t="s">
        <v>170</v>
      </c>
    </row>
    <row r="885" spans="1:2" x14ac:dyDescent="0.25">
      <c r="A885" s="19">
        <v>2020</v>
      </c>
      <c r="B885" s="5" t="s">
        <v>632</v>
      </c>
    </row>
    <row r="886" spans="1:2" x14ac:dyDescent="0.25">
      <c r="A886" s="19">
        <v>2020</v>
      </c>
      <c r="B886" s="5" t="s">
        <v>2237</v>
      </c>
    </row>
    <row r="887" spans="1:2" x14ac:dyDescent="0.25">
      <c r="A887" s="18">
        <v>2020</v>
      </c>
      <c r="B887" s="3" t="s">
        <v>339</v>
      </c>
    </row>
    <row r="888" spans="1:2" x14ac:dyDescent="0.25">
      <c r="A888" s="18">
        <v>2020</v>
      </c>
      <c r="B888" s="3" t="s">
        <v>1088</v>
      </c>
    </row>
    <row r="889" spans="1:2" x14ac:dyDescent="0.25">
      <c r="A889" s="19">
        <v>2020</v>
      </c>
      <c r="B889" s="5" t="s">
        <v>444</v>
      </c>
    </row>
    <row r="890" spans="1:2" x14ac:dyDescent="0.25">
      <c r="A890" s="18">
        <v>2020</v>
      </c>
      <c r="B890" s="3" t="s">
        <v>828</v>
      </c>
    </row>
    <row r="891" spans="1:2" x14ac:dyDescent="0.25">
      <c r="A891" s="19">
        <v>2020</v>
      </c>
      <c r="B891" s="5" t="s">
        <v>192</v>
      </c>
    </row>
    <row r="892" spans="1:2" x14ac:dyDescent="0.25">
      <c r="A892" s="18">
        <v>2020</v>
      </c>
      <c r="B892" s="3" t="s">
        <v>1127</v>
      </c>
    </row>
    <row r="893" spans="1:2" x14ac:dyDescent="0.25">
      <c r="A893" s="19">
        <v>2020</v>
      </c>
      <c r="B893" s="5" t="s">
        <v>1599</v>
      </c>
    </row>
    <row r="894" spans="1:2" x14ac:dyDescent="0.25">
      <c r="A894" s="18">
        <v>2020</v>
      </c>
      <c r="B894" s="3" t="s">
        <v>1230</v>
      </c>
    </row>
    <row r="895" spans="1:2" x14ac:dyDescent="0.25">
      <c r="A895" s="19">
        <v>2020</v>
      </c>
      <c r="B895" s="5" t="s">
        <v>1697</v>
      </c>
    </row>
    <row r="896" spans="1:2" x14ac:dyDescent="0.25">
      <c r="A896" s="19">
        <v>2020</v>
      </c>
      <c r="B896" s="5" t="s">
        <v>592</v>
      </c>
    </row>
    <row r="897" spans="1:2" x14ac:dyDescent="0.25">
      <c r="A897" s="18">
        <v>2020</v>
      </c>
      <c r="B897" s="3" t="s">
        <v>435</v>
      </c>
    </row>
    <row r="898" spans="1:2" x14ac:dyDescent="0.25">
      <c r="A898" s="19">
        <v>2020</v>
      </c>
      <c r="B898" s="5" t="s">
        <v>660</v>
      </c>
    </row>
    <row r="899" spans="1:2" x14ac:dyDescent="0.25">
      <c r="A899" s="19">
        <v>2020</v>
      </c>
      <c r="B899" s="5" t="s">
        <v>2243</v>
      </c>
    </row>
    <row r="900" spans="1:2" x14ac:dyDescent="0.25">
      <c r="A900" s="19">
        <v>2020</v>
      </c>
      <c r="B900" s="5" t="s">
        <v>1453</v>
      </c>
    </row>
    <row r="901" spans="1:2" x14ac:dyDescent="0.25">
      <c r="A901" s="18">
        <v>2020</v>
      </c>
      <c r="B901" s="3" t="s">
        <v>9</v>
      </c>
    </row>
    <row r="902" spans="1:2" x14ac:dyDescent="0.25">
      <c r="A902" s="19">
        <v>2020</v>
      </c>
      <c r="B902" s="5" t="s">
        <v>369</v>
      </c>
    </row>
    <row r="903" spans="1:2" x14ac:dyDescent="0.25">
      <c r="A903" s="19">
        <v>2020</v>
      </c>
      <c r="B903" s="5" t="s">
        <v>2246</v>
      </c>
    </row>
    <row r="904" spans="1:2" x14ac:dyDescent="0.25">
      <c r="A904" s="18">
        <v>2020</v>
      </c>
      <c r="B904" s="3" t="s">
        <v>784</v>
      </c>
    </row>
    <row r="905" spans="1:2" x14ac:dyDescent="0.25">
      <c r="A905" s="18">
        <v>2020</v>
      </c>
      <c r="B905" s="3" t="s">
        <v>1669</v>
      </c>
    </row>
    <row r="906" spans="1:2" x14ac:dyDescent="0.25">
      <c r="A906" s="19">
        <v>2020</v>
      </c>
      <c r="B906" s="5" t="s">
        <v>1895</v>
      </c>
    </row>
    <row r="907" spans="1:2" x14ac:dyDescent="0.25">
      <c r="A907" s="18">
        <v>2020</v>
      </c>
      <c r="B907" s="3" t="s">
        <v>2062</v>
      </c>
    </row>
    <row r="908" spans="1:2" x14ac:dyDescent="0.25">
      <c r="A908" s="19">
        <v>2020</v>
      </c>
      <c r="B908" s="5" t="s">
        <v>2248</v>
      </c>
    </row>
    <row r="909" spans="1:2" x14ac:dyDescent="0.25">
      <c r="A909" s="18">
        <v>2020</v>
      </c>
      <c r="B909" s="3" t="s">
        <v>1384</v>
      </c>
    </row>
    <row r="910" spans="1:2" x14ac:dyDescent="0.25">
      <c r="A910" s="19">
        <v>2020</v>
      </c>
      <c r="B910" s="5" t="s">
        <v>1448</v>
      </c>
    </row>
    <row r="911" spans="1:2" x14ac:dyDescent="0.25">
      <c r="A911" s="18">
        <v>2020</v>
      </c>
      <c r="B911" s="3" t="s">
        <v>291</v>
      </c>
    </row>
    <row r="912" spans="1:2" x14ac:dyDescent="0.25">
      <c r="A912" s="18">
        <v>2020</v>
      </c>
      <c r="B912" s="3" t="s">
        <v>1538</v>
      </c>
    </row>
    <row r="913" spans="1:2" x14ac:dyDescent="0.25">
      <c r="A913" s="19">
        <v>2020</v>
      </c>
      <c r="B913" s="5" t="s">
        <v>1939</v>
      </c>
    </row>
    <row r="914" spans="1:2" x14ac:dyDescent="0.25">
      <c r="A914" s="19">
        <v>2020</v>
      </c>
      <c r="B914" s="5" t="s">
        <v>2047</v>
      </c>
    </row>
    <row r="915" spans="1:2" x14ac:dyDescent="0.25">
      <c r="A915" s="19">
        <v>2020</v>
      </c>
      <c r="B915" s="5" t="s">
        <v>1380</v>
      </c>
    </row>
    <row r="916" spans="1:2" x14ac:dyDescent="0.25">
      <c r="A916" s="18">
        <v>2020</v>
      </c>
      <c r="B916" s="3" t="s">
        <v>111</v>
      </c>
    </row>
    <row r="917" spans="1:2" x14ac:dyDescent="0.25">
      <c r="A917" s="18">
        <v>2020</v>
      </c>
      <c r="B917" s="3" t="s">
        <v>714</v>
      </c>
    </row>
    <row r="918" spans="1:2" x14ac:dyDescent="0.25">
      <c r="A918" s="19">
        <v>2020</v>
      </c>
      <c r="B918" s="5" t="s">
        <v>493</v>
      </c>
    </row>
    <row r="919" spans="1:2" x14ac:dyDescent="0.25">
      <c r="A919" s="18">
        <v>2020</v>
      </c>
      <c r="B919" s="3" t="s">
        <v>882</v>
      </c>
    </row>
    <row r="920" spans="1:2" x14ac:dyDescent="0.25">
      <c r="A920" s="19">
        <v>2020</v>
      </c>
      <c r="B920" s="5" t="s">
        <v>460</v>
      </c>
    </row>
    <row r="921" spans="1:2" x14ac:dyDescent="0.25">
      <c r="A921" s="18">
        <v>2020</v>
      </c>
      <c r="B921" s="3" t="s">
        <v>2256</v>
      </c>
    </row>
    <row r="922" spans="1:2" x14ac:dyDescent="0.25">
      <c r="A922" s="19">
        <v>2020</v>
      </c>
      <c r="B922" s="5" t="s">
        <v>942</v>
      </c>
    </row>
    <row r="923" spans="1:2" x14ac:dyDescent="0.25">
      <c r="A923" s="18">
        <v>2020</v>
      </c>
      <c r="B923" s="3" t="s">
        <v>2257</v>
      </c>
    </row>
    <row r="924" spans="1:2" x14ac:dyDescent="0.25">
      <c r="A924" s="19">
        <v>2020</v>
      </c>
      <c r="B924" s="5" t="s">
        <v>389</v>
      </c>
    </row>
    <row r="925" spans="1:2" x14ac:dyDescent="0.25">
      <c r="A925" s="18">
        <v>2020</v>
      </c>
      <c r="B925" s="3" t="s">
        <v>1288</v>
      </c>
    </row>
    <row r="926" spans="1:2" x14ac:dyDescent="0.25">
      <c r="A926" s="18">
        <v>2020</v>
      </c>
      <c r="B926" s="3" t="s">
        <v>638</v>
      </c>
    </row>
    <row r="927" spans="1:2" x14ac:dyDescent="0.25">
      <c r="A927" s="19">
        <v>2020</v>
      </c>
      <c r="B927" s="5" t="s">
        <v>989</v>
      </c>
    </row>
    <row r="928" spans="1:2" x14ac:dyDescent="0.25">
      <c r="A928" s="18">
        <v>2020</v>
      </c>
      <c r="B928" s="3" t="s">
        <v>1540</v>
      </c>
    </row>
    <row r="929" spans="1:2" x14ac:dyDescent="0.25">
      <c r="A929" s="19">
        <v>2020</v>
      </c>
      <c r="B929" s="5" t="s">
        <v>108</v>
      </c>
    </row>
    <row r="930" spans="1:2" x14ac:dyDescent="0.25">
      <c r="A930" s="18">
        <v>2020</v>
      </c>
      <c r="B930" s="3" t="s">
        <v>606</v>
      </c>
    </row>
    <row r="931" spans="1:2" x14ac:dyDescent="0.25">
      <c r="A931" s="18">
        <v>2020</v>
      </c>
      <c r="B931" s="3" t="s">
        <v>1161</v>
      </c>
    </row>
    <row r="932" spans="1:2" x14ac:dyDescent="0.25">
      <c r="A932" s="19">
        <v>2020</v>
      </c>
      <c r="B932" s="5" t="s">
        <v>50</v>
      </c>
    </row>
    <row r="933" spans="1:2" x14ac:dyDescent="0.25">
      <c r="A933" s="18">
        <v>2020</v>
      </c>
      <c r="B933" s="3" t="s">
        <v>250</v>
      </c>
    </row>
    <row r="934" spans="1:2" x14ac:dyDescent="0.25">
      <c r="A934" s="18">
        <v>2020</v>
      </c>
      <c r="B934" s="3" t="s">
        <v>2055</v>
      </c>
    </row>
    <row r="935" spans="1:2" x14ac:dyDescent="0.25">
      <c r="A935" s="19">
        <v>2020</v>
      </c>
      <c r="B935" s="5" t="s">
        <v>859</v>
      </c>
    </row>
    <row r="936" spans="1:2" x14ac:dyDescent="0.25">
      <c r="A936" s="18">
        <v>2020</v>
      </c>
      <c r="B936" s="3" t="s">
        <v>1440</v>
      </c>
    </row>
    <row r="937" spans="1:2" x14ac:dyDescent="0.25">
      <c r="A937" s="19">
        <v>2020</v>
      </c>
      <c r="B937" s="5" t="s">
        <v>1397</v>
      </c>
    </row>
    <row r="938" spans="1:2" x14ac:dyDescent="0.25">
      <c r="A938" s="19">
        <v>2020</v>
      </c>
      <c r="B938" s="5" t="s">
        <v>1283</v>
      </c>
    </row>
    <row r="939" spans="1:2" x14ac:dyDescent="0.25">
      <c r="A939" s="18">
        <v>2020</v>
      </c>
      <c r="B939" s="3" t="s">
        <v>1964</v>
      </c>
    </row>
    <row r="940" spans="1:2" x14ac:dyDescent="0.25">
      <c r="A940" s="18">
        <v>2020</v>
      </c>
      <c r="B940" s="3" t="s">
        <v>319</v>
      </c>
    </row>
    <row r="941" spans="1:2" x14ac:dyDescent="0.25">
      <c r="A941" s="19">
        <v>2020</v>
      </c>
      <c r="B941" s="5" t="s">
        <v>441</v>
      </c>
    </row>
    <row r="942" spans="1:2" x14ac:dyDescent="0.25">
      <c r="A942" s="18">
        <v>2020</v>
      </c>
      <c r="B942" s="3" t="s">
        <v>1790</v>
      </c>
    </row>
    <row r="943" spans="1:2" x14ac:dyDescent="0.25">
      <c r="A943" s="19">
        <v>2020</v>
      </c>
      <c r="B943" s="5" t="s">
        <v>1833</v>
      </c>
    </row>
    <row r="944" spans="1:2" x14ac:dyDescent="0.25">
      <c r="A944" s="18">
        <v>2020</v>
      </c>
      <c r="B944" s="3" t="s">
        <v>2266</v>
      </c>
    </row>
    <row r="945" spans="1:2" x14ac:dyDescent="0.25">
      <c r="A945" s="18">
        <v>2020</v>
      </c>
      <c r="B945" s="3" t="s">
        <v>1012</v>
      </c>
    </row>
    <row r="946" spans="1:2" x14ac:dyDescent="0.25">
      <c r="A946" s="19">
        <v>2020</v>
      </c>
      <c r="B946" s="5" t="s">
        <v>1699</v>
      </c>
    </row>
    <row r="947" spans="1:2" x14ac:dyDescent="0.25">
      <c r="A947" s="19">
        <v>2020</v>
      </c>
      <c r="B947" s="5" t="s">
        <v>448</v>
      </c>
    </row>
    <row r="948" spans="1:2" x14ac:dyDescent="0.25">
      <c r="A948" s="19">
        <v>2020</v>
      </c>
      <c r="B948" s="5" t="s">
        <v>520</v>
      </c>
    </row>
    <row r="949" spans="1:2" x14ac:dyDescent="0.25">
      <c r="A949" s="18">
        <v>2020</v>
      </c>
      <c r="B949" s="3" t="s">
        <v>2269</v>
      </c>
    </row>
    <row r="950" spans="1:2" x14ac:dyDescent="0.25">
      <c r="A950" s="18">
        <v>2020</v>
      </c>
      <c r="B950" s="3" t="s">
        <v>410</v>
      </c>
    </row>
    <row r="951" spans="1:2" x14ac:dyDescent="0.25">
      <c r="A951" s="19">
        <v>2020</v>
      </c>
      <c r="B951" s="5" t="s">
        <v>2273</v>
      </c>
    </row>
    <row r="952" spans="1:2" x14ac:dyDescent="0.25">
      <c r="A952" s="19">
        <v>2020</v>
      </c>
      <c r="B952" s="5" t="s">
        <v>349</v>
      </c>
    </row>
    <row r="953" spans="1:2" x14ac:dyDescent="0.25">
      <c r="A953" s="18">
        <v>2020</v>
      </c>
      <c r="B953" s="3" t="s">
        <v>1460</v>
      </c>
    </row>
    <row r="954" spans="1:2" x14ac:dyDescent="0.25">
      <c r="A954" s="18">
        <v>2020</v>
      </c>
      <c r="B954" s="3" t="s">
        <v>2276</v>
      </c>
    </row>
    <row r="955" spans="1:2" x14ac:dyDescent="0.25">
      <c r="A955" s="19">
        <v>2020</v>
      </c>
      <c r="B955" s="5" t="s">
        <v>1848</v>
      </c>
    </row>
    <row r="956" spans="1:2" x14ac:dyDescent="0.25">
      <c r="A956" s="19">
        <v>2020</v>
      </c>
      <c r="B956" s="5" t="s">
        <v>351</v>
      </c>
    </row>
    <row r="957" spans="1:2" x14ac:dyDescent="0.25">
      <c r="A957" s="18">
        <v>2020</v>
      </c>
      <c r="B957" s="3" t="s">
        <v>992</v>
      </c>
    </row>
    <row r="958" spans="1:2" x14ac:dyDescent="0.25">
      <c r="A958" s="19">
        <v>2020</v>
      </c>
      <c r="B958" s="5" t="s">
        <v>2010</v>
      </c>
    </row>
    <row r="959" spans="1:2" x14ac:dyDescent="0.25">
      <c r="A959" s="18">
        <v>2020</v>
      </c>
      <c r="B959" s="3" t="s">
        <v>289</v>
      </c>
    </row>
    <row r="960" spans="1:2" x14ac:dyDescent="0.25">
      <c r="A960" s="18">
        <v>2020</v>
      </c>
      <c r="B960" s="3" t="s">
        <v>1688</v>
      </c>
    </row>
    <row r="961" spans="1:2" x14ac:dyDescent="0.25">
      <c r="A961" s="18">
        <v>2020</v>
      </c>
      <c r="B961" s="3" t="s">
        <v>1793</v>
      </c>
    </row>
    <row r="962" spans="1:2" x14ac:dyDescent="0.25">
      <c r="A962" s="19">
        <v>2020</v>
      </c>
      <c r="B962" s="5" t="s">
        <v>628</v>
      </c>
    </row>
    <row r="963" spans="1:2" x14ac:dyDescent="0.25">
      <c r="A963" s="18">
        <v>2020</v>
      </c>
      <c r="B963" s="3" t="s">
        <v>261</v>
      </c>
    </row>
    <row r="964" spans="1:2" x14ac:dyDescent="0.25">
      <c r="A964" s="19">
        <v>2020</v>
      </c>
      <c r="B964" s="5" t="s">
        <v>1940</v>
      </c>
    </row>
    <row r="965" spans="1:2" x14ac:dyDescent="0.25">
      <c r="A965" s="18">
        <v>2020</v>
      </c>
      <c r="B965" s="3" t="s">
        <v>1256</v>
      </c>
    </row>
    <row r="966" spans="1:2" x14ac:dyDescent="0.25">
      <c r="A966" s="19">
        <v>2020</v>
      </c>
      <c r="B966" s="5" t="s">
        <v>1949</v>
      </c>
    </row>
    <row r="967" spans="1:2" x14ac:dyDescent="0.25">
      <c r="A967" s="19">
        <v>2020</v>
      </c>
      <c r="B967" s="5" t="s">
        <v>614</v>
      </c>
    </row>
    <row r="968" spans="1:2" x14ac:dyDescent="0.25">
      <c r="A968" s="19">
        <v>2020</v>
      </c>
      <c r="B968" s="5" t="s">
        <v>2289</v>
      </c>
    </row>
    <row r="969" spans="1:2" x14ac:dyDescent="0.25">
      <c r="A969" s="19">
        <v>2020</v>
      </c>
      <c r="B969" s="5" t="s">
        <v>1950</v>
      </c>
    </row>
    <row r="970" spans="1:2" x14ac:dyDescent="0.25">
      <c r="A970" s="18">
        <v>2020</v>
      </c>
      <c r="B970" s="3" t="s">
        <v>145</v>
      </c>
    </row>
    <row r="971" spans="1:2" x14ac:dyDescent="0.25">
      <c r="A971" s="19">
        <v>2020</v>
      </c>
      <c r="B971" s="5" t="s">
        <v>203</v>
      </c>
    </row>
    <row r="972" spans="1:2" x14ac:dyDescent="0.25">
      <c r="A972" s="19">
        <v>2020</v>
      </c>
      <c r="B972" s="5" t="s">
        <v>185</v>
      </c>
    </row>
    <row r="973" spans="1:2" x14ac:dyDescent="0.25">
      <c r="A973" s="19">
        <v>2020</v>
      </c>
      <c r="B973" s="5" t="s">
        <v>1319</v>
      </c>
    </row>
    <row r="974" spans="1:2" x14ac:dyDescent="0.25">
      <c r="A974" s="18">
        <v>2020</v>
      </c>
      <c r="B974" s="3" t="s">
        <v>2293</v>
      </c>
    </row>
    <row r="975" spans="1:2" x14ac:dyDescent="0.25">
      <c r="A975" s="18">
        <v>2020</v>
      </c>
      <c r="B975" s="3" t="s">
        <v>966</v>
      </c>
    </row>
    <row r="976" spans="1:2" x14ac:dyDescent="0.25">
      <c r="A976" s="19">
        <v>2020</v>
      </c>
      <c r="B976" s="5" t="s">
        <v>551</v>
      </c>
    </row>
    <row r="977" spans="1:2" x14ac:dyDescent="0.25">
      <c r="A977" s="18">
        <v>2020</v>
      </c>
      <c r="B977" s="3" t="s">
        <v>2297</v>
      </c>
    </row>
    <row r="978" spans="1:2" x14ac:dyDescent="0.25">
      <c r="A978" s="19">
        <v>2020</v>
      </c>
      <c r="B978" s="5" t="s">
        <v>768</v>
      </c>
    </row>
    <row r="979" spans="1:2" x14ac:dyDescent="0.25">
      <c r="A979" s="19">
        <v>2020</v>
      </c>
      <c r="B979" s="5" t="s">
        <v>1911</v>
      </c>
    </row>
    <row r="980" spans="1:2" x14ac:dyDescent="0.25">
      <c r="A980" s="18">
        <v>2020</v>
      </c>
      <c r="B980" s="3" t="s">
        <v>103</v>
      </c>
    </row>
    <row r="981" spans="1:2" x14ac:dyDescent="0.25">
      <c r="A981" s="19">
        <v>2020</v>
      </c>
      <c r="B981" s="5" t="s">
        <v>335</v>
      </c>
    </row>
    <row r="982" spans="1:2" x14ac:dyDescent="0.25">
      <c r="A982" s="19">
        <v>2020</v>
      </c>
      <c r="B982" s="5" t="s">
        <v>2303</v>
      </c>
    </row>
    <row r="983" spans="1:2" x14ac:dyDescent="0.25">
      <c r="A983" s="19">
        <v>2020</v>
      </c>
      <c r="B983" s="5" t="s">
        <v>1118</v>
      </c>
    </row>
    <row r="984" spans="1:2" x14ac:dyDescent="0.25">
      <c r="A984" s="19">
        <v>2020</v>
      </c>
      <c r="B984" s="5" t="s">
        <v>100</v>
      </c>
    </row>
    <row r="985" spans="1:2" x14ac:dyDescent="0.25">
      <c r="A985" s="18">
        <v>2020</v>
      </c>
      <c r="B985" s="3" t="s">
        <v>867</v>
      </c>
    </row>
    <row r="986" spans="1:2" x14ac:dyDescent="0.25">
      <c r="A986" s="18">
        <v>2020</v>
      </c>
      <c r="B986" s="3" t="s">
        <v>2305</v>
      </c>
    </row>
    <row r="987" spans="1:2" x14ac:dyDescent="0.25">
      <c r="A987" s="18">
        <v>2020</v>
      </c>
      <c r="B987" s="3" t="s">
        <v>59</v>
      </c>
    </row>
    <row r="988" spans="1:2" x14ac:dyDescent="0.25">
      <c r="A988" s="19">
        <v>2020</v>
      </c>
      <c r="B988" s="5" t="s">
        <v>805</v>
      </c>
    </row>
    <row r="989" spans="1:2" x14ac:dyDescent="0.25">
      <c r="A989" s="18">
        <v>2020</v>
      </c>
      <c r="B989" s="3" t="s">
        <v>570</v>
      </c>
    </row>
    <row r="990" spans="1:2" x14ac:dyDescent="0.25">
      <c r="A990" s="19">
        <v>2020</v>
      </c>
      <c r="B990" s="5" t="s">
        <v>935</v>
      </c>
    </row>
    <row r="991" spans="1:2" x14ac:dyDescent="0.25">
      <c r="A991" s="18">
        <v>2020</v>
      </c>
      <c r="B991" s="3" t="s">
        <v>2066</v>
      </c>
    </row>
    <row r="992" spans="1:2" x14ac:dyDescent="0.25">
      <c r="A992" s="18">
        <v>2020</v>
      </c>
      <c r="B992" s="3" t="s">
        <v>644</v>
      </c>
    </row>
    <row r="993" spans="1:2" x14ac:dyDescent="0.25">
      <c r="A993" s="19">
        <v>2020</v>
      </c>
      <c r="B993" s="5" t="s">
        <v>858</v>
      </c>
    </row>
    <row r="994" spans="1:2" x14ac:dyDescent="0.25">
      <c r="A994" s="18">
        <v>2020</v>
      </c>
      <c r="B994" s="3" t="s">
        <v>1285</v>
      </c>
    </row>
    <row r="995" spans="1:2" x14ac:dyDescent="0.25">
      <c r="A995" s="18">
        <v>2020</v>
      </c>
      <c r="B995" s="3" t="s">
        <v>687</v>
      </c>
    </row>
    <row r="996" spans="1:2" x14ac:dyDescent="0.25">
      <c r="A996" s="19">
        <v>2020</v>
      </c>
      <c r="B996" s="5" t="s">
        <v>48</v>
      </c>
    </row>
    <row r="997" spans="1:2" x14ac:dyDescent="0.25">
      <c r="A997" s="18">
        <v>2020</v>
      </c>
      <c r="B997" s="3" t="s">
        <v>842</v>
      </c>
    </row>
    <row r="998" spans="1:2" x14ac:dyDescent="0.25">
      <c r="A998" s="19">
        <v>2020</v>
      </c>
      <c r="B998" s="5" t="s">
        <v>2310</v>
      </c>
    </row>
    <row r="999" spans="1:2" x14ac:dyDescent="0.25">
      <c r="A999" s="18">
        <v>2020</v>
      </c>
      <c r="B999" s="3" t="s">
        <v>1220</v>
      </c>
    </row>
    <row r="1000" spans="1:2" x14ac:dyDescent="0.25">
      <c r="A1000" s="18">
        <v>2020</v>
      </c>
      <c r="B1000" s="3" t="s">
        <v>2311</v>
      </c>
    </row>
    <row r="1001" spans="1:2" x14ac:dyDescent="0.25">
      <c r="A1001" s="18">
        <v>2020</v>
      </c>
      <c r="B1001" s="3" t="s">
        <v>1587</v>
      </c>
    </row>
    <row r="1002" spans="1:2" x14ac:dyDescent="0.25">
      <c r="A1002" s="19">
        <v>2020</v>
      </c>
      <c r="B1002" s="5" t="s">
        <v>427</v>
      </c>
    </row>
    <row r="1003" spans="1:2" x14ac:dyDescent="0.25">
      <c r="A1003" s="19">
        <v>2020</v>
      </c>
      <c r="B1003" s="5" t="s">
        <v>1167</v>
      </c>
    </row>
    <row r="1004" spans="1:2" x14ac:dyDescent="0.25">
      <c r="A1004" s="18">
        <v>2020</v>
      </c>
      <c r="B1004" s="3" t="s">
        <v>2065</v>
      </c>
    </row>
    <row r="1005" spans="1:2" x14ac:dyDescent="0.25">
      <c r="A1005" s="18">
        <v>2020</v>
      </c>
      <c r="B1005" s="3" t="s">
        <v>183</v>
      </c>
    </row>
    <row r="1006" spans="1:2" x14ac:dyDescent="0.25">
      <c r="A1006" s="19">
        <v>2020</v>
      </c>
      <c r="B1006" s="5" t="s">
        <v>2318</v>
      </c>
    </row>
    <row r="1007" spans="1:2" x14ac:dyDescent="0.25">
      <c r="A1007" s="18">
        <v>2020</v>
      </c>
      <c r="B1007" s="3" t="s">
        <v>530</v>
      </c>
    </row>
    <row r="1008" spans="1:2" x14ac:dyDescent="0.25">
      <c r="A1008" s="19">
        <v>2020</v>
      </c>
      <c r="B1008" s="5" t="s">
        <v>1120</v>
      </c>
    </row>
    <row r="1009" spans="1:2" x14ac:dyDescent="0.25">
      <c r="A1009" s="18">
        <v>2020</v>
      </c>
      <c r="B1009" s="3" t="s">
        <v>2320</v>
      </c>
    </row>
    <row r="1010" spans="1:2" x14ac:dyDescent="0.25">
      <c r="A1010" s="19">
        <v>2020</v>
      </c>
      <c r="B1010" s="5" t="s">
        <v>254</v>
      </c>
    </row>
    <row r="1011" spans="1:2" x14ac:dyDescent="0.25">
      <c r="A1011" s="18">
        <v>2020</v>
      </c>
      <c r="B1011" s="3" t="s">
        <v>751</v>
      </c>
    </row>
    <row r="1012" spans="1:2" x14ac:dyDescent="0.25">
      <c r="A1012" s="19">
        <v>2020</v>
      </c>
      <c r="B1012" s="5" t="s">
        <v>1544</v>
      </c>
    </row>
    <row r="1013" spans="1:2" x14ac:dyDescent="0.25">
      <c r="A1013" s="19">
        <v>2020</v>
      </c>
      <c r="B1013" s="5" t="s">
        <v>729</v>
      </c>
    </row>
    <row r="1014" spans="1:2" x14ac:dyDescent="0.25">
      <c r="A1014" s="19">
        <v>2020</v>
      </c>
      <c r="B1014" s="5" t="s">
        <v>489</v>
      </c>
    </row>
    <row r="1015" spans="1:2" x14ac:dyDescent="0.25">
      <c r="A1015" s="18">
        <v>2020</v>
      </c>
      <c r="B1015" s="3" t="s">
        <v>1359</v>
      </c>
    </row>
    <row r="1016" spans="1:2" x14ac:dyDescent="0.25">
      <c r="A1016" s="19">
        <v>2020</v>
      </c>
      <c r="B1016" s="5" t="s">
        <v>1355</v>
      </c>
    </row>
    <row r="1017" spans="1:2" x14ac:dyDescent="0.25">
      <c r="A1017" s="19">
        <v>2020</v>
      </c>
      <c r="B1017" s="5" t="s">
        <v>1775</v>
      </c>
    </row>
    <row r="1018" spans="1:2" x14ac:dyDescent="0.25">
      <c r="A1018" s="18">
        <v>2020</v>
      </c>
      <c r="B1018" s="3" t="s">
        <v>2324</v>
      </c>
    </row>
    <row r="1019" spans="1:2" x14ac:dyDescent="0.25">
      <c r="A1019" s="19">
        <v>2020</v>
      </c>
      <c r="B1019" s="5" t="s">
        <v>562</v>
      </c>
    </row>
    <row r="1020" spans="1:2" x14ac:dyDescent="0.25">
      <c r="A1020" s="18">
        <v>2020</v>
      </c>
      <c r="B1020" s="3" t="s">
        <v>1805</v>
      </c>
    </row>
    <row r="1021" spans="1:2" x14ac:dyDescent="0.25">
      <c r="A1021" s="19">
        <v>2020</v>
      </c>
      <c r="B1021" s="5" t="s">
        <v>1758</v>
      </c>
    </row>
    <row r="1022" spans="1:2" x14ac:dyDescent="0.25">
      <c r="A1022" s="19">
        <v>2020</v>
      </c>
      <c r="B1022" s="5" t="s">
        <v>81</v>
      </c>
    </row>
    <row r="1023" spans="1:2" x14ac:dyDescent="0.25">
      <c r="A1023" s="19">
        <v>2020</v>
      </c>
      <c r="B1023" s="5" t="s">
        <v>1349</v>
      </c>
    </row>
    <row r="1024" spans="1:2" x14ac:dyDescent="0.25">
      <c r="A1024" s="18">
        <v>2020</v>
      </c>
      <c r="B1024" s="3" t="s">
        <v>880</v>
      </c>
    </row>
    <row r="1025" spans="1:2" x14ac:dyDescent="0.25">
      <c r="A1025" s="18">
        <v>2020</v>
      </c>
      <c r="B1025" s="3" t="s">
        <v>431</v>
      </c>
    </row>
    <row r="1026" spans="1:2" x14ac:dyDescent="0.25">
      <c r="A1026" s="19">
        <v>2020</v>
      </c>
      <c r="B1026" s="5" t="s">
        <v>1956</v>
      </c>
    </row>
    <row r="1027" spans="1:2" x14ac:dyDescent="0.25">
      <c r="A1027" s="19">
        <v>2020</v>
      </c>
      <c r="B1027" s="5" t="s">
        <v>1541</v>
      </c>
    </row>
    <row r="1028" spans="1:2" x14ac:dyDescent="0.25">
      <c r="A1028" s="18">
        <v>2020</v>
      </c>
      <c r="B1028" s="3" t="s">
        <v>1269</v>
      </c>
    </row>
    <row r="1029" spans="1:2" x14ac:dyDescent="0.25">
      <c r="A1029" s="19">
        <v>2020</v>
      </c>
      <c r="B1029" s="5" t="s">
        <v>544</v>
      </c>
    </row>
    <row r="1030" spans="1:2" x14ac:dyDescent="0.25">
      <c r="A1030" s="18">
        <v>2020</v>
      </c>
      <c r="B1030" s="3" t="s">
        <v>2331</v>
      </c>
    </row>
    <row r="1031" spans="1:2" x14ac:dyDescent="0.25">
      <c r="A1031" s="18">
        <v>2020</v>
      </c>
      <c r="B1031" s="3" t="s">
        <v>1535</v>
      </c>
    </row>
    <row r="1032" spans="1:2" x14ac:dyDescent="0.25">
      <c r="A1032" s="19">
        <v>2020</v>
      </c>
      <c r="B1032" s="5" t="s">
        <v>1075</v>
      </c>
    </row>
    <row r="1033" spans="1:2" x14ac:dyDescent="0.25">
      <c r="A1033" s="19">
        <v>2020</v>
      </c>
      <c r="B1033" s="5" t="s">
        <v>1357</v>
      </c>
    </row>
    <row r="1034" spans="1:2" x14ac:dyDescent="0.25">
      <c r="A1034" s="18">
        <v>2020</v>
      </c>
      <c r="B1034" s="3" t="s">
        <v>115</v>
      </c>
    </row>
    <row r="1035" spans="1:2" x14ac:dyDescent="0.25">
      <c r="A1035" s="19">
        <v>2020</v>
      </c>
      <c r="B1035" s="5" t="s">
        <v>403</v>
      </c>
    </row>
    <row r="1036" spans="1:2" x14ac:dyDescent="0.25">
      <c r="A1036" s="18">
        <v>2020</v>
      </c>
      <c r="B1036" s="3" t="s">
        <v>84</v>
      </c>
    </row>
    <row r="1037" spans="1:2" x14ac:dyDescent="0.25">
      <c r="A1037" s="19">
        <v>2020</v>
      </c>
      <c r="B1037" s="5" t="s">
        <v>1189</v>
      </c>
    </row>
    <row r="1038" spans="1:2" x14ac:dyDescent="0.25">
      <c r="A1038" s="18">
        <v>2020</v>
      </c>
      <c r="B1038" s="3" t="s">
        <v>1320</v>
      </c>
    </row>
    <row r="1039" spans="1:2" x14ac:dyDescent="0.25">
      <c r="A1039" s="19">
        <v>2020</v>
      </c>
      <c r="B1039" s="5" t="s">
        <v>1200</v>
      </c>
    </row>
    <row r="1040" spans="1:2" x14ac:dyDescent="0.25">
      <c r="A1040" s="19">
        <v>2020</v>
      </c>
      <c r="B1040" s="5" t="s">
        <v>2035</v>
      </c>
    </row>
    <row r="1041" spans="1:2" x14ac:dyDescent="0.25">
      <c r="A1041" s="19">
        <v>2020</v>
      </c>
      <c r="B1041" s="5" t="s">
        <v>2338</v>
      </c>
    </row>
    <row r="1042" spans="1:2" x14ac:dyDescent="0.25">
      <c r="A1042" s="18">
        <v>2020</v>
      </c>
      <c r="B1042" s="3" t="s">
        <v>835</v>
      </c>
    </row>
    <row r="1043" spans="1:2" x14ac:dyDescent="0.25">
      <c r="A1043" s="19">
        <v>2020</v>
      </c>
      <c r="B1043" s="5" t="s">
        <v>546</v>
      </c>
    </row>
    <row r="1044" spans="1:2" x14ac:dyDescent="0.25">
      <c r="A1044" s="18">
        <v>2020</v>
      </c>
      <c r="B1044" s="3" t="s">
        <v>1149</v>
      </c>
    </row>
    <row r="1045" spans="1:2" x14ac:dyDescent="0.25">
      <c r="A1045" s="19">
        <v>2020</v>
      </c>
      <c r="B1045" s="5" t="s">
        <v>2342</v>
      </c>
    </row>
    <row r="1046" spans="1:2" x14ac:dyDescent="0.25">
      <c r="A1046" s="19">
        <v>2020</v>
      </c>
      <c r="B1046" s="5" t="s">
        <v>1908</v>
      </c>
    </row>
    <row r="1047" spans="1:2" x14ac:dyDescent="0.25">
      <c r="A1047" s="19">
        <v>2020</v>
      </c>
      <c r="B1047" s="5" t="s">
        <v>2344</v>
      </c>
    </row>
    <row r="1048" spans="1:2" x14ac:dyDescent="0.25">
      <c r="A1048" s="18">
        <v>2020</v>
      </c>
      <c r="B1048" s="3" t="s">
        <v>1248</v>
      </c>
    </row>
    <row r="1049" spans="1:2" x14ac:dyDescent="0.25">
      <c r="A1049" s="19">
        <v>2020</v>
      </c>
      <c r="B1049" s="5" t="s">
        <v>316</v>
      </c>
    </row>
    <row r="1050" spans="1:2" x14ac:dyDescent="0.25">
      <c r="A1050" s="18">
        <v>2020</v>
      </c>
      <c r="B1050" s="3" t="s">
        <v>1136</v>
      </c>
    </row>
    <row r="1051" spans="1:2" x14ac:dyDescent="0.25">
      <c r="A1051" s="19">
        <v>2020</v>
      </c>
      <c r="B1051" s="5" t="s">
        <v>1058</v>
      </c>
    </row>
    <row r="1052" spans="1:2" x14ac:dyDescent="0.25">
      <c r="A1052" s="19">
        <v>2020</v>
      </c>
      <c r="B1052" s="5" t="s">
        <v>1354</v>
      </c>
    </row>
    <row r="1053" spans="1:2" x14ac:dyDescent="0.25">
      <c r="A1053" s="19">
        <v>2020</v>
      </c>
      <c r="B1053" s="5" t="s">
        <v>1918</v>
      </c>
    </row>
    <row r="1054" spans="1:2" x14ac:dyDescent="0.25">
      <c r="A1054" s="19">
        <v>2020</v>
      </c>
      <c r="B1054" s="5" t="s">
        <v>1756</v>
      </c>
    </row>
    <row r="1055" spans="1:2" x14ac:dyDescent="0.25">
      <c r="A1055" s="18">
        <v>2020</v>
      </c>
      <c r="B1055" s="3" t="s">
        <v>1363</v>
      </c>
    </row>
    <row r="1056" spans="1:2" x14ac:dyDescent="0.25">
      <c r="A1056" s="18">
        <v>2020</v>
      </c>
      <c r="B1056" s="3" t="s">
        <v>2348</v>
      </c>
    </row>
    <row r="1057" spans="1:2" x14ac:dyDescent="0.25">
      <c r="A1057" s="19">
        <v>2020</v>
      </c>
      <c r="B1057" s="5" t="s">
        <v>567</v>
      </c>
    </row>
    <row r="1058" spans="1:2" x14ac:dyDescent="0.25">
      <c r="A1058" s="19">
        <v>2020</v>
      </c>
      <c r="B1058" s="5" t="s">
        <v>367</v>
      </c>
    </row>
    <row r="1059" spans="1:2" x14ac:dyDescent="0.25">
      <c r="A1059" s="18">
        <v>2020</v>
      </c>
      <c r="B1059" s="3" t="s">
        <v>877</v>
      </c>
    </row>
    <row r="1060" spans="1:2" x14ac:dyDescent="0.25">
      <c r="A1060" s="18">
        <v>2020</v>
      </c>
      <c r="B1060" s="3" t="s">
        <v>2350</v>
      </c>
    </row>
    <row r="1061" spans="1:2" x14ac:dyDescent="0.25">
      <c r="A1061" s="18">
        <v>2020</v>
      </c>
      <c r="B1061" s="3" t="s">
        <v>270</v>
      </c>
    </row>
    <row r="1062" spans="1:2" x14ac:dyDescent="0.25">
      <c r="A1062" s="18">
        <v>2020</v>
      </c>
      <c r="B1062" s="3" t="s">
        <v>1864</v>
      </c>
    </row>
    <row r="1063" spans="1:2" x14ac:dyDescent="0.25">
      <c r="A1063" s="18">
        <v>2020</v>
      </c>
      <c r="B1063" s="3" t="s">
        <v>245</v>
      </c>
    </row>
    <row r="1064" spans="1:2" x14ac:dyDescent="0.25">
      <c r="A1064" s="18">
        <v>2020</v>
      </c>
      <c r="B1064" s="3" t="s">
        <v>1017</v>
      </c>
    </row>
    <row r="1065" spans="1:2" x14ac:dyDescent="0.25">
      <c r="A1065" s="18">
        <v>2020</v>
      </c>
      <c r="B1065" s="3" t="s">
        <v>485</v>
      </c>
    </row>
    <row r="1066" spans="1:2" x14ac:dyDescent="0.25">
      <c r="A1066" s="18">
        <v>2020</v>
      </c>
      <c r="B1066" s="3" t="s">
        <v>1353</v>
      </c>
    </row>
    <row r="1067" spans="1:2" x14ac:dyDescent="0.25">
      <c r="A1067" s="19">
        <v>2020</v>
      </c>
      <c r="B1067" s="5" t="s">
        <v>2352</v>
      </c>
    </row>
    <row r="1068" spans="1:2" x14ac:dyDescent="0.25">
      <c r="A1068" s="18">
        <v>2020</v>
      </c>
      <c r="B1068" s="3" t="s">
        <v>1798</v>
      </c>
    </row>
    <row r="1069" spans="1:2" x14ac:dyDescent="0.25">
      <c r="A1069" s="18">
        <v>2020</v>
      </c>
      <c r="B1069" s="3" t="s">
        <v>93</v>
      </c>
    </row>
    <row r="1070" spans="1:2" x14ac:dyDescent="0.25">
      <c r="A1070" s="19">
        <v>2020</v>
      </c>
      <c r="B1070" s="5" t="s">
        <v>326</v>
      </c>
    </row>
    <row r="1071" spans="1:2" x14ac:dyDescent="0.25">
      <c r="A1071" s="19">
        <v>2020</v>
      </c>
      <c r="B1071" s="5" t="s">
        <v>396</v>
      </c>
    </row>
    <row r="1072" spans="1:2" x14ac:dyDescent="0.25">
      <c r="A1072" s="19">
        <v>2020</v>
      </c>
      <c r="B1072" s="5" t="s">
        <v>2358</v>
      </c>
    </row>
    <row r="1073" spans="1:2" x14ac:dyDescent="0.25">
      <c r="A1073" s="19">
        <v>2020</v>
      </c>
      <c r="B1073" s="5" t="s">
        <v>1330</v>
      </c>
    </row>
    <row r="1074" spans="1:2" x14ac:dyDescent="0.25">
      <c r="A1074" s="19">
        <v>2020</v>
      </c>
      <c r="B1074" s="5" t="s">
        <v>1398</v>
      </c>
    </row>
    <row r="1075" spans="1:2" x14ac:dyDescent="0.25">
      <c r="A1075" s="18">
        <v>2020</v>
      </c>
      <c r="B1075" s="3" t="s">
        <v>1028</v>
      </c>
    </row>
    <row r="1076" spans="1:2" x14ac:dyDescent="0.25">
      <c r="A1076" s="18">
        <v>2020</v>
      </c>
      <c r="B1076" s="3" t="s">
        <v>1642</v>
      </c>
    </row>
    <row r="1077" spans="1:2" x14ac:dyDescent="0.25">
      <c r="A1077" s="19">
        <v>2020</v>
      </c>
      <c r="B1077" s="5" t="s">
        <v>1008</v>
      </c>
    </row>
    <row r="1078" spans="1:2" x14ac:dyDescent="0.25">
      <c r="A1078" s="18">
        <v>2020</v>
      </c>
      <c r="B1078" s="3" t="s">
        <v>2360</v>
      </c>
    </row>
    <row r="1079" spans="1:2" x14ac:dyDescent="0.25">
      <c r="A1079" s="19">
        <v>2020</v>
      </c>
      <c r="B1079" s="5" t="s">
        <v>221</v>
      </c>
    </row>
    <row r="1080" spans="1:2" x14ac:dyDescent="0.25">
      <c r="A1080" s="19">
        <v>2020</v>
      </c>
      <c r="B1080" s="5" t="s">
        <v>2363</v>
      </c>
    </row>
    <row r="1081" spans="1:2" x14ac:dyDescent="0.25">
      <c r="A1081" s="18">
        <v>2020</v>
      </c>
      <c r="B1081" s="3" t="s">
        <v>2366</v>
      </c>
    </row>
    <row r="1082" spans="1:2" x14ac:dyDescent="0.25">
      <c r="A1082" s="19">
        <v>2020</v>
      </c>
      <c r="B1082" s="5" t="s">
        <v>1451</v>
      </c>
    </row>
    <row r="1083" spans="1:2" x14ac:dyDescent="0.25">
      <c r="A1083" s="18">
        <v>2020</v>
      </c>
      <c r="B1083" s="3" t="s">
        <v>1570</v>
      </c>
    </row>
    <row r="1084" spans="1:2" x14ac:dyDescent="0.25">
      <c r="A1084" s="19">
        <v>2020</v>
      </c>
      <c r="B1084" s="5" t="s">
        <v>1954</v>
      </c>
    </row>
    <row r="1085" spans="1:2" x14ac:dyDescent="0.25">
      <c r="A1085" s="18">
        <v>2020</v>
      </c>
      <c r="B1085" s="3" t="s">
        <v>1701</v>
      </c>
    </row>
    <row r="1086" spans="1:2" x14ac:dyDescent="0.25">
      <c r="A1086" s="19">
        <v>2020</v>
      </c>
      <c r="B1086" s="5" t="s">
        <v>163</v>
      </c>
    </row>
    <row r="1087" spans="1:2" x14ac:dyDescent="0.25">
      <c r="A1087" s="18">
        <v>2020</v>
      </c>
      <c r="B1087" s="3" t="s">
        <v>2372</v>
      </c>
    </row>
    <row r="1088" spans="1:2" x14ac:dyDescent="0.25">
      <c r="A1088" s="19">
        <v>2020</v>
      </c>
      <c r="B1088" s="5" t="s">
        <v>2375</v>
      </c>
    </row>
    <row r="1089" spans="1:2" x14ac:dyDescent="0.25">
      <c r="A1089" s="18">
        <v>2020</v>
      </c>
      <c r="B1089" s="3" t="s">
        <v>2376</v>
      </c>
    </row>
    <row r="1090" spans="1:2" x14ac:dyDescent="0.25">
      <c r="A1090" s="18">
        <v>2020</v>
      </c>
      <c r="B1090" s="3" t="s">
        <v>2378</v>
      </c>
    </row>
    <row r="1091" spans="1:2" x14ac:dyDescent="0.25">
      <c r="A1091" s="18">
        <v>2020</v>
      </c>
      <c r="B1091" s="3" t="s">
        <v>2379</v>
      </c>
    </row>
    <row r="1092" spans="1:2" x14ac:dyDescent="0.25">
      <c r="A1092" s="19">
        <v>2020</v>
      </c>
      <c r="B1092" s="5" t="s">
        <v>1418</v>
      </c>
    </row>
    <row r="1093" spans="1:2" x14ac:dyDescent="0.25">
      <c r="A1093" s="19">
        <v>2020</v>
      </c>
      <c r="B1093" s="5" t="s">
        <v>218</v>
      </c>
    </row>
    <row r="1094" spans="1:2" x14ac:dyDescent="0.25">
      <c r="A1094" s="18">
        <v>2020</v>
      </c>
      <c r="B1094" s="3" t="s">
        <v>1787</v>
      </c>
    </row>
    <row r="1095" spans="1:2" x14ac:dyDescent="0.25">
      <c r="A1095" s="18">
        <v>2020</v>
      </c>
      <c r="B1095" s="3" t="s">
        <v>300</v>
      </c>
    </row>
    <row r="1096" spans="1:2" x14ac:dyDescent="0.25">
      <c r="A1096" s="18">
        <v>2020</v>
      </c>
      <c r="B1096" s="3" t="s">
        <v>2023</v>
      </c>
    </row>
    <row r="1097" spans="1:2" x14ac:dyDescent="0.25">
      <c r="A1097" s="19">
        <v>2020</v>
      </c>
      <c r="B1097" s="5" t="s">
        <v>1382</v>
      </c>
    </row>
    <row r="1098" spans="1:2" x14ac:dyDescent="0.25">
      <c r="A1098" s="19">
        <v>2020</v>
      </c>
      <c r="B1098" s="5" t="s">
        <v>43</v>
      </c>
    </row>
    <row r="1099" spans="1:2" x14ac:dyDescent="0.25">
      <c r="A1099" s="18">
        <v>2020</v>
      </c>
      <c r="B1099" s="3" t="s">
        <v>1660</v>
      </c>
    </row>
    <row r="1100" spans="1:2" x14ac:dyDescent="0.25">
      <c r="A1100" s="19">
        <v>2020</v>
      </c>
      <c r="B1100" s="5" t="s">
        <v>1026</v>
      </c>
    </row>
    <row r="1101" spans="1:2" x14ac:dyDescent="0.25">
      <c r="A1101" s="18">
        <v>2020</v>
      </c>
      <c r="B1101" s="3" t="s">
        <v>1061</v>
      </c>
    </row>
    <row r="1102" spans="1:2" x14ac:dyDescent="0.25">
      <c r="A1102" s="18">
        <v>2020</v>
      </c>
      <c r="B1102" s="3" t="s">
        <v>563</v>
      </c>
    </row>
    <row r="1103" spans="1:2" x14ac:dyDescent="0.25">
      <c r="A1103" s="18">
        <v>2020</v>
      </c>
      <c r="B1103" s="3" t="s">
        <v>1622</v>
      </c>
    </row>
    <row r="1104" spans="1:2" x14ac:dyDescent="0.25">
      <c r="A1104" s="19">
        <v>2020</v>
      </c>
      <c r="B1104" s="5" t="s">
        <v>790</v>
      </c>
    </row>
    <row r="1105" spans="1:2" x14ac:dyDescent="0.25">
      <c r="A1105" s="18">
        <v>2020</v>
      </c>
      <c r="B1105" s="3" t="s">
        <v>594</v>
      </c>
    </row>
    <row r="1106" spans="1:2" x14ac:dyDescent="0.25">
      <c r="A1106" s="19">
        <v>2020</v>
      </c>
      <c r="B1106" s="5" t="s">
        <v>1512</v>
      </c>
    </row>
    <row r="1107" spans="1:2" x14ac:dyDescent="0.25">
      <c r="A1107" s="19">
        <v>2020</v>
      </c>
      <c r="B1107" s="5" t="s">
        <v>294</v>
      </c>
    </row>
    <row r="1108" spans="1:2" x14ac:dyDescent="0.25">
      <c r="A1108" s="19">
        <v>2020</v>
      </c>
      <c r="B1108" s="5" t="s">
        <v>214</v>
      </c>
    </row>
    <row r="1109" spans="1:2" x14ac:dyDescent="0.25">
      <c r="A1109" s="18">
        <v>2020</v>
      </c>
      <c r="B1109" s="3" t="s">
        <v>1087</v>
      </c>
    </row>
    <row r="1110" spans="1:2" x14ac:dyDescent="0.25">
      <c r="A1110" s="18">
        <v>2020</v>
      </c>
      <c r="B1110" s="3" t="s">
        <v>2393</v>
      </c>
    </row>
    <row r="1111" spans="1:2" x14ac:dyDescent="0.25">
      <c r="A1111" s="19">
        <v>2020</v>
      </c>
      <c r="B1111" s="5" t="s">
        <v>197</v>
      </c>
    </row>
    <row r="1112" spans="1:2" x14ac:dyDescent="0.25">
      <c r="A1112" s="18">
        <v>2020</v>
      </c>
      <c r="B1112" s="3" t="s">
        <v>1654</v>
      </c>
    </row>
    <row r="1113" spans="1:2" x14ac:dyDescent="0.25">
      <c r="A1113" s="18">
        <v>2020</v>
      </c>
      <c r="B1113" s="3" t="s">
        <v>2394</v>
      </c>
    </row>
    <row r="1114" spans="1:2" x14ac:dyDescent="0.25">
      <c r="A1114" s="18">
        <v>2020</v>
      </c>
      <c r="B1114" s="3" t="s">
        <v>1233</v>
      </c>
    </row>
    <row r="1115" spans="1:2" x14ac:dyDescent="0.25">
      <c r="A1115" s="18">
        <v>2020</v>
      </c>
      <c r="B1115" s="3" t="s">
        <v>1484</v>
      </c>
    </row>
    <row r="1116" spans="1:2" x14ac:dyDescent="0.25">
      <c r="A1116" s="19">
        <v>2020</v>
      </c>
      <c r="B1116" s="5" t="s">
        <v>256</v>
      </c>
    </row>
    <row r="1117" spans="1:2" x14ac:dyDescent="0.25">
      <c r="A1117" s="19">
        <v>2020</v>
      </c>
      <c r="B1117" s="5" t="s">
        <v>63</v>
      </c>
    </row>
    <row r="1118" spans="1:2" x14ac:dyDescent="0.25">
      <c r="A1118" s="18">
        <v>2020</v>
      </c>
      <c r="B1118" s="3" t="s">
        <v>1138</v>
      </c>
    </row>
    <row r="1119" spans="1:2" x14ac:dyDescent="0.25">
      <c r="A1119" s="18">
        <v>2020</v>
      </c>
      <c r="B1119" s="3" t="s">
        <v>1011</v>
      </c>
    </row>
    <row r="1120" spans="1:2" x14ac:dyDescent="0.25">
      <c r="A1120" s="19">
        <v>2020</v>
      </c>
      <c r="B1120" s="5" t="s">
        <v>1772</v>
      </c>
    </row>
    <row r="1121" spans="1:2" x14ac:dyDescent="0.25">
      <c r="A1121" s="19">
        <v>2020</v>
      </c>
      <c r="B1121" s="5" t="s">
        <v>2398</v>
      </c>
    </row>
    <row r="1122" spans="1:2" x14ac:dyDescent="0.25">
      <c r="A1122" s="18">
        <v>2020</v>
      </c>
      <c r="B1122" s="3" t="s">
        <v>2400</v>
      </c>
    </row>
    <row r="1123" spans="1:2" x14ac:dyDescent="0.25">
      <c r="A1123" s="19">
        <v>2020</v>
      </c>
      <c r="B1123" s="5" t="s">
        <v>997</v>
      </c>
    </row>
    <row r="1124" spans="1:2" x14ac:dyDescent="0.25">
      <c r="A1124" s="18">
        <v>2020</v>
      </c>
      <c r="B1124" s="3" t="s">
        <v>554</v>
      </c>
    </row>
    <row r="1125" spans="1:2" x14ac:dyDescent="0.25">
      <c r="A1125" s="18">
        <v>2020</v>
      </c>
      <c r="B1125" s="3" t="s">
        <v>745</v>
      </c>
    </row>
    <row r="1126" spans="1:2" x14ac:dyDescent="0.25">
      <c r="A1126" s="18">
        <v>2020</v>
      </c>
      <c r="B1126" s="3" t="s">
        <v>1393</v>
      </c>
    </row>
    <row r="1127" spans="1:2" x14ac:dyDescent="0.25">
      <c r="A1127" s="19">
        <v>2020</v>
      </c>
      <c r="B1127" s="5" t="s">
        <v>1281</v>
      </c>
    </row>
    <row r="1128" spans="1:2" x14ac:dyDescent="0.25">
      <c r="A1128" s="18">
        <v>2020</v>
      </c>
      <c r="B1128" s="3" t="s">
        <v>1177</v>
      </c>
    </row>
    <row r="1129" spans="1:2" x14ac:dyDescent="0.25">
      <c r="A1129" s="19">
        <v>2020</v>
      </c>
      <c r="B1129" s="5" t="s">
        <v>1778</v>
      </c>
    </row>
    <row r="1130" spans="1:2" x14ac:dyDescent="0.25">
      <c r="A1130" s="18">
        <v>2020</v>
      </c>
      <c r="B1130" s="3" t="s">
        <v>1683</v>
      </c>
    </row>
    <row r="1131" spans="1:2" x14ac:dyDescent="0.25">
      <c r="A1131" s="19">
        <v>2020</v>
      </c>
      <c r="B1131" s="5" t="s">
        <v>2406</v>
      </c>
    </row>
    <row r="1132" spans="1:2" x14ac:dyDescent="0.25">
      <c r="A1132" s="18">
        <v>2020</v>
      </c>
      <c r="B1132" s="3" t="s">
        <v>1843</v>
      </c>
    </row>
    <row r="1133" spans="1:2" x14ac:dyDescent="0.25">
      <c r="A1133" s="19">
        <v>2020</v>
      </c>
      <c r="B1133" s="5" t="s">
        <v>955</v>
      </c>
    </row>
    <row r="1134" spans="1:2" x14ac:dyDescent="0.25">
      <c r="A1134" s="18">
        <v>2020</v>
      </c>
      <c r="B1134" s="3" t="s">
        <v>2407</v>
      </c>
    </row>
    <row r="1135" spans="1:2" x14ac:dyDescent="0.25">
      <c r="A1135" s="18">
        <v>2020</v>
      </c>
      <c r="B1135" s="3" t="s">
        <v>1623</v>
      </c>
    </row>
    <row r="1136" spans="1:2" x14ac:dyDescent="0.25">
      <c r="A1136" s="19">
        <v>2020</v>
      </c>
      <c r="B1136" s="5" t="s">
        <v>2414</v>
      </c>
    </row>
    <row r="1137" spans="1:2" x14ac:dyDescent="0.25">
      <c r="A1137" s="18">
        <v>2020</v>
      </c>
      <c r="B1137" s="3" t="s">
        <v>1740</v>
      </c>
    </row>
    <row r="1138" spans="1:2" x14ac:dyDescent="0.25">
      <c r="A1138" s="19">
        <v>2020</v>
      </c>
      <c r="B1138" s="5" t="s">
        <v>201</v>
      </c>
    </row>
    <row r="1139" spans="1:2" x14ac:dyDescent="0.25">
      <c r="A1139" s="19">
        <v>2020</v>
      </c>
      <c r="B1139" s="5" t="s">
        <v>2419</v>
      </c>
    </row>
    <row r="1140" spans="1:2" x14ac:dyDescent="0.25">
      <c r="A1140" s="18">
        <v>2020</v>
      </c>
      <c r="B1140" s="3" t="s">
        <v>337</v>
      </c>
    </row>
    <row r="1141" spans="1:2" x14ac:dyDescent="0.25">
      <c r="A1141" s="19">
        <v>2020</v>
      </c>
      <c r="B1141" s="5" t="s">
        <v>2421</v>
      </c>
    </row>
    <row r="1142" spans="1:2" x14ac:dyDescent="0.25">
      <c r="A1142" s="18">
        <v>2020</v>
      </c>
      <c r="B1142" s="3" t="s">
        <v>1852</v>
      </c>
    </row>
    <row r="1143" spans="1:2" x14ac:dyDescent="0.25">
      <c r="A1143" s="19">
        <v>2020</v>
      </c>
      <c r="B1143" s="5" t="s">
        <v>773</v>
      </c>
    </row>
    <row r="1144" spans="1:2" x14ac:dyDescent="0.25">
      <c r="A1144" s="19">
        <v>2020</v>
      </c>
      <c r="B1144" s="5" t="s">
        <v>2028</v>
      </c>
    </row>
    <row r="1145" spans="1:2" x14ac:dyDescent="0.25">
      <c r="A1145" s="18">
        <v>2020</v>
      </c>
      <c r="B1145" s="3" t="s">
        <v>1611</v>
      </c>
    </row>
    <row r="1146" spans="1:2" x14ac:dyDescent="0.25">
      <c r="A1146" s="18">
        <v>2020</v>
      </c>
      <c r="B1146" s="3" t="s">
        <v>1299</v>
      </c>
    </row>
    <row r="1147" spans="1:2" x14ac:dyDescent="0.25">
      <c r="A1147" s="18">
        <v>2020</v>
      </c>
      <c r="B1147" s="3" t="s">
        <v>38</v>
      </c>
    </row>
    <row r="1148" spans="1:2" x14ac:dyDescent="0.25">
      <c r="A1148" s="19">
        <v>2020</v>
      </c>
      <c r="B1148" s="5" t="s">
        <v>1985</v>
      </c>
    </row>
    <row r="1149" spans="1:2" x14ac:dyDescent="0.25">
      <c r="A1149" s="18">
        <v>2020</v>
      </c>
      <c r="B1149" s="3" t="s">
        <v>1407</v>
      </c>
    </row>
    <row r="1150" spans="1:2" x14ac:dyDescent="0.25">
      <c r="A1150" s="19">
        <v>2020</v>
      </c>
      <c r="B1150" s="5" t="s">
        <v>1875</v>
      </c>
    </row>
    <row r="1151" spans="1:2" x14ac:dyDescent="0.25">
      <c r="A1151" s="18">
        <v>2020</v>
      </c>
      <c r="B1151" s="3" t="s">
        <v>1869</v>
      </c>
    </row>
    <row r="1152" spans="1:2" x14ac:dyDescent="0.25">
      <c r="A1152" s="19">
        <v>2020</v>
      </c>
      <c r="B1152" s="5" t="s">
        <v>1042</v>
      </c>
    </row>
    <row r="1153" spans="1:2" x14ac:dyDescent="0.25">
      <c r="A1153" s="18">
        <v>2020</v>
      </c>
      <c r="B1153" s="3" t="s">
        <v>868</v>
      </c>
    </row>
    <row r="1154" spans="1:2" x14ac:dyDescent="0.25">
      <c r="A1154" s="18">
        <v>2020</v>
      </c>
      <c r="B1154" s="3" t="s">
        <v>1433</v>
      </c>
    </row>
    <row r="1155" spans="1:2" x14ac:dyDescent="0.25">
      <c r="A1155" s="18">
        <v>2020</v>
      </c>
      <c r="B1155" s="3" t="s">
        <v>2427</v>
      </c>
    </row>
    <row r="1156" spans="1:2" x14ac:dyDescent="0.25">
      <c r="A1156" s="19">
        <v>2020</v>
      </c>
      <c r="B1156" s="5" t="s">
        <v>1755</v>
      </c>
    </row>
    <row r="1157" spans="1:2" x14ac:dyDescent="0.25">
      <c r="A1157" s="19">
        <v>2020</v>
      </c>
      <c r="B1157" s="5" t="s">
        <v>2430</v>
      </c>
    </row>
    <row r="1158" spans="1:2" x14ac:dyDescent="0.25">
      <c r="A1158" s="19">
        <v>2020</v>
      </c>
      <c r="B1158" s="5" t="s">
        <v>1134</v>
      </c>
    </row>
    <row r="1159" spans="1:2" x14ac:dyDescent="0.25">
      <c r="A1159" s="19">
        <v>2020</v>
      </c>
      <c r="B1159" s="5" t="s">
        <v>1694</v>
      </c>
    </row>
    <row r="1160" spans="1:2" x14ac:dyDescent="0.25">
      <c r="A1160" s="19">
        <v>2020</v>
      </c>
      <c r="B1160" s="5" t="s">
        <v>2431</v>
      </c>
    </row>
    <row r="1161" spans="1:2" x14ac:dyDescent="0.25">
      <c r="A1161" s="19">
        <v>2020</v>
      </c>
      <c r="B1161" s="5" t="s">
        <v>1978</v>
      </c>
    </row>
    <row r="1162" spans="1:2" x14ac:dyDescent="0.25">
      <c r="A1162" s="18">
        <v>2020</v>
      </c>
      <c r="B1162" s="3" t="s">
        <v>173</v>
      </c>
    </row>
    <row r="1163" spans="1:2" x14ac:dyDescent="0.25">
      <c r="A1163" s="19">
        <v>2020</v>
      </c>
      <c r="B1163" s="5" t="s">
        <v>1605</v>
      </c>
    </row>
    <row r="1164" spans="1:2" x14ac:dyDescent="0.25">
      <c r="A1164" s="18">
        <v>2020</v>
      </c>
      <c r="B1164" s="3" t="s">
        <v>445</v>
      </c>
    </row>
    <row r="1165" spans="1:2" x14ac:dyDescent="0.25">
      <c r="A1165" s="18">
        <v>2020</v>
      </c>
      <c r="B1165" s="3" t="s">
        <v>1530</v>
      </c>
    </row>
    <row r="1166" spans="1:2" x14ac:dyDescent="0.25">
      <c r="A1166" s="19">
        <v>2020</v>
      </c>
      <c r="B1166" s="5" t="s">
        <v>479</v>
      </c>
    </row>
    <row r="1167" spans="1:2" x14ac:dyDescent="0.25">
      <c r="A1167" s="19">
        <v>2020</v>
      </c>
      <c r="B1167" s="5" t="s">
        <v>2437</v>
      </c>
    </row>
    <row r="1168" spans="1:2" x14ac:dyDescent="0.25">
      <c r="A1168" s="19">
        <v>2020</v>
      </c>
      <c r="B1168" s="5" t="s">
        <v>1106</v>
      </c>
    </row>
    <row r="1169" spans="1:2" x14ac:dyDescent="0.25">
      <c r="A1169" s="18">
        <v>2020</v>
      </c>
      <c r="B1169" s="3" t="s">
        <v>471</v>
      </c>
    </row>
    <row r="1170" spans="1:2" x14ac:dyDescent="0.25">
      <c r="A1170" s="18">
        <v>2020</v>
      </c>
      <c r="B1170" s="3" t="s">
        <v>1196</v>
      </c>
    </row>
    <row r="1171" spans="1:2" x14ac:dyDescent="0.25">
      <c r="A1171" s="19">
        <v>2020</v>
      </c>
      <c r="B1171" s="5" t="s">
        <v>1886</v>
      </c>
    </row>
    <row r="1172" spans="1:2" x14ac:dyDescent="0.25">
      <c r="A1172" s="18">
        <v>2020</v>
      </c>
      <c r="B1172" s="3" t="s">
        <v>1501</v>
      </c>
    </row>
    <row r="1173" spans="1:2" x14ac:dyDescent="0.25">
      <c r="A1173" s="18">
        <v>2020</v>
      </c>
      <c r="B1173" s="3" t="s">
        <v>1548</v>
      </c>
    </row>
    <row r="1174" spans="1:2" x14ac:dyDescent="0.25">
      <c r="A1174" s="18">
        <v>2020</v>
      </c>
      <c r="B1174" s="3" t="s">
        <v>1808</v>
      </c>
    </row>
    <row r="1175" spans="1:2" x14ac:dyDescent="0.25">
      <c r="A1175" s="19">
        <v>2020</v>
      </c>
      <c r="B1175" s="5" t="s">
        <v>2446</v>
      </c>
    </row>
    <row r="1176" spans="1:2" x14ac:dyDescent="0.25">
      <c r="A1176" s="18">
        <v>2020</v>
      </c>
      <c r="B1176" s="3" t="s">
        <v>1872</v>
      </c>
    </row>
    <row r="1177" spans="1:2" x14ac:dyDescent="0.25">
      <c r="A1177" s="18">
        <v>2020</v>
      </c>
      <c r="B1177" s="3" t="s">
        <v>194</v>
      </c>
    </row>
    <row r="1178" spans="1:2" x14ac:dyDescent="0.25">
      <c r="A1178" s="19">
        <v>2020</v>
      </c>
      <c r="B1178" s="5" t="s">
        <v>574</v>
      </c>
    </row>
    <row r="1179" spans="1:2" x14ac:dyDescent="0.25">
      <c r="A1179" s="19">
        <v>2020</v>
      </c>
      <c r="B1179" s="5" t="s">
        <v>705</v>
      </c>
    </row>
    <row r="1180" spans="1:2" x14ac:dyDescent="0.25">
      <c r="A1180" s="19">
        <v>2020</v>
      </c>
      <c r="B1180" s="5" t="s">
        <v>1290</v>
      </c>
    </row>
    <row r="1181" spans="1:2" x14ac:dyDescent="0.25">
      <c r="A1181" s="18">
        <v>2020</v>
      </c>
      <c r="B1181" s="3" t="s">
        <v>1609</v>
      </c>
    </row>
    <row r="1182" spans="1:2" x14ac:dyDescent="0.25">
      <c r="A1182" s="19">
        <v>2020</v>
      </c>
      <c r="B1182" s="5" t="s">
        <v>2449</v>
      </c>
    </row>
    <row r="1183" spans="1:2" x14ac:dyDescent="0.25">
      <c r="A1183" s="19">
        <v>2020</v>
      </c>
      <c r="B1183" s="5" t="s">
        <v>2453</v>
      </c>
    </row>
    <row r="1184" spans="1:2" x14ac:dyDescent="0.25">
      <c r="A1184" s="18">
        <v>2020</v>
      </c>
      <c r="B1184" s="3" t="s">
        <v>1344</v>
      </c>
    </row>
    <row r="1185" spans="1:2" x14ac:dyDescent="0.25">
      <c r="A1185" s="18">
        <v>2020</v>
      </c>
      <c r="B1185" s="3" t="s">
        <v>1553</v>
      </c>
    </row>
    <row r="1186" spans="1:2" x14ac:dyDescent="0.25">
      <c r="A1186" s="19">
        <v>2020</v>
      </c>
      <c r="B1186" s="5" t="s">
        <v>2456</v>
      </c>
    </row>
    <row r="1187" spans="1:2" x14ac:dyDescent="0.25">
      <c r="A1187" s="18">
        <v>2020</v>
      </c>
      <c r="B1187" s="3" t="s">
        <v>653</v>
      </c>
    </row>
    <row r="1188" spans="1:2" x14ac:dyDescent="0.25">
      <c r="A1188" s="18">
        <v>2020</v>
      </c>
      <c r="B1188" s="3" t="s">
        <v>2457</v>
      </c>
    </row>
    <row r="1189" spans="1:2" x14ac:dyDescent="0.25">
      <c r="A1189" s="18">
        <v>2020</v>
      </c>
      <c r="B1189" s="3" t="s">
        <v>1368</v>
      </c>
    </row>
    <row r="1190" spans="1:2" x14ac:dyDescent="0.25">
      <c r="A1190" s="18">
        <v>2020</v>
      </c>
      <c r="B1190" s="3" t="s">
        <v>406</v>
      </c>
    </row>
    <row r="1191" spans="1:2" x14ac:dyDescent="0.25">
      <c r="A1191" s="19">
        <v>2020</v>
      </c>
      <c r="B1191" s="5" t="s">
        <v>2460</v>
      </c>
    </row>
    <row r="1192" spans="1:2" x14ac:dyDescent="0.25">
      <c r="A1192" s="19">
        <v>2020</v>
      </c>
      <c r="B1192" s="5" t="s">
        <v>1022</v>
      </c>
    </row>
    <row r="1193" spans="1:2" x14ac:dyDescent="0.25">
      <c r="A1193" s="18">
        <v>2020</v>
      </c>
      <c r="B1193" s="3" t="s">
        <v>1342</v>
      </c>
    </row>
    <row r="1194" spans="1:2" x14ac:dyDescent="0.25">
      <c r="A1194" s="18">
        <v>2020</v>
      </c>
      <c r="B1194" s="3" t="s">
        <v>549</v>
      </c>
    </row>
    <row r="1195" spans="1:2" x14ac:dyDescent="0.25">
      <c r="A1195" s="18">
        <v>2020</v>
      </c>
      <c r="B1195" s="3" t="s">
        <v>1960</v>
      </c>
    </row>
    <row r="1196" spans="1:2" x14ac:dyDescent="0.25">
      <c r="A1196" s="19">
        <v>2020</v>
      </c>
      <c r="B1196" s="5" t="s">
        <v>1759</v>
      </c>
    </row>
    <row r="1197" spans="1:2" x14ac:dyDescent="0.25">
      <c r="A1197" s="19">
        <v>2020</v>
      </c>
      <c r="B1197" s="5" t="s">
        <v>231</v>
      </c>
    </row>
    <row r="1198" spans="1:2" x14ac:dyDescent="0.25">
      <c r="A1198" s="18">
        <v>2020</v>
      </c>
      <c r="B1198" s="3" t="s">
        <v>2475</v>
      </c>
    </row>
    <row r="1199" spans="1:2" x14ac:dyDescent="0.25">
      <c r="A1199" s="18">
        <v>2020</v>
      </c>
      <c r="B1199" s="3" t="s">
        <v>469</v>
      </c>
    </row>
    <row r="1200" spans="1:2" x14ac:dyDescent="0.25">
      <c r="A1200" s="18">
        <v>2020</v>
      </c>
      <c r="B1200" s="3" t="s">
        <v>1845</v>
      </c>
    </row>
    <row r="1201" spans="1:2" x14ac:dyDescent="0.25">
      <c r="A1201" s="18">
        <v>2020</v>
      </c>
      <c r="B1201" s="3" t="s">
        <v>2481</v>
      </c>
    </row>
    <row r="1202" spans="1:2" x14ac:dyDescent="0.25">
      <c r="A1202" s="19">
        <v>2020</v>
      </c>
      <c r="B1202" s="5" t="s">
        <v>1890</v>
      </c>
    </row>
    <row r="1203" spans="1:2" x14ac:dyDescent="0.25">
      <c r="A1203" s="18">
        <v>2020</v>
      </c>
      <c r="B1203" s="3" t="s">
        <v>385</v>
      </c>
    </row>
    <row r="1204" spans="1:2" x14ac:dyDescent="0.25">
      <c r="A1204" s="18">
        <v>2020</v>
      </c>
      <c r="B1204" s="3" t="s">
        <v>951</v>
      </c>
    </row>
    <row r="1205" spans="1:2" x14ac:dyDescent="0.25">
      <c r="A1205" s="18">
        <v>2020</v>
      </c>
      <c r="B1205" s="3" t="s">
        <v>1542</v>
      </c>
    </row>
    <row r="1206" spans="1:2" x14ac:dyDescent="0.25">
      <c r="A1206" s="19">
        <v>2020</v>
      </c>
      <c r="B1206" s="5" t="s">
        <v>621</v>
      </c>
    </row>
    <row r="1207" spans="1:2" x14ac:dyDescent="0.25">
      <c r="A1207" s="18">
        <v>2020</v>
      </c>
      <c r="B1207" s="3" t="s">
        <v>608</v>
      </c>
    </row>
    <row r="1208" spans="1:2" x14ac:dyDescent="0.25">
      <c r="A1208" s="18">
        <v>2020</v>
      </c>
      <c r="B1208" s="3" t="s">
        <v>1897</v>
      </c>
    </row>
    <row r="1209" spans="1:2" x14ac:dyDescent="0.25">
      <c r="A1209" s="19">
        <v>2020</v>
      </c>
      <c r="B1209" s="5" t="s">
        <v>454</v>
      </c>
    </row>
    <row r="1210" spans="1:2" x14ac:dyDescent="0.25">
      <c r="A1210" s="19">
        <v>2020</v>
      </c>
      <c r="B1210" s="5" t="s">
        <v>1227</v>
      </c>
    </row>
    <row r="1211" spans="1:2" x14ac:dyDescent="0.25">
      <c r="A1211" s="18">
        <v>2020</v>
      </c>
      <c r="B1211" s="3" t="s">
        <v>2002</v>
      </c>
    </row>
    <row r="1212" spans="1:2" x14ac:dyDescent="0.25">
      <c r="A1212" s="18">
        <v>2020</v>
      </c>
      <c r="B1212" s="3" t="s">
        <v>247</v>
      </c>
    </row>
    <row r="1213" spans="1:2" x14ac:dyDescent="0.25">
      <c r="A1213" s="19">
        <v>2020</v>
      </c>
      <c r="B1213" s="5" t="s">
        <v>670</v>
      </c>
    </row>
    <row r="1214" spans="1:2" x14ac:dyDescent="0.25">
      <c r="A1214" s="18">
        <v>2020</v>
      </c>
      <c r="B1214" s="3" t="s">
        <v>2488</v>
      </c>
    </row>
    <row r="1215" spans="1:2" x14ac:dyDescent="0.25">
      <c r="A1215" s="18">
        <v>2020</v>
      </c>
      <c r="B1215" s="3" t="s">
        <v>1891</v>
      </c>
    </row>
    <row r="1216" spans="1:2" x14ac:dyDescent="0.25">
      <c r="A1216" s="19">
        <v>2020</v>
      </c>
      <c r="B1216" s="5" t="s">
        <v>1972</v>
      </c>
    </row>
    <row r="1217" spans="1:2" x14ac:dyDescent="0.25">
      <c r="A1217" s="19">
        <v>2020</v>
      </c>
      <c r="B1217" s="5" t="s">
        <v>691</v>
      </c>
    </row>
    <row r="1218" spans="1:2" x14ac:dyDescent="0.25">
      <c r="A1218" s="18">
        <v>2020</v>
      </c>
      <c r="B1218" s="3" t="s">
        <v>1339</v>
      </c>
    </row>
    <row r="1219" spans="1:2" x14ac:dyDescent="0.25">
      <c r="A1219" s="18">
        <v>2020</v>
      </c>
      <c r="B1219" s="3" t="s">
        <v>2492</v>
      </c>
    </row>
    <row r="1220" spans="1:2" x14ac:dyDescent="0.25">
      <c r="A1220" s="19">
        <v>2020</v>
      </c>
      <c r="B1220" s="5" t="s">
        <v>1597</v>
      </c>
    </row>
    <row r="1221" spans="1:2" x14ac:dyDescent="0.25">
      <c r="A1221" s="18">
        <v>2020</v>
      </c>
      <c r="B1221" s="3" t="s">
        <v>1614</v>
      </c>
    </row>
    <row r="1222" spans="1:2" x14ac:dyDescent="0.25">
      <c r="A1222" s="18">
        <v>2020</v>
      </c>
      <c r="B1222" s="3" t="s">
        <v>2052</v>
      </c>
    </row>
    <row r="1223" spans="1:2" x14ac:dyDescent="0.25">
      <c r="A1223" s="19">
        <v>2020</v>
      </c>
      <c r="B1223" s="5" t="s">
        <v>1112</v>
      </c>
    </row>
    <row r="1224" spans="1:2" x14ac:dyDescent="0.25">
      <c r="A1224" s="19">
        <v>2020</v>
      </c>
      <c r="B1224" s="5" t="s">
        <v>2496</v>
      </c>
    </row>
    <row r="1225" spans="1:2" x14ac:dyDescent="0.25">
      <c r="A1225" s="18">
        <v>2020</v>
      </c>
      <c r="B1225" s="3" t="s">
        <v>1428</v>
      </c>
    </row>
    <row r="1226" spans="1:2" x14ac:dyDescent="0.25">
      <c r="A1226" s="18">
        <v>2020</v>
      </c>
      <c r="B1226" s="3" t="s">
        <v>495</v>
      </c>
    </row>
    <row r="1227" spans="1:2" x14ac:dyDescent="0.25">
      <c r="A1227" s="19">
        <v>2020</v>
      </c>
      <c r="B1227" s="5" t="s">
        <v>1823</v>
      </c>
    </row>
    <row r="1228" spans="1:2" x14ac:dyDescent="0.25">
      <c r="A1228" s="18">
        <v>2020</v>
      </c>
      <c r="B1228" s="3" t="s">
        <v>1800</v>
      </c>
    </row>
    <row r="1229" spans="1:2" x14ac:dyDescent="0.25">
      <c r="A1229" s="19">
        <v>2020</v>
      </c>
      <c r="B1229" s="5" t="s">
        <v>843</v>
      </c>
    </row>
    <row r="1230" spans="1:2" x14ac:dyDescent="0.25">
      <c r="A1230" s="19">
        <v>2020</v>
      </c>
      <c r="B1230" s="5" t="s">
        <v>1246</v>
      </c>
    </row>
    <row r="1231" spans="1:2" x14ac:dyDescent="0.25">
      <c r="A1231" s="19">
        <v>2020</v>
      </c>
      <c r="B1231" s="5" t="s">
        <v>1038</v>
      </c>
    </row>
    <row r="1232" spans="1:2" x14ac:dyDescent="0.25">
      <c r="A1232" s="18">
        <v>2020</v>
      </c>
      <c r="B1232" s="3" t="s">
        <v>1738</v>
      </c>
    </row>
    <row r="1233" spans="1:2" x14ac:dyDescent="0.25">
      <c r="A1233" s="19">
        <v>2020</v>
      </c>
      <c r="B1233" s="5" t="s">
        <v>2504</v>
      </c>
    </row>
    <row r="1234" spans="1:2" x14ac:dyDescent="0.25">
      <c r="A1234" s="19">
        <v>2020</v>
      </c>
      <c r="B1234" s="5" t="s">
        <v>697</v>
      </c>
    </row>
    <row r="1235" spans="1:2" x14ac:dyDescent="0.25">
      <c r="A1235" s="19">
        <v>2020</v>
      </c>
      <c r="B1235" s="5" t="s">
        <v>124</v>
      </c>
    </row>
    <row r="1236" spans="1:2" x14ac:dyDescent="0.25">
      <c r="A1236" s="18">
        <v>2020</v>
      </c>
      <c r="B1236" s="3" t="s">
        <v>1431</v>
      </c>
    </row>
    <row r="1237" spans="1:2" x14ac:dyDescent="0.25">
      <c r="A1237" s="19">
        <v>2020</v>
      </c>
      <c r="B1237" s="5" t="s">
        <v>2507</v>
      </c>
    </row>
    <row r="1238" spans="1:2" x14ac:dyDescent="0.25">
      <c r="A1238" s="19">
        <v>2020</v>
      </c>
      <c r="B1238" s="5" t="s">
        <v>1130</v>
      </c>
    </row>
    <row r="1239" spans="1:2" x14ac:dyDescent="0.25">
      <c r="A1239" s="19">
        <v>2020</v>
      </c>
      <c r="B1239" s="5" t="s">
        <v>2509</v>
      </c>
    </row>
    <row r="1240" spans="1:2" x14ac:dyDescent="0.25">
      <c r="A1240" s="19">
        <v>2020</v>
      </c>
      <c r="B1240" s="5" t="s">
        <v>1523</v>
      </c>
    </row>
    <row r="1241" spans="1:2" x14ac:dyDescent="0.25">
      <c r="A1241" s="19">
        <v>2020</v>
      </c>
      <c r="B1241" s="5" t="s">
        <v>2512</v>
      </c>
    </row>
    <row r="1242" spans="1:2" x14ac:dyDescent="0.25">
      <c r="A1242" s="18">
        <v>2020</v>
      </c>
      <c r="B1242" s="3" t="s">
        <v>1383</v>
      </c>
    </row>
    <row r="1243" spans="1:2" x14ac:dyDescent="0.25">
      <c r="A1243" s="19">
        <v>2020</v>
      </c>
      <c r="B1243" s="5" t="s">
        <v>1071</v>
      </c>
    </row>
    <row r="1244" spans="1:2" x14ac:dyDescent="0.25">
      <c r="A1244" s="19">
        <v>2020</v>
      </c>
      <c r="B1244" s="5" t="s">
        <v>1975</v>
      </c>
    </row>
    <row r="1245" spans="1:2" x14ac:dyDescent="0.25">
      <c r="A1245" s="18">
        <v>2020</v>
      </c>
      <c r="B1245" s="3" t="s">
        <v>2515</v>
      </c>
    </row>
    <row r="1246" spans="1:2" x14ac:dyDescent="0.25">
      <c r="A1246" s="19">
        <v>2020</v>
      </c>
      <c r="B1246" s="5" t="s">
        <v>354</v>
      </c>
    </row>
    <row r="1247" spans="1:2" x14ac:dyDescent="0.25">
      <c r="A1247" s="18">
        <v>2020</v>
      </c>
      <c r="B1247" s="3" t="s">
        <v>2519</v>
      </c>
    </row>
    <row r="1248" spans="1:2" x14ac:dyDescent="0.25">
      <c r="A1248" s="19">
        <v>2020</v>
      </c>
      <c r="B1248" s="5" t="s">
        <v>2520</v>
      </c>
    </row>
    <row r="1249" spans="1:2" x14ac:dyDescent="0.25">
      <c r="A1249" s="18">
        <v>2020</v>
      </c>
      <c r="B1249" s="3" t="s">
        <v>2521</v>
      </c>
    </row>
    <row r="1250" spans="1:2" x14ac:dyDescent="0.25">
      <c r="A1250" s="19">
        <v>2020</v>
      </c>
      <c r="B1250" s="5" t="s">
        <v>1771</v>
      </c>
    </row>
    <row r="1251" spans="1:2" x14ac:dyDescent="0.25">
      <c r="A1251" s="19">
        <v>2020</v>
      </c>
      <c r="B1251" s="5" t="s">
        <v>726</v>
      </c>
    </row>
    <row r="1252" spans="1:2" x14ac:dyDescent="0.25">
      <c r="A1252" s="19">
        <v>2020</v>
      </c>
      <c r="B1252" s="5" t="s">
        <v>2524</v>
      </c>
    </row>
    <row r="1253" spans="1:2" x14ac:dyDescent="0.25">
      <c r="A1253" s="19">
        <v>2020</v>
      </c>
      <c r="B1253" s="5" t="s">
        <v>2526</v>
      </c>
    </row>
    <row r="1254" spans="1:2" x14ac:dyDescent="0.25">
      <c r="A1254" s="18">
        <v>2020</v>
      </c>
      <c r="B1254" s="3" t="s">
        <v>1671</v>
      </c>
    </row>
    <row r="1255" spans="1:2" x14ac:dyDescent="0.25">
      <c r="A1255" s="19">
        <v>2020</v>
      </c>
      <c r="B1255" s="5" t="s">
        <v>533</v>
      </c>
    </row>
    <row r="1256" spans="1:2" x14ac:dyDescent="0.25">
      <c r="A1256" s="19">
        <v>2020</v>
      </c>
      <c r="B1256" s="5" t="s">
        <v>1579</v>
      </c>
    </row>
    <row r="1257" spans="1:2" x14ac:dyDescent="0.25">
      <c r="A1257" s="18">
        <v>2020</v>
      </c>
      <c r="B1257" s="3" t="s">
        <v>956</v>
      </c>
    </row>
    <row r="1258" spans="1:2" x14ac:dyDescent="0.25">
      <c r="A1258" s="18">
        <v>2020</v>
      </c>
      <c r="B1258" s="3" t="s">
        <v>663</v>
      </c>
    </row>
    <row r="1259" spans="1:2" x14ac:dyDescent="0.25">
      <c r="A1259" s="18">
        <v>2020</v>
      </c>
      <c r="B1259" s="3" t="s">
        <v>1831</v>
      </c>
    </row>
    <row r="1260" spans="1:2" x14ac:dyDescent="0.25">
      <c r="A1260" s="19">
        <v>2020</v>
      </c>
      <c r="B1260" s="5" t="s">
        <v>657</v>
      </c>
    </row>
    <row r="1261" spans="1:2" x14ac:dyDescent="0.25">
      <c r="A1261" s="19">
        <v>2020</v>
      </c>
      <c r="B1261" s="5" t="s">
        <v>2530</v>
      </c>
    </row>
    <row r="1262" spans="1:2" x14ac:dyDescent="0.25">
      <c r="A1262" s="18">
        <v>2020</v>
      </c>
      <c r="B1262" s="3" t="s">
        <v>1769</v>
      </c>
    </row>
    <row r="1263" spans="1:2" x14ac:dyDescent="0.25">
      <c r="A1263" s="19">
        <v>2020</v>
      </c>
      <c r="B1263" s="5" t="s">
        <v>2532</v>
      </c>
    </row>
    <row r="1264" spans="1:2" x14ac:dyDescent="0.25">
      <c r="A1264" s="18">
        <v>2020</v>
      </c>
      <c r="B1264" s="3" t="s">
        <v>1063</v>
      </c>
    </row>
    <row r="1265" spans="1:2" x14ac:dyDescent="0.25">
      <c r="A1265" s="19">
        <v>2020</v>
      </c>
      <c r="B1265" s="5" t="s">
        <v>2535</v>
      </c>
    </row>
    <row r="1266" spans="1:2" x14ac:dyDescent="0.25">
      <c r="A1266" s="18">
        <v>2020</v>
      </c>
      <c r="B1266" s="3" t="s">
        <v>1172</v>
      </c>
    </row>
    <row r="1267" spans="1:2" x14ac:dyDescent="0.25">
      <c r="A1267" s="18">
        <v>2020</v>
      </c>
      <c r="B1267" s="3" t="s">
        <v>259</v>
      </c>
    </row>
    <row r="1268" spans="1:2" x14ac:dyDescent="0.25">
      <c r="A1268" s="19">
        <v>2020</v>
      </c>
      <c r="B1268" s="5" t="s">
        <v>900</v>
      </c>
    </row>
    <row r="1269" spans="1:2" x14ac:dyDescent="0.25">
      <c r="A1269" s="19">
        <v>2020</v>
      </c>
      <c r="B1269" s="5" t="s">
        <v>126</v>
      </c>
    </row>
    <row r="1270" spans="1:2" x14ac:dyDescent="0.25">
      <c r="A1270" s="18">
        <v>2020</v>
      </c>
      <c r="B1270" s="3" t="s">
        <v>2540</v>
      </c>
    </row>
    <row r="1271" spans="1:2" x14ac:dyDescent="0.25">
      <c r="A1271" s="19">
        <v>2020</v>
      </c>
      <c r="B1271" s="5" t="s">
        <v>1228</v>
      </c>
    </row>
    <row r="1272" spans="1:2" x14ac:dyDescent="0.25">
      <c r="A1272" s="19">
        <v>2020</v>
      </c>
      <c r="B1272" s="5" t="s">
        <v>1698</v>
      </c>
    </row>
    <row r="1273" spans="1:2" x14ac:dyDescent="0.25">
      <c r="A1273" s="19">
        <v>2020</v>
      </c>
      <c r="B1273" s="5" t="s">
        <v>2542</v>
      </c>
    </row>
    <row r="1274" spans="1:2" x14ac:dyDescent="0.25">
      <c r="A1274" s="18">
        <v>2020</v>
      </c>
      <c r="B1274" s="3" t="s">
        <v>2543</v>
      </c>
    </row>
    <row r="1275" spans="1:2" x14ac:dyDescent="0.25">
      <c r="A1275" s="19">
        <v>2020</v>
      </c>
      <c r="B1275" s="5" t="s">
        <v>1815</v>
      </c>
    </row>
    <row r="1276" spans="1:2" x14ac:dyDescent="0.25">
      <c r="A1276" s="19">
        <v>2020</v>
      </c>
      <c r="B1276" s="5" t="s">
        <v>2546</v>
      </c>
    </row>
    <row r="1277" spans="1:2" x14ac:dyDescent="0.25">
      <c r="A1277" s="19">
        <v>2020</v>
      </c>
      <c r="B1277" s="5" t="s">
        <v>1311</v>
      </c>
    </row>
    <row r="1278" spans="1:2" x14ac:dyDescent="0.25">
      <c r="A1278" s="19">
        <v>2020</v>
      </c>
      <c r="B1278" s="5" t="s">
        <v>958</v>
      </c>
    </row>
    <row r="1279" spans="1:2" x14ac:dyDescent="0.25">
      <c r="A1279" s="19">
        <v>2020</v>
      </c>
      <c r="B1279" s="5" t="s">
        <v>2548</v>
      </c>
    </row>
    <row r="1280" spans="1:2" x14ac:dyDescent="0.25">
      <c r="A1280" s="19">
        <v>2020</v>
      </c>
      <c r="B1280" s="5" t="s">
        <v>1638</v>
      </c>
    </row>
    <row r="1281" spans="1:2" x14ac:dyDescent="0.25">
      <c r="A1281" s="19">
        <v>2020</v>
      </c>
      <c r="B1281" s="5" t="s">
        <v>825</v>
      </c>
    </row>
    <row r="1282" spans="1:2" x14ac:dyDescent="0.25">
      <c r="A1282" s="19">
        <v>2020</v>
      </c>
      <c r="B1282" s="5" t="s">
        <v>994</v>
      </c>
    </row>
    <row r="1283" spans="1:2" x14ac:dyDescent="0.25">
      <c r="A1283" s="18">
        <v>2020</v>
      </c>
      <c r="B1283" s="3" t="s">
        <v>2552</v>
      </c>
    </row>
    <row r="1284" spans="1:2" x14ac:dyDescent="0.25">
      <c r="A1284" s="19">
        <v>2020</v>
      </c>
      <c r="B1284" s="5" t="s">
        <v>2553</v>
      </c>
    </row>
    <row r="1285" spans="1:2" x14ac:dyDescent="0.25">
      <c r="A1285" s="19">
        <v>2020</v>
      </c>
      <c r="B1285" s="5" t="s">
        <v>897</v>
      </c>
    </row>
    <row r="1286" spans="1:2" x14ac:dyDescent="0.25">
      <c r="A1286" s="18">
        <v>2020</v>
      </c>
      <c r="B1286" s="3" t="s">
        <v>1717</v>
      </c>
    </row>
    <row r="1287" spans="1:2" x14ac:dyDescent="0.25">
      <c r="A1287" s="19">
        <v>2020</v>
      </c>
      <c r="B1287" s="5" t="s">
        <v>2558</v>
      </c>
    </row>
    <row r="1288" spans="1:2" x14ac:dyDescent="0.25">
      <c r="A1288" s="18">
        <v>2020</v>
      </c>
      <c r="B1288" s="3" t="s">
        <v>1857</v>
      </c>
    </row>
    <row r="1289" spans="1:2" x14ac:dyDescent="0.25">
      <c r="A1289" s="18">
        <v>2020</v>
      </c>
      <c r="B1289" s="3" t="s">
        <v>2561</v>
      </c>
    </row>
    <row r="1290" spans="1:2" x14ac:dyDescent="0.25">
      <c r="A1290" s="18">
        <v>2020</v>
      </c>
      <c r="B1290" s="3" t="s">
        <v>601</v>
      </c>
    </row>
    <row r="1291" spans="1:2" x14ac:dyDescent="0.25">
      <c r="A1291" s="19">
        <v>2020</v>
      </c>
      <c r="B1291" s="5" t="s">
        <v>770</v>
      </c>
    </row>
    <row r="1292" spans="1:2" x14ac:dyDescent="0.25">
      <c r="A1292" s="18">
        <v>2020</v>
      </c>
      <c r="B1292" s="3" t="s">
        <v>1636</v>
      </c>
    </row>
    <row r="1293" spans="1:2" x14ac:dyDescent="0.25">
      <c r="A1293" s="18">
        <v>2020</v>
      </c>
      <c r="B1293" s="3" t="s">
        <v>1883</v>
      </c>
    </row>
    <row r="1294" spans="1:2" x14ac:dyDescent="0.25">
      <c r="A1294" s="19">
        <v>2020</v>
      </c>
      <c r="B1294" s="5" t="s">
        <v>313</v>
      </c>
    </row>
    <row r="1295" spans="1:2" x14ac:dyDescent="0.25">
      <c r="A1295" s="19">
        <v>2020</v>
      </c>
      <c r="B1295" s="5" t="s">
        <v>1585</v>
      </c>
    </row>
    <row r="1296" spans="1:2" x14ac:dyDescent="0.25">
      <c r="A1296" s="19">
        <v>2020</v>
      </c>
      <c r="B1296" s="5" t="s">
        <v>285</v>
      </c>
    </row>
    <row r="1297" spans="1:2" x14ac:dyDescent="0.25">
      <c r="A1297" s="18">
        <v>2020</v>
      </c>
      <c r="B1297" s="3" t="s">
        <v>463</v>
      </c>
    </row>
    <row r="1298" spans="1:2" x14ac:dyDescent="0.25">
      <c r="A1298" s="18">
        <v>2020</v>
      </c>
      <c r="B1298" s="3" t="s">
        <v>931</v>
      </c>
    </row>
    <row r="1299" spans="1:2" x14ac:dyDescent="0.25">
      <c r="A1299" s="18">
        <v>2020</v>
      </c>
      <c r="B1299" s="3" t="s">
        <v>1400</v>
      </c>
    </row>
    <row r="1300" spans="1:2" x14ac:dyDescent="0.25">
      <c r="A1300" s="18">
        <v>2020</v>
      </c>
      <c r="B1300" s="3" t="s">
        <v>1507</v>
      </c>
    </row>
    <row r="1301" spans="1:2" x14ac:dyDescent="0.25">
      <c r="A1301" s="19">
        <v>2020</v>
      </c>
      <c r="B1301" s="5" t="s">
        <v>677</v>
      </c>
    </row>
    <row r="1302" spans="1:2" x14ac:dyDescent="0.25">
      <c r="A1302" s="19">
        <v>2020</v>
      </c>
      <c r="B1302" s="5" t="s">
        <v>2573</v>
      </c>
    </row>
    <row r="1303" spans="1:2" x14ac:dyDescent="0.25">
      <c r="A1303" s="19">
        <v>2020</v>
      </c>
      <c r="B1303" s="5" t="s">
        <v>17</v>
      </c>
    </row>
    <row r="1304" spans="1:2" x14ac:dyDescent="0.25">
      <c r="A1304" s="19">
        <v>2020</v>
      </c>
      <c r="B1304" s="5" t="s">
        <v>2577</v>
      </c>
    </row>
    <row r="1305" spans="1:2" x14ac:dyDescent="0.25">
      <c r="A1305" s="18">
        <v>2020</v>
      </c>
      <c r="B1305" s="3" t="s">
        <v>2578</v>
      </c>
    </row>
    <row r="1306" spans="1:2" x14ac:dyDescent="0.25">
      <c r="A1306" s="18">
        <v>2020</v>
      </c>
      <c r="B1306" s="3" t="s">
        <v>1721</v>
      </c>
    </row>
    <row r="1307" spans="1:2" x14ac:dyDescent="0.25">
      <c r="A1307" s="18">
        <v>2020</v>
      </c>
      <c r="B1307" s="3" t="s">
        <v>1254</v>
      </c>
    </row>
    <row r="1308" spans="1:2" x14ac:dyDescent="0.25">
      <c r="A1308" s="19">
        <v>2020</v>
      </c>
      <c r="B1308" s="5" t="s">
        <v>1377</v>
      </c>
    </row>
    <row r="1309" spans="1:2" x14ac:dyDescent="0.25">
      <c r="A1309" s="18">
        <v>2020</v>
      </c>
      <c r="B1309" s="3" t="s">
        <v>596</v>
      </c>
    </row>
    <row r="1310" spans="1:2" x14ac:dyDescent="0.25">
      <c r="A1310" s="18">
        <v>2020</v>
      </c>
      <c r="B1310" s="3" t="s">
        <v>22</v>
      </c>
    </row>
    <row r="1311" spans="1:2" x14ac:dyDescent="0.25">
      <c r="A1311" s="19">
        <v>2020</v>
      </c>
      <c r="B1311" s="5" t="s">
        <v>1323</v>
      </c>
    </row>
    <row r="1312" spans="1:2" x14ac:dyDescent="0.25">
      <c r="A1312" s="18">
        <v>2020</v>
      </c>
      <c r="B1312" s="3" t="s">
        <v>884</v>
      </c>
    </row>
    <row r="1313" spans="1:2" x14ac:dyDescent="0.25">
      <c r="A1313" s="19">
        <v>2020</v>
      </c>
      <c r="B1313" s="5" t="s">
        <v>1863</v>
      </c>
    </row>
    <row r="1314" spans="1:2" x14ac:dyDescent="0.25">
      <c r="A1314" s="19">
        <v>2020</v>
      </c>
      <c r="B1314" s="5" t="s">
        <v>1010</v>
      </c>
    </row>
    <row r="1315" spans="1:2" x14ac:dyDescent="0.25">
      <c r="A1315" s="19">
        <v>2020</v>
      </c>
      <c r="B1315" s="5" t="s">
        <v>1074</v>
      </c>
    </row>
    <row r="1316" spans="1:2" x14ac:dyDescent="0.25">
      <c r="A1316" s="18">
        <v>2020</v>
      </c>
      <c r="B1316" s="3" t="s">
        <v>2060</v>
      </c>
    </row>
    <row r="1317" spans="1:2" x14ac:dyDescent="0.25">
      <c r="A1317" s="19">
        <v>2020</v>
      </c>
      <c r="B1317" s="5" t="s">
        <v>1301</v>
      </c>
    </row>
    <row r="1318" spans="1:2" x14ac:dyDescent="0.25">
      <c r="A1318" s="18">
        <v>2020</v>
      </c>
      <c r="B1318" s="3" t="s">
        <v>2031</v>
      </c>
    </row>
    <row r="1319" spans="1:2" x14ac:dyDescent="0.25">
      <c r="A1319" s="18">
        <v>2020</v>
      </c>
      <c r="B1319" s="3" t="s">
        <v>2058</v>
      </c>
    </row>
    <row r="1320" spans="1:2" x14ac:dyDescent="0.25">
      <c r="A1320" s="19">
        <v>2020</v>
      </c>
      <c r="B1320" s="5" t="s">
        <v>1878</v>
      </c>
    </row>
    <row r="1321" spans="1:2" x14ac:dyDescent="0.25">
      <c r="A1321" s="18">
        <v>2020</v>
      </c>
      <c r="B1321" s="3" t="s">
        <v>473</v>
      </c>
    </row>
    <row r="1322" spans="1:2" x14ac:dyDescent="0.25">
      <c r="A1322" s="19">
        <v>2020</v>
      </c>
      <c r="B1322" s="5" t="s">
        <v>2583</v>
      </c>
    </row>
    <row r="1323" spans="1:2" x14ac:dyDescent="0.25">
      <c r="A1323" s="18">
        <v>2020</v>
      </c>
      <c r="B1323" s="3" t="s">
        <v>2584</v>
      </c>
    </row>
    <row r="1324" spans="1:2" x14ac:dyDescent="0.25">
      <c r="A1324" s="19">
        <v>2020</v>
      </c>
      <c r="B1324" s="5" t="s">
        <v>2585</v>
      </c>
    </row>
    <row r="1325" spans="1:2" x14ac:dyDescent="0.25">
      <c r="A1325" s="18">
        <v>2020</v>
      </c>
      <c r="B1325" s="3" t="s">
        <v>2586</v>
      </c>
    </row>
    <row r="1326" spans="1:2" x14ac:dyDescent="0.25">
      <c r="A1326" s="19">
        <v>2020</v>
      </c>
      <c r="B1326" s="5" t="s">
        <v>342</v>
      </c>
    </row>
    <row r="1327" spans="1:2" x14ac:dyDescent="0.25">
      <c r="A1327" s="19">
        <v>2020</v>
      </c>
      <c r="B1327" s="5" t="s">
        <v>2588</v>
      </c>
    </row>
    <row r="1328" spans="1:2" x14ac:dyDescent="0.25">
      <c r="A1328" s="18">
        <v>2020</v>
      </c>
      <c r="B1328" s="3" t="s">
        <v>560</v>
      </c>
    </row>
    <row r="1329" spans="1:2" x14ac:dyDescent="0.25">
      <c r="A1329" s="19">
        <v>2020</v>
      </c>
      <c r="B1329" s="5" t="s">
        <v>1820</v>
      </c>
    </row>
    <row r="1330" spans="1:2" x14ac:dyDescent="0.25">
      <c r="A1330" s="18">
        <v>2020</v>
      </c>
      <c r="B1330" s="3" t="s">
        <v>2591</v>
      </c>
    </row>
    <row r="1331" spans="1:2" x14ac:dyDescent="0.25">
      <c r="A1331" s="19">
        <v>2020</v>
      </c>
      <c r="B1331" s="5" t="s">
        <v>34</v>
      </c>
    </row>
    <row r="1332" spans="1:2" x14ac:dyDescent="0.25">
      <c r="A1332" s="18">
        <v>2020</v>
      </c>
      <c r="B1332" s="3" t="s">
        <v>626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C164-B5C9-4EDA-B3AB-00931B83B978}">
  <dimension ref="A1"/>
  <sheetViews>
    <sheetView showGridLines="0" showRowColHeaders="0" tabSelected="1" zoomScale="108" workbookViewId="0">
      <selection activeCell="Z50" sqref="Z5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vt:lpstr>
      <vt:lpstr>Monthly Sales</vt:lpstr>
      <vt:lpstr>Top5 Customers</vt:lpstr>
      <vt:lpstr>SalesByState</vt:lpstr>
      <vt:lpstr>salesdata</vt:lpstr>
      <vt:lpstr>CustomerCount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sam 99729</cp:lastModifiedBy>
  <dcterms:created xsi:type="dcterms:W3CDTF">2023-05-30T12:30:44Z</dcterms:created>
  <dcterms:modified xsi:type="dcterms:W3CDTF">2025-12-07T20:05:28Z</dcterms:modified>
</cp:coreProperties>
</file>